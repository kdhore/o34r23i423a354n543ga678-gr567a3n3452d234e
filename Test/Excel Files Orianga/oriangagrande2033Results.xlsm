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S8" i="20"/>
  <c r="H40" i="20"/>
  <c r="H39" i="20"/>
  <c r="S39" i="20"/>
  <c r="H38" i="20"/>
  <c r="H35" i="20"/>
  <c r="S42" i="20"/>
  <c r="H34" i="20"/>
  <c r="H33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H7" i="20"/>
  <c r="AZ170" i="14"/>
  <c r="AZ121" i="14"/>
  <c r="AZ108" i="14"/>
  <c r="AZ99" i="14"/>
  <c r="AZ92" i="14"/>
  <c r="AZ170" i="15"/>
  <c r="AZ121" i="15"/>
  <c r="AZ108" i="15"/>
  <c r="AZ99" i="15"/>
  <c r="AZ92" i="15"/>
  <c r="BA14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0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20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0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0"/>
  <c r="T32" i="20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U260" i="14"/>
  <c r="AT259" i="14"/>
  <c r="AU14" i="14"/>
  <c r="AT181" i="14"/>
  <c r="AT179" i="14"/>
  <c r="AT177" i="14"/>
  <c r="AT175" i="14"/>
  <c r="AS259" i="14"/>
  <c r="AT14" i="14"/>
  <c r="AS181" i="14"/>
  <c r="AS179" i="14"/>
  <c r="AS260" i="14"/>
  <c r="AS177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177" i="14"/>
  <c r="AO260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260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177" i="14"/>
  <c r="AD175" i="14"/>
  <c r="AC259" i="14"/>
  <c r="AD14" i="14"/>
  <c r="AC181" i="14"/>
  <c r="AC179" i="14"/>
  <c r="AC260" i="14"/>
  <c r="AC177" i="14"/>
  <c r="AC175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Z259" i="14"/>
  <c r="AA14" i="14"/>
  <c r="Z181" i="14"/>
  <c r="Z179" i="14"/>
  <c r="Z260" i="14"/>
  <c r="Z177" i="14"/>
  <c r="Z175" i="14"/>
  <c r="Y259" i="14"/>
  <c r="Z14" i="14"/>
  <c r="Y181" i="14"/>
  <c r="Y179" i="14"/>
  <c r="Y177" i="14"/>
  <c r="Y260" i="14"/>
  <c r="Y175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R259" i="14"/>
  <c r="S14" i="14"/>
  <c r="R181" i="14"/>
  <c r="R179" i="14"/>
  <c r="R260" i="14"/>
  <c r="R177" i="14"/>
  <c r="R175" i="14"/>
  <c r="Q259" i="14"/>
  <c r="R14" i="14"/>
  <c r="Q181" i="14"/>
  <c r="Q179" i="14"/>
  <c r="Q177" i="14"/>
  <c r="Q260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O260" i="14"/>
  <c r="N259" i="14"/>
  <c r="O14" i="14"/>
  <c r="N181" i="14"/>
  <c r="N179" i="14"/>
  <c r="N260" i="14"/>
  <c r="N177" i="14"/>
  <c r="N175" i="14"/>
  <c r="M259" i="14"/>
  <c r="N14" i="14"/>
  <c r="M181" i="14"/>
  <c r="M179" i="14"/>
  <c r="M260" i="14"/>
  <c r="M177" i="14"/>
  <c r="M175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F259" i="14"/>
  <c r="G14" i="14"/>
  <c r="F181" i="14"/>
  <c r="F179" i="14"/>
  <c r="F260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177" i="15"/>
  <c r="AW260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P259" i="15"/>
  <c r="AQ14" i="15"/>
  <c r="AP181" i="15"/>
  <c r="AP179" i="15"/>
  <c r="AP260" i="15"/>
  <c r="AP177" i="15"/>
  <c r="AP175" i="15"/>
  <c r="AO259" i="15"/>
  <c r="AP14" i="15"/>
  <c r="AO181" i="15"/>
  <c r="AO179" i="15"/>
  <c r="AO177" i="15"/>
  <c r="AO260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175" i="15"/>
  <c r="AF14" i="15"/>
  <c r="AE259" i="15"/>
  <c r="AE181" i="15"/>
  <c r="AE179" i="15"/>
  <c r="AE177" i="15"/>
  <c r="AE175" i="15"/>
  <c r="AE260" i="15"/>
  <c r="AD259" i="15"/>
  <c r="AE14" i="15"/>
  <c r="AD181" i="15"/>
  <c r="AD179" i="15"/>
  <c r="AD177" i="15"/>
  <c r="AD175" i="15"/>
  <c r="AC259" i="15"/>
  <c r="AD14" i="15"/>
  <c r="AC181" i="15"/>
  <c r="AC179" i="15"/>
  <c r="AC260" i="15"/>
  <c r="AC177" i="15"/>
  <c r="AC175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Z259" i="15"/>
  <c r="AA14" i="15"/>
  <c r="Z181" i="15"/>
  <c r="Z179" i="15"/>
  <c r="Z260" i="15"/>
  <c r="Z177" i="15"/>
  <c r="Z175" i="15"/>
  <c r="Y259" i="15"/>
  <c r="Z14" i="15"/>
  <c r="Y181" i="15"/>
  <c r="Y179" i="15"/>
  <c r="Y177" i="15"/>
  <c r="Y260" i="15"/>
  <c r="Y175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R259" i="15"/>
  <c r="S14" i="15"/>
  <c r="R181" i="15"/>
  <c r="R179" i="15"/>
  <c r="R260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O260" i="15"/>
  <c r="N259" i="15"/>
  <c r="O14" i="15"/>
  <c r="N181" i="15"/>
  <c r="N179" i="15"/>
  <c r="N177" i="15"/>
  <c r="N175" i="15"/>
  <c r="M259" i="15"/>
  <c r="N14" i="15"/>
  <c r="M181" i="15"/>
  <c r="M179" i="15"/>
  <c r="M260" i="15"/>
  <c r="M177" i="15"/>
  <c r="M175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J259" i="15"/>
  <c r="K14" i="15"/>
  <c r="J181" i="15"/>
  <c r="J179" i="15"/>
  <c r="J260" i="15"/>
  <c r="J177" i="15"/>
  <c r="J175" i="15"/>
  <c r="I259" i="15"/>
  <c r="J14" i="15"/>
  <c r="I181" i="15"/>
  <c r="I179" i="15"/>
  <c r="I177" i="15"/>
  <c r="I260" i="15"/>
  <c r="I175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E259" i="15"/>
  <c r="F14" i="15"/>
  <c r="E181" i="15"/>
  <c r="E179" i="15"/>
  <c r="E177" i="15"/>
  <c r="E260" i="15"/>
  <c r="E175" i="15"/>
  <c r="E14" i="15"/>
  <c r="D259" i="15"/>
  <c r="D181" i="15"/>
  <c r="D179" i="15"/>
  <c r="D177" i="15"/>
  <c r="D175" i="15"/>
  <c r="D260" i="15"/>
  <c r="AZ14" i="16"/>
  <c r="AY259" i="16"/>
  <c r="AY181" i="16"/>
  <c r="AY179" i="16"/>
  <c r="AY177" i="16"/>
  <c r="AY175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177" i="16"/>
  <c r="AW260" i="16"/>
  <c r="AW175" i="16"/>
  <c r="AV259" i="16"/>
  <c r="AW14" i="16"/>
  <c r="AV181" i="16"/>
  <c r="AV179" i="16"/>
  <c r="AV177" i="16"/>
  <c r="AV175" i="16"/>
  <c r="AV14" i="16"/>
  <c r="AU259" i="16"/>
  <c r="AU181" i="16"/>
  <c r="AU179" i="16"/>
  <c r="AU177" i="16"/>
  <c r="AU175" i="16"/>
  <c r="AU260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260" i="16"/>
  <c r="AS177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N259" i="16"/>
  <c r="AO14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177" i="16"/>
  <c r="AL175" i="16"/>
  <c r="AK259" i="16"/>
  <c r="AL14" i="16"/>
  <c r="AK181" i="16"/>
  <c r="AK179" i="16"/>
  <c r="AK260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260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Z259" i="16"/>
  <c r="AA14" i="16"/>
  <c r="Z181" i="16"/>
  <c r="Z179" i="16"/>
  <c r="Z260" i="16"/>
  <c r="Z177" i="16"/>
  <c r="Z175" i="16"/>
  <c r="Y259" i="16"/>
  <c r="Z14" i="16"/>
  <c r="Y181" i="16"/>
  <c r="Y179" i="16"/>
  <c r="Y177" i="16"/>
  <c r="Y260" i="16"/>
  <c r="Y175" i="16"/>
  <c r="X259" i="16"/>
  <c r="Y14" i="16"/>
  <c r="X181" i="16"/>
  <c r="X179" i="16"/>
  <c r="X177" i="16"/>
  <c r="X175" i="16"/>
  <c r="X14" i="16"/>
  <c r="W259" i="16"/>
  <c r="W181" i="16"/>
  <c r="W179" i="16"/>
  <c r="W177" i="16"/>
  <c r="W175" i="16"/>
  <c r="W260" i="16"/>
  <c r="V259" i="16"/>
  <c r="W14" i="16"/>
  <c r="V181" i="16"/>
  <c r="V179" i="16"/>
  <c r="V177" i="16"/>
  <c r="V175" i="16"/>
  <c r="U259" i="16"/>
  <c r="V14" i="16"/>
  <c r="U181" i="16"/>
  <c r="U179" i="16"/>
  <c r="U260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R259" i="16"/>
  <c r="S14" i="16"/>
  <c r="R181" i="16"/>
  <c r="R179" i="16"/>
  <c r="R177" i="16"/>
  <c r="R175" i="16"/>
  <c r="Q259" i="16"/>
  <c r="R14" i="16"/>
  <c r="Q181" i="16"/>
  <c r="Q179" i="16"/>
  <c r="Q260" i="16"/>
  <c r="Q177" i="16"/>
  <c r="Q175" i="16"/>
  <c r="P259" i="16"/>
  <c r="Q14" i="16"/>
  <c r="P181" i="16"/>
  <c r="P179" i="16"/>
  <c r="P177" i="16"/>
  <c r="P175" i="16"/>
  <c r="P14" i="16"/>
  <c r="O259" i="16"/>
  <c r="O181" i="16"/>
  <c r="O179" i="16"/>
  <c r="O177" i="16"/>
  <c r="O175" i="16"/>
  <c r="O260" i="16"/>
  <c r="N259" i="16"/>
  <c r="O14" i="16"/>
  <c r="N181" i="16"/>
  <c r="N179" i="16"/>
  <c r="N177" i="16"/>
  <c r="N175" i="16"/>
  <c r="M259" i="16"/>
  <c r="N14" i="16"/>
  <c r="M181" i="16"/>
  <c r="M179" i="16"/>
  <c r="M260" i="16"/>
  <c r="M177" i="16"/>
  <c r="M175" i="16"/>
  <c r="M14" i="16"/>
  <c r="L259" i="16"/>
  <c r="L181" i="16"/>
  <c r="L179" i="16"/>
  <c r="L177" i="16"/>
  <c r="L175" i="16"/>
  <c r="L14" i="16"/>
  <c r="K259" i="16"/>
  <c r="K181" i="16"/>
  <c r="K179" i="16"/>
  <c r="K177" i="16"/>
  <c r="K175" i="16"/>
  <c r="J259" i="16"/>
  <c r="K14" i="16"/>
  <c r="J181" i="16"/>
  <c r="J179" i="16"/>
  <c r="J260" i="16"/>
  <c r="J177" i="16"/>
  <c r="J175" i="16"/>
  <c r="I259" i="16"/>
  <c r="J14" i="16"/>
  <c r="I181" i="16"/>
  <c r="I179" i="16"/>
  <c r="I177" i="16"/>
  <c r="I260" i="16"/>
  <c r="I175" i="16"/>
  <c r="H259" i="16"/>
  <c r="I14" i="16"/>
  <c r="H181" i="16"/>
  <c r="H179" i="16"/>
  <c r="H177" i="16"/>
  <c r="H175" i="16"/>
  <c r="H14" i="16"/>
  <c r="G259" i="16"/>
  <c r="G181" i="16"/>
  <c r="G260" i="16"/>
  <c r="G179" i="16"/>
  <c r="G177" i="16"/>
  <c r="G175" i="16"/>
  <c r="F259" i="16"/>
  <c r="G14" i="16"/>
  <c r="F181" i="16"/>
  <c r="F179" i="16"/>
  <c r="F260" i="16"/>
  <c r="F177" i="16"/>
  <c r="F175" i="16"/>
  <c r="E259" i="16"/>
  <c r="F14" i="16"/>
  <c r="E181" i="16"/>
  <c r="E179" i="16"/>
  <c r="E177" i="16"/>
  <c r="E260" i="16"/>
  <c r="E175" i="16"/>
  <c r="D259" i="16"/>
  <c r="E14" i="16"/>
  <c r="D181" i="16"/>
  <c r="D179" i="16"/>
  <c r="D177" i="16"/>
  <c r="D175" i="16"/>
  <c r="AY14" i="17"/>
  <c r="AY10" i="17"/>
  <c r="AY15" i="17"/>
  <c r="AY16" i="17"/>
  <c r="AY13" i="17"/>
  <c r="AY17" i="17"/>
  <c r="AY29" i="17"/>
  <c r="AX14" i="17"/>
  <c r="AX10" i="17"/>
  <c r="AX15" i="17"/>
  <c r="AX16" i="17"/>
  <c r="AX13" i="17"/>
  <c r="AX17" i="17"/>
  <c r="AX29" i="17"/>
  <c r="AW14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0" i="17"/>
  <c r="AT15" i="17"/>
  <c r="AT16" i="17"/>
  <c r="AT13" i="17"/>
  <c r="AT17" i="17"/>
  <c r="AT29" i="17"/>
  <c r="AS14" i="17"/>
  <c r="AS15" i="17"/>
  <c r="AS16" i="17"/>
  <c r="AS17" i="17"/>
  <c r="AS21" i="17"/>
  <c r="AS29" i="17"/>
  <c r="AR14" i="17"/>
  <c r="AR15" i="17"/>
  <c r="AR16" i="17"/>
  <c r="AR10" i="17"/>
  <c r="AR13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0" i="17"/>
  <c r="AP13" i="17"/>
  <c r="AP17" i="17"/>
  <c r="AP29" i="17"/>
  <c r="AO14" i="17"/>
  <c r="AO15" i="17"/>
  <c r="AO16" i="17"/>
  <c r="AO10" i="17"/>
  <c r="AO13" i="17"/>
  <c r="AO17" i="17"/>
  <c r="AO29" i="17"/>
  <c r="AN16" i="17"/>
  <c r="AN21" i="17"/>
  <c r="AN22" i="17"/>
  <c r="AN29" i="17"/>
  <c r="AN44" i="17"/>
  <c r="AN55" i="17"/>
  <c r="AN61" i="17"/>
  <c r="AM14" i="17"/>
  <c r="AN15" i="17"/>
  <c r="AM15" i="17"/>
  <c r="AM16" i="17"/>
  <c r="AM17" i="17"/>
  <c r="AM21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1" i="17"/>
  <c r="AI29" i="17"/>
  <c r="AH14" i="17"/>
  <c r="AH15" i="17"/>
  <c r="AH16" i="17"/>
  <c r="AH10" i="17"/>
  <c r="AH13" i="17"/>
  <c r="AH17" i="17"/>
  <c r="AH29" i="17"/>
  <c r="AG14" i="17"/>
  <c r="AG15" i="17"/>
  <c r="AG16" i="17"/>
  <c r="AG10" i="17"/>
  <c r="AG13" i="17"/>
  <c r="AG17" i="17"/>
  <c r="AG29" i="17"/>
  <c r="AF14" i="17"/>
  <c r="AF10" i="17"/>
  <c r="AF15" i="17"/>
  <c r="AF16" i="17"/>
  <c r="AF13" i="17"/>
  <c r="AG21" i="17"/>
  <c r="AG44" i="17"/>
  <c r="AF17" i="17"/>
  <c r="AF29" i="17"/>
  <c r="AE14" i="17"/>
  <c r="AE10" i="17"/>
  <c r="AE15" i="17"/>
  <c r="AE16" i="17"/>
  <c r="AE13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0" i="17"/>
  <c r="AB13" i="17"/>
  <c r="AB15" i="17"/>
  <c r="AB16" i="17"/>
  <c r="AB17" i="17"/>
  <c r="AB29" i="17"/>
  <c r="AA14" i="17"/>
  <c r="AA10" i="17"/>
  <c r="AA15" i="17"/>
  <c r="AA16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0" i="17"/>
  <c r="X13" i="17"/>
  <c r="X15" i="17"/>
  <c r="X16" i="17"/>
  <c r="X17" i="17"/>
  <c r="X29" i="17"/>
  <c r="W17" i="17"/>
  <c r="W21" i="17"/>
  <c r="W22" i="17"/>
  <c r="W23" i="17"/>
  <c r="W29" i="17"/>
  <c r="W33" i="17"/>
  <c r="W39" i="17"/>
  <c r="W44" i="17"/>
  <c r="W45" i="17"/>
  <c r="W51" i="17"/>
  <c r="W50" i="17"/>
  <c r="W55" i="17"/>
  <c r="W56" i="17"/>
  <c r="W62" i="17"/>
  <c r="V14" i="17"/>
  <c r="V15" i="17"/>
  <c r="W16" i="17"/>
  <c r="V16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T17" i="17"/>
  <c r="T29" i="17"/>
  <c r="S14" i="17"/>
  <c r="S15" i="17"/>
  <c r="S16" i="17"/>
  <c r="S10" i="17"/>
  <c r="S13" i="17"/>
  <c r="T21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0" i="17"/>
  <c r="P13" i="17"/>
  <c r="P17" i="17"/>
  <c r="P29" i="17"/>
  <c r="O14" i="17"/>
  <c r="O15" i="17"/>
  <c r="O16" i="17"/>
  <c r="O10" i="17"/>
  <c r="O13" i="17"/>
  <c r="O17" i="17"/>
  <c r="O29" i="17"/>
  <c r="N14" i="17"/>
  <c r="N10" i="17"/>
  <c r="N15" i="17"/>
  <c r="N16" i="17"/>
  <c r="N13" i="17"/>
  <c r="O21" i="17"/>
  <c r="O55" i="17"/>
  <c r="N17" i="17"/>
  <c r="N29" i="17"/>
  <c r="M14" i="17"/>
  <c r="M10" i="17"/>
  <c r="M13" i="17"/>
  <c r="M15" i="17"/>
  <c r="M16" i="17"/>
  <c r="M17" i="17"/>
  <c r="M29" i="17"/>
  <c r="L14" i="17"/>
  <c r="L15" i="17"/>
  <c r="L16" i="17"/>
  <c r="L10" i="17"/>
  <c r="L13" i="17"/>
  <c r="L17" i="17"/>
  <c r="L29" i="17"/>
  <c r="K14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6" i="17"/>
  <c r="I17" i="17"/>
  <c r="I29" i="17"/>
  <c r="H14" i="17"/>
  <c r="H15" i="17"/>
  <c r="H16" i="17"/>
  <c r="H10" i="17"/>
  <c r="H13" i="17"/>
  <c r="H17" i="17"/>
  <c r="H29" i="17"/>
  <c r="G15" i="17"/>
  <c r="G17" i="17"/>
  <c r="G21" i="17"/>
  <c r="G22" i="17"/>
  <c r="G34" i="17"/>
  <c r="G23" i="17"/>
  <c r="G24" i="17"/>
  <c r="G29" i="17"/>
  <c r="G33" i="17"/>
  <c r="G35" i="17"/>
  <c r="G39" i="17"/>
  <c r="G40" i="17"/>
  <c r="G44" i="17"/>
  <c r="G45" i="17"/>
  <c r="G51" i="17"/>
  <c r="G46" i="17"/>
  <c r="G50" i="17"/>
  <c r="G55" i="17"/>
  <c r="G61" i="17"/>
  <c r="G56" i="17"/>
  <c r="G62" i="17"/>
  <c r="G57" i="17"/>
  <c r="F14" i="17"/>
  <c r="F15" i="17"/>
  <c r="F16" i="17"/>
  <c r="F17" i="17"/>
  <c r="F29" i="17"/>
  <c r="E14" i="17"/>
  <c r="E10" i="17"/>
  <c r="E13" i="17"/>
  <c r="E15" i="17"/>
  <c r="E16" i="17"/>
  <c r="E17" i="17"/>
  <c r="E29" i="17"/>
  <c r="D14" i="17"/>
  <c r="D15" i="17"/>
  <c r="D10" i="17"/>
  <c r="D16" i="17"/>
  <c r="D17" i="17"/>
  <c r="D27" i="17"/>
  <c r="E27" i="17"/>
  <c r="D29" i="17"/>
  <c r="D30" i="17"/>
  <c r="AY14" i="18"/>
  <c r="AY15" i="18"/>
  <c r="AY16" i="18"/>
  <c r="AY10" i="18"/>
  <c r="AY13" i="18"/>
  <c r="AY17" i="18"/>
  <c r="AY29" i="18"/>
  <c r="AX14" i="18"/>
  <c r="AX15" i="18"/>
  <c r="AX16" i="18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0" i="18"/>
  <c r="AT15" i="18"/>
  <c r="AT16" i="18"/>
  <c r="AT13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7" i="18"/>
  <c r="R29" i="18"/>
  <c r="Q14" i="18"/>
  <c r="Q15" i="18"/>
  <c r="Q16" i="18"/>
  <c r="Q10" i="18"/>
  <c r="Q13" i="18"/>
  <c r="Q17" i="18"/>
  <c r="Q29" i="18"/>
  <c r="P14" i="18"/>
  <c r="P15" i="18"/>
  <c r="P10" i="18"/>
  <c r="P13" i="18"/>
  <c r="P16" i="18"/>
  <c r="P17" i="18"/>
  <c r="P29" i="18"/>
  <c r="O14" i="18"/>
  <c r="O15" i="18"/>
  <c r="O16" i="18"/>
  <c r="O10" i="18"/>
  <c r="O13" i="18"/>
  <c r="O17" i="18"/>
  <c r="O29" i="18"/>
  <c r="N21" i="18"/>
  <c r="N23" i="18"/>
  <c r="N22" i="18"/>
  <c r="N24" i="18"/>
  <c r="N29" i="18"/>
  <c r="N33" i="18"/>
  <c r="M14" i="18"/>
  <c r="M10" i="18"/>
  <c r="M13" i="18"/>
  <c r="N14" i="18"/>
  <c r="M15" i="18"/>
  <c r="N16" i="18"/>
  <c r="M16" i="18"/>
  <c r="N17" i="18"/>
  <c r="M17" i="18"/>
  <c r="M29" i="18"/>
  <c r="L14" i="18"/>
  <c r="L10" i="18"/>
  <c r="L13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0" i="18"/>
  <c r="J13" i="18"/>
  <c r="J15" i="18"/>
  <c r="J16" i="18"/>
  <c r="J17" i="18"/>
  <c r="J29" i="18"/>
  <c r="I14" i="18"/>
  <c r="I10" i="18"/>
  <c r="I13" i="18"/>
  <c r="I15" i="18"/>
  <c r="I16" i="18"/>
  <c r="I17" i="18"/>
  <c r="I29" i="18"/>
  <c r="H14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5" i="18"/>
  <c r="F16" i="18"/>
  <c r="F17" i="18"/>
  <c r="F29" i="18"/>
  <c r="E14" i="18"/>
  <c r="E10" i="18"/>
  <c r="E13" i="18"/>
  <c r="E15" i="18"/>
  <c r="E16" i="18"/>
  <c r="E17" i="18"/>
  <c r="E29" i="18"/>
  <c r="D14" i="18"/>
  <c r="D15" i="18"/>
  <c r="D16" i="18"/>
  <c r="D17" i="18"/>
  <c r="D27" i="18"/>
  <c r="E27" i="18"/>
  <c r="D29" i="18"/>
  <c r="D30" i="18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F21" i="18"/>
  <c r="J21" i="18"/>
  <c r="J22" i="18"/>
  <c r="N21" i="17"/>
  <c r="N22" i="17"/>
  <c r="Z22" i="17"/>
  <c r="Z21" i="17"/>
  <c r="D21" i="18"/>
  <c r="B22" i="18"/>
  <c r="D22" i="18"/>
  <c r="K21" i="18"/>
  <c r="R21" i="17"/>
  <c r="R22" i="17"/>
  <c r="S21" i="17"/>
  <c r="Y21" i="17"/>
  <c r="Y22" i="17"/>
  <c r="AD22" i="17"/>
  <c r="AD21" i="17"/>
  <c r="AG50" i="17"/>
  <c r="D10" i="18"/>
  <c r="F10" i="18"/>
  <c r="F13" i="18"/>
  <c r="H10" i="18"/>
  <c r="H13" i="18"/>
  <c r="L21" i="18"/>
  <c r="L22" i="18"/>
  <c r="Q21" i="18"/>
  <c r="AC21" i="17"/>
  <c r="AC22" i="17"/>
  <c r="H21" i="18"/>
  <c r="F21" i="17"/>
  <c r="F22" i="17"/>
  <c r="V21" i="17"/>
  <c r="F27" i="18"/>
  <c r="E30" i="18"/>
  <c r="AZ17" i="18"/>
  <c r="M21" i="18"/>
  <c r="M22" i="18"/>
  <c r="O61" i="17"/>
  <c r="AM22" i="17"/>
  <c r="P21" i="18"/>
  <c r="AU21" i="18"/>
  <c r="AU22" i="18"/>
  <c r="F27" i="17"/>
  <c r="E30" i="17"/>
  <c r="T33" i="17"/>
  <c r="T44" i="17"/>
  <c r="AI23" i="17"/>
  <c r="AI33" i="17"/>
  <c r="AI44" i="17"/>
  <c r="AI55" i="17"/>
  <c r="AM23" i="17"/>
  <c r="AM33" i="17"/>
  <c r="AM44" i="17"/>
  <c r="AM55" i="17"/>
  <c r="AR21" i="17"/>
  <c r="AS23" i="17"/>
  <c r="AS33" i="17"/>
  <c r="AS55" i="17"/>
  <c r="AS44" i="17"/>
  <c r="N56" i="18"/>
  <c r="N62" i="18"/>
  <c r="N39" i="18"/>
  <c r="N15" i="18"/>
  <c r="N10" i="18"/>
  <c r="N13" i="18"/>
  <c r="R10" i="18"/>
  <c r="R13" i="18"/>
  <c r="U10" i="18"/>
  <c r="U13" i="18"/>
  <c r="X10" i="18"/>
  <c r="X13" i="18"/>
  <c r="AA10" i="18"/>
  <c r="AA13" i="18"/>
  <c r="AB10" i="18"/>
  <c r="AB13" i="18"/>
  <c r="AE10" i="18"/>
  <c r="AE13" i="18"/>
  <c r="AF10" i="18"/>
  <c r="AF13" i="18"/>
  <c r="AH10" i="18"/>
  <c r="AH13" i="18"/>
  <c r="AI10" i="18"/>
  <c r="AI13" i="18"/>
  <c r="AL10" i="18"/>
  <c r="AL13" i="18"/>
  <c r="AN10" i="18"/>
  <c r="AN13" i="18"/>
  <c r="AP10" i="18"/>
  <c r="AP13" i="18"/>
  <c r="AR10" i="18"/>
  <c r="AR13" i="18"/>
  <c r="K21" i="17"/>
  <c r="K22" i="17"/>
  <c r="K10" i="17"/>
  <c r="K13" i="17"/>
  <c r="O22" i="17"/>
  <c r="T55" i="17"/>
  <c r="T23" i="17"/>
  <c r="W15" i="17"/>
  <c r="V10" i="17"/>
  <c r="V13" i="17"/>
  <c r="W14" i="17"/>
  <c r="W10" i="17"/>
  <c r="W13" i="17"/>
  <c r="AH22" i="17"/>
  <c r="AL22" i="17"/>
  <c r="AL21" i="17"/>
  <c r="AN56" i="17"/>
  <c r="AN62" i="17"/>
  <c r="AN24" i="17"/>
  <c r="AN45" i="17"/>
  <c r="AN51" i="17"/>
  <c r="AN34" i="17"/>
  <c r="AN40" i="17"/>
  <c r="AP22" i="17"/>
  <c r="N55" i="18"/>
  <c r="N45" i="18"/>
  <c r="N51" i="18"/>
  <c r="R21" i="18"/>
  <c r="AV21" i="18"/>
  <c r="AV22" i="18"/>
  <c r="AV10" i="18"/>
  <c r="AV13" i="18"/>
  <c r="I21" i="17"/>
  <c r="I22" i="17"/>
  <c r="I10" i="17"/>
  <c r="I13" i="17"/>
  <c r="M21" i="17"/>
  <c r="M22" i="17"/>
  <c r="T22" i="17"/>
  <c r="AH21" i="17"/>
  <c r="AK21" i="17"/>
  <c r="AK22" i="17"/>
  <c r="AN46" i="17"/>
  <c r="AN50" i="17"/>
  <c r="D13" i="17"/>
  <c r="O33" i="17"/>
  <c r="O44" i="17"/>
  <c r="O23" i="17"/>
  <c r="U21" i="17"/>
  <c r="U22" i="17"/>
  <c r="AG33" i="17"/>
  <c r="AG23" i="17"/>
  <c r="AG55" i="17"/>
  <c r="AQ21" i="17"/>
  <c r="AQ22" i="17"/>
  <c r="B22" i="17"/>
  <c r="D21" i="17"/>
  <c r="AP21" i="17"/>
  <c r="S10" i="18"/>
  <c r="S13" i="18"/>
  <c r="T10" i="18"/>
  <c r="T13" i="18"/>
  <c r="V10" i="18"/>
  <c r="V13" i="18"/>
  <c r="W10" i="18"/>
  <c r="W13" i="18"/>
  <c r="Y10" i="18"/>
  <c r="Y13" i="18"/>
  <c r="Z10" i="18"/>
  <c r="Z13" i="18"/>
  <c r="AC10" i="18"/>
  <c r="AC13" i="18"/>
  <c r="AD10" i="18"/>
  <c r="AD13" i="18"/>
  <c r="AG10" i="18"/>
  <c r="AG13" i="18"/>
  <c r="AJ10" i="18"/>
  <c r="AJ13" i="18"/>
  <c r="AK10" i="18"/>
  <c r="AK13" i="18"/>
  <c r="AM10" i="18"/>
  <c r="AM13" i="18"/>
  <c r="AO10" i="18"/>
  <c r="AO13" i="18"/>
  <c r="AQ10" i="18"/>
  <c r="AQ13" i="18"/>
  <c r="AX21" i="18"/>
  <c r="AX22" i="18"/>
  <c r="AX10" i="18"/>
  <c r="AX13" i="18"/>
  <c r="N44" i="18"/>
  <c r="N34" i="18"/>
  <c r="N40" i="18"/>
  <c r="AT21" i="18"/>
  <c r="G16" i="17"/>
  <c r="F10" i="17"/>
  <c r="F13" i="17"/>
  <c r="G14" i="17"/>
  <c r="G10" i="17"/>
  <c r="G13" i="17"/>
  <c r="P21" i="17"/>
  <c r="Q21" i="17"/>
  <c r="Q22" i="17"/>
  <c r="W57" i="17"/>
  <c r="W61" i="17"/>
  <c r="AG22" i="17"/>
  <c r="AW22" i="17"/>
  <c r="AW21" i="17"/>
  <c r="W46" i="17"/>
  <c r="AA21" i="17"/>
  <c r="AA22" i="17"/>
  <c r="AE21" i="17"/>
  <c r="AE22" i="17"/>
  <c r="L260" i="16"/>
  <c r="P260" i="16"/>
  <c r="AR260" i="14"/>
  <c r="AV260" i="14"/>
  <c r="W24" i="17"/>
  <c r="W34" i="17"/>
  <c r="AB21" i="17"/>
  <c r="AB22" i="17"/>
  <c r="AF21" i="17"/>
  <c r="AF22" i="17"/>
  <c r="AJ21" i="17"/>
  <c r="AN17" i="17"/>
  <c r="AZ17" i="17"/>
  <c r="AM10" i="17"/>
  <c r="AM13" i="17"/>
  <c r="AN14" i="17"/>
  <c r="AN10" i="17"/>
  <c r="AN13" i="17"/>
  <c r="AN57" i="17"/>
  <c r="AS22" i="17"/>
  <c r="AY21" i="17"/>
  <c r="AY22" i="17"/>
  <c r="AL260" i="16"/>
  <c r="AL260" i="15"/>
  <c r="AN23" i="17"/>
  <c r="AN33" i="17"/>
  <c r="V260" i="16"/>
  <c r="AB260" i="15"/>
  <c r="AF260" i="15"/>
  <c r="AT260" i="15"/>
  <c r="AY260" i="15"/>
  <c r="G260" i="14"/>
  <c r="AU22" i="17"/>
  <c r="AU21" i="17"/>
  <c r="R260" i="16"/>
  <c r="AX260" i="14"/>
  <c r="T11" i="20"/>
  <c r="AS10" i="17"/>
  <c r="AS13" i="17"/>
  <c r="AU10" i="17"/>
  <c r="AU13" i="17"/>
  <c r="AW10" i="17"/>
  <c r="AW13" i="17"/>
  <c r="D260" i="16"/>
  <c r="BA14" i="16"/>
  <c r="AR260" i="16"/>
  <c r="AV260" i="16"/>
  <c r="AY260" i="16"/>
  <c r="G260" i="15"/>
  <c r="N260" i="15"/>
  <c r="D259" i="14"/>
  <c r="AZ259" i="14"/>
  <c r="BA14" i="14"/>
  <c r="L260" i="14"/>
  <c r="P260" i="14"/>
  <c r="S260" i="14"/>
  <c r="W260" i="14"/>
  <c r="AD260" i="14"/>
  <c r="T19" i="20"/>
  <c r="AZ259" i="16"/>
  <c r="N260" i="16"/>
  <c r="AZ259" i="15"/>
  <c r="L260" i="15"/>
  <c r="P260" i="15"/>
  <c r="AD260" i="15"/>
  <c r="AB260" i="14"/>
  <c r="AF260" i="14"/>
  <c r="AT260" i="14"/>
  <c r="H260" i="16"/>
  <c r="K260" i="16"/>
  <c r="X260" i="16"/>
  <c r="AA260" i="16"/>
  <c r="AN260" i="16"/>
  <c r="AQ260" i="16"/>
  <c r="H260" i="15"/>
  <c r="K260" i="15"/>
  <c r="X260" i="15"/>
  <c r="AZ260" i="15"/>
  <c r="AA260" i="15"/>
  <c r="AN260" i="15"/>
  <c r="AQ260" i="15"/>
  <c r="H260" i="14"/>
  <c r="K260" i="14"/>
  <c r="AZ260" i="14"/>
  <c r="X260" i="14"/>
  <c r="AA260" i="14"/>
  <c r="AN260" i="14"/>
  <c r="AQ260" i="14"/>
  <c r="S36" i="20"/>
  <c r="T43" i="20"/>
  <c r="O21" i="18"/>
  <c r="O22" i="18"/>
  <c r="AJ23" i="17"/>
  <c r="AJ33" i="17"/>
  <c r="AJ55" i="17"/>
  <c r="AJ44" i="17"/>
  <c r="AE24" i="17"/>
  <c r="AE34" i="17"/>
  <c r="AE40" i="17"/>
  <c r="AE56" i="17"/>
  <c r="AE62" i="17"/>
  <c r="AE45" i="17"/>
  <c r="AE51" i="17"/>
  <c r="P33" i="17"/>
  <c r="P44" i="17"/>
  <c r="P55" i="17"/>
  <c r="P23" i="17"/>
  <c r="AX34" i="18"/>
  <c r="AX40" i="18"/>
  <c r="AX45" i="18"/>
  <c r="AX51" i="18"/>
  <c r="AX56" i="18"/>
  <c r="AX62" i="18"/>
  <c r="AX24" i="18"/>
  <c r="AN22" i="18"/>
  <c r="AN21" i="18"/>
  <c r="X22" i="18"/>
  <c r="X21" i="18"/>
  <c r="AQ23" i="17"/>
  <c r="AQ33" i="17"/>
  <c r="AQ44" i="17"/>
  <c r="AQ55" i="17"/>
  <c r="U24" i="17"/>
  <c r="U34" i="17"/>
  <c r="U40" i="17"/>
  <c r="U45" i="17"/>
  <c r="U51" i="17"/>
  <c r="U56" i="17"/>
  <c r="U62" i="17"/>
  <c r="T24" i="17"/>
  <c r="T34" i="17"/>
  <c r="T40" i="17"/>
  <c r="T45" i="17"/>
  <c r="T51" i="17"/>
  <c r="T56" i="17"/>
  <c r="T62" i="17"/>
  <c r="AV34" i="18"/>
  <c r="AV40" i="18"/>
  <c r="AV45" i="18"/>
  <c r="AV51" i="18"/>
  <c r="AV56" i="18"/>
  <c r="AV62" i="18"/>
  <c r="AV24" i="18"/>
  <c r="N61" i="18"/>
  <c r="N57" i="18"/>
  <c r="AH24" i="17"/>
  <c r="AH34" i="17"/>
  <c r="AH40" i="17"/>
  <c r="AH45" i="17"/>
  <c r="AH51" i="17"/>
  <c r="AH56" i="17"/>
  <c r="AH62" i="17"/>
  <c r="T61" i="17"/>
  <c r="K44" i="17"/>
  <c r="K55" i="17"/>
  <c r="K23" i="17"/>
  <c r="K33" i="17"/>
  <c r="AF22" i="18"/>
  <c r="AF21" i="18"/>
  <c r="V22" i="18"/>
  <c r="V21" i="18"/>
  <c r="AS39" i="17"/>
  <c r="AM61" i="17"/>
  <c r="T50" i="17"/>
  <c r="T46" i="17"/>
  <c r="AU34" i="18"/>
  <c r="AU40" i="18"/>
  <c r="AU24" i="18"/>
  <c r="AU45" i="18"/>
  <c r="AU51" i="18"/>
  <c r="AU56" i="18"/>
  <c r="AU62" i="18"/>
  <c r="AM56" i="17"/>
  <c r="AM62" i="17"/>
  <c r="AM24" i="17"/>
  <c r="AM45" i="17"/>
  <c r="AM51" i="17"/>
  <c r="AM34" i="17"/>
  <c r="AM40" i="17"/>
  <c r="F34" i="17"/>
  <c r="F40" i="17"/>
  <c r="F45" i="17"/>
  <c r="F51" i="17"/>
  <c r="F56" i="17"/>
  <c r="F62" i="17"/>
  <c r="F24" i="17"/>
  <c r="AC24" i="17"/>
  <c r="AC34" i="17"/>
  <c r="AC40" i="17"/>
  <c r="AC45" i="17"/>
  <c r="AC51" i="17"/>
  <c r="AC56" i="17"/>
  <c r="AC62" i="17"/>
  <c r="L34" i="18"/>
  <c r="L40" i="18"/>
  <c r="L45" i="18"/>
  <c r="L51" i="18"/>
  <c r="L56" i="18"/>
  <c r="L62" i="18"/>
  <c r="L24" i="18"/>
  <c r="AZ10" i="18"/>
  <c r="D13" i="18"/>
  <c r="AD24" i="17"/>
  <c r="AD34" i="17"/>
  <c r="AD40" i="17"/>
  <c r="AD45" i="17"/>
  <c r="AD51" i="17"/>
  <c r="AD56" i="17"/>
  <c r="AD62" i="17"/>
  <c r="S33" i="17"/>
  <c r="S44" i="17"/>
  <c r="S23" i="17"/>
  <c r="S55" i="17"/>
  <c r="K44" i="18"/>
  <c r="K55" i="18"/>
  <c r="K23" i="18"/>
  <c r="K33" i="18"/>
  <c r="J34" i="18"/>
  <c r="J40" i="18"/>
  <c r="J56" i="18"/>
  <c r="J62" i="18"/>
  <c r="J24" i="18"/>
  <c r="J45" i="18"/>
  <c r="J51" i="18"/>
  <c r="AF24" i="17"/>
  <c r="AF34" i="17"/>
  <c r="AF40" i="17"/>
  <c r="AF56" i="17"/>
  <c r="AF62" i="17"/>
  <c r="AF45" i="17"/>
  <c r="AF51" i="17"/>
  <c r="W40" i="17"/>
  <c r="W35" i="17"/>
  <c r="AE33" i="17"/>
  <c r="AE44" i="17"/>
  <c r="AE55" i="17"/>
  <c r="AE23" i="17"/>
  <c r="AW55" i="17"/>
  <c r="AW33" i="17"/>
  <c r="AW44" i="17"/>
  <c r="AW23" i="17"/>
  <c r="AL22" i="18"/>
  <c r="AL21" i="18"/>
  <c r="AD22" i="18"/>
  <c r="AD21" i="18"/>
  <c r="D44" i="17"/>
  <c r="D23" i="17"/>
  <c r="D55" i="17"/>
  <c r="D33" i="17"/>
  <c r="U33" i="17"/>
  <c r="U44" i="17"/>
  <c r="U55" i="17"/>
  <c r="U23" i="17"/>
  <c r="E21" i="17"/>
  <c r="E22" i="17"/>
  <c r="M24" i="17"/>
  <c r="M34" i="17"/>
  <c r="M40" i="17"/>
  <c r="M56" i="17"/>
  <c r="M62" i="17"/>
  <c r="M45" i="17"/>
  <c r="M51" i="17"/>
  <c r="I44" i="17"/>
  <c r="I55" i="17"/>
  <c r="I23" i="17"/>
  <c r="I33" i="17"/>
  <c r="AP56" i="17"/>
  <c r="AP62" i="17"/>
  <c r="AP24" i="17"/>
  <c r="AP45" i="17"/>
  <c r="AP51" i="17"/>
  <c r="AP34" i="17"/>
  <c r="AP40" i="17"/>
  <c r="X21" i="17"/>
  <c r="X22" i="17"/>
  <c r="AS21" i="18"/>
  <c r="AS22" i="18"/>
  <c r="AJ22" i="18"/>
  <c r="AJ21" i="18"/>
  <c r="S22" i="18"/>
  <c r="S21" i="18"/>
  <c r="AM50" i="17"/>
  <c r="AI50" i="17"/>
  <c r="T35" i="17"/>
  <c r="T39" i="17"/>
  <c r="M44" i="18"/>
  <c r="M55" i="18"/>
  <c r="M23" i="18"/>
  <c r="M33" i="18"/>
  <c r="G27" i="18"/>
  <c r="F30" i="18"/>
  <c r="F44" i="17"/>
  <c r="F23" i="17"/>
  <c r="F33" i="17"/>
  <c r="F55" i="17"/>
  <c r="AC33" i="17"/>
  <c r="AC23" i="17"/>
  <c r="AC55" i="17"/>
  <c r="AC44" i="17"/>
  <c r="L44" i="18"/>
  <c r="L33" i="18"/>
  <c r="L55" i="18"/>
  <c r="L23" i="18"/>
  <c r="Y24" i="17"/>
  <c r="Y34" i="17"/>
  <c r="Y40" i="17"/>
  <c r="Y45" i="17"/>
  <c r="Y51" i="17"/>
  <c r="Y56" i="17"/>
  <c r="Y62" i="17"/>
  <c r="R24" i="17"/>
  <c r="R34" i="17"/>
  <c r="R40" i="17"/>
  <c r="R56" i="17"/>
  <c r="R62" i="17"/>
  <c r="R45" i="17"/>
  <c r="R51" i="17"/>
  <c r="D34" i="18"/>
  <c r="D40" i="18"/>
  <c r="D45" i="18"/>
  <c r="D51" i="18"/>
  <c r="D56" i="18"/>
  <c r="D62" i="18"/>
  <c r="D24" i="18"/>
  <c r="J44" i="18"/>
  <c r="J55" i="18"/>
  <c r="J23" i="18"/>
  <c r="J33" i="18"/>
  <c r="AT22" i="17"/>
  <c r="AT21" i="17"/>
  <c r="AU55" i="17"/>
  <c r="AU33" i="17"/>
  <c r="AU44" i="17"/>
  <c r="AU23" i="17"/>
  <c r="AN39" i="17"/>
  <c r="AN35" i="17"/>
  <c r="AY24" i="17"/>
  <c r="AY45" i="17"/>
  <c r="AY51" i="17"/>
  <c r="AY56" i="17"/>
  <c r="AY62" i="17"/>
  <c r="AY34" i="17"/>
  <c r="AY40" i="17"/>
  <c r="AO22" i="17"/>
  <c r="AO21" i="17"/>
  <c r="AF33" i="17"/>
  <c r="AF23" i="17"/>
  <c r="AF44" i="17"/>
  <c r="AF55" i="17"/>
  <c r="AA24" i="17"/>
  <c r="AA34" i="17"/>
  <c r="AA40" i="17"/>
  <c r="AA56" i="17"/>
  <c r="AA62" i="17"/>
  <c r="AA45" i="17"/>
  <c r="AA51" i="17"/>
  <c r="AW45" i="17"/>
  <c r="AW51" i="17"/>
  <c r="AW24" i="17"/>
  <c r="AW56" i="17"/>
  <c r="AW62" i="17"/>
  <c r="AW34" i="17"/>
  <c r="AW40" i="17"/>
  <c r="Q24" i="17"/>
  <c r="Q34" i="17"/>
  <c r="Q40" i="17"/>
  <c r="Q45" i="17"/>
  <c r="Q51" i="17"/>
  <c r="Q56" i="17"/>
  <c r="Q62" i="17"/>
  <c r="N46" i="18"/>
  <c r="N50" i="18"/>
  <c r="AR22" i="18"/>
  <c r="AR21" i="18"/>
  <c r="AK22" i="18"/>
  <c r="AK21" i="18"/>
  <c r="AA22" i="18"/>
  <c r="AA21" i="18"/>
  <c r="U22" i="18"/>
  <c r="U21" i="18"/>
  <c r="AI22" i="17"/>
  <c r="P22" i="17"/>
  <c r="D22" i="17"/>
  <c r="AJ22" i="17"/>
  <c r="AZ10" i="17"/>
  <c r="AK23" i="17"/>
  <c r="AK33" i="17"/>
  <c r="AK55" i="17"/>
  <c r="AK44" i="17"/>
  <c r="M33" i="17"/>
  <c r="M44" i="17"/>
  <c r="M55" i="17"/>
  <c r="M23" i="17"/>
  <c r="R23" i="18"/>
  <c r="R44" i="18"/>
  <c r="R55" i="18"/>
  <c r="R33" i="18"/>
  <c r="AL23" i="17"/>
  <c r="AL33" i="17"/>
  <c r="AL55" i="17"/>
  <c r="AL44" i="17"/>
  <c r="L21" i="17"/>
  <c r="L22" i="17"/>
  <c r="AQ22" i="18"/>
  <c r="AQ21" i="18"/>
  <c r="AI22" i="18"/>
  <c r="AI21" i="18"/>
  <c r="AB22" i="18"/>
  <c r="AB21" i="18"/>
  <c r="AS50" i="17"/>
  <c r="AR22" i="17"/>
  <c r="AM39" i="17"/>
  <c r="AM35" i="17"/>
  <c r="AI39" i="17"/>
  <c r="R22" i="18"/>
  <c r="V22" i="17"/>
  <c r="H22" i="18"/>
  <c r="Q22" i="18"/>
  <c r="I21" i="18"/>
  <c r="I22" i="18"/>
  <c r="Y33" i="17"/>
  <c r="Y23" i="17"/>
  <c r="Y55" i="17"/>
  <c r="Y44" i="17"/>
  <c r="R33" i="17"/>
  <c r="R44" i="17"/>
  <c r="R55" i="17"/>
  <c r="R23" i="17"/>
  <c r="D44" i="18"/>
  <c r="D23" i="18"/>
  <c r="D55" i="18"/>
  <c r="D33" i="18"/>
  <c r="N33" i="17"/>
  <c r="N44" i="17"/>
  <c r="N55" i="17"/>
  <c r="N23" i="17"/>
  <c r="F22" i="18"/>
  <c r="AX22" i="17"/>
  <c r="AX21" i="17"/>
  <c r="AS56" i="17"/>
  <c r="AS62" i="17"/>
  <c r="AS24" i="17"/>
  <c r="AS34" i="17"/>
  <c r="AS40" i="17"/>
  <c r="AS45" i="17"/>
  <c r="AS51" i="17"/>
  <c r="AB33" i="17"/>
  <c r="AB23" i="17"/>
  <c r="AB44" i="17"/>
  <c r="AB55" i="17"/>
  <c r="AT44" i="18"/>
  <c r="AT55" i="18"/>
  <c r="AT23" i="18"/>
  <c r="AT33" i="18"/>
  <c r="AE22" i="18"/>
  <c r="AE21" i="18"/>
  <c r="AP23" i="17"/>
  <c r="AP33" i="17"/>
  <c r="AP44" i="17"/>
  <c r="AP55" i="17"/>
  <c r="O39" i="17"/>
  <c r="O35" i="17"/>
  <c r="I34" i="17"/>
  <c r="I40" i="17"/>
  <c r="I45" i="17"/>
  <c r="I51" i="17"/>
  <c r="I56" i="17"/>
  <c r="I62" i="17"/>
  <c r="I24" i="17"/>
  <c r="AM22" i="18"/>
  <c r="AM21" i="18"/>
  <c r="AI61" i="17"/>
  <c r="M34" i="18"/>
  <c r="M40" i="18"/>
  <c r="M24" i="18"/>
  <c r="M45" i="18"/>
  <c r="M51" i="18"/>
  <c r="M56" i="18"/>
  <c r="M62" i="18"/>
  <c r="Z24" i="17"/>
  <c r="Z34" i="17"/>
  <c r="Z40" i="17"/>
  <c r="Z45" i="17"/>
  <c r="Z51" i="17"/>
  <c r="Z56" i="17"/>
  <c r="Z62" i="17"/>
  <c r="AV22" i="17"/>
  <c r="AV21" i="17"/>
  <c r="H21" i="17"/>
  <c r="H22" i="17"/>
  <c r="AX44" i="18"/>
  <c r="AX55" i="18"/>
  <c r="AX23" i="18"/>
  <c r="AX33" i="18"/>
  <c r="W22" i="18"/>
  <c r="W21" i="18"/>
  <c r="AG61" i="17"/>
  <c r="AK56" i="17"/>
  <c r="AK62" i="17"/>
  <c r="AK24" i="17"/>
  <c r="AK34" i="17"/>
  <c r="AK40" i="17"/>
  <c r="AK45" i="17"/>
  <c r="AK51" i="17"/>
  <c r="AV44" i="18"/>
  <c r="AV55" i="18"/>
  <c r="AV23" i="18"/>
  <c r="AV33" i="18"/>
  <c r="O24" i="17"/>
  <c r="O34" i="17"/>
  <c r="O40" i="17"/>
  <c r="O56" i="17"/>
  <c r="O45" i="17"/>
  <c r="O51" i="17"/>
  <c r="AC22" i="18"/>
  <c r="AC21" i="18"/>
  <c r="AU44" i="18"/>
  <c r="AU23" i="18"/>
  <c r="AU33" i="18"/>
  <c r="AU55" i="18"/>
  <c r="N24" i="17"/>
  <c r="N34" i="17"/>
  <c r="N40" i="17"/>
  <c r="N56" i="17"/>
  <c r="N62" i="17"/>
  <c r="N45" i="17"/>
  <c r="N51" i="17"/>
  <c r="AZ260" i="16"/>
  <c r="T45" i="20"/>
  <c r="AU45" i="17"/>
  <c r="AU51" i="17"/>
  <c r="AU24" i="17"/>
  <c r="AU56" i="17"/>
  <c r="AU62" i="17"/>
  <c r="AU34" i="17"/>
  <c r="AU40" i="17"/>
  <c r="AY33" i="17"/>
  <c r="AY55" i="17"/>
  <c r="AY44" i="17"/>
  <c r="AY23" i="17"/>
  <c r="AB24" i="17"/>
  <c r="AB34" i="17"/>
  <c r="AB40" i="17"/>
  <c r="AB56" i="17"/>
  <c r="AB62" i="17"/>
  <c r="AB45" i="17"/>
  <c r="AB51" i="17"/>
  <c r="AA33" i="17"/>
  <c r="AA44" i="17"/>
  <c r="AA55" i="17"/>
  <c r="AA23" i="17"/>
  <c r="AG24" i="17"/>
  <c r="AG34" i="17"/>
  <c r="AG40" i="17"/>
  <c r="AG45" i="17"/>
  <c r="AG56" i="17"/>
  <c r="AG62" i="17"/>
  <c r="Q33" i="17"/>
  <c r="Q44" i="17"/>
  <c r="Q55" i="17"/>
  <c r="Q23" i="17"/>
  <c r="AT22" i="18"/>
  <c r="AY21" i="18"/>
  <c r="AY22" i="18"/>
  <c r="AP22" i="18"/>
  <c r="AP21" i="18"/>
  <c r="AH22" i="18"/>
  <c r="AH21" i="18"/>
  <c r="Z22" i="18"/>
  <c r="Z21" i="18"/>
  <c r="T22" i="18"/>
  <c r="T21" i="18"/>
  <c r="AQ56" i="17"/>
  <c r="AQ62" i="17"/>
  <c r="AQ24" i="17"/>
  <c r="AQ45" i="17"/>
  <c r="AQ51" i="17"/>
  <c r="AQ34" i="17"/>
  <c r="AQ40" i="17"/>
  <c r="AG35" i="17"/>
  <c r="AG39" i="17"/>
  <c r="O50" i="17"/>
  <c r="AH33" i="17"/>
  <c r="AH44" i="17"/>
  <c r="AH55" i="17"/>
  <c r="AH23" i="17"/>
  <c r="J21" i="17"/>
  <c r="J22" i="17"/>
  <c r="AW21" i="18"/>
  <c r="AW22" i="18"/>
  <c r="AL56" i="17"/>
  <c r="AL62" i="17"/>
  <c r="AL24" i="17"/>
  <c r="AL45" i="17"/>
  <c r="AL51" i="17"/>
  <c r="AL34" i="17"/>
  <c r="AL40" i="17"/>
  <c r="K34" i="17"/>
  <c r="K40" i="17"/>
  <c r="K45" i="17"/>
  <c r="K51" i="17"/>
  <c r="K56" i="17"/>
  <c r="K62" i="17"/>
  <c r="K24" i="17"/>
  <c r="AO22" i="18"/>
  <c r="AO21" i="18"/>
  <c r="AG22" i="18"/>
  <c r="AG21" i="18"/>
  <c r="Y22" i="18"/>
  <c r="Y21" i="18"/>
  <c r="AS61" i="17"/>
  <c r="AR23" i="17"/>
  <c r="AR33" i="17"/>
  <c r="AR55" i="17"/>
  <c r="AR44" i="17"/>
  <c r="G27" i="17"/>
  <c r="F30" i="17"/>
  <c r="P23" i="18"/>
  <c r="P33" i="18"/>
  <c r="P44" i="18"/>
  <c r="P55" i="18"/>
  <c r="P22" i="18"/>
  <c r="N35" i="18"/>
  <c r="V33" i="17"/>
  <c r="V44" i="17"/>
  <c r="V55" i="17"/>
  <c r="V23" i="17"/>
  <c r="H44" i="18"/>
  <c r="H55" i="18"/>
  <c r="H23" i="18"/>
  <c r="H33" i="18"/>
  <c r="Q23" i="18"/>
  <c r="Q33" i="18"/>
  <c r="Q55" i="18"/>
  <c r="Q44" i="18"/>
  <c r="G21" i="18"/>
  <c r="G22" i="18"/>
  <c r="AD33" i="17"/>
  <c r="AD44" i="17"/>
  <c r="AD55" i="17"/>
  <c r="AD23" i="17"/>
  <c r="S22" i="17"/>
  <c r="K22" i="18"/>
  <c r="Z33" i="17"/>
  <c r="Z44" i="17"/>
  <c r="Z55" i="17"/>
  <c r="Z23" i="17"/>
  <c r="F44" i="18"/>
  <c r="F55" i="18"/>
  <c r="F23" i="18"/>
  <c r="F33" i="18"/>
  <c r="Z50" i="17"/>
  <c r="Z46" i="17"/>
  <c r="Q39" i="18"/>
  <c r="V50" i="17"/>
  <c r="Y55" i="18"/>
  <c r="Y23" i="18"/>
  <c r="Y44" i="18"/>
  <c r="Y33" i="18"/>
  <c r="J34" i="17"/>
  <c r="J40" i="17"/>
  <c r="J24" i="17"/>
  <c r="J56" i="17"/>
  <c r="J62" i="17"/>
  <c r="J45" i="17"/>
  <c r="J51" i="17"/>
  <c r="Z55" i="18"/>
  <c r="Z23" i="18"/>
  <c r="Z44" i="18"/>
  <c r="Z33" i="18"/>
  <c r="AP55" i="18"/>
  <c r="AP23" i="18"/>
  <c r="AP44" i="18"/>
  <c r="AP33" i="18"/>
  <c r="Q35" i="17"/>
  <c r="Q39" i="17"/>
  <c r="AA39" i="17"/>
  <c r="AA35" i="17"/>
  <c r="AY35" i="17"/>
  <c r="AY39" i="17"/>
  <c r="AC45" i="18"/>
  <c r="AC51" i="18"/>
  <c r="AC56" i="18"/>
  <c r="AC62" i="18"/>
  <c r="AC24" i="18"/>
  <c r="AC34" i="18"/>
  <c r="AC40" i="18"/>
  <c r="AV50" i="18"/>
  <c r="AV46" i="18"/>
  <c r="W45" i="18"/>
  <c r="W51" i="18"/>
  <c r="W56" i="18"/>
  <c r="W62" i="18"/>
  <c r="W24" i="18"/>
  <c r="W34" i="18"/>
  <c r="W40" i="18"/>
  <c r="AX50" i="18"/>
  <c r="AX46" i="18"/>
  <c r="AP46" i="17"/>
  <c r="AP50" i="17"/>
  <c r="AT50" i="18"/>
  <c r="R35" i="17"/>
  <c r="R39" i="17"/>
  <c r="H34" i="18"/>
  <c r="H40" i="18"/>
  <c r="H56" i="18"/>
  <c r="H62" i="18"/>
  <c r="H45" i="18"/>
  <c r="H51" i="18"/>
  <c r="H24" i="18"/>
  <c r="AI55" i="18"/>
  <c r="AI23" i="18"/>
  <c r="AI44" i="18"/>
  <c r="AI33" i="18"/>
  <c r="AL39" i="17"/>
  <c r="AL35" i="17"/>
  <c r="R50" i="18"/>
  <c r="AK39" i="17"/>
  <c r="AK35" i="17"/>
  <c r="AZ22" i="17"/>
  <c r="D34" i="17"/>
  <c r="D40" i="17"/>
  <c r="D24" i="17"/>
  <c r="D45" i="17"/>
  <c r="D51" i="17"/>
  <c r="D56" i="17"/>
  <c r="D62" i="17"/>
  <c r="AK45" i="18"/>
  <c r="AK51" i="18"/>
  <c r="AK56" i="18"/>
  <c r="AK62" i="18"/>
  <c r="AK24" i="18"/>
  <c r="AK34" i="18"/>
  <c r="AK40" i="18"/>
  <c r="AU57" i="17"/>
  <c r="AU61" i="17"/>
  <c r="F61" i="17"/>
  <c r="F57" i="17"/>
  <c r="S55" i="18"/>
  <c r="S23" i="18"/>
  <c r="S44" i="18"/>
  <c r="S33" i="18"/>
  <c r="I35" i="17"/>
  <c r="I39" i="17"/>
  <c r="E34" i="17"/>
  <c r="E40" i="17"/>
  <c r="E56" i="17"/>
  <c r="E62" i="17"/>
  <c r="E24" i="17"/>
  <c r="E45" i="17"/>
  <c r="E51" i="17"/>
  <c r="AD45" i="18"/>
  <c r="AD51" i="18"/>
  <c r="AD56" i="18"/>
  <c r="AD62" i="18"/>
  <c r="AD24" i="18"/>
  <c r="AD34" i="18"/>
  <c r="AD40" i="18"/>
  <c r="AE57" i="17"/>
  <c r="AE61" i="17"/>
  <c r="K46" i="18"/>
  <c r="K50" i="18"/>
  <c r="AF45" i="18"/>
  <c r="AF51" i="18"/>
  <c r="AF56" i="18"/>
  <c r="AF62" i="18"/>
  <c r="AF24" i="18"/>
  <c r="AF34" i="18"/>
  <c r="AF40" i="18"/>
  <c r="AN45" i="18"/>
  <c r="AN51" i="18"/>
  <c r="AN56" i="18"/>
  <c r="AN62" i="18"/>
  <c r="AN24" i="18"/>
  <c r="AN34" i="18"/>
  <c r="AN40" i="18"/>
  <c r="P39" i="17"/>
  <c r="Z35" i="17"/>
  <c r="Z39" i="17"/>
  <c r="AD57" i="17"/>
  <c r="AD61" i="17"/>
  <c r="V35" i="17"/>
  <c r="V39" i="17"/>
  <c r="H27" i="17"/>
  <c r="G30" i="17"/>
  <c r="AO45" i="18"/>
  <c r="AO51" i="18"/>
  <c r="AO56" i="18"/>
  <c r="AO62" i="18"/>
  <c r="AO24" i="18"/>
  <c r="AO34" i="18"/>
  <c r="AO40" i="18"/>
  <c r="J44" i="17"/>
  <c r="J33" i="17"/>
  <c r="J55" i="17"/>
  <c r="J23" i="17"/>
  <c r="AH39" i="17"/>
  <c r="AH35" i="17"/>
  <c r="AP45" i="18"/>
  <c r="AP51" i="18"/>
  <c r="AP56" i="18"/>
  <c r="AP62" i="18"/>
  <c r="AP24" i="18"/>
  <c r="AP34" i="18"/>
  <c r="AP40" i="18"/>
  <c r="H34" i="17"/>
  <c r="H40" i="17"/>
  <c r="H24" i="17"/>
  <c r="H45" i="17"/>
  <c r="H51" i="17"/>
  <c r="H56" i="17"/>
  <c r="H62" i="17"/>
  <c r="AP39" i="17"/>
  <c r="AP35" i="17"/>
  <c r="AT39" i="18"/>
  <c r="AB57" i="17"/>
  <c r="AB61" i="17"/>
  <c r="AX55" i="17"/>
  <c r="AX23" i="17"/>
  <c r="AX44" i="17"/>
  <c r="AX33" i="17"/>
  <c r="N57" i="17"/>
  <c r="N61" i="17"/>
  <c r="Y50" i="17"/>
  <c r="Y46" i="17"/>
  <c r="V24" i="17"/>
  <c r="V34" i="17"/>
  <c r="V40" i="17"/>
  <c r="V56" i="17"/>
  <c r="V62" i="17"/>
  <c r="V45" i="17"/>
  <c r="V51" i="17"/>
  <c r="AI45" i="18"/>
  <c r="AI51" i="18"/>
  <c r="AI56" i="18"/>
  <c r="AI62" i="18"/>
  <c r="AI24" i="18"/>
  <c r="AI34" i="18"/>
  <c r="AI40" i="18"/>
  <c r="L33" i="17"/>
  <c r="L44" i="17"/>
  <c r="L23" i="17"/>
  <c r="L55" i="17"/>
  <c r="M35" i="17"/>
  <c r="M39" i="17"/>
  <c r="P24" i="17"/>
  <c r="P34" i="17"/>
  <c r="P40" i="17"/>
  <c r="P45" i="17"/>
  <c r="P51" i="17"/>
  <c r="P56" i="17"/>
  <c r="P62" i="17"/>
  <c r="AA55" i="18"/>
  <c r="AA23" i="18"/>
  <c r="AA44" i="18"/>
  <c r="AA33" i="18"/>
  <c r="AR55" i="18"/>
  <c r="AR23" i="18"/>
  <c r="AR44" i="18"/>
  <c r="AR33" i="18"/>
  <c r="AF57" i="17"/>
  <c r="AF61" i="17"/>
  <c r="AO23" i="17"/>
  <c r="AO33" i="17"/>
  <c r="AO55" i="17"/>
  <c r="AO44" i="17"/>
  <c r="AT55" i="17"/>
  <c r="AT23" i="17"/>
  <c r="AT33" i="17"/>
  <c r="AT44" i="17"/>
  <c r="L61" i="18"/>
  <c r="L57" i="18"/>
  <c r="AC57" i="17"/>
  <c r="AC61" i="17"/>
  <c r="F35" i="17"/>
  <c r="F39" i="17"/>
  <c r="H27" i="18"/>
  <c r="G30" i="18"/>
  <c r="M46" i="18"/>
  <c r="M50" i="18"/>
  <c r="S45" i="18"/>
  <c r="S51" i="18"/>
  <c r="S56" i="18"/>
  <c r="S62" i="18"/>
  <c r="S24" i="18"/>
  <c r="S34" i="18"/>
  <c r="S40" i="18"/>
  <c r="AS55" i="18"/>
  <c r="AS44" i="18"/>
  <c r="AS33" i="18"/>
  <c r="AS23" i="18"/>
  <c r="E44" i="17"/>
  <c r="E55" i="17"/>
  <c r="E33" i="17"/>
  <c r="E23" i="17"/>
  <c r="AZ23" i="17"/>
  <c r="U35" i="17"/>
  <c r="U39" i="17"/>
  <c r="D46" i="17"/>
  <c r="D50" i="17"/>
  <c r="AL55" i="18"/>
  <c r="AL23" i="18"/>
  <c r="AL44" i="18"/>
  <c r="AL33" i="18"/>
  <c r="AW35" i="17"/>
  <c r="AW39" i="17"/>
  <c r="AE50" i="17"/>
  <c r="AE46" i="17"/>
  <c r="K35" i="18"/>
  <c r="K39" i="18"/>
  <c r="S61" i="17"/>
  <c r="E21" i="18"/>
  <c r="E22" i="18"/>
  <c r="V55" i="18"/>
  <c r="V23" i="18"/>
  <c r="V44" i="18"/>
  <c r="V33" i="18"/>
  <c r="K35" i="17"/>
  <c r="K39" i="17"/>
  <c r="AQ57" i="17"/>
  <c r="AQ61" i="17"/>
  <c r="X55" i="18"/>
  <c r="X23" i="18"/>
  <c r="X44" i="18"/>
  <c r="X33" i="18"/>
  <c r="AJ50" i="17"/>
  <c r="F39" i="18"/>
  <c r="F35" i="18"/>
  <c r="K34" i="18"/>
  <c r="K40" i="18"/>
  <c r="K45" i="18"/>
  <c r="K51" i="18"/>
  <c r="K56" i="18"/>
  <c r="K62" i="18"/>
  <c r="K24" i="18"/>
  <c r="AD50" i="17"/>
  <c r="AD46" i="17"/>
  <c r="Q46" i="18"/>
  <c r="Q50" i="18"/>
  <c r="H39" i="18"/>
  <c r="H35" i="18"/>
  <c r="P39" i="18"/>
  <c r="P35" i="18"/>
  <c r="AR50" i="17"/>
  <c r="AG55" i="18"/>
  <c r="AG23" i="18"/>
  <c r="AG44" i="18"/>
  <c r="AG33" i="18"/>
  <c r="AW34" i="18"/>
  <c r="AW40" i="18"/>
  <c r="AW24" i="18"/>
  <c r="AW56" i="18"/>
  <c r="AW62" i="18"/>
  <c r="AW45" i="18"/>
  <c r="AW51" i="18"/>
  <c r="O46" i="17"/>
  <c r="T55" i="18"/>
  <c r="T23" i="18"/>
  <c r="T44" i="18"/>
  <c r="T33" i="18"/>
  <c r="AH55" i="18"/>
  <c r="AH23" i="18"/>
  <c r="AH44" i="18"/>
  <c r="AH33" i="18"/>
  <c r="AY34" i="18"/>
  <c r="AY40" i="18"/>
  <c r="AY24" i="18"/>
  <c r="AY45" i="18"/>
  <c r="AY51" i="18"/>
  <c r="AY56" i="18"/>
  <c r="AY62" i="18"/>
  <c r="Q57" i="17"/>
  <c r="Q61" i="17"/>
  <c r="AG51" i="17"/>
  <c r="AG46" i="17"/>
  <c r="AA57" i="17"/>
  <c r="AA61" i="17"/>
  <c r="AY46" i="17"/>
  <c r="AY50" i="17"/>
  <c r="AU46" i="18"/>
  <c r="AU50" i="18"/>
  <c r="O62" i="17"/>
  <c r="O57" i="17"/>
  <c r="AG57" i="17"/>
  <c r="H44" i="17"/>
  <c r="H23" i="17"/>
  <c r="H33" i="17"/>
  <c r="H55" i="17"/>
  <c r="AB50" i="17"/>
  <c r="AB46" i="17"/>
  <c r="AX45" i="17"/>
  <c r="AX51" i="17"/>
  <c r="AX24" i="17"/>
  <c r="AX34" i="17"/>
  <c r="AX40" i="17"/>
  <c r="AX56" i="17"/>
  <c r="AX62" i="17"/>
  <c r="N50" i="17"/>
  <c r="N46" i="17"/>
  <c r="R57" i="17"/>
  <c r="R61" i="17"/>
  <c r="Y57" i="17"/>
  <c r="Y61" i="17"/>
  <c r="I44" i="18"/>
  <c r="I55" i="18"/>
  <c r="I23" i="18"/>
  <c r="I33" i="18"/>
  <c r="R56" i="18"/>
  <c r="R62" i="18"/>
  <c r="R24" i="18"/>
  <c r="R45" i="18"/>
  <c r="R51" i="18"/>
  <c r="R34" i="18"/>
  <c r="R40" i="18"/>
  <c r="AB55" i="18"/>
  <c r="AB23" i="18"/>
  <c r="AB44" i="18"/>
  <c r="AB33" i="18"/>
  <c r="AQ55" i="18"/>
  <c r="AQ23" i="18"/>
  <c r="AQ44" i="18"/>
  <c r="AQ33" i="18"/>
  <c r="AL46" i="17"/>
  <c r="AL50" i="17"/>
  <c r="R35" i="18"/>
  <c r="R39" i="18"/>
  <c r="AK46" i="17"/>
  <c r="AK50" i="17"/>
  <c r="AI24" i="17"/>
  <c r="AI34" i="17"/>
  <c r="AI56" i="17"/>
  <c r="AI45" i="17"/>
  <c r="AA45" i="18"/>
  <c r="AA51" i="18"/>
  <c r="AA56" i="18"/>
  <c r="AA62" i="18"/>
  <c r="AA24" i="18"/>
  <c r="AA34" i="18"/>
  <c r="AA40" i="18"/>
  <c r="AR45" i="18"/>
  <c r="AR51" i="18"/>
  <c r="AR56" i="18"/>
  <c r="AR62" i="18"/>
  <c r="AR24" i="18"/>
  <c r="AR34" i="18"/>
  <c r="AR40" i="18"/>
  <c r="AF50" i="17"/>
  <c r="AF46" i="17"/>
  <c r="AO56" i="17"/>
  <c r="AO62" i="17"/>
  <c r="AO24" i="17"/>
  <c r="AO34" i="17"/>
  <c r="AO40" i="17"/>
  <c r="AO45" i="17"/>
  <c r="AO51" i="17"/>
  <c r="AU46" i="17"/>
  <c r="AU50" i="17"/>
  <c r="AT45" i="17"/>
  <c r="AT51" i="17"/>
  <c r="AT56" i="17"/>
  <c r="AT62" i="17"/>
  <c r="AT34" i="17"/>
  <c r="AT40" i="17"/>
  <c r="AT24" i="17"/>
  <c r="J50" i="18"/>
  <c r="J46" i="18"/>
  <c r="L39" i="18"/>
  <c r="L35" i="18"/>
  <c r="M35" i="18"/>
  <c r="M39" i="18"/>
  <c r="AJ55" i="18"/>
  <c r="AJ23" i="18"/>
  <c r="AJ44" i="18"/>
  <c r="AJ33" i="18"/>
  <c r="X24" i="17"/>
  <c r="X34" i="17"/>
  <c r="X40" i="17"/>
  <c r="X56" i="17"/>
  <c r="X62" i="17"/>
  <c r="X45" i="17"/>
  <c r="X51" i="17"/>
  <c r="I61" i="17"/>
  <c r="I57" i="17"/>
  <c r="D35" i="17"/>
  <c r="D39" i="17"/>
  <c r="AZ21" i="17"/>
  <c r="AL45" i="18"/>
  <c r="AL51" i="18"/>
  <c r="AL56" i="18"/>
  <c r="AL62" i="18"/>
  <c r="AL24" i="18"/>
  <c r="AL34" i="18"/>
  <c r="AL40" i="18"/>
  <c r="AW57" i="17"/>
  <c r="AW61" i="17"/>
  <c r="AE39" i="17"/>
  <c r="AE35" i="17"/>
  <c r="AM57" i="17"/>
  <c r="V45" i="18"/>
  <c r="V51" i="18"/>
  <c r="V56" i="18"/>
  <c r="V62" i="18"/>
  <c r="V24" i="18"/>
  <c r="V34" i="18"/>
  <c r="V40" i="18"/>
  <c r="T57" i="17"/>
  <c r="AQ46" i="17"/>
  <c r="AQ50" i="17"/>
  <c r="X45" i="18"/>
  <c r="X51" i="18"/>
  <c r="X56" i="18"/>
  <c r="X62" i="18"/>
  <c r="X24" i="18"/>
  <c r="X34" i="18"/>
  <c r="X40" i="18"/>
  <c r="P57" i="17"/>
  <c r="P61" i="17"/>
  <c r="AJ61" i="17"/>
  <c r="O56" i="18"/>
  <c r="O62" i="18"/>
  <c r="O24" i="18"/>
  <c r="O34" i="18"/>
  <c r="O40" i="18"/>
  <c r="O45" i="18"/>
  <c r="O51" i="18"/>
  <c r="F61" i="18"/>
  <c r="F57" i="18"/>
  <c r="G34" i="18"/>
  <c r="G40" i="18"/>
  <c r="G56" i="18"/>
  <c r="G62" i="18"/>
  <c r="G45" i="18"/>
  <c r="G51" i="18"/>
  <c r="G24" i="18"/>
  <c r="H61" i="18"/>
  <c r="H57" i="18"/>
  <c r="P61" i="18"/>
  <c r="AR39" i="17"/>
  <c r="AO55" i="18"/>
  <c r="AO23" i="18"/>
  <c r="AO44" i="18"/>
  <c r="AO33" i="18"/>
  <c r="AH50" i="17"/>
  <c r="AH46" i="17"/>
  <c r="AT34" i="18"/>
  <c r="AT40" i="18"/>
  <c r="AT45" i="18"/>
  <c r="AT51" i="18"/>
  <c r="AT56" i="18"/>
  <c r="AT62" i="18"/>
  <c r="AT24" i="18"/>
  <c r="AU35" i="18"/>
  <c r="AU39" i="18"/>
  <c r="AV45" i="17"/>
  <c r="AV51" i="17"/>
  <c r="AV34" i="17"/>
  <c r="AV40" i="17"/>
  <c r="AV24" i="17"/>
  <c r="AV56" i="17"/>
  <c r="AV62" i="17"/>
  <c r="AM45" i="18"/>
  <c r="AM51" i="18"/>
  <c r="AM56" i="18"/>
  <c r="AM62" i="18"/>
  <c r="AM24" i="18"/>
  <c r="AM34" i="18"/>
  <c r="AM40" i="18"/>
  <c r="AE45" i="18"/>
  <c r="AE51" i="18"/>
  <c r="AE56" i="18"/>
  <c r="AE62" i="18"/>
  <c r="AE24" i="18"/>
  <c r="AE34" i="18"/>
  <c r="AE40" i="18"/>
  <c r="AB35" i="17"/>
  <c r="AB39" i="17"/>
  <c r="D39" i="18"/>
  <c r="D35" i="18"/>
  <c r="Y35" i="17"/>
  <c r="Y39" i="17"/>
  <c r="L24" i="17"/>
  <c r="L34" i="17"/>
  <c r="L40" i="17"/>
  <c r="L45" i="17"/>
  <c r="L51" i="17"/>
  <c r="L56" i="17"/>
  <c r="L62" i="17"/>
  <c r="M50" i="17"/>
  <c r="M46" i="17"/>
  <c r="U45" i="18"/>
  <c r="U51" i="18"/>
  <c r="U56" i="18"/>
  <c r="U62" i="18"/>
  <c r="U24" i="18"/>
  <c r="U34" i="18"/>
  <c r="U40" i="18"/>
  <c r="AF35" i="17"/>
  <c r="AF39" i="17"/>
  <c r="AC50" i="17"/>
  <c r="AC46" i="17"/>
  <c r="M61" i="18"/>
  <c r="M57" i="18"/>
  <c r="AS34" i="18"/>
  <c r="AS40" i="18"/>
  <c r="AS24" i="18"/>
  <c r="AS45" i="18"/>
  <c r="AS51" i="18"/>
  <c r="AS56" i="18"/>
  <c r="AS62" i="18"/>
  <c r="U50" i="17"/>
  <c r="U46" i="17"/>
  <c r="AW46" i="17"/>
  <c r="AW50" i="17"/>
  <c r="S39" i="17"/>
  <c r="K50" i="17"/>
  <c r="K46" i="17"/>
  <c r="F50" i="18"/>
  <c r="G44" i="18"/>
  <c r="G55" i="18"/>
  <c r="G23" i="18"/>
  <c r="G33" i="18"/>
  <c r="H46" i="18"/>
  <c r="H50" i="18"/>
  <c r="P50" i="18"/>
  <c r="Y45" i="18"/>
  <c r="Y51" i="18"/>
  <c r="Y56" i="18"/>
  <c r="Y62" i="18"/>
  <c r="Y24" i="18"/>
  <c r="Y34" i="18"/>
  <c r="Y40" i="18"/>
  <c r="Z45" i="18"/>
  <c r="Z51" i="18"/>
  <c r="Z56" i="18"/>
  <c r="Z62" i="18"/>
  <c r="Z24" i="18"/>
  <c r="Z34" i="18"/>
  <c r="Z40" i="18"/>
  <c r="AV35" i="18"/>
  <c r="AV39" i="18"/>
  <c r="AX35" i="18"/>
  <c r="AX39" i="18"/>
  <c r="D61" i="18"/>
  <c r="D57" i="18"/>
  <c r="I34" i="18"/>
  <c r="I40" i="18"/>
  <c r="I56" i="18"/>
  <c r="I62" i="18"/>
  <c r="I45" i="18"/>
  <c r="I51" i="18"/>
  <c r="I24" i="18"/>
  <c r="AS46" i="17"/>
  <c r="J61" i="18"/>
  <c r="J57" i="18"/>
  <c r="Z57" i="17"/>
  <c r="Z61" i="17"/>
  <c r="S24" i="17"/>
  <c r="S34" i="17"/>
  <c r="S40" i="17"/>
  <c r="S56" i="17"/>
  <c r="S62" i="17"/>
  <c r="S45" i="17"/>
  <c r="S51" i="17"/>
  <c r="AD35" i="17"/>
  <c r="AD39" i="17"/>
  <c r="Q61" i="18"/>
  <c r="V61" i="17"/>
  <c r="P56" i="18"/>
  <c r="P62" i="18"/>
  <c r="P24" i="18"/>
  <c r="P34" i="18"/>
  <c r="P40" i="18"/>
  <c r="P45" i="18"/>
  <c r="P51" i="18"/>
  <c r="AR57" i="17"/>
  <c r="AR61" i="17"/>
  <c r="AS57" i="17"/>
  <c r="AG45" i="18"/>
  <c r="AG51" i="18"/>
  <c r="AG56" i="18"/>
  <c r="AG62" i="18"/>
  <c r="AG24" i="18"/>
  <c r="AG34" i="18"/>
  <c r="AG40" i="18"/>
  <c r="AW44" i="18"/>
  <c r="AW33" i="18"/>
  <c r="AW55" i="18"/>
  <c r="AW23" i="18"/>
  <c r="AH57" i="17"/>
  <c r="AH61" i="17"/>
  <c r="T45" i="18"/>
  <c r="T51" i="18"/>
  <c r="T56" i="18"/>
  <c r="T62" i="18"/>
  <c r="T24" i="18"/>
  <c r="T34" i="18"/>
  <c r="T40" i="18"/>
  <c r="AH45" i="18"/>
  <c r="AH51" i="18"/>
  <c r="AH56" i="18"/>
  <c r="AH62" i="18"/>
  <c r="AH24" i="18"/>
  <c r="AH34" i="18"/>
  <c r="AH40" i="18"/>
  <c r="AY44" i="18"/>
  <c r="AY55" i="18"/>
  <c r="AY23" i="18"/>
  <c r="AY33" i="18"/>
  <c r="Q50" i="17"/>
  <c r="Q46" i="17"/>
  <c r="AA50" i="17"/>
  <c r="AA46" i="17"/>
  <c r="AY57" i="17"/>
  <c r="AY61" i="17"/>
  <c r="AU61" i="18"/>
  <c r="AU57" i="18"/>
  <c r="AC55" i="18"/>
  <c r="AC23" i="18"/>
  <c r="AC44" i="18"/>
  <c r="AC33" i="18"/>
  <c r="AV61" i="18"/>
  <c r="AV57" i="18"/>
  <c r="W55" i="18"/>
  <c r="W23" i="18"/>
  <c r="W44" i="18"/>
  <c r="W33" i="18"/>
  <c r="AX61" i="18"/>
  <c r="AX57" i="18"/>
  <c r="AV55" i="17"/>
  <c r="AV23" i="17"/>
  <c r="AV44" i="17"/>
  <c r="AV33" i="17"/>
  <c r="AM55" i="18"/>
  <c r="AM23" i="18"/>
  <c r="AM44" i="18"/>
  <c r="AM33" i="18"/>
  <c r="AP57" i="17"/>
  <c r="AP61" i="17"/>
  <c r="AE55" i="18"/>
  <c r="AE23" i="18"/>
  <c r="AE44" i="18"/>
  <c r="AE33" i="18"/>
  <c r="AT61" i="18"/>
  <c r="AT57" i="18"/>
  <c r="F34" i="18"/>
  <c r="F40" i="18"/>
  <c r="F56" i="18"/>
  <c r="F62" i="18"/>
  <c r="F45" i="18"/>
  <c r="F51" i="18"/>
  <c r="F24" i="18"/>
  <c r="N35" i="17"/>
  <c r="N39" i="17"/>
  <c r="D46" i="18"/>
  <c r="D50" i="18"/>
  <c r="R50" i="17"/>
  <c r="R46" i="17"/>
  <c r="Q56" i="18"/>
  <c r="Q62" i="18"/>
  <c r="Q24" i="18"/>
  <c r="Q34" i="18"/>
  <c r="Q40" i="18"/>
  <c r="Q45" i="18"/>
  <c r="Q51" i="18"/>
  <c r="AR56" i="17"/>
  <c r="AR62" i="17"/>
  <c r="AR24" i="17"/>
  <c r="AR34" i="17"/>
  <c r="AR40" i="17"/>
  <c r="AR45" i="17"/>
  <c r="AR51" i="17"/>
  <c r="AB45" i="18"/>
  <c r="AB51" i="18"/>
  <c r="AB56" i="18"/>
  <c r="AB62" i="18"/>
  <c r="AB24" i="18"/>
  <c r="AB34" i="18"/>
  <c r="AB40" i="18"/>
  <c r="AQ45" i="18"/>
  <c r="AQ51" i="18"/>
  <c r="AQ56" i="18"/>
  <c r="AQ62" i="18"/>
  <c r="AQ24" i="18"/>
  <c r="AQ34" i="18"/>
  <c r="AQ40" i="18"/>
  <c r="AL57" i="17"/>
  <c r="AL61" i="17"/>
  <c r="R57" i="18"/>
  <c r="R61" i="18"/>
  <c r="M57" i="17"/>
  <c r="M61" i="17"/>
  <c r="AK57" i="17"/>
  <c r="AK61" i="17"/>
  <c r="AJ56" i="17"/>
  <c r="AJ62" i="17"/>
  <c r="AJ24" i="17"/>
  <c r="AJ45" i="17"/>
  <c r="AJ51" i="17"/>
  <c r="AJ34" i="17"/>
  <c r="AJ40" i="17"/>
  <c r="U55" i="18"/>
  <c r="U23" i="18"/>
  <c r="U44" i="18"/>
  <c r="U33" i="18"/>
  <c r="AK55" i="18"/>
  <c r="AK23" i="18"/>
  <c r="AK44" i="18"/>
  <c r="AK33" i="18"/>
  <c r="AU35" i="17"/>
  <c r="AU39" i="17"/>
  <c r="J35" i="18"/>
  <c r="J39" i="18"/>
  <c r="L46" i="18"/>
  <c r="L50" i="18"/>
  <c r="AC35" i="17"/>
  <c r="AC39" i="17"/>
  <c r="F46" i="17"/>
  <c r="F50" i="17"/>
  <c r="AM46" i="17"/>
  <c r="AJ45" i="18"/>
  <c r="AJ51" i="18"/>
  <c r="AJ56" i="18"/>
  <c r="AJ62" i="18"/>
  <c r="AJ24" i="18"/>
  <c r="AJ34" i="18"/>
  <c r="AJ40" i="18"/>
  <c r="X33" i="17"/>
  <c r="X44" i="17"/>
  <c r="X55" i="17"/>
  <c r="X23" i="17"/>
  <c r="I46" i="17"/>
  <c r="I50" i="17"/>
  <c r="U57" i="17"/>
  <c r="U61" i="17"/>
  <c r="D61" i="17"/>
  <c r="D57" i="17"/>
  <c r="AD55" i="18"/>
  <c r="AD23" i="18"/>
  <c r="AD44" i="18"/>
  <c r="AD33" i="18"/>
  <c r="K61" i="18"/>
  <c r="S50" i="17"/>
  <c r="S46" i="17"/>
  <c r="AS35" i="17"/>
  <c r="AF55" i="18"/>
  <c r="AF23" i="18"/>
  <c r="AF44" i="18"/>
  <c r="AF33" i="18"/>
  <c r="K61" i="17"/>
  <c r="K57" i="17"/>
  <c r="AQ39" i="17"/>
  <c r="AQ35" i="17"/>
  <c r="AN55" i="18"/>
  <c r="AN23" i="18"/>
  <c r="AN44" i="18"/>
  <c r="AN33" i="18"/>
  <c r="P50" i="17"/>
  <c r="P46" i="17"/>
  <c r="AJ39" i="17"/>
  <c r="AJ35" i="17"/>
  <c r="O23" i="18"/>
  <c r="O33" i="18"/>
  <c r="O55" i="18"/>
  <c r="O44" i="18"/>
  <c r="AN46" i="18"/>
  <c r="AN50" i="18"/>
  <c r="AF46" i="18"/>
  <c r="AF50" i="18"/>
  <c r="AV35" i="17"/>
  <c r="AV39" i="17"/>
  <c r="AY35" i="18"/>
  <c r="AY39" i="18"/>
  <c r="AW35" i="18"/>
  <c r="AW39" i="18"/>
  <c r="G61" i="18"/>
  <c r="G57" i="18"/>
  <c r="AJ46" i="18"/>
  <c r="AJ50" i="18"/>
  <c r="AQ46" i="18"/>
  <c r="AQ50" i="18"/>
  <c r="H61" i="17"/>
  <c r="H57" i="17"/>
  <c r="T61" i="18"/>
  <c r="T57" i="18"/>
  <c r="X35" i="18"/>
  <c r="X39" i="18"/>
  <c r="V35" i="18"/>
  <c r="V39" i="18"/>
  <c r="E61" i="17"/>
  <c r="E57" i="17"/>
  <c r="AS46" i="18"/>
  <c r="AS50" i="18"/>
  <c r="AO46" i="17"/>
  <c r="AO50" i="17"/>
  <c r="L61" i="17"/>
  <c r="L57" i="17"/>
  <c r="S61" i="18"/>
  <c r="S57" i="18"/>
  <c r="AI35" i="18"/>
  <c r="AI39" i="18"/>
  <c r="Z35" i="18"/>
  <c r="Z39" i="18"/>
  <c r="Y35" i="18"/>
  <c r="Y39" i="18"/>
  <c r="O39" i="18"/>
  <c r="O35" i="18"/>
  <c r="AD46" i="18"/>
  <c r="AD50" i="18"/>
  <c r="X35" i="17"/>
  <c r="X39" i="17"/>
  <c r="AK61" i="18"/>
  <c r="AK57" i="18"/>
  <c r="AE61" i="18"/>
  <c r="AE57" i="18"/>
  <c r="AV50" i="17"/>
  <c r="AV46" i="17"/>
  <c r="W61" i="18"/>
  <c r="W57" i="18"/>
  <c r="AW46" i="18"/>
  <c r="AW50" i="18"/>
  <c r="P57" i="18"/>
  <c r="AI51" i="17"/>
  <c r="AI46" i="17"/>
  <c r="I61" i="18"/>
  <c r="I57" i="18"/>
  <c r="H35" i="17"/>
  <c r="H39" i="17"/>
  <c r="AH35" i="18"/>
  <c r="AH39" i="18"/>
  <c r="T35" i="18"/>
  <c r="T39" i="18"/>
  <c r="AG61" i="18"/>
  <c r="AG57" i="18"/>
  <c r="X46" i="18"/>
  <c r="X50" i="18"/>
  <c r="E44" i="18"/>
  <c r="E55" i="18"/>
  <c r="E23" i="18"/>
  <c r="AZ23" i="18"/>
  <c r="E33" i="18"/>
  <c r="AZ21" i="18"/>
  <c r="AL61" i="18"/>
  <c r="AL57" i="18"/>
  <c r="E50" i="17"/>
  <c r="E46" i="17"/>
  <c r="AS61" i="18"/>
  <c r="AS57" i="18"/>
  <c r="I27" i="18"/>
  <c r="H30" i="18"/>
  <c r="AT35" i="17"/>
  <c r="AT39" i="17"/>
  <c r="AO57" i="17"/>
  <c r="AO61" i="17"/>
  <c r="AR61" i="18"/>
  <c r="AR57" i="18"/>
  <c r="AA61" i="18"/>
  <c r="AA57" i="18"/>
  <c r="AX50" i="17"/>
  <c r="AX46" i="17"/>
  <c r="J61" i="17"/>
  <c r="J57" i="17"/>
  <c r="I27" i="17"/>
  <c r="H30" i="17"/>
  <c r="P35" i="17"/>
  <c r="S35" i="18"/>
  <c r="S39" i="18"/>
  <c r="R46" i="18"/>
  <c r="AI46" i="18"/>
  <c r="AI50" i="18"/>
  <c r="AP46" i="18"/>
  <c r="AP50" i="18"/>
  <c r="Z46" i="18"/>
  <c r="Z50" i="18"/>
  <c r="Y46" i="18"/>
  <c r="Y50" i="18"/>
  <c r="V46" i="17"/>
  <c r="AN61" i="18"/>
  <c r="AN57" i="18"/>
  <c r="AF61" i="18"/>
  <c r="AF57" i="18"/>
  <c r="K57" i="18"/>
  <c r="AK35" i="18"/>
  <c r="AK39" i="18"/>
  <c r="U35" i="18"/>
  <c r="U39" i="18"/>
  <c r="AE35" i="18"/>
  <c r="AE39" i="18"/>
  <c r="W35" i="18"/>
  <c r="W39" i="18"/>
  <c r="AY61" i="18"/>
  <c r="AY57" i="18"/>
  <c r="V57" i="17"/>
  <c r="G35" i="18"/>
  <c r="G39" i="18"/>
  <c r="S35" i="17"/>
  <c r="AO35" i="18"/>
  <c r="AO39" i="18"/>
  <c r="AR35" i="17"/>
  <c r="AJ61" i="18"/>
  <c r="AJ57" i="18"/>
  <c r="AI62" i="17"/>
  <c r="AI57" i="17"/>
  <c r="AQ61" i="18"/>
  <c r="AQ57" i="18"/>
  <c r="AB61" i="18"/>
  <c r="AB57" i="18"/>
  <c r="I46" i="18"/>
  <c r="I50" i="18"/>
  <c r="AH46" i="18"/>
  <c r="AH50" i="18"/>
  <c r="T46" i="18"/>
  <c r="T50" i="18"/>
  <c r="AG35" i="18"/>
  <c r="AG39" i="18"/>
  <c r="AL35" i="18"/>
  <c r="AL39" i="18"/>
  <c r="AO39" i="17"/>
  <c r="AO35" i="17"/>
  <c r="AR35" i="18"/>
  <c r="AR39" i="18"/>
  <c r="AA35" i="18"/>
  <c r="AA39" i="18"/>
  <c r="L50" i="17"/>
  <c r="L46" i="17"/>
  <c r="AT35" i="18"/>
  <c r="J35" i="17"/>
  <c r="J39" i="17"/>
  <c r="S46" i="18"/>
  <c r="S50" i="18"/>
  <c r="AT46" i="18"/>
  <c r="O61" i="18"/>
  <c r="O57" i="18"/>
  <c r="AD35" i="18"/>
  <c r="AD39" i="18"/>
  <c r="X50" i="17"/>
  <c r="X46" i="17"/>
  <c r="AM35" i="18"/>
  <c r="AM39" i="18"/>
  <c r="AC35" i="18"/>
  <c r="AC39" i="18"/>
  <c r="AB46" i="18"/>
  <c r="AB50" i="18"/>
  <c r="AH61" i="18"/>
  <c r="AH57" i="18"/>
  <c r="E34" i="18"/>
  <c r="E40" i="18"/>
  <c r="E56" i="18"/>
  <c r="E62" i="18"/>
  <c r="E45" i="18"/>
  <c r="E51" i="18"/>
  <c r="E24" i="18"/>
  <c r="AZ24" i="18"/>
  <c r="AZ22" i="18"/>
  <c r="AT50" i="17"/>
  <c r="AT46" i="17"/>
  <c r="AX35" i="17"/>
  <c r="AX39" i="17"/>
  <c r="AP35" i="18"/>
  <c r="AP39" i="18"/>
  <c r="U61" i="18"/>
  <c r="U57" i="18"/>
  <c r="AM46" i="18"/>
  <c r="AM50" i="18"/>
  <c r="AC46" i="18"/>
  <c r="AC50" i="18"/>
  <c r="G46" i="18"/>
  <c r="G50" i="18"/>
  <c r="AO61" i="18"/>
  <c r="AO57" i="18"/>
  <c r="V46" i="18"/>
  <c r="V50" i="18"/>
  <c r="O46" i="18"/>
  <c r="O50" i="18"/>
  <c r="AN35" i="18"/>
  <c r="AN39" i="18"/>
  <c r="AF35" i="18"/>
  <c r="AF39" i="18"/>
  <c r="AD61" i="18"/>
  <c r="AD57" i="18"/>
  <c r="X57" i="17"/>
  <c r="X61" i="17"/>
  <c r="AK46" i="18"/>
  <c r="AK50" i="18"/>
  <c r="U46" i="18"/>
  <c r="U50" i="18"/>
  <c r="AE46" i="18"/>
  <c r="AE50" i="18"/>
  <c r="AM61" i="18"/>
  <c r="AM57" i="18"/>
  <c r="AV61" i="17"/>
  <c r="AV57" i="17"/>
  <c r="W46" i="18"/>
  <c r="W50" i="18"/>
  <c r="AC61" i="18"/>
  <c r="AC57" i="18"/>
  <c r="AY46" i="18"/>
  <c r="AY50" i="18"/>
  <c r="AW61" i="18"/>
  <c r="AW57" i="18"/>
  <c r="Q57" i="18"/>
  <c r="P46" i="18"/>
  <c r="F46" i="18"/>
  <c r="AO46" i="18"/>
  <c r="AO50" i="18"/>
  <c r="AJ57" i="17"/>
  <c r="AJ35" i="18"/>
  <c r="AJ39" i="18"/>
  <c r="AI40" i="17"/>
  <c r="AI35" i="17"/>
  <c r="AQ35" i="18"/>
  <c r="AQ39" i="18"/>
  <c r="AB35" i="18"/>
  <c r="AB39" i="18"/>
  <c r="I39" i="18"/>
  <c r="I35" i="18"/>
  <c r="H46" i="17"/>
  <c r="H50" i="17"/>
  <c r="AG46" i="18"/>
  <c r="AG50" i="18"/>
  <c r="AR46" i="17"/>
  <c r="AJ46" i="17"/>
  <c r="X61" i="18"/>
  <c r="X57" i="18"/>
  <c r="V61" i="18"/>
  <c r="V57" i="18"/>
  <c r="S57" i="17"/>
  <c r="AL46" i="18"/>
  <c r="AL50" i="18"/>
  <c r="E39" i="17"/>
  <c r="E35" i="17"/>
  <c r="AS35" i="18"/>
  <c r="AS39" i="18"/>
  <c r="AT61" i="17"/>
  <c r="AT57" i="17"/>
  <c r="AR46" i="18"/>
  <c r="AR50" i="18"/>
  <c r="AA46" i="18"/>
  <c r="AA50" i="18"/>
  <c r="L35" i="17"/>
  <c r="L39" i="17"/>
  <c r="AX61" i="17"/>
  <c r="AX57" i="17"/>
  <c r="J46" i="17"/>
  <c r="J50" i="17"/>
  <c r="AZ24" i="17"/>
  <c r="AI61" i="18"/>
  <c r="AI57" i="18"/>
  <c r="AP61" i="18"/>
  <c r="AP57" i="18"/>
  <c r="Z61" i="18"/>
  <c r="Z57" i="18"/>
  <c r="Y61" i="18"/>
  <c r="Y57" i="18"/>
  <c r="Q35" i="18"/>
  <c r="J27" i="18"/>
  <c r="I30" i="18"/>
  <c r="E39" i="18"/>
  <c r="E35" i="18"/>
  <c r="J27" i="17"/>
  <c r="I30" i="17"/>
  <c r="E61" i="18"/>
  <c r="E57" i="18"/>
  <c r="E46" i="18"/>
  <c r="E50" i="18"/>
  <c r="K27" i="17"/>
  <c r="J30" i="17"/>
  <c r="K27" i="18"/>
  <c r="J30" i="18"/>
  <c r="L27" i="18"/>
  <c r="K30" i="18"/>
  <c r="L27" i="17"/>
  <c r="K30" i="17"/>
  <c r="M27" i="17"/>
  <c r="L30" i="17"/>
  <c r="M27" i="18"/>
  <c r="L30" i="18"/>
  <c r="N27" i="17"/>
  <c r="M30" i="17"/>
  <c r="M30" i="18"/>
  <c r="N27" i="18"/>
  <c r="O27" i="17"/>
  <c r="N30" i="17"/>
  <c r="N30" i="18"/>
  <c r="O27" i="18"/>
  <c r="P27" i="17"/>
  <c r="O30" i="17"/>
  <c r="O30" i="18"/>
  <c r="P27" i="18"/>
  <c r="Q27" i="17"/>
  <c r="P30" i="17"/>
  <c r="P30" i="18"/>
  <c r="Q27" i="18"/>
  <c r="Q30" i="18"/>
  <c r="R27" i="18"/>
  <c r="R27" i="17"/>
  <c r="Q30" i="17"/>
  <c r="S27" i="17"/>
  <c r="R30" i="17"/>
  <c r="R30" i="18"/>
  <c r="S27" i="18"/>
  <c r="S30" i="18"/>
  <c r="T27" i="18"/>
  <c r="T27" i="17"/>
  <c r="S30" i="17"/>
  <c r="U27" i="17"/>
  <c r="T30" i="17"/>
  <c r="T30" i="18"/>
  <c r="U27" i="18"/>
  <c r="V27" i="17"/>
  <c r="U30" i="17"/>
  <c r="U30" i="18"/>
  <c r="V27" i="18"/>
  <c r="V30" i="18"/>
  <c r="W27" i="18"/>
  <c r="W27" i="17"/>
  <c r="V30" i="17"/>
  <c r="X27" i="17"/>
  <c r="W30" i="17"/>
  <c r="W30" i="18"/>
  <c r="X27" i="18"/>
  <c r="X30" i="18"/>
  <c r="Y27" i="18"/>
  <c r="Y27" i="17"/>
  <c r="X30" i="17"/>
  <c r="Z27" i="17"/>
  <c r="Y30" i="17"/>
  <c r="Y30" i="18"/>
  <c r="Z27" i="18"/>
  <c r="Z30" i="17"/>
  <c r="AA27" i="17"/>
  <c r="Z30" i="18"/>
  <c r="AA27" i="18"/>
  <c r="AA30" i="18"/>
  <c r="AB27" i="18"/>
  <c r="AB27" i="17"/>
  <c r="AA30" i="17"/>
  <c r="AC27" i="17"/>
  <c r="AB30" i="17"/>
  <c r="AB30" i="18"/>
  <c r="AC27" i="18"/>
  <c r="AD27" i="17"/>
  <c r="AC30" i="17"/>
  <c r="AC30" i="18"/>
  <c r="AD27" i="18"/>
  <c r="AD30" i="17"/>
  <c r="AE27" i="17"/>
  <c r="AD30" i="18"/>
  <c r="AE27" i="18"/>
  <c r="AE30" i="18"/>
  <c r="AF27" i="18"/>
  <c r="AF27" i="17"/>
  <c r="AE30" i="17"/>
  <c r="AG27" i="17"/>
  <c r="AF30" i="17"/>
  <c r="AF30" i="18"/>
  <c r="AG27" i="18"/>
  <c r="AH27" i="17"/>
  <c r="AG30" i="17"/>
  <c r="AG30" i="18"/>
  <c r="AH27" i="18"/>
  <c r="AI27" i="17"/>
  <c r="AH30" i="17"/>
  <c r="AH30" i="18"/>
  <c r="AI27" i="18"/>
  <c r="AI30" i="18"/>
  <c r="AJ27" i="18"/>
  <c r="AI30" i="17"/>
  <c r="AJ27" i="17"/>
  <c r="AJ30" i="17"/>
  <c r="AK27" i="17"/>
  <c r="AJ30" i="18"/>
  <c r="AK27" i="18"/>
  <c r="AK30" i="18"/>
  <c r="AL27" i="18"/>
  <c r="AK30" i="17"/>
  <c r="AL27" i="17"/>
  <c r="AL30" i="17"/>
  <c r="AM27" i="17"/>
  <c r="AL30" i="18"/>
  <c r="AM27" i="18"/>
  <c r="AM30" i="18"/>
  <c r="AN27" i="18"/>
  <c r="AM30" i="17"/>
  <c r="AN27" i="17"/>
  <c r="AN30" i="17"/>
  <c r="AO27" i="17"/>
  <c r="AN30" i="18"/>
  <c r="AO27" i="18"/>
  <c r="AO30" i="18"/>
  <c r="AP27" i="18"/>
  <c r="AO30" i="17"/>
  <c r="AP27" i="17"/>
  <c r="AP30" i="17"/>
  <c r="AQ27" i="17"/>
  <c r="AP30" i="18"/>
  <c r="AQ27" i="18"/>
  <c r="AQ30" i="18"/>
  <c r="AR27" i="18"/>
  <c r="AQ30" i="17"/>
  <c r="AR27" i="17"/>
  <c r="AR30" i="17"/>
  <c r="AS27" i="17"/>
  <c r="AS27" i="18"/>
  <c r="AR30" i="18"/>
  <c r="AT27" i="18"/>
  <c r="AS30" i="18"/>
  <c r="AS30" i="17"/>
  <c r="AT27" i="17"/>
  <c r="AU27" i="17"/>
  <c r="AT30" i="17"/>
  <c r="AU27" i="18"/>
  <c r="AT30" i="18"/>
  <c r="AV27" i="17"/>
  <c r="AU30" i="17"/>
  <c r="AV27" i="18"/>
  <c r="AU30" i="18"/>
  <c r="AW27" i="17"/>
  <c r="AV30" i="17"/>
  <c r="AW27" i="18"/>
  <c r="AV30" i="18"/>
  <c r="AX27" i="18"/>
  <c r="AW30" i="18"/>
  <c r="AW30" i="17"/>
  <c r="AX27" i="17"/>
  <c r="AY27" i="18"/>
  <c r="AY30" i="18"/>
  <c r="AZ30" i="18"/>
  <c r="AX30" i="18"/>
  <c r="AY27" i="17"/>
  <c r="AY30" i="17"/>
  <c r="AX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G107" i="5"/>
  <c r="G16" i="5"/>
</calcChain>
</file>

<file path=xl/sharedStrings.xml><?xml version="1.0" encoding="utf-8"?>
<sst xmlns="http://schemas.openxmlformats.org/spreadsheetml/2006/main" count="2631" uniqueCount="414">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</sst>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2033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2750.4537982008519</v>
      </c>
      <c r="D6" s="87">
        <v>2750.4537982008519</v>
      </c>
      <c r="E6" s="87">
        <v>2750.4537982008519</v>
      </c>
      <c r="F6" s="87">
        <v>2750.4537982008519</v>
      </c>
      <c r="G6" s="87">
        <v>2750.4537982008519</v>
      </c>
      <c r="H6" s="87">
        <v>2750.4537982008519</v>
      </c>
      <c r="I6" s="87">
        <v>2750.4537982008519</v>
      </c>
      <c r="J6" s="87">
        <v>2750.4537982008519</v>
      </c>
      <c r="K6" s="87">
        <v>2750.4537982008519</v>
      </c>
      <c r="L6" s="87">
        <v>2750.4537982008519</v>
      </c>
      <c r="M6" s="87">
        <v>2750.4537982008519</v>
      </c>
      <c r="N6" s="87">
        <v>2750.4537982008519</v>
      </c>
    </row>
    <row r="7" spans="2:14">
      <c r="B7" s="36" t="s">
        <v>105</v>
      </c>
      <c r="C7" s="88">
        <v>4.412006356920912E-20</v>
      </c>
      <c r="D7" s="89">
        <v>4.412006356920912E-20</v>
      </c>
      <c r="E7" s="89">
        <v>4.412006356920912E-20</v>
      </c>
      <c r="F7" s="89">
        <v>4.412006356920912E-20</v>
      </c>
      <c r="G7" s="89">
        <v>4.412006356920912E-20</v>
      </c>
      <c r="H7" s="89">
        <v>4.412006356920912E-20</v>
      </c>
      <c r="I7" s="89">
        <v>4.412006356920912E-20</v>
      </c>
      <c r="J7" s="89">
        <v>4.412006356920912E-20</v>
      </c>
      <c r="K7" s="89">
        <v>4.412006356920912E-20</v>
      </c>
      <c r="L7" s="89">
        <v>4.412006356920912E-20</v>
      </c>
      <c r="M7" s="89">
        <v>4.412006356920912E-20</v>
      </c>
      <c r="N7" s="89">
        <v>4.412006356920912E-20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799.99999999999602</v>
      </c>
      <c r="D9" s="89">
        <v>799.99999999999602</v>
      </c>
      <c r="E9" s="89">
        <v>799.99999999999602</v>
      </c>
      <c r="F9" s="89">
        <v>799.99999999999602</v>
      </c>
      <c r="G9" s="89">
        <v>799.99999999999602</v>
      </c>
      <c r="H9" s="89">
        <v>799.99999999999602</v>
      </c>
      <c r="I9" s="89">
        <v>799.99999999999602</v>
      </c>
      <c r="J9" s="89">
        <v>799.99999999999602</v>
      </c>
      <c r="K9" s="89">
        <v>799.99999999999602</v>
      </c>
      <c r="L9" s="89">
        <v>799.99999999999602</v>
      </c>
      <c r="M9" s="89">
        <v>799.99999999999602</v>
      </c>
      <c r="N9" s="89">
        <v>799.99999999999602</v>
      </c>
    </row>
    <row r="10" spans="2:14">
      <c r="B10" s="36" t="s">
        <v>108</v>
      </c>
      <c r="C10" s="88">
        <v>2.0848134211825182E-20</v>
      </c>
      <c r="D10" s="89">
        <v>2.0848134211825182E-20</v>
      </c>
      <c r="E10" s="89">
        <v>2.0848134211825182E-20</v>
      </c>
      <c r="F10" s="89">
        <v>2.0848134211825182E-20</v>
      </c>
      <c r="G10" s="89">
        <v>2.0848134211825182E-20</v>
      </c>
      <c r="H10" s="89">
        <v>2.0848134211825182E-20</v>
      </c>
      <c r="I10" s="89">
        <v>2.0848134211825182E-20</v>
      </c>
      <c r="J10" s="89">
        <v>2.0848134211825182E-20</v>
      </c>
      <c r="K10" s="89">
        <v>2.0848134211825182E-20</v>
      </c>
      <c r="L10" s="89">
        <v>2.0848134211825182E-20</v>
      </c>
      <c r="M10" s="89">
        <v>2.0848134211825182E-20</v>
      </c>
      <c r="N10" s="89">
        <v>2.0848134211825182E-20</v>
      </c>
    </row>
    <row r="11" spans="2:14">
      <c r="B11" s="37" t="s">
        <v>109</v>
      </c>
      <c r="C11" s="88">
        <v>2.2349178002482693E-20</v>
      </c>
      <c r="D11" s="89">
        <v>2.2349178002482693E-20</v>
      </c>
      <c r="E11" s="89">
        <v>2.2349178002482693E-20</v>
      </c>
      <c r="F11" s="89">
        <v>2.2349178002482693E-20</v>
      </c>
      <c r="G11" s="89">
        <v>2.2349178002482693E-20</v>
      </c>
      <c r="H11" s="89">
        <v>2.2349178002482693E-20</v>
      </c>
      <c r="I11" s="89">
        <v>2.2349178002482693E-20</v>
      </c>
      <c r="J11" s="89">
        <v>2.2349178002482693E-20</v>
      </c>
      <c r="K11" s="89">
        <v>2.2349178002482693E-20</v>
      </c>
      <c r="L11" s="89">
        <v>2.2349178002482693E-20</v>
      </c>
      <c r="M11" s="89">
        <v>2.2349178002482693E-20</v>
      </c>
      <c r="N11" s="89">
        <v>2.2349178002482693E-20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0.55872480764576027</v>
      </c>
      <c r="E17" s="90">
        <v>1</v>
      </c>
      <c r="F17" s="90">
        <v>0.77634078375635673</v>
      </c>
      <c r="G17" s="90">
        <v>0.8</v>
      </c>
      <c r="H17" s="90">
        <v>0.99395675986695309</v>
      </c>
      <c r="I17" s="29" t="s">
        <v>110</v>
      </c>
    </row>
    <row r="18" spans="2:33">
      <c r="B18" s="36" t="s">
        <v>105</v>
      </c>
      <c r="C18" s="91">
        <v>1.2</v>
      </c>
      <c r="D18" s="91">
        <v>0.64262733312583031</v>
      </c>
      <c r="E18" s="91">
        <v>1</v>
      </c>
      <c r="F18" s="91">
        <v>0.76944484716921036</v>
      </c>
      <c r="G18" s="91">
        <v>0.8</v>
      </c>
      <c r="H18" s="91">
        <v>0.89626236121259018</v>
      </c>
      <c r="I18" s="29" t="s">
        <v>110</v>
      </c>
    </row>
    <row r="19" spans="2:33">
      <c r="B19" s="36" t="s">
        <v>106</v>
      </c>
      <c r="C19" s="91">
        <v>1.2</v>
      </c>
      <c r="D19" s="91">
        <v>0.682866706150558</v>
      </c>
      <c r="E19" s="91">
        <v>1</v>
      </c>
      <c r="F19" s="91">
        <v>0.83620331607572651</v>
      </c>
      <c r="G19" s="91">
        <v>0.8</v>
      </c>
      <c r="H19" s="91">
        <v>0.98953992600089502</v>
      </c>
      <c r="I19" s="29" t="s">
        <v>110</v>
      </c>
    </row>
    <row r="20" spans="2:33">
      <c r="B20" s="36" t="s">
        <v>107</v>
      </c>
      <c r="C20" s="91">
        <v>1.2</v>
      </c>
      <c r="D20" s="91">
        <v>0.64856695964304167</v>
      </c>
      <c r="E20" s="91">
        <v>1</v>
      </c>
      <c r="F20" s="91">
        <v>0.80799200085120937</v>
      </c>
      <c r="G20" s="91">
        <v>0.8</v>
      </c>
      <c r="H20" s="91">
        <v>0.96741704205937706</v>
      </c>
    </row>
    <row r="21" spans="2:33">
      <c r="B21" s="36" t="s">
        <v>108</v>
      </c>
      <c r="C21" s="91">
        <v>1.2</v>
      </c>
      <c r="D21" s="91">
        <v>0.70995036245798815</v>
      </c>
      <c r="E21" s="91">
        <v>1</v>
      </c>
      <c r="F21" s="91">
        <v>0.73760039397649724</v>
      </c>
      <c r="G21" s="91">
        <v>0.8</v>
      </c>
      <c r="H21" s="91">
        <v>0.76525042549500633</v>
      </c>
    </row>
    <row r="22" spans="2:33">
      <c r="B22" s="37" t="s">
        <v>109</v>
      </c>
      <c r="C22" s="91">
        <v>1.2</v>
      </c>
      <c r="D22" s="91">
        <v>0.68311063676336492</v>
      </c>
      <c r="E22" s="91">
        <v>1</v>
      </c>
      <c r="F22" s="91">
        <v>0.74603745019773704</v>
      </c>
      <c r="G22" s="91">
        <v>0.8</v>
      </c>
      <c r="H22" s="91">
        <v>0.80896426363210905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2028</v>
      </c>
      <c r="E28" s="49"/>
      <c r="F28" s="45">
        <f>basic_info!$D$5-4</f>
        <v>2029</v>
      </c>
      <c r="G28" s="49"/>
      <c r="H28" s="45">
        <f>basic_info!$D$5-3</f>
        <v>2030</v>
      </c>
      <c r="I28" s="49"/>
      <c r="J28" s="45">
        <f>basic_info!$D$5-2</f>
        <v>2031</v>
      </c>
      <c r="K28" s="49"/>
      <c r="L28" s="45">
        <f>basic_info!$D$5-1</f>
        <v>2032</v>
      </c>
      <c r="N28" s="45">
        <f>basic_info!$D$5</f>
        <v>2033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2033</v>
      </c>
      <c r="D30" s="44">
        <v>0.68604024631083016</v>
      </c>
      <c r="E30" s="35">
        <v>0.68604024631083016</v>
      </c>
      <c r="F30" s="47">
        <v>0.69892836613039744</v>
      </c>
      <c r="G30" s="46">
        <v>0.69892836613039744</v>
      </c>
      <c r="H30" s="47">
        <v>0.72958384051727887</v>
      </c>
      <c r="I30" s="46">
        <v>0.72958384051727887</v>
      </c>
      <c r="J30" s="47">
        <v>0.88436510431531268</v>
      </c>
      <c r="K30" s="46">
        <v>0.88436510431531268</v>
      </c>
      <c r="L30" s="47">
        <v>0.81005940912065588</v>
      </c>
      <c r="M30" s="46">
        <v>0.81005940912065588</v>
      </c>
      <c r="N30" s="60"/>
      <c r="O30" s="71" t="s">
        <v>162</v>
      </c>
      <c r="P30" s="41">
        <f>M30+K30+I30+E30+G30</f>
        <v>3.808976966394475</v>
      </c>
      <c r="Q30" s="70"/>
    </row>
    <row r="31" spans="2:33">
      <c r="B31" s="36"/>
      <c r="C31" s="47">
        <f>basic_info!$D$5+1</f>
        <v>2034</v>
      </c>
      <c r="D31" s="76"/>
      <c r="E31" s="75"/>
      <c r="F31" s="69">
        <v>0.64970057869851594</v>
      </c>
      <c r="G31" s="79">
        <v>0.64970057869851594</v>
      </c>
      <c r="H31" s="61">
        <v>0.71232034054491844</v>
      </c>
      <c r="I31" s="62">
        <v>0.71232034054491844</v>
      </c>
      <c r="J31" s="61">
        <v>0.80679373337835147</v>
      </c>
      <c r="K31" s="62">
        <v>0.80679373337835147</v>
      </c>
      <c r="L31" s="61">
        <v>0.79105931339882707</v>
      </c>
      <c r="M31" s="62">
        <v>0.79105931339882707</v>
      </c>
      <c r="N31" s="63">
        <v>0.89043464716424103</v>
      </c>
      <c r="O31" s="89">
        <v>0.89043464716424103</v>
      </c>
      <c r="P31" s="63">
        <f>O31+M31+K31+I31+G31</f>
        <v>3.8503086131848541</v>
      </c>
    </row>
    <row r="32" spans="2:33">
      <c r="B32" s="36"/>
      <c r="C32" s="47">
        <f>basic_info!$D$5+2</f>
        <v>2035</v>
      </c>
      <c r="D32" s="76"/>
      <c r="E32" s="75"/>
      <c r="F32" s="75"/>
      <c r="G32" s="75"/>
      <c r="H32" s="69">
        <v>0.66346635976135726</v>
      </c>
      <c r="I32" s="79">
        <v>0.66346635976135726</v>
      </c>
      <c r="J32" s="61">
        <v>0.78732311045330217</v>
      </c>
      <c r="K32" s="62">
        <v>0.78732311045330217</v>
      </c>
      <c r="L32" s="61">
        <v>0.76298126753191375</v>
      </c>
      <c r="M32" s="62">
        <v>0.76298126753191375</v>
      </c>
      <c r="N32" s="63">
        <v>0.81829514605656817</v>
      </c>
      <c r="O32" s="89">
        <v>0.81829514605656817</v>
      </c>
      <c r="P32" s="63">
        <f>O32+M32+K32+I32</f>
        <v>3.0320658838031416</v>
      </c>
    </row>
    <row r="33" spans="2:17">
      <c r="B33" s="36"/>
      <c r="C33" s="47">
        <f>basic_info!$D$5+3</f>
        <v>2036</v>
      </c>
      <c r="D33" s="76"/>
      <c r="E33" s="75"/>
      <c r="F33" s="75"/>
      <c r="G33" s="75"/>
      <c r="H33" s="75"/>
      <c r="I33" s="75"/>
      <c r="J33" s="69">
        <v>0.74404547180831448</v>
      </c>
      <c r="K33" s="79">
        <v>0.74404547180831448</v>
      </c>
      <c r="L33" s="61">
        <v>0.69721272056293226</v>
      </c>
      <c r="M33" s="62">
        <v>0.69721272056293226</v>
      </c>
      <c r="N33" s="63">
        <v>0.76882835387956727</v>
      </c>
      <c r="O33" s="89">
        <v>0.76882835387956727</v>
      </c>
      <c r="P33" s="63">
        <f>O33+M33+K33</f>
        <v>2.2100865462508139</v>
      </c>
    </row>
    <row r="34" spans="2:17">
      <c r="B34" s="36"/>
      <c r="C34" s="47">
        <f>basic_info!$D$5+4</f>
        <v>2037</v>
      </c>
      <c r="D34" s="76"/>
      <c r="E34" s="75"/>
      <c r="F34" s="75"/>
      <c r="G34" s="75"/>
      <c r="H34" s="75"/>
      <c r="I34" s="75"/>
      <c r="J34" s="75"/>
      <c r="K34" s="75"/>
      <c r="L34" s="69">
        <v>0.65119834536612031</v>
      </c>
      <c r="M34" s="79">
        <v>0.65119834536612031</v>
      </c>
      <c r="N34" s="63">
        <v>0.76681790999338961</v>
      </c>
      <c r="O34" s="89">
        <v>0.76681790999338961</v>
      </c>
      <c r="P34" s="63">
        <f>O34+M34</f>
        <v>1.4180162553595099</v>
      </c>
    </row>
    <row r="35" spans="2:17">
      <c r="B35" s="37"/>
      <c r="C35" s="72">
        <f>basic_info!$D$5+5</f>
        <v>2038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0.74667387226521975</v>
      </c>
      <c r="O35" s="89">
        <v>0.74667387226521975</v>
      </c>
      <c r="P35" s="65">
        <f>O35</f>
        <v>0.74667387226521975</v>
      </c>
    </row>
    <row r="36" spans="2:17">
      <c r="B36" s="41" t="s">
        <v>113</v>
      </c>
      <c r="C36" s="36">
        <f>basic_info!$D$5</f>
        <v>2033</v>
      </c>
      <c r="D36" s="44">
        <v>0.86972962859272962</v>
      </c>
      <c r="E36" s="35">
        <v>0.86972962859272962</v>
      </c>
      <c r="F36" s="73">
        <v>1.0074343602156002</v>
      </c>
      <c r="G36" s="74">
        <v>1.0074343602156002</v>
      </c>
      <c r="H36" s="73">
        <v>0.97524463386379778</v>
      </c>
      <c r="I36" s="74">
        <v>0.97524463386379778</v>
      </c>
      <c r="J36" s="73">
        <v>1.1000244643116297</v>
      </c>
      <c r="K36" s="74">
        <v>1.1000244643116297</v>
      </c>
      <c r="L36" s="66">
        <v>0.99638980004158262</v>
      </c>
      <c r="M36" s="67">
        <v>0.99638980004158262</v>
      </c>
      <c r="N36" s="68"/>
      <c r="O36" s="71" t="s">
        <v>162</v>
      </c>
      <c r="P36" s="41">
        <f>M36+K36+I36+E36+G36</f>
        <v>4.9488228870253401</v>
      </c>
      <c r="Q36" s="70"/>
    </row>
    <row r="37" spans="2:17">
      <c r="B37" s="36"/>
      <c r="C37" s="47">
        <f>basic_info!$D$5+1</f>
        <v>2034</v>
      </c>
      <c r="D37" s="76"/>
      <c r="E37" s="75"/>
      <c r="F37" s="69">
        <v>0.9264638961553574</v>
      </c>
      <c r="G37" s="79">
        <v>0.9264638961553574</v>
      </c>
      <c r="H37" s="61">
        <v>0.9730984368342821</v>
      </c>
      <c r="I37" s="62">
        <v>0.9730984368342821</v>
      </c>
      <c r="J37" s="61">
        <v>1.0442678920247443</v>
      </c>
      <c r="K37" s="62">
        <v>1.0442678920247443</v>
      </c>
      <c r="L37" s="61">
        <v>0.98077290688446384</v>
      </c>
      <c r="M37" s="62">
        <v>0.98077290688446384</v>
      </c>
      <c r="N37" s="61">
        <v>1.1427414564900349</v>
      </c>
      <c r="O37" s="89">
        <v>1.1427414564900349</v>
      </c>
      <c r="P37" s="63">
        <f>O37+M37+K37+I37+G37</f>
        <v>5.0673445883888819</v>
      </c>
    </row>
    <row r="38" spans="2:17">
      <c r="B38" s="36"/>
      <c r="C38" s="47">
        <f>basic_info!$D$5+2</f>
        <v>2035</v>
      </c>
      <c r="D38" s="76"/>
      <c r="E38" s="75"/>
      <c r="F38" s="75"/>
      <c r="G38" s="75"/>
      <c r="H38" s="69">
        <v>0.8868314356505872</v>
      </c>
      <c r="I38" s="79">
        <v>0.8868314356505872</v>
      </c>
      <c r="J38" s="61">
        <v>0.99109879015775826</v>
      </c>
      <c r="K38" s="62">
        <v>0.99109879015775826</v>
      </c>
      <c r="L38" s="61">
        <v>0.95913227098070553</v>
      </c>
      <c r="M38" s="62">
        <v>0.95913227098070553</v>
      </c>
      <c r="N38" s="61">
        <v>1.0764485114091515</v>
      </c>
      <c r="O38" s="89">
        <v>1.0764485114091515</v>
      </c>
      <c r="P38" s="63">
        <f>O38+M38+K38+I38</f>
        <v>3.9135110081982027</v>
      </c>
    </row>
    <row r="39" spans="2:17">
      <c r="B39" s="36"/>
      <c r="C39" s="47">
        <f>basic_info!$D$5+3</f>
        <v>2036</v>
      </c>
      <c r="D39" s="76"/>
      <c r="E39" s="75"/>
      <c r="F39" s="75"/>
      <c r="G39" s="75"/>
      <c r="H39" s="75"/>
      <c r="I39" s="75"/>
      <c r="J39" s="69">
        <v>0.90685486632585532</v>
      </c>
      <c r="K39" s="79">
        <v>0.90685486632585532</v>
      </c>
      <c r="L39" s="61">
        <v>0.96722108921344618</v>
      </c>
      <c r="M39" s="62">
        <v>0.96722108921344618</v>
      </c>
      <c r="N39" s="61">
        <v>1.0731617478435744</v>
      </c>
      <c r="O39" s="89">
        <v>1.0731617478435744</v>
      </c>
      <c r="P39" s="63">
        <f>O39+M39+K39</f>
        <v>2.9472377033828758</v>
      </c>
    </row>
    <row r="40" spans="2:17">
      <c r="B40" s="36"/>
      <c r="C40" s="47">
        <f>basic_info!$D$5+4</f>
        <v>2037</v>
      </c>
      <c r="D40" s="76"/>
      <c r="E40" s="75"/>
      <c r="F40" s="75"/>
      <c r="G40" s="75"/>
      <c r="H40" s="75"/>
      <c r="I40" s="75"/>
      <c r="J40" s="75"/>
      <c r="K40" s="75"/>
      <c r="L40" s="69">
        <v>0.95287734881043429</v>
      </c>
      <c r="M40" s="79">
        <v>0.95287734881043429</v>
      </c>
      <c r="N40" s="61">
        <v>1.0551084650329126</v>
      </c>
      <c r="O40" s="89">
        <v>1.0551084650329126</v>
      </c>
      <c r="P40" s="63">
        <f>O40+M40</f>
        <v>2.0079858138433471</v>
      </c>
    </row>
    <row r="41" spans="2:17">
      <c r="B41" s="37"/>
      <c r="C41" s="72">
        <f>basic_info!$D$5+5</f>
        <v>2038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1.0463588497638703</v>
      </c>
      <c r="O41" s="89">
        <v>1.0463588497638703</v>
      </c>
      <c r="P41" s="64">
        <f>O41</f>
        <v>1.0463588497638703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5.8776668059191896E-22</v>
      </c>
      <c r="D6" s="93">
        <v>61.573492775271021</v>
      </c>
      <c r="E6" s="93">
        <v>0</v>
      </c>
      <c r="F6" s="93">
        <v>0</v>
      </c>
      <c r="G6" s="93">
        <v>38.426507224728987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48.964085183708441</v>
      </c>
      <c r="D7" s="93">
        <v>29.146405947042705</v>
      </c>
      <c r="E7" s="93">
        <v>0</v>
      </c>
      <c r="F7" s="93">
        <v>17.511606446002283</v>
      </c>
      <c r="G7" s="93">
        <v>4.37790242324657</v>
      </c>
      <c r="H7" s="97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2.3390596660965894E-21</v>
      </c>
      <c r="D8" s="93">
        <v>2.3485694762222495E-20</v>
      </c>
      <c r="E8" s="93">
        <v>100</v>
      </c>
      <c r="F8" s="93">
        <v>5.5186659284733659E-21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74.999999999999872</v>
      </c>
      <c r="D9" s="93">
        <v>9.0586505378903782E-22</v>
      </c>
      <c r="E9" s="93">
        <v>3.018020442945914E-22</v>
      </c>
      <c r="F9" s="93">
        <v>25.000000000000124</v>
      </c>
      <c r="G9" s="93">
        <v>8.0480550772432178E-23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5.4044535600526418</v>
      </c>
      <c r="D10" s="93">
        <v>42.095146736217046</v>
      </c>
      <c r="E10" s="93">
        <v>0</v>
      </c>
      <c r="F10" s="93">
        <v>37.059106029677935</v>
      </c>
      <c r="G10" s="93">
        <v>15.441293674052375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45.787746778086451</v>
      </c>
      <c r="D11" s="94">
        <v>31.165523271414859</v>
      </c>
      <c r="E11" s="94">
        <v>0</v>
      </c>
      <c r="F11" s="94">
        <v>23.04672995049869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37.401597416735321</v>
      </c>
      <c r="D19" s="44">
        <f>100-$C$19</f>
        <v>62.598402583264679</v>
      </c>
      <c r="E19" s="94">
        <v>43.275946956779975</v>
      </c>
      <c r="F19" s="33">
        <f>100-$E$19</f>
        <v>56.724053043220025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14.392461036968749</v>
      </c>
      <c r="D27" s="93">
        <v>24.245659837363554</v>
      </c>
      <c r="E27" s="93">
        <v>17.468126581043659</v>
      </c>
      <c r="F27" s="93">
        <v>17.135597161602547</v>
      </c>
      <c r="G27" s="95">
        <v>14.238492548479481</v>
      </c>
      <c r="N27" s="50"/>
      <c r="O27" s="50"/>
      <c r="P27" s="50"/>
    </row>
    <row r="28" spans="2:16">
      <c r="B28" s="45" t="s">
        <v>46</v>
      </c>
      <c r="C28" s="93">
        <v>17.646578087934472</v>
      </c>
      <c r="D28" s="93">
        <v>75.754340162636439</v>
      </c>
      <c r="E28" s="93">
        <v>82.531873418956337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67.960960875096774</v>
      </c>
      <c r="D29" s="93">
        <v>0</v>
      </c>
      <c r="E29" s="93">
        <v>0</v>
      </c>
      <c r="F29" s="93">
        <v>82.864402838397453</v>
      </c>
      <c r="G29" s="95">
        <v>85.761507451520515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35.773778070149866</v>
      </c>
      <c r="D37" s="93">
        <v>35.773778070149866</v>
      </c>
      <c r="E37" s="93">
        <v>35.773778070149866</v>
      </c>
      <c r="F37" s="93">
        <v>35.773778070149866</v>
      </c>
      <c r="G37" s="93">
        <v>35.773778070149866</v>
      </c>
      <c r="H37" s="93">
        <v>35.773778070149866</v>
      </c>
      <c r="I37" s="93">
        <v>35.773778070149866</v>
      </c>
      <c r="J37" s="93">
        <v>35.773778070149866</v>
      </c>
      <c r="K37" s="93">
        <v>35.773778070149866</v>
      </c>
      <c r="L37" s="93">
        <v>35.773778070149866</v>
      </c>
      <c r="M37" s="93">
        <v>35.773778070149866</v>
      </c>
      <c r="N37" s="95">
        <v>35.773778070149866</v>
      </c>
    </row>
    <row r="38" spans="2:14">
      <c r="B38" s="45" t="s">
        <v>46</v>
      </c>
      <c r="C38" s="93">
        <v>48.387096774193552</v>
      </c>
      <c r="D38" s="93">
        <v>48.387096774193552</v>
      </c>
      <c r="E38" s="93">
        <v>48.387096774193552</v>
      </c>
      <c r="F38" s="93">
        <v>48.387096774193552</v>
      </c>
      <c r="G38" s="93">
        <v>48.387096774193552</v>
      </c>
      <c r="H38" s="93">
        <v>48.387096774193552</v>
      </c>
      <c r="I38" s="93">
        <v>48.387096774193552</v>
      </c>
      <c r="J38" s="93">
        <v>48.387096774193552</v>
      </c>
      <c r="K38" s="93">
        <v>48.387096774193552</v>
      </c>
      <c r="L38" s="93">
        <v>48.387096774193552</v>
      </c>
      <c r="M38" s="93">
        <v>48.387096774193552</v>
      </c>
      <c r="N38" s="95">
        <v>48.387096774193552</v>
      </c>
    </row>
    <row r="39" spans="2:14">
      <c r="B39" s="45" t="s">
        <v>59</v>
      </c>
      <c r="C39" s="94">
        <v>44.922800502423954</v>
      </c>
      <c r="D39" s="94">
        <v>44.922800502423954</v>
      </c>
      <c r="E39" s="94">
        <v>44.922800502423954</v>
      </c>
      <c r="F39" s="94">
        <v>44.922800502423954</v>
      </c>
      <c r="G39" s="94">
        <v>44.922800502423954</v>
      </c>
      <c r="H39" s="94">
        <v>44.922800502423954</v>
      </c>
      <c r="I39" s="94">
        <v>44.922800502423954</v>
      </c>
      <c r="J39" s="94">
        <v>44.922800502423954</v>
      </c>
      <c r="K39" s="94">
        <v>44.922800502423954</v>
      </c>
      <c r="L39" s="94">
        <v>44.922800502423954</v>
      </c>
      <c r="M39" s="94">
        <v>44.922800502423954</v>
      </c>
      <c r="N39" s="89">
        <v>44.922800502423954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64075.715237429053</v>
      </c>
      <c r="L7" s="182"/>
      <c r="M7" s="182" t="s">
        <v>356</v>
      </c>
      <c r="S7" s="187">
        <f>SUM(ORA!$D$127:$O$127)</f>
        <v>272485089.6544596</v>
      </c>
    </row>
    <row r="8" spans="1:20">
      <c r="A8" s="182"/>
      <c r="B8" s="182" t="s">
        <v>357</v>
      </c>
      <c r="G8" s="185"/>
      <c r="H8" s="188">
        <f>SUM(POJ!$D$116:$O$116)</f>
        <v>45299.107506385117</v>
      </c>
      <c r="L8" s="182"/>
      <c r="M8" s="182" t="s">
        <v>357</v>
      </c>
      <c r="S8" s="189">
        <f>SUM(POJ!$D$127:$O$127)</f>
        <v>317093752.54469579</v>
      </c>
    </row>
    <row r="9" spans="1:20">
      <c r="A9" s="182"/>
      <c r="B9" s="182" t="s">
        <v>358</v>
      </c>
      <c r="G9" s="185"/>
      <c r="H9" s="188">
        <f>SUM(ROJ!$D$116:$O$116)</f>
        <v>30790.020119272605</v>
      </c>
      <c r="L9" s="182"/>
      <c r="M9" s="182" t="s">
        <v>358</v>
      </c>
      <c r="S9" s="189">
        <f>SUM(ROJ!$D$127:$O$127)</f>
        <v>234004152.90647179</v>
      </c>
    </row>
    <row r="10" spans="1:20">
      <c r="A10" s="182"/>
      <c r="B10" s="182" t="s">
        <v>359</v>
      </c>
      <c r="G10" s="185"/>
      <c r="H10" s="190">
        <f>SUM(FCOJ!$D$116:$O$116)</f>
        <v>31376.653190150773</v>
      </c>
      <c r="L10" s="182"/>
      <c r="M10" s="182" t="s">
        <v>359</v>
      </c>
      <c r="S10" s="191">
        <f>SUM(FCOJ!$D$127:$O$127)</f>
        <v>157834172.6904023</v>
      </c>
    </row>
    <row r="11" spans="1:20">
      <c r="A11" s="182"/>
      <c r="B11" s="182"/>
      <c r="G11" s="185"/>
      <c r="M11" s="182" t="s">
        <v>360</v>
      </c>
      <c r="T11" s="192">
        <f>SUM($S$7:$S$10)</f>
        <v>981417167.79602933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176322.77869357367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3.808976966394475</v>
      </c>
      <c r="L14" s="182"/>
      <c r="M14" s="182" t="s">
        <v>365</v>
      </c>
      <c r="S14" s="187">
        <f>SUM(grove!$C$58:$AX$63)</f>
        <v>230178575.7245599</v>
      </c>
    </row>
    <row r="15" spans="1:20">
      <c r="A15" s="182"/>
      <c r="B15" s="182" t="s">
        <v>366</v>
      </c>
      <c r="G15" s="185"/>
      <c r="H15" s="190">
        <f>raw_materials!$P$36</f>
        <v>4.9488228870253401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5859.4850898388277</v>
      </c>
    </row>
    <row r="16" spans="1:20">
      <c r="A16" s="182"/>
      <c r="B16" s="182" t="s">
        <v>368</v>
      </c>
      <c r="G16" s="185"/>
      <c r="H16" s="194">
        <v>45261.874968677817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9850.6043371723772</v>
      </c>
    </row>
    <row r="17" spans="1:21">
      <c r="A17" s="182"/>
      <c r="B17" s="182" t="s">
        <v>370</v>
      </c>
      <c r="G17" s="185"/>
      <c r="H17" s="195">
        <v>62714.845538335743</v>
      </c>
      <c r="L17" s="182"/>
      <c r="M17" s="182" t="s">
        <v>371</v>
      </c>
      <c r="S17" s="189">
        <v>35280566.320077501</v>
      </c>
    </row>
    <row r="18" spans="1:21">
      <c r="A18" s="182"/>
      <c r="B18" s="182" t="s">
        <v>372</v>
      </c>
      <c r="G18" s="185"/>
      <c r="H18" s="196">
        <v>30082.902252362386</v>
      </c>
      <c r="L18" s="182"/>
      <c r="M18" s="182" t="s">
        <v>373</v>
      </c>
      <c r="S18" s="191">
        <v>1573.7118818081574</v>
      </c>
    </row>
    <row r="19" spans="1:21">
      <c r="A19" s="182"/>
      <c r="B19" s="182" t="s">
        <v>374</v>
      </c>
      <c r="G19" s="185"/>
      <c r="H19" s="195">
        <v>2903.6260821875885</v>
      </c>
      <c r="L19" s="182"/>
      <c r="M19" s="182" t="s">
        <v>375</v>
      </c>
      <c r="S19" s="197" t="s">
        <v>376</v>
      </c>
      <c r="T19" s="198">
        <f>SUM($S$14:$S$18)</f>
        <v>265476425.84594625</v>
      </c>
      <c r="U19" s="100" t="s">
        <v>377</v>
      </c>
    </row>
    <row r="20" spans="1:21">
      <c r="A20" s="182"/>
      <c r="B20" s="182" t="s">
        <v>378</v>
      </c>
      <c r="G20" s="185"/>
      <c r="H20" s="190">
        <v>0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90523749.937355727</v>
      </c>
    </row>
    <row r="23" spans="1:21">
      <c r="A23" s="182"/>
      <c r="B23" s="182" t="s">
        <v>382</v>
      </c>
      <c r="G23" s="185"/>
      <c r="H23" s="186">
        <f>SUM(raw_materials!$O$31:$O$35)</f>
        <v>3.9910499293589856</v>
      </c>
      <c r="L23" s="182"/>
      <c r="M23" s="182" t="s">
        <v>383</v>
      </c>
      <c r="S23" s="189">
        <v>62714845.538335718</v>
      </c>
    </row>
    <row r="24" spans="1:21">
      <c r="A24" s="182"/>
      <c r="B24" s="182" t="s">
        <v>384</v>
      </c>
      <c r="G24" s="185"/>
      <c r="H24" s="190">
        <f>SUM(raw_materials!$O$37:$O$41)</f>
        <v>5.3938190305395439</v>
      </c>
      <c r="L24" s="182"/>
      <c r="M24" s="182" t="s">
        <v>385</v>
      </c>
      <c r="S24" s="191">
        <v>19553886.464035548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172792481.93972698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9749340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33063700.759906374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3644079.4877727511</v>
      </c>
    </row>
    <row r="31" spans="1:21">
      <c r="L31" s="182"/>
      <c r="M31" s="182" t="s">
        <v>396</v>
      </c>
      <c r="S31" s="191">
        <f>SUM(ORA!D138:O138)+SUM(POJ!D138:O138)+SUM(ROJ!D138:O138)+SUM(FCOJ!D138:O138)</f>
        <v>116710852.30138373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163167972.54906285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27407500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9510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53889510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326090777.46129322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0.55691696018004411</v>
      </c>
      <c r="D5" s="100">
        <v>0.60442672181758672</v>
      </c>
      <c r="E5" s="100">
        <v>0.80418657818694239</v>
      </c>
      <c r="F5" s="100">
        <v>0.67493952824339576</v>
      </c>
      <c r="G5" s="100">
        <v>0.64422250208834531</v>
      </c>
      <c r="H5" s="100">
        <v>0.64664720810661802</v>
      </c>
      <c r="I5" s="100">
        <v>0.68065632452108082</v>
      </c>
      <c r="J5" s="100">
        <v>0.57431561246659879</v>
      </c>
      <c r="K5" s="100">
        <v>0.70481709829076045</v>
      </c>
      <c r="L5" s="100">
        <v>0.52868368610275773</v>
      </c>
      <c r="M5" s="100">
        <v>0.76459459344971048</v>
      </c>
      <c r="N5" s="100">
        <v>0.54929613859906534</v>
      </c>
    </row>
    <row r="6" spans="2:14">
      <c r="B6" s="171" t="s">
        <v>105</v>
      </c>
      <c r="C6" s="100">
        <v>0.71647757729296102</v>
      </c>
      <c r="D6" s="100">
        <v>0.68485818168727797</v>
      </c>
      <c r="E6" s="100">
        <v>0.7292459073123837</v>
      </c>
      <c r="F6" s="100">
        <v>0.72177385565724417</v>
      </c>
      <c r="G6" s="100">
        <v>0.81337773062108798</v>
      </c>
      <c r="H6" s="100">
        <v>0.8008710570923564</v>
      </c>
      <c r="I6" s="100">
        <v>0.71692528792236321</v>
      </c>
      <c r="J6" s="100">
        <v>0.67838058237461452</v>
      </c>
      <c r="K6" s="100">
        <v>0.67867890184493174</v>
      </c>
      <c r="L6" s="100">
        <v>0.71575633502534874</v>
      </c>
      <c r="M6" s="100">
        <v>0.64843568884738922</v>
      </c>
      <c r="N6" s="100">
        <v>0.6772165027570356</v>
      </c>
    </row>
    <row r="7" spans="2:14">
      <c r="B7" s="171" t="s">
        <v>106</v>
      </c>
      <c r="C7" s="100">
        <v>0.74149754906949294</v>
      </c>
      <c r="D7" s="100">
        <v>0.72191662410112656</v>
      </c>
      <c r="E7" s="100">
        <v>0.7149810795274083</v>
      </c>
      <c r="F7" s="100">
        <v>0.99218892365869615</v>
      </c>
      <c r="G7" s="100">
        <v>0.72731096838283893</v>
      </c>
      <c r="H7" s="100">
        <v>0.67198686570596633</v>
      </c>
      <c r="I7" s="100">
        <v>1.1000000000000001</v>
      </c>
      <c r="J7" s="100">
        <v>0.90717083686862687</v>
      </c>
      <c r="K7" s="100">
        <v>0.7099040886975192</v>
      </c>
      <c r="L7" s="100">
        <v>0.69743846800277576</v>
      </c>
      <c r="M7" s="100">
        <v>0.68252531419958806</v>
      </c>
      <c r="N7" s="100">
        <v>0.68252792285596886</v>
      </c>
    </row>
    <row r="8" spans="2:14">
      <c r="B8" s="171" t="s">
        <v>107</v>
      </c>
      <c r="C8" s="100">
        <v>0.71964975704043277</v>
      </c>
      <c r="D8" s="100">
        <v>0.82859723653416251</v>
      </c>
      <c r="E8" s="100">
        <v>0.66472334153068124</v>
      </c>
      <c r="F8" s="100">
        <v>0.71148950392418742</v>
      </c>
      <c r="G8" s="100">
        <v>0.6618216768952534</v>
      </c>
      <c r="H8" s="100">
        <v>1.1000000000000001</v>
      </c>
      <c r="I8" s="100">
        <v>0.78939095373612389</v>
      </c>
      <c r="J8" s="100">
        <v>0.683339722564136</v>
      </c>
      <c r="K8" s="100">
        <v>0.70071216055271279</v>
      </c>
      <c r="L8" s="100">
        <v>0.68553864517293339</v>
      </c>
      <c r="M8" s="100">
        <v>0.66940716830906244</v>
      </c>
      <c r="N8" s="100">
        <v>0.66601623125752729</v>
      </c>
    </row>
    <row r="9" spans="2:14">
      <c r="B9" s="171" t="s">
        <v>108</v>
      </c>
      <c r="C9" s="100">
        <v>2.0987371599674227</v>
      </c>
      <c r="D9" s="100">
        <v>2.0211364841461181</v>
      </c>
      <c r="E9" s="100">
        <v>2.0950456893444063</v>
      </c>
      <c r="F9" s="100">
        <v>2.0437465405464175</v>
      </c>
      <c r="G9" s="100">
        <v>2.105108586549759</v>
      </c>
      <c r="H9" s="100">
        <v>2.0423786497116088</v>
      </c>
      <c r="I9" s="100">
        <v>2.035249856710434</v>
      </c>
      <c r="J9" s="100">
        <v>2.0363420462608337</v>
      </c>
      <c r="K9" s="100">
        <v>2.0126980459690094</v>
      </c>
      <c r="L9" s="100">
        <v>2.0884823417663574</v>
      </c>
      <c r="M9" s="100">
        <v>2.0153225696086885</v>
      </c>
      <c r="N9" s="100">
        <v>2.0659725403785707</v>
      </c>
    </row>
    <row r="10" spans="2:14">
      <c r="B10" s="171" t="s">
        <v>109</v>
      </c>
      <c r="C10" s="100">
        <v>0.62926066517829893</v>
      </c>
      <c r="D10" s="100">
        <v>0.67743217945098877</v>
      </c>
      <c r="E10" s="100">
        <v>0.69755997061729436</v>
      </c>
      <c r="F10" s="100">
        <v>0.63699959516525273</v>
      </c>
      <c r="G10" s="100">
        <v>0.63796172738075263</v>
      </c>
      <c r="H10" s="100">
        <v>0.62098231315612795</v>
      </c>
      <c r="I10" s="100">
        <v>0.68294960856437681</v>
      </c>
      <c r="J10" s="100">
        <v>0.65771056413650519</v>
      </c>
      <c r="K10" s="100">
        <v>0.67018917202949524</v>
      </c>
      <c r="L10" s="100">
        <v>0.66621892452239995</v>
      </c>
      <c r="M10" s="100">
        <v>0.64648293852806094</v>
      </c>
      <c r="N10" s="100">
        <v>0.6943810820579529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0.35755200071666227</v>
      </c>
      <c r="D14" s="101">
        <v>0.35887918854978879</v>
      </c>
      <c r="E14" s="101">
        <v>0.3602026419188587</v>
      </c>
      <c r="F14" s="101">
        <v>0.36151863686791497</v>
      </c>
      <c r="G14" s="101">
        <v>0.36282347042763152</v>
      </c>
      <c r="H14" s="100">
        <v>0.36411347103479258</v>
      </c>
      <c r="I14" s="100">
        <v>0.36538500886340047</v>
      </c>
      <c r="J14" s="100">
        <v>0.36663450603834291</v>
      </c>
      <c r="K14" s="100">
        <v>0.36785844670287982</v>
      </c>
      <c r="L14" s="100">
        <v>0.36905338691162121</v>
      </c>
      <c r="M14" s="100">
        <v>0.37021596432116133</v>
      </c>
      <c r="N14" s="100">
        <v>0.37134290765109756</v>
      </c>
    </row>
    <row r="15" spans="2:14">
      <c r="B15" s="170" t="s">
        <v>318</v>
      </c>
      <c r="C15" s="100">
        <v>1.1522859726558823</v>
      </c>
      <c r="D15" s="100">
        <v>1.1553410725736684</v>
      </c>
      <c r="E15" s="100">
        <v>1.1583875759985187</v>
      </c>
      <c r="F15" s="100">
        <v>1.1614169106264569</v>
      </c>
      <c r="G15" s="100">
        <v>1.1644205524633653</v>
      </c>
      <c r="H15" s="100">
        <v>1.1673900498099448</v>
      </c>
      <c r="I15" s="100">
        <v>1.1703170470432536</v>
      </c>
      <c r="J15" s="100">
        <v>1.173193308127902</v>
      </c>
      <c r="K15" s="100">
        <v>1.1760107397907531</v>
      </c>
      <c r="L15" s="100">
        <v>1.1787614142939133</v>
      </c>
      <c r="M15" s="100">
        <v>1.181437591741938</v>
      </c>
      <c r="N15" s="100">
        <v>1.1840317418604838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0.55691696018004411</v>
      </c>
      <c r="D19" s="100">
        <f t="shared" ref="D19:N20" si="0">D5</f>
        <v>0.60442672181758672</v>
      </c>
      <c r="E19" s="100">
        <f t="shared" si="0"/>
        <v>0.80418657818694239</v>
      </c>
      <c r="F19" s="100">
        <f t="shared" si="0"/>
        <v>0.67493952824339576</v>
      </c>
      <c r="G19" s="100">
        <f t="shared" si="0"/>
        <v>0.64422250208834531</v>
      </c>
      <c r="H19" s="100">
        <f t="shared" si="0"/>
        <v>0.64664720810661802</v>
      </c>
      <c r="I19" s="100">
        <f t="shared" si="0"/>
        <v>0.68065632452108082</v>
      </c>
      <c r="J19" s="100">
        <f t="shared" si="0"/>
        <v>0.57431561246659879</v>
      </c>
      <c r="K19" s="100">
        <f t="shared" si="0"/>
        <v>0.70481709829076045</v>
      </c>
      <c r="L19" s="100">
        <f t="shared" si="0"/>
        <v>0.52868368610275773</v>
      </c>
      <c r="M19" s="100">
        <f t="shared" si="0"/>
        <v>0.76459459344971048</v>
      </c>
      <c r="N19" s="100">
        <f t="shared" si="0"/>
        <v>0.54929613859906534</v>
      </c>
    </row>
    <row r="20" spans="2:14">
      <c r="B20" s="173" t="s">
        <v>105</v>
      </c>
      <c r="C20" s="100">
        <f>C6</f>
        <v>0.71647757729296102</v>
      </c>
      <c r="D20" s="100">
        <f t="shared" si="0"/>
        <v>0.68485818168727797</v>
      </c>
      <c r="E20" s="100">
        <f t="shared" si="0"/>
        <v>0.7292459073123837</v>
      </c>
      <c r="F20" s="100">
        <f t="shared" si="0"/>
        <v>0.72177385565724417</v>
      </c>
      <c r="G20" s="100">
        <f t="shared" si="0"/>
        <v>0.81337773062108798</v>
      </c>
      <c r="H20" s="100">
        <f t="shared" si="0"/>
        <v>0.8008710570923564</v>
      </c>
      <c r="I20" s="100">
        <f t="shared" si="0"/>
        <v>0.71692528792236321</v>
      </c>
      <c r="J20" s="100">
        <f t="shared" si="0"/>
        <v>0.67838058237461452</v>
      </c>
      <c r="K20" s="100">
        <f t="shared" si="0"/>
        <v>0.67867890184493174</v>
      </c>
      <c r="L20" s="100">
        <f t="shared" si="0"/>
        <v>0.71575633502534874</v>
      </c>
      <c r="M20" s="100">
        <f t="shared" si="0"/>
        <v>0.64843568884738922</v>
      </c>
      <c r="N20" s="100">
        <f t="shared" si="0"/>
        <v>0.6772165027570356</v>
      </c>
    </row>
    <row r="21" spans="2:14">
      <c r="B21" s="173" t="s">
        <v>106</v>
      </c>
      <c r="C21" s="100">
        <f t="shared" ref="C21:N22" si="1">C7</f>
        <v>0.74149754906949294</v>
      </c>
      <c r="D21" s="100">
        <f t="shared" si="1"/>
        <v>0.72191662410112656</v>
      </c>
      <c r="E21" s="100">
        <f t="shared" si="1"/>
        <v>0.7149810795274083</v>
      </c>
      <c r="F21" s="100">
        <f t="shared" si="1"/>
        <v>0.99218892365869615</v>
      </c>
      <c r="G21" s="100">
        <f t="shared" si="1"/>
        <v>0.72731096838283893</v>
      </c>
      <c r="H21" s="100">
        <f t="shared" si="1"/>
        <v>0.67198686570596633</v>
      </c>
      <c r="I21" s="100">
        <f t="shared" si="1"/>
        <v>1.1000000000000001</v>
      </c>
      <c r="J21" s="100">
        <f t="shared" si="1"/>
        <v>0.90717083686862687</v>
      </c>
      <c r="K21" s="100">
        <f t="shared" si="1"/>
        <v>0.7099040886975192</v>
      </c>
      <c r="L21" s="100">
        <f t="shared" si="1"/>
        <v>0.69743846800277576</v>
      </c>
      <c r="M21" s="100">
        <f t="shared" si="1"/>
        <v>0.68252531419958806</v>
      </c>
      <c r="N21" s="100">
        <f t="shared" si="1"/>
        <v>0.68252792285596886</v>
      </c>
    </row>
    <row r="22" spans="2:14">
      <c r="B22" s="173" t="s">
        <v>107</v>
      </c>
      <c r="C22" s="100">
        <f t="shared" si="1"/>
        <v>0.71964975704043277</v>
      </c>
      <c r="D22" s="100">
        <f t="shared" si="1"/>
        <v>0.82859723653416251</v>
      </c>
      <c r="E22" s="100">
        <f t="shared" si="1"/>
        <v>0.66472334153068124</v>
      </c>
      <c r="F22" s="100">
        <f t="shared" si="1"/>
        <v>0.71148950392418742</v>
      </c>
      <c r="G22" s="100">
        <f t="shared" si="1"/>
        <v>0.6618216768952534</v>
      </c>
      <c r="H22" s="100">
        <f t="shared" si="1"/>
        <v>1.1000000000000001</v>
      </c>
      <c r="I22" s="100">
        <f t="shared" si="1"/>
        <v>0.78939095373612389</v>
      </c>
      <c r="J22" s="100">
        <f t="shared" si="1"/>
        <v>0.683339722564136</v>
      </c>
      <c r="K22" s="100">
        <f t="shared" si="1"/>
        <v>0.70071216055271279</v>
      </c>
      <c r="L22" s="100">
        <f t="shared" si="1"/>
        <v>0.68553864517293339</v>
      </c>
      <c r="M22" s="100">
        <f t="shared" si="1"/>
        <v>0.66940716830906244</v>
      </c>
      <c r="N22" s="100">
        <f t="shared" si="1"/>
        <v>0.66601623125752729</v>
      </c>
    </row>
    <row r="23" spans="2:14">
      <c r="B23" s="173" t="s">
        <v>108</v>
      </c>
      <c r="C23" s="100">
        <f>C9*C14</f>
        <v>0.75040767052475765</v>
      </c>
      <c r="D23" s="100">
        <f t="shared" ref="D23:N24" si="2">D9*D14</f>
        <v>0.72534382137873188</v>
      </c>
      <c r="E23" s="100">
        <f t="shared" si="2"/>
        <v>0.75464099224257164</v>
      </c>
      <c r="F23" s="100">
        <f t="shared" si="2"/>
        <v>0.73885246344185773</v>
      </c>
      <c r="G23" s="100">
        <f t="shared" si="2"/>
        <v>0.76378280299898971</v>
      </c>
      <c r="H23" s="100">
        <f t="shared" si="2"/>
        <v>0.74365757931384668</v>
      </c>
      <c r="I23" s="100">
        <f t="shared" si="2"/>
        <v>0.74364978693337647</v>
      </c>
      <c r="J23" s="100">
        <f t="shared" si="2"/>
        <v>0.74659326025594919</v>
      </c>
      <c r="K23" s="100">
        <f t="shared" si="2"/>
        <v>0.74038797687208113</v>
      </c>
      <c r="L23" s="100">
        <f t="shared" si="2"/>
        <v>0.77076148173398817</v>
      </c>
      <c r="M23" s="100">
        <f t="shared" si="2"/>
        <v>0.74610458852588135</v>
      </c>
      <c r="N23" s="100">
        <f t="shared" si="2"/>
        <v>0.76718425027150305</v>
      </c>
    </row>
    <row r="24" spans="2:14">
      <c r="B24" s="173" t="s">
        <v>109</v>
      </c>
      <c r="C24" s="100">
        <f>C10*C15</f>
        <v>0.7250882376290636</v>
      </c>
      <c r="D24" s="100">
        <f t="shared" si="2"/>
        <v>0.78266522080282319</v>
      </c>
      <c r="E24" s="100">
        <f t="shared" si="2"/>
        <v>0.8080448034769655</v>
      </c>
      <c r="F24" s="100">
        <f t="shared" si="2"/>
        <v>0.7398221018871316</v>
      </c>
      <c r="G24" s="100">
        <f t="shared" si="2"/>
        <v>0.74285574704717883</v>
      </c>
      <c r="H24" s="100">
        <f t="shared" si="2"/>
        <v>0.72492857348642692</v>
      </c>
      <c r="I24" s="100">
        <f t="shared" si="2"/>
        <v>0.79926756917440733</v>
      </c>
      <c r="J24" s="100">
        <f t="shared" si="2"/>
        <v>0.77162163252997518</v>
      </c>
      <c r="K24" s="100">
        <f t="shared" si="2"/>
        <v>0.788149663998159</v>
      </c>
      <c r="L24" s="100">
        <f t="shared" si="2"/>
        <v>0.78531316169939402</v>
      </c>
      <c r="M24" s="100">
        <f t="shared" si="2"/>
        <v>0.76377924599684366</v>
      </c>
      <c r="N24" s="100">
        <f t="shared" si="2"/>
        <v>0.82216924210404552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1.2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0.8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1.2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1.2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0.8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0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1.2</v>
      </c>
      <c r="I30" s="100">
        <f>IF(I21&lt;=raw_materials!$D19,raw_materials!$C19,IF(I21&lt;=raw_materials!$F19,raw_materials!$E19,IF(I21&lt;=raw_materials!$H19,raw_materials!$G19,0)))</f>
        <v>0</v>
      </c>
      <c r="J30" s="100">
        <f>IF(J21&lt;=raw_materials!$D19,raw_materials!$C19,IF(J21&lt;=raw_materials!$F19,raw_materials!$E19,IF(J21&lt;=raw_materials!$H19,raw_materials!$G19,0)))</f>
        <v>0.8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1.2</v>
      </c>
      <c r="N30" s="100">
        <f>IF(N21&lt;=raw_materials!$D19,raw_materials!$C19,IF(N21&lt;=raw_materials!$F19,raw_materials!$E19,IF(N21&lt;=raw_materials!$H19,raw_materials!$G19,0)))</f>
        <v>1.2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0.8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0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1</v>
      </c>
      <c r="E32" s="100">
        <f>IF(E23&lt;=raw_materials!$D21,raw_materials!$C21,IF(E23&lt;=raw_materials!$F21,raw_materials!$E21,IF(E23&lt;=raw_materials!$H21,raw_materials!$G21,0)))</f>
        <v>0.8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0.8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0.8</v>
      </c>
      <c r="J32" s="100">
        <f>IF(J23&lt;=raw_materials!$D21,raw_materials!$C21,IF(J23&lt;=raw_materials!$F21,raw_materials!$E21,IF(J23&lt;=raw_materials!$H21,raw_materials!$G21,0)))</f>
        <v>0.8</v>
      </c>
      <c r="K32" s="100">
        <f>IF(K23&lt;=raw_materials!$D21,raw_materials!$C21,IF(K23&lt;=raw_materials!$F21,raw_materials!$E21,IF(K23&lt;=raw_materials!$H21,raw_materials!$G21,0)))</f>
        <v>0.8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0.8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</v>
      </c>
      <c r="D33" s="100">
        <f>IF(D24&lt;=raw_materials!$D22,raw_materials!$C22,IF(D24&lt;=raw_materials!$F22,raw_materials!$E22,IF(D24&lt;=raw_materials!$H22,raw_materials!$G22,0)))</f>
        <v>0.8</v>
      </c>
      <c r="E33" s="100">
        <f>IF(E24&lt;=raw_materials!$D22,raw_materials!$C22,IF(E24&lt;=raw_materials!$F22,raw_materials!$E22,IF(E24&lt;=raw_materials!$H22,raw_materials!$G22,0)))</f>
        <v>0.8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0.8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0.8</v>
      </c>
      <c r="L33" s="100">
        <f>IF(L24&lt;=raw_materials!$D22,raw_materials!$C22,IF(L24&lt;=raw_materials!$F22,raw_materials!$E22,IF(L24&lt;=raw_materials!$H22,raw_materials!$G22,0)))</f>
        <v>0.8</v>
      </c>
      <c r="M33" s="100">
        <f>IF(M24&lt;=raw_materials!$D22,raw_materials!$C22,IF(M24&lt;=raw_materials!$F22,raw_materials!$E22,IF(M24&lt;=raw_materials!$H22,raw_materials!$G22,0)))</f>
        <v>0.8</v>
      </c>
      <c r="N33" s="100">
        <f>IF(N24&lt;=raw_materials!$D22,raw_materials!$C22,IF(N24&lt;=raw_materials!$F22,raw_materials!$E22,IF(N24&lt;=raw_materials!$H22,raw_materials!$G22,0)))</f>
        <v>0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10219.398331680677</v>
      </c>
      <c r="M38" s="100">
        <v>2560.3119238151203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18187.998737515787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10866.991654585612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10867.464742346194</v>
      </c>
      <c r="S39" s="100">
        <v>10890.15903981938</v>
      </c>
      <c r="T39" s="100">
        <v>10912.799242509473</v>
      </c>
      <c r="U39" s="100">
        <v>6248.7895433641797</v>
      </c>
      <c r="V39" s="100">
        <v>15654.14681988405</v>
      </c>
      <c r="W39" s="100">
        <v>15686.226899584581</v>
      </c>
      <c r="X39" s="100">
        <v>15718.208923065331</v>
      </c>
      <c r="Y39" s="100">
        <v>1575.0087730770529</v>
      </c>
      <c r="Z39" s="100">
        <v>15781.858178949733</v>
      </c>
      <c r="AA39" s="100">
        <v>15813.515140569893</v>
      </c>
      <c r="AB39" s="100">
        <v>11091.537454357509</v>
      </c>
      <c r="AC39" s="100">
        <v>15876.468185043188</v>
      </c>
      <c r="AD39" s="100">
        <v>6363.1016422363518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11369.381032691117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11549.183267030601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3553.7957817328579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514.24256620895301</v>
      </c>
      <c r="P40" s="100">
        <v>515.3299285604711</v>
      </c>
      <c r="Q40" s="100">
        <v>5164.1523845089887</v>
      </c>
      <c r="R40" s="100">
        <v>5174.9832106410449</v>
      </c>
      <c r="S40" s="100">
        <v>5185.7900189616103</v>
      </c>
      <c r="T40" s="100">
        <v>3637.5997475031577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528.16845020750054</v>
      </c>
      <c r="AC40" s="100">
        <v>529.21560616810632</v>
      </c>
      <c r="AD40" s="100">
        <v>530.25847018636262</v>
      </c>
      <c r="AE40" s="100">
        <v>531.29687389247601</v>
      </c>
      <c r="AF40" s="100">
        <v>5323.3064962458566</v>
      </c>
      <c r="AG40" s="100">
        <v>2133.4385218343887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2127.6708460853542</v>
      </c>
      <c r="I41" s="100">
        <v>1218.4442680226944</v>
      </c>
      <c r="J41" s="100">
        <v>2136.8806370666744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2159.818778077602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1254.8981519667666</v>
      </c>
      <c r="X41" s="100">
        <v>1257.4567138452264</v>
      </c>
      <c r="Y41" s="100">
        <v>1260.0070184616422</v>
      </c>
      <c r="Z41" s="100">
        <v>1262.5486543159786</v>
      </c>
      <c r="AA41" s="100">
        <v>316.27030281139787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2248.6906831325277</v>
      </c>
      <c r="AJ41" s="100">
        <v>2252.9478132876989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3300.5445578410222</v>
      </c>
      <c r="D48" s="100">
        <v>3300.5445578410222</v>
      </c>
      <c r="E48" s="100">
        <v>3300.5445578410222</v>
      </c>
      <c r="F48" s="100">
        <v>3300.5445578410222</v>
      </c>
      <c r="G48" s="100">
        <v>2750.4537982008519</v>
      </c>
      <c r="H48" s="100">
        <v>2750.4537982008519</v>
      </c>
      <c r="I48" s="100">
        <v>2750.4537982008519</v>
      </c>
      <c r="J48" s="100">
        <v>2750.4537982008519</v>
      </c>
      <c r="K48" s="100">
        <v>2200.3630385606816</v>
      </c>
      <c r="L48" s="100">
        <v>2200.3630385606816</v>
      </c>
      <c r="M48" s="100">
        <v>2200.3630385606816</v>
      </c>
      <c r="N48" s="100">
        <v>2200.3630385606816</v>
      </c>
      <c r="O48" s="100">
        <v>2750.4537982008519</v>
      </c>
      <c r="P48" s="100">
        <v>2750.4537982008519</v>
      </c>
      <c r="Q48" s="100">
        <v>2750.4537982008519</v>
      </c>
      <c r="R48" s="100">
        <v>2750.4537982008519</v>
      </c>
      <c r="S48" s="100">
        <v>2750.4537982008519</v>
      </c>
      <c r="T48" s="100">
        <v>2750.4537982008519</v>
      </c>
      <c r="U48" s="100">
        <v>2750.4537982008519</v>
      </c>
      <c r="V48" s="100">
        <v>2750.4537982008519</v>
      </c>
      <c r="W48" s="100">
        <v>2750.4537982008519</v>
      </c>
      <c r="X48" s="100">
        <v>2750.4537982008519</v>
      </c>
      <c r="Y48" s="100">
        <v>2750.4537982008519</v>
      </c>
      <c r="Z48" s="100">
        <v>2750.4537982008519</v>
      </c>
      <c r="AA48" s="100">
        <v>2750.4537982008519</v>
      </c>
      <c r="AB48" s="100">
        <v>2750.4537982008519</v>
      </c>
      <c r="AC48" s="100">
        <v>2750.4537982008519</v>
      </c>
      <c r="AD48" s="100">
        <v>2750.4537982008519</v>
      </c>
      <c r="AE48" s="100">
        <v>2750.4537982008519</v>
      </c>
      <c r="AF48" s="100">
        <v>2750.4537982008519</v>
      </c>
      <c r="AG48" s="100">
        <v>2750.4537982008519</v>
      </c>
      <c r="AH48" s="100">
        <v>2750.4537982008519</v>
      </c>
      <c r="AI48" s="100">
        <v>2750.4537982008519</v>
      </c>
      <c r="AJ48" s="100">
        <v>2750.4537982008519</v>
      </c>
      <c r="AK48" s="100">
        <v>2750.4537982008519</v>
      </c>
      <c r="AL48" s="100">
        <v>2750.4537982008519</v>
      </c>
      <c r="AM48" s="100">
        <v>3300.5445578410222</v>
      </c>
      <c r="AN48" s="100">
        <v>3300.5445578410222</v>
      </c>
      <c r="AO48" s="100">
        <v>3300.5445578410222</v>
      </c>
      <c r="AP48" s="100">
        <v>3300.5445578410222</v>
      </c>
      <c r="AQ48" s="100">
        <v>2750.4537982008519</v>
      </c>
      <c r="AR48" s="100">
        <v>2750.4537982008519</v>
      </c>
      <c r="AS48" s="100">
        <v>2750.4537982008519</v>
      </c>
      <c r="AT48" s="100">
        <v>2750.4537982008519</v>
      </c>
      <c r="AU48" s="100">
        <v>3300.5445578410222</v>
      </c>
      <c r="AV48" s="100">
        <v>3300.5445578410222</v>
      </c>
      <c r="AW48" s="100">
        <v>3300.5445578410222</v>
      </c>
      <c r="AX48" s="100">
        <v>3300.5445578410222</v>
      </c>
    </row>
    <row r="49" spans="2:51">
      <c r="B49" s="99" t="s">
        <v>105</v>
      </c>
      <c r="C49" s="100">
        <v>4.412006356920912E-20</v>
      </c>
      <c r="D49" s="100">
        <v>4.412006356920912E-20</v>
      </c>
      <c r="E49" s="100">
        <v>4.412006356920912E-20</v>
      </c>
      <c r="F49" s="100">
        <v>4.412006356920912E-20</v>
      </c>
      <c r="G49" s="100">
        <v>4.412006356920912E-20</v>
      </c>
      <c r="H49" s="100">
        <v>4.412006356920912E-20</v>
      </c>
      <c r="I49" s="100">
        <v>4.412006356920912E-20</v>
      </c>
      <c r="J49" s="100">
        <v>4.412006356920912E-20</v>
      </c>
      <c r="K49" s="100">
        <v>4.412006356920912E-20</v>
      </c>
      <c r="L49" s="100">
        <v>4.412006356920912E-20</v>
      </c>
      <c r="M49" s="100">
        <v>4.412006356920912E-20</v>
      </c>
      <c r="N49" s="100">
        <v>4.412006356920912E-20</v>
      </c>
      <c r="O49" s="100">
        <v>4.412006356920912E-20</v>
      </c>
      <c r="P49" s="100">
        <v>4.412006356920912E-20</v>
      </c>
      <c r="Q49" s="100">
        <v>4.412006356920912E-20</v>
      </c>
      <c r="R49" s="100">
        <v>4.412006356920912E-20</v>
      </c>
      <c r="S49" s="100">
        <v>3.5296050855367296E-20</v>
      </c>
      <c r="T49" s="100">
        <v>3.5296050855367296E-20</v>
      </c>
      <c r="U49" s="100">
        <v>3.5296050855367296E-20</v>
      </c>
      <c r="V49" s="100">
        <v>3.5296050855367296E-20</v>
      </c>
      <c r="W49" s="100">
        <v>3.5296050855367296E-20</v>
      </c>
      <c r="X49" s="100">
        <v>3.5296050855367296E-20</v>
      </c>
      <c r="Y49" s="100">
        <v>3.5296050855367296E-20</v>
      </c>
      <c r="Z49" s="100">
        <v>3.5296050855367296E-20</v>
      </c>
      <c r="AA49" s="100">
        <v>4.412006356920912E-20</v>
      </c>
      <c r="AB49" s="100">
        <v>4.412006356920912E-20</v>
      </c>
      <c r="AC49" s="100">
        <v>4.412006356920912E-20</v>
      </c>
      <c r="AD49" s="100">
        <v>4.412006356920912E-20</v>
      </c>
      <c r="AE49" s="100">
        <v>4.412006356920912E-20</v>
      </c>
      <c r="AF49" s="100">
        <v>4.412006356920912E-20</v>
      </c>
      <c r="AG49" s="100">
        <v>4.412006356920912E-20</v>
      </c>
      <c r="AH49" s="100">
        <v>4.412006356920912E-20</v>
      </c>
      <c r="AI49" s="100">
        <v>4.412006356920912E-20</v>
      </c>
      <c r="AJ49" s="100">
        <v>4.412006356920912E-20</v>
      </c>
      <c r="AK49" s="100">
        <v>4.412006356920912E-20</v>
      </c>
      <c r="AL49" s="100">
        <v>4.412006356920912E-20</v>
      </c>
      <c r="AM49" s="100">
        <v>4.412006356920912E-20</v>
      </c>
      <c r="AN49" s="100">
        <v>4.412006356920912E-20</v>
      </c>
      <c r="AO49" s="100">
        <v>4.412006356920912E-20</v>
      </c>
      <c r="AP49" s="100">
        <v>4.412006356920912E-20</v>
      </c>
      <c r="AQ49" s="100">
        <v>4.412006356920912E-20</v>
      </c>
      <c r="AR49" s="100">
        <v>4.412006356920912E-20</v>
      </c>
      <c r="AS49" s="100">
        <v>4.412006356920912E-20</v>
      </c>
      <c r="AT49" s="100">
        <v>4.412006356920912E-20</v>
      </c>
      <c r="AU49" s="100">
        <v>4.412006356920912E-20</v>
      </c>
      <c r="AV49" s="100">
        <v>4.412006356920912E-20</v>
      </c>
      <c r="AW49" s="100">
        <v>4.412006356920912E-20</v>
      </c>
      <c r="AX49" s="100">
        <v>4.412006356920912E-20</v>
      </c>
    </row>
    <row r="50" spans="2:51">
      <c r="B50" s="99" t="s">
        <v>106</v>
      </c>
      <c r="C50" s="100">
        <v>140</v>
      </c>
      <c r="D50" s="100">
        <v>140</v>
      </c>
      <c r="E50" s="100">
        <v>140</v>
      </c>
      <c r="F50" s="100">
        <v>140</v>
      </c>
      <c r="G50" s="100">
        <v>140</v>
      </c>
      <c r="H50" s="100">
        <v>140</v>
      </c>
      <c r="I50" s="100">
        <v>140</v>
      </c>
      <c r="J50" s="100">
        <v>140</v>
      </c>
      <c r="K50" s="100">
        <v>140</v>
      </c>
      <c r="L50" s="100">
        <v>140</v>
      </c>
      <c r="M50" s="100">
        <v>140</v>
      </c>
      <c r="N50" s="100">
        <v>140</v>
      </c>
      <c r="O50" s="100">
        <v>0</v>
      </c>
      <c r="P50" s="100">
        <v>0</v>
      </c>
      <c r="Q50" s="100">
        <v>0</v>
      </c>
      <c r="R50" s="100">
        <v>0</v>
      </c>
      <c r="S50" s="100">
        <v>140</v>
      </c>
      <c r="T50" s="100">
        <v>140</v>
      </c>
      <c r="U50" s="100">
        <v>140</v>
      </c>
      <c r="V50" s="100">
        <v>140</v>
      </c>
      <c r="W50" s="100">
        <v>168</v>
      </c>
      <c r="X50" s="100">
        <v>168</v>
      </c>
      <c r="Y50" s="100">
        <v>168</v>
      </c>
      <c r="Z50" s="100">
        <v>168</v>
      </c>
      <c r="AA50" s="100">
        <v>0</v>
      </c>
      <c r="AB50" s="100">
        <v>0</v>
      </c>
      <c r="AC50" s="100">
        <v>0</v>
      </c>
      <c r="AD50" s="100">
        <v>0</v>
      </c>
      <c r="AE50" s="100">
        <v>112</v>
      </c>
      <c r="AF50" s="100">
        <v>112</v>
      </c>
      <c r="AG50" s="100">
        <v>112</v>
      </c>
      <c r="AH50" s="100">
        <v>112</v>
      </c>
      <c r="AI50" s="100">
        <v>140</v>
      </c>
      <c r="AJ50" s="100">
        <v>140</v>
      </c>
      <c r="AK50" s="100">
        <v>140</v>
      </c>
      <c r="AL50" s="100">
        <v>140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168</v>
      </c>
      <c r="AR50" s="100">
        <v>168</v>
      </c>
      <c r="AS50" s="100">
        <v>168</v>
      </c>
      <c r="AT50" s="100">
        <v>168</v>
      </c>
      <c r="AU50" s="100">
        <v>168</v>
      </c>
      <c r="AV50" s="100">
        <v>168</v>
      </c>
      <c r="AW50" s="100">
        <v>168</v>
      </c>
      <c r="AX50" s="100">
        <v>168</v>
      </c>
      <c r="AY50" s="112"/>
    </row>
    <row r="51" spans="2:51">
      <c r="B51" s="99" t="s">
        <v>107</v>
      </c>
      <c r="C51" s="100">
        <v>799.99999999999602</v>
      </c>
      <c r="D51" s="100">
        <v>799.99999999999602</v>
      </c>
      <c r="E51" s="100">
        <v>799.99999999999602</v>
      </c>
      <c r="F51" s="100">
        <v>799.99999999999602</v>
      </c>
      <c r="G51" s="100">
        <v>639.99999999999682</v>
      </c>
      <c r="H51" s="100">
        <v>639.99999999999682</v>
      </c>
      <c r="I51" s="100">
        <v>639.99999999999682</v>
      </c>
      <c r="J51" s="100">
        <v>639.99999999999682</v>
      </c>
      <c r="K51" s="100">
        <v>799.99999999999602</v>
      </c>
      <c r="L51" s="100">
        <v>799.99999999999602</v>
      </c>
      <c r="M51" s="100">
        <v>799.99999999999602</v>
      </c>
      <c r="N51" s="100">
        <v>799.99999999999602</v>
      </c>
      <c r="O51" s="100">
        <v>799.99999999999602</v>
      </c>
      <c r="P51" s="100">
        <v>799.99999999999602</v>
      </c>
      <c r="Q51" s="100">
        <v>799.99999999999602</v>
      </c>
      <c r="R51" s="100">
        <v>799.99999999999602</v>
      </c>
      <c r="S51" s="100">
        <v>799.99999999999602</v>
      </c>
      <c r="T51" s="100">
        <v>799.99999999999602</v>
      </c>
      <c r="U51" s="100">
        <v>799.99999999999602</v>
      </c>
      <c r="V51" s="100">
        <v>799.99999999999602</v>
      </c>
      <c r="W51" s="100">
        <v>0</v>
      </c>
      <c r="X51" s="100">
        <v>0</v>
      </c>
      <c r="Y51" s="100">
        <v>0</v>
      </c>
      <c r="Z51" s="100">
        <v>0</v>
      </c>
      <c r="AA51" s="100">
        <v>316.27030281139787</v>
      </c>
      <c r="AB51" s="100">
        <v>799.99999999999602</v>
      </c>
      <c r="AC51" s="100">
        <v>799.99999999999602</v>
      </c>
      <c r="AD51" s="100">
        <v>799.99999999999602</v>
      </c>
      <c r="AE51" s="100">
        <v>799.99999999999602</v>
      </c>
      <c r="AF51" s="100">
        <v>799.99999999999602</v>
      </c>
      <c r="AG51" s="100">
        <v>799.99999999999602</v>
      </c>
      <c r="AH51" s="100">
        <v>799.99999999999602</v>
      </c>
      <c r="AI51" s="100">
        <v>799.99999999999602</v>
      </c>
      <c r="AJ51" s="100">
        <v>799.99999999999602</v>
      </c>
      <c r="AK51" s="100">
        <v>799.99999999999602</v>
      </c>
      <c r="AL51" s="100">
        <v>799.99999999999602</v>
      </c>
      <c r="AM51" s="100">
        <v>799.99999999999602</v>
      </c>
      <c r="AN51" s="100">
        <v>799.99999999999602</v>
      </c>
      <c r="AO51" s="100">
        <v>799.99999999999602</v>
      </c>
      <c r="AP51" s="100">
        <v>799.99999999999602</v>
      </c>
      <c r="AQ51" s="100">
        <v>799.99999999999602</v>
      </c>
      <c r="AR51" s="100">
        <v>799.99999999999602</v>
      </c>
      <c r="AS51" s="100">
        <v>799.99999999999602</v>
      </c>
      <c r="AT51" s="100">
        <v>799.99999999999602</v>
      </c>
      <c r="AU51" s="100">
        <v>799.99999999999602</v>
      </c>
      <c r="AV51" s="100">
        <v>799.99999999999602</v>
      </c>
      <c r="AW51" s="100">
        <v>799.99999999999602</v>
      </c>
      <c r="AX51" s="100">
        <v>799.99999999999602</v>
      </c>
      <c r="AY51" s="111"/>
    </row>
    <row r="52" spans="2:51">
      <c r="B52" s="99" t="s">
        <v>108</v>
      </c>
      <c r="C52" s="100">
        <v>1.6678507369460147E-20</v>
      </c>
      <c r="D52" s="100">
        <v>1.6678507369460147E-20</v>
      </c>
      <c r="E52" s="100">
        <v>1.6678507369460147E-20</v>
      </c>
      <c r="F52" s="100">
        <v>1.6678507369460147E-20</v>
      </c>
      <c r="G52" s="100">
        <v>2.0848134211825182E-20</v>
      </c>
      <c r="H52" s="100">
        <v>2.0848134211825182E-20</v>
      </c>
      <c r="I52" s="100">
        <v>2.0848134211825182E-20</v>
      </c>
      <c r="J52" s="100">
        <v>2.0848134211825182E-20</v>
      </c>
      <c r="K52" s="100">
        <v>1.6678507369460147E-20</v>
      </c>
      <c r="L52" s="100">
        <v>1.6678507369460147E-20</v>
      </c>
      <c r="M52" s="100">
        <v>1.6678507369460147E-20</v>
      </c>
      <c r="N52" s="100">
        <v>1.6678507369460147E-20</v>
      </c>
      <c r="O52" s="100">
        <v>1.6678507369460147E-20</v>
      </c>
      <c r="P52" s="100">
        <v>1.6678507369460147E-20</v>
      </c>
      <c r="Q52" s="100">
        <v>1.6678507369460147E-20</v>
      </c>
      <c r="R52" s="100">
        <v>1.6678507369460147E-20</v>
      </c>
      <c r="S52" s="100">
        <v>1.6678507369460147E-20</v>
      </c>
      <c r="T52" s="100">
        <v>1.6678507369460147E-20</v>
      </c>
      <c r="U52" s="100">
        <v>1.6678507369460147E-20</v>
      </c>
      <c r="V52" s="100">
        <v>1.6678507369460147E-20</v>
      </c>
      <c r="W52" s="100">
        <v>1.6678507369460147E-20</v>
      </c>
      <c r="X52" s="100">
        <v>1.6678507369460147E-20</v>
      </c>
      <c r="Y52" s="100">
        <v>1.6678507369460147E-20</v>
      </c>
      <c r="Z52" s="100">
        <v>1.6678507369460147E-20</v>
      </c>
      <c r="AA52" s="100">
        <v>1.6678507369460147E-20</v>
      </c>
      <c r="AB52" s="100">
        <v>1.6678507369460147E-20</v>
      </c>
      <c r="AC52" s="100">
        <v>1.6678507369460147E-20</v>
      </c>
      <c r="AD52" s="100">
        <v>1.6678507369460147E-20</v>
      </c>
      <c r="AE52" s="100">
        <v>1.6678507369460147E-20</v>
      </c>
      <c r="AF52" s="100">
        <v>1.6678507369460147E-20</v>
      </c>
      <c r="AG52" s="100">
        <v>1.6678507369460147E-20</v>
      </c>
      <c r="AH52" s="100">
        <v>1.6678507369460147E-20</v>
      </c>
      <c r="AI52" s="100">
        <v>1.6678507369460147E-20</v>
      </c>
      <c r="AJ52" s="100">
        <v>1.6678507369460147E-20</v>
      </c>
      <c r="AK52" s="100">
        <v>1.6678507369460147E-20</v>
      </c>
      <c r="AL52" s="100">
        <v>1.6678507369460147E-20</v>
      </c>
      <c r="AM52" s="100">
        <v>0</v>
      </c>
      <c r="AN52" s="100">
        <v>0</v>
      </c>
      <c r="AO52" s="100">
        <v>0</v>
      </c>
      <c r="AP52" s="100">
        <v>0</v>
      </c>
      <c r="AQ52" s="100">
        <v>1.6678507369460147E-20</v>
      </c>
      <c r="AR52" s="100">
        <v>1.6678507369460147E-20</v>
      </c>
      <c r="AS52" s="100">
        <v>1.6678507369460147E-20</v>
      </c>
      <c r="AT52" s="100">
        <v>1.6678507369460147E-20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2.2349178002482693E-20</v>
      </c>
      <c r="D53" s="100">
        <v>2.2349178002482693E-20</v>
      </c>
      <c r="E53" s="100">
        <v>2.2349178002482693E-20</v>
      </c>
      <c r="F53" s="100">
        <v>2.2349178002482693E-20</v>
      </c>
      <c r="G53" s="100">
        <v>1.7879342401986155E-20</v>
      </c>
      <c r="H53" s="100">
        <v>1.7879342401986155E-20</v>
      </c>
      <c r="I53" s="100">
        <v>1.7879342401986155E-20</v>
      </c>
      <c r="J53" s="100">
        <v>1.7879342401986155E-20</v>
      </c>
      <c r="K53" s="100">
        <v>1.7879342401986155E-20</v>
      </c>
      <c r="L53" s="100">
        <v>1.7879342401986155E-20</v>
      </c>
      <c r="M53" s="100">
        <v>1.7879342401986155E-20</v>
      </c>
      <c r="N53" s="100">
        <v>1.7879342401986155E-20</v>
      </c>
      <c r="O53" s="100">
        <v>2.2349178002482693E-20</v>
      </c>
      <c r="P53" s="100">
        <v>2.2349178002482693E-20</v>
      </c>
      <c r="Q53" s="100">
        <v>2.2349178002482693E-20</v>
      </c>
      <c r="R53" s="100">
        <v>2.2349178002482693E-20</v>
      </c>
      <c r="S53" s="100">
        <v>2.2349178002482693E-20</v>
      </c>
      <c r="T53" s="100">
        <v>2.2349178002482693E-20</v>
      </c>
      <c r="U53" s="100">
        <v>2.2349178002482693E-20</v>
      </c>
      <c r="V53" s="100">
        <v>2.2349178002482693E-20</v>
      </c>
      <c r="W53" s="100">
        <v>2.2349178002482693E-20</v>
      </c>
      <c r="X53" s="100">
        <v>2.2349178002482693E-20</v>
      </c>
      <c r="Y53" s="100">
        <v>2.2349178002482693E-20</v>
      </c>
      <c r="Z53" s="100">
        <v>2.2349178002482693E-20</v>
      </c>
      <c r="AA53" s="100">
        <v>1.7879342401986155E-20</v>
      </c>
      <c r="AB53" s="100">
        <v>1.7879342401986155E-20</v>
      </c>
      <c r="AC53" s="100">
        <v>1.7879342401986155E-20</v>
      </c>
      <c r="AD53" s="100">
        <v>1.7879342401986155E-20</v>
      </c>
      <c r="AE53" s="100">
        <v>1.7879342401986155E-20</v>
      </c>
      <c r="AF53" s="100">
        <v>1.7879342401986155E-20</v>
      </c>
      <c r="AG53" s="100">
        <v>1.7879342401986155E-20</v>
      </c>
      <c r="AH53" s="100">
        <v>1.7879342401986155E-20</v>
      </c>
      <c r="AI53" s="100">
        <v>1.7879342401986155E-20</v>
      </c>
      <c r="AJ53" s="100">
        <v>1.7879342401986155E-20</v>
      </c>
      <c r="AK53" s="100">
        <v>1.7879342401986155E-20</v>
      </c>
      <c r="AL53" s="100">
        <v>1.7879342401986155E-20</v>
      </c>
      <c r="AM53" s="100">
        <v>1.7879342401986155E-20</v>
      </c>
      <c r="AN53" s="100">
        <v>1.7879342401986155E-20</v>
      </c>
      <c r="AO53" s="100">
        <v>1.7879342401986155E-20</v>
      </c>
      <c r="AP53" s="100">
        <v>1.7879342401986155E-20</v>
      </c>
      <c r="AQ53" s="100">
        <v>1.7879342401986155E-20</v>
      </c>
      <c r="AR53" s="100">
        <v>1.7879342401986155E-20</v>
      </c>
      <c r="AS53" s="100">
        <v>1.7879342401986155E-20</v>
      </c>
      <c r="AT53" s="100">
        <v>1.7879342401986155E-20</v>
      </c>
      <c r="AU53" s="100">
        <v>0</v>
      </c>
      <c r="AV53" s="100">
        <v>0</v>
      </c>
      <c r="AW53" s="100">
        <v>0</v>
      </c>
      <c r="AX53" s="100">
        <v>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3676258.4841832193</v>
      </c>
      <c r="D58" s="100">
        <v>3676258.4841832193</v>
      </c>
      <c r="E58" s="100">
        <v>3676258.4841832193</v>
      </c>
      <c r="F58" s="100">
        <v>3676258.4841832193</v>
      </c>
      <c r="G58" s="100">
        <v>3324895.5455145426</v>
      </c>
      <c r="H58" s="100">
        <v>3324895.5455145426</v>
      </c>
      <c r="I58" s="100">
        <v>3324895.5455145426</v>
      </c>
      <c r="J58" s="100">
        <v>3324895.5455145426</v>
      </c>
      <c r="K58" s="100">
        <v>3539004.845498275</v>
      </c>
      <c r="L58" s="100">
        <v>3539004.845498275</v>
      </c>
      <c r="M58" s="100">
        <v>3539004.845498275</v>
      </c>
      <c r="N58" s="100">
        <v>3539004.845498275</v>
      </c>
      <c r="O58" s="100">
        <v>3712779.9780258778</v>
      </c>
      <c r="P58" s="100">
        <v>3712779.9780258778</v>
      </c>
      <c r="Q58" s="100">
        <v>3712779.9780258778</v>
      </c>
      <c r="R58" s="100">
        <v>3712779.9780258778</v>
      </c>
      <c r="S58" s="100">
        <v>3543808.4555106913</v>
      </c>
      <c r="T58" s="100">
        <v>3543808.4555106913</v>
      </c>
      <c r="U58" s="100">
        <v>3543808.4555106913</v>
      </c>
      <c r="V58" s="100">
        <v>3543808.4555106913</v>
      </c>
      <c r="W58" s="100">
        <v>3557146.5392656489</v>
      </c>
      <c r="X58" s="100">
        <v>3557146.5392656489</v>
      </c>
      <c r="Y58" s="100">
        <v>3557146.5392656489</v>
      </c>
      <c r="Z58" s="100">
        <v>3557146.5392656489</v>
      </c>
      <c r="AA58" s="100">
        <v>3744227.5460968767</v>
      </c>
      <c r="AB58" s="100">
        <v>3744227.5460968767</v>
      </c>
      <c r="AC58" s="100">
        <v>3744227.5460968767</v>
      </c>
      <c r="AD58" s="100">
        <v>3744227.5460968767</v>
      </c>
      <c r="AE58" s="100">
        <v>3159257.1153496103</v>
      </c>
      <c r="AF58" s="100">
        <v>3159257.1153496103</v>
      </c>
      <c r="AG58" s="100">
        <v>3159257.1153496103</v>
      </c>
      <c r="AH58" s="100">
        <v>3159257.1153496103</v>
      </c>
      <c r="AI58" s="100">
        <v>3877133.7300614505</v>
      </c>
      <c r="AJ58" s="100">
        <v>3877133.7300614505</v>
      </c>
      <c r="AK58" s="100">
        <v>3877133.7300614505</v>
      </c>
      <c r="AL58" s="100">
        <v>3877133.7300614505</v>
      </c>
      <c r="AM58" s="100">
        <v>3489888.1259715767</v>
      </c>
      <c r="AN58" s="100">
        <v>3489888.1259715767</v>
      </c>
      <c r="AO58" s="100">
        <v>3489888.1259715767</v>
      </c>
      <c r="AP58" s="100">
        <v>3489888.1259715767</v>
      </c>
      <c r="AQ58" s="100">
        <v>4205964.2072751848</v>
      </c>
      <c r="AR58" s="100">
        <v>4205964.2072751848</v>
      </c>
      <c r="AS58" s="100">
        <v>4205964.2072751848</v>
      </c>
      <c r="AT58" s="100">
        <v>4205964.2072751848</v>
      </c>
      <c r="AU58" s="100">
        <v>3625952.761792466</v>
      </c>
      <c r="AV58" s="100">
        <v>3625952.761792466</v>
      </c>
      <c r="AW58" s="100">
        <v>3625952.761792466</v>
      </c>
      <c r="AX58" s="100">
        <v>3625952.761792466</v>
      </c>
    </row>
    <row r="59" spans="2:51">
      <c r="B59" s="105" t="s">
        <v>105</v>
      </c>
      <c r="C59" s="100">
        <v>6.3222072512156757E-17</v>
      </c>
      <c r="D59" s="100">
        <v>6.3222072512156757E-17</v>
      </c>
      <c r="E59" s="100">
        <v>6.3222072512156757E-17</v>
      </c>
      <c r="F59" s="100">
        <v>6.3222072512156757E-17</v>
      </c>
      <c r="G59" s="100">
        <v>6.043197302387134E-17</v>
      </c>
      <c r="H59" s="100">
        <v>6.043197302387134E-17</v>
      </c>
      <c r="I59" s="100">
        <v>6.043197302387134E-17</v>
      </c>
      <c r="J59" s="100">
        <v>6.043197302387134E-17</v>
      </c>
      <c r="K59" s="100">
        <v>6.4348751576415904E-17</v>
      </c>
      <c r="L59" s="100">
        <v>6.4348751576415904E-17</v>
      </c>
      <c r="M59" s="100">
        <v>6.4348751576415904E-17</v>
      </c>
      <c r="N59" s="100">
        <v>6.4348751576415904E-17</v>
      </c>
      <c r="O59" s="100">
        <v>6.3689416788381556E-17</v>
      </c>
      <c r="P59" s="100">
        <v>6.3689416788381556E-17</v>
      </c>
      <c r="Q59" s="100">
        <v>6.3689416788381556E-17</v>
      </c>
      <c r="R59" s="100">
        <v>6.3689416788381556E-17</v>
      </c>
      <c r="S59" s="100">
        <v>5.7418043489250322E-17</v>
      </c>
      <c r="T59" s="100">
        <v>5.7418043489250322E-17</v>
      </c>
      <c r="U59" s="100">
        <v>5.7418043489250322E-17</v>
      </c>
      <c r="V59" s="100">
        <v>5.7418043489250322E-17</v>
      </c>
      <c r="W59" s="100">
        <v>5.6535171119447153E-17</v>
      </c>
      <c r="X59" s="100">
        <v>5.6535171119447153E-17</v>
      </c>
      <c r="Y59" s="100">
        <v>5.6535171119447153E-17</v>
      </c>
      <c r="Z59" s="100">
        <v>5.6535171119447153E-17</v>
      </c>
      <c r="AA59" s="100">
        <v>6.326157855501644E-17</v>
      </c>
      <c r="AB59" s="100">
        <v>6.326157855501644E-17</v>
      </c>
      <c r="AC59" s="100">
        <v>6.326157855501644E-17</v>
      </c>
      <c r="AD59" s="100">
        <v>6.326157855501644E-17</v>
      </c>
      <c r="AE59" s="100">
        <v>5.9860388836970181E-17</v>
      </c>
      <c r="AF59" s="100">
        <v>5.9860388836970181E-17</v>
      </c>
      <c r="AG59" s="100">
        <v>5.9860388836970181E-17</v>
      </c>
      <c r="AH59" s="100">
        <v>5.9860388836970181E-17</v>
      </c>
      <c r="AI59" s="100">
        <v>5.9886712584958851E-17</v>
      </c>
      <c r="AJ59" s="100">
        <v>5.9886712584958851E-17</v>
      </c>
      <c r="AK59" s="100">
        <v>5.9886712584958851E-17</v>
      </c>
      <c r="AL59" s="100">
        <v>5.9886712584958851E-17</v>
      </c>
      <c r="AM59" s="100">
        <v>6.3158430002765055E-17</v>
      </c>
      <c r="AN59" s="100">
        <v>6.3158430002765055E-17</v>
      </c>
      <c r="AO59" s="100">
        <v>6.3158430002765055E-17</v>
      </c>
      <c r="AP59" s="100">
        <v>6.3158430002765055E-17</v>
      </c>
      <c r="AQ59" s="100">
        <v>5.721804762498143E-17</v>
      </c>
      <c r="AR59" s="100">
        <v>5.721804762498143E-17</v>
      </c>
      <c r="AS59" s="100">
        <v>5.721804762498143E-17</v>
      </c>
      <c r="AT59" s="100">
        <v>5.721804762498143E-17</v>
      </c>
      <c r="AU59" s="100">
        <v>5.9757670303515795E-17</v>
      </c>
      <c r="AV59" s="100">
        <v>5.9757670303515795E-17</v>
      </c>
      <c r="AW59" s="100">
        <v>5.9757670303515795E-17</v>
      </c>
      <c r="AX59" s="100">
        <v>5.9757670303515795E-17</v>
      </c>
    </row>
    <row r="60" spans="2:51">
      <c r="B60" s="105" t="s">
        <v>106</v>
      </c>
      <c r="C60" s="100">
        <v>207619.31373945801</v>
      </c>
      <c r="D60" s="100">
        <v>207619.31373945801</v>
      </c>
      <c r="E60" s="100">
        <v>207619.31373945801</v>
      </c>
      <c r="F60" s="100">
        <v>207619.31373945801</v>
      </c>
      <c r="G60" s="100">
        <v>202136.65474831543</v>
      </c>
      <c r="H60" s="100">
        <v>202136.65474831543</v>
      </c>
      <c r="I60" s="100">
        <v>202136.65474831543</v>
      </c>
      <c r="J60" s="100">
        <v>202136.65474831543</v>
      </c>
      <c r="K60" s="100">
        <v>200194.70226767432</v>
      </c>
      <c r="L60" s="100">
        <v>200194.70226767432</v>
      </c>
      <c r="M60" s="100">
        <v>200194.70226767432</v>
      </c>
      <c r="N60" s="100">
        <v>200194.70226767432</v>
      </c>
      <c r="O60" s="100">
        <v>0</v>
      </c>
      <c r="P60" s="100">
        <v>0</v>
      </c>
      <c r="Q60" s="100">
        <v>0</v>
      </c>
      <c r="R60" s="100">
        <v>0</v>
      </c>
      <c r="S60" s="100">
        <v>203647.07114719492</v>
      </c>
      <c r="T60" s="100">
        <v>203647.07114719492</v>
      </c>
      <c r="U60" s="100">
        <v>203647.07114719492</v>
      </c>
      <c r="V60" s="100">
        <v>203647.07114719492</v>
      </c>
      <c r="W60" s="100">
        <v>225787.58687720468</v>
      </c>
      <c r="X60" s="100">
        <v>225787.58687720468</v>
      </c>
      <c r="Y60" s="100">
        <v>225787.58687720468</v>
      </c>
      <c r="Z60" s="100">
        <v>225787.58687720468</v>
      </c>
      <c r="AA60" s="100">
        <v>0</v>
      </c>
      <c r="AB60" s="100">
        <v>0</v>
      </c>
      <c r="AC60" s="100">
        <v>0</v>
      </c>
      <c r="AD60" s="100">
        <v>0</v>
      </c>
      <c r="AE60" s="100">
        <v>203206.26745857243</v>
      </c>
      <c r="AF60" s="100">
        <v>203206.26745857243</v>
      </c>
      <c r="AG60" s="100">
        <v>203206.26745857243</v>
      </c>
      <c r="AH60" s="100">
        <v>203206.26745857243</v>
      </c>
      <c r="AI60" s="100">
        <v>198773.14483530537</v>
      </c>
      <c r="AJ60" s="100">
        <v>198773.14483530537</v>
      </c>
      <c r="AK60" s="100">
        <v>198773.14483530537</v>
      </c>
      <c r="AL60" s="100">
        <v>198773.14483530537</v>
      </c>
      <c r="AM60" s="100">
        <v>195282.77104077721</v>
      </c>
      <c r="AN60" s="100">
        <v>195282.77104077721</v>
      </c>
      <c r="AO60" s="100">
        <v>195282.77104077721</v>
      </c>
      <c r="AP60" s="100">
        <v>195282.77104077721</v>
      </c>
      <c r="AQ60" s="100">
        <v>229328.50557106157</v>
      </c>
      <c r="AR60" s="100">
        <v>229328.50557106157</v>
      </c>
      <c r="AS60" s="100">
        <v>229328.50557106157</v>
      </c>
      <c r="AT60" s="100">
        <v>229328.50557106157</v>
      </c>
      <c r="AU60" s="100">
        <v>229329.38207960554</v>
      </c>
      <c r="AV60" s="100">
        <v>229329.38207960554</v>
      </c>
      <c r="AW60" s="100">
        <v>229329.38207960554</v>
      </c>
      <c r="AX60" s="100">
        <v>229329.38207960554</v>
      </c>
    </row>
    <row r="61" spans="2:51">
      <c r="B61" s="105" t="s">
        <v>107</v>
      </c>
      <c r="C61" s="100">
        <v>1151439.6112646866</v>
      </c>
      <c r="D61" s="100">
        <v>1151439.6112646866</v>
      </c>
      <c r="E61" s="100">
        <v>1151439.6112646866</v>
      </c>
      <c r="F61" s="100">
        <v>1151439.6112646866</v>
      </c>
      <c r="G61" s="100">
        <v>1060604.4627637228</v>
      </c>
      <c r="H61" s="100">
        <v>1060604.4627637228</v>
      </c>
      <c r="I61" s="100">
        <v>1060604.4627637228</v>
      </c>
      <c r="J61" s="100">
        <v>1060604.4627637228</v>
      </c>
      <c r="K61" s="100">
        <v>1063557.3464490846</v>
      </c>
      <c r="L61" s="100">
        <v>1063557.3464490846</v>
      </c>
      <c r="M61" s="100">
        <v>1063557.3464490846</v>
      </c>
      <c r="N61" s="100">
        <v>1063557.3464490846</v>
      </c>
      <c r="O61" s="100">
        <v>1138383.2062786941</v>
      </c>
      <c r="P61" s="100">
        <v>1138383.2062786941</v>
      </c>
      <c r="Q61" s="100">
        <v>1138383.2062786941</v>
      </c>
      <c r="R61" s="100">
        <v>1138383.2062786941</v>
      </c>
      <c r="S61" s="100">
        <v>1058914.6830324002</v>
      </c>
      <c r="T61" s="100">
        <v>1058914.6830324002</v>
      </c>
      <c r="U61" s="100">
        <v>1058914.6830324002</v>
      </c>
      <c r="V61" s="100">
        <v>1058914.6830324002</v>
      </c>
      <c r="W61" s="100">
        <v>0</v>
      </c>
      <c r="X61" s="100">
        <v>0</v>
      </c>
      <c r="Y61" s="100">
        <v>0</v>
      </c>
      <c r="Z61" s="100">
        <v>0</v>
      </c>
      <c r="AA61" s="100">
        <v>499321.83194940415</v>
      </c>
      <c r="AB61" s="100">
        <v>1263025.5259777918</v>
      </c>
      <c r="AC61" s="100">
        <v>1263025.5259777918</v>
      </c>
      <c r="AD61" s="100">
        <v>1263025.5259777918</v>
      </c>
      <c r="AE61" s="100">
        <v>1093343.5561026123</v>
      </c>
      <c r="AF61" s="100">
        <v>1093343.5561026123</v>
      </c>
      <c r="AG61" s="100">
        <v>1093343.5561026123</v>
      </c>
      <c r="AH61" s="100">
        <v>1093343.5561026123</v>
      </c>
      <c r="AI61" s="100">
        <v>1121139.456884335</v>
      </c>
      <c r="AJ61" s="100">
        <v>1121139.456884335</v>
      </c>
      <c r="AK61" s="100">
        <v>1121139.456884335</v>
      </c>
      <c r="AL61" s="100">
        <v>1121139.456884335</v>
      </c>
      <c r="AM61" s="100">
        <v>1096861.832276688</v>
      </c>
      <c r="AN61" s="100">
        <v>1096861.832276688</v>
      </c>
      <c r="AO61" s="100">
        <v>1096861.832276688</v>
      </c>
      <c r="AP61" s="100">
        <v>1096861.832276688</v>
      </c>
      <c r="AQ61" s="100">
        <v>1071051.4692944947</v>
      </c>
      <c r="AR61" s="100">
        <v>1071051.4692944947</v>
      </c>
      <c r="AS61" s="100">
        <v>1071051.4692944947</v>
      </c>
      <c r="AT61" s="100">
        <v>1071051.4692944947</v>
      </c>
      <c r="AU61" s="100">
        <v>1065625.9700120382</v>
      </c>
      <c r="AV61" s="100">
        <v>1065625.9700120382</v>
      </c>
      <c r="AW61" s="100">
        <v>1065625.9700120382</v>
      </c>
      <c r="AX61" s="100">
        <v>1065625.9700120382</v>
      </c>
    </row>
    <row r="62" spans="2:51">
      <c r="B62" s="105" t="s">
        <v>108</v>
      </c>
      <c r="C62" s="100">
        <v>2.5031359725893184E-17</v>
      </c>
      <c r="D62" s="100">
        <v>2.5031359725893184E-17</v>
      </c>
      <c r="E62" s="100">
        <v>2.5031359725893184E-17</v>
      </c>
      <c r="F62" s="100">
        <v>2.5031359725893184E-17</v>
      </c>
      <c r="G62" s="100">
        <v>3.024413067564391E-17</v>
      </c>
      <c r="H62" s="100">
        <v>3.024413067564391E-17</v>
      </c>
      <c r="I62" s="100">
        <v>3.024413067564391E-17</v>
      </c>
      <c r="J62" s="100">
        <v>3.024413067564391E-17</v>
      </c>
      <c r="K62" s="100">
        <v>2.5172570700828894E-17</v>
      </c>
      <c r="L62" s="100">
        <v>2.5172570700828894E-17</v>
      </c>
      <c r="M62" s="100">
        <v>2.5172570700828894E-17</v>
      </c>
      <c r="N62" s="100">
        <v>2.5172570700828894E-17</v>
      </c>
      <c r="O62" s="100">
        <v>2.4645912512917616E-17</v>
      </c>
      <c r="P62" s="100">
        <v>2.4645912512917616E-17</v>
      </c>
      <c r="Q62" s="100">
        <v>2.4645912512917616E-17</v>
      </c>
      <c r="R62" s="100">
        <v>2.4645912512917616E-17</v>
      </c>
      <c r="S62" s="100">
        <v>2.5477514216971153E-17</v>
      </c>
      <c r="T62" s="100">
        <v>2.5477514216971153E-17</v>
      </c>
      <c r="U62" s="100">
        <v>2.5477514216971153E-17</v>
      </c>
      <c r="V62" s="100">
        <v>2.5477514216971153E-17</v>
      </c>
      <c r="W62" s="100">
        <v>2.4806196833881772E-17</v>
      </c>
      <c r="X62" s="100">
        <v>2.4806196833881772E-17</v>
      </c>
      <c r="Y62" s="100">
        <v>2.4806196833881772E-17</v>
      </c>
      <c r="Z62" s="100">
        <v>2.4806196833881772E-17</v>
      </c>
      <c r="AA62" s="100">
        <v>2.4805936903331574E-17</v>
      </c>
      <c r="AB62" s="100">
        <v>2.4805936903331574E-17</v>
      </c>
      <c r="AC62" s="100">
        <v>2.4805936903331574E-17</v>
      </c>
      <c r="AD62" s="100">
        <v>2.4805936903331574E-17</v>
      </c>
      <c r="AE62" s="100">
        <v>2.4904122386336251E-17</v>
      </c>
      <c r="AF62" s="100">
        <v>2.4904122386336251E-17</v>
      </c>
      <c r="AG62" s="100">
        <v>2.4904122386336251E-17</v>
      </c>
      <c r="AH62" s="100">
        <v>2.4904122386336251E-17</v>
      </c>
      <c r="AI62" s="100">
        <v>2.4697132657041386E-17</v>
      </c>
      <c r="AJ62" s="100">
        <v>2.4697132657041386E-17</v>
      </c>
      <c r="AK62" s="100">
        <v>2.4697132657041386E-17</v>
      </c>
      <c r="AL62" s="100">
        <v>2.4697132657041386E-17</v>
      </c>
      <c r="AM62" s="100">
        <v>0</v>
      </c>
      <c r="AN62" s="100">
        <v>0</v>
      </c>
      <c r="AO62" s="100">
        <v>0</v>
      </c>
      <c r="AP62" s="100">
        <v>0</v>
      </c>
      <c r="AQ62" s="100">
        <v>2.4887821756233885E-17</v>
      </c>
      <c r="AR62" s="100">
        <v>2.4887821756233885E-17</v>
      </c>
      <c r="AS62" s="100">
        <v>2.4887821756233885E-17</v>
      </c>
      <c r="AT62" s="100">
        <v>2.4887821756233885E-17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3.2410252180556825E-17</v>
      </c>
      <c r="D63" s="100">
        <v>3.2410252180556825E-17</v>
      </c>
      <c r="E63" s="100">
        <v>3.2410252180556825E-17</v>
      </c>
      <c r="F63" s="100">
        <v>3.2410252180556825E-17</v>
      </c>
      <c r="G63" s="100">
        <v>2.7987078937719543E-17</v>
      </c>
      <c r="H63" s="100">
        <v>2.7987078937719543E-17</v>
      </c>
      <c r="I63" s="100">
        <v>2.7987078937719543E-17</v>
      </c>
      <c r="J63" s="100">
        <v>2.7987078937719543E-17</v>
      </c>
      <c r="K63" s="100">
        <v>2.8894619435020562E-17</v>
      </c>
      <c r="L63" s="100">
        <v>2.8894619435020562E-17</v>
      </c>
      <c r="M63" s="100">
        <v>2.8894619435020562E-17</v>
      </c>
      <c r="N63" s="100">
        <v>2.8894619435020562E-17</v>
      </c>
      <c r="O63" s="100">
        <v>3.3068831690492782E-17</v>
      </c>
      <c r="P63" s="100">
        <v>3.3068831690492782E-17</v>
      </c>
      <c r="Q63" s="100">
        <v>3.3068831690492782E-17</v>
      </c>
      <c r="R63" s="100">
        <v>3.3068831690492782E-17</v>
      </c>
      <c r="S63" s="100">
        <v>3.320443064184931E-17</v>
      </c>
      <c r="T63" s="100">
        <v>3.320443064184931E-17</v>
      </c>
      <c r="U63" s="100">
        <v>3.320443064184931E-17</v>
      </c>
      <c r="V63" s="100">
        <v>3.320443064184931E-17</v>
      </c>
      <c r="W63" s="100">
        <v>3.2403115455868019E-17</v>
      </c>
      <c r="X63" s="100">
        <v>3.2403115455868019E-17</v>
      </c>
      <c r="Y63" s="100">
        <v>3.2403115455868019E-17</v>
      </c>
      <c r="Z63" s="100">
        <v>3.2403115455868019E-17</v>
      </c>
      <c r="AA63" s="100">
        <v>2.8580757080144763E-17</v>
      </c>
      <c r="AB63" s="100">
        <v>2.8580757080144763E-17</v>
      </c>
      <c r="AC63" s="100">
        <v>2.8580757080144763E-17</v>
      </c>
      <c r="AD63" s="100">
        <v>2.8580757080144763E-17</v>
      </c>
      <c r="AE63" s="100">
        <v>2.7592174745565927E-17</v>
      </c>
      <c r="AF63" s="100">
        <v>2.7592174745565927E-17</v>
      </c>
      <c r="AG63" s="100">
        <v>2.7592174745565927E-17</v>
      </c>
      <c r="AH63" s="100">
        <v>2.7592174745565927E-17</v>
      </c>
      <c r="AI63" s="100">
        <v>2.8183195413266849E-17</v>
      </c>
      <c r="AJ63" s="100">
        <v>2.8183195413266849E-17</v>
      </c>
      <c r="AK63" s="100">
        <v>2.8183195413266849E-17</v>
      </c>
      <c r="AL63" s="100">
        <v>2.8183195413266849E-17</v>
      </c>
      <c r="AM63" s="100">
        <v>2.808176582161957E-17</v>
      </c>
      <c r="AN63" s="100">
        <v>2.808176582161957E-17</v>
      </c>
      <c r="AO63" s="100">
        <v>2.808176582161957E-17</v>
      </c>
      <c r="AP63" s="100">
        <v>2.808176582161957E-17</v>
      </c>
      <c r="AQ63" s="100">
        <v>2.7311741317416763E-17</v>
      </c>
      <c r="AR63" s="100">
        <v>2.7311741317416763E-17</v>
      </c>
      <c r="AS63" s="100">
        <v>2.7311741317416763E-17</v>
      </c>
      <c r="AT63" s="100">
        <v>2.7311741317416763E-17</v>
      </c>
      <c r="AU63" s="100">
        <v>0</v>
      </c>
      <c r="AV63" s="100">
        <v>0</v>
      </c>
      <c r="AW63" s="100">
        <v>0</v>
      </c>
      <c r="AX63" s="100">
        <v>0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0.3174147471995396</v>
      </c>
      <c r="D67" s="100">
        <v>0.3174147471995396</v>
      </c>
      <c r="E67" s="100">
        <v>0.3174147471995396</v>
      </c>
      <c r="F67" s="100">
        <v>0.3174147471995396</v>
      </c>
      <c r="G67" s="100">
        <v>0.3174147471995396</v>
      </c>
      <c r="H67" s="100">
        <v>0.3174147471995396</v>
      </c>
      <c r="I67" s="100">
        <v>0.3174147471995396</v>
      </c>
      <c r="J67" s="100">
        <v>0.3174147471995396</v>
      </c>
      <c r="K67" s="100">
        <v>0.3174147471995396</v>
      </c>
      <c r="L67" s="100">
        <v>0.3174147471995396</v>
      </c>
      <c r="M67" s="100">
        <v>0.3174147471995396</v>
      </c>
      <c r="N67" s="100">
        <v>0.3174147471995396</v>
      </c>
    </row>
    <row r="68" spans="1:14">
      <c r="B68" s="99" t="s">
        <v>330</v>
      </c>
      <c r="C68" s="100">
        <v>0.41240190725211173</v>
      </c>
      <c r="D68" s="100">
        <v>0.41240190725211173</v>
      </c>
      <c r="E68" s="100">
        <v>0.41240190725211173</v>
      </c>
      <c r="F68" s="100">
        <v>0.41240190725211173</v>
      </c>
      <c r="G68" s="100">
        <v>0.41240190725211173</v>
      </c>
      <c r="H68" s="100">
        <v>0.41240190725211173</v>
      </c>
      <c r="I68" s="100">
        <v>0.41240190725211173</v>
      </c>
      <c r="J68" s="100">
        <v>0.41240190725211173</v>
      </c>
      <c r="K68" s="100">
        <v>0.41240190725211173</v>
      </c>
      <c r="L68" s="100">
        <v>0.41240190725211173</v>
      </c>
      <c r="M68" s="100">
        <v>0.41240190725211173</v>
      </c>
      <c r="N68" s="100">
        <v>0.41240190725211173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19.18227903397036</v>
      </c>
      <c r="D72" s="100">
        <v>41.48310551813573</v>
      </c>
      <c r="E72" s="100">
        <v>70.477272265240344</v>
      </c>
    </row>
    <row r="73" spans="1:14">
      <c r="B73" s="105" t="s">
        <v>93</v>
      </c>
      <c r="C73" s="100">
        <v>19.18227903397036</v>
      </c>
      <c r="D73" s="100">
        <v>41.48310551813573</v>
      </c>
      <c r="E73" s="100">
        <v>70.477272265240344</v>
      </c>
    </row>
    <row r="74" spans="1:14">
      <c r="B74" s="105" t="s">
        <v>94</v>
      </c>
      <c r="C74" s="100">
        <v>19.18227903397036</v>
      </c>
      <c r="D74" s="100">
        <v>41.48310551813573</v>
      </c>
      <c r="E74" s="100">
        <v>70.477272265240344</v>
      </c>
    </row>
    <row r="75" spans="1:14">
      <c r="B75" s="105" t="s">
        <v>95</v>
      </c>
      <c r="C75" s="100">
        <v>19.18227903397036</v>
      </c>
      <c r="D75" s="100">
        <v>41.48310551813573</v>
      </c>
      <c r="E75" s="100">
        <v>70.477272265240344</v>
      </c>
    </row>
    <row r="76" spans="1:14">
      <c r="B76" s="105" t="s">
        <v>96</v>
      </c>
      <c r="C76" s="100">
        <v>19.18227903397036</v>
      </c>
      <c r="D76" s="100">
        <v>41.48310551813573</v>
      </c>
      <c r="E76" s="100">
        <v>70.477272265240344</v>
      </c>
    </row>
    <row r="77" spans="1:14">
      <c r="B77" s="105" t="s">
        <v>97</v>
      </c>
      <c r="C77" s="100">
        <v>19.18227903397036</v>
      </c>
      <c r="D77" s="100">
        <v>41.48310551813573</v>
      </c>
      <c r="E77" s="100">
        <v>70.477272265240344</v>
      </c>
    </row>
    <row r="78" spans="1:14">
      <c r="B78" s="105" t="s">
        <v>98</v>
      </c>
      <c r="C78" s="100">
        <v>19.18227903397036</v>
      </c>
      <c r="D78" s="100">
        <v>41.48310551813573</v>
      </c>
      <c r="E78" s="100">
        <v>70.477272265240344</v>
      </c>
    </row>
    <row r="79" spans="1:14">
      <c r="B79" s="105" t="s">
        <v>99</v>
      </c>
      <c r="C79" s="100">
        <v>19.18227903397036</v>
      </c>
      <c r="D79" s="100">
        <v>41.48310551813573</v>
      </c>
      <c r="E79" s="100">
        <v>70.477272265240344</v>
      </c>
    </row>
    <row r="80" spans="1:14">
      <c r="B80" s="105" t="s">
        <v>100</v>
      </c>
      <c r="C80" s="100">
        <v>19.18227903397036</v>
      </c>
      <c r="D80" s="100">
        <v>41.48310551813573</v>
      </c>
      <c r="E80" s="100">
        <v>70.477272265240344</v>
      </c>
    </row>
    <row r="81" spans="2:50">
      <c r="B81" s="105" t="s">
        <v>101</v>
      </c>
      <c r="C81" s="100">
        <v>19.18227903397036</v>
      </c>
      <c r="D81" s="100">
        <v>41.48310551813573</v>
      </c>
      <c r="E81" s="100">
        <v>70.477272265240344</v>
      </c>
    </row>
    <row r="82" spans="2:50">
      <c r="B82" s="105" t="s">
        <v>102</v>
      </c>
      <c r="C82" s="100">
        <v>19.18227903397036</v>
      </c>
      <c r="D82" s="100">
        <v>41.48310551813573</v>
      </c>
      <c r="E82" s="100">
        <v>70.477272265240344</v>
      </c>
    </row>
    <row r="83" spans="2:50">
      <c r="B83" s="105" t="s">
        <v>103</v>
      </c>
      <c r="C83" s="100">
        <v>19.18227903397036</v>
      </c>
      <c r="D83" s="100">
        <v>41.48310551813573</v>
      </c>
      <c r="E83" s="100">
        <v>70.477272265240344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3300.6239115278222</v>
      </c>
      <c r="D88" s="100">
        <f>D48+$C$67/4</f>
        <v>3300.6239115278222</v>
      </c>
      <c r="E88" s="100">
        <f>E48+$C$67/4</f>
        <v>3300.6239115278222</v>
      </c>
      <c r="F88" s="100">
        <f>F48+$C$67/4</f>
        <v>3300.6239115278222</v>
      </c>
      <c r="G88" s="100">
        <f>G48+$D$67/4</f>
        <v>2750.5331518876519</v>
      </c>
      <c r="H88" s="100">
        <f>H48+$D$67/4</f>
        <v>2750.5331518876519</v>
      </c>
      <c r="I88" s="100">
        <f>I48+$D$67/4</f>
        <v>2750.5331518876519</v>
      </c>
      <c r="J88" s="100">
        <f>J48+$D$67/4</f>
        <v>2750.5331518876519</v>
      </c>
      <c r="K88" s="100">
        <f>K48+$E$67/4</f>
        <v>2200.4423922474816</v>
      </c>
      <c r="L88" s="100">
        <f>L48+$E$67/4</f>
        <v>2200.4423922474816</v>
      </c>
      <c r="M88" s="100">
        <f>M48+$E$67/4</f>
        <v>2200.4423922474816</v>
      </c>
      <c r="N88" s="100">
        <f>N48+$E$67/4</f>
        <v>2200.4423922474816</v>
      </c>
      <c r="O88" s="100">
        <f>O48+$F$67/4</f>
        <v>2750.5331518876519</v>
      </c>
      <c r="P88" s="100">
        <f>P48+$F$67/4</f>
        <v>2750.5331518876519</v>
      </c>
      <c r="Q88" s="100">
        <f>Q48+$F$67/4</f>
        <v>2750.5331518876519</v>
      </c>
      <c r="R88" s="100">
        <f>R48+$F$67/4</f>
        <v>2750.5331518876519</v>
      </c>
      <c r="S88" s="100">
        <f>S48+$G$67/4</f>
        <v>2750.5331518876519</v>
      </c>
      <c r="T88" s="100">
        <f>T48+$G$67/4</f>
        <v>2750.5331518876519</v>
      </c>
      <c r="U88" s="100">
        <f>U48+$G$67/4</f>
        <v>2750.5331518876519</v>
      </c>
      <c r="V88" s="100">
        <f>V48+$G$67/4</f>
        <v>2750.5331518876519</v>
      </c>
      <c r="W88" s="100">
        <f>W48+$H$67/4</f>
        <v>2750.5331518876519</v>
      </c>
      <c r="X88" s="100">
        <f>X48+$H$67/4</f>
        <v>2750.5331518876519</v>
      </c>
      <c r="Y88" s="100">
        <f>Y48+$H$67/4</f>
        <v>2750.5331518876519</v>
      </c>
      <c r="Z88" s="100">
        <f>Z48+$H$67/4</f>
        <v>2750.5331518876519</v>
      </c>
      <c r="AA88" s="100">
        <f>AA48+$I$67/4</f>
        <v>2750.5331518876519</v>
      </c>
      <c r="AB88" s="100">
        <f>AB48+$I$67/4</f>
        <v>2750.5331518876519</v>
      </c>
      <c r="AC88" s="100">
        <f>AC48+$I$67/4</f>
        <v>2750.5331518876519</v>
      </c>
      <c r="AD88" s="100">
        <f>AD48+$I$67/4</f>
        <v>2750.5331518876519</v>
      </c>
      <c r="AE88" s="100">
        <f>AE48+$J$67/4</f>
        <v>2750.5331518876519</v>
      </c>
      <c r="AF88" s="100">
        <f>AF48+$J$67/4</f>
        <v>2750.5331518876519</v>
      </c>
      <c r="AG88" s="100">
        <f>AG48+$J$67/4</f>
        <v>2750.5331518876519</v>
      </c>
      <c r="AH88" s="100">
        <f>AH48+$J$67/4</f>
        <v>2750.5331518876519</v>
      </c>
      <c r="AI88" s="100">
        <f>AI48+$K$67/4</f>
        <v>2750.5331518876519</v>
      </c>
      <c r="AJ88" s="100">
        <f>AJ48+$K$67/4</f>
        <v>2750.5331518876519</v>
      </c>
      <c r="AK88" s="100">
        <f>AK48+$K$67/4</f>
        <v>2750.5331518876519</v>
      </c>
      <c r="AL88" s="100">
        <f>AL48+$K$67/4</f>
        <v>2750.5331518876519</v>
      </c>
      <c r="AM88" s="100">
        <f>AM48+$L$67/4</f>
        <v>3300.6239115278222</v>
      </c>
      <c r="AN88" s="100">
        <f>AN48+$L$67/4</f>
        <v>3300.6239115278222</v>
      </c>
      <c r="AO88" s="100">
        <f>AO48+$L$67/4</f>
        <v>3300.6239115278222</v>
      </c>
      <c r="AP88" s="100">
        <f>AP48+$L$67/4</f>
        <v>3300.6239115278222</v>
      </c>
      <c r="AQ88" s="100">
        <f>AQ48+$M$67/4</f>
        <v>2750.5331518876519</v>
      </c>
      <c r="AR88" s="100">
        <f>AR48+$M$67/4</f>
        <v>2750.5331518876519</v>
      </c>
      <c r="AS88" s="100">
        <f>AS48+$M$67/4</f>
        <v>2750.5331518876519</v>
      </c>
      <c r="AT88" s="100">
        <f>AT48+$M$67/4</f>
        <v>2750.5331518876519</v>
      </c>
      <c r="AU88" s="100">
        <f>AU48+$N$67/4</f>
        <v>3300.6239115278222</v>
      </c>
      <c r="AV88" s="100">
        <f>AV48+$N$67/4</f>
        <v>3300.6239115278222</v>
      </c>
      <c r="AW88" s="100">
        <f>AW48+$N$67/4</f>
        <v>3300.6239115278222</v>
      </c>
      <c r="AX88" s="100">
        <f>AX48+$N$67/4</f>
        <v>3300.6239115278222</v>
      </c>
    </row>
    <row r="89" spans="2:50">
      <c r="B89" s="99" t="s">
        <v>105</v>
      </c>
      <c r="C89" s="100">
        <f>C49</f>
        <v>4.412006356920912E-20</v>
      </c>
      <c r="D89" s="100">
        <f t="shared" ref="D89:AX93" si="3">D49</f>
        <v>4.412006356920912E-20</v>
      </c>
      <c r="E89" s="100">
        <f t="shared" si="3"/>
        <v>4.412006356920912E-20</v>
      </c>
      <c r="F89" s="100">
        <f t="shared" si="3"/>
        <v>4.412006356920912E-20</v>
      </c>
      <c r="G89" s="100">
        <f t="shared" si="3"/>
        <v>4.412006356920912E-20</v>
      </c>
      <c r="H89" s="100">
        <f t="shared" si="3"/>
        <v>4.412006356920912E-20</v>
      </c>
      <c r="I89" s="100">
        <f t="shared" si="3"/>
        <v>4.412006356920912E-20</v>
      </c>
      <c r="J89" s="100">
        <f t="shared" si="3"/>
        <v>4.412006356920912E-20</v>
      </c>
      <c r="K89" s="100">
        <f t="shared" si="3"/>
        <v>4.412006356920912E-20</v>
      </c>
      <c r="L89" s="100">
        <f t="shared" si="3"/>
        <v>4.412006356920912E-20</v>
      </c>
      <c r="M89" s="100">
        <f t="shared" si="3"/>
        <v>4.412006356920912E-20</v>
      </c>
      <c r="N89" s="100">
        <f t="shared" si="3"/>
        <v>4.412006356920912E-20</v>
      </c>
      <c r="O89" s="100">
        <f t="shared" si="3"/>
        <v>4.412006356920912E-20</v>
      </c>
      <c r="P89" s="100">
        <f t="shared" si="3"/>
        <v>4.412006356920912E-20</v>
      </c>
      <c r="Q89" s="100">
        <f t="shared" si="3"/>
        <v>4.412006356920912E-20</v>
      </c>
      <c r="R89" s="100">
        <f t="shared" si="3"/>
        <v>4.412006356920912E-20</v>
      </c>
      <c r="S89" s="100">
        <f t="shared" si="3"/>
        <v>3.5296050855367296E-20</v>
      </c>
      <c r="T89" s="100">
        <f t="shared" si="3"/>
        <v>3.5296050855367296E-20</v>
      </c>
      <c r="U89" s="100">
        <f t="shared" si="3"/>
        <v>3.5296050855367296E-20</v>
      </c>
      <c r="V89" s="100">
        <f t="shared" si="3"/>
        <v>3.5296050855367296E-20</v>
      </c>
      <c r="W89" s="100">
        <f t="shared" si="3"/>
        <v>3.5296050855367296E-20</v>
      </c>
      <c r="X89" s="100">
        <f t="shared" si="3"/>
        <v>3.5296050855367296E-20</v>
      </c>
      <c r="Y89" s="100">
        <f t="shared" si="3"/>
        <v>3.5296050855367296E-20</v>
      </c>
      <c r="Z89" s="100">
        <f t="shared" si="3"/>
        <v>3.5296050855367296E-20</v>
      </c>
      <c r="AA89" s="100">
        <f t="shared" si="3"/>
        <v>4.412006356920912E-20</v>
      </c>
      <c r="AB89" s="100">
        <f t="shared" si="3"/>
        <v>4.412006356920912E-20</v>
      </c>
      <c r="AC89" s="100">
        <f t="shared" si="3"/>
        <v>4.412006356920912E-20</v>
      </c>
      <c r="AD89" s="100">
        <f t="shared" si="3"/>
        <v>4.412006356920912E-20</v>
      </c>
      <c r="AE89" s="100">
        <f t="shared" si="3"/>
        <v>4.412006356920912E-20</v>
      </c>
      <c r="AF89" s="100">
        <f t="shared" si="3"/>
        <v>4.412006356920912E-20</v>
      </c>
      <c r="AG89" s="100">
        <f t="shared" si="3"/>
        <v>4.412006356920912E-20</v>
      </c>
      <c r="AH89" s="100">
        <f t="shared" si="3"/>
        <v>4.412006356920912E-20</v>
      </c>
      <c r="AI89" s="100">
        <f t="shared" si="3"/>
        <v>4.412006356920912E-20</v>
      </c>
      <c r="AJ89" s="100">
        <f t="shared" si="3"/>
        <v>4.412006356920912E-20</v>
      </c>
      <c r="AK89" s="100">
        <f t="shared" si="3"/>
        <v>4.412006356920912E-20</v>
      </c>
      <c r="AL89" s="100">
        <f t="shared" si="3"/>
        <v>4.412006356920912E-20</v>
      </c>
      <c r="AM89" s="100">
        <f t="shared" si="3"/>
        <v>4.412006356920912E-20</v>
      </c>
      <c r="AN89" s="100">
        <f t="shared" si="3"/>
        <v>4.412006356920912E-20</v>
      </c>
      <c r="AO89" s="100">
        <f t="shared" si="3"/>
        <v>4.412006356920912E-20</v>
      </c>
      <c r="AP89" s="100">
        <f t="shared" si="3"/>
        <v>4.412006356920912E-20</v>
      </c>
      <c r="AQ89" s="100">
        <f t="shared" si="3"/>
        <v>4.412006356920912E-20</v>
      </c>
      <c r="AR89" s="100">
        <f t="shared" si="3"/>
        <v>4.412006356920912E-20</v>
      </c>
      <c r="AS89" s="100">
        <f t="shared" si="3"/>
        <v>4.412006356920912E-20</v>
      </c>
      <c r="AT89" s="100">
        <f t="shared" si="3"/>
        <v>4.412006356920912E-20</v>
      </c>
      <c r="AU89" s="100">
        <f t="shared" si="3"/>
        <v>4.412006356920912E-20</v>
      </c>
      <c r="AV89" s="100">
        <f t="shared" si="3"/>
        <v>4.412006356920912E-20</v>
      </c>
      <c r="AW89" s="100">
        <f t="shared" si="3"/>
        <v>4.412006356920912E-20</v>
      </c>
      <c r="AX89" s="100">
        <f t="shared" si="3"/>
        <v>4.412006356920912E-20</v>
      </c>
    </row>
    <row r="90" spans="2:50">
      <c r="B90" s="99" t="s">
        <v>106</v>
      </c>
      <c r="C90" s="100">
        <f t="shared" ref="C90:R93" si="4">C50</f>
        <v>140</v>
      </c>
      <c r="D90" s="100">
        <f t="shared" si="4"/>
        <v>140</v>
      </c>
      <c r="E90" s="100">
        <f t="shared" si="4"/>
        <v>140</v>
      </c>
      <c r="F90" s="100">
        <f t="shared" si="4"/>
        <v>140</v>
      </c>
      <c r="G90" s="100">
        <f t="shared" si="4"/>
        <v>140</v>
      </c>
      <c r="H90" s="100">
        <f t="shared" si="4"/>
        <v>140</v>
      </c>
      <c r="I90" s="100">
        <f t="shared" si="4"/>
        <v>140</v>
      </c>
      <c r="J90" s="100">
        <f t="shared" si="4"/>
        <v>140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0</v>
      </c>
      <c r="P90" s="100">
        <f t="shared" si="4"/>
        <v>0</v>
      </c>
      <c r="Q90" s="100">
        <f t="shared" si="4"/>
        <v>0</v>
      </c>
      <c r="R90" s="100">
        <f t="shared" si="4"/>
        <v>0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168</v>
      </c>
      <c r="X90" s="100">
        <f t="shared" si="3"/>
        <v>168</v>
      </c>
      <c r="Y90" s="100">
        <f t="shared" si="3"/>
        <v>168</v>
      </c>
      <c r="Z90" s="100">
        <f t="shared" si="3"/>
        <v>168</v>
      </c>
      <c r="AA90" s="100">
        <f t="shared" si="3"/>
        <v>0</v>
      </c>
      <c r="AB90" s="100">
        <f t="shared" si="3"/>
        <v>0</v>
      </c>
      <c r="AC90" s="100">
        <f t="shared" si="3"/>
        <v>0</v>
      </c>
      <c r="AD90" s="100">
        <f t="shared" si="3"/>
        <v>0</v>
      </c>
      <c r="AE90" s="100">
        <f t="shared" si="3"/>
        <v>112</v>
      </c>
      <c r="AF90" s="100">
        <f t="shared" si="3"/>
        <v>112</v>
      </c>
      <c r="AG90" s="100">
        <f t="shared" si="3"/>
        <v>112</v>
      </c>
      <c r="AH90" s="100">
        <f t="shared" si="3"/>
        <v>112</v>
      </c>
      <c r="AI90" s="100">
        <f t="shared" si="3"/>
        <v>140</v>
      </c>
      <c r="AJ90" s="100">
        <f t="shared" si="3"/>
        <v>140</v>
      </c>
      <c r="AK90" s="100">
        <f t="shared" si="3"/>
        <v>140</v>
      </c>
      <c r="AL90" s="100">
        <f t="shared" si="3"/>
        <v>140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168</v>
      </c>
      <c r="AR90" s="100">
        <f t="shared" si="3"/>
        <v>168</v>
      </c>
      <c r="AS90" s="100">
        <f t="shared" si="3"/>
        <v>168</v>
      </c>
      <c r="AT90" s="100">
        <f t="shared" si="3"/>
        <v>168</v>
      </c>
      <c r="AU90" s="100">
        <f t="shared" si="3"/>
        <v>168</v>
      </c>
      <c r="AV90" s="100">
        <f t="shared" si="3"/>
        <v>168</v>
      </c>
      <c r="AW90" s="100">
        <f t="shared" si="3"/>
        <v>168</v>
      </c>
      <c r="AX90" s="100">
        <f t="shared" si="3"/>
        <v>168</v>
      </c>
    </row>
    <row r="91" spans="2:50">
      <c r="B91" s="99" t="s">
        <v>107</v>
      </c>
      <c r="C91" s="100">
        <f t="shared" si="4"/>
        <v>799.99999999999602</v>
      </c>
      <c r="D91" s="100">
        <f t="shared" si="3"/>
        <v>799.99999999999602</v>
      </c>
      <c r="E91" s="100">
        <f t="shared" si="3"/>
        <v>799.99999999999602</v>
      </c>
      <c r="F91" s="100">
        <f t="shared" si="3"/>
        <v>799.99999999999602</v>
      </c>
      <c r="G91" s="100">
        <f t="shared" si="3"/>
        <v>639.99999999999682</v>
      </c>
      <c r="H91" s="100">
        <f t="shared" si="3"/>
        <v>639.99999999999682</v>
      </c>
      <c r="I91" s="100">
        <f t="shared" si="3"/>
        <v>639.99999999999682</v>
      </c>
      <c r="J91" s="100">
        <f t="shared" si="3"/>
        <v>639.99999999999682</v>
      </c>
      <c r="K91" s="100">
        <f t="shared" si="3"/>
        <v>799.99999999999602</v>
      </c>
      <c r="L91" s="100">
        <f t="shared" si="3"/>
        <v>799.99999999999602</v>
      </c>
      <c r="M91" s="100">
        <f t="shared" si="3"/>
        <v>799.99999999999602</v>
      </c>
      <c r="N91" s="100">
        <f t="shared" si="3"/>
        <v>799.99999999999602</v>
      </c>
      <c r="O91" s="100">
        <f t="shared" si="3"/>
        <v>799.99999999999602</v>
      </c>
      <c r="P91" s="100">
        <f t="shared" si="3"/>
        <v>799.99999999999602</v>
      </c>
      <c r="Q91" s="100">
        <f t="shared" si="3"/>
        <v>799.99999999999602</v>
      </c>
      <c r="R91" s="100">
        <f t="shared" si="3"/>
        <v>799.99999999999602</v>
      </c>
      <c r="S91" s="100">
        <f t="shared" si="3"/>
        <v>799.99999999999602</v>
      </c>
      <c r="T91" s="100">
        <f t="shared" si="3"/>
        <v>799.99999999999602</v>
      </c>
      <c r="U91" s="100">
        <f t="shared" si="3"/>
        <v>799.99999999999602</v>
      </c>
      <c r="V91" s="100">
        <f t="shared" si="3"/>
        <v>799.99999999999602</v>
      </c>
      <c r="W91" s="100">
        <f t="shared" si="3"/>
        <v>0</v>
      </c>
      <c r="X91" s="100">
        <f t="shared" si="3"/>
        <v>0</v>
      </c>
      <c r="Y91" s="100">
        <f t="shared" si="3"/>
        <v>0</v>
      </c>
      <c r="Z91" s="100">
        <f t="shared" si="3"/>
        <v>0</v>
      </c>
      <c r="AA91" s="100">
        <f t="shared" si="3"/>
        <v>316.27030281139787</v>
      </c>
      <c r="AB91" s="100">
        <f t="shared" si="3"/>
        <v>799.99999999999602</v>
      </c>
      <c r="AC91" s="100">
        <f t="shared" si="3"/>
        <v>799.99999999999602</v>
      </c>
      <c r="AD91" s="100">
        <f t="shared" si="3"/>
        <v>799.99999999999602</v>
      </c>
      <c r="AE91" s="100">
        <f t="shared" si="3"/>
        <v>799.99999999999602</v>
      </c>
      <c r="AF91" s="100">
        <f t="shared" si="3"/>
        <v>799.99999999999602</v>
      </c>
      <c r="AG91" s="100">
        <f t="shared" si="3"/>
        <v>799.99999999999602</v>
      </c>
      <c r="AH91" s="100">
        <f t="shared" si="3"/>
        <v>799.99999999999602</v>
      </c>
      <c r="AI91" s="100">
        <f t="shared" si="3"/>
        <v>799.99999999999602</v>
      </c>
      <c r="AJ91" s="100">
        <f t="shared" si="3"/>
        <v>799.99999999999602</v>
      </c>
      <c r="AK91" s="100">
        <f t="shared" si="3"/>
        <v>799.99999999999602</v>
      </c>
      <c r="AL91" s="100">
        <f t="shared" si="3"/>
        <v>799.99999999999602</v>
      </c>
      <c r="AM91" s="100">
        <f t="shared" si="3"/>
        <v>799.99999999999602</v>
      </c>
      <c r="AN91" s="100">
        <f t="shared" si="3"/>
        <v>799.99999999999602</v>
      </c>
      <c r="AO91" s="100">
        <f t="shared" si="3"/>
        <v>799.99999999999602</v>
      </c>
      <c r="AP91" s="100">
        <f t="shared" si="3"/>
        <v>799.99999999999602</v>
      </c>
      <c r="AQ91" s="100">
        <f t="shared" si="3"/>
        <v>799.99999999999602</v>
      </c>
      <c r="AR91" s="100">
        <f t="shared" si="3"/>
        <v>799.99999999999602</v>
      </c>
      <c r="AS91" s="100">
        <f t="shared" si="3"/>
        <v>799.99999999999602</v>
      </c>
      <c r="AT91" s="100">
        <f t="shared" si="3"/>
        <v>799.99999999999602</v>
      </c>
      <c r="AU91" s="100">
        <f t="shared" si="3"/>
        <v>799.99999999999602</v>
      </c>
      <c r="AV91" s="100">
        <f t="shared" si="3"/>
        <v>799.99999999999602</v>
      </c>
      <c r="AW91" s="100">
        <f t="shared" si="3"/>
        <v>799.99999999999602</v>
      </c>
      <c r="AX91" s="100">
        <f t="shared" si="3"/>
        <v>799.99999999999602</v>
      </c>
    </row>
    <row r="92" spans="2:50">
      <c r="B92" s="99" t="s">
        <v>108</v>
      </c>
      <c r="C92" s="100">
        <f t="shared" si="4"/>
        <v>1.6678507369460147E-20</v>
      </c>
      <c r="D92" s="100">
        <f t="shared" si="4"/>
        <v>1.6678507369460147E-20</v>
      </c>
      <c r="E92" s="100">
        <f t="shared" si="4"/>
        <v>1.6678507369460147E-20</v>
      </c>
      <c r="F92" s="100">
        <f t="shared" si="4"/>
        <v>1.6678507369460147E-20</v>
      </c>
      <c r="G92" s="100">
        <f t="shared" si="4"/>
        <v>2.0848134211825182E-20</v>
      </c>
      <c r="H92" s="100">
        <f t="shared" si="4"/>
        <v>2.0848134211825182E-20</v>
      </c>
      <c r="I92" s="100">
        <f t="shared" si="4"/>
        <v>2.0848134211825182E-20</v>
      </c>
      <c r="J92" s="100">
        <f t="shared" si="4"/>
        <v>2.0848134211825182E-20</v>
      </c>
      <c r="K92" s="100">
        <f t="shared" si="4"/>
        <v>1.6678507369460147E-20</v>
      </c>
      <c r="L92" s="100">
        <f t="shared" si="4"/>
        <v>1.6678507369460147E-20</v>
      </c>
      <c r="M92" s="100">
        <f t="shared" si="4"/>
        <v>1.6678507369460147E-20</v>
      </c>
      <c r="N92" s="100">
        <f t="shared" si="4"/>
        <v>1.6678507369460147E-20</v>
      </c>
      <c r="O92" s="100">
        <f t="shared" si="4"/>
        <v>1.6678507369460147E-20</v>
      </c>
      <c r="P92" s="100">
        <f t="shared" si="4"/>
        <v>1.6678507369460147E-20</v>
      </c>
      <c r="Q92" s="100">
        <f t="shared" si="4"/>
        <v>1.6678507369460147E-20</v>
      </c>
      <c r="R92" s="100">
        <f t="shared" si="4"/>
        <v>1.6678507369460147E-20</v>
      </c>
      <c r="S92" s="100">
        <f t="shared" si="3"/>
        <v>1.6678507369460147E-20</v>
      </c>
      <c r="T92" s="100">
        <f t="shared" si="3"/>
        <v>1.6678507369460147E-20</v>
      </c>
      <c r="U92" s="100">
        <f t="shared" si="3"/>
        <v>1.6678507369460147E-20</v>
      </c>
      <c r="V92" s="100">
        <f t="shared" si="3"/>
        <v>1.6678507369460147E-20</v>
      </c>
      <c r="W92" s="100">
        <f t="shared" si="3"/>
        <v>1.6678507369460147E-20</v>
      </c>
      <c r="X92" s="100">
        <f t="shared" si="3"/>
        <v>1.6678507369460147E-20</v>
      </c>
      <c r="Y92" s="100">
        <f t="shared" si="3"/>
        <v>1.6678507369460147E-20</v>
      </c>
      <c r="Z92" s="100">
        <f t="shared" si="3"/>
        <v>1.6678507369460147E-20</v>
      </c>
      <c r="AA92" s="100">
        <f t="shared" si="3"/>
        <v>1.6678507369460147E-20</v>
      </c>
      <c r="AB92" s="100">
        <f t="shared" si="3"/>
        <v>1.6678507369460147E-20</v>
      </c>
      <c r="AC92" s="100">
        <f t="shared" si="3"/>
        <v>1.6678507369460147E-20</v>
      </c>
      <c r="AD92" s="100">
        <f t="shared" si="3"/>
        <v>1.6678507369460147E-20</v>
      </c>
      <c r="AE92" s="100">
        <f t="shared" si="3"/>
        <v>1.6678507369460147E-20</v>
      </c>
      <c r="AF92" s="100">
        <f t="shared" si="3"/>
        <v>1.6678507369460147E-20</v>
      </c>
      <c r="AG92" s="100">
        <f t="shared" si="3"/>
        <v>1.6678507369460147E-20</v>
      </c>
      <c r="AH92" s="100">
        <f t="shared" si="3"/>
        <v>1.6678507369460147E-20</v>
      </c>
      <c r="AI92" s="100">
        <f t="shared" si="3"/>
        <v>1.6678507369460147E-20</v>
      </c>
      <c r="AJ92" s="100">
        <f t="shared" si="3"/>
        <v>1.6678507369460147E-20</v>
      </c>
      <c r="AK92" s="100">
        <f t="shared" si="3"/>
        <v>1.6678507369460147E-20</v>
      </c>
      <c r="AL92" s="100">
        <f t="shared" si="3"/>
        <v>1.6678507369460147E-20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1.6678507369460147E-20</v>
      </c>
      <c r="AR92" s="100">
        <f t="shared" si="3"/>
        <v>1.6678507369460147E-20</v>
      </c>
      <c r="AS92" s="100">
        <f t="shared" si="3"/>
        <v>1.6678507369460147E-20</v>
      </c>
      <c r="AT92" s="100">
        <f t="shared" si="3"/>
        <v>1.6678507369460147E-20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2.2349178002482693E-20</v>
      </c>
      <c r="D93" s="100">
        <f t="shared" si="4"/>
        <v>2.2349178002482693E-20</v>
      </c>
      <c r="E93" s="100">
        <f t="shared" si="4"/>
        <v>2.2349178002482693E-20</v>
      </c>
      <c r="F93" s="100">
        <f t="shared" si="4"/>
        <v>2.2349178002482693E-20</v>
      </c>
      <c r="G93" s="100">
        <f t="shared" si="4"/>
        <v>1.7879342401986155E-20</v>
      </c>
      <c r="H93" s="100">
        <f t="shared" si="4"/>
        <v>1.7879342401986155E-20</v>
      </c>
      <c r="I93" s="100">
        <f t="shared" si="4"/>
        <v>1.7879342401986155E-20</v>
      </c>
      <c r="J93" s="100">
        <f t="shared" si="4"/>
        <v>1.7879342401986155E-20</v>
      </c>
      <c r="K93" s="100">
        <f t="shared" si="4"/>
        <v>1.7879342401986155E-20</v>
      </c>
      <c r="L93" s="100">
        <f t="shared" si="4"/>
        <v>1.7879342401986155E-20</v>
      </c>
      <c r="M93" s="100">
        <f t="shared" si="4"/>
        <v>1.7879342401986155E-20</v>
      </c>
      <c r="N93" s="100">
        <f t="shared" si="4"/>
        <v>1.7879342401986155E-20</v>
      </c>
      <c r="O93" s="100">
        <f t="shared" si="4"/>
        <v>2.2349178002482693E-20</v>
      </c>
      <c r="P93" s="100">
        <f t="shared" si="4"/>
        <v>2.2349178002482693E-20</v>
      </c>
      <c r="Q93" s="100">
        <f t="shared" si="4"/>
        <v>2.2349178002482693E-20</v>
      </c>
      <c r="R93" s="100">
        <f t="shared" si="4"/>
        <v>2.2349178002482693E-20</v>
      </c>
      <c r="S93" s="100">
        <f t="shared" si="3"/>
        <v>2.2349178002482693E-20</v>
      </c>
      <c r="T93" s="100">
        <f t="shared" si="3"/>
        <v>2.2349178002482693E-20</v>
      </c>
      <c r="U93" s="100">
        <f t="shared" si="3"/>
        <v>2.2349178002482693E-20</v>
      </c>
      <c r="V93" s="100">
        <f t="shared" si="3"/>
        <v>2.2349178002482693E-20</v>
      </c>
      <c r="W93" s="100">
        <f t="shared" si="3"/>
        <v>2.2349178002482693E-20</v>
      </c>
      <c r="X93" s="100">
        <f t="shared" si="3"/>
        <v>2.2349178002482693E-20</v>
      </c>
      <c r="Y93" s="100">
        <f t="shared" si="3"/>
        <v>2.2349178002482693E-20</v>
      </c>
      <c r="Z93" s="100">
        <f t="shared" si="3"/>
        <v>2.2349178002482693E-20</v>
      </c>
      <c r="AA93" s="100">
        <f t="shared" si="3"/>
        <v>1.7879342401986155E-20</v>
      </c>
      <c r="AB93" s="100">
        <f t="shared" si="3"/>
        <v>1.7879342401986155E-20</v>
      </c>
      <c r="AC93" s="100">
        <f t="shared" si="3"/>
        <v>1.7879342401986155E-20</v>
      </c>
      <c r="AD93" s="100">
        <f t="shared" si="3"/>
        <v>1.7879342401986155E-20</v>
      </c>
      <c r="AE93" s="100">
        <f t="shared" si="3"/>
        <v>1.7879342401986155E-20</v>
      </c>
      <c r="AF93" s="100">
        <f t="shared" si="3"/>
        <v>1.7879342401986155E-20</v>
      </c>
      <c r="AG93" s="100">
        <f t="shared" si="3"/>
        <v>1.7879342401986155E-20</v>
      </c>
      <c r="AH93" s="100">
        <f t="shared" si="3"/>
        <v>1.7879342401986155E-20</v>
      </c>
      <c r="AI93" s="100">
        <f t="shared" si="3"/>
        <v>1.7879342401986155E-20</v>
      </c>
      <c r="AJ93" s="100">
        <f t="shared" si="3"/>
        <v>1.7879342401986155E-20</v>
      </c>
      <c r="AK93" s="100">
        <f t="shared" si="3"/>
        <v>1.7879342401986155E-20</v>
      </c>
      <c r="AL93" s="100">
        <f t="shared" si="3"/>
        <v>1.7879342401986155E-20</v>
      </c>
      <c r="AM93" s="100">
        <f t="shared" si="3"/>
        <v>1.7879342401986155E-20</v>
      </c>
      <c r="AN93" s="100">
        <f t="shared" si="3"/>
        <v>1.7879342401986155E-20</v>
      </c>
      <c r="AO93" s="100">
        <f t="shared" si="3"/>
        <v>1.7879342401986155E-20</v>
      </c>
      <c r="AP93" s="100">
        <f t="shared" si="3"/>
        <v>1.7879342401986155E-20</v>
      </c>
      <c r="AQ93" s="100">
        <f t="shared" si="3"/>
        <v>1.7879342401986155E-20</v>
      </c>
      <c r="AR93" s="100">
        <f t="shared" si="3"/>
        <v>1.7879342401986155E-20</v>
      </c>
      <c r="AS93" s="100">
        <f t="shared" si="3"/>
        <v>1.7879342401986155E-20</v>
      </c>
      <c r="AT93" s="100">
        <f t="shared" si="3"/>
        <v>1.7879342401986155E-20</v>
      </c>
      <c r="AU93" s="100">
        <f t="shared" si="3"/>
        <v>0</v>
      </c>
      <c r="AV93" s="100">
        <f t="shared" si="3"/>
        <v>0</v>
      </c>
      <c r="AW93" s="100">
        <f t="shared" si="3"/>
        <v>0</v>
      </c>
      <c r="AX93" s="100">
        <f t="shared" si="3"/>
        <v>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1.1049833547664319E-17</v>
      </c>
      <c r="D98" s="100">
        <v>1.1049833547664319E-17</v>
      </c>
      <c r="E98" s="100">
        <v>1.1049833547664319E-17</v>
      </c>
      <c r="F98" s="100">
        <v>1.1049833547664319E-17</v>
      </c>
      <c r="G98" s="100">
        <v>9.2082388997850098E-18</v>
      </c>
      <c r="H98" s="100">
        <v>9.2082388997850098E-18</v>
      </c>
      <c r="I98" s="100">
        <v>9.2082388997850098E-18</v>
      </c>
      <c r="J98" s="100">
        <v>9.2082388997850098E-18</v>
      </c>
      <c r="K98" s="100">
        <v>7.3666442519057024E-18</v>
      </c>
      <c r="L98" s="100">
        <v>7.3666442519057024E-18</v>
      </c>
      <c r="M98" s="100">
        <v>7.3666442519057024E-18</v>
      </c>
      <c r="N98" s="100">
        <v>7.3666442519057024E-18</v>
      </c>
      <c r="O98" s="100">
        <v>9.2082388997850098E-18</v>
      </c>
      <c r="P98" s="100">
        <v>9.2082388997850098E-18</v>
      </c>
      <c r="Q98" s="100">
        <v>9.2082388997850098E-18</v>
      </c>
      <c r="R98" s="100">
        <v>9.2082388997850098E-18</v>
      </c>
      <c r="S98" s="100">
        <v>9.2082388997850098E-18</v>
      </c>
      <c r="T98" s="100">
        <v>9.2082388997850098E-18</v>
      </c>
      <c r="U98" s="100">
        <v>9.2082388997850098E-18</v>
      </c>
      <c r="V98" s="100">
        <v>9.2082388997850098E-18</v>
      </c>
      <c r="W98" s="100">
        <v>9.2082388997850098E-18</v>
      </c>
      <c r="X98" s="100">
        <v>9.2082388997850098E-18</v>
      </c>
      <c r="Y98" s="100">
        <v>9.2082388997850098E-18</v>
      </c>
      <c r="Z98" s="100">
        <v>9.2082388997850098E-18</v>
      </c>
      <c r="AA98" s="100">
        <v>9.2082388997850098E-18</v>
      </c>
      <c r="AB98" s="100">
        <v>9.2082388997850098E-18</v>
      </c>
      <c r="AC98" s="100">
        <v>9.2082388997850098E-18</v>
      </c>
      <c r="AD98" s="100">
        <v>9.2082388997850098E-18</v>
      </c>
      <c r="AE98" s="100">
        <v>9.2082388997850098E-18</v>
      </c>
      <c r="AF98" s="100">
        <v>9.2082388997850098E-18</v>
      </c>
      <c r="AG98" s="100">
        <v>9.2082388997850098E-18</v>
      </c>
      <c r="AH98" s="100">
        <v>9.2082388997850098E-18</v>
      </c>
      <c r="AI98" s="100">
        <v>9.2082388997850098E-18</v>
      </c>
      <c r="AJ98" s="100">
        <v>9.2082388997850098E-18</v>
      </c>
      <c r="AK98" s="100">
        <v>9.2082388997850098E-18</v>
      </c>
      <c r="AL98" s="100">
        <v>9.2082388997850098E-18</v>
      </c>
      <c r="AM98" s="100">
        <v>1.1049833547664319E-17</v>
      </c>
      <c r="AN98" s="100">
        <v>1.1049833547664319E-17</v>
      </c>
      <c r="AO98" s="100">
        <v>1.1049833547664319E-17</v>
      </c>
      <c r="AP98" s="100">
        <v>1.1049833547664319E-17</v>
      </c>
      <c r="AQ98" s="100">
        <v>9.2082388997850098E-18</v>
      </c>
      <c r="AR98" s="100">
        <v>9.2082388997850098E-18</v>
      </c>
      <c r="AS98" s="100">
        <v>9.2082388997850098E-18</v>
      </c>
      <c r="AT98" s="100">
        <v>9.2082388997850098E-18</v>
      </c>
      <c r="AU98" s="100">
        <v>1.1049833547664319E-17</v>
      </c>
      <c r="AV98" s="100">
        <v>1.1049833547664319E-17</v>
      </c>
      <c r="AW98" s="100">
        <v>1.1049833547664319E-17</v>
      </c>
      <c r="AX98" s="100">
        <v>1.1049833547664319E-17</v>
      </c>
    </row>
    <row r="99" spans="1:50">
      <c r="B99" s="105" t="s">
        <v>12</v>
      </c>
      <c r="C99" s="100">
        <v>519092.4735131755</v>
      </c>
      <c r="D99" s="100">
        <v>519092.4735131755</v>
      </c>
      <c r="E99" s="100">
        <v>519092.4735131755</v>
      </c>
      <c r="F99" s="100">
        <v>519092.4735131755</v>
      </c>
      <c r="G99" s="100">
        <v>432579.14126679406</v>
      </c>
      <c r="H99" s="100">
        <v>432579.14126679406</v>
      </c>
      <c r="I99" s="100">
        <v>432579.14126679406</v>
      </c>
      <c r="J99" s="100">
        <v>432579.14126679406</v>
      </c>
      <c r="K99" s="100">
        <v>346065.80902041256</v>
      </c>
      <c r="L99" s="100">
        <v>346065.80902041256</v>
      </c>
      <c r="M99" s="100">
        <v>346065.80902041256</v>
      </c>
      <c r="N99" s="100">
        <v>346065.80902041256</v>
      </c>
      <c r="O99" s="100">
        <v>432579.14126679406</v>
      </c>
      <c r="P99" s="100">
        <v>432579.14126679406</v>
      </c>
      <c r="Q99" s="100">
        <v>432579.14126679406</v>
      </c>
      <c r="R99" s="100">
        <v>432579.14126679406</v>
      </c>
      <c r="S99" s="100">
        <v>432579.14126679406</v>
      </c>
      <c r="T99" s="100">
        <v>432579.14126679406</v>
      </c>
      <c r="U99" s="100">
        <v>432579.14126679406</v>
      </c>
      <c r="V99" s="100">
        <v>432579.14126679406</v>
      </c>
      <c r="W99" s="100">
        <v>432579.14126679406</v>
      </c>
      <c r="X99" s="100">
        <v>432579.14126679406</v>
      </c>
      <c r="Y99" s="100">
        <v>432579.14126679406</v>
      </c>
      <c r="Z99" s="100">
        <v>432579.14126679406</v>
      </c>
      <c r="AA99" s="100">
        <v>432579.14126679406</v>
      </c>
      <c r="AB99" s="100">
        <v>432579.14126679406</v>
      </c>
      <c r="AC99" s="100">
        <v>432579.14126679406</v>
      </c>
      <c r="AD99" s="100">
        <v>432579.14126679406</v>
      </c>
      <c r="AE99" s="100">
        <v>432579.14126679406</v>
      </c>
      <c r="AF99" s="100">
        <v>432579.14126679406</v>
      </c>
      <c r="AG99" s="100">
        <v>432579.14126679406</v>
      </c>
      <c r="AH99" s="100">
        <v>432579.14126679406</v>
      </c>
      <c r="AI99" s="100">
        <v>432579.14126679406</v>
      </c>
      <c r="AJ99" s="100">
        <v>432579.14126679406</v>
      </c>
      <c r="AK99" s="100">
        <v>432579.14126679406</v>
      </c>
      <c r="AL99" s="100">
        <v>432579.14126679406</v>
      </c>
      <c r="AM99" s="100">
        <v>519092.4735131755</v>
      </c>
      <c r="AN99" s="100">
        <v>519092.4735131755</v>
      </c>
      <c r="AO99" s="100">
        <v>519092.4735131755</v>
      </c>
      <c r="AP99" s="100">
        <v>519092.4735131755</v>
      </c>
      <c r="AQ99" s="100">
        <v>432579.14126679406</v>
      </c>
      <c r="AR99" s="100">
        <v>432579.14126679406</v>
      </c>
      <c r="AS99" s="100">
        <v>432579.14126679406</v>
      </c>
      <c r="AT99" s="100">
        <v>432579.14126679406</v>
      </c>
      <c r="AU99" s="100">
        <v>519092.4735131755</v>
      </c>
      <c r="AV99" s="100">
        <v>519092.4735131755</v>
      </c>
      <c r="AW99" s="100">
        <v>519092.4735131755</v>
      </c>
      <c r="AX99" s="100">
        <v>519092.4735131755</v>
      </c>
    </row>
    <row r="100" spans="1:50">
      <c r="B100" s="105" t="s">
        <v>22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0</v>
      </c>
      <c r="R100" s="100">
        <v>0</v>
      </c>
      <c r="S100" s="100">
        <v>0</v>
      </c>
      <c r="T100" s="100">
        <v>0</v>
      </c>
      <c r="U100" s="100">
        <v>0</v>
      </c>
      <c r="V100" s="100">
        <v>0</v>
      </c>
      <c r="W100" s="100">
        <v>0</v>
      </c>
      <c r="X100" s="100">
        <v>0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>
        <v>0</v>
      </c>
      <c r="AX100" s="100">
        <v>0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318930.36060539633</v>
      </c>
      <c r="D102" s="100">
        <v>318930.36060539633</v>
      </c>
      <c r="E102" s="100">
        <v>318930.36060539633</v>
      </c>
      <c r="F102" s="100">
        <v>318930.36060539633</v>
      </c>
      <c r="G102" s="100">
        <v>265776.57845984848</v>
      </c>
      <c r="H102" s="100">
        <v>265776.57845984848</v>
      </c>
      <c r="I102" s="100">
        <v>265776.57845984848</v>
      </c>
      <c r="J102" s="100">
        <v>265776.57845984848</v>
      </c>
      <c r="K102" s="100">
        <v>212622.79631430062</v>
      </c>
      <c r="L102" s="100">
        <v>212622.79631430062</v>
      </c>
      <c r="M102" s="100">
        <v>212622.79631430062</v>
      </c>
      <c r="N102" s="100">
        <v>212622.79631430062</v>
      </c>
      <c r="O102" s="100">
        <v>265776.57845984848</v>
      </c>
      <c r="P102" s="100">
        <v>265776.57845984848</v>
      </c>
      <c r="Q102" s="100">
        <v>265776.57845984848</v>
      </c>
      <c r="R102" s="100">
        <v>265776.57845984848</v>
      </c>
      <c r="S102" s="100">
        <v>265776.57845984848</v>
      </c>
      <c r="T102" s="100">
        <v>265776.57845984848</v>
      </c>
      <c r="U102" s="100">
        <v>265776.57845984848</v>
      </c>
      <c r="V102" s="100">
        <v>265776.57845984848</v>
      </c>
      <c r="W102" s="100">
        <v>265776.57845984848</v>
      </c>
      <c r="X102" s="100">
        <v>265776.57845984848</v>
      </c>
      <c r="Y102" s="100">
        <v>265776.57845984848</v>
      </c>
      <c r="Z102" s="100">
        <v>265776.57845984848</v>
      </c>
      <c r="AA102" s="100">
        <v>265776.57845984848</v>
      </c>
      <c r="AB102" s="100">
        <v>265776.57845984848</v>
      </c>
      <c r="AC102" s="100">
        <v>265776.57845984848</v>
      </c>
      <c r="AD102" s="100">
        <v>265776.57845984848</v>
      </c>
      <c r="AE102" s="100">
        <v>265776.57845984848</v>
      </c>
      <c r="AF102" s="100">
        <v>265776.57845984848</v>
      </c>
      <c r="AG102" s="100">
        <v>265776.57845984848</v>
      </c>
      <c r="AH102" s="100">
        <v>265776.57845984848</v>
      </c>
      <c r="AI102" s="100">
        <v>265776.57845984848</v>
      </c>
      <c r="AJ102" s="100">
        <v>265776.57845984848</v>
      </c>
      <c r="AK102" s="100">
        <v>265776.57845984848</v>
      </c>
      <c r="AL102" s="100">
        <v>265776.57845984848</v>
      </c>
      <c r="AM102" s="100">
        <v>318930.36060539633</v>
      </c>
      <c r="AN102" s="100">
        <v>318930.36060539633</v>
      </c>
      <c r="AO102" s="100">
        <v>318930.36060539633</v>
      </c>
      <c r="AP102" s="100">
        <v>318930.36060539633</v>
      </c>
      <c r="AQ102" s="100">
        <v>265776.57845984848</v>
      </c>
      <c r="AR102" s="100">
        <v>265776.57845984848</v>
      </c>
      <c r="AS102" s="100">
        <v>265776.57845984848</v>
      </c>
      <c r="AT102" s="100">
        <v>265776.57845984848</v>
      </c>
      <c r="AU102" s="100">
        <v>318930.36060539633</v>
      </c>
      <c r="AV102" s="100">
        <v>318930.36060539633</v>
      </c>
      <c r="AW102" s="100">
        <v>318930.36060539633</v>
      </c>
      <c r="AX102" s="100">
        <v>318930.36060539633</v>
      </c>
    </row>
    <row r="103" spans="1:50">
      <c r="B103" s="100" t="s">
        <v>278</v>
      </c>
      <c r="C103" s="105">
        <f>SUM(C$98:C$102)</f>
        <v>838022.83411857183</v>
      </c>
      <c r="D103" s="105">
        <f t="shared" ref="D103:AX103" si="5">SUM(D$98:D$102)</f>
        <v>838022.83411857183</v>
      </c>
      <c r="E103" s="105">
        <f t="shared" si="5"/>
        <v>838022.83411857183</v>
      </c>
      <c r="F103" s="105">
        <f t="shared" si="5"/>
        <v>838022.83411857183</v>
      </c>
      <c r="G103" s="105">
        <f t="shared" si="5"/>
        <v>698355.71972664259</v>
      </c>
      <c r="H103" s="105">
        <f t="shared" si="5"/>
        <v>698355.71972664259</v>
      </c>
      <c r="I103" s="105">
        <f t="shared" si="5"/>
        <v>698355.71972664259</v>
      </c>
      <c r="J103" s="105">
        <f t="shared" si="5"/>
        <v>698355.71972664259</v>
      </c>
      <c r="K103" s="105">
        <f t="shared" si="5"/>
        <v>558688.60533471312</v>
      </c>
      <c r="L103" s="105">
        <f t="shared" si="5"/>
        <v>558688.60533471312</v>
      </c>
      <c r="M103" s="105">
        <f t="shared" si="5"/>
        <v>558688.60533471312</v>
      </c>
      <c r="N103" s="105">
        <f t="shared" si="5"/>
        <v>558688.60533471312</v>
      </c>
      <c r="O103" s="105">
        <f t="shared" si="5"/>
        <v>698355.71972664259</v>
      </c>
      <c r="P103" s="105">
        <f t="shared" si="5"/>
        <v>698355.71972664259</v>
      </c>
      <c r="Q103" s="105">
        <f t="shared" si="5"/>
        <v>698355.71972664259</v>
      </c>
      <c r="R103" s="105">
        <f t="shared" si="5"/>
        <v>698355.71972664259</v>
      </c>
      <c r="S103" s="105">
        <f t="shared" si="5"/>
        <v>698355.71972664259</v>
      </c>
      <c r="T103" s="105">
        <f t="shared" si="5"/>
        <v>698355.71972664259</v>
      </c>
      <c r="U103" s="105">
        <f t="shared" si="5"/>
        <v>698355.71972664259</v>
      </c>
      <c r="V103" s="105">
        <f t="shared" si="5"/>
        <v>698355.71972664259</v>
      </c>
      <c r="W103" s="105">
        <f t="shared" si="5"/>
        <v>698355.71972664259</v>
      </c>
      <c r="X103" s="105">
        <f t="shared" si="5"/>
        <v>698355.71972664259</v>
      </c>
      <c r="Y103" s="105">
        <f t="shared" si="5"/>
        <v>698355.71972664259</v>
      </c>
      <c r="Z103" s="105">
        <f t="shared" si="5"/>
        <v>698355.71972664259</v>
      </c>
      <c r="AA103" s="105">
        <f t="shared" si="5"/>
        <v>698355.71972664259</v>
      </c>
      <c r="AB103" s="105">
        <f t="shared" si="5"/>
        <v>698355.71972664259</v>
      </c>
      <c r="AC103" s="105">
        <f t="shared" si="5"/>
        <v>698355.71972664259</v>
      </c>
      <c r="AD103" s="105">
        <f t="shared" si="5"/>
        <v>698355.71972664259</v>
      </c>
      <c r="AE103" s="105">
        <f t="shared" si="5"/>
        <v>698355.71972664259</v>
      </c>
      <c r="AF103" s="105">
        <f t="shared" si="5"/>
        <v>698355.71972664259</v>
      </c>
      <c r="AG103" s="105">
        <f t="shared" si="5"/>
        <v>698355.71972664259</v>
      </c>
      <c r="AH103" s="105">
        <f t="shared" si="5"/>
        <v>698355.71972664259</v>
      </c>
      <c r="AI103" s="105">
        <f t="shared" si="5"/>
        <v>698355.71972664259</v>
      </c>
      <c r="AJ103" s="105">
        <f t="shared" si="5"/>
        <v>698355.71972664259</v>
      </c>
      <c r="AK103" s="105">
        <f t="shared" si="5"/>
        <v>698355.71972664259</v>
      </c>
      <c r="AL103" s="105">
        <f t="shared" si="5"/>
        <v>698355.71972664259</v>
      </c>
      <c r="AM103" s="105">
        <f t="shared" si="5"/>
        <v>838022.83411857183</v>
      </c>
      <c r="AN103" s="105">
        <f t="shared" si="5"/>
        <v>838022.83411857183</v>
      </c>
      <c r="AO103" s="105">
        <f t="shared" si="5"/>
        <v>838022.83411857183</v>
      </c>
      <c r="AP103" s="105">
        <f t="shared" si="5"/>
        <v>838022.83411857183</v>
      </c>
      <c r="AQ103" s="105">
        <f t="shared" si="5"/>
        <v>698355.71972664259</v>
      </c>
      <c r="AR103" s="105">
        <f t="shared" si="5"/>
        <v>698355.71972664259</v>
      </c>
      <c r="AS103" s="105">
        <f t="shared" si="5"/>
        <v>698355.71972664259</v>
      </c>
      <c r="AT103" s="105">
        <f t="shared" si="5"/>
        <v>698355.71972664259</v>
      </c>
      <c r="AU103" s="105">
        <f t="shared" si="5"/>
        <v>838022.83411857183</v>
      </c>
      <c r="AV103" s="105">
        <f t="shared" si="5"/>
        <v>838022.83411857183</v>
      </c>
      <c r="AW103" s="105">
        <f t="shared" si="5"/>
        <v>838022.83411857183</v>
      </c>
      <c r="AX103" s="105">
        <f t="shared" si="5"/>
        <v>838022.83411857183</v>
      </c>
    </row>
    <row r="104" spans="1:50">
      <c r="A104" s="105" t="s">
        <v>105</v>
      </c>
      <c r="B104" s="105" t="s">
        <v>10</v>
      </c>
      <c r="C104" s="100">
        <v>1.6681825410153173E-18</v>
      </c>
      <c r="D104" s="100">
        <v>1.6681825410153173E-18</v>
      </c>
      <c r="E104" s="100">
        <v>1.6681825410153173E-18</v>
      </c>
      <c r="F104" s="100">
        <v>1.6681825410153173E-18</v>
      </c>
      <c r="G104" s="100">
        <v>1.6681825410153173E-18</v>
      </c>
      <c r="H104" s="100">
        <v>1.6681825410153173E-18</v>
      </c>
      <c r="I104" s="100">
        <v>1.6681825410153173E-18</v>
      </c>
      <c r="J104" s="100">
        <v>1.6681825410153173E-18</v>
      </c>
      <c r="K104" s="100">
        <v>1.6681825410153173E-18</v>
      </c>
      <c r="L104" s="100">
        <v>1.6681825410153173E-18</v>
      </c>
      <c r="M104" s="100">
        <v>1.6681825410153173E-18</v>
      </c>
      <c r="N104" s="100">
        <v>1.6681825410153173E-18</v>
      </c>
      <c r="O104" s="100">
        <v>1.6681825410153173E-18</v>
      </c>
      <c r="P104" s="100">
        <v>1.6681825410153173E-18</v>
      </c>
      <c r="Q104" s="100">
        <v>1.6681825410153173E-18</v>
      </c>
      <c r="R104" s="100">
        <v>1.6681825410153173E-18</v>
      </c>
      <c r="S104" s="100">
        <v>1.3345460328122537E-18</v>
      </c>
      <c r="T104" s="100">
        <v>1.3345460328122537E-18</v>
      </c>
      <c r="U104" s="100">
        <v>1.3345460328122537E-18</v>
      </c>
      <c r="V104" s="100">
        <v>1.3345460328122537E-18</v>
      </c>
      <c r="W104" s="100">
        <v>1.3345460328122537E-18</v>
      </c>
      <c r="X104" s="100">
        <v>1.3345460328122537E-18</v>
      </c>
      <c r="Y104" s="100">
        <v>1.3345460328122537E-18</v>
      </c>
      <c r="Z104" s="100">
        <v>1.3345460328122537E-18</v>
      </c>
      <c r="AA104" s="100">
        <v>1.6681825410153173E-18</v>
      </c>
      <c r="AB104" s="100">
        <v>1.6681825410153173E-18</v>
      </c>
      <c r="AC104" s="100">
        <v>1.6681825410153173E-18</v>
      </c>
      <c r="AD104" s="100">
        <v>1.6681825410153173E-18</v>
      </c>
      <c r="AE104" s="100">
        <v>1.6681825410153173E-18</v>
      </c>
      <c r="AF104" s="100">
        <v>1.6681825410153173E-18</v>
      </c>
      <c r="AG104" s="100">
        <v>1.6681825410153173E-18</v>
      </c>
      <c r="AH104" s="100">
        <v>1.6681825410153173E-18</v>
      </c>
      <c r="AI104" s="100">
        <v>1.6681825410153173E-18</v>
      </c>
      <c r="AJ104" s="100">
        <v>1.6681825410153173E-18</v>
      </c>
      <c r="AK104" s="100">
        <v>1.6681825410153173E-18</v>
      </c>
      <c r="AL104" s="100">
        <v>1.6681825410153173E-18</v>
      </c>
      <c r="AM104" s="100">
        <v>1.6681825410153173E-18</v>
      </c>
      <c r="AN104" s="100">
        <v>1.6681825410153173E-18</v>
      </c>
      <c r="AO104" s="100">
        <v>1.6681825410153173E-18</v>
      </c>
      <c r="AP104" s="100">
        <v>1.6681825410153173E-18</v>
      </c>
      <c r="AQ104" s="100">
        <v>1.6681825410153173E-18</v>
      </c>
      <c r="AR104" s="100">
        <v>1.6681825410153173E-18</v>
      </c>
      <c r="AS104" s="100">
        <v>1.6681825410153173E-18</v>
      </c>
      <c r="AT104" s="100">
        <v>1.6681825410153173E-18</v>
      </c>
      <c r="AU104" s="100">
        <v>1.6681825410153173E-18</v>
      </c>
      <c r="AV104" s="100">
        <v>1.6681825410153173E-18</v>
      </c>
      <c r="AW104" s="100">
        <v>1.6681825410153173E-18</v>
      </c>
      <c r="AX104" s="100">
        <v>1.6681825410153173E-18</v>
      </c>
    </row>
    <row r="105" spans="1:50">
      <c r="B105" s="105" t="s">
        <v>12</v>
      </c>
      <c r="C105" s="100">
        <v>6.1956651024455488E-18</v>
      </c>
      <c r="D105" s="100">
        <v>6.1956651024455488E-18</v>
      </c>
      <c r="E105" s="100">
        <v>6.1956651024455488E-18</v>
      </c>
      <c r="F105" s="100">
        <v>6.1956651024455488E-18</v>
      </c>
      <c r="G105" s="100">
        <v>6.1956651024455488E-18</v>
      </c>
      <c r="H105" s="100">
        <v>6.1956651024455488E-18</v>
      </c>
      <c r="I105" s="100">
        <v>6.1956651024455488E-18</v>
      </c>
      <c r="J105" s="100">
        <v>6.1956651024455488E-18</v>
      </c>
      <c r="K105" s="100">
        <v>6.1956651024455488E-18</v>
      </c>
      <c r="L105" s="100">
        <v>6.1956651024455488E-18</v>
      </c>
      <c r="M105" s="100">
        <v>6.1956651024455488E-18</v>
      </c>
      <c r="N105" s="100">
        <v>6.1956651024455488E-18</v>
      </c>
      <c r="O105" s="100">
        <v>6.1956651024455488E-18</v>
      </c>
      <c r="P105" s="100">
        <v>6.1956651024455488E-18</v>
      </c>
      <c r="Q105" s="100">
        <v>6.1956651024455488E-18</v>
      </c>
      <c r="R105" s="100">
        <v>6.1956651024455488E-18</v>
      </c>
      <c r="S105" s="100">
        <v>4.9565320819564392E-18</v>
      </c>
      <c r="T105" s="100">
        <v>4.9565320819564392E-18</v>
      </c>
      <c r="U105" s="100">
        <v>4.9565320819564392E-18</v>
      </c>
      <c r="V105" s="100">
        <v>4.9565320819564392E-18</v>
      </c>
      <c r="W105" s="100">
        <v>4.9565320819564392E-18</v>
      </c>
      <c r="X105" s="100">
        <v>4.9565320819564392E-18</v>
      </c>
      <c r="Y105" s="100">
        <v>4.9565320819564392E-18</v>
      </c>
      <c r="Z105" s="100">
        <v>4.9565320819564392E-18</v>
      </c>
      <c r="AA105" s="100">
        <v>6.1956651024455488E-18</v>
      </c>
      <c r="AB105" s="100">
        <v>6.1956651024455488E-18</v>
      </c>
      <c r="AC105" s="100">
        <v>6.1956651024455488E-18</v>
      </c>
      <c r="AD105" s="100">
        <v>6.1956651024455488E-18</v>
      </c>
      <c r="AE105" s="100">
        <v>6.1956651024455488E-18</v>
      </c>
      <c r="AF105" s="100">
        <v>6.1956651024455488E-18</v>
      </c>
      <c r="AG105" s="100">
        <v>6.1956651024455488E-18</v>
      </c>
      <c r="AH105" s="100">
        <v>6.1956651024455488E-18</v>
      </c>
      <c r="AI105" s="100">
        <v>6.1956651024455488E-18</v>
      </c>
      <c r="AJ105" s="100">
        <v>6.1956651024455488E-18</v>
      </c>
      <c r="AK105" s="100">
        <v>6.1956651024455488E-18</v>
      </c>
      <c r="AL105" s="100">
        <v>6.1956651024455488E-18</v>
      </c>
      <c r="AM105" s="100">
        <v>6.1956651024455488E-18</v>
      </c>
      <c r="AN105" s="100">
        <v>6.1956651024455488E-18</v>
      </c>
      <c r="AO105" s="100">
        <v>6.1956651024455488E-18</v>
      </c>
      <c r="AP105" s="100">
        <v>6.1956651024455488E-18</v>
      </c>
      <c r="AQ105" s="100">
        <v>6.1956651024455488E-18</v>
      </c>
      <c r="AR105" s="100">
        <v>6.1956651024455488E-18</v>
      </c>
      <c r="AS105" s="100">
        <v>6.1956651024455488E-18</v>
      </c>
      <c r="AT105" s="100">
        <v>6.1956651024455488E-18</v>
      </c>
      <c r="AU105" s="100">
        <v>6.1956651024455488E-18</v>
      </c>
      <c r="AV105" s="100">
        <v>6.1956651024455488E-18</v>
      </c>
      <c r="AW105" s="100">
        <v>6.1956651024455488E-18</v>
      </c>
      <c r="AX105" s="100">
        <v>6.1956651024455488E-18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5.9661190500648903E-19</v>
      </c>
      <c r="D107" s="100">
        <v>5.9661190500648903E-19</v>
      </c>
      <c r="E107" s="100">
        <v>5.9661190500648903E-19</v>
      </c>
      <c r="F107" s="100">
        <v>5.9661190500648903E-19</v>
      </c>
      <c r="G107" s="100">
        <v>5.9661190500648903E-19</v>
      </c>
      <c r="H107" s="100">
        <v>5.9661190500648903E-19</v>
      </c>
      <c r="I107" s="100">
        <v>5.9661190500648903E-19</v>
      </c>
      <c r="J107" s="100">
        <v>5.9661190500648903E-19</v>
      </c>
      <c r="K107" s="100">
        <v>5.9661190500648903E-19</v>
      </c>
      <c r="L107" s="100">
        <v>5.9661190500648903E-19</v>
      </c>
      <c r="M107" s="100">
        <v>5.9661190500648903E-19</v>
      </c>
      <c r="N107" s="100">
        <v>5.9661190500648903E-19</v>
      </c>
      <c r="O107" s="100">
        <v>5.9661190500648903E-19</v>
      </c>
      <c r="P107" s="100">
        <v>5.9661190500648903E-19</v>
      </c>
      <c r="Q107" s="100">
        <v>5.9661190500648903E-19</v>
      </c>
      <c r="R107" s="100">
        <v>5.9661190500648903E-19</v>
      </c>
      <c r="S107" s="100">
        <v>4.7728952400519121E-19</v>
      </c>
      <c r="T107" s="100">
        <v>4.7728952400519121E-19</v>
      </c>
      <c r="U107" s="100">
        <v>4.7728952400519121E-19</v>
      </c>
      <c r="V107" s="100">
        <v>4.7728952400519121E-19</v>
      </c>
      <c r="W107" s="100">
        <v>4.7728952400519121E-19</v>
      </c>
      <c r="X107" s="100">
        <v>4.7728952400519121E-19</v>
      </c>
      <c r="Y107" s="100">
        <v>4.7728952400519121E-19</v>
      </c>
      <c r="Z107" s="100">
        <v>4.7728952400519121E-19</v>
      </c>
      <c r="AA107" s="100">
        <v>5.9661190500648903E-19</v>
      </c>
      <c r="AB107" s="100">
        <v>5.9661190500648903E-19</v>
      </c>
      <c r="AC107" s="100">
        <v>5.9661190500648903E-19</v>
      </c>
      <c r="AD107" s="100">
        <v>5.9661190500648903E-19</v>
      </c>
      <c r="AE107" s="100">
        <v>5.9661190500648903E-19</v>
      </c>
      <c r="AF107" s="100">
        <v>5.9661190500648903E-19</v>
      </c>
      <c r="AG107" s="100">
        <v>5.9661190500648903E-19</v>
      </c>
      <c r="AH107" s="100">
        <v>5.9661190500648903E-19</v>
      </c>
      <c r="AI107" s="100">
        <v>5.9661190500648903E-19</v>
      </c>
      <c r="AJ107" s="100">
        <v>5.9661190500648903E-19</v>
      </c>
      <c r="AK107" s="100">
        <v>5.9661190500648903E-19</v>
      </c>
      <c r="AL107" s="100">
        <v>5.9661190500648903E-19</v>
      </c>
      <c r="AM107" s="100">
        <v>5.9661190500648903E-19</v>
      </c>
      <c r="AN107" s="100">
        <v>5.9661190500648903E-19</v>
      </c>
      <c r="AO107" s="100">
        <v>5.9661190500648903E-19</v>
      </c>
      <c r="AP107" s="100">
        <v>5.9661190500648903E-19</v>
      </c>
      <c r="AQ107" s="100">
        <v>5.9661190500648903E-19</v>
      </c>
      <c r="AR107" s="100">
        <v>5.9661190500648903E-19</v>
      </c>
      <c r="AS107" s="100">
        <v>5.9661190500648903E-19</v>
      </c>
      <c r="AT107" s="100">
        <v>5.9661190500648903E-19</v>
      </c>
      <c r="AU107" s="100">
        <v>5.9661190500648903E-19</v>
      </c>
      <c r="AV107" s="100">
        <v>5.9661190500648903E-19</v>
      </c>
      <c r="AW107" s="100">
        <v>5.9661190500648903E-19</v>
      </c>
      <c r="AX107" s="100">
        <v>5.9661190500648903E-19</v>
      </c>
    </row>
    <row r="108" spans="1:50">
      <c r="B108" s="105" t="s">
        <v>59</v>
      </c>
      <c r="C108" s="100">
        <v>1.1345826792957073E-18</v>
      </c>
      <c r="D108" s="100">
        <v>1.1345826792957073E-18</v>
      </c>
      <c r="E108" s="100">
        <v>1.1345826792957073E-18</v>
      </c>
      <c r="F108" s="100">
        <v>1.1345826792957073E-18</v>
      </c>
      <c r="G108" s="100">
        <v>1.1345826792957073E-18</v>
      </c>
      <c r="H108" s="100">
        <v>1.1345826792957073E-18</v>
      </c>
      <c r="I108" s="100">
        <v>1.1345826792957073E-18</v>
      </c>
      <c r="J108" s="100">
        <v>1.1345826792957073E-18</v>
      </c>
      <c r="K108" s="100">
        <v>1.1345826792957073E-18</v>
      </c>
      <c r="L108" s="100">
        <v>1.1345826792957073E-18</v>
      </c>
      <c r="M108" s="100">
        <v>1.1345826792957073E-18</v>
      </c>
      <c r="N108" s="100">
        <v>1.1345826792957073E-18</v>
      </c>
      <c r="O108" s="100">
        <v>1.1345826792957073E-18</v>
      </c>
      <c r="P108" s="100">
        <v>1.1345826792957073E-18</v>
      </c>
      <c r="Q108" s="100">
        <v>1.1345826792957073E-18</v>
      </c>
      <c r="R108" s="100">
        <v>1.1345826792957073E-18</v>
      </c>
      <c r="S108" s="100">
        <v>9.0766614343656583E-19</v>
      </c>
      <c r="T108" s="100">
        <v>9.0766614343656583E-19</v>
      </c>
      <c r="U108" s="100">
        <v>9.0766614343656583E-19</v>
      </c>
      <c r="V108" s="100">
        <v>9.0766614343656583E-19</v>
      </c>
      <c r="W108" s="100">
        <v>9.0766614343656583E-19</v>
      </c>
      <c r="X108" s="100">
        <v>9.0766614343656583E-19</v>
      </c>
      <c r="Y108" s="100">
        <v>9.0766614343656583E-19</v>
      </c>
      <c r="Z108" s="100">
        <v>9.0766614343656583E-19</v>
      </c>
      <c r="AA108" s="100">
        <v>1.1345826792957073E-18</v>
      </c>
      <c r="AB108" s="100">
        <v>1.1345826792957073E-18</v>
      </c>
      <c r="AC108" s="100">
        <v>1.1345826792957073E-18</v>
      </c>
      <c r="AD108" s="100">
        <v>1.1345826792957073E-18</v>
      </c>
      <c r="AE108" s="100">
        <v>1.1345826792957073E-18</v>
      </c>
      <c r="AF108" s="100">
        <v>1.1345826792957073E-18</v>
      </c>
      <c r="AG108" s="100">
        <v>1.1345826792957073E-18</v>
      </c>
      <c r="AH108" s="100">
        <v>1.1345826792957073E-18</v>
      </c>
      <c r="AI108" s="100">
        <v>1.1345826792957073E-18</v>
      </c>
      <c r="AJ108" s="100">
        <v>1.1345826792957073E-18</v>
      </c>
      <c r="AK108" s="100">
        <v>1.1345826792957073E-18</v>
      </c>
      <c r="AL108" s="100">
        <v>1.1345826792957073E-18</v>
      </c>
      <c r="AM108" s="100">
        <v>1.1345826792957073E-18</v>
      </c>
      <c r="AN108" s="100">
        <v>1.1345826792957073E-18</v>
      </c>
      <c r="AO108" s="100">
        <v>1.1345826792957073E-18</v>
      </c>
      <c r="AP108" s="100">
        <v>1.1345826792957073E-18</v>
      </c>
      <c r="AQ108" s="100">
        <v>1.1345826792957073E-18</v>
      </c>
      <c r="AR108" s="100">
        <v>1.1345826792957073E-18</v>
      </c>
      <c r="AS108" s="100">
        <v>1.1345826792957073E-18</v>
      </c>
      <c r="AT108" s="100">
        <v>1.1345826792957073E-18</v>
      </c>
      <c r="AU108" s="100">
        <v>1.1345826792957073E-18</v>
      </c>
      <c r="AV108" s="100">
        <v>1.1345826792957073E-18</v>
      </c>
      <c r="AW108" s="100">
        <v>1.1345826792957073E-18</v>
      </c>
      <c r="AX108" s="100">
        <v>1.1345826792957073E-18</v>
      </c>
    </row>
    <row r="109" spans="1:50">
      <c r="B109" s="101" t="s">
        <v>278</v>
      </c>
      <c r="C109" s="105">
        <f>SUM(C$104:C$108)</f>
        <v>9.5950422277630618E-18</v>
      </c>
      <c r="D109" s="105">
        <f t="shared" ref="D109:AX109" si="6">SUM(D$104:D$108)</f>
        <v>9.5950422277630618E-18</v>
      </c>
      <c r="E109" s="105">
        <f t="shared" si="6"/>
        <v>9.5950422277630618E-18</v>
      </c>
      <c r="F109" s="105">
        <f t="shared" si="6"/>
        <v>9.5950422277630618E-18</v>
      </c>
      <c r="G109" s="105">
        <f t="shared" si="6"/>
        <v>9.5950422277630618E-18</v>
      </c>
      <c r="H109" s="105">
        <f t="shared" si="6"/>
        <v>9.5950422277630618E-18</v>
      </c>
      <c r="I109" s="105">
        <f t="shared" si="6"/>
        <v>9.5950422277630618E-18</v>
      </c>
      <c r="J109" s="105">
        <f t="shared" si="6"/>
        <v>9.5950422277630618E-18</v>
      </c>
      <c r="K109" s="105">
        <f t="shared" si="6"/>
        <v>9.5950422277630618E-18</v>
      </c>
      <c r="L109" s="105">
        <f t="shared" si="6"/>
        <v>9.5950422277630618E-18</v>
      </c>
      <c r="M109" s="105">
        <f t="shared" si="6"/>
        <v>9.5950422277630618E-18</v>
      </c>
      <c r="N109" s="105">
        <f t="shared" si="6"/>
        <v>9.5950422277630618E-18</v>
      </c>
      <c r="O109" s="105">
        <f t="shared" si="6"/>
        <v>9.5950422277630618E-18</v>
      </c>
      <c r="P109" s="105">
        <f t="shared" si="6"/>
        <v>9.5950422277630618E-18</v>
      </c>
      <c r="Q109" s="105">
        <f t="shared" si="6"/>
        <v>9.5950422277630618E-18</v>
      </c>
      <c r="R109" s="105">
        <f t="shared" si="6"/>
        <v>9.5950422277630618E-18</v>
      </c>
      <c r="S109" s="105">
        <f t="shared" si="6"/>
        <v>7.6760337822104495E-18</v>
      </c>
      <c r="T109" s="105">
        <f t="shared" si="6"/>
        <v>7.6760337822104495E-18</v>
      </c>
      <c r="U109" s="105">
        <f t="shared" si="6"/>
        <v>7.6760337822104495E-18</v>
      </c>
      <c r="V109" s="105">
        <f t="shared" si="6"/>
        <v>7.6760337822104495E-18</v>
      </c>
      <c r="W109" s="105">
        <f t="shared" si="6"/>
        <v>7.6760337822104495E-18</v>
      </c>
      <c r="X109" s="105">
        <f t="shared" si="6"/>
        <v>7.6760337822104495E-18</v>
      </c>
      <c r="Y109" s="105">
        <f t="shared" si="6"/>
        <v>7.6760337822104495E-18</v>
      </c>
      <c r="Z109" s="105">
        <f t="shared" si="6"/>
        <v>7.6760337822104495E-18</v>
      </c>
      <c r="AA109" s="105">
        <f t="shared" si="6"/>
        <v>9.5950422277630618E-18</v>
      </c>
      <c r="AB109" s="105">
        <f t="shared" si="6"/>
        <v>9.5950422277630618E-18</v>
      </c>
      <c r="AC109" s="105">
        <f t="shared" si="6"/>
        <v>9.5950422277630618E-18</v>
      </c>
      <c r="AD109" s="105">
        <f t="shared" si="6"/>
        <v>9.5950422277630618E-18</v>
      </c>
      <c r="AE109" s="105">
        <f t="shared" si="6"/>
        <v>9.5950422277630618E-18</v>
      </c>
      <c r="AF109" s="105">
        <f t="shared" si="6"/>
        <v>9.5950422277630618E-18</v>
      </c>
      <c r="AG109" s="105">
        <f t="shared" si="6"/>
        <v>9.5950422277630618E-18</v>
      </c>
      <c r="AH109" s="105">
        <f t="shared" si="6"/>
        <v>9.5950422277630618E-18</v>
      </c>
      <c r="AI109" s="105">
        <f t="shared" si="6"/>
        <v>9.5950422277630618E-18</v>
      </c>
      <c r="AJ109" s="105">
        <f t="shared" si="6"/>
        <v>9.5950422277630618E-18</v>
      </c>
      <c r="AK109" s="105">
        <f t="shared" si="6"/>
        <v>9.5950422277630618E-18</v>
      </c>
      <c r="AL109" s="105">
        <f t="shared" si="6"/>
        <v>9.5950422277630618E-18</v>
      </c>
      <c r="AM109" s="105">
        <f t="shared" si="6"/>
        <v>9.5950422277630618E-18</v>
      </c>
      <c r="AN109" s="105">
        <f t="shared" si="6"/>
        <v>9.5950422277630618E-18</v>
      </c>
      <c r="AO109" s="105">
        <f t="shared" si="6"/>
        <v>9.5950422277630618E-18</v>
      </c>
      <c r="AP109" s="105">
        <f t="shared" si="6"/>
        <v>9.5950422277630618E-18</v>
      </c>
      <c r="AQ109" s="105">
        <f t="shared" si="6"/>
        <v>9.5950422277630618E-18</v>
      </c>
      <c r="AR109" s="105">
        <f t="shared" si="6"/>
        <v>9.5950422277630618E-18</v>
      </c>
      <c r="AS109" s="105">
        <f t="shared" si="6"/>
        <v>9.5950422277630618E-18</v>
      </c>
      <c r="AT109" s="105">
        <f t="shared" si="6"/>
        <v>9.5950422277630618E-18</v>
      </c>
      <c r="AU109" s="105">
        <f t="shared" si="6"/>
        <v>9.5950422277630618E-18</v>
      </c>
      <c r="AV109" s="105">
        <f t="shared" si="6"/>
        <v>9.5950422277630618E-18</v>
      </c>
      <c r="AW109" s="105">
        <f t="shared" si="6"/>
        <v>9.5950422277630618E-18</v>
      </c>
      <c r="AX109" s="105">
        <f t="shared" si="6"/>
        <v>9.5950422277630618E-18</v>
      </c>
    </row>
    <row r="110" spans="1:50">
      <c r="A110" s="105" t="s">
        <v>106</v>
      </c>
      <c r="B110" s="105" t="s">
        <v>10</v>
      </c>
      <c r="C110" s="100">
        <v>8.7244118673803461E-19</v>
      </c>
      <c r="D110" s="100">
        <v>8.7244118673803461E-19</v>
      </c>
      <c r="E110" s="100">
        <v>8.7244118673803461E-19</v>
      </c>
      <c r="F110" s="100">
        <v>8.7244118673803461E-19</v>
      </c>
      <c r="G110" s="100">
        <v>8.7244118673803461E-19</v>
      </c>
      <c r="H110" s="100">
        <v>8.7244118673803461E-19</v>
      </c>
      <c r="I110" s="100">
        <v>8.7244118673803461E-19</v>
      </c>
      <c r="J110" s="100">
        <v>8.7244118673803461E-19</v>
      </c>
      <c r="K110" s="100">
        <v>8.7244118673803461E-19</v>
      </c>
      <c r="L110" s="100">
        <v>8.7244118673803461E-19</v>
      </c>
      <c r="M110" s="100">
        <v>8.7244118673803461E-19</v>
      </c>
      <c r="N110" s="100">
        <v>8.7244118673803461E-19</v>
      </c>
      <c r="O110" s="100">
        <v>0</v>
      </c>
      <c r="P110" s="100">
        <v>0</v>
      </c>
      <c r="Q110" s="100">
        <v>0</v>
      </c>
      <c r="R110" s="100">
        <v>0</v>
      </c>
      <c r="S110" s="100">
        <v>8.7244118673803461E-19</v>
      </c>
      <c r="T110" s="100">
        <v>8.7244118673803461E-19</v>
      </c>
      <c r="U110" s="100">
        <v>8.7244118673803461E-19</v>
      </c>
      <c r="V110" s="100">
        <v>8.7244118673803461E-19</v>
      </c>
      <c r="W110" s="100">
        <v>1.0469294240856416E-18</v>
      </c>
      <c r="X110" s="100">
        <v>1.0469294240856416E-18</v>
      </c>
      <c r="Y110" s="100">
        <v>1.0469294240856416E-18</v>
      </c>
      <c r="Z110" s="100">
        <v>1.0469294240856416E-18</v>
      </c>
      <c r="AA110" s="100">
        <v>0</v>
      </c>
      <c r="AB110" s="100">
        <v>0</v>
      </c>
      <c r="AC110" s="100">
        <v>0</v>
      </c>
      <c r="AD110" s="100">
        <v>0</v>
      </c>
      <c r="AE110" s="100">
        <v>6.9795294939042774E-19</v>
      </c>
      <c r="AF110" s="100">
        <v>6.9795294939042774E-19</v>
      </c>
      <c r="AG110" s="100">
        <v>6.9795294939042774E-19</v>
      </c>
      <c r="AH110" s="100">
        <v>6.9795294939042774E-19</v>
      </c>
      <c r="AI110" s="100">
        <v>8.7244118673803461E-19</v>
      </c>
      <c r="AJ110" s="100">
        <v>8.7244118673803461E-19</v>
      </c>
      <c r="AK110" s="100">
        <v>8.7244118673803461E-19</v>
      </c>
      <c r="AL110" s="100">
        <v>8.7244118673803461E-19</v>
      </c>
      <c r="AM110" s="100">
        <v>8.7244118673803461E-19</v>
      </c>
      <c r="AN110" s="100">
        <v>8.7244118673803461E-19</v>
      </c>
      <c r="AO110" s="100">
        <v>8.7244118673803461E-19</v>
      </c>
      <c r="AP110" s="100">
        <v>8.7244118673803461E-19</v>
      </c>
      <c r="AQ110" s="100">
        <v>1.0469294240856416E-18</v>
      </c>
      <c r="AR110" s="100">
        <v>1.0469294240856416E-18</v>
      </c>
      <c r="AS110" s="100">
        <v>1.0469294240856416E-18</v>
      </c>
      <c r="AT110" s="100">
        <v>1.0469294240856416E-18</v>
      </c>
      <c r="AU110" s="100">
        <v>1.0469294240856416E-18</v>
      </c>
      <c r="AV110" s="100">
        <v>1.0469294240856416E-18</v>
      </c>
      <c r="AW110" s="100">
        <v>1.0469294240856416E-18</v>
      </c>
      <c r="AX110" s="100">
        <v>1.0469294240856416E-18</v>
      </c>
    </row>
    <row r="111" spans="1:50">
      <c r="B111" s="105" t="s">
        <v>12</v>
      </c>
      <c r="C111" s="100">
        <v>8.347567460726267E-18</v>
      </c>
      <c r="D111" s="100">
        <v>8.347567460726267E-18</v>
      </c>
      <c r="E111" s="100">
        <v>8.347567460726267E-18</v>
      </c>
      <c r="F111" s="100">
        <v>8.347567460726267E-18</v>
      </c>
      <c r="G111" s="100">
        <v>8.347567460726267E-18</v>
      </c>
      <c r="H111" s="100">
        <v>8.347567460726267E-18</v>
      </c>
      <c r="I111" s="100">
        <v>8.347567460726267E-18</v>
      </c>
      <c r="J111" s="100">
        <v>8.347567460726267E-18</v>
      </c>
      <c r="K111" s="100">
        <v>8.347567460726267E-18</v>
      </c>
      <c r="L111" s="100">
        <v>8.347567460726267E-18</v>
      </c>
      <c r="M111" s="100">
        <v>8.347567460726267E-18</v>
      </c>
      <c r="N111" s="100">
        <v>8.347567460726267E-18</v>
      </c>
      <c r="O111" s="100">
        <v>0</v>
      </c>
      <c r="P111" s="100">
        <v>0</v>
      </c>
      <c r="Q111" s="100">
        <v>0</v>
      </c>
      <c r="R111" s="100">
        <v>0</v>
      </c>
      <c r="S111" s="100">
        <v>8.347567460726267E-18</v>
      </c>
      <c r="T111" s="100">
        <v>8.347567460726267E-18</v>
      </c>
      <c r="U111" s="100">
        <v>8.347567460726267E-18</v>
      </c>
      <c r="V111" s="100">
        <v>8.347567460726267E-18</v>
      </c>
      <c r="W111" s="100">
        <v>1.0017080952871519E-17</v>
      </c>
      <c r="X111" s="100">
        <v>1.0017080952871519E-17</v>
      </c>
      <c r="Y111" s="100">
        <v>1.0017080952871519E-17</v>
      </c>
      <c r="Z111" s="100">
        <v>1.0017080952871519E-17</v>
      </c>
      <c r="AA111" s="100">
        <v>0</v>
      </c>
      <c r="AB111" s="100">
        <v>0</v>
      </c>
      <c r="AC111" s="100">
        <v>0</v>
      </c>
      <c r="AD111" s="100">
        <v>0</v>
      </c>
      <c r="AE111" s="100">
        <v>6.6780539685810137E-18</v>
      </c>
      <c r="AF111" s="100">
        <v>6.6780539685810137E-18</v>
      </c>
      <c r="AG111" s="100">
        <v>6.6780539685810137E-18</v>
      </c>
      <c r="AH111" s="100">
        <v>6.6780539685810137E-18</v>
      </c>
      <c r="AI111" s="100">
        <v>8.347567460726267E-18</v>
      </c>
      <c r="AJ111" s="100">
        <v>8.347567460726267E-18</v>
      </c>
      <c r="AK111" s="100">
        <v>8.347567460726267E-18</v>
      </c>
      <c r="AL111" s="100">
        <v>8.347567460726267E-18</v>
      </c>
      <c r="AM111" s="100">
        <v>8.347567460726267E-18</v>
      </c>
      <c r="AN111" s="100">
        <v>8.347567460726267E-18</v>
      </c>
      <c r="AO111" s="100">
        <v>8.347567460726267E-18</v>
      </c>
      <c r="AP111" s="100">
        <v>8.347567460726267E-18</v>
      </c>
      <c r="AQ111" s="100">
        <v>1.0017080952871519E-17</v>
      </c>
      <c r="AR111" s="100">
        <v>1.0017080952871519E-17</v>
      </c>
      <c r="AS111" s="100">
        <v>1.0017080952871519E-17</v>
      </c>
      <c r="AT111" s="100">
        <v>1.0017080952871519E-17</v>
      </c>
      <c r="AU111" s="100">
        <v>1.0017080952871519E-17</v>
      </c>
      <c r="AV111" s="100">
        <v>1.0017080952871519E-17</v>
      </c>
      <c r="AW111" s="100">
        <v>1.0017080952871519E-17</v>
      </c>
      <c r="AX111" s="100">
        <v>1.0017080952871519E-17</v>
      </c>
    </row>
    <row r="112" spans="1:50">
      <c r="B112" s="105" t="s">
        <v>22</v>
      </c>
      <c r="C112" s="100">
        <v>2956.8</v>
      </c>
      <c r="D112" s="100">
        <v>2956.8</v>
      </c>
      <c r="E112" s="100">
        <v>2956.8</v>
      </c>
      <c r="F112" s="100">
        <v>2956.8</v>
      </c>
      <c r="G112" s="100">
        <v>2956.8</v>
      </c>
      <c r="H112" s="100">
        <v>2956.8</v>
      </c>
      <c r="I112" s="100">
        <v>2956.8</v>
      </c>
      <c r="J112" s="100">
        <v>2956.8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0</v>
      </c>
      <c r="P112" s="100">
        <v>0</v>
      </c>
      <c r="Q112" s="100">
        <v>0</v>
      </c>
      <c r="R112" s="100">
        <v>0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3548.16</v>
      </c>
      <c r="X112" s="100">
        <v>3548.16</v>
      </c>
      <c r="Y112" s="100">
        <v>3548.16</v>
      </c>
      <c r="Z112" s="100">
        <v>3548.16</v>
      </c>
      <c r="AA112" s="100">
        <v>0</v>
      </c>
      <c r="AB112" s="100">
        <v>0</v>
      </c>
      <c r="AC112" s="100">
        <v>0</v>
      </c>
      <c r="AD112" s="100">
        <v>0</v>
      </c>
      <c r="AE112" s="100">
        <v>2365.44</v>
      </c>
      <c r="AF112" s="100">
        <v>2365.44</v>
      </c>
      <c r="AG112" s="100">
        <v>2365.44</v>
      </c>
      <c r="AH112" s="100">
        <v>2365.44</v>
      </c>
      <c r="AI112" s="100">
        <v>2956.8</v>
      </c>
      <c r="AJ112" s="100">
        <v>2956.8</v>
      </c>
      <c r="AK112" s="100">
        <v>2956.8</v>
      </c>
      <c r="AL112" s="100">
        <v>2956.8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3548.16</v>
      </c>
      <c r="AR112" s="100">
        <v>3548.16</v>
      </c>
      <c r="AS112" s="100">
        <v>3548.16</v>
      </c>
      <c r="AT112" s="100">
        <v>3548.16</v>
      </c>
      <c r="AU112" s="100">
        <v>3548.16</v>
      </c>
      <c r="AV112" s="100">
        <v>3548.16</v>
      </c>
      <c r="AW112" s="100">
        <v>3548.16</v>
      </c>
      <c r="AX112" s="100">
        <v>3548.16</v>
      </c>
    </row>
    <row r="113" spans="1:50">
      <c r="B113" s="105" t="s">
        <v>46</v>
      </c>
      <c r="C113" s="100">
        <v>2.0295004325279375E-18</v>
      </c>
      <c r="D113" s="100">
        <v>2.0295004325279375E-18</v>
      </c>
      <c r="E113" s="100">
        <v>2.0295004325279375E-18</v>
      </c>
      <c r="F113" s="100">
        <v>2.0295004325279375E-18</v>
      </c>
      <c r="G113" s="100">
        <v>2.0295004325279375E-18</v>
      </c>
      <c r="H113" s="100">
        <v>2.0295004325279375E-18</v>
      </c>
      <c r="I113" s="100">
        <v>2.0295004325279375E-18</v>
      </c>
      <c r="J113" s="100">
        <v>2.0295004325279375E-18</v>
      </c>
      <c r="K113" s="100">
        <v>2.0295004325279375E-18</v>
      </c>
      <c r="L113" s="100">
        <v>2.0295004325279375E-18</v>
      </c>
      <c r="M113" s="100">
        <v>2.0295004325279375E-18</v>
      </c>
      <c r="N113" s="100">
        <v>2.0295004325279375E-18</v>
      </c>
      <c r="O113" s="100">
        <v>0</v>
      </c>
      <c r="P113" s="100">
        <v>0</v>
      </c>
      <c r="Q113" s="100">
        <v>0</v>
      </c>
      <c r="R113" s="100">
        <v>0</v>
      </c>
      <c r="S113" s="100">
        <v>2.0295004325279375E-18</v>
      </c>
      <c r="T113" s="100">
        <v>2.0295004325279375E-18</v>
      </c>
      <c r="U113" s="100">
        <v>2.0295004325279375E-18</v>
      </c>
      <c r="V113" s="100">
        <v>2.0295004325279375E-18</v>
      </c>
      <c r="W113" s="100">
        <v>2.4354005190335253E-18</v>
      </c>
      <c r="X113" s="100">
        <v>2.4354005190335253E-18</v>
      </c>
      <c r="Y113" s="100">
        <v>2.4354005190335253E-18</v>
      </c>
      <c r="Z113" s="100">
        <v>2.4354005190335253E-18</v>
      </c>
      <c r="AA113" s="100">
        <v>0</v>
      </c>
      <c r="AB113" s="100">
        <v>0</v>
      </c>
      <c r="AC113" s="100">
        <v>0</v>
      </c>
      <c r="AD113" s="100">
        <v>0</v>
      </c>
      <c r="AE113" s="100">
        <v>1.6236003460223498E-18</v>
      </c>
      <c r="AF113" s="100">
        <v>1.6236003460223498E-18</v>
      </c>
      <c r="AG113" s="100">
        <v>1.6236003460223498E-18</v>
      </c>
      <c r="AH113" s="100">
        <v>1.6236003460223498E-18</v>
      </c>
      <c r="AI113" s="100">
        <v>2.0295004325279375E-18</v>
      </c>
      <c r="AJ113" s="100">
        <v>2.0295004325279375E-18</v>
      </c>
      <c r="AK113" s="100">
        <v>2.0295004325279375E-18</v>
      </c>
      <c r="AL113" s="100">
        <v>2.0295004325279375E-18</v>
      </c>
      <c r="AM113" s="100">
        <v>2.0295004325279375E-18</v>
      </c>
      <c r="AN113" s="100">
        <v>2.0295004325279375E-18</v>
      </c>
      <c r="AO113" s="100">
        <v>2.0295004325279375E-18</v>
      </c>
      <c r="AP113" s="100">
        <v>2.0295004325279375E-18</v>
      </c>
      <c r="AQ113" s="100">
        <v>2.4354005190335253E-18</v>
      </c>
      <c r="AR113" s="100">
        <v>2.4354005190335253E-18</v>
      </c>
      <c r="AS113" s="100">
        <v>2.4354005190335253E-18</v>
      </c>
      <c r="AT113" s="100">
        <v>2.4354005190335253E-18</v>
      </c>
      <c r="AU113" s="100">
        <v>2.4354005190335253E-18</v>
      </c>
      <c r="AV113" s="100">
        <v>2.4354005190335253E-18</v>
      </c>
      <c r="AW113" s="100">
        <v>2.4354005190335253E-18</v>
      </c>
      <c r="AX113" s="100">
        <v>2.4354005190335253E-18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2956.8</v>
      </c>
      <c r="D115" s="105">
        <f t="shared" ref="D115:AX115" si="7">SUM(D$110:D$114)</f>
        <v>2956.8</v>
      </c>
      <c r="E115" s="105">
        <f t="shared" si="7"/>
        <v>2956.8</v>
      </c>
      <c r="F115" s="105">
        <f t="shared" si="7"/>
        <v>2956.8</v>
      </c>
      <c r="G115" s="105">
        <f t="shared" si="7"/>
        <v>2956.8</v>
      </c>
      <c r="H115" s="105">
        <f t="shared" si="7"/>
        <v>2956.8</v>
      </c>
      <c r="I115" s="105">
        <f t="shared" si="7"/>
        <v>2956.8</v>
      </c>
      <c r="J115" s="105">
        <f t="shared" si="7"/>
        <v>2956.8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0</v>
      </c>
      <c r="P115" s="105">
        <f t="shared" si="7"/>
        <v>0</v>
      </c>
      <c r="Q115" s="105">
        <f t="shared" si="7"/>
        <v>0</v>
      </c>
      <c r="R115" s="105">
        <f t="shared" si="7"/>
        <v>0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3548.16</v>
      </c>
      <c r="X115" s="105">
        <f t="shared" si="7"/>
        <v>3548.16</v>
      </c>
      <c r="Y115" s="105">
        <f t="shared" si="7"/>
        <v>3548.16</v>
      </c>
      <c r="Z115" s="105">
        <f t="shared" si="7"/>
        <v>3548.16</v>
      </c>
      <c r="AA115" s="105">
        <f t="shared" si="7"/>
        <v>0</v>
      </c>
      <c r="AB115" s="105">
        <f t="shared" si="7"/>
        <v>0</v>
      </c>
      <c r="AC115" s="105">
        <f t="shared" si="7"/>
        <v>0</v>
      </c>
      <c r="AD115" s="105">
        <f t="shared" si="7"/>
        <v>0</v>
      </c>
      <c r="AE115" s="105">
        <f t="shared" si="7"/>
        <v>2365.44</v>
      </c>
      <c r="AF115" s="105">
        <f t="shared" si="7"/>
        <v>2365.44</v>
      </c>
      <c r="AG115" s="105">
        <f t="shared" si="7"/>
        <v>2365.44</v>
      </c>
      <c r="AH115" s="105">
        <f t="shared" si="7"/>
        <v>2365.44</v>
      </c>
      <c r="AI115" s="105">
        <f t="shared" si="7"/>
        <v>2956.8</v>
      </c>
      <c r="AJ115" s="105">
        <f t="shared" si="7"/>
        <v>2956.8</v>
      </c>
      <c r="AK115" s="105">
        <f t="shared" si="7"/>
        <v>2956.8</v>
      </c>
      <c r="AL115" s="105">
        <f t="shared" si="7"/>
        <v>2956.8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3548.16</v>
      </c>
      <c r="AR115" s="105">
        <f t="shared" si="7"/>
        <v>3548.16</v>
      </c>
      <c r="AS115" s="105">
        <f t="shared" si="7"/>
        <v>3548.16</v>
      </c>
      <c r="AT115" s="105">
        <f t="shared" si="7"/>
        <v>3548.16</v>
      </c>
      <c r="AU115" s="105">
        <f t="shared" si="7"/>
        <v>3548.16</v>
      </c>
      <c r="AV115" s="105">
        <f t="shared" si="7"/>
        <v>3548.16</v>
      </c>
      <c r="AW115" s="105">
        <f t="shared" si="7"/>
        <v>3548.16</v>
      </c>
      <c r="AX115" s="105">
        <f t="shared" si="7"/>
        <v>3548.16</v>
      </c>
    </row>
    <row r="116" spans="1:50">
      <c r="A116" s="105" t="s">
        <v>107</v>
      </c>
      <c r="B116" s="105" t="s">
        <v>10</v>
      </c>
      <c r="C116" s="100">
        <v>11615.99999999992</v>
      </c>
      <c r="D116" s="100">
        <v>11615.99999999992</v>
      </c>
      <c r="E116" s="100">
        <v>11615.99999999992</v>
      </c>
      <c r="F116" s="100">
        <v>11615.99999999992</v>
      </c>
      <c r="G116" s="100">
        <v>9292.7999999999374</v>
      </c>
      <c r="H116" s="100">
        <v>9292.7999999999374</v>
      </c>
      <c r="I116" s="100">
        <v>9292.7999999999374</v>
      </c>
      <c r="J116" s="100">
        <v>9292.7999999999374</v>
      </c>
      <c r="K116" s="100">
        <v>11615.99999999992</v>
      </c>
      <c r="L116" s="100">
        <v>11615.99999999992</v>
      </c>
      <c r="M116" s="100">
        <v>11615.99999999992</v>
      </c>
      <c r="N116" s="100">
        <v>11615.99999999992</v>
      </c>
      <c r="O116" s="100">
        <v>11615.99999999992</v>
      </c>
      <c r="P116" s="100">
        <v>11615.99999999992</v>
      </c>
      <c r="Q116" s="100">
        <v>11615.99999999992</v>
      </c>
      <c r="R116" s="100">
        <v>11615.99999999992</v>
      </c>
      <c r="S116" s="100">
        <v>11615.99999999992</v>
      </c>
      <c r="T116" s="100">
        <v>11615.99999999992</v>
      </c>
      <c r="U116" s="100">
        <v>11615.99999999992</v>
      </c>
      <c r="V116" s="100">
        <v>11615.99999999992</v>
      </c>
      <c r="W116" s="100">
        <v>0</v>
      </c>
      <c r="X116" s="100">
        <v>0</v>
      </c>
      <c r="Y116" s="100">
        <v>0</v>
      </c>
      <c r="Z116" s="100">
        <v>0</v>
      </c>
      <c r="AA116" s="100">
        <v>4592.2447968214892</v>
      </c>
      <c r="AB116" s="100">
        <v>11615.99999999992</v>
      </c>
      <c r="AC116" s="100">
        <v>11615.99999999992</v>
      </c>
      <c r="AD116" s="100">
        <v>11615.99999999992</v>
      </c>
      <c r="AE116" s="100">
        <v>11615.99999999992</v>
      </c>
      <c r="AF116" s="100">
        <v>11615.99999999992</v>
      </c>
      <c r="AG116" s="100">
        <v>11615.99999999992</v>
      </c>
      <c r="AH116" s="100">
        <v>11615.99999999992</v>
      </c>
      <c r="AI116" s="100">
        <v>11615.99999999992</v>
      </c>
      <c r="AJ116" s="100">
        <v>11615.99999999992</v>
      </c>
      <c r="AK116" s="100">
        <v>11615.99999999992</v>
      </c>
      <c r="AL116" s="100">
        <v>11615.99999999992</v>
      </c>
      <c r="AM116" s="100">
        <v>11615.99999999992</v>
      </c>
      <c r="AN116" s="100">
        <v>11615.99999999992</v>
      </c>
      <c r="AO116" s="100">
        <v>11615.99999999992</v>
      </c>
      <c r="AP116" s="100">
        <v>11615.99999999992</v>
      </c>
      <c r="AQ116" s="100">
        <v>11615.99999999992</v>
      </c>
      <c r="AR116" s="100">
        <v>11615.99999999992</v>
      </c>
      <c r="AS116" s="100">
        <v>11615.99999999992</v>
      </c>
      <c r="AT116" s="100">
        <v>11615.99999999992</v>
      </c>
      <c r="AU116" s="100">
        <v>11615.99999999992</v>
      </c>
      <c r="AV116" s="100">
        <v>11615.99999999992</v>
      </c>
      <c r="AW116" s="100">
        <v>11615.99999999992</v>
      </c>
      <c r="AX116" s="100">
        <v>11615.99999999992</v>
      </c>
    </row>
    <row r="117" spans="1:50">
      <c r="B117" s="105" t="s">
        <v>12</v>
      </c>
      <c r="C117" s="100">
        <v>2.9989206124718219E-18</v>
      </c>
      <c r="D117" s="100">
        <v>2.9989206124718219E-18</v>
      </c>
      <c r="E117" s="100">
        <v>2.9989206124718219E-18</v>
      </c>
      <c r="F117" s="100">
        <v>2.9989206124718219E-18</v>
      </c>
      <c r="G117" s="100">
        <v>2.3991364899774576E-18</v>
      </c>
      <c r="H117" s="100">
        <v>2.3991364899774576E-18</v>
      </c>
      <c r="I117" s="100">
        <v>2.3991364899774576E-18</v>
      </c>
      <c r="J117" s="100">
        <v>2.3991364899774576E-18</v>
      </c>
      <c r="K117" s="100">
        <v>2.9989206124718219E-18</v>
      </c>
      <c r="L117" s="100">
        <v>2.9989206124718219E-18</v>
      </c>
      <c r="M117" s="100">
        <v>2.9989206124718219E-18</v>
      </c>
      <c r="N117" s="100">
        <v>2.9989206124718219E-18</v>
      </c>
      <c r="O117" s="100">
        <v>2.9989206124718219E-18</v>
      </c>
      <c r="P117" s="100">
        <v>2.9989206124718219E-18</v>
      </c>
      <c r="Q117" s="100">
        <v>2.9989206124718219E-18</v>
      </c>
      <c r="R117" s="100">
        <v>2.9989206124718219E-18</v>
      </c>
      <c r="S117" s="100">
        <v>2.9989206124718219E-18</v>
      </c>
      <c r="T117" s="100">
        <v>2.9989206124718219E-18</v>
      </c>
      <c r="U117" s="100">
        <v>2.9989206124718219E-18</v>
      </c>
      <c r="V117" s="100">
        <v>2.9989206124718219E-18</v>
      </c>
      <c r="W117" s="100">
        <v>0</v>
      </c>
      <c r="X117" s="100">
        <v>0</v>
      </c>
      <c r="Y117" s="100">
        <v>0</v>
      </c>
      <c r="Z117" s="100">
        <v>0</v>
      </c>
      <c r="AA117" s="100">
        <v>1.1855869127672631E-18</v>
      </c>
      <c r="AB117" s="100">
        <v>2.9989206124718219E-18</v>
      </c>
      <c r="AC117" s="100">
        <v>2.9989206124718219E-18</v>
      </c>
      <c r="AD117" s="100">
        <v>2.9989206124718219E-18</v>
      </c>
      <c r="AE117" s="100">
        <v>2.9989206124718219E-18</v>
      </c>
      <c r="AF117" s="100">
        <v>2.9989206124718219E-18</v>
      </c>
      <c r="AG117" s="100">
        <v>2.9989206124718219E-18</v>
      </c>
      <c r="AH117" s="100">
        <v>2.9989206124718219E-18</v>
      </c>
      <c r="AI117" s="100">
        <v>2.9989206124718219E-18</v>
      </c>
      <c r="AJ117" s="100">
        <v>2.9989206124718219E-18</v>
      </c>
      <c r="AK117" s="100">
        <v>2.9989206124718219E-18</v>
      </c>
      <c r="AL117" s="100">
        <v>2.9989206124718219E-18</v>
      </c>
      <c r="AM117" s="100">
        <v>2.9989206124718219E-18</v>
      </c>
      <c r="AN117" s="100">
        <v>2.9989206124718219E-18</v>
      </c>
      <c r="AO117" s="100">
        <v>2.9989206124718219E-18</v>
      </c>
      <c r="AP117" s="100">
        <v>2.9989206124718219E-18</v>
      </c>
      <c r="AQ117" s="100">
        <v>2.9989206124718219E-18</v>
      </c>
      <c r="AR117" s="100">
        <v>2.9989206124718219E-18</v>
      </c>
      <c r="AS117" s="100">
        <v>2.9989206124718219E-18</v>
      </c>
      <c r="AT117" s="100">
        <v>2.9989206124718219E-18</v>
      </c>
      <c r="AU117" s="100">
        <v>2.9989206124718219E-18</v>
      </c>
      <c r="AV117" s="100">
        <v>2.9989206124718219E-18</v>
      </c>
      <c r="AW117" s="100">
        <v>2.9989206124718219E-18</v>
      </c>
      <c r="AX117" s="100">
        <v>2.9989206124718219E-18</v>
      </c>
    </row>
    <row r="118" spans="1:50">
      <c r="B118" s="105" t="s">
        <v>22</v>
      </c>
      <c r="C118" s="100">
        <v>6.3156302997263059E-19</v>
      </c>
      <c r="D118" s="100">
        <v>6.3156302997263059E-19</v>
      </c>
      <c r="E118" s="100">
        <v>6.3156302997263059E-19</v>
      </c>
      <c r="F118" s="100">
        <v>6.3156302997263059E-19</v>
      </c>
      <c r="G118" s="100">
        <v>5.0525042397810445E-19</v>
      </c>
      <c r="H118" s="100">
        <v>5.0525042397810445E-19</v>
      </c>
      <c r="I118" s="100">
        <v>5.0525042397810445E-19</v>
      </c>
      <c r="J118" s="100">
        <v>5.0525042397810445E-19</v>
      </c>
      <c r="K118" s="100">
        <v>6.3156302997263059E-19</v>
      </c>
      <c r="L118" s="100">
        <v>6.3156302997263059E-19</v>
      </c>
      <c r="M118" s="100">
        <v>6.3156302997263059E-19</v>
      </c>
      <c r="N118" s="100">
        <v>6.3156302997263059E-19</v>
      </c>
      <c r="O118" s="100">
        <v>6.3156302997263059E-19</v>
      </c>
      <c r="P118" s="100">
        <v>6.3156302997263059E-19</v>
      </c>
      <c r="Q118" s="100">
        <v>6.3156302997263059E-19</v>
      </c>
      <c r="R118" s="100">
        <v>6.3156302997263059E-19</v>
      </c>
      <c r="S118" s="100">
        <v>6.3156302997263059E-19</v>
      </c>
      <c r="T118" s="100">
        <v>6.3156302997263059E-19</v>
      </c>
      <c r="U118" s="100">
        <v>6.3156302997263059E-19</v>
      </c>
      <c r="V118" s="100">
        <v>6.3156302997263059E-19</v>
      </c>
      <c r="W118" s="100">
        <v>0</v>
      </c>
      <c r="X118" s="100">
        <v>0</v>
      </c>
      <c r="Y118" s="100">
        <v>0</v>
      </c>
      <c r="Z118" s="100">
        <v>0</v>
      </c>
      <c r="AA118" s="100">
        <v>2.4968078841741103E-19</v>
      </c>
      <c r="AB118" s="100">
        <v>6.3156302997263059E-19</v>
      </c>
      <c r="AC118" s="100">
        <v>6.3156302997263059E-19</v>
      </c>
      <c r="AD118" s="100">
        <v>6.3156302997263059E-19</v>
      </c>
      <c r="AE118" s="100">
        <v>6.3156302997263059E-19</v>
      </c>
      <c r="AF118" s="100">
        <v>6.3156302997263059E-19</v>
      </c>
      <c r="AG118" s="100">
        <v>6.3156302997263059E-19</v>
      </c>
      <c r="AH118" s="100">
        <v>6.3156302997263059E-19</v>
      </c>
      <c r="AI118" s="100">
        <v>6.3156302997263059E-19</v>
      </c>
      <c r="AJ118" s="100">
        <v>6.3156302997263059E-19</v>
      </c>
      <c r="AK118" s="100">
        <v>6.3156302997263059E-19</v>
      </c>
      <c r="AL118" s="100">
        <v>6.3156302997263059E-19</v>
      </c>
      <c r="AM118" s="100">
        <v>6.3156302997263059E-19</v>
      </c>
      <c r="AN118" s="100">
        <v>6.3156302997263059E-19</v>
      </c>
      <c r="AO118" s="100">
        <v>6.3156302997263059E-19</v>
      </c>
      <c r="AP118" s="100">
        <v>6.3156302997263059E-19</v>
      </c>
      <c r="AQ118" s="100">
        <v>6.3156302997263059E-19</v>
      </c>
      <c r="AR118" s="100">
        <v>6.3156302997263059E-19</v>
      </c>
      <c r="AS118" s="100">
        <v>6.3156302997263059E-19</v>
      </c>
      <c r="AT118" s="100">
        <v>6.3156302997263059E-19</v>
      </c>
      <c r="AU118" s="100">
        <v>6.3156302997263059E-19</v>
      </c>
      <c r="AV118" s="100">
        <v>6.3156302997263059E-19</v>
      </c>
      <c r="AW118" s="100">
        <v>6.3156302997263059E-19</v>
      </c>
      <c r="AX118" s="100">
        <v>6.3156302997263059E-19</v>
      </c>
    </row>
    <row r="119" spans="1:50">
      <c r="B119" s="105" t="s">
        <v>46</v>
      </c>
      <c r="C119" s="100">
        <v>571.99999999999989</v>
      </c>
      <c r="D119" s="100">
        <v>571.99999999999989</v>
      </c>
      <c r="E119" s="100">
        <v>571.99999999999989</v>
      </c>
      <c r="F119" s="100">
        <v>571.99999999999989</v>
      </c>
      <c r="G119" s="100">
        <v>457.6</v>
      </c>
      <c r="H119" s="100">
        <v>457.6</v>
      </c>
      <c r="I119" s="100">
        <v>457.6</v>
      </c>
      <c r="J119" s="100">
        <v>457.6</v>
      </c>
      <c r="K119" s="100">
        <v>571.99999999999989</v>
      </c>
      <c r="L119" s="100">
        <v>571.99999999999989</v>
      </c>
      <c r="M119" s="100">
        <v>571.99999999999989</v>
      </c>
      <c r="N119" s="100">
        <v>571.99999999999989</v>
      </c>
      <c r="O119" s="100">
        <v>571.99999999999989</v>
      </c>
      <c r="P119" s="100">
        <v>571.99999999999989</v>
      </c>
      <c r="Q119" s="100">
        <v>571.99999999999989</v>
      </c>
      <c r="R119" s="100">
        <v>571.99999999999989</v>
      </c>
      <c r="S119" s="100">
        <v>571.99999999999989</v>
      </c>
      <c r="T119" s="100">
        <v>571.99999999999989</v>
      </c>
      <c r="U119" s="100">
        <v>571.99999999999989</v>
      </c>
      <c r="V119" s="100">
        <v>571.99999999999989</v>
      </c>
      <c r="W119" s="100">
        <v>0</v>
      </c>
      <c r="X119" s="100">
        <v>0</v>
      </c>
      <c r="Y119" s="100">
        <v>0</v>
      </c>
      <c r="Z119" s="100">
        <v>0</v>
      </c>
      <c r="AA119" s="100">
        <v>226.13326651015055</v>
      </c>
      <c r="AB119" s="100">
        <v>571.99999999999989</v>
      </c>
      <c r="AC119" s="100">
        <v>571.99999999999989</v>
      </c>
      <c r="AD119" s="100">
        <v>571.99999999999989</v>
      </c>
      <c r="AE119" s="100">
        <v>571.99999999999989</v>
      </c>
      <c r="AF119" s="100">
        <v>571.99999999999989</v>
      </c>
      <c r="AG119" s="100">
        <v>571.99999999999989</v>
      </c>
      <c r="AH119" s="100">
        <v>571.99999999999989</v>
      </c>
      <c r="AI119" s="100">
        <v>571.99999999999989</v>
      </c>
      <c r="AJ119" s="100">
        <v>571.99999999999989</v>
      </c>
      <c r="AK119" s="100">
        <v>571.99999999999989</v>
      </c>
      <c r="AL119" s="100">
        <v>571.99999999999989</v>
      </c>
      <c r="AM119" s="100">
        <v>571.99999999999989</v>
      </c>
      <c r="AN119" s="100">
        <v>571.99999999999989</v>
      </c>
      <c r="AO119" s="100">
        <v>571.99999999999989</v>
      </c>
      <c r="AP119" s="100">
        <v>571.99999999999989</v>
      </c>
      <c r="AQ119" s="100">
        <v>571.99999999999989</v>
      </c>
      <c r="AR119" s="100">
        <v>571.99999999999989</v>
      </c>
      <c r="AS119" s="100">
        <v>571.99999999999989</v>
      </c>
      <c r="AT119" s="100">
        <v>571.99999999999989</v>
      </c>
      <c r="AU119" s="100">
        <v>571.99999999999989</v>
      </c>
      <c r="AV119" s="100">
        <v>571.99999999999989</v>
      </c>
      <c r="AW119" s="100">
        <v>571.99999999999989</v>
      </c>
      <c r="AX119" s="100">
        <v>571.99999999999989</v>
      </c>
    </row>
    <row r="120" spans="1:50">
      <c r="B120" s="105" t="s">
        <v>59</v>
      </c>
      <c r="C120" s="100">
        <v>3.3555882761260794E-19</v>
      </c>
      <c r="D120" s="100">
        <v>3.3555882761260794E-19</v>
      </c>
      <c r="E120" s="100">
        <v>3.3555882761260794E-19</v>
      </c>
      <c r="F120" s="100">
        <v>3.3555882761260794E-19</v>
      </c>
      <c r="G120" s="100">
        <v>2.6844706209008636E-19</v>
      </c>
      <c r="H120" s="100">
        <v>2.6844706209008636E-19</v>
      </c>
      <c r="I120" s="100">
        <v>2.6844706209008636E-19</v>
      </c>
      <c r="J120" s="100">
        <v>2.6844706209008636E-19</v>
      </c>
      <c r="K120" s="100">
        <v>3.3555882761260794E-19</v>
      </c>
      <c r="L120" s="100">
        <v>3.3555882761260794E-19</v>
      </c>
      <c r="M120" s="100">
        <v>3.3555882761260794E-19</v>
      </c>
      <c r="N120" s="100">
        <v>3.3555882761260794E-19</v>
      </c>
      <c r="O120" s="100">
        <v>3.3555882761260794E-19</v>
      </c>
      <c r="P120" s="100">
        <v>3.3555882761260794E-19</v>
      </c>
      <c r="Q120" s="100">
        <v>3.3555882761260794E-19</v>
      </c>
      <c r="R120" s="100">
        <v>3.3555882761260794E-19</v>
      </c>
      <c r="S120" s="100">
        <v>3.3555882761260794E-19</v>
      </c>
      <c r="T120" s="100">
        <v>3.3555882761260794E-19</v>
      </c>
      <c r="U120" s="100">
        <v>3.3555882761260794E-19</v>
      </c>
      <c r="V120" s="100">
        <v>3.3555882761260794E-19</v>
      </c>
      <c r="W120" s="100">
        <v>0</v>
      </c>
      <c r="X120" s="100">
        <v>0</v>
      </c>
      <c r="Y120" s="100">
        <v>0</v>
      </c>
      <c r="Z120" s="100">
        <v>0</v>
      </c>
      <c r="AA120" s="100">
        <v>1.3265911502509712E-19</v>
      </c>
      <c r="AB120" s="100">
        <v>3.3555882761260794E-19</v>
      </c>
      <c r="AC120" s="100">
        <v>3.3555882761260794E-19</v>
      </c>
      <c r="AD120" s="100">
        <v>3.3555882761260794E-19</v>
      </c>
      <c r="AE120" s="100">
        <v>3.3555882761260794E-19</v>
      </c>
      <c r="AF120" s="100">
        <v>3.3555882761260794E-19</v>
      </c>
      <c r="AG120" s="100">
        <v>3.3555882761260794E-19</v>
      </c>
      <c r="AH120" s="100">
        <v>3.3555882761260794E-19</v>
      </c>
      <c r="AI120" s="100">
        <v>3.3555882761260794E-19</v>
      </c>
      <c r="AJ120" s="100">
        <v>3.3555882761260794E-19</v>
      </c>
      <c r="AK120" s="100">
        <v>3.3555882761260794E-19</v>
      </c>
      <c r="AL120" s="100">
        <v>3.3555882761260794E-19</v>
      </c>
      <c r="AM120" s="100">
        <v>3.3555882761260794E-19</v>
      </c>
      <c r="AN120" s="100">
        <v>3.3555882761260794E-19</v>
      </c>
      <c r="AO120" s="100">
        <v>3.3555882761260794E-19</v>
      </c>
      <c r="AP120" s="100">
        <v>3.3555882761260794E-19</v>
      </c>
      <c r="AQ120" s="100">
        <v>3.3555882761260794E-19</v>
      </c>
      <c r="AR120" s="100">
        <v>3.3555882761260794E-19</v>
      </c>
      <c r="AS120" s="100">
        <v>3.3555882761260794E-19</v>
      </c>
      <c r="AT120" s="100">
        <v>3.3555882761260794E-19</v>
      </c>
      <c r="AU120" s="100">
        <v>3.3555882761260794E-19</v>
      </c>
      <c r="AV120" s="100">
        <v>3.3555882761260794E-19</v>
      </c>
      <c r="AW120" s="100">
        <v>3.3555882761260794E-19</v>
      </c>
      <c r="AX120" s="100">
        <v>3.3555882761260794E-19</v>
      </c>
    </row>
    <row r="121" spans="1:50">
      <c r="B121" s="100" t="s">
        <v>278</v>
      </c>
      <c r="C121" s="105">
        <f>SUM(C$116:C$120)</f>
        <v>12187.99999999992</v>
      </c>
      <c r="D121" s="105">
        <f t="shared" ref="D121:AX121" si="8">SUM(D$116:D$120)</f>
        <v>12187.99999999992</v>
      </c>
      <c r="E121" s="105">
        <f t="shared" si="8"/>
        <v>12187.99999999992</v>
      </c>
      <c r="F121" s="105">
        <f t="shared" si="8"/>
        <v>12187.99999999992</v>
      </c>
      <c r="G121" s="105">
        <f t="shared" si="8"/>
        <v>9750.3999999999378</v>
      </c>
      <c r="H121" s="105">
        <f t="shared" si="8"/>
        <v>9750.3999999999378</v>
      </c>
      <c r="I121" s="105">
        <f t="shared" si="8"/>
        <v>9750.3999999999378</v>
      </c>
      <c r="J121" s="105">
        <f t="shared" si="8"/>
        <v>9750.3999999999378</v>
      </c>
      <c r="K121" s="105">
        <f t="shared" si="8"/>
        <v>12187.99999999992</v>
      </c>
      <c r="L121" s="105">
        <f t="shared" si="8"/>
        <v>12187.99999999992</v>
      </c>
      <c r="M121" s="105">
        <f t="shared" si="8"/>
        <v>12187.99999999992</v>
      </c>
      <c r="N121" s="105">
        <f t="shared" si="8"/>
        <v>12187.99999999992</v>
      </c>
      <c r="O121" s="105">
        <f t="shared" si="8"/>
        <v>12187.99999999992</v>
      </c>
      <c r="P121" s="105">
        <f t="shared" si="8"/>
        <v>12187.99999999992</v>
      </c>
      <c r="Q121" s="105">
        <f t="shared" si="8"/>
        <v>12187.99999999992</v>
      </c>
      <c r="R121" s="105">
        <f t="shared" si="8"/>
        <v>12187.99999999992</v>
      </c>
      <c r="S121" s="105">
        <f t="shared" si="8"/>
        <v>12187.99999999992</v>
      </c>
      <c r="T121" s="105">
        <f t="shared" si="8"/>
        <v>12187.99999999992</v>
      </c>
      <c r="U121" s="105">
        <f t="shared" si="8"/>
        <v>12187.99999999992</v>
      </c>
      <c r="V121" s="105">
        <f t="shared" si="8"/>
        <v>12187.99999999992</v>
      </c>
      <c r="W121" s="105">
        <f t="shared" si="8"/>
        <v>0</v>
      </c>
      <c r="X121" s="105">
        <f t="shared" si="8"/>
        <v>0</v>
      </c>
      <c r="Y121" s="105">
        <f t="shared" si="8"/>
        <v>0</v>
      </c>
      <c r="Z121" s="105">
        <f t="shared" si="8"/>
        <v>0</v>
      </c>
      <c r="AA121" s="105">
        <f t="shared" si="8"/>
        <v>4818.3780633316401</v>
      </c>
      <c r="AB121" s="105">
        <f t="shared" si="8"/>
        <v>12187.99999999992</v>
      </c>
      <c r="AC121" s="105">
        <f t="shared" si="8"/>
        <v>12187.99999999992</v>
      </c>
      <c r="AD121" s="105">
        <f t="shared" si="8"/>
        <v>12187.99999999992</v>
      </c>
      <c r="AE121" s="105">
        <f t="shared" si="8"/>
        <v>12187.99999999992</v>
      </c>
      <c r="AF121" s="105">
        <f t="shared" si="8"/>
        <v>12187.99999999992</v>
      </c>
      <c r="AG121" s="105">
        <f t="shared" si="8"/>
        <v>12187.99999999992</v>
      </c>
      <c r="AH121" s="105">
        <f t="shared" si="8"/>
        <v>12187.99999999992</v>
      </c>
      <c r="AI121" s="105">
        <f t="shared" si="8"/>
        <v>12187.99999999992</v>
      </c>
      <c r="AJ121" s="105">
        <f t="shared" si="8"/>
        <v>12187.99999999992</v>
      </c>
      <c r="AK121" s="105">
        <f t="shared" si="8"/>
        <v>12187.99999999992</v>
      </c>
      <c r="AL121" s="105">
        <f t="shared" si="8"/>
        <v>12187.99999999992</v>
      </c>
      <c r="AM121" s="105">
        <f t="shared" si="8"/>
        <v>12187.99999999992</v>
      </c>
      <c r="AN121" s="105">
        <f t="shared" si="8"/>
        <v>12187.99999999992</v>
      </c>
      <c r="AO121" s="105">
        <f t="shared" si="8"/>
        <v>12187.99999999992</v>
      </c>
      <c r="AP121" s="105">
        <f t="shared" si="8"/>
        <v>12187.99999999992</v>
      </c>
      <c r="AQ121" s="105">
        <f t="shared" si="8"/>
        <v>12187.99999999992</v>
      </c>
      <c r="AR121" s="105">
        <f t="shared" si="8"/>
        <v>12187.99999999992</v>
      </c>
      <c r="AS121" s="105">
        <f t="shared" si="8"/>
        <v>12187.99999999992</v>
      </c>
      <c r="AT121" s="105">
        <f t="shared" si="8"/>
        <v>12187.99999999992</v>
      </c>
      <c r="AU121" s="105">
        <f t="shared" si="8"/>
        <v>12187.99999999992</v>
      </c>
      <c r="AV121" s="105">
        <f t="shared" si="8"/>
        <v>12187.99999999992</v>
      </c>
      <c r="AW121" s="105">
        <f t="shared" si="8"/>
        <v>12187.99999999992</v>
      </c>
      <c r="AX121" s="105">
        <f t="shared" si="8"/>
        <v>12187.99999999992</v>
      </c>
    </row>
    <row r="122" spans="1:50">
      <c r="A122" s="105" t="s">
        <v>108</v>
      </c>
      <c r="B122" s="105" t="s">
        <v>10</v>
      </c>
      <c r="C122" s="100">
        <v>5.1340926509886302E-19</v>
      </c>
      <c r="D122" s="100">
        <v>5.1340926509886302E-19</v>
      </c>
      <c r="E122" s="100">
        <v>5.1340926509886302E-19</v>
      </c>
      <c r="F122" s="100">
        <v>5.1340926509886302E-19</v>
      </c>
      <c r="G122" s="100">
        <v>6.4176158137357864E-19</v>
      </c>
      <c r="H122" s="100">
        <v>6.4176158137357864E-19</v>
      </c>
      <c r="I122" s="100">
        <v>6.4176158137357864E-19</v>
      </c>
      <c r="J122" s="100">
        <v>6.4176158137357864E-19</v>
      </c>
      <c r="K122" s="100">
        <v>5.1340926509886302E-19</v>
      </c>
      <c r="L122" s="100">
        <v>5.1340926509886302E-19</v>
      </c>
      <c r="M122" s="100">
        <v>5.1340926509886302E-19</v>
      </c>
      <c r="N122" s="100">
        <v>5.1340926509886302E-19</v>
      </c>
      <c r="O122" s="100">
        <v>5.1340926509886302E-19</v>
      </c>
      <c r="P122" s="100">
        <v>5.1340926509886302E-19</v>
      </c>
      <c r="Q122" s="100">
        <v>5.1340926509886302E-19</v>
      </c>
      <c r="R122" s="100">
        <v>5.1340926509886302E-19</v>
      </c>
      <c r="S122" s="100">
        <v>5.1340926509886302E-19</v>
      </c>
      <c r="T122" s="100">
        <v>5.1340926509886302E-19</v>
      </c>
      <c r="U122" s="100">
        <v>5.1340926509886302E-19</v>
      </c>
      <c r="V122" s="100">
        <v>5.1340926509886302E-19</v>
      </c>
      <c r="W122" s="100">
        <v>5.1340926509886302E-19</v>
      </c>
      <c r="X122" s="100">
        <v>5.1340926509886302E-19</v>
      </c>
      <c r="Y122" s="100">
        <v>5.1340926509886302E-19</v>
      </c>
      <c r="Z122" s="100">
        <v>5.1340926509886302E-19</v>
      </c>
      <c r="AA122" s="100">
        <v>5.1340926509886302E-19</v>
      </c>
      <c r="AB122" s="100">
        <v>5.1340926509886302E-19</v>
      </c>
      <c r="AC122" s="100">
        <v>5.1340926509886302E-19</v>
      </c>
      <c r="AD122" s="100">
        <v>5.1340926509886302E-19</v>
      </c>
      <c r="AE122" s="100">
        <v>5.1340926509886302E-19</v>
      </c>
      <c r="AF122" s="100">
        <v>5.1340926509886302E-19</v>
      </c>
      <c r="AG122" s="100">
        <v>5.1340926509886302E-19</v>
      </c>
      <c r="AH122" s="100">
        <v>5.1340926509886302E-19</v>
      </c>
      <c r="AI122" s="100">
        <v>5.1340926509886302E-19</v>
      </c>
      <c r="AJ122" s="100">
        <v>5.1340926509886302E-19</v>
      </c>
      <c r="AK122" s="100">
        <v>5.1340926509886302E-19</v>
      </c>
      <c r="AL122" s="100">
        <v>5.1340926509886302E-19</v>
      </c>
      <c r="AM122" s="100">
        <v>0</v>
      </c>
      <c r="AN122" s="100">
        <v>0</v>
      </c>
      <c r="AO122" s="100">
        <v>0</v>
      </c>
      <c r="AP122" s="100">
        <v>0</v>
      </c>
      <c r="AQ122" s="100">
        <v>5.1340926509886302E-19</v>
      </c>
      <c r="AR122" s="100">
        <v>5.1340926509886302E-19</v>
      </c>
      <c r="AS122" s="100">
        <v>5.1340926509886302E-19</v>
      </c>
      <c r="AT122" s="100">
        <v>5.1340926509886302E-19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1.7932635021024264E-18</v>
      </c>
      <c r="D123" s="100">
        <v>1.7932635021024264E-18</v>
      </c>
      <c r="E123" s="100">
        <v>1.7932635021024264E-18</v>
      </c>
      <c r="F123" s="100">
        <v>1.7932635021024264E-18</v>
      </c>
      <c r="G123" s="100">
        <v>2.2415793776280334E-18</v>
      </c>
      <c r="H123" s="100">
        <v>2.2415793776280334E-18</v>
      </c>
      <c r="I123" s="100">
        <v>2.2415793776280334E-18</v>
      </c>
      <c r="J123" s="100">
        <v>2.2415793776280334E-18</v>
      </c>
      <c r="K123" s="100">
        <v>1.7932635021024264E-18</v>
      </c>
      <c r="L123" s="100">
        <v>1.7932635021024264E-18</v>
      </c>
      <c r="M123" s="100">
        <v>1.7932635021024264E-18</v>
      </c>
      <c r="N123" s="100">
        <v>1.7932635021024264E-18</v>
      </c>
      <c r="O123" s="100">
        <v>1.7932635021024264E-18</v>
      </c>
      <c r="P123" s="100">
        <v>1.7932635021024264E-18</v>
      </c>
      <c r="Q123" s="100">
        <v>1.7932635021024264E-18</v>
      </c>
      <c r="R123" s="100">
        <v>1.7932635021024264E-18</v>
      </c>
      <c r="S123" s="100">
        <v>1.7932635021024264E-18</v>
      </c>
      <c r="T123" s="100">
        <v>1.7932635021024264E-18</v>
      </c>
      <c r="U123" s="100">
        <v>1.7932635021024264E-18</v>
      </c>
      <c r="V123" s="100">
        <v>1.7932635021024264E-18</v>
      </c>
      <c r="W123" s="100">
        <v>1.7932635021024264E-18</v>
      </c>
      <c r="X123" s="100">
        <v>1.7932635021024264E-18</v>
      </c>
      <c r="Y123" s="100">
        <v>1.7932635021024264E-18</v>
      </c>
      <c r="Z123" s="100">
        <v>1.7932635021024264E-18</v>
      </c>
      <c r="AA123" s="100">
        <v>1.7932635021024264E-18</v>
      </c>
      <c r="AB123" s="100">
        <v>1.7932635021024264E-18</v>
      </c>
      <c r="AC123" s="100">
        <v>1.7932635021024264E-18</v>
      </c>
      <c r="AD123" s="100">
        <v>1.7932635021024264E-18</v>
      </c>
      <c r="AE123" s="100">
        <v>1.7932635021024264E-18</v>
      </c>
      <c r="AF123" s="100">
        <v>1.7932635021024264E-18</v>
      </c>
      <c r="AG123" s="100">
        <v>1.7932635021024264E-18</v>
      </c>
      <c r="AH123" s="100">
        <v>1.7932635021024264E-18</v>
      </c>
      <c r="AI123" s="100">
        <v>1.7932635021024264E-18</v>
      </c>
      <c r="AJ123" s="100">
        <v>1.7932635021024264E-18</v>
      </c>
      <c r="AK123" s="100">
        <v>1.7932635021024264E-18</v>
      </c>
      <c r="AL123" s="100">
        <v>1.7932635021024264E-18</v>
      </c>
      <c r="AM123" s="100">
        <v>0</v>
      </c>
      <c r="AN123" s="100">
        <v>0</v>
      </c>
      <c r="AO123" s="100">
        <v>0</v>
      </c>
      <c r="AP123" s="100">
        <v>0</v>
      </c>
      <c r="AQ123" s="100">
        <v>1.7932635021024264E-18</v>
      </c>
      <c r="AR123" s="100">
        <v>1.7932635021024264E-18</v>
      </c>
      <c r="AS123" s="100">
        <v>1.7932635021024264E-18</v>
      </c>
      <c r="AT123" s="100">
        <v>1.7932635021024264E-18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3.5232398843376582E-18</v>
      </c>
      <c r="D125" s="100">
        <v>3.5232398843376582E-18</v>
      </c>
      <c r="E125" s="100">
        <v>3.5232398843376582E-18</v>
      </c>
      <c r="F125" s="100">
        <v>3.5232398843376582E-18</v>
      </c>
      <c r="G125" s="100">
        <v>4.4040498554220731E-18</v>
      </c>
      <c r="H125" s="100">
        <v>4.4040498554220731E-18</v>
      </c>
      <c r="I125" s="100">
        <v>4.4040498554220731E-18</v>
      </c>
      <c r="J125" s="100">
        <v>4.4040498554220731E-18</v>
      </c>
      <c r="K125" s="100">
        <v>3.5232398843376582E-18</v>
      </c>
      <c r="L125" s="100">
        <v>3.5232398843376582E-18</v>
      </c>
      <c r="M125" s="100">
        <v>3.5232398843376582E-18</v>
      </c>
      <c r="N125" s="100">
        <v>3.5232398843376582E-18</v>
      </c>
      <c r="O125" s="100">
        <v>3.5232398843376582E-18</v>
      </c>
      <c r="P125" s="100">
        <v>3.5232398843376582E-18</v>
      </c>
      <c r="Q125" s="100">
        <v>3.5232398843376582E-18</v>
      </c>
      <c r="R125" s="100">
        <v>3.5232398843376582E-18</v>
      </c>
      <c r="S125" s="100">
        <v>3.5232398843376582E-18</v>
      </c>
      <c r="T125" s="100">
        <v>3.5232398843376582E-18</v>
      </c>
      <c r="U125" s="100">
        <v>3.5232398843376582E-18</v>
      </c>
      <c r="V125" s="100">
        <v>3.5232398843376582E-18</v>
      </c>
      <c r="W125" s="100">
        <v>3.5232398843376582E-18</v>
      </c>
      <c r="X125" s="100">
        <v>3.5232398843376582E-18</v>
      </c>
      <c r="Y125" s="100">
        <v>3.5232398843376582E-18</v>
      </c>
      <c r="Z125" s="100">
        <v>3.5232398843376582E-18</v>
      </c>
      <c r="AA125" s="100">
        <v>3.5232398843376582E-18</v>
      </c>
      <c r="AB125" s="100">
        <v>3.5232398843376582E-18</v>
      </c>
      <c r="AC125" s="100">
        <v>3.5232398843376582E-18</v>
      </c>
      <c r="AD125" s="100">
        <v>3.5232398843376582E-18</v>
      </c>
      <c r="AE125" s="100">
        <v>3.5232398843376582E-18</v>
      </c>
      <c r="AF125" s="100">
        <v>3.5232398843376582E-18</v>
      </c>
      <c r="AG125" s="100">
        <v>3.5232398843376582E-18</v>
      </c>
      <c r="AH125" s="100">
        <v>3.5232398843376582E-18</v>
      </c>
      <c r="AI125" s="100">
        <v>3.5232398843376582E-18</v>
      </c>
      <c r="AJ125" s="100">
        <v>3.5232398843376582E-18</v>
      </c>
      <c r="AK125" s="100">
        <v>3.5232398843376582E-18</v>
      </c>
      <c r="AL125" s="100">
        <v>3.5232398843376582E-18</v>
      </c>
      <c r="AM125" s="100">
        <v>0</v>
      </c>
      <c r="AN125" s="100">
        <v>0</v>
      </c>
      <c r="AO125" s="100">
        <v>0</v>
      </c>
      <c r="AP125" s="100">
        <v>0</v>
      </c>
      <c r="AQ125" s="100">
        <v>3.5232398843376582E-18</v>
      </c>
      <c r="AR125" s="100">
        <v>3.5232398843376582E-18</v>
      </c>
      <c r="AS125" s="100">
        <v>3.5232398843376582E-18</v>
      </c>
      <c r="AT125" s="100">
        <v>3.5232398843376582E-18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6.4760437670461778E-19</v>
      </c>
      <c r="D126" s="100">
        <v>6.4760437670461778E-19</v>
      </c>
      <c r="E126" s="100">
        <v>6.4760437670461778E-19</v>
      </c>
      <c r="F126" s="100">
        <v>6.4760437670461778E-19</v>
      </c>
      <c r="G126" s="100">
        <v>8.0950547088077203E-19</v>
      </c>
      <c r="H126" s="100">
        <v>8.0950547088077203E-19</v>
      </c>
      <c r="I126" s="100">
        <v>8.0950547088077203E-19</v>
      </c>
      <c r="J126" s="100">
        <v>8.0950547088077203E-19</v>
      </c>
      <c r="K126" s="100">
        <v>6.4760437670461778E-19</v>
      </c>
      <c r="L126" s="100">
        <v>6.4760437670461778E-19</v>
      </c>
      <c r="M126" s="100">
        <v>6.4760437670461778E-19</v>
      </c>
      <c r="N126" s="100">
        <v>6.4760437670461778E-19</v>
      </c>
      <c r="O126" s="100">
        <v>6.4760437670461778E-19</v>
      </c>
      <c r="P126" s="100">
        <v>6.4760437670461778E-19</v>
      </c>
      <c r="Q126" s="100">
        <v>6.4760437670461778E-19</v>
      </c>
      <c r="R126" s="100">
        <v>6.4760437670461778E-19</v>
      </c>
      <c r="S126" s="100">
        <v>6.4760437670461778E-19</v>
      </c>
      <c r="T126" s="100">
        <v>6.4760437670461778E-19</v>
      </c>
      <c r="U126" s="100">
        <v>6.4760437670461778E-19</v>
      </c>
      <c r="V126" s="100">
        <v>6.4760437670461778E-19</v>
      </c>
      <c r="W126" s="100">
        <v>6.4760437670461778E-19</v>
      </c>
      <c r="X126" s="100">
        <v>6.4760437670461778E-19</v>
      </c>
      <c r="Y126" s="100">
        <v>6.4760437670461778E-19</v>
      </c>
      <c r="Z126" s="100">
        <v>6.4760437670461778E-19</v>
      </c>
      <c r="AA126" s="100">
        <v>6.4760437670461778E-19</v>
      </c>
      <c r="AB126" s="100">
        <v>6.4760437670461778E-19</v>
      </c>
      <c r="AC126" s="100">
        <v>6.4760437670461778E-19</v>
      </c>
      <c r="AD126" s="100">
        <v>6.4760437670461778E-19</v>
      </c>
      <c r="AE126" s="100">
        <v>6.4760437670461778E-19</v>
      </c>
      <c r="AF126" s="100">
        <v>6.4760437670461778E-19</v>
      </c>
      <c r="AG126" s="100">
        <v>6.4760437670461778E-19</v>
      </c>
      <c r="AH126" s="100">
        <v>6.4760437670461778E-19</v>
      </c>
      <c r="AI126" s="100">
        <v>6.4760437670461778E-19</v>
      </c>
      <c r="AJ126" s="100">
        <v>6.4760437670461778E-19</v>
      </c>
      <c r="AK126" s="100">
        <v>6.4760437670461778E-19</v>
      </c>
      <c r="AL126" s="100">
        <v>6.4760437670461778E-19</v>
      </c>
      <c r="AM126" s="100">
        <v>0</v>
      </c>
      <c r="AN126" s="100">
        <v>0</v>
      </c>
      <c r="AO126" s="100">
        <v>0</v>
      </c>
      <c r="AP126" s="100">
        <v>0</v>
      </c>
      <c r="AQ126" s="100">
        <v>6.4760437670461778E-19</v>
      </c>
      <c r="AR126" s="100">
        <v>6.4760437670461778E-19</v>
      </c>
      <c r="AS126" s="100">
        <v>6.4760437670461778E-19</v>
      </c>
      <c r="AT126" s="100">
        <v>6.4760437670461778E-19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6.4775170282435652E-18</v>
      </c>
      <c r="D127" s="105">
        <f t="shared" ref="D127:AX127" si="9">SUM(D$122:D$126)</f>
        <v>6.4775170282435652E-18</v>
      </c>
      <c r="E127" s="105">
        <f t="shared" si="9"/>
        <v>6.4775170282435652E-18</v>
      </c>
      <c r="F127" s="105">
        <f t="shared" si="9"/>
        <v>6.4775170282435652E-18</v>
      </c>
      <c r="G127" s="105">
        <f t="shared" si="9"/>
        <v>8.0968962853044586E-18</v>
      </c>
      <c r="H127" s="105">
        <f t="shared" si="9"/>
        <v>8.0968962853044586E-18</v>
      </c>
      <c r="I127" s="105">
        <f t="shared" si="9"/>
        <v>8.0968962853044586E-18</v>
      </c>
      <c r="J127" s="105">
        <f t="shared" si="9"/>
        <v>8.0968962853044586E-18</v>
      </c>
      <c r="K127" s="105">
        <f t="shared" si="9"/>
        <v>6.4775170282435652E-18</v>
      </c>
      <c r="L127" s="105">
        <f t="shared" si="9"/>
        <v>6.4775170282435652E-18</v>
      </c>
      <c r="M127" s="105">
        <f t="shared" si="9"/>
        <v>6.4775170282435652E-18</v>
      </c>
      <c r="N127" s="105">
        <f t="shared" si="9"/>
        <v>6.4775170282435652E-18</v>
      </c>
      <c r="O127" s="105">
        <f t="shared" si="9"/>
        <v>6.4775170282435652E-18</v>
      </c>
      <c r="P127" s="105">
        <f t="shared" si="9"/>
        <v>6.4775170282435652E-18</v>
      </c>
      <c r="Q127" s="105">
        <f t="shared" si="9"/>
        <v>6.4775170282435652E-18</v>
      </c>
      <c r="R127" s="105">
        <f t="shared" si="9"/>
        <v>6.4775170282435652E-18</v>
      </c>
      <c r="S127" s="105">
        <f t="shared" si="9"/>
        <v>6.4775170282435652E-18</v>
      </c>
      <c r="T127" s="105">
        <f t="shared" si="9"/>
        <v>6.4775170282435652E-18</v>
      </c>
      <c r="U127" s="105">
        <f t="shared" si="9"/>
        <v>6.4775170282435652E-18</v>
      </c>
      <c r="V127" s="105">
        <f t="shared" si="9"/>
        <v>6.4775170282435652E-18</v>
      </c>
      <c r="W127" s="105">
        <f t="shared" si="9"/>
        <v>6.4775170282435652E-18</v>
      </c>
      <c r="X127" s="105">
        <f t="shared" si="9"/>
        <v>6.4775170282435652E-18</v>
      </c>
      <c r="Y127" s="105">
        <f t="shared" si="9"/>
        <v>6.4775170282435652E-18</v>
      </c>
      <c r="Z127" s="105">
        <f t="shared" si="9"/>
        <v>6.4775170282435652E-18</v>
      </c>
      <c r="AA127" s="105">
        <f t="shared" si="9"/>
        <v>6.4775170282435652E-18</v>
      </c>
      <c r="AB127" s="105">
        <f t="shared" si="9"/>
        <v>6.4775170282435652E-18</v>
      </c>
      <c r="AC127" s="105">
        <f t="shared" si="9"/>
        <v>6.4775170282435652E-18</v>
      </c>
      <c r="AD127" s="105">
        <f t="shared" si="9"/>
        <v>6.4775170282435652E-18</v>
      </c>
      <c r="AE127" s="105">
        <f t="shared" si="9"/>
        <v>6.4775170282435652E-18</v>
      </c>
      <c r="AF127" s="105">
        <f t="shared" si="9"/>
        <v>6.4775170282435652E-18</v>
      </c>
      <c r="AG127" s="105">
        <f t="shared" si="9"/>
        <v>6.4775170282435652E-18</v>
      </c>
      <c r="AH127" s="105">
        <f t="shared" si="9"/>
        <v>6.4775170282435652E-18</v>
      </c>
      <c r="AI127" s="105">
        <f t="shared" si="9"/>
        <v>6.4775170282435652E-18</v>
      </c>
      <c r="AJ127" s="105">
        <f t="shared" si="9"/>
        <v>6.4775170282435652E-18</v>
      </c>
      <c r="AK127" s="105">
        <f t="shared" si="9"/>
        <v>6.4775170282435652E-18</v>
      </c>
      <c r="AL127" s="105">
        <f t="shared" si="9"/>
        <v>6.4775170282435652E-18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6.4775170282435652E-18</v>
      </c>
      <c r="AR127" s="105">
        <f t="shared" si="9"/>
        <v>6.4775170282435652E-18</v>
      </c>
      <c r="AS127" s="105">
        <f t="shared" si="9"/>
        <v>6.4775170282435652E-18</v>
      </c>
      <c r="AT127" s="105">
        <f t="shared" si="9"/>
        <v>6.4775170282435652E-18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5.8286175298206084E-18</v>
      </c>
      <c r="D128" s="100">
        <v>5.8286175298206084E-18</v>
      </c>
      <c r="E128" s="100">
        <v>5.8286175298206084E-18</v>
      </c>
      <c r="F128" s="100">
        <v>5.8286175298206084E-18</v>
      </c>
      <c r="G128" s="100">
        <v>4.6628940238564872E-18</v>
      </c>
      <c r="H128" s="100">
        <v>4.6628940238564872E-18</v>
      </c>
      <c r="I128" s="100">
        <v>4.6628940238564872E-18</v>
      </c>
      <c r="J128" s="100">
        <v>4.6628940238564872E-18</v>
      </c>
      <c r="K128" s="100">
        <v>4.6628940238564872E-18</v>
      </c>
      <c r="L128" s="100">
        <v>4.6628940238564872E-18</v>
      </c>
      <c r="M128" s="100">
        <v>4.6628940238564872E-18</v>
      </c>
      <c r="N128" s="100">
        <v>4.6628940238564872E-18</v>
      </c>
      <c r="O128" s="100">
        <v>5.8286175298206084E-18</v>
      </c>
      <c r="P128" s="100">
        <v>5.8286175298206084E-18</v>
      </c>
      <c r="Q128" s="100">
        <v>5.8286175298206084E-18</v>
      </c>
      <c r="R128" s="100">
        <v>5.8286175298206084E-18</v>
      </c>
      <c r="S128" s="100">
        <v>5.8286175298206084E-18</v>
      </c>
      <c r="T128" s="100">
        <v>5.8286175298206084E-18</v>
      </c>
      <c r="U128" s="100">
        <v>5.8286175298206084E-18</v>
      </c>
      <c r="V128" s="100">
        <v>5.8286175298206084E-18</v>
      </c>
      <c r="W128" s="100">
        <v>5.8286175298206084E-18</v>
      </c>
      <c r="X128" s="100">
        <v>5.8286175298206084E-18</v>
      </c>
      <c r="Y128" s="100">
        <v>5.8286175298206084E-18</v>
      </c>
      <c r="Z128" s="100">
        <v>5.8286175298206084E-18</v>
      </c>
      <c r="AA128" s="100">
        <v>4.6628940238564872E-18</v>
      </c>
      <c r="AB128" s="100">
        <v>4.6628940238564872E-18</v>
      </c>
      <c r="AC128" s="100">
        <v>4.6628940238564872E-18</v>
      </c>
      <c r="AD128" s="100">
        <v>4.6628940238564872E-18</v>
      </c>
      <c r="AE128" s="100">
        <v>4.6628940238564872E-18</v>
      </c>
      <c r="AF128" s="100">
        <v>4.6628940238564872E-18</v>
      </c>
      <c r="AG128" s="100">
        <v>4.6628940238564872E-18</v>
      </c>
      <c r="AH128" s="100">
        <v>4.6628940238564872E-18</v>
      </c>
      <c r="AI128" s="100">
        <v>4.6628940238564872E-18</v>
      </c>
      <c r="AJ128" s="100">
        <v>4.6628940238564872E-18</v>
      </c>
      <c r="AK128" s="100">
        <v>4.6628940238564872E-18</v>
      </c>
      <c r="AL128" s="100">
        <v>4.6628940238564872E-18</v>
      </c>
      <c r="AM128" s="100">
        <v>4.6628940238564872E-18</v>
      </c>
      <c r="AN128" s="100">
        <v>4.6628940238564872E-18</v>
      </c>
      <c r="AO128" s="100">
        <v>4.6628940238564872E-18</v>
      </c>
      <c r="AP128" s="100">
        <v>4.6628940238564872E-18</v>
      </c>
      <c r="AQ128" s="100">
        <v>4.6628940238564872E-18</v>
      </c>
      <c r="AR128" s="100">
        <v>4.6628940238564872E-18</v>
      </c>
      <c r="AS128" s="100">
        <v>4.6628940238564872E-18</v>
      </c>
      <c r="AT128" s="100">
        <v>4.6628940238564872E-18</v>
      </c>
      <c r="AU128" s="100">
        <v>0</v>
      </c>
      <c r="AV128" s="100">
        <v>0</v>
      </c>
      <c r="AW128" s="100">
        <v>0</v>
      </c>
      <c r="AX128" s="100">
        <v>0</v>
      </c>
    </row>
    <row r="129" spans="2:50">
      <c r="B129" s="105" t="s">
        <v>12</v>
      </c>
      <c r="C129" s="100">
        <v>1.7790611592640474E-18</v>
      </c>
      <c r="D129" s="100">
        <v>1.7790611592640474E-18</v>
      </c>
      <c r="E129" s="100">
        <v>1.7790611592640474E-18</v>
      </c>
      <c r="F129" s="100">
        <v>1.7790611592640474E-18</v>
      </c>
      <c r="G129" s="100">
        <v>1.4232489274112374E-18</v>
      </c>
      <c r="H129" s="100">
        <v>1.4232489274112374E-18</v>
      </c>
      <c r="I129" s="100">
        <v>1.4232489274112374E-18</v>
      </c>
      <c r="J129" s="100">
        <v>1.4232489274112374E-18</v>
      </c>
      <c r="K129" s="100">
        <v>1.4232489274112374E-18</v>
      </c>
      <c r="L129" s="100">
        <v>1.4232489274112374E-18</v>
      </c>
      <c r="M129" s="100">
        <v>1.4232489274112374E-18</v>
      </c>
      <c r="N129" s="100">
        <v>1.4232489274112374E-18</v>
      </c>
      <c r="O129" s="100">
        <v>1.7790611592640474E-18</v>
      </c>
      <c r="P129" s="100">
        <v>1.7790611592640474E-18</v>
      </c>
      <c r="Q129" s="100">
        <v>1.7790611592640474E-18</v>
      </c>
      <c r="R129" s="100">
        <v>1.7790611592640474E-18</v>
      </c>
      <c r="S129" s="100">
        <v>1.7790611592640474E-18</v>
      </c>
      <c r="T129" s="100">
        <v>1.7790611592640474E-18</v>
      </c>
      <c r="U129" s="100">
        <v>1.7790611592640474E-18</v>
      </c>
      <c r="V129" s="100">
        <v>1.7790611592640474E-18</v>
      </c>
      <c r="W129" s="100">
        <v>1.7790611592640474E-18</v>
      </c>
      <c r="X129" s="100">
        <v>1.7790611592640474E-18</v>
      </c>
      <c r="Y129" s="100">
        <v>1.7790611592640474E-18</v>
      </c>
      <c r="Z129" s="100">
        <v>1.7790611592640474E-18</v>
      </c>
      <c r="AA129" s="100">
        <v>1.4232489274112374E-18</v>
      </c>
      <c r="AB129" s="100">
        <v>1.4232489274112374E-18</v>
      </c>
      <c r="AC129" s="100">
        <v>1.4232489274112374E-18</v>
      </c>
      <c r="AD129" s="100">
        <v>1.4232489274112374E-18</v>
      </c>
      <c r="AE129" s="100">
        <v>1.4232489274112374E-18</v>
      </c>
      <c r="AF129" s="100">
        <v>1.4232489274112374E-18</v>
      </c>
      <c r="AG129" s="100">
        <v>1.4232489274112374E-18</v>
      </c>
      <c r="AH129" s="100">
        <v>1.4232489274112374E-18</v>
      </c>
      <c r="AI129" s="100">
        <v>1.4232489274112374E-18</v>
      </c>
      <c r="AJ129" s="100">
        <v>1.4232489274112374E-18</v>
      </c>
      <c r="AK129" s="100">
        <v>1.4232489274112374E-18</v>
      </c>
      <c r="AL129" s="100">
        <v>1.4232489274112374E-18</v>
      </c>
      <c r="AM129" s="100">
        <v>1.4232489274112374E-18</v>
      </c>
      <c r="AN129" s="100">
        <v>1.4232489274112374E-18</v>
      </c>
      <c r="AO129" s="100">
        <v>1.4232489274112374E-18</v>
      </c>
      <c r="AP129" s="100">
        <v>1.4232489274112374E-18</v>
      </c>
      <c r="AQ129" s="100">
        <v>1.4232489274112374E-18</v>
      </c>
      <c r="AR129" s="100">
        <v>1.4232489274112374E-18</v>
      </c>
      <c r="AS129" s="100">
        <v>1.4232489274112374E-18</v>
      </c>
      <c r="AT129" s="100">
        <v>1.4232489274112374E-18</v>
      </c>
      <c r="AU129" s="100">
        <v>0</v>
      </c>
      <c r="AV129" s="100">
        <v>0</v>
      </c>
      <c r="AW129" s="100">
        <v>0</v>
      </c>
      <c r="AX129" s="100">
        <v>0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2.9360331943154207E-18</v>
      </c>
      <c r="D131" s="100">
        <v>2.9360331943154207E-18</v>
      </c>
      <c r="E131" s="100">
        <v>2.9360331943154207E-18</v>
      </c>
      <c r="F131" s="100">
        <v>2.9360331943154207E-18</v>
      </c>
      <c r="G131" s="100">
        <v>2.3488265554523367E-18</v>
      </c>
      <c r="H131" s="100">
        <v>2.3488265554523367E-18</v>
      </c>
      <c r="I131" s="100">
        <v>2.3488265554523367E-18</v>
      </c>
      <c r="J131" s="100">
        <v>2.3488265554523367E-18</v>
      </c>
      <c r="K131" s="100">
        <v>2.3488265554523367E-18</v>
      </c>
      <c r="L131" s="100">
        <v>2.3488265554523367E-18</v>
      </c>
      <c r="M131" s="100">
        <v>2.3488265554523367E-18</v>
      </c>
      <c r="N131" s="100">
        <v>2.3488265554523367E-18</v>
      </c>
      <c r="O131" s="100">
        <v>2.9360331943154207E-18</v>
      </c>
      <c r="P131" s="100">
        <v>2.9360331943154207E-18</v>
      </c>
      <c r="Q131" s="100">
        <v>2.9360331943154207E-18</v>
      </c>
      <c r="R131" s="100">
        <v>2.9360331943154207E-18</v>
      </c>
      <c r="S131" s="100">
        <v>2.9360331943154207E-18</v>
      </c>
      <c r="T131" s="100">
        <v>2.9360331943154207E-18</v>
      </c>
      <c r="U131" s="100">
        <v>2.9360331943154207E-18</v>
      </c>
      <c r="V131" s="100">
        <v>2.9360331943154207E-18</v>
      </c>
      <c r="W131" s="100">
        <v>2.9360331943154207E-18</v>
      </c>
      <c r="X131" s="100">
        <v>2.9360331943154207E-18</v>
      </c>
      <c r="Y131" s="100">
        <v>2.9360331943154207E-18</v>
      </c>
      <c r="Z131" s="100">
        <v>2.9360331943154207E-18</v>
      </c>
      <c r="AA131" s="100">
        <v>2.3488265554523367E-18</v>
      </c>
      <c r="AB131" s="100">
        <v>2.3488265554523367E-18</v>
      </c>
      <c r="AC131" s="100">
        <v>2.3488265554523367E-18</v>
      </c>
      <c r="AD131" s="100">
        <v>2.3488265554523367E-18</v>
      </c>
      <c r="AE131" s="100">
        <v>2.3488265554523367E-18</v>
      </c>
      <c r="AF131" s="100">
        <v>2.3488265554523367E-18</v>
      </c>
      <c r="AG131" s="100">
        <v>2.3488265554523367E-18</v>
      </c>
      <c r="AH131" s="100">
        <v>2.3488265554523367E-18</v>
      </c>
      <c r="AI131" s="100">
        <v>2.3488265554523367E-18</v>
      </c>
      <c r="AJ131" s="100">
        <v>2.3488265554523367E-18</v>
      </c>
      <c r="AK131" s="100">
        <v>2.3488265554523367E-18</v>
      </c>
      <c r="AL131" s="100">
        <v>2.3488265554523367E-18</v>
      </c>
      <c r="AM131" s="100">
        <v>2.3488265554523367E-18</v>
      </c>
      <c r="AN131" s="100">
        <v>2.3488265554523367E-18</v>
      </c>
      <c r="AO131" s="100">
        <v>2.3488265554523367E-18</v>
      </c>
      <c r="AP131" s="100">
        <v>2.3488265554523367E-18</v>
      </c>
      <c r="AQ131" s="100">
        <v>2.3488265554523367E-18</v>
      </c>
      <c r="AR131" s="100">
        <v>2.3488265554523367E-18</v>
      </c>
      <c r="AS131" s="100">
        <v>2.3488265554523367E-18</v>
      </c>
      <c r="AT131" s="100">
        <v>2.3488265554523367E-18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1.0543711883400077E-17</v>
      </c>
      <c r="D133" s="105">
        <f t="shared" ref="D133:AX133" si="10">SUM(D$128:D$132)</f>
        <v>1.0543711883400077E-17</v>
      </c>
      <c r="E133" s="105">
        <f t="shared" si="10"/>
        <v>1.0543711883400077E-17</v>
      </c>
      <c r="F133" s="105">
        <f t="shared" si="10"/>
        <v>1.0543711883400077E-17</v>
      </c>
      <c r="G133" s="105">
        <f t="shared" si="10"/>
        <v>8.4349695067200615E-18</v>
      </c>
      <c r="H133" s="105">
        <f t="shared" si="10"/>
        <v>8.4349695067200615E-18</v>
      </c>
      <c r="I133" s="105">
        <f t="shared" si="10"/>
        <v>8.4349695067200615E-18</v>
      </c>
      <c r="J133" s="105">
        <f t="shared" si="10"/>
        <v>8.4349695067200615E-18</v>
      </c>
      <c r="K133" s="105">
        <f t="shared" si="10"/>
        <v>8.4349695067200615E-18</v>
      </c>
      <c r="L133" s="105">
        <f t="shared" si="10"/>
        <v>8.4349695067200615E-18</v>
      </c>
      <c r="M133" s="105">
        <f t="shared" si="10"/>
        <v>8.4349695067200615E-18</v>
      </c>
      <c r="N133" s="105">
        <f t="shared" si="10"/>
        <v>8.4349695067200615E-18</v>
      </c>
      <c r="O133" s="105">
        <f t="shared" si="10"/>
        <v>1.0543711883400077E-17</v>
      </c>
      <c r="P133" s="105">
        <f t="shared" si="10"/>
        <v>1.0543711883400077E-17</v>
      </c>
      <c r="Q133" s="105">
        <f t="shared" si="10"/>
        <v>1.0543711883400077E-17</v>
      </c>
      <c r="R133" s="105">
        <f t="shared" si="10"/>
        <v>1.0543711883400077E-17</v>
      </c>
      <c r="S133" s="105">
        <f t="shared" si="10"/>
        <v>1.0543711883400077E-17</v>
      </c>
      <c r="T133" s="105">
        <f t="shared" si="10"/>
        <v>1.0543711883400077E-17</v>
      </c>
      <c r="U133" s="105">
        <f t="shared" si="10"/>
        <v>1.0543711883400077E-17</v>
      </c>
      <c r="V133" s="105">
        <f t="shared" si="10"/>
        <v>1.0543711883400077E-17</v>
      </c>
      <c r="W133" s="105">
        <f t="shared" si="10"/>
        <v>1.0543711883400077E-17</v>
      </c>
      <c r="X133" s="105">
        <f t="shared" si="10"/>
        <v>1.0543711883400077E-17</v>
      </c>
      <c r="Y133" s="105">
        <f t="shared" si="10"/>
        <v>1.0543711883400077E-17</v>
      </c>
      <c r="Z133" s="105">
        <f t="shared" si="10"/>
        <v>1.0543711883400077E-17</v>
      </c>
      <c r="AA133" s="105">
        <f t="shared" si="10"/>
        <v>8.4349695067200615E-18</v>
      </c>
      <c r="AB133" s="105">
        <f t="shared" si="10"/>
        <v>8.4349695067200615E-18</v>
      </c>
      <c r="AC133" s="105">
        <f t="shared" si="10"/>
        <v>8.4349695067200615E-18</v>
      </c>
      <c r="AD133" s="105">
        <f t="shared" si="10"/>
        <v>8.4349695067200615E-18</v>
      </c>
      <c r="AE133" s="105">
        <f t="shared" si="10"/>
        <v>8.4349695067200615E-18</v>
      </c>
      <c r="AF133" s="105">
        <f t="shared" si="10"/>
        <v>8.4349695067200615E-18</v>
      </c>
      <c r="AG133" s="105">
        <f t="shared" si="10"/>
        <v>8.4349695067200615E-18</v>
      </c>
      <c r="AH133" s="105">
        <f t="shared" si="10"/>
        <v>8.4349695067200615E-18</v>
      </c>
      <c r="AI133" s="105">
        <f t="shared" si="10"/>
        <v>8.4349695067200615E-18</v>
      </c>
      <c r="AJ133" s="105">
        <f t="shared" si="10"/>
        <v>8.4349695067200615E-18</v>
      </c>
      <c r="AK133" s="105">
        <f t="shared" si="10"/>
        <v>8.4349695067200615E-18</v>
      </c>
      <c r="AL133" s="105">
        <f t="shared" si="10"/>
        <v>8.4349695067200615E-18</v>
      </c>
      <c r="AM133" s="105">
        <f t="shared" si="10"/>
        <v>8.4349695067200615E-18</v>
      </c>
      <c r="AN133" s="105">
        <f t="shared" si="10"/>
        <v>8.4349695067200615E-18</v>
      </c>
      <c r="AO133" s="105">
        <f t="shared" si="10"/>
        <v>8.4349695067200615E-18</v>
      </c>
      <c r="AP133" s="105">
        <f t="shared" si="10"/>
        <v>8.4349695067200615E-18</v>
      </c>
      <c r="AQ133" s="105">
        <f t="shared" si="10"/>
        <v>8.4349695067200615E-18</v>
      </c>
      <c r="AR133" s="105">
        <f t="shared" si="10"/>
        <v>8.4349695067200615E-18</v>
      </c>
      <c r="AS133" s="105">
        <f t="shared" si="10"/>
        <v>8.4349695067200615E-18</v>
      </c>
      <c r="AT133" s="105">
        <f t="shared" si="10"/>
        <v>8.4349695067200615E-18</v>
      </c>
      <c r="AU133" s="105">
        <f t="shared" si="10"/>
        <v>0</v>
      </c>
      <c r="AV133" s="105">
        <f t="shared" si="10"/>
        <v>0</v>
      </c>
      <c r="AW133" s="105">
        <f t="shared" si="10"/>
        <v>0</v>
      </c>
      <c r="AX133" s="105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599.99999999999591</v>
      </c>
      <c r="E7" s="144">
        <v>599.99999999999591</v>
      </c>
      <c r="F7" s="144">
        <v>599.99999999999591</v>
      </c>
      <c r="G7" s="144">
        <v>599.99999999999591</v>
      </c>
      <c r="H7" s="144">
        <v>479.99999999999676</v>
      </c>
      <c r="I7" s="144">
        <v>479.99999999999676</v>
      </c>
      <c r="J7" s="144">
        <v>479.99999999999676</v>
      </c>
      <c r="K7" s="144">
        <v>479.99999999999676</v>
      </c>
      <c r="L7" s="144">
        <v>599.99999999999591</v>
      </c>
      <c r="M7" s="144">
        <v>599.99999999999591</v>
      </c>
      <c r="N7" s="144">
        <v>599.99999999999591</v>
      </c>
      <c r="O7" s="144">
        <v>599.99999999999591</v>
      </c>
      <c r="P7" s="144">
        <v>599.99999999999591</v>
      </c>
      <c r="Q7" s="144">
        <v>599.99999999999591</v>
      </c>
      <c r="R7" s="144">
        <v>599.99999999999591</v>
      </c>
      <c r="S7" s="144">
        <v>599.99999999999591</v>
      </c>
      <c r="T7" s="144">
        <v>599.99999999999591</v>
      </c>
      <c r="U7" s="144">
        <v>599.99999999999591</v>
      </c>
      <c r="V7" s="144">
        <v>599.99999999999591</v>
      </c>
      <c r="W7" s="144">
        <v>599.99999999999591</v>
      </c>
      <c r="X7" s="144">
        <v>4.8513293267832706E-20</v>
      </c>
      <c r="Y7" s="144">
        <v>4.8513293267832706E-20</v>
      </c>
      <c r="Z7" s="144">
        <v>4.8513293267832706E-20</v>
      </c>
      <c r="AA7" s="144">
        <v>4.8513293267832706E-20</v>
      </c>
      <c r="AB7" s="144">
        <v>237.20272710854798</v>
      </c>
      <c r="AC7" s="144">
        <v>599.99999999999591</v>
      </c>
      <c r="AD7" s="144">
        <v>599.99999999999591</v>
      </c>
      <c r="AE7" s="144">
        <v>599.99999999999591</v>
      </c>
      <c r="AF7" s="144">
        <v>599.99999999999591</v>
      </c>
      <c r="AG7" s="144">
        <v>599.99999999999591</v>
      </c>
      <c r="AH7" s="144">
        <v>599.99999999999591</v>
      </c>
      <c r="AI7" s="144">
        <v>599.99999999999591</v>
      </c>
      <c r="AJ7" s="144">
        <v>599.99999999999591</v>
      </c>
      <c r="AK7" s="144">
        <v>599.99999999999591</v>
      </c>
      <c r="AL7" s="144">
        <v>599.99999999999591</v>
      </c>
      <c r="AM7" s="144">
        <v>599.99999999999591</v>
      </c>
      <c r="AN7" s="144">
        <v>599.99999999999591</v>
      </c>
      <c r="AO7" s="144">
        <v>599.99999999999591</v>
      </c>
      <c r="AP7" s="144">
        <v>599.99999999999591</v>
      </c>
      <c r="AQ7" s="144">
        <v>599.99999999999591</v>
      </c>
      <c r="AR7" s="144">
        <v>599.99999999999591</v>
      </c>
      <c r="AS7" s="144">
        <v>599.99999999999591</v>
      </c>
      <c r="AT7" s="144">
        <v>599.99999999999591</v>
      </c>
      <c r="AU7" s="144">
        <v>599.99999999999591</v>
      </c>
      <c r="AV7" s="144">
        <v>599.99999999999591</v>
      </c>
      <c r="AW7" s="144">
        <v>599.99999999999591</v>
      </c>
      <c r="AX7" s="144">
        <v>599.99999999999591</v>
      </c>
      <c r="AY7" s="144">
        <v>599.99999999999591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599.99999999999181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599.99999999999181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599.99999999999602</v>
      </c>
      <c r="D13" s="138">
        <f t="shared" ref="D13:AY13" si="1">D$7-D$10</f>
        <v>599.99999999999591</v>
      </c>
      <c r="E13" s="138">
        <f t="shared" si="1"/>
        <v>599.99999999999591</v>
      </c>
      <c r="F13" s="138">
        <f t="shared" si="1"/>
        <v>599.99999999999591</v>
      </c>
      <c r="G13" s="138">
        <f t="shared" si="1"/>
        <v>599.99999999999591</v>
      </c>
      <c r="H13" s="138">
        <f t="shared" si="1"/>
        <v>479.99999999999676</v>
      </c>
      <c r="I13" s="138">
        <f t="shared" si="1"/>
        <v>479.99999999999676</v>
      </c>
      <c r="J13" s="138">
        <f t="shared" si="1"/>
        <v>479.99999999999676</v>
      </c>
      <c r="K13" s="138">
        <f t="shared" si="1"/>
        <v>479.99999999999676</v>
      </c>
      <c r="L13" s="138">
        <f t="shared" si="1"/>
        <v>599.99999999999591</v>
      </c>
      <c r="M13" s="138">
        <f t="shared" si="1"/>
        <v>599.99999999999591</v>
      </c>
      <c r="N13" s="138">
        <f t="shared" si="1"/>
        <v>4.0927261579781771E-12</v>
      </c>
      <c r="O13" s="138">
        <f t="shared" si="1"/>
        <v>599.99999999999591</v>
      </c>
      <c r="P13" s="138">
        <f t="shared" si="1"/>
        <v>599.99999999999591</v>
      </c>
      <c r="Q13" s="138">
        <f t="shared" si="1"/>
        <v>599.99999999999591</v>
      </c>
      <c r="R13" s="138">
        <f t="shared" si="1"/>
        <v>599.99999999999591</v>
      </c>
      <c r="S13" s="138">
        <f t="shared" si="1"/>
        <v>599.99999999999591</v>
      </c>
      <c r="T13" s="138">
        <f t="shared" si="1"/>
        <v>599.99999999999591</v>
      </c>
      <c r="U13" s="138">
        <f t="shared" si="1"/>
        <v>599.99999999999591</v>
      </c>
      <c r="V13" s="138">
        <f t="shared" si="1"/>
        <v>599.99999999999591</v>
      </c>
      <c r="W13" s="138">
        <f t="shared" si="1"/>
        <v>599.99999999999591</v>
      </c>
      <c r="X13" s="138">
        <f t="shared" si="1"/>
        <v>4.8513293267832706E-20</v>
      </c>
      <c r="Y13" s="138">
        <f t="shared" si="1"/>
        <v>4.8513293267832706E-20</v>
      </c>
      <c r="Z13" s="138">
        <f t="shared" si="1"/>
        <v>4.8513293267832706E-20</v>
      </c>
      <c r="AA13" s="138">
        <f t="shared" si="1"/>
        <v>4.8513293267832706E-20</v>
      </c>
      <c r="AB13" s="138">
        <f t="shared" si="1"/>
        <v>237.20272710854798</v>
      </c>
      <c r="AC13" s="138">
        <f t="shared" si="1"/>
        <v>599.99999999999591</v>
      </c>
      <c r="AD13" s="138">
        <f t="shared" si="1"/>
        <v>599.99999999999591</v>
      </c>
      <c r="AE13" s="138">
        <f t="shared" si="1"/>
        <v>599.99999999999591</v>
      </c>
      <c r="AF13" s="138">
        <f t="shared" si="1"/>
        <v>599.99999999999591</v>
      </c>
      <c r="AG13" s="138">
        <f t="shared" si="1"/>
        <v>599.99999999999591</v>
      </c>
      <c r="AH13" s="138">
        <f t="shared" si="1"/>
        <v>599.99999999999591</v>
      </c>
      <c r="AI13" s="138">
        <f t="shared" si="1"/>
        <v>599.99999999999591</v>
      </c>
      <c r="AJ13" s="138">
        <f t="shared" si="1"/>
        <v>599.99999999999591</v>
      </c>
      <c r="AK13" s="138">
        <f t="shared" si="1"/>
        <v>599.99999999999591</v>
      </c>
      <c r="AL13" s="138">
        <f t="shared" si="1"/>
        <v>599.99999999999591</v>
      </c>
      <c r="AM13" s="138">
        <f t="shared" si="1"/>
        <v>599.99999999999591</v>
      </c>
      <c r="AN13" s="138">
        <f t="shared" si="1"/>
        <v>599.99999999999591</v>
      </c>
      <c r="AO13" s="138">
        <f t="shared" si="1"/>
        <v>599.99999999999591</v>
      </c>
      <c r="AP13" s="138">
        <f t="shared" si="1"/>
        <v>599.99999999999591</v>
      </c>
      <c r="AQ13" s="138">
        <f t="shared" si="1"/>
        <v>599.99999999999591</v>
      </c>
      <c r="AR13" s="138">
        <f t="shared" si="1"/>
        <v>599.99999999999591</v>
      </c>
      <c r="AS13" s="138">
        <f t="shared" si="1"/>
        <v>599.99999999999591</v>
      </c>
      <c r="AT13" s="138">
        <f t="shared" si="1"/>
        <v>599.99999999999591</v>
      </c>
      <c r="AU13" s="138">
        <f t="shared" si="1"/>
        <v>599.99999999999591</v>
      </c>
      <c r="AV13" s="138">
        <f t="shared" si="1"/>
        <v>599.99999999999591</v>
      </c>
      <c r="AW13" s="138">
        <f t="shared" si="1"/>
        <v>599.99999999999591</v>
      </c>
      <c r="AX13" s="138">
        <f t="shared" si="1"/>
        <v>599.99999999999591</v>
      </c>
      <c r="AY13" s="138">
        <f t="shared" si="1"/>
        <v>599.99999999999591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599.99999999999591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 t="s">
        <v>339</v>
      </c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0.37401597416735322</v>
      </c>
      <c r="C21" s="156" t="s">
        <v>293</v>
      </c>
      <c r="D21" s="106">
        <f>IF(C$20="Yes",0,SUM(C$13:C$16)*$B$21)</f>
        <v>224.40958450041043</v>
      </c>
      <c r="E21" s="106">
        <f t="shared" ref="E21:AY21" si="3">IF(D$20="Yes",0,SUM(D$13:D$16)*$B$21)</f>
        <v>224.4095845004104</v>
      </c>
      <c r="F21" s="106">
        <f t="shared" si="3"/>
        <v>224.4095845004104</v>
      </c>
      <c r="G21" s="106">
        <f t="shared" si="3"/>
        <v>224.4095845004104</v>
      </c>
      <c r="H21" s="106">
        <f t="shared" si="3"/>
        <v>224.4095845004104</v>
      </c>
      <c r="I21" s="106">
        <f t="shared" si="3"/>
        <v>179.52766760032833</v>
      </c>
      <c r="J21" s="106">
        <f t="shared" si="3"/>
        <v>179.52766760032833</v>
      </c>
      <c r="K21" s="106">
        <f t="shared" si="3"/>
        <v>179.52766760032833</v>
      </c>
      <c r="L21" s="106">
        <f t="shared" si="3"/>
        <v>179.52766760032833</v>
      </c>
      <c r="M21" s="106">
        <f t="shared" si="3"/>
        <v>224.4095845004104</v>
      </c>
      <c r="N21" s="106">
        <f t="shared" si="3"/>
        <v>0</v>
      </c>
      <c r="O21" s="106">
        <f t="shared" si="3"/>
        <v>224.40958450041194</v>
      </c>
      <c r="P21" s="106">
        <f t="shared" si="3"/>
        <v>224.4095845004104</v>
      </c>
      <c r="Q21" s="106">
        <f t="shared" si="3"/>
        <v>224.4095845004104</v>
      </c>
      <c r="R21" s="106">
        <f t="shared" si="3"/>
        <v>224.4095845004104</v>
      </c>
      <c r="S21" s="106">
        <f t="shared" si="3"/>
        <v>224.4095845004104</v>
      </c>
      <c r="T21" s="106">
        <f t="shared" si="3"/>
        <v>224.4095845004104</v>
      </c>
      <c r="U21" s="106">
        <f t="shared" si="3"/>
        <v>224.4095845004104</v>
      </c>
      <c r="V21" s="106">
        <f t="shared" si="3"/>
        <v>224.4095845004104</v>
      </c>
      <c r="W21" s="106">
        <f t="shared" si="3"/>
        <v>224.4095845004104</v>
      </c>
      <c r="X21" s="106">
        <f t="shared" si="3"/>
        <v>224.4095845004104</v>
      </c>
      <c r="Y21" s="106">
        <f t="shared" si="3"/>
        <v>1.8144746641634947E-20</v>
      </c>
      <c r="Z21" s="106">
        <f t="shared" si="3"/>
        <v>1.8144746641634947E-20</v>
      </c>
      <c r="AA21" s="106">
        <f t="shared" si="3"/>
        <v>1.8144746641634947E-20</v>
      </c>
      <c r="AB21" s="106">
        <f t="shared" si="3"/>
        <v>1.8144746641634947E-20</v>
      </c>
      <c r="AC21" s="106">
        <f t="shared" si="3"/>
        <v>88.717609054656407</v>
      </c>
      <c r="AD21" s="106">
        <f t="shared" si="3"/>
        <v>224.4095845004104</v>
      </c>
      <c r="AE21" s="106">
        <f t="shared" si="3"/>
        <v>224.4095845004104</v>
      </c>
      <c r="AF21" s="106">
        <f t="shared" si="3"/>
        <v>224.4095845004104</v>
      </c>
      <c r="AG21" s="106">
        <f t="shared" si="3"/>
        <v>224.4095845004104</v>
      </c>
      <c r="AH21" s="106">
        <f t="shared" si="3"/>
        <v>224.4095845004104</v>
      </c>
      <c r="AI21" s="106">
        <f t="shared" si="3"/>
        <v>224.4095845004104</v>
      </c>
      <c r="AJ21" s="106">
        <f t="shared" si="3"/>
        <v>224.4095845004104</v>
      </c>
      <c r="AK21" s="106">
        <f t="shared" si="3"/>
        <v>224.4095845004104</v>
      </c>
      <c r="AL21" s="106">
        <f t="shared" si="3"/>
        <v>224.4095845004104</v>
      </c>
      <c r="AM21" s="106">
        <f t="shared" si="3"/>
        <v>224.4095845004104</v>
      </c>
      <c r="AN21" s="106">
        <f t="shared" si="3"/>
        <v>224.4095845004104</v>
      </c>
      <c r="AO21" s="106">
        <f t="shared" si="3"/>
        <v>224.4095845004104</v>
      </c>
      <c r="AP21" s="106">
        <f t="shared" si="3"/>
        <v>224.4095845004104</v>
      </c>
      <c r="AQ21" s="106">
        <f t="shared" si="3"/>
        <v>224.4095845004104</v>
      </c>
      <c r="AR21" s="106">
        <f t="shared" si="3"/>
        <v>224.4095845004104</v>
      </c>
      <c r="AS21" s="106">
        <f t="shared" si="3"/>
        <v>224.4095845004104</v>
      </c>
      <c r="AT21" s="106">
        <f t="shared" si="3"/>
        <v>224.4095845004104</v>
      </c>
      <c r="AU21" s="106">
        <f t="shared" si="3"/>
        <v>224.4095845004104</v>
      </c>
      <c r="AV21" s="106">
        <f t="shared" si="3"/>
        <v>224.4095845004104</v>
      </c>
      <c r="AW21" s="106">
        <f t="shared" si="3"/>
        <v>224.4095845004104</v>
      </c>
      <c r="AX21" s="106">
        <f t="shared" si="3"/>
        <v>224.4095845004104</v>
      </c>
      <c r="AY21" s="106">
        <f t="shared" si="3"/>
        <v>224.4095845004104</v>
      </c>
      <c r="AZ21" s="157">
        <f>SUM($D21:$AY21)</f>
        <v>9334.3924904715659</v>
      </c>
    </row>
    <row r="22" spans="1:52" s="110" customFormat="1">
      <c r="A22" s="158" t="s">
        <v>123</v>
      </c>
      <c r="B22" s="159">
        <f>1-$B$21</f>
        <v>0.62598402583264678</v>
      </c>
      <c r="C22" s="159" t="s">
        <v>293</v>
      </c>
      <c r="D22" s="114">
        <f>IF(C$20="Yes",0,SUM(C$13:C$16)*$B$22)</f>
        <v>375.59041549958556</v>
      </c>
      <c r="E22" s="114">
        <f t="shared" ref="E22:AY22" si="4">IF(D$20="Yes",0,SUM(D$13:D$16)*$B$22)</f>
        <v>375.5904154995855</v>
      </c>
      <c r="F22" s="114">
        <f t="shared" si="4"/>
        <v>375.5904154995855</v>
      </c>
      <c r="G22" s="114">
        <f t="shared" si="4"/>
        <v>375.5904154995855</v>
      </c>
      <c r="H22" s="114">
        <f t="shared" si="4"/>
        <v>375.5904154995855</v>
      </c>
      <c r="I22" s="114">
        <f t="shared" si="4"/>
        <v>300.4723323996684</v>
      </c>
      <c r="J22" s="114">
        <f t="shared" si="4"/>
        <v>300.4723323996684</v>
      </c>
      <c r="K22" s="114">
        <f t="shared" si="4"/>
        <v>300.4723323996684</v>
      </c>
      <c r="L22" s="114">
        <f t="shared" si="4"/>
        <v>300.4723323996684</v>
      </c>
      <c r="M22" s="114">
        <f t="shared" si="4"/>
        <v>375.5904154995855</v>
      </c>
      <c r="N22" s="114">
        <f t="shared" si="4"/>
        <v>0</v>
      </c>
      <c r="O22" s="114">
        <f t="shared" si="4"/>
        <v>375.59041549958806</v>
      </c>
      <c r="P22" s="114">
        <f t="shared" si="4"/>
        <v>375.5904154995855</v>
      </c>
      <c r="Q22" s="114">
        <f t="shared" si="4"/>
        <v>375.5904154995855</v>
      </c>
      <c r="R22" s="114">
        <f t="shared" si="4"/>
        <v>375.5904154995855</v>
      </c>
      <c r="S22" s="114">
        <f t="shared" si="4"/>
        <v>375.5904154995855</v>
      </c>
      <c r="T22" s="114">
        <f t="shared" si="4"/>
        <v>375.5904154995855</v>
      </c>
      <c r="U22" s="114">
        <f t="shared" si="4"/>
        <v>375.5904154995855</v>
      </c>
      <c r="V22" s="114">
        <f t="shared" si="4"/>
        <v>375.5904154995855</v>
      </c>
      <c r="W22" s="114">
        <f t="shared" si="4"/>
        <v>375.5904154995855</v>
      </c>
      <c r="X22" s="114">
        <f t="shared" si="4"/>
        <v>375.5904154995855</v>
      </c>
      <c r="Y22" s="114">
        <f t="shared" si="4"/>
        <v>3.0368546626197759E-20</v>
      </c>
      <c r="Z22" s="114">
        <f t="shared" si="4"/>
        <v>3.0368546626197759E-20</v>
      </c>
      <c r="AA22" s="114">
        <f t="shared" si="4"/>
        <v>3.0368546626197759E-20</v>
      </c>
      <c r="AB22" s="114">
        <f t="shared" si="4"/>
        <v>3.0368546626197759E-20</v>
      </c>
      <c r="AC22" s="114">
        <f t="shared" si="4"/>
        <v>148.48511805389157</v>
      </c>
      <c r="AD22" s="114">
        <f t="shared" si="4"/>
        <v>375.5904154995855</v>
      </c>
      <c r="AE22" s="114">
        <f t="shared" si="4"/>
        <v>375.5904154995855</v>
      </c>
      <c r="AF22" s="114">
        <f t="shared" si="4"/>
        <v>375.5904154995855</v>
      </c>
      <c r="AG22" s="114">
        <f t="shared" si="4"/>
        <v>375.5904154995855</v>
      </c>
      <c r="AH22" s="114">
        <f t="shared" si="4"/>
        <v>375.5904154995855</v>
      </c>
      <c r="AI22" s="114">
        <f t="shared" si="4"/>
        <v>375.5904154995855</v>
      </c>
      <c r="AJ22" s="114">
        <f t="shared" si="4"/>
        <v>375.5904154995855</v>
      </c>
      <c r="AK22" s="114">
        <f t="shared" si="4"/>
        <v>375.5904154995855</v>
      </c>
      <c r="AL22" s="114">
        <f t="shared" si="4"/>
        <v>375.5904154995855</v>
      </c>
      <c r="AM22" s="114">
        <f t="shared" si="4"/>
        <v>375.5904154995855</v>
      </c>
      <c r="AN22" s="114">
        <f t="shared" si="4"/>
        <v>375.5904154995855</v>
      </c>
      <c r="AO22" s="114">
        <f t="shared" si="4"/>
        <v>375.5904154995855</v>
      </c>
      <c r="AP22" s="114">
        <f t="shared" si="4"/>
        <v>375.5904154995855</v>
      </c>
      <c r="AQ22" s="114">
        <f t="shared" si="4"/>
        <v>375.5904154995855</v>
      </c>
      <c r="AR22" s="114">
        <f t="shared" si="4"/>
        <v>375.5904154995855</v>
      </c>
      <c r="AS22" s="114">
        <f t="shared" si="4"/>
        <v>375.5904154995855</v>
      </c>
      <c r="AT22" s="114">
        <f t="shared" si="4"/>
        <v>375.5904154995855</v>
      </c>
      <c r="AU22" s="114">
        <f t="shared" si="4"/>
        <v>375.5904154995855</v>
      </c>
      <c r="AV22" s="114">
        <f t="shared" si="4"/>
        <v>375.5904154995855</v>
      </c>
      <c r="AW22" s="114">
        <f t="shared" si="4"/>
        <v>375.5904154995855</v>
      </c>
      <c r="AX22" s="114">
        <f t="shared" si="4"/>
        <v>375.5904154995855</v>
      </c>
      <c r="AY22" s="114">
        <f t="shared" si="4"/>
        <v>375.5904154995855</v>
      </c>
      <c r="AZ22" s="141">
        <f t="shared" ref="AZ22:AZ30" si="5">SUM($D22:$AY22)</f>
        <v>15622.810236636824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448819.16900082084</v>
      </c>
      <c r="E23" s="100">
        <f t="shared" ref="E23:AY23" si="6">E$21*$B$23</f>
        <v>448819.16900082078</v>
      </c>
      <c r="F23" s="100">
        <f t="shared" si="6"/>
        <v>448819.16900082078</v>
      </c>
      <c r="G23" s="100">
        <f t="shared" si="6"/>
        <v>448819.16900082078</v>
      </c>
      <c r="H23" s="100">
        <f t="shared" si="6"/>
        <v>448819.16900082078</v>
      </c>
      <c r="I23" s="100">
        <f t="shared" si="6"/>
        <v>359055.33520065667</v>
      </c>
      <c r="J23" s="100">
        <f t="shared" si="6"/>
        <v>359055.33520065667</v>
      </c>
      <c r="K23" s="100">
        <f t="shared" si="6"/>
        <v>359055.33520065667</v>
      </c>
      <c r="L23" s="100">
        <f t="shared" si="6"/>
        <v>359055.33520065667</v>
      </c>
      <c r="M23" s="100">
        <f t="shared" si="6"/>
        <v>448819.16900082078</v>
      </c>
      <c r="N23" s="100">
        <f t="shared" si="6"/>
        <v>0</v>
      </c>
      <c r="O23" s="100">
        <f t="shared" si="6"/>
        <v>448819.16900082387</v>
      </c>
      <c r="P23" s="100">
        <f t="shared" si="6"/>
        <v>448819.16900082078</v>
      </c>
      <c r="Q23" s="100">
        <f t="shared" si="6"/>
        <v>448819.16900082078</v>
      </c>
      <c r="R23" s="100">
        <f t="shared" si="6"/>
        <v>448819.16900082078</v>
      </c>
      <c r="S23" s="100">
        <f t="shared" si="6"/>
        <v>448819.16900082078</v>
      </c>
      <c r="T23" s="100">
        <f t="shared" si="6"/>
        <v>448819.16900082078</v>
      </c>
      <c r="U23" s="100">
        <f t="shared" si="6"/>
        <v>448819.16900082078</v>
      </c>
      <c r="V23" s="100">
        <f t="shared" si="6"/>
        <v>448819.16900082078</v>
      </c>
      <c r="W23" s="100">
        <f t="shared" si="6"/>
        <v>448819.16900082078</v>
      </c>
      <c r="X23" s="100">
        <f t="shared" si="6"/>
        <v>448819.16900082078</v>
      </c>
      <c r="Y23" s="100">
        <f t="shared" si="6"/>
        <v>3.6289493283269896E-17</v>
      </c>
      <c r="Z23" s="100">
        <f t="shared" si="6"/>
        <v>3.6289493283269896E-17</v>
      </c>
      <c r="AA23" s="100">
        <f t="shared" si="6"/>
        <v>3.6289493283269896E-17</v>
      </c>
      <c r="AB23" s="100">
        <f t="shared" si="6"/>
        <v>3.6289493283269896E-17</v>
      </c>
      <c r="AC23" s="100">
        <f t="shared" si="6"/>
        <v>177435.21810931282</v>
      </c>
      <c r="AD23" s="100">
        <f t="shared" si="6"/>
        <v>448819.16900082078</v>
      </c>
      <c r="AE23" s="100">
        <f t="shared" si="6"/>
        <v>448819.16900082078</v>
      </c>
      <c r="AF23" s="100">
        <f t="shared" si="6"/>
        <v>448819.16900082078</v>
      </c>
      <c r="AG23" s="100">
        <f t="shared" si="6"/>
        <v>448819.16900082078</v>
      </c>
      <c r="AH23" s="100">
        <f t="shared" si="6"/>
        <v>448819.16900082078</v>
      </c>
      <c r="AI23" s="100">
        <f t="shared" si="6"/>
        <v>448819.16900082078</v>
      </c>
      <c r="AJ23" s="100">
        <f t="shared" si="6"/>
        <v>448819.16900082078</v>
      </c>
      <c r="AK23" s="100">
        <f t="shared" si="6"/>
        <v>448819.16900082078</v>
      </c>
      <c r="AL23" s="100">
        <f t="shared" si="6"/>
        <v>448819.16900082078</v>
      </c>
      <c r="AM23" s="100">
        <f t="shared" si="6"/>
        <v>448819.16900082078</v>
      </c>
      <c r="AN23" s="100">
        <f t="shared" si="6"/>
        <v>448819.16900082078</v>
      </c>
      <c r="AO23" s="100">
        <f t="shared" si="6"/>
        <v>448819.16900082078</v>
      </c>
      <c r="AP23" s="100">
        <f t="shared" si="6"/>
        <v>448819.16900082078</v>
      </c>
      <c r="AQ23" s="100">
        <f t="shared" si="6"/>
        <v>448819.16900082078</v>
      </c>
      <c r="AR23" s="100">
        <f t="shared" si="6"/>
        <v>448819.16900082078</v>
      </c>
      <c r="AS23" s="100">
        <f t="shared" si="6"/>
        <v>448819.16900082078</v>
      </c>
      <c r="AT23" s="100">
        <f t="shared" si="6"/>
        <v>448819.16900082078</v>
      </c>
      <c r="AU23" s="100">
        <f t="shared" si="6"/>
        <v>448819.16900082078</v>
      </c>
      <c r="AV23" s="100">
        <f t="shared" si="6"/>
        <v>448819.16900082078</v>
      </c>
      <c r="AW23" s="100">
        <f t="shared" si="6"/>
        <v>448819.16900082078</v>
      </c>
      <c r="AX23" s="100">
        <f t="shared" si="6"/>
        <v>448819.16900082078</v>
      </c>
      <c r="AY23" s="100">
        <f t="shared" si="6"/>
        <v>448819.16900082078</v>
      </c>
      <c r="AZ23" s="139">
        <f t="shared" si="5"/>
        <v>18668784.980943136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375590.41549958556</v>
      </c>
      <c r="E24" s="106">
        <f t="shared" ref="E24:AY24" si="7">E$22*$B$24</f>
        <v>375590.41549958551</v>
      </c>
      <c r="F24" s="106">
        <f t="shared" si="7"/>
        <v>375590.41549958551</v>
      </c>
      <c r="G24" s="106">
        <f t="shared" si="7"/>
        <v>375590.41549958551</v>
      </c>
      <c r="H24" s="106">
        <f t="shared" si="7"/>
        <v>375590.41549958551</v>
      </c>
      <c r="I24" s="106">
        <f t="shared" si="7"/>
        <v>300472.3323996684</v>
      </c>
      <c r="J24" s="106">
        <f t="shared" si="7"/>
        <v>300472.3323996684</v>
      </c>
      <c r="K24" s="106">
        <f t="shared" si="7"/>
        <v>300472.3323996684</v>
      </c>
      <c r="L24" s="106">
        <f t="shared" si="7"/>
        <v>300472.3323996684</v>
      </c>
      <c r="M24" s="106">
        <f t="shared" si="7"/>
        <v>375590.41549958551</v>
      </c>
      <c r="N24" s="106">
        <f t="shared" si="7"/>
        <v>0</v>
      </c>
      <c r="O24" s="106">
        <f t="shared" si="7"/>
        <v>375590.41549958807</v>
      </c>
      <c r="P24" s="106">
        <f t="shared" si="7"/>
        <v>375590.41549958551</v>
      </c>
      <c r="Q24" s="106">
        <f t="shared" si="7"/>
        <v>375590.41549958551</v>
      </c>
      <c r="R24" s="106">
        <f t="shared" si="7"/>
        <v>375590.41549958551</v>
      </c>
      <c r="S24" s="106">
        <f t="shared" si="7"/>
        <v>375590.41549958551</v>
      </c>
      <c r="T24" s="106">
        <f t="shared" si="7"/>
        <v>375590.41549958551</v>
      </c>
      <c r="U24" s="106">
        <f t="shared" si="7"/>
        <v>375590.41549958551</v>
      </c>
      <c r="V24" s="106">
        <f t="shared" si="7"/>
        <v>375590.41549958551</v>
      </c>
      <c r="W24" s="106">
        <f t="shared" si="7"/>
        <v>375590.41549958551</v>
      </c>
      <c r="X24" s="106">
        <f t="shared" si="7"/>
        <v>375590.41549958551</v>
      </c>
      <c r="Y24" s="106">
        <f t="shared" si="7"/>
        <v>3.0368546626197761E-17</v>
      </c>
      <c r="Z24" s="106">
        <f t="shared" si="7"/>
        <v>3.0368546626197761E-17</v>
      </c>
      <c r="AA24" s="106">
        <f t="shared" si="7"/>
        <v>3.0368546626197761E-17</v>
      </c>
      <c r="AB24" s="106">
        <f t="shared" si="7"/>
        <v>3.0368546626197761E-17</v>
      </c>
      <c r="AC24" s="106">
        <f t="shared" si="7"/>
        <v>148485.11805389158</v>
      </c>
      <c r="AD24" s="106">
        <f t="shared" si="7"/>
        <v>375590.41549958551</v>
      </c>
      <c r="AE24" s="106">
        <f t="shared" si="7"/>
        <v>375590.41549958551</v>
      </c>
      <c r="AF24" s="106">
        <f t="shared" si="7"/>
        <v>375590.41549958551</v>
      </c>
      <c r="AG24" s="106">
        <f t="shared" si="7"/>
        <v>375590.41549958551</v>
      </c>
      <c r="AH24" s="106">
        <f t="shared" si="7"/>
        <v>375590.41549958551</v>
      </c>
      <c r="AI24" s="106">
        <f t="shared" si="7"/>
        <v>375590.41549958551</v>
      </c>
      <c r="AJ24" s="106">
        <f t="shared" si="7"/>
        <v>375590.41549958551</v>
      </c>
      <c r="AK24" s="106">
        <f t="shared" si="7"/>
        <v>375590.41549958551</v>
      </c>
      <c r="AL24" s="106">
        <f t="shared" si="7"/>
        <v>375590.41549958551</v>
      </c>
      <c r="AM24" s="106">
        <f t="shared" si="7"/>
        <v>375590.41549958551</v>
      </c>
      <c r="AN24" s="106">
        <f t="shared" si="7"/>
        <v>375590.41549958551</v>
      </c>
      <c r="AO24" s="106">
        <f t="shared" si="7"/>
        <v>375590.41549958551</v>
      </c>
      <c r="AP24" s="106">
        <f t="shared" si="7"/>
        <v>375590.41549958551</v>
      </c>
      <c r="AQ24" s="106">
        <f t="shared" si="7"/>
        <v>375590.41549958551</v>
      </c>
      <c r="AR24" s="106">
        <f t="shared" si="7"/>
        <v>375590.41549958551</v>
      </c>
      <c r="AS24" s="106">
        <f t="shared" si="7"/>
        <v>375590.41549958551</v>
      </c>
      <c r="AT24" s="106">
        <f t="shared" si="7"/>
        <v>375590.41549958551</v>
      </c>
      <c r="AU24" s="106">
        <f t="shared" si="7"/>
        <v>375590.41549958551</v>
      </c>
      <c r="AV24" s="106">
        <f t="shared" si="7"/>
        <v>375590.41549958551</v>
      </c>
      <c r="AW24" s="106">
        <f t="shared" si="7"/>
        <v>375590.41549958551</v>
      </c>
      <c r="AX24" s="106">
        <f t="shared" si="7"/>
        <v>375590.41549958551</v>
      </c>
      <c r="AY24" s="106">
        <f t="shared" si="7"/>
        <v>375590.41549958551</v>
      </c>
      <c r="AZ24" s="141">
        <f t="shared" si="5"/>
        <v>15622810.236636803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10</v>
      </c>
      <c r="D27" s="124">
        <f>C$27-C$28+C$29</f>
        <v>12</v>
      </c>
      <c r="E27" s="124">
        <f t="shared" ref="E27:AY27" si="8">D27-D28+D29</f>
        <v>10</v>
      </c>
      <c r="F27" s="124">
        <f t="shared" si="8"/>
        <v>12</v>
      </c>
      <c r="G27" s="124">
        <f t="shared" si="8"/>
        <v>10</v>
      </c>
      <c r="H27" s="124">
        <f t="shared" si="8"/>
        <v>12</v>
      </c>
      <c r="I27" s="124">
        <f t="shared" si="8"/>
        <v>10</v>
      </c>
      <c r="J27" s="124">
        <f t="shared" si="8"/>
        <v>12</v>
      </c>
      <c r="K27" s="124">
        <f t="shared" si="8"/>
        <v>10</v>
      </c>
      <c r="L27" s="124">
        <f t="shared" si="8"/>
        <v>12</v>
      </c>
      <c r="M27" s="124">
        <f t="shared" si="8"/>
        <v>10</v>
      </c>
      <c r="N27" s="124">
        <f t="shared" si="8"/>
        <v>12</v>
      </c>
      <c r="O27" s="124">
        <f t="shared" si="8"/>
        <v>22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20</v>
      </c>
      <c r="AA27" s="124">
        <f t="shared" si="8"/>
        <v>20</v>
      </c>
      <c r="AB27" s="124">
        <f t="shared" si="8"/>
        <v>20</v>
      </c>
      <c r="AC27" s="124">
        <f t="shared" si="8"/>
        <v>20</v>
      </c>
      <c r="AD27" s="124">
        <f t="shared" si="8"/>
        <v>13</v>
      </c>
      <c r="AE27" s="124">
        <f t="shared" si="8"/>
        <v>9</v>
      </c>
      <c r="AF27" s="124">
        <f t="shared" si="8"/>
        <v>13</v>
      </c>
      <c r="AG27" s="124">
        <f t="shared" si="8"/>
        <v>9</v>
      </c>
      <c r="AH27" s="124">
        <f t="shared" si="8"/>
        <v>13</v>
      </c>
      <c r="AI27" s="124">
        <f t="shared" si="8"/>
        <v>9</v>
      </c>
      <c r="AJ27" s="124">
        <f t="shared" si="8"/>
        <v>13</v>
      </c>
      <c r="AK27" s="124">
        <f t="shared" si="8"/>
        <v>9</v>
      </c>
      <c r="AL27" s="124">
        <f t="shared" si="8"/>
        <v>13</v>
      </c>
      <c r="AM27" s="124">
        <f t="shared" si="8"/>
        <v>9</v>
      </c>
      <c r="AN27" s="124">
        <f t="shared" si="8"/>
        <v>13</v>
      </c>
      <c r="AO27" s="124">
        <f t="shared" si="8"/>
        <v>9</v>
      </c>
      <c r="AP27" s="124">
        <f t="shared" si="8"/>
        <v>13</v>
      </c>
      <c r="AQ27" s="124">
        <f t="shared" si="8"/>
        <v>9</v>
      </c>
      <c r="AR27" s="124">
        <f t="shared" si="8"/>
        <v>13</v>
      </c>
      <c r="AS27" s="124">
        <f t="shared" si="8"/>
        <v>9</v>
      </c>
      <c r="AT27" s="124">
        <f t="shared" si="8"/>
        <v>13</v>
      </c>
      <c r="AU27" s="124">
        <f t="shared" si="8"/>
        <v>9</v>
      </c>
      <c r="AV27" s="124">
        <f t="shared" si="8"/>
        <v>13</v>
      </c>
      <c r="AW27" s="124">
        <f t="shared" si="8"/>
        <v>9</v>
      </c>
      <c r="AX27" s="124">
        <f t="shared" si="8"/>
        <v>13</v>
      </c>
      <c r="AY27" s="164">
        <f t="shared" si="8"/>
        <v>9</v>
      </c>
      <c r="AZ27" s="106"/>
    </row>
    <row r="28" spans="1:52">
      <c r="B28" s="165" t="s">
        <v>310</v>
      </c>
      <c r="C28" s="110">
        <v>10</v>
      </c>
      <c r="D28" s="110">
        <v>12</v>
      </c>
      <c r="E28" s="110">
        <v>10</v>
      </c>
      <c r="F28" s="110">
        <v>12</v>
      </c>
      <c r="G28" s="110">
        <v>10</v>
      </c>
      <c r="H28" s="110">
        <v>12</v>
      </c>
      <c r="I28" s="110">
        <v>10</v>
      </c>
      <c r="J28" s="110">
        <v>12</v>
      </c>
      <c r="K28" s="110">
        <v>10</v>
      </c>
      <c r="L28" s="110">
        <v>12</v>
      </c>
      <c r="M28" s="110">
        <v>10</v>
      </c>
      <c r="N28" s="110">
        <v>0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</v>
      </c>
      <c r="Z28" s="110">
        <v>2</v>
      </c>
      <c r="AA28" s="110">
        <v>2</v>
      </c>
      <c r="AB28" s="110">
        <v>2</v>
      </c>
      <c r="AC28" s="110">
        <v>9</v>
      </c>
      <c r="AD28" s="110">
        <v>13</v>
      </c>
      <c r="AE28" s="110">
        <v>9</v>
      </c>
      <c r="AF28" s="110">
        <v>13</v>
      </c>
      <c r="AG28" s="110">
        <v>9</v>
      </c>
      <c r="AH28" s="110">
        <v>13</v>
      </c>
      <c r="AI28" s="110">
        <v>9</v>
      </c>
      <c r="AJ28" s="110">
        <v>13</v>
      </c>
      <c r="AK28" s="110">
        <v>9</v>
      </c>
      <c r="AL28" s="110">
        <v>13</v>
      </c>
      <c r="AM28" s="110">
        <v>9</v>
      </c>
      <c r="AN28" s="110">
        <v>13</v>
      </c>
      <c r="AO28" s="110">
        <v>9</v>
      </c>
      <c r="AP28" s="110">
        <v>13</v>
      </c>
      <c r="AQ28" s="110">
        <v>9</v>
      </c>
      <c r="AR28" s="110">
        <v>13</v>
      </c>
      <c r="AS28" s="110">
        <v>9</v>
      </c>
      <c r="AT28" s="110">
        <v>13</v>
      </c>
      <c r="AU28" s="110">
        <v>9</v>
      </c>
      <c r="AV28" s="110">
        <v>13</v>
      </c>
      <c r="AW28" s="110">
        <v>9</v>
      </c>
      <c r="AX28" s="110">
        <v>13</v>
      </c>
      <c r="AY28" s="166">
        <v>9</v>
      </c>
      <c r="AZ28" s="106"/>
    </row>
    <row r="29" spans="1:52">
      <c r="B29" s="136" t="s">
        <v>311</v>
      </c>
      <c r="C29" s="125">
        <v>12</v>
      </c>
      <c r="D29" s="125">
        <f>C$28</f>
        <v>10</v>
      </c>
      <c r="E29" s="125">
        <f t="shared" ref="E29:AY29" si="9">D$28</f>
        <v>12</v>
      </c>
      <c r="F29" s="125">
        <f t="shared" si="9"/>
        <v>10</v>
      </c>
      <c r="G29" s="125">
        <f t="shared" si="9"/>
        <v>12</v>
      </c>
      <c r="H29" s="125">
        <f t="shared" si="9"/>
        <v>10</v>
      </c>
      <c r="I29" s="125">
        <f t="shared" si="9"/>
        <v>12</v>
      </c>
      <c r="J29" s="125">
        <f t="shared" si="9"/>
        <v>10</v>
      </c>
      <c r="K29" s="125">
        <f t="shared" si="9"/>
        <v>12</v>
      </c>
      <c r="L29" s="125">
        <f t="shared" si="9"/>
        <v>10</v>
      </c>
      <c r="M29" s="125">
        <f t="shared" si="9"/>
        <v>12</v>
      </c>
      <c r="N29" s="125">
        <f t="shared" si="9"/>
        <v>10</v>
      </c>
      <c r="O29" s="125">
        <f t="shared" si="9"/>
        <v>0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</v>
      </c>
      <c r="AA29" s="125">
        <f t="shared" si="9"/>
        <v>2</v>
      </c>
      <c r="AB29" s="125">
        <f t="shared" si="9"/>
        <v>2</v>
      </c>
      <c r="AC29" s="125">
        <f t="shared" si="9"/>
        <v>2</v>
      </c>
      <c r="AD29" s="125">
        <f t="shared" si="9"/>
        <v>9</v>
      </c>
      <c r="AE29" s="125">
        <f t="shared" si="9"/>
        <v>13</v>
      </c>
      <c r="AF29" s="125">
        <f t="shared" si="9"/>
        <v>9</v>
      </c>
      <c r="AG29" s="125">
        <f t="shared" si="9"/>
        <v>13</v>
      </c>
      <c r="AH29" s="125">
        <f t="shared" si="9"/>
        <v>9</v>
      </c>
      <c r="AI29" s="125">
        <f t="shared" si="9"/>
        <v>13</v>
      </c>
      <c r="AJ29" s="125">
        <f t="shared" si="9"/>
        <v>9</v>
      </c>
      <c r="AK29" s="125">
        <f t="shared" si="9"/>
        <v>13</v>
      </c>
      <c r="AL29" s="125">
        <f t="shared" si="9"/>
        <v>9</v>
      </c>
      <c r="AM29" s="125">
        <f t="shared" si="9"/>
        <v>13</v>
      </c>
      <c r="AN29" s="125">
        <f t="shared" si="9"/>
        <v>9</v>
      </c>
      <c r="AO29" s="125">
        <f t="shared" si="9"/>
        <v>13</v>
      </c>
      <c r="AP29" s="125">
        <f t="shared" si="9"/>
        <v>9</v>
      </c>
      <c r="AQ29" s="125">
        <f t="shared" si="9"/>
        <v>13</v>
      </c>
      <c r="AR29" s="125">
        <f t="shared" si="9"/>
        <v>9</v>
      </c>
      <c r="AS29" s="125">
        <f t="shared" si="9"/>
        <v>13</v>
      </c>
      <c r="AT29" s="125">
        <f t="shared" si="9"/>
        <v>9</v>
      </c>
      <c r="AU29" s="125">
        <f t="shared" si="9"/>
        <v>13</v>
      </c>
      <c r="AV29" s="125">
        <f t="shared" si="9"/>
        <v>9</v>
      </c>
      <c r="AW29" s="125">
        <f t="shared" si="9"/>
        <v>13</v>
      </c>
      <c r="AX29" s="125">
        <f t="shared" si="9"/>
        <v>9</v>
      </c>
      <c r="AY29" s="167">
        <f t="shared" si="9"/>
        <v>13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120</v>
      </c>
      <c r="E30" s="117">
        <f t="shared" ref="E30:AY30" si="10">E$27*$B$30</f>
        <v>100</v>
      </c>
      <c r="F30" s="117">
        <f t="shared" si="10"/>
        <v>120</v>
      </c>
      <c r="G30" s="117">
        <f t="shared" si="10"/>
        <v>100</v>
      </c>
      <c r="H30" s="117">
        <f t="shared" si="10"/>
        <v>120</v>
      </c>
      <c r="I30" s="117">
        <f t="shared" si="10"/>
        <v>100</v>
      </c>
      <c r="J30" s="117">
        <f t="shared" si="10"/>
        <v>120</v>
      </c>
      <c r="K30" s="117">
        <f t="shared" si="10"/>
        <v>100</v>
      </c>
      <c r="L30" s="117">
        <f t="shared" si="10"/>
        <v>120</v>
      </c>
      <c r="M30" s="117">
        <f t="shared" si="10"/>
        <v>100</v>
      </c>
      <c r="N30" s="117">
        <f t="shared" si="10"/>
        <v>120</v>
      </c>
      <c r="O30" s="117">
        <f t="shared" si="10"/>
        <v>220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200</v>
      </c>
      <c r="AA30" s="117">
        <f t="shared" si="10"/>
        <v>200</v>
      </c>
      <c r="AB30" s="117">
        <f t="shared" si="10"/>
        <v>200</v>
      </c>
      <c r="AC30" s="117">
        <f t="shared" si="10"/>
        <v>200</v>
      </c>
      <c r="AD30" s="117">
        <f t="shared" si="10"/>
        <v>130</v>
      </c>
      <c r="AE30" s="117">
        <f>AE$27*$B$30</f>
        <v>90</v>
      </c>
      <c r="AF30" s="117">
        <f t="shared" si="10"/>
        <v>130</v>
      </c>
      <c r="AG30" s="117">
        <f t="shared" si="10"/>
        <v>90</v>
      </c>
      <c r="AH30" s="117">
        <f t="shared" si="10"/>
        <v>130</v>
      </c>
      <c r="AI30" s="117">
        <f t="shared" si="10"/>
        <v>90</v>
      </c>
      <c r="AJ30" s="117">
        <f t="shared" si="10"/>
        <v>130</v>
      </c>
      <c r="AK30" s="117">
        <f t="shared" si="10"/>
        <v>90</v>
      </c>
      <c r="AL30" s="117">
        <f t="shared" si="10"/>
        <v>130</v>
      </c>
      <c r="AM30" s="117">
        <f t="shared" si="10"/>
        <v>90</v>
      </c>
      <c r="AN30" s="117">
        <f t="shared" si="10"/>
        <v>130</v>
      </c>
      <c r="AO30" s="117">
        <f t="shared" si="10"/>
        <v>90</v>
      </c>
      <c r="AP30" s="117">
        <f t="shared" si="10"/>
        <v>130</v>
      </c>
      <c r="AQ30" s="117">
        <f t="shared" si="10"/>
        <v>90</v>
      </c>
      <c r="AR30" s="117">
        <f t="shared" si="10"/>
        <v>130</v>
      </c>
      <c r="AS30" s="117">
        <f t="shared" si="10"/>
        <v>90</v>
      </c>
      <c r="AT30" s="117">
        <f t="shared" si="10"/>
        <v>130</v>
      </c>
      <c r="AU30" s="117">
        <f t="shared" si="10"/>
        <v>90</v>
      </c>
      <c r="AV30" s="117">
        <f t="shared" si="10"/>
        <v>130</v>
      </c>
      <c r="AW30" s="117">
        <f t="shared" si="10"/>
        <v>90</v>
      </c>
      <c r="AX30" s="117">
        <f t="shared" si="10"/>
        <v>130</v>
      </c>
      <c r="AY30" s="117">
        <f t="shared" si="10"/>
        <v>90</v>
      </c>
      <c r="AZ30" s="141">
        <f t="shared" si="5"/>
        <v>5760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54.409584500410439</v>
      </c>
      <c r="E33" s="124">
        <f>E$21*shipping_manufacturing!$D$27/100</f>
        <v>54.409584500410439</v>
      </c>
      <c r="F33" s="124">
        <f>F$21*shipping_manufacturing!$D$27/100</f>
        <v>54.409584500410439</v>
      </c>
      <c r="G33" s="124">
        <f>G$21*shipping_manufacturing!$D$27/100</f>
        <v>54.409584500410439</v>
      </c>
      <c r="H33" s="124">
        <f>H$21*shipping_manufacturing!$D$27/100</f>
        <v>54.409584500410439</v>
      </c>
      <c r="I33" s="124">
        <f>I$21*shipping_manufacturing!$D$27/100</f>
        <v>43.52766760032835</v>
      </c>
      <c r="J33" s="124">
        <f>J$21*shipping_manufacturing!$D$27/100</f>
        <v>43.52766760032835</v>
      </c>
      <c r="K33" s="124">
        <f>K$21*shipping_manufacturing!$D$27/100</f>
        <v>43.52766760032835</v>
      </c>
      <c r="L33" s="124">
        <f>L$21*shipping_manufacturing!$D$27/100</f>
        <v>43.52766760032835</v>
      </c>
      <c r="M33" s="124">
        <f>M$21*shipping_manufacturing!$D$27/100</f>
        <v>54.409584500410439</v>
      </c>
      <c r="N33" s="124">
        <f>N$21*shipping_manufacturing!$D$27/100</f>
        <v>0</v>
      </c>
      <c r="O33" s="124">
        <f>O$21*shipping_manufacturing!$D$27/100</f>
        <v>54.409584500410801</v>
      </c>
      <c r="P33" s="124">
        <f>P$21*shipping_manufacturing!$D$27/100</f>
        <v>54.409584500410439</v>
      </c>
      <c r="Q33" s="124">
        <f>Q$21*shipping_manufacturing!$D$27/100</f>
        <v>54.409584500410439</v>
      </c>
      <c r="R33" s="124">
        <f>R$21*shipping_manufacturing!$D$27/100</f>
        <v>54.409584500410439</v>
      </c>
      <c r="S33" s="124">
        <f>S$21*shipping_manufacturing!$D$27/100</f>
        <v>54.409584500410439</v>
      </c>
      <c r="T33" s="124">
        <f>T$21*shipping_manufacturing!$D$27/100</f>
        <v>54.409584500410439</v>
      </c>
      <c r="U33" s="124">
        <f>U$21*shipping_manufacturing!$D$27/100</f>
        <v>54.409584500410439</v>
      </c>
      <c r="V33" s="124">
        <f>V$21*shipping_manufacturing!$D$27/100</f>
        <v>54.409584500410439</v>
      </c>
      <c r="W33" s="124">
        <f>W$21*shipping_manufacturing!$D$27/100</f>
        <v>54.409584500410439</v>
      </c>
      <c r="X33" s="124">
        <f>X$21*shipping_manufacturing!$D$27/100</f>
        <v>54.409584500410439</v>
      </c>
      <c r="Y33" s="124">
        <f>Y$21*shipping_manufacturing!$D$27/100</f>
        <v>4.3993135490822566E-21</v>
      </c>
      <c r="Z33" s="124">
        <f>Z$21*shipping_manufacturing!$D$27/100</f>
        <v>4.3993135490822566E-21</v>
      </c>
      <c r="AA33" s="124">
        <f>AA$21*shipping_manufacturing!$D$27/100</f>
        <v>4.3993135490822566E-21</v>
      </c>
      <c r="AB33" s="124">
        <f>AB$21*shipping_manufacturing!$D$27/100</f>
        <v>4.3993135490822566E-21</v>
      </c>
      <c r="AC33" s="124">
        <f>AC$21*shipping_manufacturing!$D$27/100</f>
        <v>21.510169707234041</v>
      </c>
      <c r="AD33" s="124">
        <f>AD$21*shipping_manufacturing!$D$27/100</f>
        <v>54.409584500410439</v>
      </c>
      <c r="AE33" s="124">
        <f>AE$21*shipping_manufacturing!$D$27/100</f>
        <v>54.409584500410439</v>
      </c>
      <c r="AF33" s="124">
        <f>AF$21*shipping_manufacturing!$D$27/100</f>
        <v>54.409584500410439</v>
      </c>
      <c r="AG33" s="124">
        <f>AG$21*shipping_manufacturing!$D$27/100</f>
        <v>54.409584500410439</v>
      </c>
      <c r="AH33" s="124">
        <f>AH$21*shipping_manufacturing!$D$27/100</f>
        <v>54.409584500410439</v>
      </c>
      <c r="AI33" s="124">
        <f>AI$21*shipping_manufacturing!$D$27/100</f>
        <v>54.409584500410439</v>
      </c>
      <c r="AJ33" s="124">
        <f>AJ$21*shipping_manufacturing!$D$27/100</f>
        <v>54.409584500410439</v>
      </c>
      <c r="AK33" s="124">
        <f>AK$21*shipping_manufacturing!$D$27/100</f>
        <v>54.409584500410439</v>
      </c>
      <c r="AL33" s="124">
        <f>AL$21*shipping_manufacturing!$D$27/100</f>
        <v>54.409584500410439</v>
      </c>
      <c r="AM33" s="124">
        <f>AM$21*shipping_manufacturing!$D$27/100</f>
        <v>54.409584500410439</v>
      </c>
      <c r="AN33" s="124">
        <f>AN$21*shipping_manufacturing!$D$27/100</f>
        <v>54.409584500410439</v>
      </c>
      <c r="AO33" s="124">
        <f>AO$21*shipping_manufacturing!$D$27/100</f>
        <v>54.409584500410439</v>
      </c>
      <c r="AP33" s="124">
        <f>AP$21*shipping_manufacturing!$D$27/100</f>
        <v>54.409584500410439</v>
      </c>
      <c r="AQ33" s="124">
        <f>AQ$21*shipping_manufacturing!$D$27/100</f>
        <v>54.409584500410439</v>
      </c>
      <c r="AR33" s="124">
        <f>AR$21*shipping_manufacturing!$D$27/100</f>
        <v>54.409584500410439</v>
      </c>
      <c r="AS33" s="124">
        <f>AS$21*shipping_manufacturing!$D$27/100</f>
        <v>54.409584500410439</v>
      </c>
      <c r="AT33" s="124">
        <f>AT$21*shipping_manufacturing!$D$27/100</f>
        <v>54.409584500410439</v>
      </c>
      <c r="AU33" s="124">
        <f>AU$21*shipping_manufacturing!$D$27/100</f>
        <v>54.409584500410439</v>
      </c>
      <c r="AV33" s="124">
        <f>AV$21*shipping_manufacturing!$D$27/100</f>
        <v>54.409584500410439</v>
      </c>
      <c r="AW33" s="124">
        <f>AW$21*shipping_manufacturing!$D$27/100</f>
        <v>54.409584500410439</v>
      </c>
      <c r="AX33" s="124">
        <f>AX$21*shipping_manufacturing!$D$27/100</f>
        <v>54.409584500410439</v>
      </c>
      <c r="AY33" s="124">
        <f>AY$21*shipping_manufacturing!$D$27/100</f>
        <v>54.409584500410439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65.608609205735434</v>
      </c>
      <c r="E34" s="110">
        <f>E$22*shipping_manufacturing!$E$27/100</f>
        <v>65.608609205735419</v>
      </c>
      <c r="F34" s="110">
        <f>F$22*shipping_manufacturing!$E$27/100</f>
        <v>65.608609205735419</v>
      </c>
      <c r="G34" s="110">
        <f>G$22*shipping_manufacturing!$E$27/100</f>
        <v>65.608609205735419</v>
      </c>
      <c r="H34" s="110">
        <f>H$22*shipping_manufacturing!$E$27/100</f>
        <v>65.608609205735419</v>
      </c>
      <c r="I34" s="110">
        <f>I$22*shipping_manufacturing!$E$27/100</f>
        <v>52.486887364588341</v>
      </c>
      <c r="J34" s="110">
        <f>J$22*shipping_manufacturing!$E$27/100</f>
        <v>52.486887364588341</v>
      </c>
      <c r="K34" s="110">
        <f>K$22*shipping_manufacturing!$E$27/100</f>
        <v>52.486887364588341</v>
      </c>
      <c r="L34" s="110">
        <f>L$22*shipping_manufacturing!$E$27/100</f>
        <v>52.486887364588341</v>
      </c>
      <c r="M34" s="110">
        <f>M$22*shipping_manufacturing!$E$27/100</f>
        <v>65.608609205735419</v>
      </c>
      <c r="N34" s="110">
        <f>N$22*shipping_manufacturing!$E$27/100</f>
        <v>0</v>
      </c>
      <c r="O34" s="110">
        <f>O$22*shipping_manufacturing!$E$27/100</f>
        <v>65.60860920573586</v>
      </c>
      <c r="P34" s="110">
        <f>P$22*shipping_manufacturing!$E$27/100</f>
        <v>65.608609205735419</v>
      </c>
      <c r="Q34" s="110">
        <f>Q$22*shipping_manufacturing!$E$27/100</f>
        <v>65.608609205735419</v>
      </c>
      <c r="R34" s="110">
        <f>R$22*shipping_manufacturing!$E$27/100</f>
        <v>65.608609205735419</v>
      </c>
      <c r="S34" s="110">
        <f>S$22*shipping_manufacturing!$E$27/100</f>
        <v>65.608609205735419</v>
      </c>
      <c r="T34" s="110">
        <f>T$22*shipping_manufacturing!$E$27/100</f>
        <v>65.608609205735419</v>
      </c>
      <c r="U34" s="110">
        <f>U$22*shipping_manufacturing!$E$27/100</f>
        <v>65.608609205735419</v>
      </c>
      <c r="V34" s="110">
        <f>V$22*shipping_manufacturing!$E$27/100</f>
        <v>65.608609205735419</v>
      </c>
      <c r="W34" s="110">
        <f>W$22*shipping_manufacturing!$E$27/100</f>
        <v>65.608609205735419</v>
      </c>
      <c r="X34" s="110">
        <f>X$22*shipping_manufacturing!$E$27/100</f>
        <v>65.608609205735419</v>
      </c>
      <c r="Y34" s="110">
        <f>Y$22*shipping_manufacturing!$E$27/100</f>
        <v>5.3048161654874878E-21</v>
      </c>
      <c r="Z34" s="110">
        <f>Z$22*shipping_manufacturing!$E$27/100</f>
        <v>5.3048161654874878E-21</v>
      </c>
      <c r="AA34" s="110">
        <f>AA$22*shipping_manufacturing!$E$27/100</f>
        <v>5.3048161654874878E-21</v>
      </c>
      <c r="AB34" s="110">
        <f>AB$22*shipping_manufacturing!$E$27/100</f>
        <v>5.3048161654874878E-21</v>
      </c>
      <c r="AC34" s="110">
        <f>AC$22*shipping_manufacturing!$E$27/100</f>
        <v>25.93756837566589</v>
      </c>
      <c r="AD34" s="110">
        <f>AD$22*shipping_manufacturing!$E$27/100</f>
        <v>65.608609205735419</v>
      </c>
      <c r="AE34" s="110">
        <f>AE$22*shipping_manufacturing!$E$27/100</f>
        <v>65.608609205735419</v>
      </c>
      <c r="AF34" s="110">
        <f>AF$22*shipping_manufacturing!$E$27/100</f>
        <v>65.608609205735419</v>
      </c>
      <c r="AG34" s="110">
        <f>AG$22*shipping_manufacturing!$E$27/100</f>
        <v>65.608609205735419</v>
      </c>
      <c r="AH34" s="110">
        <f>AH$22*shipping_manufacturing!$E$27/100</f>
        <v>65.608609205735419</v>
      </c>
      <c r="AI34" s="110">
        <f>AI$22*shipping_manufacturing!$E$27/100</f>
        <v>65.608609205735419</v>
      </c>
      <c r="AJ34" s="110">
        <f>AJ$22*shipping_manufacturing!$E$27/100</f>
        <v>65.608609205735419</v>
      </c>
      <c r="AK34" s="110">
        <f>AK$22*shipping_manufacturing!$E$27/100</f>
        <v>65.608609205735419</v>
      </c>
      <c r="AL34" s="110">
        <f>AL$22*shipping_manufacturing!$E$27/100</f>
        <v>65.608609205735419</v>
      </c>
      <c r="AM34" s="110">
        <f>AM$22*shipping_manufacturing!$E$27/100</f>
        <v>65.608609205735419</v>
      </c>
      <c r="AN34" s="110">
        <f>AN$22*shipping_manufacturing!$E$27/100</f>
        <v>65.608609205735419</v>
      </c>
      <c r="AO34" s="110">
        <f>AO$22*shipping_manufacturing!$E$27/100</f>
        <v>65.608609205735419</v>
      </c>
      <c r="AP34" s="110">
        <f>AP$22*shipping_manufacturing!$E$27/100</f>
        <v>65.608609205735419</v>
      </c>
      <c r="AQ34" s="110">
        <f>AQ$22*shipping_manufacturing!$E$27/100</f>
        <v>65.608609205735419</v>
      </c>
      <c r="AR34" s="110">
        <f>AR$22*shipping_manufacturing!$E$27/100</f>
        <v>65.608609205735419</v>
      </c>
      <c r="AS34" s="110">
        <f>AS$22*shipping_manufacturing!$E$27/100</f>
        <v>65.608609205735419</v>
      </c>
      <c r="AT34" s="110">
        <f>AT$22*shipping_manufacturing!$E$27/100</f>
        <v>65.608609205735419</v>
      </c>
      <c r="AU34" s="110">
        <f>AU$22*shipping_manufacturing!$E$27/100</f>
        <v>65.608609205735419</v>
      </c>
      <c r="AV34" s="110">
        <f>AV$22*shipping_manufacturing!$E$27/100</f>
        <v>65.608609205735419</v>
      </c>
      <c r="AW34" s="110">
        <f>AW$22*shipping_manufacturing!$E$27/100</f>
        <v>65.608609205735419</v>
      </c>
      <c r="AX34" s="110">
        <f>AX$22*shipping_manufacturing!$E$27/100</f>
        <v>65.608609205735419</v>
      </c>
      <c r="AY34" s="110">
        <f>AY$22*shipping_manufacturing!$E$27/100</f>
        <v>65.608609205735419</v>
      </c>
    </row>
    <row r="35" spans="1:52">
      <c r="A35" s="110">
        <v>1225</v>
      </c>
      <c r="B35" s="165" t="s">
        <v>343</v>
      </c>
      <c r="C35" s="110"/>
      <c r="D35" s="110">
        <f>SUM(D33:D34)</f>
        <v>120.01819370614587</v>
      </c>
      <c r="E35" s="110">
        <f t="shared" ref="E35:AY35" si="11">SUM(E33:E34)</f>
        <v>120.01819370614587</v>
      </c>
      <c r="F35" s="110">
        <f t="shared" si="11"/>
        <v>120.01819370614587</v>
      </c>
      <c r="G35" s="110">
        <f t="shared" si="11"/>
        <v>120.01819370614587</v>
      </c>
      <c r="H35" s="110">
        <f t="shared" si="11"/>
        <v>120.01819370614587</v>
      </c>
      <c r="I35" s="110">
        <f t="shared" si="11"/>
        <v>96.014554964916698</v>
      </c>
      <c r="J35" s="110">
        <f t="shared" si="11"/>
        <v>96.014554964916698</v>
      </c>
      <c r="K35" s="110">
        <f t="shared" si="11"/>
        <v>96.014554964916698</v>
      </c>
      <c r="L35" s="110">
        <f t="shared" si="11"/>
        <v>96.014554964916698</v>
      </c>
      <c r="M35" s="110">
        <f t="shared" si="11"/>
        <v>120.01819370614587</v>
      </c>
      <c r="N35" s="110">
        <f t="shared" si="11"/>
        <v>0</v>
      </c>
      <c r="O35" s="110">
        <f t="shared" si="11"/>
        <v>120.01819370614666</v>
      </c>
      <c r="P35" s="110">
        <f t="shared" si="11"/>
        <v>120.01819370614587</v>
      </c>
      <c r="Q35" s="110">
        <f t="shared" si="11"/>
        <v>120.01819370614587</v>
      </c>
      <c r="R35" s="110">
        <f t="shared" si="11"/>
        <v>120.01819370614587</v>
      </c>
      <c r="S35" s="110">
        <f t="shared" si="11"/>
        <v>120.01819370614587</v>
      </c>
      <c r="T35" s="110">
        <f t="shared" si="11"/>
        <v>120.01819370614587</v>
      </c>
      <c r="U35" s="110">
        <f t="shared" si="11"/>
        <v>120.01819370614587</v>
      </c>
      <c r="V35" s="110">
        <f t="shared" si="11"/>
        <v>120.01819370614587</v>
      </c>
      <c r="W35" s="110">
        <f t="shared" si="11"/>
        <v>120.01819370614587</v>
      </c>
      <c r="X35" s="110">
        <f t="shared" si="11"/>
        <v>120.01819370614587</v>
      </c>
      <c r="Y35" s="110">
        <f t="shared" si="11"/>
        <v>9.7041297145697436E-21</v>
      </c>
      <c r="Z35" s="110">
        <f t="shared" si="11"/>
        <v>9.7041297145697436E-21</v>
      </c>
      <c r="AA35" s="110">
        <f t="shared" si="11"/>
        <v>9.7041297145697436E-21</v>
      </c>
      <c r="AB35" s="110">
        <f t="shared" si="11"/>
        <v>9.7041297145697436E-21</v>
      </c>
      <c r="AC35" s="110">
        <f t="shared" si="11"/>
        <v>47.447738082899932</v>
      </c>
      <c r="AD35" s="110">
        <f t="shared" si="11"/>
        <v>120.01819370614587</v>
      </c>
      <c r="AE35" s="110">
        <f t="shared" si="11"/>
        <v>120.01819370614587</v>
      </c>
      <c r="AF35" s="110">
        <f t="shared" si="11"/>
        <v>120.01819370614587</v>
      </c>
      <c r="AG35" s="110">
        <f t="shared" si="11"/>
        <v>120.01819370614587</v>
      </c>
      <c r="AH35" s="110">
        <f t="shared" si="11"/>
        <v>120.01819370614587</v>
      </c>
      <c r="AI35" s="110">
        <f t="shared" si="11"/>
        <v>120.01819370614587</v>
      </c>
      <c r="AJ35" s="110">
        <f t="shared" si="11"/>
        <v>120.01819370614587</v>
      </c>
      <c r="AK35" s="110">
        <f t="shared" si="11"/>
        <v>120.01819370614587</v>
      </c>
      <c r="AL35" s="110">
        <f t="shared" si="11"/>
        <v>120.01819370614587</v>
      </c>
      <c r="AM35" s="110">
        <f t="shared" si="11"/>
        <v>120.01819370614587</v>
      </c>
      <c r="AN35" s="110">
        <f t="shared" si="11"/>
        <v>120.01819370614587</v>
      </c>
      <c r="AO35" s="110">
        <f t="shared" si="11"/>
        <v>120.01819370614587</v>
      </c>
      <c r="AP35" s="110">
        <f t="shared" si="11"/>
        <v>120.01819370614587</v>
      </c>
      <c r="AQ35" s="110">
        <f t="shared" si="11"/>
        <v>120.01819370614587</v>
      </c>
      <c r="AR35" s="110">
        <f t="shared" si="11"/>
        <v>120.01819370614587</v>
      </c>
      <c r="AS35" s="110">
        <f t="shared" si="11"/>
        <v>120.01819370614587</v>
      </c>
      <c r="AT35" s="110">
        <f t="shared" si="11"/>
        <v>120.01819370614587</v>
      </c>
      <c r="AU35" s="110">
        <f t="shared" si="11"/>
        <v>120.01819370614587</v>
      </c>
      <c r="AV35" s="110">
        <f t="shared" si="11"/>
        <v>120.01819370614587</v>
      </c>
      <c r="AW35" s="110">
        <f t="shared" si="11"/>
        <v>120.01819370614587</v>
      </c>
      <c r="AX35" s="110">
        <f t="shared" si="11"/>
        <v>120.01819370614587</v>
      </c>
      <c r="AY35" s="110">
        <f t="shared" si="11"/>
        <v>120.01819370614587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>
        <v>13.600334121081904</v>
      </c>
      <c r="K36" s="110"/>
      <c r="L36" s="110">
        <v>13.600334121081904</v>
      </c>
      <c r="M36" s="110"/>
      <c r="N36" s="110"/>
      <c r="O36" s="110">
        <v>54.409584500410801</v>
      </c>
      <c r="P36" s="110"/>
      <c r="Q36" s="110">
        <v>54.409584500410432</v>
      </c>
      <c r="R36" s="110"/>
      <c r="S36" s="110">
        <v>54.409584500410432</v>
      </c>
      <c r="T36" s="110"/>
      <c r="U36" s="110">
        <v>54.409584500410432</v>
      </c>
      <c r="V36" s="110"/>
      <c r="W36" s="110">
        <v>54.409584500410432</v>
      </c>
      <c r="X36" s="110"/>
      <c r="Y36" s="110">
        <v>4.3993135490822566E-21</v>
      </c>
      <c r="Z36" s="110">
        <v>4.3993135490822566E-21</v>
      </c>
      <c r="AA36" s="110">
        <v>4.3993135490822566E-21</v>
      </c>
      <c r="AB36" s="110">
        <v>4.3993135490822566E-21</v>
      </c>
      <c r="AC36" s="110">
        <v>21.510169707234041</v>
      </c>
      <c r="AD36" s="110">
        <v>13.600334121081906</v>
      </c>
      <c r="AE36" s="110"/>
      <c r="AF36" s="110">
        <v>13.600334121081906</v>
      </c>
      <c r="AG36" s="110"/>
      <c r="AH36" s="110">
        <v>13.600334121081906</v>
      </c>
      <c r="AI36" s="110"/>
      <c r="AJ36" s="110">
        <v>13.600334121081906</v>
      </c>
      <c r="AK36" s="110"/>
      <c r="AL36" s="110">
        <v>13.600334121081906</v>
      </c>
      <c r="AM36" s="110"/>
      <c r="AN36" s="110">
        <v>13.600334121081906</v>
      </c>
      <c r="AO36" s="110"/>
      <c r="AP36" s="110">
        <v>13.600334121081906</v>
      </c>
      <c r="AQ36" s="110"/>
      <c r="AR36" s="110">
        <v>13.600334121081906</v>
      </c>
      <c r="AS36" s="110"/>
      <c r="AT36" s="110">
        <v>13.600334121081906</v>
      </c>
      <c r="AU36" s="110"/>
      <c r="AV36" s="110">
        <v>13.600334121081906</v>
      </c>
      <c r="AW36" s="110"/>
      <c r="AX36" s="110">
        <v>13.600334121081906</v>
      </c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>
        <v>16.399665878918093</v>
      </c>
      <c r="K37" s="110"/>
      <c r="L37" s="110">
        <v>16.399665878918093</v>
      </c>
      <c r="M37" s="110"/>
      <c r="N37" s="110"/>
      <c r="O37" s="110">
        <v>65.608609205735874</v>
      </c>
      <c r="P37" s="110"/>
      <c r="Q37" s="110">
        <v>65.608609205735419</v>
      </c>
      <c r="R37" s="110"/>
      <c r="S37" s="110">
        <v>65.608609205735419</v>
      </c>
      <c r="T37" s="110"/>
      <c r="U37" s="110">
        <v>65.608609205735419</v>
      </c>
      <c r="V37" s="110"/>
      <c r="W37" s="110">
        <v>65.608609205735419</v>
      </c>
      <c r="X37" s="110"/>
      <c r="Y37" s="110">
        <v>5.3048161654874878E-21</v>
      </c>
      <c r="Z37" s="110">
        <v>5.3048161654874878E-21</v>
      </c>
      <c r="AA37" s="110">
        <v>5.3048161654874878E-21</v>
      </c>
      <c r="AB37" s="110">
        <v>5.3048161654874878E-21</v>
      </c>
      <c r="AC37" s="110">
        <v>25.93756837566589</v>
      </c>
      <c r="AD37" s="110">
        <v>16.399665878918093</v>
      </c>
      <c r="AE37" s="110"/>
      <c r="AF37" s="110">
        <v>16.399665878918093</v>
      </c>
      <c r="AG37" s="110"/>
      <c r="AH37" s="110">
        <v>16.399665878918093</v>
      </c>
      <c r="AI37" s="110"/>
      <c r="AJ37" s="110">
        <v>16.399665878918093</v>
      </c>
      <c r="AK37" s="110"/>
      <c r="AL37" s="110">
        <v>16.399665878918093</v>
      </c>
      <c r="AM37" s="110"/>
      <c r="AN37" s="110">
        <v>16.399665878918093</v>
      </c>
      <c r="AO37" s="110"/>
      <c r="AP37" s="110">
        <v>16.399665878918093</v>
      </c>
      <c r="AQ37" s="110"/>
      <c r="AR37" s="110">
        <v>16.399665878918093</v>
      </c>
      <c r="AS37" s="110"/>
      <c r="AT37" s="110">
        <v>16.399665878918093</v>
      </c>
      <c r="AU37" s="110"/>
      <c r="AV37" s="110">
        <v>16.399665878918093</v>
      </c>
      <c r="AW37" s="110"/>
      <c r="AX37" s="110">
        <v>16.399665878918093</v>
      </c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>
        <v>1</v>
      </c>
      <c r="K38" s="110"/>
      <c r="L38" s="110">
        <v>1</v>
      </c>
      <c r="M38" s="110"/>
      <c r="N38" s="110"/>
      <c r="O38" s="110">
        <v>5</v>
      </c>
      <c r="P38" s="110"/>
      <c r="Q38" s="110">
        <v>5</v>
      </c>
      <c r="R38" s="110"/>
      <c r="S38" s="110">
        <v>5</v>
      </c>
      <c r="T38" s="110"/>
      <c r="U38" s="110">
        <v>5</v>
      </c>
      <c r="V38" s="110"/>
      <c r="W38" s="110">
        <v>5</v>
      </c>
      <c r="X38" s="110"/>
      <c r="Y38" s="110">
        <v>1</v>
      </c>
      <c r="Z38" s="110">
        <v>1</v>
      </c>
      <c r="AA38" s="110">
        <v>1</v>
      </c>
      <c r="AB38" s="110">
        <v>1</v>
      </c>
      <c r="AC38" s="110">
        <v>2</v>
      </c>
      <c r="AD38" s="110">
        <v>1</v>
      </c>
      <c r="AE38" s="110"/>
      <c r="AF38" s="110">
        <v>1</v>
      </c>
      <c r="AG38" s="110"/>
      <c r="AH38" s="110">
        <v>1</v>
      </c>
      <c r="AI38" s="110"/>
      <c r="AJ38" s="110">
        <v>1</v>
      </c>
      <c r="AK38" s="110"/>
      <c r="AL38" s="110">
        <v>1</v>
      </c>
      <c r="AM38" s="110"/>
      <c r="AN38" s="110">
        <v>1</v>
      </c>
      <c r="AO38" s="110"/>
      <c r="AP38" s="110">
        <v>1</v>
      </c>
      <c r="AQ38" s="110"/>
      <c r="AR38" s="110">
        <v>1</v>
      </c>
      <c r="AS38" s="110"/>
      <c r="AT38" s="110">
        <v>1</v>
      </c>
      <c r="AU38" s="110"/>
      <c r="AV38" s="110">
        <v>1</v>
      </c>
      <c r="AW38" s="110"/>
      <c r="AX38" s="110">
        <v>1</v>
      </c>
      <c r="AY38" s="110"/>
    </row>
    <row r="39" spans="1:52">
      <c r="A39" s="110"/>
      <c r="B39" s="165" t="s">
        <v>347</v>
      </c>
      <c r="C39" s="110"/>
      <c r="D39" s="110">
        <f>D33-D36</f>
        <v>54.409584500410439</v>
      </c>
      <c r="E39" s="110">
        <f t="shared" ref="E39:AY39" si="12">E33-E36</f>
        <v>54.409584500410439</v>
      </c>
      <c r="F39" s="110">
        <f t="shared" si="12"/>
        <v>54.409584500410439</v>
      </c>
      <c r="G39" s="110">
        <f t="shared" si="12"/>
        <v>54.409584500410439</v>
      </c>
      <c r="H39" s="110">
        <f t="shared" si="12"/>
        <v>54.409584500410439</v>
      </c>
      <c r="I39" s="110">
        <f t="shared" si="12"/>
        <v>43.52766760032835</v>
      </c>
      <c r="J39" s="110">
        <f t="shared" si="12"/>
        <v>29.927333479246446</v>
      </c>
      <c r="K39" s="110">
        <f t="shared" si="12"/>
        <v>43.52766760032835</v>
      </c>
      <c r="L39" s="110">
        <f t="shared" si="12"/>
        <v>29.927333479246446</v>
      </c>
      <c r="M39" s="110">
        <f t="shared" si="12"/>
        <v>54.409584500410439</v>
      </c>
      <c r="N39" s="110">
        <f t="shared" si="12"/>
        <v>0</v>
      </c>
      <c r="O39" s="110">
        <f t="shared" si="12"/>
        <v>0</v>
      </c>
      <c r="P39" s="110">
        <f t="shared" si="12"/>
        <v>54.409584500410439</v>
      </c>
      <c r="Q39" s="110">
        <f t="shared" si="12"/>
        <v>0</v>
      </c>
      <c r="R39" s="110">
        <f t="shared" si="12"/>
        <v>54.409584500410439</v>
      </c>
      <c r="S39" s="110">
        <f t="shared" si="12"/>
        <v>0</v>
      </c>
      <c r="T39" s="110">
        <f t="shared" si="12"/>
        <v>54.409584500410439</v>
      </c>
      <c r="U39" s="110">
        <f t="shared" si="12"/>
        <v>0</v>
      </c>
      <c r="V39" s="110">
        <f t="shared" si="12"/>
        <v>54.409584500410439</v>
      </c>
      <c r="W39" s="110">
        <f t="shared" si="12"/>
        <v>0</v>
      </c>
      <c r="X39" s="110">
        <f t="shared" si="12"/>
        <v>54.409584500410439</v>
      </c>
      <c r="Y39" s="110">
        <f t="shared" si="12"/>
        <v>0</v>
      </c>
      <c r="Z39" s="110">
        <f t="shared" si="12"/>
        <v>0</v>
      </c>
      <c r="AA39" s="110">
        <f t="shared" si="12"/>
        <v>0</v>
      </c>
      <c r="AB39" s="110">
        <f t="shared" si="12"/>
        <v>0</v>
      </c>
      <c r="AC39" s="110">
        <f t="shared" si="12"/>
        <v>0</v>
      </c>
      <c r="AD39" s="110">
        <f t="shared" si="12"/>
        <v>40.809250379328532</v>
      </c>
      <c r="AE39" s="110">
        <f t="shared" si="12"/>
        <v>54.409584500410439</v>
      </c>
      <c r="AF39" s="110">
        <f t="shared" si="12"/>
        <v>40.809250379328532</v>
      </c>
      <c r="AG39" s="110">
        <f t="shared" si="12"/>
        <v>54.409584500410439</v>
      </c>
      <c r="AH39" s="110">
        <f t="shared" si="12"/>
        <v>40.809250379328532</v>
      </c>
      <c r="AI39" s="110">
        <f t="shared" si="12"/>
        <v>54.409584500410439</v>
      </c>
      <c r="AJ39" s="110">
        <f t="shared" si="12"/>
        <v>40.809250379328532</v>
      </c>
      <c r="AK39" s="110">
        <f t="shared" si="12"/>
        <v>54.409584500410439</v>
      </c>
      <c r="AL39" s="110">
        <f t="shared" si="12"/>
        <v>40.809250379328532</v>
      </c>
      <c r="AM39" s="110">
        <f t="shared" si="12"/>
        <v>54.409584500410439</v>
      </c>
      <c r="AN39" s="110">
        <f t="shared" si="12"/>
        <v>40.809250379328532</v>
      </c>
      <c r="AO39" s="110">
        <f t="shared" si="12"/>
        <v>54.409584500410439</v>
      </c>
      <c r="AP39" s="110">
        <f t="shared" si="12"/>
        <v>40.809250379328532</v>
      </c>
      <c r="AQ39" s="110">
        <f t="shared" si="12"/>
        <v>54.409584500410439</v>
      </c>
      <c r="AR39" s="110">
        <f t="shared" si="12"/>
        <v>40.809250379328532</v>
      </c>
      <c r="AS39" s="110">
        <f t="shared" si="12"/>
        <v>54.409584500410439</v>
      </c>
      <c r="AT39" s="110">
        <f t="shared" si="12"/>
        <v>40.809250379328532</v>
      </c>
      <c r="AU39" s="110">
        <f t="shared" si="12"/>
        <v>54.409584500410439</v>
      </c>
      <c r="AV39" s="110">
        <f t="shared" si="12"/>
        <v>40.809250379328532</v>
      </c>
      <c r="AW39" s="110">
        <f t="shared" si="12"/>
        <v>54.409584500410439</v>
      </c>
      <c r="AX39" s="110">
        <f t="shared" si="12"/>
        <v>40.809250379328532</v>
      </c>
      <c r="AY39" s="110">
        <f t="shared" si="12"/>
        <v>54.409584500410439</v>
      </c>
    </row>
    <row r="40" spans="1:52">
      <c r="A40" s="110"/>
      <c r="B40" s="165" t="s">
        <v>348</v>
      </c>
      <c r="C40" s="110"/>
      <c r="D40" s="110">
        <f>D34-D37</f>
        <v>65.608609205735434</v>
      </c>
      <c r="E40" s="110">
        <f t="shared" ref="E40:AY40" si="13">E34-E37</f>
        <v>65.608609205735419</v>
      </c>
      <c r="F40" s="110">
        <f t="shared" si="13"/>
        <v>65.608609205735419</v>
      </c>
      <c r="G40" s="110">
        <f t="shared" si="13"/>
        <v>65.608609205735419</v>
      </c>
      <c r="H40" s="110">
        <f t="shared" si="13"/>
        <v>65.608609205735419</v>
      </c>
      <c r="I40" s="110">
        <f t="shared" si="13"/>
        <v>52.486887364588341</v>
      </c>
      <c r="J40" s="110">
        <f t="shared" si="13"/>
        <v>36.087221485670248</v>
      </c>
      <c r="K40" s="110">
        <f t="shared" si="13"/>
        <v>52.486887364588341</v>
      </c>
      <c r="L40" s="110">
        <f t="shared" si="13"/>
        <v>36.087221485670248</v>
      </c>
      <c r="M40" s="110">
        <f t="shared" si="13"/>
        <v>65.608609205735419</v>
      </c>
      <c r="N40" s="110">
        <f t="shared" si="13"/>
        <v>0</v>
      </c>
      <c r="O40" s="110">
        <f t="shared" si="13"/>
        <v>0</v>
      </c>
      <c r="P40" s="110">
        <f t="shared" si="13"/>
        <v>65.608609205735419</v>
      </c>
      <c r="Q40" s="110">
        <f t="shared" si="13"/>
        <v>0</v>
      </c>
      <c r="R40" s="110">
        <f t="shared" si="13"/>
        <v>65.608609205735419</v>
      </c>
      <c r="S40" s="110">
        <f t="shared" si="13"/>
        <v>0</v>
      </c>
      <c r="T40" s="110">
        <f t="shared" si="13"/>
        <v>65.608609205735419</v>
      </c>
      <c r="U40" s="110">
        <f t="shared" si="13"/>
        <v>0</v>
      </c>
      <c r="V40" s="110">
        <f t="shared" si="13"/>
        <v>65.608609205735419</v>
      </c>
      <c r="W40" s="110">
        <f t="shared" si="13"/>
        <v>0</v>
      </c>
      <c r="X40" s="110">
        <f t="shared" si="13"/>
        <v>65.608609205735419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0</v>
      </c>
      <c r="AC40" s="110">
        <f t="shared" si="13"/>
        <v>0</v>
      </c>
      <c r="AD40" s="110">
        <f t="shared" si="13"/>
        <v>49.208943326817327</v>
      </c>
      <c r="AE40" s="110">
        <f t="shared" si="13"/>
        <v>65.608609205735419</v>
      </c>
      <c r="AF40" s="110">
        <f t="shared" si="13"/>
        <v>49.208943326817327</v>
      </c>
      <c r="AG40" s="110">
        <f t="shared" si="13"/>
        <v>65.608609205735419</v>
      </c>
      <c r="AH40" s="110">
        <f t="shared" si="13"/>
        <v>49.208943326817327</v>
      </c>
      <c r="AI40" s="110">
        <f t="shared" si="13"/>
        <v>65.608609205735419</v>
      </c>
      <c r="AJ40" s="110">
        <f t="shared" si="13"/>
        <v>49.208943326817327</v>
      </c>
      <c r="AK40" s="110">
        <f t="shared" si="13"/>
        <v>65.608609205735419</v>
      </c>
      <c r="AL40" s="110">
        <f t="shared" si="13"/>
        <v>49.208943326817327</v>
      </c>
      <c r="AM40" s="110">
        <f t="shared" si="13"/>
        <v>65.608609205735419</v>
      </c>
      <c r="AN40" s="110">
        <f t="shared" si="13"/>
        <v>49.208943326817327</v>
      </c>
      <c r="AO40" s="110">
        <f t="shared" si="13"/>
        <v>65.608609205735419</v>
      </c>
      <c r="AP40" s="110">
        <f t="shared" si="13"/>
        <v>49.208943326817327</v>
      </c>
      <c r="AQ40" s="110">
        <f t="shared" si="13"/>
        <v>65.608609205735419</v>
      </c>
      <c r="AR40" s="110">
        <f t="shared" si="13"/>
        <v>49.208943326817327</v>
      </c>
      <c r="AS40" s="110">
        <f t="shared" si="13"/>
        <v>65.608609205735419</v>
      </c>
      <c r="AT40" s="110">
        <f t="shared" si="13"/>
        <v>49.208943326817327</v>
      </c>
      <c r="AU40" s="110">
        <f t="shared" si="13"/>
        <v>65.608609205735419</v>
      </c>
      <c r="AV40" s="110">
        <f t="shared" si="13"/>
        <v>49.208943326817327</v>
      </c>
      <c r="AW40" s="110">
        <f t="shared" si="13"/>
        <v>65.608609205735419</v>
      </c>
      <c r="AX40" s="110">
        <f t="shared" si="13"/>
        <v>49.208943326817327</v>
      </c>
      <c r="AY40" s="110">
        <f t="shared" si="13"/>
        <v>65.608609205735419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1</v>
      </c>
      <c r="H41" s="110">
        <v>1</v>
      </c>
      <c r="I41" s="110">
        <v>2</v>
      </c>
      <c r="J41" s="110">
        <v>1</v>
      </c>
      <c r="K41" s="110">
        <v>1</v>
      </c>
      <c r="L41" s="110">
        <v>1</v>
      </c>
      <c r="M41" s="110">
        <v>1</v>
      </c>
      <c r="N41" s="110">
        <v>2</v>
      </c>
      <c r="O41" s="110">
        <v>2</v>
      </c>
      <c r="P41" s="110">
        <v>1</v>
      </c>
      <c r="Q41" s="110">
        <v>2</v>
      </c>
      <c r="R41" s="110">
        <v>3</v>
      </c>
      <c r="S41" s="110">
        <v>1</v>
      </c>
      <c r="T41" s="110">
        <v>1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1</v>
      </c>
      <c r="AA41" s="110">
        <v>1</v>
      </c>
      <c r="AB41" s="110">
        <v>2</v>
      </c>
      <c r="AC41" s="110">
        <v>1</v>
      </c>
      <c r="AD41" s="110">
        <v>3</v>
      </c>
      <c r="AE41" s="110">
        <v>2</v>
      </c>
      <c r="AF41" s="110">
        <v>2</v>
      </c>
      <c r="AG41" s="110">
        <v>2</v>
      </c>
      <c r="AH41" s="110">
        <v>1</v>
      </c>
      <c r="AI41" s="110">
        <v>1</v>
      </c>
      <c r="AJ41" s="110">
        <v>2</v>
      </c>
      <c r="AK41" s="110">
        <v>1</v>
      </c>
      <c r="AL41" s="110">
        <v>1</v>
      </c>
      <c r="AM41" s="110">
        <v>1</v>
      </c>
      <c r="AN41" s="110">
        <v>2</v>
      </c>
      <c r="AO41" s="110">
        <v>3</v>
      </c>
      <c r="AP41" s="110">
        <v>1</v>
      </c>
      <c r="AQ41" s="110">
        <v>1</v>
      </c>
      <c r="AR41" s="110">
        <v>1</v>
      </c>
      <c r="AS41" s="110">
        <v>2</v>
      </c>
      <c r="AT41" s="110">
        <v>1</v>
      </c>
      <c r="AU41" s="110">
        <v>1</v>
      </c>
      <c r="AV41" s="110">
        <v>1</v>
      </c>
      <c r="AW41" s="110">
        <v>1</v>
      </c>
      <c r="AX41" s="110">
        <v>2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44100</v>
      </c>
      <c r="K42" s="110">
        <v>0</v>
      </c>
      <c r="L42" s="110">
        <v>44100</v>
      </c>
      <c r="M42" s="110">
        <v>0</v>
      </c>
      <c r="N42" s="110">
        <v>0</v>
      </c>
      <c r="O42" s="110">
        <v>220500</v>
      </c>
      <c r="P42" s="110">
        <v>0</v>
      </c>
      <c r="Q42" s="110">
        <v>220500</v>
      </c>
      <c r="R42" s="110">
        <v>0</v>
      </c>
      <c r="S42" s="110">
        <v>220500</v>
      </c>
      <c r="T42" s="110">
        <v>0</v>
      </c>
      <c r="U42" s="110">
        <v>220500</v>
      </c>
      <c r="V42" s="110">
        <v>0</v>
      </c>
      <c r="W42" s="110">
        <v>220500</v>
      </c>
      <c r="X42" s="110">
        <v>0</v>
      </c>
      <c r="Y42" s="110">
        <v>44100</v>
      </c>
      <c r="Z42" s="110">
        <v>44100</v>
      </c>
      <c r="AA42" s="110">
        <v>44100</v>
      </c>
      <c r="AB42" s="110">
        <v>44100</v>
      </c>
      <c r="AC42" s="110">
        <v>88200</v>
      </c>
      <c r="AD42" s="110">
        <v>44100</v>
      </c>
      <c r="AE42" s="110">
        <v>0</v>
      </c>
      <c r="AF42" s="110">
        <v>44100</v>
      </c>
      <c r="AG42" s="110">
        <v>0</v>
      </c>
      <c r="AH42" s="110">
        <v>44100</v>
      </c>
      <c r="AI42" s="110">
        <v>0</v>
      </c>
      <c r="AJ42" s="110">
        <v>44100</v>
      </c>
      <c r="AK42" s="110">
        <v>0</v>
      </c>
      <c r="AL42" s="110">
        <v>44100</v>
      </c>
      <c r="AM42" s="110">
        <v>0</v>
      </c>
      <c r="AN42" s="110">
        <v>44100</v>
      </c>
      <c r="AO42" s="110">
        <v>0</v>
      </c>
      <c r="AP42" s="110">
        <v>44100</v>
      </c>
      <c r="AQ42" s="110">
        <v>0</v>
      </c>
      <c r="AR42" s="110">
        <v>44100</v>
      </c>
      <c r="AS42" s="110">
        <v>0</v>
      </c>
      <c r="AT42" s="110">
        <v>44100</v>
      </c>
      <c r="AU42" s="110">
        <v>0</v>
      </c>
      <c r="AV42" s="110">
        <v>44100</v>
      </c>
      <c r="AW42" s="110">
        <v>0</v>
      </c>
      <c r="AX42" s="110">
        <v>44100</v>
      </c>
      <c r="AY42" s="110">
        <v>0</v>
      </c>
      <c r="AZ42" s="100">
        <f>SUM($D$42:$AY$42)</f>
        <v>1940400</v>
      </c>
    </row>
    <row r="43" spans="1:52">
      <c r="A43" s="110"/>
      <c r="B43" s="178" t="s">
        <v>351</v>
      </c>
      <c r="C43" s="110"/>
      <c r="D43" s="110">
        <v>95564.486738518637</v>
      </c>
      <c r="E43" s="110">
        <v>95564.486738518637</v>
      </c>
      <c r="F43" s="110">
        <v>95564.486738518637</v>
      </c>
      <c r="G43" s="110">
        <v>95564.486738518637</v>
      </c>
      <c r="H43" s="110">
        <v>95564.486738518637</v>
      </c>
      <c r="I43" s="110">
        <v>76451.589390814916</v>
      </c>
      <c r="J43" s="110">
        <v>52564.089390814923</v>
      </c>
      <c r="K43" s="110">
        <v>76451.589390814916</v>
      </c>
      <c r="L43" s="110">
        <v>52564.089390814923</v>
      </c>
      <c r="M43" s="110">
        <v>95564.486738518637</v>
      </c>
      <c r="N43" s="110">
        <v>0</v>
      </c>
      <c r="O43" s="110">
        <v>0</v>
      </c>
      <c r="P43" s="110">
        <v>95564.486738518637</v>
      </c>
      <c r="Q43" s="110">
        <v>0</v>
      </c>
      <c r="R43" s="110">
        <v>95564.486738518637</v>
      </c>
      <c r="S43" s="110">
        <v>0</v>
      </c>
      <c r="T43" s="110">
        <v>95564.486738518637</v>
      </c>
      <c r="U43" s="110">
        <v>0</v>
      </c>
      <c r="V43" s="110">
        <v>95564.486738518637</v>
      </c>
      <c r="W43" s="110">
        <v>0</v>
      </c>
      <c r="X43" s="110">
        <v>95564.486738518637</v>
      </c>
      <c r="Y43" s="110">
        <v>0</v>
      </c>
      <c r="Z43" s="110">
        <v>0</v>
      </c>
      <c r="AA43" s="110">
        <v>0</v>
      </c>
      <c r="AB43" s="110">
        <v>0</v>
      </c>
      <c r="AC43" s="110">
        <v>0</v>
      </c>
      <c r="AD43" s="110">
        <v>71676.986738518652</v>
      </c>
      <c r="AE43" s="110">
        <v>95564.486738518637</v>
      </c>
      <c r="AF43" s="110">
        <v>71676.986738518652</v>
      </c>
      <c r="AG43" s="110">
        <v>95564.486738518637</v>
      </c>
      <c r="AH43" s="110">
        <v>71676.986738518652</v>
      </c>
      <c r="AI43" s="110">
        <v>95564.486738518637</v>
      </c>
      <c r="AJ43" s="110">
        <v>71676.986738518652</v>
      </c>
      <c r="AK43" s="110">
        <v>95564.486738518637</v>
      </c>
      <c r="AL43" s="110">
        <v>71676.986738518652</v>
      </c>
      <c r="AM43" s="110">
        <v>95564.486738518637</v>
      </c>
      <c r="AN43" s="110">
        <v>71676.986738518652</v>
      </c>
      <c r="AO43" s="110">
        <v>95564.486738518637</v>
      </c>
      <c r="AP43" s="110">
        <v>71676.986738518652</v>
      </c>
      <c r="AQ43" s="110">
        <v>95564.486738518637</v>
      </c>
      <c r="AR43" s="110">
        <v>71676.986738518652</v>
      </c>
      <c r="AS43" s="110">
        <v>95564.486738518637</v>
      </c>
      <c r="AT43" s="110">
        <v>71676.986738518652</v>
      </c>
      <c r="AU43" s="110">
        <v>95564.486738518637</v>
      </c>
      <c r="AV43" s="110">
        <v>71676.986738518652</v>
      </c>
      <c r="AW43" s="110">
        <v>95564.486738518637</v>
      </c>
      <c r="AX43" s="110">
        <v>71676.986738518652</v>
      </c>
      <c r="AY43" s="110">
        <v>95564.486738518637</v>
      </c>
      <c r="AZ43" s="100">
        <f>SUM($D$43:$AY$43)</f>
        <v>3148896.9199343761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169.99999999999997</v>
      </c>
      <c r="E44" s="124">
        <f>E$21*shipping_manufacturing!$D$28/100</f>
        <v>169.99999999999997</v>
      </c>
      <c r="F44" s="124">
        <f>F$21*shipping_manufacturing!$D$28/100</f>
        <v>169.99999999999997</v>
      </c>
      <c r="G44" s="124">
        <f>G$21*shipping_manufacturing!$D$28/100</f>
        <v>169.99999999999997</v>
      </c>
      <c r="H44" s="124">
        <f>H$21*shipping_manufacturing!$D$28/100</f>
        <v>169.99999999999997</v>
      </c>
      <c r="I44" s="124">
        <f>I$21*shipping_manufacturing!$D$28/100</f>
        <v>135.99999999999997</v>
      </c>
      <c r="J44" s="124">
        <f>J$21*shipping_manufacturing!$D$28/100</f>
        <v>135.99999999999997</v>
      </c>
      <c r="K44" s="124">
        <f>K$21*shipping_manufacturing!$D$28/100</f>
        <v>135.99999999999997</v>
      </c>
      <c r="L44" s="124">
        <f>L$21*shipping_manufacturing!$D$28/100</f>
        <v>135.99999999999997</v>
      </c>
      <c r="M44" s="124">
        <f>M$21*shipping_manufacturing!$D$28/100</f>
        <v>169.99999999999997</v>
      </c>
      <c r="N44" s="124">
        <f>N$21*shipping_manufacturing!$D$28/100</f>
        <v>0</v>
      </c>
      <c r="O44" s="124">
        <f>O$21*shipping_manufacturing!$D$28/100</f>
        <v>170.00000000000114</v>
      </c>
      <c r="P44" s="124">
        <f>P$21*shipping_manufacturing!$D$28/100</f>
        <v>169.99999999999997</v>
      </c>
      <c r="Q44" s="124">
        <f>Q$21*shipping_manufacturing!$D$28/100</f>
        <v>169.99999999999997</v>
      </c>
      <c r="R44" s="124">
        <f>R$21*shipping_manufacturing!$D$28/100</f>
        <v>169.99999999999997</v>
      </c>
      <c r="S44" s="124">
        <f>S$21*shipping_manufacturing!$D$28/100</f>
        <v>169.99999999999997</v>
      </c>
      <c r="T44" s="124">
        <f>T$21*shipping_manufacturing!$D$28/100</f>
        <v>169.99999999999997</v>
      </c>
      <c r="U44" s="124">
        <f>U$21*shipping_manufacturing!$D$28/100</f>
        <v>169.99999999999997</v>
      </c>
      <c r="V44" s="124">
        <f>V$21*shipping_manufacturing!$D$28/100</f>
        <v>169.99999999999997</v>
      </c>
      <c r="W44" s="124">
        <f>W$21*shipping_manufacturing!$D$28/100</f>
        <v>169.99999999999997</v>
      </c>
      <c r="X44" s="124">
        <f>X$21*shipping_manufacturing!$D$28/100</f>
        <v>169.99999999999997</v>
      </c>
      <c r="Y44" s="124">
        <f>Y$21*shipping_manufacturing!$D$28/100</f>
        <v>1.3745433092552688E-20</v>
      </c>
      <c r="Z44" s="124">
        <f>Z$21*shipping_manufacturing!$D$28/100</f>
        <v>1.3745433092552688E-20</v>
      </c>
      <c r="AA44" s="124">
        <f>AA$21*shipping_manufacturing!$D$28/100</f>
        <v>1.3745433092552688E-20</v>
      </c>
      <c r="AB44" s="124">
        <f>AB$21*shipping_manufacturing!$D$28/100</f>
        <v>1.3745433092552688E-20</v>
      </c>
      <c r="AC44" s="124">
        <f>AC$21*shipping_manufacturing!$D$28/100</f>
        <v>67.207439347422365</v>
      </c>
      <c r="AD44" s="124">
        <f>AD$21*shipping_manufacturing!$D$28/100</f>
        <v>169.99999999999997</v>
      </c>
      <c r="AE44" s="124">
        <f>AE$21*shipping_manufacturing!$D$28/100</f>
        <v>169.99999999999997</v>
      </c>
      <c r="AF44" s="124">
        <f>AF$21*shipping_manufacturing!$D$28/100</f>
        <v>169.99999999999997</v>
      </c>
      <c r="AG44" s="124">
        <f>AG$21*shipping_manufacturing!$D$28/100</f>
        <v>169.99999999999997</v>
      </c>
      <c r="AH44" s="124">
        <f>AH$21*shipping_manufacturing!$D$28/100</f>
        <v>169.99999999999997</v>
      </c>
      <c r="AI44" s="124">
        <f>AI$21*shipping_manufacturing!$D$28/100</f>
        <v>169.99999999999997</v>
      </c>
      <c r="AJ44" s="124">
        <f>AJ$21*shipping_manufacturing!$D$28/100</f>
        <v>169.99999999999997</v>
      </c>
      <c r="AK44" s="124">
        <f>AK$21*shipping_manufacturing!$D$28/100</f>
        <v>169.99999999999997</v>
      </c>
      <c r="AL44" s="124">
        <f>AL$21*shipping_manufacturing!$D$28/100</f>
        <v>169.99999999999997</v>
      </c>
      <c r="AM44" s="124">
        <f>AM$21*shipping_manufacturing!$D$28/100</f>
        <v>169.99999999999997</v>
      </c>
      <c r="AN44" s="124">
        <f>AN$21*shipping_manufacturing!$D$28/100</f>
        <v>169.99999999999997</v>
      </c>
      <c r="AO44" s="124">
        <f>AO$21*shipping_manufacturing!$D$28/100</f>
        <v>169.99999999999997</v>
      </c>
      <c r="AP44" s="124">
        <f>AP$21*shipping_manufacturing!$D$28/100</f>
        <v>169.99999999999997</v>
      </c>
      <c r="AQ44" s="124">
        <f>AQ$21*shipping_manufacturing!$D$28/100</f>
        <v>169.99999999999997</v>
      </c>
      <c r="AR44" s="124">
        <f>AR$21*shipping_manufacturing!$D$28/100</f>
        <v>169.99999999999997</v>
      </c>
      <c r="AS44" s="124">
        <f>AS$21*shipping_manufacturing!$D$28/100</f>
        <v>169.99999999999997</v>
      </c>
      <c r="AT44" s="124">
        <f>AT$21*shipping_manufacturing!$D$28/100</f>
        <v>169.99999999999997</v>
      </c>
      <c r="AU44" s="124">
        <f>AU$21*shipping_manufacturing!$D$28/100</f>
        <v>169.99999999999997</v>
      </c>
      <c r="AV44" s="124">
        <f>AV$21*shipping_manufacturing!$D$28/100</f>
        <v>169.99999999999997</v>
      </c>
      <c r="AW44" s="124">
        <f>AW$21*shipping_manufacturing!$D$28/100</f>
        <v>169.99999999999997</v>
      </c>
      <c r="AX44" s="124">
        <f>AX$21*shipping_manufacturing!$D$28/100</f>
        <v>169.99999999999997</v>
      </c>
      <c r="AY44" s="124">
        <f>AY$21*shipping_manufacturing!$D$28/100</f>
        <v>169.99999999999997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309.98180629385013</v>
      </c>
      <c r="E45" s="110">
        <f>E$22*shipping_manufacturing!$E$28/100</f>
        <v>309.98180629385007</v>
      </c>
      <c r="F45" s="110">
        <f>F$22*shipping_manufacturing!$E$28/100</f>
        <v>309.98180629385007</v>
      </c>
      <c r="G45" s="110">
        <f>G$22*shipping_manufacturing!$E$28/100</f>
        <v>309.98180629385007</v>
      </c>
      <c r="H45" s="110">
        <f>H$22*shipping_manufacturing!$E$28/100</f>
        <v>309.98180629385007</v>
      </c>
      <c r="I45" s="110">
        <f>I$22*shipping_manufacturing!$E$28/100</f>
        <v>247.98544503508003</v>
      </c>
      <c r="J45" s="110">
        <f>J$22*shipping_manufacturing!$E$28/100</f>
        <v>247.98544503508003</v>
      </c>
      <c r="K45" s="110">
        <f>K$22*shipping_manufacturing!$E$28/100</f>
        <v>247.98544503508003</v>
      </c>
      <c r="L45" s="110">
        <f>L$22*shipping_manufacturing!$E$28/100</f>
        <v>247.98544503508003</v>
      </c>
      <c r="M45" s="110">
        <f>M$22*shipping_manufacturing!$E$28/100</f>
        <v>309.98180629385007</v>
      </c>
      <c r="N45" s="110">
        <f>N$22*shipping_manufacturing!$E$28/100</f>
        <v>0</v>
      </c>
      <c r="O45" s="110">
        <f>O$22*shipping_manufacturing!$E$28/100</f>
        <v>309.98180629385217</v>
      </c>
      <c r="P45" s="110">
        <f>P$22*shipping_manufacturing!$E$28/100</f>
        <v>309.98180629385007</v>
      </c>
      <c r="Q45" s="110">
        <f>Q$22*shipping_manufacturing!$E$28/100</f>
        <v>309.98180629385007</v>
      </c>
      <c r="R45" s="110">
        <f>R$22*shipping_manufacturing!$E$28/100</f>
        <v>309.98180629385007</v>
      </c>
      <c r="S45" s="110">
        <f>S$22*shipping_manufacturing!$E$28/100</f>
        <v>309.98180629385007</v>
      </c>
      <c r="T45" s="110">
        <f>T$22*shipping_manufacturing!$E$28/100</f>
        <v>309.98180629385007</v>
      </c>
      <c r="U45" s="110">
        <f>U$22*shipping_manufacturing!$E$28/100</f>
        <v>309.98180629385007</v>
      </c>
      <c r="V45" s="110">
        <f>V$22*shipping_manufacturing!$E$28/100</f>
        <v>309.98180629385007</v>
      </c>
      <c r="W45" s="110">
        <f>W$22*shipping_manufacturing!$E$28/100</f>
        <v>309.98180629385007</v>
      </c>
      <c r="X45" s="110">
        <f>X$22*shipping_manufacturing!$E$28/100</f>
        <v>309.98180629385007</v>
      </c>
      <c r="Y45" s="110">
        <f>Y$22*shipping_manufacturing!$E$28/100</f>
        <v>2.5063730460710268E-20</v>
      </c>
      <c r="Z45" s="110">
        <f>Z$22*shipping_manufacturing!$E$28/100</f>
        <v>2.5063730460710268E-20</v>
      </c>
      <c r="AA45" s="110">
        <f>AA$22*shipping_manufacturing!$E$28/100</f>
        <v>2.5063730460710268E-20</v>
      </c>
      <c r="AB45" s="110">
        <f>AB$22*shipping_manufacturing!$E$28/100</f>
        <v>2.5063730460710268E-20</v>
      </c>
      <c r="AC45" s="110">
        <f>AC$22*shipping_manufacturing!$E$28/100</f>
        <v>122.54754967822568</v>
      </c>
      <c r="AD45" s="110">
        <f>AD$22*shipping_manufacturing!$E$28/100</f>
        <v>309.98180629385007</v>
      </c>
      <c r="AE45" s="110">
        <f>AE$22*shipping_manufacturing!$E$28/100</f>
        <v>309.98180629385007</v>
      </c>
      <c r="AF45" s="110">
        <f>AF$22*shipping_manufacturing!$E$28/100</f>
        <v>309.98180629385007</v>
      </c>
      <c r="AG45" s="110">
        <f>AG$22*shipping_manufacturing!$E$28/100</f>
        <v>309.98180629385007</v>
      </c>
      <c r="AH45" s="110">
        <f>AH$22*shipping_manufacturing!$E$28/100</f>
        <v>309.98180629385007</v>
      </c>
      <c r="AI45" s="110">
        <f>AI$22*shipping_manufacturing!$E$28/100</f>
        <v>309.98180629385007</v>
      </c>
      <c r="AJ45" s="110">
        <f>AJ$22*shipping_manufacturing!$E$28/100</f>
        <v>309.98180629385007</v>
      </c>
      <c r="AK45" s="110">
        <f>AK$22*shipping_manufacturing!$E$28/100</f>
        <v>309.98180629385007</v>
      </c>
      <c r="AL45" s="110">
        <f>AL$22*shipping_manufacturing!$E$28/100</f>
        <v>309.98180629385007</v>
      </c>
      <c r="AM45" s="110">
        <f>AM$22*shipping_manufacturing!$E$28/100</f>
        <v>309.98180629385007</v>
      </c>
      <c r="AN45" s="110">
        <f>AN$22*shipping_manufacturing!$E$28/100</f>
        <v>309.98180629385007</v>
      </c>
      <c r="AO45" s="110">
        <f>AO$22*shipping_manufacturing!$E$28/100</f>
        <v>309.98180629385007</v>
      </c>
      <c r="AP45" s="110">
        <f>AP$22*shipping_manufacturing!$E$28/100</f>
        <v>309.98180629385007</v>
      </c>
      <c r="AQ45" s="110">
        <f>AQ$22*shipping_manufacturing!$E$28/100</f>
        <v>309.98180629385007</v>
      </c>
      <c r="AR45" s="110">
        <f>AR$22*shipping_manufacturing!$E$28/100</f>
        <v>309.98180629385007</v>
      </c>
      <c r="AS45" s="110">
        <f>AS$22*shipping_manufacturing!$E$28/100</f>
        <v>309.98180629385007</v>
      </c>
      <c r="AT45" s="110">
        <f>AT$22*shipping_manufacturing!$E$28/100</f>
        <v>309.98180629385007</v>
      </c>
      <c r="AU45" s="110">
        <f>AU$22*shipping_manufacturing!$E$28/100</f>
        <v>309.98180629385007</v>
      </c>
      <c r="AV45" s="110">
        <f>AV$22*shipping_manufacturing!$E$28/100</f>
        <v>309.98180629385007</v>
      </c>
      <c r="AW45" s="110">
        <f>AW$22*shipping_manufacturing!$E$28/100</f>
        <v>309.98180629385007</v>
      </c>
      <c r="AX45" s="110">
        <f>AX$22*shipping_manufacturing!$E$28/100</f>
        <v>309.98180629385007</v>
      </c>
      <c r="AY45" s="110">
        <f>AY$22*shipping_manufacturing!$E$28/100</f>
        <v>309.98180629385007</v>
      </c>
    </row>
    <row r="46" spans="1:52">
      <c r="A46" s="110">
        <v>89</v>
      </c>
      <c r="B46" s="165" t="s">
        <v>343</v>
      </c>
      <c r="C46" s="110"/>
      <c r="D46" s="110">
        <f>SUM(D44:D45)</f>
        <v>479.98180629385013</v>
      </c>
      <c r="E46" s="110">
        <f t="shared" ref="E46:AY46" si="14">SUM(E44:E45)</f>
        <v>479.98180629385001</v>
      </c>
      <c r="F46" s="110">
        <f t="shared" si="14"/>
        <v>479.98180629385001</v>
      </c>
      <c r="G46" s="110">
        <f t="shared" si="14"/>
        <v>479.98180629385001</v>
      </c>
      <c r="H46" s="110">
        <f t="shared" si="14"/>
        <v>479.98180629385001</v>
      </c>
      <c r="I46" s="110">
        <f t="shared" si="14"/>
        <v>383.98544503508003</v>
      </c>
      <c r="J46" s="110">
        <f t="shared" si="14"/>
        <v>383.98544503508003</v>
      </c>
      <c r="K46" s="110">
        <f t="shared" si="14"/>
        <v>383.98544503508003</v>
      </c>
      <c r="L46" s="110">
        <f t="shared" si="14"/>
        <v>383.98544503508003</v>
      </c>
      <c r="M46" s="110">
        <f t="shared" si="14"/>
        <v>479.98180629385001</v>
      </c>
      <c r="N46" s="110">
        <f t="shared" si="14"/>
        <v>0</v>
      </c>
      <c r="O46" s="110">
        <f t="shared" si="14"/>
        <v>479.98180629385331</v>
      </c>
      <c r="P46" s="110">
        <f t="shared" si="14"/>
        <v>479.98180629385001</v>
      </c>
      <c r="Q46" s="110">
        <f t="shared" si="14"/>
        <v>479.98180629385001</v>
      </c>
      <c r="R46" s="110">
        <f t="shared" si="14"/>
        <v>479.98180629385001</v>
      </c>
      <c r="S46" s="110">
        <f t="shared" si="14"/>
        <v>479.98180629385001</v>
      </c>
      <c r="T46" s="110">
        <f t="shared" si="14"/>
        <v>479.98180629385001</v>
      </c>
      <c r="U46" s="110">
        <f t="shared" si="14"/>
        <v>479.98180629385001</v>
      </c>
      <c r="V46" s="110">
        <f t="shared" si="14"/>
        <v>479.98180629385001</v>
      </c>
      <c r="W46" s="110">
        <f t="shared" si="14"/>
        <v>479.98180629385001</v>
      </c>
      <c r="X46" s="110">
        <f t="shared" si="14"/>
        <v>479.98180629385001</v>
      </c>
      <c r="Y46" s="110">
        <f t="shared" si="14"/>
        <v>3.8809163553262954E-20</v>
      </c>
      <c r="Z46" s="110">
        <f t="shared" si="14"/>
        <v>3.8809163553262954E-20</v>
      </c>
      <c r="AA46" s="110">
        <f t="shared" si="14"/>
        <v>3.8809163553262954E-20</v>
      </c>
      <c r="AB46" s="110">
        <f t="shared" si="14"/>
        <v>3.8809163553262954E-20</v>
      </c>
      <c r="AC46" s="110">
        <f t="shared" si="14"/>
        <v>189.75498902564806</v>
      </c>
      <c r="AD46" s="110">
        <f t="shared" si="14"/>
        <v>479.98180629385001</v>
      </c>
      <c r="AE46" s="110">
        <f t="shared" si="14"/>
        <v>479.98180629385001</v>
      </c>
      <c r="AF46" s="110">
        <f t="shared" si="14"/>
        <v>479.98180629385001</v>
      </c>
      <c r="AG46" s="110">
        <f t="shared" si="14"/>
        <v>479.98180629385001</v>
      </c>
      <c r="AH46" s="110">
        <f t="shared" si="14"/>
        <v>479.98180629385001</v>
      </c>
      <c r="AI46" s="110">
        <f t="shared" si="14"/>
        <v>479.98180629385001</v>
      </c>
      <c r="AJ46" s="110">
        <f t="shared" si="14"/>
        <v>479.98180629385001</v>
      </c>
      <c r="AK46" s="110">
        <f t="shared" si="14"/>
        <v>479.98180629385001</v>
      </c>
      <c r="AL46" s="110">
        <f t="shared" si="14"/>
        <v>479.98180629385001</v>
      </c>
      <c r="AM46" s="110">
        <f t="shared" si="14"/>
        <v>479.98180629385001</v>
      </c>
      <c r="AN46" s="110">
        <f t="shared" si="14"/>
        <v>479.98180629385001</v>
      </c>
      <c r="AO46" s="110">
        <f t="shared" si="14"/>
        <v>479.98180629385001</v>
      </c>
      <c r="AP46" s="110">
        <f t="shared" si="14"/>
        <v>479.98180629385001</v>
      </c>
      <c r="AQ46" s="110">
        <f t="shared" si="14"/>
        <v>479.98180629385001</v>
      </c>
      <c r="AR46" s="110">
        <f t="shared" si="14"/>
        <v>479.98180629385001</v>
      </c>
      <c r="AS46" s="110">
        <f t="shared" si="14"/>
        <v>479.98180629385001</v>
      </c>
      <c r="AT46" s="110">
        <f t="shared" si="14"/>
        <v>479.98180629385001</v>
      </c>
      <c r="AU46" s="110">
        <f t="shared" si="14"/>
        <v>479.98180629385001</v>
      </c>
      <c r="AV46" s="110">
        <f t="shared" si="14"/>
        <v>479.98180629385001</v>
      </c>
      <c r="AW46" s="110">
        <f t="shared" si="14"/>
        <v>479.98180629385001</v>
      </c>
      <c r="AX46" s="110">
        <f t="shared" si="14"/>
        <v>479.98180629385001</v>
      </c>
      <c r="AY46" s="110">
        <f t="shared" si="14"/>
        <v>479.98180629385001</v>
      </c>
    </row>
    <row r="47" spans="1:52">
      <c r="A47" s="110"/>
      <c r="B47" s="165" t="s">
        <v>344</v>
      </c>
      <c r="C47" s="110"/>
      <c r="D47" s="110">
        <v>127.50483288637957</v>
      </c>
      <c r="E47" s="110">
        <v>106.25402740531639</v>
      </c>
      <c r="F47" s="110">
        <v>127.50483288637967</v>
      </c>
      <c r="G47" s="110">
        <v>106.25402740531639</v>
      </c>
      <c r="H47" s="110">
        <v>127.50483288637967</v>
      </c>
      <c r="I47" s="110">
        <v>106.25402740531632</v>
      </c>
      <c r="J47" s="110">
        <v>116.87943014584795</v>
      </c>
      <c r="K47" s="110">
        <v>106.25402740531632</v>
      </c>
      <c r="L47" s="110">
        <v>116.87943014584795</v>
      </c>
      <c r="M47" s="110">
        <v>106.25402740531639</v>
      </c>
      <c r="N47" s="110"/>
      <c r="O47" s="110">
        <v>170.00000000000117</v>
      </c>
      <c r="P47" s="110">
        <v>10.625402740531637</v>
      </c>
      <c r="Q47" s="110">
        <v>170</v>
      </c>
      <c r="R47" s="110">
        <v>10.625402740531637</v>
      </c>
      <c r="S47" s="110">
        <v>170</v>
      </c>
      <c r="T47" s="110">
        <v>10.625402740531637</v>
      </c>
      <c r="U47" s="110">
        <v>170</v>
      </c>
      <c r="V47" s="110">
        <v>10.625402740531637</v>
      </c>
      <c r="W47" s="110">
        <v>170</v>
      </c>
      <c r="X47" s="110">
        <v>10.625402740531637</v>
      </c>
      <c r="Y47" s="110">
        <v>1.3745433092552688E-20</v>
      </c>
      <c r="Z47" s="110">
        <v>1.3745433092552688E-20</v>
      </c>
      <c r="AA47" s="110">
        <v>1.3745433092552688E-20</v>
      </c>
      <c r="AB47" s="110">
        <v>1.3745433092552688E-20</v>
      </c>
      <c r="AC47" s="110">
        <v>67.207439347422365</v>
      </c>
      <c r="AD47" s="110">
        <v>127.50483288637967</v>
      </c>
      <c r="AE47" s="110">
        <v>95.628624664784752</v>
      </c>
      <c r="AF47" s="110">
        <v>127.50483288637967</v>
      </c>
      <c r="AG47" s="110">
        <v>95.628624664784752</v>
      </c>
      <c r="AH47" s="110">
        <v>127.50483288637967</v>
      </c>
      <c r="AI47" s="110">
        <v>95.628624664784752</v>
      </c>
      <c r="AJ47" s="110">
        <v>127.50483288637967</v>
      </c>
      <c r="AK47" s="110">
        <v>95.628624664784752</v>
      </c>
      <c r="AL47" s="110">
        <v>127.50483288637967</v>
      </c>
      <c r="AM47" s="110">
        <v>95.628624664784752</v>
      </c>
      <c r="AN47" s="110">
        <v>127.50483288637967</v>
      </c>
      <c r="AO47" s="110">
        <v>95.628624664784752</v>
      </c>
      <c r="AP47" s="110">
        <v>127.50483288637967</v>
      </c>
      <c r="AQ47" s="110">
        <v>95.628624664784752</v>
      </c>
      <c r="AR47" s="110">
        <v>127.50483288637967</v>
      </c>
      <c r="AS47" s="110">
        <v>95.628624664784752</v>
      </c>
      <c r="AT47" s="110">
        <v>127.50483288637967</v>
      </c>
      <c r="AU47" s="110">
        <v>95.628624664784752</v>
      </c>
      <c r="AV47" s="110">
        <v>127.50483288637967</v>
      </c>
      <c r="AW47" s="110">
        <v>95.628624664784752</v>
      </c>
      <c r="AX47" s="110">
        <v>127.50483288637967</v>
      </c>
      <c r="AY47" s="110">
        <v>95.628624664784752</v>
      </c>
    </row>
    <row r="48" spans="1:52">
      <c r="A48" s="110"/>
      <c r="B48" s="165" t="s">
        <v>345</v>
      </c>
      <c r="C48" s="110"/>
      <c r="D48" s="110">
        <v>232.49516711362037</v>
      </c>
      <c r="E48" s="110">
        <v>193.74597259468362</v>
      </c>
      <c r="F48" s="110">
        <v>232.49516711362037</v>
      </c>
      <c r="G48" s="110">
        <v>193.74597259468362</v>
      </c>
      <c r="H48" s="110">
        <v>232.49516711362037</v>
      </c>
      <c r="I48" s="110">
        <v>193.74597259468362</v>
      </c>
      <c r="J48" s="110">
        <v>213.120569854152</v>
      </c>
      <c r="K48" s="110">
        <v>193.74597259468362</v>
      </c>
      <c r="L48" s="110">
        <v>213.120569854152</v>
      </c>
      <c r="M48" s="110">
        <v>193.74597259468362</v>
      </c>
      <c r="N48" s="110"/>
      <c r="O48" s="110">
        <v>309.98180629385223</v>
      </c>
      <c r="P48" s="110">
        <v>19.374597259468366</v>
      </c>
      <c r="Q48" s="110">
        <v>309.98180629385001</v>
      </c>
      <c r="R48" s="110">
        <v>19.374597259468366</v>
      </c>
      <c r="S48" s="110">
        <v>309.98180629385001</v>
      </c>
      <c r="T48" s="110">
        <v>19.374597259468366</v>
      </c>
      <c r="U48" s="110">
        <v>309.98180629385001</v>
      </c>
      <c r="V48" s="110">
        <v>19.374597259468366</v>
      </c>
      <c r="W48" s="110">
        <v>309.98180629385001</v>
      </c>
      <c r="X48" s="110">
        <v>19.374597259468366</v>
      </c>
      <c r="Y48" s="110">
        <v>2.5063730460710268E-20</v>
      </c>
      <c r="Z48" s="110">
        <v>2.5063730460710268E-20</v>
      </c>
      <c r="AA48" s="110">
        <v>2.5063730460710268E-20</v>
      </c>
      <c r="AB48" s="110">
        <v>2.5063730460710268E-20</v>
      </c>
      <c r="AC48" s="110">
        <v>122.54754967822571</v>
      </c>
      <c r="AD48" s="110">
        <v>232.49516711362037</v>
      </c>
      <c r="AE48" s="110">
        <v>174.37137533521525</v>
      </c>
      <c r="AF48" s="110">
        <v>232.49516711362037</v>
      </c>
      <c r="AG48" s="110">
        <v>174.37137533521525</v>
      </c>
      <c r="AH48" s="110">
        <v>232.49516711362037</v>
      </c>
      <c r="AI48" s="110">
        <v>174.37137533521525</v>
      </c>
      <c r="AJ48" s="110">
        <v>232.49516711362037</v>
      </c>
      <c r="AK48" s="110">
        <v>174.37137533521525</v>
      </c>
      <c r="AL48" s="110">
        <v>232.49516711362037</v>
      </c>
      <c r="AM48" s="110">
        <v>174.37137533521525</v>
      </c>
      <c r="AN48" s="110">
        <v>232.49516711362037</v>
      </c>
      <c r="AO48" s="110">
        <v>174.37137533521525</v>
      </c>
      <c r="AP48" s="110">
        <v>232.49516711362037</v>
      </c>
      <c r="AQ48" s="110">
        <v>174.37137533521525</v>
      </c>
      <c r="AR48" s="110">
        <v>232.49516711362037</v>
      </c>
      <c r="AS48" s="110">
        <v>174.37137533521525</v>
      </c>
      <c r="AT48" s="110">
        <v>232.49516711362037</v>
      </c>
      <c r="AU48" s="110">
        <v>174.37137533521525</v>
      </c>
      <c r="AV48" s="110">
        <v>232.49516711362037</v>
      </c>
      <c r="AW48" s="110">
        <v>174.37137533521525</v>
      </c>
      <c r="AX48" s="110">
        <v>232.49516711362037</v>
      </c>
      <c r="AY48" s="110">
        <v>174.37137533521525</v>
      </c>
    </row>
    <row r="49" spans="1:52">
      <c r="A49" s="110"/>
      <c r="B49" s="165" t="s">
        <v>346</v>
      </c>
      <c r="C49" s="110"/>
      <c r="D49" s="110">
        <v>12</v>
      </c>
      <c r="E49" s="110">
        <v>10</v>
      </c>
      <c r="F49" s="110">
        <v>12</v>
      </c>
      <c r="G49" s="110">
        <v>10</v>
      </c>
      <c r="H49" s="110">
        <v>12</v>
      </c>
      <c r="I49" s="110">
        <v>10</v>
      </c>
      <c r="J49" s="110">
        <v>11</v>
      </c>
      <c r="K49" s="110">
        <v>10</v>
      </c>
      <c r="L49" s="110">
        <v>11</v>
      </c>
      <c r="M49" s="110">
        <v>10</v>
      </c>
      <c r="N49" s="110"/>
      <c r="O49" s="110">
        <v>16</v>
      </c>
      <c r="P49" s="110">
        <v>1</v>
      </c>
      <c r="Q49" s="110">
        <v>16</v>
      </c>
      <c r="R49" s="110">
        <v>1</v>
      </c>
      <c r="S49" s="110">
        <v>16</v>
      </c>
      <c r="T49" s="110">
        <v>1</v>
      </c>
      <c r="U49" s="110">
        <v>16</v>
      </c>
      <c r="V49" s="110">
        <v>1</v>
      </c>
      <c r="W49" s="110">
        <v>16</v>
      </c>
      <c r="X49" s="110">
        <v>1</v>
      </c>
      <c r="Y49" s="110">
        <v>1</v>
      </c>
      <c r="Z49" s="110">
        <v>1</v>
      </c>
      <c r="AA49" s="110">
        <v>1</v>
      </c>
      <c r="AB49" s="110">
        <v>1</v>
      </c>
      <c r="AC49" s="110">
        <v>7</v>
      </c>
      <c r="AD49" s="110">
        <v>12</v>
      </c>
      <c r="AE49" s="110">
        <v>9</v>
      </c>
      <c r="AF49" s="110">
        <v>12</v>
      </c>
      <c r="AG49" s="110">
        <v>9</v>
      </c>
      <c r="AH49" s="110">
        <v>12</v>
      </c>
      <c r="AI49" s="110">
        <v>9</v>
      </c>
      <c r="AJ49" s="110">
        <v>12</v>
      </c>
      <c r="AK49" s="110">
        <v>9</v>
      </c>
      <c r="AL49" s="110">
        <v>12</v>
      </c>
      <c r="AM49" s="110">
        <v>9</v>
      </c>
      <c r="AN49" s="110">
        <v>12</v>
      </c>
      <c r="AO49" s="110">
        <v>9</v>
      </c>
      <c r="AP49" s="110">
        <v>12</v>
      </c>
      <c r="AQ49" s="110">
        <v>9</v>
      </c>
      <c r="AR49" s="110">
        <v>12</v>
      </c>
      <c r="AS49" s="110">
        <v>9</v>
      </c>
      <c r="AT49" s="110">
        <v>12</v>
      </c>
      <c r="AU49" s="110">
        <v>9</v>
      </c>
      <c r="AV49" s="110">
        <v>12</v>
      </c>
      <c r="AW49" s="110">
        <v>9</v>
      </c>
      <c r="AX49" s="110">
        <v>12</v>
      </c>
      <c r="AY49" s="110">
        <v>9</v>
      </c>
    </row>
    <row r="50" spans="1:52">
      <c r="A50" s="110"/>
      <c r="B50" s="165" t="s">
        <v>347</v>
      </c>
      <c r="C50" s="110"/>
      <c r="D50" s="110">
        <f>D44-D47</f>
        <v>42.495167113620397</v>
      </c>
      <c r="E50" s="110">
        <f t="shared" ref="E50:AY50" si="15">E44-E47</f>
        <v>63.745972594683579</v>
      </c>
      <c r="F50" s="110">
        <f t="shared" si="15"/>
        <v>42.495167113620298</v>
      </c>
      <c r="G50" s="110">
        <f t="shared" si="15"/>
        <v>63.745972594683579</v>
      </c>
      <c r="H50" s="110">
        <f t="shared" si="15"/>
        <v>42.495167113620298</v>
      </c>
      <c r="I50" s="110">
        <f t="shared" si="15"/>
        <v>29.74597259468365</v>
      </c>
      <c r="J50" s="110">
        <f t="shared" si="15"/>
        <v>19.120569854152023</v>
      </c>
      <c r="K50" s="110">
        <f t="shared" si="15"/>
        <v>29.74597259468365</v>
      </c>
      <c r="L50" s="110">
        <f t="shared" si="15"/>
        <v>19.120569854152023</v>
      </c>
      <c r="M50" s="110">
        <f t="shared" si="15"/>
        <v>63.745972594683579</v>
      </c>
      <c r="N50" s="110">
        <f t="shared" si="15"/>
        <v>0</v>
      </c>
      <c r="O50" s="110">
        <f t="shared" si="15"/>
        <v>0</v>
      </c>
      <c r="P50" s="110">
        <f t="shared" si="15"/>
        <v>159.37459725946835</v>
      </c>
      <c r="Q50" s="110">
        <f t="shared" si="15"/>
        <v>0</v>
      </c>
      <c r="R50" s="110">
        <f t="shared" si="15"/>
        <v>159.37459725946835</v>
      </c>
      <c r="S50" s="110">
        <f t="shared" si="15"/>
        <v>0</v>
      </c>
      <c r="T50" s="110">
        <f t="shared" si="15"/>
        <v>159.37459725946835</v>
      </c>
      <c r="U50" s="110">
        <f t="shared" si="15"/>
        <v>0</v>
      </c>
      <c r="V50" s="110">
        <f t="shared" si="15"/>
        <v>159.37459725946835</v>
      </c>
      <c r="W50" s="110">
        <f t="shared" si="15"/>
        <v>0</v>
      </c>
      <c r="X50" s="110">
        <f t="shared" si="15"/>
        <v>159.37459725946835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42.495167113620298</v>
      </c>
      <c r="AE50" s="110">
        <f t="shared" si="15"/>
        <v>74.37137533521522</v>
      </c>
      <c r="AF50" s="110">
        <f t="shared" si="15"/>
        <v>42.495167113620298</v>
      </c>
      <c r="AG50" s="110">
        <f t="shared" si="15"/>
        <v>74.37137533521522</v>
      </c>
      <c r="AH50" s="110">
        <f t="shared" si="15"/>
        <v>42.495167113620298</v>
      </c>
      <c r="AI50" s="110">
        <f t="shared" si="15"/>
        <v>74.37137533521522</v>
      </c>
      <c r="AJ50" s="110">
        <f t="shared" si="15"/>
        <v>42.495167113620298</v>
      </c>
      <c r="AK50" s="110">
        <f t="shared" si="15"/>
        <v>74.37137533521522</v>
      </c>
      <c r="AL50" s="110">
        <f t="shared" si="15"/>
        <v>42.495167113620298</v>
      </c>
      <c r="AM50" s="110">
        <f t="shared" si="15"/>
        <v>74.37137533521522</v>
      </c>
      <c r="AN50" s="110">
        <f t="shared" si="15"/>
        <v>42.495167113620298</v>
      </c>
      <c r="AO50" s="110">
        <f t="shared" si="15"/>
        <v>74.37137533521522</v>
      </c>
      <c r="AP50" s="110">
        <f t="shared" si="15"/>
        <v>42.495167113620298</v>
      </c>
      <c r="AQ50" s="110">
        <f t="shared" si="15"/>
        <v>74.37137533521522</v>
      </c>
      <c r="AR50" s="110">
        <f t="shared" si="15"/>
        <v>42.495167113620298</v>
      </c>
      <c r="AS50" s="110">
        <f t="shared" si="15"/>
        <v>74.37137533521522</v>
      </c>
      <c r="AT50" s="110">
        <f t="shared" si="15"/>
        <v>42.495167113620298</v>
      </c>
      <c r="AU50" s="110">
        <f t="shared" si="15"/>
        <v>74.37137533521522</v>
      </c>
      <c r="AV50" s="110">
        <f t="shared" si="15"/>
        <v>42.495167113620298</v>
      </c>
      <c r="AW50" s="110">
        <f t="shared" si="15"/>
        <v>74.37137533521522</v>
      </c>
      <c r="AX50" s="110">
        <f t="shared" si="15"/>
        <v>42.495167113620298</v>
      </c>
      <c r="AY50" s="110">
        <f t="shared" si="15"/>
        <v>74.37137533521522</v>
      </c>
    </row>
    <row r="51" spans="1:52">
      <c r="A51" s="110"/>
      <c r="B51" s="165" t="s">
        <v>348</v>
      </c>
      <c r="C51" s="110"/>
      <c r="D51" s="110">
        <f>D45-D48</f>
        <v>77.486639180229758</v>
      </c>
      <c r="E51" s="110">
        <f t="shared" ref="E51:AY51" si="16">E45-E48</f>
        <v>116.23583369916645</v>
      </c>
      <c r="F51" s="110">
        <f t="shared" si="16"/>
        <v>77.486639180229702</v>
      </c>
      <c r="G51" s="110">
        <f t="shared" si="16"/>
        <v>116.23583369916645</v>
      </c>
      <c r="H51" s="110">
        <f t="shared" si="16"/>
        <v>77.486639180229702</v>
      </c>
      <c r="I51" s="110">
        <f t="shared" si="16"/>
        <v>54.239472440396412</v>
      </c>
      <c r="J51" s="110">
        <f t="shared" si="16"/>
        <v>34.864875180928038</v>
      </c>
      <c r="K51" s="110">
        <f t="shared" si="16"/>
        <v>54.239472440396412</v>
      </c>
      <c r="L51" s="110">
        <f t="shared" si="16"/>
        <v>34.864875180928038</v>
      </c>
      <c r="M51" s="110">
        <f t="shared" si="16"/>
        <v>116.23583369916645</v>
      </c>
      <c r="N51" s="110">
        <f t="shared" si="16"/>
        <v>0</v>
      </c>
      <c r="O51" s="110">
        <f t="shared" si="16"/>
        <v>0</v>
      </c>
      <c r="P51" s="110">
        <f t="shared" si="16"/>
        <v>290.6072090343817</v>
      </c>
      <c r="Q51" s="110">
        <f t="shared" si="16"/>
        <v>0</v>
      </c>
      <c r="R51" s="110">
        <f t="shared" si="16"/>
        <v>290.6072090343817</v>
      </c>
      <c r="S51" s="110">
        <f t="shared" si="16"/>
        <v>0</v>
      </c>
      <c r="T51" s="110">
        <f t="shared" si="16"/>
        <v>290.6072090343817</v>
      </c>
      <c r="U51" s="110">
        <f t="shared" si="16"/>
        <v>0</v>
      </c>
      <c r="V51" s="110">
        <f t="shared" si="16"/>
        <v>290.6072090343817</v>
      </c>
      <c r="W51" s="110">
        <f t="shared" si="16"/>
        <v>0</v>
      </c>
      <c r="X51" s="110">
        <f t="shared" si="16"/>
        <v>290.6072090343817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77.486639180229702</v>
      </c>
      <c r="AE51" s="110">
        <f t="shared" si="16"/>
        <v>135.61043095863482</v>
      </c>
      <c r="AF51" s="110">
        <f t="shared" si="16"/>
        <v>77.486639180229702</v>
      </c>
      <c r="AG51" s="110">
        <f t="shared" si="16"/>
        <v>135.61043095863482</v>
      </c>
      <c r="AH51" s="110">
        <f t="shared" si="16"/>
        <v>77.486639180229702</v>
      </c>
      <c r="AI51" s="110">
        <f t="shared" si="16"/>
        <v>135.61043095863482</v>
      </c>
      <c r="AJ51" s="110">
        <f t="shared" si="16"/>
        <v>77.486639180229702</v>
      </c>
      <c r="AK51" s="110">
        <f t="shared" si="16"/>
        <v>135.61043095863482</v>
      </c>
      <c r="AL51" s="110">
        <f t="shared" si="16"/>
        <v>77.486639180229702</v>
      </c>
      <c r="AM51" s="110">
        <f t="shared" si="16"/>
        <v>135.61043095863482</v>
      </c>
      <c r="AN51" s="110">
        <f t="shared" si="16"/>
        <v>77.486639180229702</v>
      </c>
      <c r="AO51" s="110">
        <f t="shared" si="16"/>
        <v>135.61043095863482</v>
      </c>
      <c r="AP51" s="110">
        <f t="shared" si="16"/>
        <v>77.486639180229702</v>
      </c>
      <c r="AQ51" s="110">
        <f t="shared" si="16"/>
        <v>135.61043095863482</v>
      </c>
      <c r="AR51" s="110">
        <f t="shared" si="16"/>
        <v>77.486639180229702</v>
      </c>
      <c r="AS51" s="110">
        <f t="shared" si="16"/>
        <v>135.61043095863482</v>
      </c>
      <c r="AT51" s="110">
        <f t="shared" si="16"/>
        <v>77.486639180229702</v>
      </c>
      <c r="AU51" s="110">
        <f t="shared" si="16"/>
        <v>135.61043095863482</v>
      </c>
      <c r="AV51" s="110">
        <f t="shared" si="16"/>
        <v>77.486639180229702</v>
      </c>
      <c r="AW51" s="110">
        <f t="shared" si="16"/>
        <v>135.61043095863482</v>
      </c>
      <c r="AX51" s="110">
        <f t="shared" si="16"/>
        <v>77.486639180229702</v>
      </c>
      <c r="AY51" s="110">
        <f t="shared" si="16"/>
        <v>135.61043095863482</v>
      </c>
    </row>
    <row r="52" spans="1:52">
      <c r="A52" s="110"/>
      <c r="B52" s="165" t="s">
        <v>349</v>
      </c>
      <c r="C52" s="110"/>
      <c r="D52" s="110">
        <v>1</v>
      </c>
      <c r="E52" s="110">
        <v>3</v>
      </c>
      <c r="F52" s="110">
        <v>1</v>
      </c>
      <c r="G52" s="110">
        <v>2</v>
      </c>
      <c r="H52" s="110">
        <v>3</v>
      </c>
      <c r="I52" s="110">
        <v>3</v>
      </c>
      <c r="J52" s="110">
        <v>1</v>
      </c>
      <c r="K52" s="110">
        <v>1</v>
      </c>
      <c r="L52" s="110">
        <v>2</v>
      </c>
      <c r="M52" s="110">
        <v>1</v>
      </c>
      <c r="N52" s="110">
        <v>2</v>
      </c>
      <c r="O52" s="110">
        <v>1</v>
      </c>
      <c r="P52" s="110">
        <v>1</v>
      </c>
      <c r="Q52" s="110">
        <v>1</v>
      </c>
      <c r="R52" s="110">
        <v>1</v>
      </c>
      <c r="S52" s="110">
        <v>2</v>
      </c>
      <c r="T52" s="110">
        <v>1</v>
      </c>
      <c r="U52" s="110">
        <v>1</v>
      </c>
      <c r="V52" s="110">
        <v>1</v>
      </c>
      <c r="W52" s="110">
        <v>2</v>
      </c>
      <c r="X52" s="110">
        <v>1</v>
      </c>
      <c r="Y52" s="110">
        <v>3</v>
      </c>
      <c r="Z52" s="110">
        <v>1</v>
      </c>
      <c r="AA52" s="110">
        <v>2</v>
      </c>
      <c r="AB52" s="110">
        <v>2</v>
      </c>
      <c r="AC52" s="110">
        <v>1</v>
      </c>
      <c r="AD52" s="110">
        <v>1</v>
      </c>
      <c r="AE52" s="110">
        <v>1</v>
      </c>
      <c r="AF52" s="110">
        <v>1</v>
      </c>
      <c r="AG52" s="110">
        <v>2</v>
      </c>
      <c r="AH52" s="110">
        <v>2</v>
      </c>
      <c r="AI52" s="110">
        <v>2</v>
      </c>
      <c r="AJ52" s="110">
        <v>3</v>
      </c>
      <c r="AK52" s="110">
        <v>3</v>
      </c>
      <c r="AL52" s="110">
        <v>1</v>
      </c>
      <c r="AM52" s="110">
        <v>1</v>
      </c>
      <c r="AN52" s="110">
        <v>2</v>
      </c>
      <c r="AO52" s="110">
        <v>1</v>
      </c>
      <c r="AP52" s="110">
        <v>1</v>
      </c>
      <c r="AQ52" s="110">
        <v>1</v>
      </c>
      <c r="AR52" s="110">
        <v>1</v>
      </c>
      <c r="AS52" s="110">
        <v>2</v>
      </c>
      <c r="AT52" s="110">
        <v>2</v>
      </c>
      <c r="AU52" s="110">
        <v>2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38448</v>
      </c>
      <c r="E53" s="110">
        <v>32040</v>
      </c>
      <c r="F53" s="110">
        <v>38448</v>
      </c>
      <c r="G53" s="110">
        <v>32040</v>
      </c>
      <c r="H53" s="110">
        <v>38448</v>
      </c>
      <c r="I53" s="110">
        <v>32040</v>
      </c>
      <c r="J53" s="110">
        <v>35244</v>
      </c>
      <c r="K53" s="110">
        <v>32040</v>
      </c>
      <c r="L53" s="110">
        <v>35244</v>
      </c>
      <c r="M53" s="110">
        <v>32040</v>
      </c>
      <c r="N53" s="110">
        <v>0</v>
      </c>
      <c r="O53" s="110">
        <v>51264</v>
      </c>
      <c r="P53" s="110">
        <v>3204</v>
      </c>
      <c r="Q53" s="110">
        <v>51264</v>
      </c>
      <c r="R53" s="110">
        <v>3204</v>
      </c>
      <c r="S53" s="110">
        <v>51264</v>
      </c>
      <c r="T53" s="110">
        <v>3204</v>
      </c>
      <c r="U53" s="110">
        <v>51264</v>
      </c>
      <c r="V53" s="110">
        <v>3204</v>
      </c>
      <c r="W53" s="110">
        <v>51264</v>
      </c>
      <c r="X53" s="110">
        <v>3204</v>
      </c>
      <c r="Y53" s="110">
        <v>3204</v>
      </c>
      <c r="Z53" s="110">
        <v>3204</v>
      </c>
      <c r="AA53" s="110">
        <v>3204</v>
      </c>
      <c r="AB53" s="110">
        <v>3204</v>
      </c>
      <c r="AC53" s="110">
        <v>22428</v>
      </c>
      <c r="AD53" s="110">
        <v>38448</v>
      </c>
      <c r="AE53" s="110">
        <v>28836</v>
      </c>
      <c r="AF53" s="110">
        <v>38448</v>
      </c>
      <c r="AG53" s="110">
        <v>28836</v>
      </c>
      <c r="AH53" s="110">
        <v>38448</v>
      </c>
      <c r="AI53" s="110">
        <v>28836</v>
      </c>
      <c r="AJ53" s="110">
        <v>38448</v>
      </c>
      <c r="AK53" s="110">
        <v>28836</v>
      </c>
      <c r="AL53" s="110">
        <v>38448</v>
      </c>
      <c r="AM53" s="110">
        <v>28836</v>
      </c>
      <c r="AN53" s="110">
        <v>38448</v>
      </c>
      <c r="AO53" s="110">
        <v>28836</v>
      </c>
      <c r="AP53" s="110">
        <v>38448</v>
      </c>
      <c r="AQ53" s="110">
        <v>28836</v>
      </c>
      <c r="AR53" s="110">
        <v>38448</v>
      </c>
      <c r="AS53" s="110">
        <v>28836</v>
      </c>
      <c r="AT53" s="110">
        <v>38448</v>
      </c>
      <c r="AU53" s="110">
        <v>28836</v>
      </c>
      <c r="AV53" s="110">
        <v>38448</v>
      </c>
      <c r="AW53" s="110">
        <v>28836</v>
      </c>
      <c r="AX53" s="110">
        <v>38448</v>
      </c>
      <c r="AY53" s="110">
        <v>28836</v>
      </c>
      <c r="AZ53" s="100">
        <f>SUM($D$53:$AY$53)</f>
        <v>1393740</v>
      </c>
    </row>
    <row r="54" spans="1:52">
      <c r="A54" s="110"/>
      <c r="B54" s="178" t="s">
        <v>351</v>
      </c>
      <c r="C54" s="110"/>
      <c r="D54" s="110">
        <v>6940.9474940992322</v>
      </c>
      <c r="E54" s="110">
        <v>10411.947494099224</v>
      </c>
      <c r="F54" s="110">
        <v>6940.9474940992222</v>
      </c>
      <c r="G54" s="110">
        <v>10411.947494099224</v>
      </c>
      <c r="H54" s="110">
        <v>6940.9474940992222</v>
      </c>
      <c r="I54" s="110">
        <v>4858.5579952793814</v>
      </c>
      <c r="J54" s="110">
        <v>3123.0579952793814</v>
      </c>
      <c r="K54" s="110">
        <v>4858.5579952793814</v>
      </c>
      <c r="L54" s="110">
        <v>3123.0579952793814</v>
      </c>
      <c r="M54" s="110">
        <v>10411.947494099224</v>
      </c>
      <c r="N54" s="110">
        <v>0</v>
      </c>
      <c r="O54" s="110">
        <v>0</v>
      </c>
      <c r="P54" s="110">
        <v>26031.447494099222</v>
      </c>
      <c r="Q54" s="110">
        <v>0</v>
      </c>
      <c r="R54" s="110">
        <v>26031.447494099222</v>
      </c>
      <c r="S54" s="110">
        <v>0</v>
      </c>
      <c r="T54" s="110">
        <v>26031.447494099222</v>
      </c>
      <c r="U54" s="110">
        <v>0</v>
      </c>
      <c r="V54" s="110">
        <v>26031.447494099222</v>
      </c>
      <c r="W54" s="110">
        <v>0</v>
      </c>
      <c r="X54" s="110">
        <v>26031.447494099222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6940.9474940992222</v>
      </c>
      <c r="AE54" s="110">
        <v>12147.447494099226</v>
      </c>
      <c r="AF54" s="110">
        <v>6940.9474940992222</v>
      </c>
      <c r="AG54" s="110">
        <v>12147.447494099226</v>
      </c>
      <c r="AH54" s="110">
        <v>6940.9474940992222</v>
      </c>
      <c r="AI54" s="110">
        <v>12147.447494099226</v>
      </c>
      <c r="AJ54" s="110">
        <v>6940.9474940992222</v>
      </c>
      <c r="AK54" s="110">
        <v>12147.447494099226</v>
      </c>
      <c r="AL54" s="110">
        <v>6940.9474940992222</v>
      </c>
      <c r="AM54" s="110">
        <v>12147.447494099226</v>
      </c>
      <c r="AN54" s="110">
        <v>6940.9474940992222</v>
      </c>
      <c r="AO54" s="110">
        <v>12147.447494099226</v>
      </c>
      <c r="AP54" s="110">
        <v>6940.9474940992222</v>
      </c>
      <c r="AQ54" s="110">
        <v>12147.447494099226</v>
      </c>
      <c r="AR54" s="110">
        <v>6940.9474940992222</v>
      </c>
      <c r="AS54" s="110">
        <v>12147.447494099226</v>
      </c>
      <c r="AT54" s="110">
        <v>6940.9474940992222</v>
      </c>
      <c r="AU54" s="110">
        <v>12147.447494099226</v>
      </c>
      <c r="AV54" s="110">
        <v>6940.9474940992222</v>
      </c>
      <c r="AW54" s="110">
        <v>12147.447494099226</v>
      </c>
      <c r="AX54" s="110">
        <v>6940.9474940992222</v>
      </c>
      <c r="AY54" s="110">
        <v>12147.447494099226</v>
      </c>
      <c r="AZ54" s="100">
        <f>SUM($D$54:$AY$54)</f>
        <v>408151.49928639171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4</v>
      </c>
      <c r="G63" s="110">
        <v>2</v>
      </c>
      <c r="H63" s="110">
        <v>3</v>
      </c>
      <c r="I63" s="110">
        <v>2</v>
      </c>
      <c r="J63" s="110">
        <v>3</v>
      </c>
      <c r="K63" s="110">
        <v>2</v>
      </c>
      <c r="L63" s="110">
        <v>2</v>
      </c>
      <c r="M63" s="110">
        <v>2</v>
      </c>
      <c r="N63" s="110">
        <v>3</v>
      </c>
      <c r="O63" s="110">
        <v>2</v>
      </c>
      <c r="P63" s="110">
        <v>2</v>
      </c>
      <c r="Q63" s="110">
        <v>3</v>
      </c>
      <c r="R63" s="110">
        <v>2</v>
      </c>
      <c r="S63" s="110">
        <v>2</v>
      </c>
      <c r="T63" s="110">
        <v>2</v>
      </c>
      <c r="U63" s="110">
        <v>2</v>
      </c>
      <c r="V63" s="110">
        <v>2</v>
      </c>
      <c r="W63" s="110">
        <v>2</v>
      </c>
      <c r="X63" s="110">
        <v>3</v>
      </c>
      <c r="Y63" s="110">
        <v>2</v>
      </c>
      <c r="Z63" s="110">
        <v>4</v>
      </c>
      <c r="AA63" s="110">
        <v>2</v>
      </c>
      <c r="AB63" s="110">
        <v>3</v>
      </c>
      <c r="AC63" s="110">
        <v>3</v>
      </c>
      <c r="AD63" s="110">
        <v>2</v>
      </c>
      <c r="AE63" s="110">
        <v>2</v>
      </c>
      <c r="AF63" s="110">
        <v>2</v>
      </c>
      <c r="AG63" s="110">
        <v>3</v>
      </c>
      <c r="AH63" s="110">
        <v>2</v>
      </c>
      <c r="AI63" s="110">
        <v>3</v>
      </c>
      <c r="AJ63" s="110">
        <v>2</v>
      </c>
      <c r="AK63" s="110">
        <v>2</v>
      </c>
      <c r="AL63" s="110">
        <v>4</v>
      </c>
      <c r="AM63" s="110">
        <v>2</v>
      </c>
      <c r="AN63" s="110">
        <v>2</v>
      </c>
      <c r="AO63" s="110">
        <v>2</v>
      </c>
      <c r="AP63" s="110">
        <v>2</v>
      </c>
      <c r="AQ63" s="110">
        <v>2</v>
      </c>
      <c r="AR63" s="110">
        <v>2</v>
      </c>
      <c r="AS63" s="110">
        <v>2</v>
      </c>
      <c r="AT63" s="110">
        <v>2</v>
      </c>
      <c r="AU63" s="110">
        <v>3</v>
      </c>
      <c r="AV63" s="110">
        <v>3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2032.3094257034513</v>
      </c>
      <c r="E7" s="144">
        <v>2032.3094257034513</v>
      </c>
      <c r="F7" s="144">
        <v>2032.3094257034513</v>
      </c>
      <c r="G7" s="144">
        <v>2032.3094257034513</v>
      </c>
      <c r="H7" s="144">
        <v>1693.5993315589776</v>
      </c>
      <c r="I7" s="144">
        <v>1693.5993315589776</v>
      </c>
      <c r="J7" s="144">
        <v>1693.5993315589776</v>
      </c>
      <c r="K7" s="144">
        <v>1693.5993315589776</v>
      </c>
      <c r="L7" s="144">
        <v>1354.8892374145039</v>
      </c>
      <c r="M7" s="144">
        <v>1354.8892374145039</v>
      </c>
      <c r="N7" s="144">
        <v>1354.8892374145039</v>
      </c>
      <c r="O7" s="144">
        <v>1354.8892374145039</v>
      </c>
      <c r="P7" s="144">
        <v>1693.5993315589776</v>
      </c>
      <c r="Q7" s="144">
        <v>1693.5993315589776</v>
      </c>
      <c r="R7" s="144">
        <v>1693.5993315589776</v>
      </c>
      <c r="S7" s="144">
        <v>1693.5993315589776</v>
      </c>
      <c r="T7" s="144">
        <v>1693.5993315589776</v>
      </c>
      <c r="U7" s="144">
        <v>1693.5993315589776</v>
      </c>
      <c r="V7" s="144">
        <v>1693.5993315589776</v>
      </c>
      <c r="W7" s="144">
        <v>1693.5993315589776</v>
      </c>
      <c r="X7" s="144">
        <v>1693.5993315589776</v>
      </c>
      <c r="Y7" s="144">
        <v>1693.5993315589776</v>
      </c>
      <c r="Z7" s="144">
        <v>1693.5993315589776</v>
      </c>
      <c r="AA7" s="144">
        <v>1693.5993315589776</v>
      </c>
      <c r="AB7" s="144">
        <v>1693.5993315589776</v>
      </c>
      <c r="AC7" s="144">
        <v>1693.5993315589776</v>
      </c>
      <c r="AD7" s="144">
        <v>1693.5993315589776</v>
      </c>
      <c r="AE7" s="144">
        <v>1693.5993315589776</v>
      </c>
      <c r="AF7" s="144">
        <v>1693.5993315589776</v>
      </c>
      <c r="AG7" s="144">
        <v>1693.5993315589776</v>
      </c>
      <c r="AH7" s="144">
        <v>1693.5993315589776</v>
      </c>
      <c r="AI7" s="144">
        <v>1693.5993315589776</v>
      </c>
      <c r="AJ7" s="144">
        <v>1693.5993315589776</v>
      </c>
      <c r="AK7" s="144">
        <v>1693.5993315589776</v>
      </c>
      <c r="AL7" s="144">
        <v>1693.5993315589776</v>
      </c>
      <c r="AM7" s="144">
        <v>1693.5993315589776</v>
      </c>
      <c r="AN7" s="144">
        <v>2032.3094257034513</v>
      </c>
      <c r="AO7" s="144">
        <v>2032.3094257034513</v>
      </c>
      <c r="AP7" s="144">
        <v>2032.3094257034513</v>
      </c>
      <c r="AQ7" s="144">
        <v>2032.3094257034513</v>
      </c>
      <c r="AR7" s="144">
        <v>1693.5993315589776</v>
      </c>
      <c r="AS7" s="144">
        <v>1693.5993315589776</v>
      </c>
      <c r="AT7" s="144">
        <v>1693.5993315589776</v>
      </c>
      <c r="AU7" s="144">
        <v>1693.5993315589776</v>
      </c>
      <c r="AV7" s="144">
        <v>2032.3094257034513</v>
      </c>
      <c r="AW7" s="144">
        <v>2032.3094257034513</v>
      </c>
      <c r="AX7" s="144">
        <v>2032.3094257034513</v>
      </c>
      <c r="AY7" s="144">
        <v>2032.3094257034513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475.61885140690265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136.90875726242894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612.52760866933158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1661.906146291228</v>
      </c>
      <c r="D13" s="138">
        <f t="shared" ref="D13:AY13" si="1">D$7-D$10</f>
        <v>2032.3094257034513</v>
      </c>
      <c r="E13" s="138">
        <f t="shared" si="1"/>
        <v>2032.3094257034513</v>
      </c>
      <c r="F13" s="138">
        <f t="shared" si="1"/>
        <v>2032.3094257034513</v>
      </c>
      <c r="G13" s="138">
        <f t="shared" si="1"/>
        <v>1556.6905742965487</v>
      </c>
      <c r="H13" s="138">
        <f t="shared" si="1"/>
        <v>1693.5993315589776</v>
      </c>
      <c r="I13" s="138">
        <f t="shared" si="1"/>
        <v>1693.5993315589776</v>
      </c>
      <c r="J13" s="138">
        <f t="shared" si="1"/>
        <v>1693.5993315589776</v>
      </c>
      <c r="K13" s="138">
        <f t="shared" si="1"/>
        <v>1693.5993315589776</v>
      </c>
      <c r="L13" s="138">
        <f t="shared" si="1"/>
        <v>1354.8892374145039</v>
      </c>
      <c r="M13" s="138">
        <f t="shared" si="1"/>
        <v>1354.8892374145039</v>
      </c>
      <c r="N13" s="138">
        <f t="shared" si="1"/>
        <v>1354.8892374145039</v>
      </c>
      <c r="O13" s="138">
        <f t="shared" si="1"/>
        <v>1354.8892374145039</v>
      </c>
      <c r="P13" s="138">
        <f t="shared" si="1"/>
        <v>1693.5993315589776</v>
      </c>
      <c r="Q13" s="138">
        <f t="shared" si="1"/>
        <v>1693.5993315589776</v>
      </c>
      <c r="R13" s="138">
        <f t="shared" si="1"/>
        <v>1693.5993315589776</v>
      </c>
      <c r="S13" s="138">
        <f t="shared" si="1"/>
        <v>1693.5993315589776</v>
      </c>
      <c r="T13" s="138">
        <f t="shared" si="1"/>
        <v>1693.5993315589776</v>
      </c>
      <c r="U13" s="138">
        <f t="shared" si="1"/>
        <v>1693.5993315589776</v>
      </c>
      <c r="V13" s="138">
        <f t="shared" si="1"/>
        <v>1693.5993315589776</v>
      </c>
      <c r="W13" s="138">
        <f t="shared" si="1"/>
        <v>1693.5993315589776</v>
      </c>
      <c r="X13" s="138">
        <f t="shared" si="1"/>
        <v>1693.5993315589776</v>
      </c>
      <c r="Y13" s="138">
        <f t="shared" si="1"/>
        <v>1693.5993315589776</v>
      </c>
      <c r="Z13" s="138">
        <f t="shared" si="1"/>
        <v>1693.5993315589776</v>
      </c>
      <c r="AA13" s="138">
        <f t="shared" si="1"/>
        <v>1693.5993315589776</v>
      </c>
      <c r="AB13" s="138">
        <f t="shared" si="1"/>
        <v>1693.5993315589776</v>
      </c>
      <c r="AC13" s="138">
        <f t="shared" si="1"/>
        <v>1693.5993315589776</v>
      </c>
      <c r="AD13" s="138">
        <f t="shared" si="1"/>
        <v>1693.5993315589776</v>
      </c>
      <c r="AE13" s="138">
        <f t="shared" si="1"/>
        <v>1693.5993315589776</v>
      </c>
      <c r="AF13" s="138">
        <f t="shared" si="1"/>
        <v>1693.5993315589776</v>
      </c>
      <c r="AG13" s="138">
        <f t="shared" si="1"/>
        <v>1693.5993315589776</v>
      </c>
      <c r="AH13" s="138">
        <f t="shared" si="1"/>
        <v>1693.5993315589776</v>
      </c>
      <c r="AI13" s="138">
        <f t="shared" si="1"/>
        <v>1693.5993315589776</v>
      </c>
      <c r="AJ13" s="138">
        <f t="shared" si="1"/>
        <v>1693.5993315589776</v>
      </c>
      <c r="AK13" s="138">
        <f t="shared" si="1"/>
        <v>1693.5993315589776</v>
      </c>
      <c r="AL13" s="138">
        <f t="shared" si="1"/>
        <v>1693.5993315589776</v>
      </c>
      <c r="AM13" s="138">
        <f t="shared" si="1"/>
        <v>1693.5993315589776</v>
      </c>
      <c r="AN13" s="138">
        <f t="shared" si="1"/>
        <v>1895.4006684410224</v>
      </c>
      <c r="AO13" s="138">
        <f t="shared" si="1"/>
        <v>2032.3094257034513</v>
      </c>
      <c r="AP13" s="138">
        <f t="shared" si="1"/>
        <v>2032.3094257034513</v>
      </c>
      <c r="AQ13" s="138">
        <f t="shared" si="1"/>
        <v>2032.3094257034513</v>
      </c>
      <c r="AR13" s="138">
        <f t="shared" si="1"/>
        <v>1693.5993315589776</v>
      </c>
      <c r="AS13" s="138">
        <f t="shared" si="1"/>
        <v>1693.5993315589776</v>
      </c>
      <c r="AT13" s="138">
        <f t="shared" si="1"/>
        <v>1693.5993315589776</v>
      </c>
      <c r="AU13" s="138">
        <f t="shared" si="1"/>
        <v>1693.5993315589776</v>
      </c>
      <c r="AV13" s="138">
        <f t="shared" si="1"/>
        <v>2032.3094257034513</v>
      </c>
      <c r="AW13" s="138">
        <f t="shared" si="1"/>
        <v>2032.3094257034513</v>
      </c>
      <c r="AX13" s="138">
        <f t="shared" si="1"/>
        <v>2032.3094257034513</v>
      </c>
      <c r="AY13" s="138">
        <f t="shared" si="1"/>
        <v>2032.3094257034513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2032.3094257034513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1693.5993315589776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1693.5993315589776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 t="s">
        <v>339</v>
      </c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0.43275946956779976</v>
      </c>
      <c r="C21" s="156" t="s">
        <v>293</v>
      </c>
      <c r="D21" s="106">
        <f>IF(C$20="Yes",0,SUM(C$13:C$16)*$B$21)</f>
        <v>719.20562234045804</v>
      </c>
      <c r="E21" s="106">
        <f t="shared" ref="E21:AY21" si="3">IF(D$20="Yes",0,SUM(D$13:D$16)*$B$21)</f>
        <v>879.50114906506531</v>
      </c>
      <c r="F21" s="106">
        <f t="shared" si="3"/>
        <v>879.50114906506531</v>
      </c>
      <c r="G21" s="106">
        <f t="shared" si="3"/>
        <v>0</v>
      </c>
      <c r="H21" s="106">
        <f t="shared" si="3"/>
        <v>1553.1737362788333</v>
      </c>
      <c r="I21" s="106">
        <f t="shared" si="3"/>
        <v>732.92114838584337</v>
      </c>
      <c r="J21" s="106">
        <f t="shared" si="3"/>
        <v>732.92114838584337</v>
      </c>
      <c r="K21" s="106">
        <f t="shared" si="3"/>
        <v>732.92114838584337</v>
      </c>
      <c r="L21" s="106">
        <f t="shared" si="3"/>
        <v>732.92114838584337</v>
      </c>
      <c r="M21" s="106">
        <f t="shared" si="3"/>
        <v>586.34114770662143</v>
      </c>
      <c r="N21" s="106">
        <f t="shared" si="3"/>
        <v>586.34114770662143</v>
      </c>
      <c r="O21" s="106">
        <f t="shared" si="3"/>
        <v>586.34114770662143</v>
      </c>
      <c r="P21" s="106">
        <f t="shared" si="3"/>
        <v>586.34114770662143</v>
      </c>
      <c r="Q21" s="106">
        <f t="shared" si="3"/>
        <v>732.92114838584337</v>
      </c>
      <c r="R21" s="106">
        <f t="shared" si="3"/>
        <v>732.92114838584337</v>
      </c>
      <c r="S21" s="106">
        <f t="shared" si="3"/>
        <v>732.92114838584337</v>
      </c>
      <c r="T21" s="106">
        <f t="shared" si="3"/>
        <v>732.92114838584337</v>
      </c>
      <c r="U21" s="106">
        <f t="shared" si="3"/>
        <v>732.92114838584337</v>
      </c>
      <c r="V21" s="106">
        <f t="shared" si="3"/>
        <v>732.92114838584337</v>
      </c>
      <c r="W21" s="106">
        <f t="shared" si="3"/>
        <v>0</v>
      </c>
      <c r="X21" s="106">
        <f t="shared" si="3"/>
        <v>1465.8422967716867</v>
      </c>
      <c r="Y21" s="106">
        <f t="shared" si="3"/>
        <v>732.92114838584337</v>
      </c>
      <c r="Z21" s="106">
        <f t="shared" si="3"/>
        <v>732.92114838584337</v>
      </c>
      <c r="AA21" s="106">
        <f t="shared" si="3"/>
        <v>732.92114838584337</v>
      </c>
      <c r="AB21" s="106">
        <f t="shared" si="3"/>
        <v>732.92114838584337</v>
      </c>
      <c r="AC21" s="106">
        <f t="shared" si="3"/>
        <v>732.92114838584337</v>
      </c>
      <c r="AD21" s="106">
        <f t="shared" si="3"/>
        <v>732.92114838584337</v>
      </c>
      <c r="AE21" s="106">
        <f t="shared" si="3"/>
        <v>732.92114838584337</v>
      </c>
      <c r="AF21" s="106">
        <f t="shared" si="3"/>
        <v>732.92114838584337</v>
      </c>
      <c r="AG21" s="106">
        <f t="shared" si="3"/>
        <v>732.92114838584337</v>
      </c>
      <c r="AH21" s="106">
        <f t="shared" si="3"/>
        <v>732.92114838584337</v>
      </c>
      <c r="AI21" s="106">
        <f t="shared" si="3"/>
        <v>732.92114838584337</v>
      </c>
      <c r="AJ21" s="106">
        <f t="shared" si="3"/>
        <v>732.92114838584337</v>
      </c>
      <c r="AK21" s="106">
        <f t="shared" si="3"/>
        <v>732.92114838584337</v>
      </c>
      <c r="AL21" s="106">
        <f t="shared" si="3"/>
        <v>732.92114838584337</v>
      </c>
      <c r="AM21" s="106">
        <f t="shared" si="3"/>
        <v>732.92114838584337</v>
      </c>
      <c r="AN21" s="106">
        <f t="shared" si="3"/>
        <v>0</v>
      </c>
      <c r="AO21" s="106">
        <f t="shared" si="3"/>
        <v>1553.1737362788333</v>
      </c>
      <c r="AP21" s="106">
        <f t="shared" si="3"/>
        <v>879.50114906506531</v>
      </c>
      <c r="AQ21" s="106">
        <f t="shared" si="3"/>
        <v>879.50114906506531</v>
      </c>
      <c r="AR21" s="106">
        <f t="shared" si="3"/>
        <v>879.50114906506531</v>
      </c>
      <c r="AS21" s="106">
        <f t="shared" si="3"/>
        <v>732.92114838584337</v>
      </c>
      <c r="AT21" s="106">
        <f t="shared" si="3"/>
        <v>732.92114838584337</v>
      </c>
      <c r="AU21" s="106">
        <f t="shared" si="3"/>
        <v>732.92114838584337</v>
      </c>
      <c r="AV21" s="106">
        <f t="shared" si="3"/>
        <v>732.92114838584337</v>
      </c>
      <c r="AW21" s="106">
        <f t="shared" si="3"/>
        <v>879.50114906506531</v>
      </c>
      <c r="AX21" s="106">
        <f t="shared" si="3"/>
        <v>879.50114906506531</v>
      </c>
      <c r="AY21" s="106">
        <f t="shared" si="3"/>
        <v>879.50114906506531</v>
      </c>
      <c r="AZ21" s="157">
        <f>SUM($D21:$AY21)</f>
        <v>35927.48247820625</v>
      </c>
    </row>
    <row r="22" spans="1:52" s="110" customFormat="1">
      <c r="A22" s="158" t="s">
        <v>123</v>
      </c>
      <c r="B22" s="159">
        <f>1-$B$21</f>
        <v>0.56724053043220024</v>
      </c>
      <c r="C22" s="159" t="s">
        <v>293</v>
      </c>
      <c r="D22" s="114">
        <f>IF(C$20="Yes",0,SUM(C$13:C$16)*$B$22)</f>
        <v>942.70052395076993</v>
      </c>
      <c r="E22" s="114">
        <f t="shared" ref="E22:AY22" si="4">IF(D$20="Yes",0,SUM(D$13:D$16)*$B$22)</f>
        <v>1152.8082766383859</v>
      </c>
      <c r="F22" s="114">
        <f t="shared" si="4"/>
        <v>1152.8082766383859</v>
      </c>
      <c r="G22" s="114">
        <f t="shared" si="4"/>
        <v>0</v>
      </c>
      <c r="H22" s="114">
        <f t="shared" si="4"/>
        <v>2035.8262637211667</v>
      </c>
      <c r="I22" s="114">
        <f t="shared" si="4"/>
        <v>960.67818317313424</v>
      </c>
      <c r="J22" s="114">
        <f t="shared" si="4"/>
        <v>960.67818317313424</v>
      </c>
      <c r="K22" s="114">
        <f t="shared" si="4"/>
        <v>960.67818317313424</v>
      </c>
      <c r="L22" s="114">
        <f t="shared" si="4"/>
        <v>960.67818317313424</v>
      </c>
      <c r="M22" s="114">
        <f t="shared" si="4"/>
        <v>768.54808970788247</v>
      </c>
      <c r="N22" s="114">
        <f t="shared" si="4"/>
        <v>768.54808970788247</v>
      </c>
      <c r="O22" s="114">
        <f t="shared" si="4"/>
        <v>768.54808970788247</v>
      </c>
      <c r="P22" s="114">
        <f t="shared" si="4"/>
        <v>768.54808970788247</v>
      </c>
      <c r="Q22" s="114">
        <f t="shared" si="4"/>
        <v>960.67818317313424</v>
      </c>
      <c r="R22" s="114">
        <f t="shared" si="4"/>
        <v>960.67818317313424</v>
      </c>
      <c r="S22" s="114">
        <f t="shared" si="4"/>
        <v>960.67818317313424</v>
      </c>
      <c r="T22" s="114">
        <f t="shared" si="4"/>
        <v>960.67818317313424</v>
      </c>
      <c r="U22" s="114">
        <f t="shared" si="4"/>
        <v>960.67818317313424</v>
      </c>
      <c r="V22" s="114">
        <f t="shared" si="4"/>
        <v>960.67818317313424</v>
      </c>
      <c r="W22" s="114">
        <f t="shared" si="4"/>
        <v>0</v>
      </c>
      <c r="X22" s="114">
        <f t="shared" si="4"/>
        <v>1921.3563663462685</v>
      </c>
      <c r="Y22" s="114">
        <f t="shared" si="4"/>
        <v>960.67818317313424</v>
      </c>
      <c r="Z22" s="114">
        <f t="shared" si="4"/>
        <v>960.67818317313424</v>
      </c>
      <c r="AA22" s="114">
        <f t="shared" si="4"/>
        <v>960.67818317313424</v>
      </c>
      <c r="AB22" s="114">
        <f t="shared" si="4"/>
        <v>960.67818317313424</v>
      </c>
      <c r="AC22" s="114">
        <f t="shared" si="4"/>
        <v>960.67818317313424</v>
      </c>
      <c r="AD22" s="114">
        <f t="shared" si="4"/>
        <v>960.67818317313424</v>
      </c>
      <c r="AE22" s="114">
        <f t="shared" si="4"/>
        <v>960.67818317313424</v>
      </c>
      <c r="AF22" s="114">
        <f t="shared" si="4"/>
        <v>960.67818317313424</v>
      </c>
      <c r="AG22" s="114">
        <f t="shared" si="4"/>
        <v>960.67818317313424</v>
      </c>
      <c r="AH22" s="114">
        <f t="shared" si="4"/>
        <v>960.67818317313424</v>
      </c>
      <c r="AI22" s="114">
        <f t="shared" si="4"/>
        <v>960.67818317313424</v>
      </c>
      <c r="AJ22" s="114">
        <f t="shared" si="4"/>
        <v>960.67818317313424</v>
      </c>
      <c r="AK22" s="114">
        <f t="shared" si="4"/>
        <v>960.67818317313424</v>
      </c>
      <c r="AL22" s="114">
        <f t="shared" si="4"/>
        <v>960.67818317313424</v>
      </c>
      <c r="AM22" s="114">
        <f t="shared" si="4"/>
        <v>960.67818317313424</v>
      </c>
      <c r="AN22" s="114">
        <f t="shared" si="4"/>
        <v>0</v>
      </c>
      <c r="AO22" s="114">
        <f t="shared" si="4"/>
        <v>2035.8262637211667</v>
      </c>
      <c r="AP22" s="114">
        <f t="shared" si="4"/>
        <v>1152.8082766383859</v>
      </c>
      <c r="AQ22" s="114">
        <f t="shared" si="4"/>
        <v>1152.8082766383859</v>
      </c>
      <c r="AR22" s="114">
        <f t="shared" si="4"/>
        <v>1152.8082766383859</v>
      </c>
      <c r="AS22" s="114">
        <f t="shared" si="4"/>
        <v>960.67818317313424</v>
      </c>
      <c r="AT22" s="114">
        <f t="shared" si="4"/>
        <v>960.67818317313424</v>
      </c>
      <c r="AU22" s="114">
        <f t="shared" si="4"/>
        <v>960.67818317313424</v>
      </c>
      <c r="AV22" s="114">
        <f t="shared" si="4"/>
        <v>960.67818317313424</v>
      </c>
      <c r="AW22" s="114">
        <f t="shared" si="4"/>
        <v>1152.8082766383859</v>
      </c>
      <c r="AX22" s="114">
        <f t="shared" si="4"/>
        <v>1152.8082766383859</v>
      </c>
      <c r="AY22" s="114">
        <f t="shared" si="4"/>
        <v>1152.8082766383859</v>
      </c>
      <c r="AZ22" s="141">
        <f t="shared" ref="AZ22:AZ30" si="5">SUM($D22:$AY22)</f>
        <v>47092.035301698917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1438411.244680916</v>
      </c>
      <c r="E23" s="100">
        <f t="shared" ref="E23:AY23" si="6">E$21*$B$23</f>
        <v>1759002.2981301306</v>
      </c>
      <c r="F23" s="100">
        <f t="shared" si="6"/>
        <v>1759002.2981301306</v>
      </c>
      <c r="G23" s="100">
        <f t="shared" si="6"/>
        <v>0</v>
      </c>
      <c r="H23" s="100">
        <f t="shared" si="6"/>
        <v>3106347.4725576667</v>
      </c>
      <c r="I23" s="100">
        <f t="shared" si="6"/>
        <v>1465842.2967716868</v>
      </c>
      <c r="J23" s="100">
        <f t="shared" si="6"/>
        <v>1465842.2967716868</v>
      </c>
      <c r="K23" s="100">
        <f t="shared" si="6"/>
        <v>1465842.2967716868</v>
      </c>
      <c r="L23" s="100">
        <f t="shared" si="6"/>
        <v>1465842.2967716868</v>
      </c>
      <c r="M23" s="100">
        <f t="shared" si="6"/>
        <v>1172682.2954132429</v>
      </c>
      <c r="N23" s="100">
        <f t="shared" si="6"/>
        <v>1172682.2954132429</v>
      </c>
      <c r="O23" s="100">
        <f t="shared" si="6"/>
        <v>1172682.2954132429</v>
      </c>
      <c r="P23" s="100">
        <f t="shared" si="6"/>
        <v>1172682.2954132429</v>
      </c>
      <c r="Q23" s="100">
        <f t="shared" si="6"/>
        <v>1465842.2967716868</v>
      </c>
      <c r="R23" s="100">
        <f t="shared" si="6"/>
        <v>1465842.2967716868</v>
      </c>
      <c r="S23" s="100">
        <f t="shared" si="6"/>
        <v>1465842.2967716868</v>
      </c>
      <c r="T23" s="100">
        <f t="shared" si="6"/>
        <v>1465842.2967716868</v>
      </c>
      <c r="U23" s="100">
        <f t="shared" si="6"/>
        <v>1465842.2967716868</v>
      </c>
      <c r="V23" s="100">
        <f t="shared" si="6"/>
        <v>1465842.2967716868</v>
      </c>
      <c r="W23" s="100">
        <f t="shared" si="6"/>
        <v>0</v>
      </c>
      <c r="X23" s="100">
        <f t="shared" si="6"/>
        <v>2931684.5935433735</v>
      </c>
      <c r="Y23" s="100">
        <f t="shared" si="6"/>
        <v>1465842.2967716868</v>
      </c>
      <c r="Z23" s="100">
        <f t="shared" si="6"/>
        <v>1465842.2967716868</v>
      </c>
      <c r="AA23" s="100">
        <f t="shared" si="6"/>
        <v>1465842.2967716868</v>
      </c>
      <c r="AB23" s="100">
        <f t="shared" si="6"/>
        <v>1465842.2967716868</v>
      </c>
      <c r="AC23" s="100">
        <f t="shared" si="6"/>
        <v>1465842.2967716868</v>
      </c>
      <c r="AD23" s="100">
        <f t="shared" si="6"/>
        <v>1465842.2967716868</v>
      </c>
      <c r="AE23" s="100">
        <f t="shared" si="6"/>
        <v>1465842.2967716868</v>
      </c>
      <c r="AF23" s="100">
        <f t="shared" si="6"/>
        <v>1465842.2967716868</v>
      </c>
      <c r="AG23" s="100">
        <f t="shared" si="6"/>
        <v>1465842.2967716868</v>
      </c>
      <c r="AH23" s="100">
        <f t="shared" si="6"/>
        <v>1465842.2967716868</v>
      </c>
      <c r="AI23" s="100">
        <f t="shared" si="6"/>
        <v>1465842.2967716868</v>
      </c>
      <c r="AJ23" s="100">
        <f t="shared" si="6"/>
        <v>1465842.2967716868</v>
      </c>
      <c r="AK23" s="100">
        <f t="shared" si="6"/>
        <v>1465842.2967716868</v>
      </c>
      <c r="AL23" s="100">
        <f t="shared" si="6"/>
        <v>1465842.2967716868</v>
      </c>
      <c r="AM23" s="100">
        <f t="shared" si="6"/>
        <v>1465842.2967716868</v>
      </c>
      <c r="AN23" s="100">
        <f t="shared" si="6"/>
        <v>0</v>
      </c>
      <c r="AO23" s="100">
        <f t="shared" si="6"/>
        <v>3106347.4725576667</v>
      </c>
      <c r="AP23" s="100">
        <f t="shared" si="6"/>
        <v>1759002.2981301306</v>
      </c>
      <c r="AQ23" s="100">
        <f t="shared" si="6"/>
        <v>1759002.2981301306</v>
      </c>
      <c r="AR23" s="100">
        <f t="shared" si="6"/>
        <v>1759002.2981301306</v>
      </c>
      <c r="AS23" s="100">
        <f t="shared" si="6"/>
        <v>1465842.2967716868</v>
      </c>
      <c r="AT23" s="100">
        <f t="shared" si="6"/>
        <v>1465842.2967716868</v>
      </c>
      <c r="AU23" s="100">
        <f t="shared" si="6"/>
        <v>1465842.2967716868</v>
      </c>
      <c r="AV23" s="100">
        <f t="shared" si="6"/>
        <v>1465842.2967716868</v>
      </c>
      <c r="AW23" s="100">
        <f t="shared" si="6"/>
        <v>1759002.2981301306</v>
      </c>
      <c r="AX23" s="100">
        <f t="shared" si="6"/>
        <v>1759002.2981301306</v>
      </c>
      <c r="AY23" s="100">
        <f t="shared" si="6"/>
        <v>1759002.2981301306</v>
      </c>
      <c r="AZ23" s="139">
        <f t="shared" si="5"/>
        <v>71854964.956412598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942700.52395076992</v>
      </c>
      <c r="E24" s="106">
        <f t="shared" ref="E24:AY24" si="7">E$22*$B$24</f>
        <v>1152808.2766383858</v>
      </c>
      <c r="F24" s="106">
        <f t="shared" si="7"/>
        <v>1152808.2766383858</v>
      </c>
      <c r="G24" s="106">
        <f t="shared" si="7"/>
        <v>0</v>
      </c>
      <c r="H24" s="106">
        <f t="shared" si="7"/>
        <v>2035826.2637211666</v>
      </c>
      <c r="I24" s="106">
        <f t="shared" si="7"/>
        <v>960678.18317313422</v>
      </c>
      <c r="J24" s="106">
        <f t="shared" si="7"/>
        <v>960678.18317313422</v>
      </c>
      <c r="K24" s="106">
        <f t="shared" si="7"/>
        <v>960678.18317313422</v>
      </c>
      <c r="L24" s="106">
        <f t="shared" si="7"/>
        <v>960678.18317313422</v>
      </c>
      <c r="M24" s="106">
        <f t="shared" si="7"/>
        <v>768548.08970788249</v>
      </c>
      <c r="N24" s="106">
        <f t="shared" si="7"/>
        <v>768548.08970788249</v>
      </c>
      <c r="O24" s="106">
        <f t="shared" si="7"/>
        <v>768548.08970788249</v>
      </c>
      <c r="P24" s="106">
        <f t="shared" si="7"/>
        <v>768548.08970788249</v>
      </c>
      <c r="Q24" s="106">
        <f t="shared" si="7"/>
        <v>960678.18317313422</v>
      </c>
      <c r="R24" s="106">
        <f t="shared" si="7"/>
        <v>960678.18317313422</v>
      </c>
      <c r="S24" s="106">
        <f t="shared" si="7"/>
        <v>960678.18317313422</v>
      </c>
      <c r="T24" s="106">
        <f t="shared" si="7"/>
        <v>960678.18317313422</v>
      </c>
      <c r="U24" s="106">
        <f t="shared" si="7"/>
        <v>960678.18317313422</v>
      </c>
      <c r="V24" s="106">
        <f t="shared" si="7"/>
        <v>960678.18317313422</v>
      </c>
      <c r="W24" s="106">
        <f t="shared" si="7"/>
        <v>0</v>
      </c>
      <c r="X24" s="106">
        <f t="shared" si="7"/>
        <v>1921356.3663462684</v>
      </c>
      <c r="Y24" s="106">
        <f t="shared" si="7"/>
        <v>960678.18317313422</v>
      </c>
      <c r="Z24" s="106">
        <f t="shared" si="7"/>
        <v>960678.18317313422</v>
      </c>
      <c r="AA24" s="106">
        <f t="shared" si="7"/>
        <v>960678.18317313422</v>
      </c>
      <c r="AB24" s="106">
        <f t="shared" si="7"/>
        <v>960678.18317313422</v>
      </c>
      <c r="AC24" s="106">
        <f t="shared" si="7"/>
        <v>960678.18317313422</v>
      </c>
      <c r="AD24" s="106">
        <f t="shared" si="7"/>
        <v>960678.18317313422</v>
      </c>
      <c r="AE24" s="106">
        <f t="shared" si="7"/>
        <v>960678.18317313422</v>
      </c>
      <c r="AF24" s="106">
        <f t="shared" si="7"/>
        <v>960678.18317313422</v>
      </c>
      <c r="AG24" s="106">
        <f t="shared" si="7"/>
        <v>960678.18317313422</v>
      </c>
      <c r="AH24" s="106">
        <f t="shared" si="7"/>
        <v>960678.18317313422</v>
      </c>
      <c r="AI24" s="106">
        <f t="shared" si="7"/>
        <v>960678.18317313422</v>
      </c>
      <c r="AJ24" s="106">
        <f t="shared" si="7"/>
        <v>960678.18317313422</v>
      </c>
      <c r="AK24" s="106">
        <f t="shared" si="7"/>
        <v>960678.18317313422</v>
      </c>
      <c r="AL24" s="106">
        <f t="shared" si="7"/>
        <v>960678.18317313422</v>
      </c>
      <c r="AM24" s="106">
        <f t="shared" si="7"/>
        <v>960678.18317313422</v>
      </c>
      <c r="AN24" s="106">
        <f t="shared" si="7"/>
        <v>0</v>
      </c>
      <c r="AO24" s="106">
        <f t="shared" si="7"/>
        <v>2035826.2637211666</v>
      </c>
      <c r="AP24" s="106">
        <f t="shared" si="7"/>
        <v>1152808.2766383858</v>
      </c>
      <c r="AQ24" s="106">
        <f t="shared" si="7"/>
        <v>1152808.2766383858</v>
      </c>
      <c r="AR24" s="106">
        <f t="shared" si="7"/>
        <v>1152808.2766383858</v>
      </c>
      <c r="AS24" s="106">
        <f t="shared" si="7"/>
        <v>960678.18317313422</v>
      </c>
      <c r="AT24" s="106">
        <f t="shared" si="7"/>
        <v>960678.18317313422</v>
      </c>
      <c r="AU24" s="106">
        <f t="shared" si="7"/>
        <v>960678.18317313422</v>
      </c>
      <c r="AV24" s="106">
        <f t="shared" si="7"/>
        <v>960678.18317313422</v>
      </c>
      <c r="AW24" s="106">
        <f t="shared" si="7"/>
        <v>1152808.2766383858</v>
      </c>
      <c r="AX24" s="106">
        <f t="shared" si="7"/>
        <v>1152808.2766383858</v>
      </c>
      <c r="AY24" s="106">
        <f t="shared" si="7"/>
        <v>1152808.2766383858</v>
      </c>
      <c r="AZ24" s="141">
        <f t="shared" si="5"/>
        <v>47092035.301698916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0</v>
      </c>
      <c r="Z27" s="124">
        <f t="shared" si="8"/>
        <v>15</v>
      </c>
      <c r="AA27" s="124">
        <f t="shared" si="8"/>
        <v>0</v>
      </c>
      <c r="AB27" s="124">
        <f t="shared" si="8"/>
        <v>15</v>
      </c>
      <c r="AC27" s="124">
        <f t="shared" si="8"/>
        <v>0</v>
      </c>
      <c r="AD27" s="124">
        <f t="shared" si="8"/>
        <v>15</v>
      </c>
      <c r="AE27" s="124">
        <f t="shared" si="8"/>
        <v>0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15</v>
      </c>
      <c r="Y28" s="110">
        <v>0</v>
      </c>
      <c r="Z28" s="110">
        <v>15</v>
      </c>
      <c r="AA28" s="110">
        <v>0</v>
      </c>
      <c r="AB28" s="110">
        <v>15</v>
      </c>
      <c r="AC28" s="110">
        <v>0</v>
      </c>
      <c r="AD28" s="110">
        <v>15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15</v>
      </c>
      <c r="Z29" s="125">
        <f t="shared" si="9"/>
        <v>0</v>
      </c>
      <c r="AA29" s="125">
        <f t="shared" si="9"/>
        <v>15</v>
      </c>
      <c r="AB29" s="125">
        <f t="shared" si="9"/>
        <v>0</v>
      </c>
      <c r="AC29" s="125">
        <f t="shared" si="9"/>
        <v>15</v>
      </c>
      <c r="AD29" s="125">
        <f t="shared" si="9"/>
        <v>0</v>
      </c>
      <c r="AE29" s="125">
        <f t="shared" si="9"/>
        <v>15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0</v>
      </c>
      <c r="Z30" s="117">
        <f t="shared" si="10"/>
        <v>150</v>
      </c>
      <c r="AA30" s="117">
        <f t="shared" si="10"/>
        <v>0</v>
      </c>
      <c r="AB30" s="117">
        <f t="shared" si="10"/>
        <v>150</v>
      </c>
      <c r="AC30" s="117">
        <f t="shared" si="10"/>
        <v>0</v>
      </c>
      <c r="AD30" s="117">
        <f t="shared" si="10"/>
        <v>150</v>
      </c>
      <c r="AE30" s="117">
        <f>AE$27*$B$30</f>
        <v>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123.24017820785747</v>
      </c>
      <c r="E33" s="124">
        <f>E$21*shipping_manufacturing!$F$27/100</f>
        <v>150.70777393545512</v>
      </c>
      <c r="F33" s="124">
        <f>F$21*shipping_manufacturing!$F$27/100</f>
        <v>150.70777393545512</v>
      </c>
      <c r="G33" s="124">
        <f>G$21*shipping_manufacturing!$F$27/100</f>
        <v>0</v>
      </c>
      <c r="H33" s="124">
        <f>H$21*shipping_manufacturing!$F$27/100</f>
        <v>266.14559466855201</v>
      </c>
      <c r="I33" s="124">
        <f>I$21*shipping_manufacturing!$F$27/100</f>
        <v>125.59041549958937</v>
      </c>
      <c r="J33" s="124">
        <f>J$21*shipping_manufacturing!$F$27/100</f>
        <v>125.59041549958937</v>
      </c>
      <c r="K33" s="124">
        <f>K$21*shipping_manufacturing!$F$27/100</f>
        <v>125.59041549958937</v>
      </c>
      <c r="L33" s="124">
        <f>L$21*shipping_manufacturing!$F$27/100</f>
        <v>125.59041549958937</v>
      </c>
      <c r="M33" s="124">
        <f>M$21*shipping_manufacturing!$F$27/100</f>
        <v>100.47305706372363</v>
      </c>
      <c r="N33" s="124">
        <f>N$21*shipping_manufacturing!$F$27/100</f>
        <v>100.47305706372363</v>
      </c>
      <c r="O33" s="124">
        <f>O$21*shipping_manufacturing!$F$27/100</f>
        <v>100.47305706372363</v>
      </c>
      <c r="P33" s="124">
        <f>P$21*shipping_manufacturing!$F$27/100</f>
        <v>100.47305706372363</v>
      </c>
      <c r="Q33" s="124">
        <f>Q$21*shipping_manufacturing!$F$27/100</f>
        <v>125.59041549958937</v>
      </c>
      <c r="R33" s="124">
        <f>R$21*shipping_manufacturing!$F$27/100</f>
        <v>125.59041549958937</v>
      </c>
      <c r="S33" s="124">
        <f>S$21*shipping_manufacturing!$F$27/100</f>
        <v>125.59041549958937</v>
      </c>
      <c r="T33" s="124">
        <f>T$21*shipping_manufacturing!$F$27/100</f>
        <v>125.59041549958937</v>
      </c>
      <c r="U33" s="124">
        <f>U$21*shipping_manufacturing!$F$27/100</f>
        <v>125.59041549958937</v>
      </c>
      <c r="V33" s="124">
        <f>V$21*shipping_manufacturing!$F$27/100</f>
        <v>125.59041549958937</v>
      </c>
      <c r="W33" s="124">
        <f>W$21*shipping_manufacturing!$F$27/100</f>
        <v>0</v>
      </c>
      <c r="X33" s="124">
        <f>X$21*shipping_manufacturing!$F$27/100</f>
        <v>251.18083099917874</v>
      </c>
      <c r="Y33" s="124">
        <f>Y$21*shipping_manufacturing!$F$27/100</f>
        <v>125.59041549958937</v>
      </c>
      <c r="Z33" s="124">
        <f>Z$21*shipping_manufacturing!$F$27/100</f>
        <v>125.59041549958937</v>
      </c>
      <c r="AA33" s="124">
        <f>AA$21*shipping_manufacturing!$F$27/100</f>
        <v>125.59041549958937</v>
      </c>
      <c r="AB33" s="124">
        <f>AB$21*shipping_manufacturing!$F$27/100</f>
        <v>125.59041549958937</v>
      </c>
      <c r="AC33" s="124">
        <f>AC$21*shipping_manufacturing!$F$27/100</f>
        <v>125.59041549958937</v>
      </c>
      <c r="AD33" s="124">
        <f>AD$21*shipping_manufacturing!$F$27/100</f>
        <v>125.59041549958937</v>
      </c>
      <c r="AE33" s="124">
        <f>AE$21*shipping_manufacturing!$F$27/100</f>
        <v>125.59041549958937</v>
      </c>
      <c r="AF33" s="124">
        <f>AF$21*shipping_manufacturing!$F$27/100</f>
        <v>125.59041549958937</v>
      </c>
      <c r="AG33" s="124">
        <f>AG$21*shipping_manufacturing!$F$27/100</f>
        <v>125.59041549958937</v>
      </c>
      <c r="AH33" s="124">
        <f>AH$21*shipping_manufacturing!$F$27/100</f>
        <v>125.59041549958937</v>
      </c>
      <c r="AI33" s="124">
        <f>AI$21*shipping_manufacturing!$F$27/100</f>
        <v>125.59041549958937</v>
      </c>
      <c r="AJ33" s="124">
        <f>AJ$21*shipping_manufacturing!$F$27/100</f>
        <v>125.59041549958937</v>
      </c>
      <c r="AK33" s="124">
        <f>AK$21*shipping_manufacturing!$F$27/100</f>
        <v>125.59041549958937</v>
      </c>
      <c r="AL33" s="124">
        <f>AL$21*shipping_manufacturing!$F$27/100</f>
        <v>125.59041549958937</v>
      </c>
      <c r="AM33" s="124">
        <f>AM$21*shipping_manufacturing!$F$27/100</f>
        <v>125.59041549958937</v>
      </c>
      <c r="AN33" s="124">
        <f>AN$21*shipping_manufacturing!$F$27/100</f>
        <v>0</v>
      </c>
      <c r="AO33" s="124">
        <f>AO$21*shipping_manufacturing!$F$27/100</f>
        <v>266.14559466855201</v>
      </c>
      <c r="AP33" s="124">
        <f>AP$21*shipping_manufacturing!$F$27/100</f>
        <v>150.70777393545512</v>
      </c>
      <c r="AQ33" s="124">
        <f>AQ$21*shipping_manufacturing!$F$27/100</f>
        <v>150.70777393545512</v>
      </c>
      <c r="AR33" s="124">
        <f>AR$21*shipping_manufacturing!$F$27/100</f>
        <v>150.70777393545512</v>
      </c>
      <c r="AS33" s="124">
        <f>AS$21*shipping_manufacturing!$F$27/100</f>
        <v>125.59041549958937</v>
      </c>
      <c r="AT33" s="124">
        <f>AT$21*shipping_manufacturing!$F$27/100</f>
        <v>125.59041549958937</v>
      </c>
      <c r="AU33" s="124">
        <f>AU$21*shipping_manufacturing!$F$27/100</f>
        <v>125.59041549958937</v>
      </c>
      <c r="AV33" s="124">
        <f>AV$21*shipping_manufacturing!$F$27/100</f>
        <v>125.59041549958937</v>
      </c>
      <c r="AW33" s="124">
        <f>AW$21*shipping_manufacturing!$F$27/100</f>
        <v>150.70777393545512</v>
      </c>
      <c r="AX33" s="124">
        <f>AX$21*shipping_manufacturing!$F$27/100</f>
        <v>150.70777393545512</v>
      </c>
      <c r="AY33" s="124">
        <f>AY$21*shipping_manufacturing!$F$27/100</f>
        <v>150.70777393545512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134.22634385720741</v>
      </c>
      <c r="E34" s="110">
        <f>E$22*shipping_manufacturing!$G$27/100</f>
        <v>164.14252056741131</v>
      </c>
      <c r="F34" s="110">
        <f>F$22*shipping_manufacturing!$G$27/100</f>
        <v>164.14252056741131</v>
      </c>
      <c r="G34" s="110">
        <f>G$22*shipping_manufacturing!$G$27/100</f>
        <v>0</v>
      </c>
      <c r="H34" s="110">
        <f>H$22*shipping_manufacturing!$G$27/100</f>
        <v>289.87097085992656</v>
      </c>
      <c r="I34" s="110">
        <f>I$22*shipping_manufacturing!$G$27/100</f>
        <v>136.7860915259748</v>
      </c>
      <c r="J34" s="110">
        <f>J$22*shipping_manufacturing!$G$27/100</f>
        <v>136.7860915259748</v>
      </c>
      <c r="K34" s="110">
        <f>K$22*shipping_manufacturing!$G$27/100</f>
        <v>136.7860915259748</v>
      </c>
      <c r="L34" s="110">
        <f>L$22*shipping_manufacturing!$G$27/100</f>
        <v>136.7860915259748</v>
      </c>
      <c r="M34" s="110">
        <f>M$22*shipping_manufacturing!$G$27/100</f>
        <v>109.42966248453824</v>
      </c>
      <c r="N34" s="110">
        <f>N$22*shipping_manufacturing!$G$27/100</f>
        <v>109.42966248453824</v>
      </c>
      <c r="O34" s="110">
        <f>O$22*shipping_manufacturing!$G$27/100</f>
        <v>109.42966248453824</v>
      </c>
      <c r="P34" s="110">
        <f>P$22*shipping_manufacturing!$G$27/100</f>
        <v>109.42966248453824</v>
      </c>
      <c r="Q34" s="110">
        <f>Q$22*shipping_manufacturing!$G$27/100</f>
        <v>136.7860915259748</v>
      </c>
      <c r="R34" s="110">
        <f>R$22*shipping_manufacturing!$G$27/100</f>
        <v>136.7860915259748</v>
      </c>
      <c r="S34" s="110">
        <f>S$22*shipping_manufacturing!$G$27/100</f>
        <v>136.7860915259748</v>
      </c>
      <c r="T34" s="110">
        <f>T$22*shipping_manufacturing!$G$27/100</f>
        <v>136.7860915259748</v>
      </c>
      <c r="U34" s="110">
        <f>U$22*shipping_manufacturing!$G$27/100</f>
        <v>136.7860915259748</v>
      </c>
      <c r="V34" s="110">
        <f>V$22*shipping_manufacturing!$G$27/100</f>
        <v>136.7860915259748</v>
      </c>
      <c r="W34" s="110">
        <f>W$22*shipping_manufacturing!$G$27/100</f>
        <v>0</v>
      </c>
      <c r="X34" s="110">
        <f>X$22*shipping_manufacturing!$G$27/100</f>
        <v>273.57218305194959</v>
      </c>
      <c r="Y34" s="110">
        <f>Y$22*shipping_manufacturing!$G$27/100</f>
        <v>136.7860915259748</v>
      </c>
      <c r="Z34" s="110">
        <f>Z$22*shipping_manufacturing!$G$27/100</f>
        <v>136.7860915259748</v>
      </c>
      <c r="AA34" s="110">
        <f>AA$22*shipping_manufacturing!$G$27/100</f>
        <v>136.7860915259748</v>
      </c>
      <c r="AB34" s="110">
        <f>AB$22*shipping_manufacturing!$G$27/100</f>
        <v>136.7860915259748</v>
      </c>
      <c r="AC34" s="110">
        <f>AC$22*shipping_manufacturing!$G$27/100</f>
        <v>136.7860915259748</v>
      </c>
      <c r="AD34" s="110">
        <f>AD$22*shipping_manufacturing!$G$27/100</f>
        <v>136.7860915259748</v>
      </c>
      <c r="AE34" s="110">
        <f>AE$22*shipping_manufacturing!$G$27/100</f>
        <v>136.7860915259748</v>
      </c>
      <c r="AF34" s="110">
        <f>AF$22*shipping_manufacturing!$G$27/100</f>
        <v>136.7860915259748</v>
      </c>
      <c r="AG34" s="110">
        <f>AG$22*shipping_manufacturing!$G$27/100</f>
        <v>136.7860915259748</v>
      </c>
      <c r="AH34" s="110">
        <f>AH$22*shipping_manufacturing!$G$27/100</f>
        <v>136.7860915259748</v>
      </c>
      <c r="AI34" s="110">
        <f>AI$22*shipping_manufacturing!$G$27/100</f>
        <v>136.7860915259748</v>
      </c>
      <c r="AJ34" s="110">
        <f>AJ$22*shipping_manufacturing!$G$27/100</f>
        <v>136.7860915259748</v>
      </c>
      <c r="AK34" s="110">
        <f>AK$22*shipping_manufacturing!$G$27/100</f>
        <v>136.7860915259748</v>
      </c>
      <c r="AL34" s="110">
        <f>AL$22*shipping_manufacturing!$G$27/100</f>
        <v>136.7860915259748</v>
      </c>
      <c r="AM34" s="110">
        <f>AM$22*shipping_manufacturing!$G$27/100</f>
        <v>136.7860915259748</v>
      </c>
      <c r="AN34" s="110">
        <f>AN$22*shipping_manufacturing!$G$27/100</f>
        <v>0</v>
      </c>
      <c r="AO34" s="110">
        <f>AO$22*shipping_manufacturing!$G$27/100</f>
        <v>289.87097085992656</v>
      </c>
      <c r="AP34" s="110">
        <f>AP$22*shipping_manufacturing!$G$27/100</f>
        <v>164.14252056741131</v>
      </c>
      <c r="AQ34" s="110">
        <f>AQ$22*shipping_manufacturing!$G$27/100</f>
        <v>164.14252056741131</v>
      </c>
      <c r="AR34" s="110">
        <f>AR$22*shipping_manufacturing!$G$27/100</f>
        <v>164.14252056741131</v>
      </c>
      <c r="AS34" s="110">
        <f>AS$22*shipping_manufacturing!$G$27/100</f>
        <v>136.7860915259748</v>
      </c>
      <c r="AT34" s="110">
        <f>AT$22*shipping_manufacturing!$G$27/100</f>
        <v>136.7860915259748</v>
      </c>
      <c r="AU34" s="110">
        <f>AU$22*shipping_manufacturing!$G$27/100</f>
        <v>136.7860915259748</v>
      </c>
      <c r="AV34" s="110">
        <f>AV$22*shipping_manufacturing!$G$27/100</f>
        <v>136.7860915259748</v>
      </c>
      <c r="AW34" s="110">
        <f>AW$22*shipping_manufacturing!$G$27/100</f>
        <v>164.14252056741131</v>
      </c>
      <c r="AX34" s="110">
        <f>AX$22*shipping_manufacturing!$G$27/100</f>
        <v>164.14252056741131</v>
      </c>
      <c r="AY34" s="110">
        <f>AY$22*shipping_manufacturing!$G$27/100</f>
        <v>164.14252056741131</v>
      </c>
    </row>
    <row r="35" spans="1:52">
      <c r="A35" s="110">
        <v>1245</v>
      </c>
      <c r="B35" s="165" t="s">
        <v>343</v>
      </c>
      <c r="C35" s="110"/>
      <c r="D35" s="110">
        <f>SUM(D33:D34)</f>
        <v>257.46652206506485</v>
      </c>
      <c r="E35" s="110">
        <f t="shared" ref="E35:AY35" si="11">SUM(E33:E34)</f>
        <v>314.8502945028664</v>
      </c>
      <c r="F35" s="110">
        <f t="shared" si="11"/>
        <v>314.8502945028664</v>
      </c>
      <c r="G35" s="110">
        <f t="shared" si="11"/>
        <v>0</v>
      </c>
      <c r="H35" s="110">
        <f t="shared" si="11"/>
        <v>556.01656552847862</v>
      </c>
      <c r="I35" s="110">
        <f t="shared" si="11"/>
        <v>262.37650702556414</v>
      </c>
      <c r="J35" s="110">
        <f t="shared" si="11"/>
        <v>262.37650702556414</v>
      </c>
      <c r="K35" s="110">
        <f t="shared" si="11"/>
        <v>262.37650702556414</v>
      </c>
      <c r="L35" s="110">
        <f t="shared" si="11"/>
        <v>262.37650702556414</v>
      </c>
      <c r="M35" s="110">
        <f t="shared" si="11"/>
        <v>209.90271954826187</v>
      </c>
      <c r="N35" s="110">
        <f t="shared" si="11"/>
        <v>209.90271954826187</v>
      </c>
      <c r="O35" s="110">
        <f t="shared" si="11"/>
        <v>209.90271954826187</v>
      </c>
      <c r="P35" s="110">
        <f t="shared" si="11"/>
        <v>209.90271954826187</v>
      </c>
      <c r="Q35" s="110">
        <f t="shared" si="11"/>
        <v>262.37650702556414</v>
      </c>
      <c r="R35" s="110">
        <f t="shared" si="11"/>
        <v>262.37650702556414</v>
      </c>
      <c r="S35" s="110">
        <f t="shared" si="11"/>
        <v>262.37650702556414</v>
      </c>
      <c r="T35" s="110">
        <f t="shared" si="11"/>
        <v>262.37650702556414</v>
      </c>
      <c r="U35" s="110">
        <f t="shared" si="11"/>
        <v>262.37650702556414</v>
      </c>
      <c r="V35" s="110">
        <f t="shared" si="11"/>
        <v>262.37650702556414</v>
      </c>
      <c r="W35" s="110">
        <f t="shared" si="11"/>
        <v>0</v>
      </c>
      <c r="X35" s="110">
        <f t="shared" si="11"/>
        <v>524.75301405112828</v>
      </c>
      <c r="Y35" s="110">
        <f t="shared" si="11"/>
        <v>262.37650702556414</v>
      </c>
      <c r="Z35" s="110">
        <f t="shared" si="11"/>
        <v>262.37650702556414</v>
      </c>
      <c r="AA35" s="110">
        <f t="shared" si="11"/>
        <v>262.37650702556414</v>
      </c>
      <c r="AB35" s="110">
        <f t="shared" si="11"/>
        <v>262.37650702556414</v>
      </c>
      <c r="AC35" s="110">
        <f t="shared" si="11"/>
        <v>262.37650702556414</v>
      </c>
      <c r="AD35" s="110">
        <f t="shared" si="11"/>
        <v>262.37650702556414</v>
      </c>
      <c r="AE35" s="110">
        <f t="shared" si="11"/>
        <v>262.37650702556414</v>
      </c>
      <c r="AF35" s="110">
        <f t="shared" si="11"/>
        <v>262.37650702556414</v>
      </c>
      <c r="AG35" s="110">
        <f t="shared" si="11"/>
        <v>262.37650702556414</v>
      </c>
      <c r="AH35" s="110">
        <f t="shared" si="11"/>
        <v>262.37650702556414</v>
      </c>
      <c r="AI35" s="110">
        <f t="shared" si="11"/>
        <v>262.37650702556414</v>
      </c>
      <c r="AJ35" s="110">
        <f t="shared" si="11"/>
        <v>262.37650702556414</v>
      </c>
      <c r="AK35" s="110">
        <f t="shared" si="11"/>
        <v>262.37650702556414</v>
      </c>
      <c r="AL35" s="110">
        <f t="shared" si="11"/>
        <v>262.37650702556414</v>
      </c>
      <c r="AM35" s="110">
        <f t="shared" si="11"/>
        <v>262.37650702556414</v>
      </c>
      <c r="AN35" s="110">
        <f t="shared" si="11"/>
        <v>0</v>
      </c>
      <c r="AO35" s="110">
        <f t="shared" si="11"/>
        <v>556.01656552847862</v>
      </c>
      <c r="AP35" s="110">
        <f t="shared" si="11"/>
        <v>314.8502945028664</v>
      </c>
      <c r="AQ35" s="110">
        <f t="shared" si="11"/>
        <v>314.8502945028664</v>
      </c>
      <c r="AR35" s="110">
        <f t="shared" si="11"/>
        <v>314.8502945028664</v>
      </c>
      <c r="AS35" s="110">
        <f t="shared" si="11"/>
        <v>262.37650702556414</v>
      </c>
      <c r="AT35" s="110">
        <f t="shared" si="11"/>
        <v>262.37650702556414</v>
      </c>
      <c r="AU35" s="110">
        <f t="shared" si="11"/>
        <v>262.37650702556414</v>
      </c>
      <c r="AV35" s="110">
        <f t="shared" si="11"/>
        <v>262.37650702556414</v>
      </c>
      <c r="AW35" s="110">
        <f t="shared" si="11"/>
        <v>314.8502945028664</v>
      </c>
      <c r="AX35" s="110">
        <f t="shared" si="11"/>
        <v>314.8502945028664</v>
      </c>
      <c r="AY35" s="110">
        <f t="shared" si="11"/>
        <v>314.8502945028664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123.24017820785747</v>
      </c>
      <c r="E39" s="110">
        <f t="shared" ref="E39:AY39" si="12">E33-E36</f>
        <v>150.70777393545512</v>
      </c>
      <c r="F39" s="110">
        <f t="shared" si="12"/>
        <v>150.70777393545512</v>
      </c>
      <c r="G39" s="110">
        <f t="shared" si="12"/>
        <v>0</v>
      </c>
      <c r="H39" s="110">
        <f t="shared" si="12"/>
        <v>266.14559466855201</v>
      </c>
      <c r="I39" s="110">
        <f t="shared" si="12"/>
        <v>125.59041549958937</v>
      </c>
      <c r="J39" s="110">
        <f t="shared" si="12"/>
        <v>125.59041549958937</v>
      </c>
      <c r="K39" s="110">
        <f t="shared" si="12"/>
        <v>125.59041549958937</v>
      </c>
      <c r="L39" s="110">
        <f t="shared" si="12"/>
        <v>125.59041549958937</v>
      </c>
      <c r="M39" s="110">
        <f t="shared" si="12"/>
        <v>100.47305706372363</v>
      </c>
      <c r="N39" s="110">
        <f t="shared" si="12"/>
        <v>100.47305706372363</v>
      </c>
      <c r="O39" s="110">
        <f t="shared" si="12"/>
        <v>100.47305706372363</v>
      </c>
      <c r="P39" s="110">
        <f t="shared" si="12"/>
        <v>100.47305706372363</v>
      </c>
      <c r="Q39" s="110">
        <f t="shared" si="12"/>
        <v>125.59041549958937</v>
      </c>
      <c r="R39" s="110">
        <f t="shared" si="12"/>
        <v>125.59041549958937</v>
      </c>
      <c r="S39" s="110">
        <f t="shared" si="12"/>
        <v>125.59041549958937</v>
      </c>
      <c r="T39" s="110">
        <f t="shared" si="12"/>
        <v>125.59041549958937</v>
      </c>
      <c r="U39" s="110">
        <f t="shared" si="12"/>
        <v>125.59041549958937</v>
      </c>
      <c r="V39" s="110">
        <f t="shared" si="12"/>
        <v>125.59041549958937</v>
      </c>
      <c r="W39" s="110">
        <f t="shared" si="12"/>
        <v>0</v>
      </c>
      <c r="X39" s="110">
        <f t="shared" si="12"/>
        <v>251.18083099917874</v>
      </c>
      <c r="Y39" s="110">
        <f t="shared" si="12"/>
        <v>125.59041549958937</v>
      </c>
      <c r="Z39" s="110">
        <f t="shared" si="12"/>
        <v>125.59041549958937</v>
      </c>
      <c r="AA39" s="110">
        <f t="shared" si="12"/>
        <v>125.59041549958937</v>
      </c>
      <c r="AB39" s="110">
        <f t="shared" si="12"/>
        <v>125.59041549958937</v>
      </c>
      <c r="AC39" s="110">
        <f t="shared" si="12"/>
        <v>125.59041549958937</v>
      </c>
      <c r="AD39" s="110">
        <f t="shared" si="12"/>
        <v>125.59041549958937</v>
      </c>
      <c r="AE39" s="110">
        <f t="shared" si="12"/>
        <v>125.59041549958937</v>
      </c>
      <c r="AF39" s="110">
        <f t="shared" si="12"/>
        <v>125.59041549958937</v>
      </c>
      <c r="AG39" s="110">
        <f t="shared" si="12"/>
        <v>125.59041549958937</v>
      </c>
      <c r="AH39" s="110">
        <f t="shared" si="12"/>
        <v>125.59041549958937</v>
      </c>
      <c r="AI39" s="110">
        <f t="shared" si="12"/>
        <v>125.59041549958937</v>
      </c>
      <c r="AJ39" s="110">
        <f t="shared" si="12"/>
        <v>125.59041549958937</v>
      </c>
      <c r="AK39" s="110">
        <f t="shared" si="12"/>
        <v>125.59041549958937</v>
      </c>
      <c r="AL39" s="110">
        <f t="shared" si="12"/>
        <v>125.59041549958937</v>
      </c>
      <c r="AM39" s="110">
        <f t="shared" si="12"/>
        <v>125.59041549958937</v>
      </c>
      <c r="AN39" s="110">
        <f t="shared" si="12"/>
        <v>0</v>
      </c>
      <c r="AO39" s="110">
        <f t="shared" si="12"/>
        <v>266.14559466855201</v>
      </c>
      <c r="AP39" s="110">
        <f t="shared" si="12"/>
        <v>150.70777393545512</v>
      </c>
      <c r="AQ39" s="110">
        <f t="shared" si="12"/>
        <v>150.70777393545512</v>
      </c>
      <c r="AR39" s="110">
        <f t="shared" si="12"/>
        <v>150.70777393545512</v>
      </c>
      <c r="AS39" s="110">
        <f t="shared" si="12"/>
        <v>125.59041549958937</v>
      </c>
      <c r="AT39" s="110">
        <f t="shared" si="12"/>
        <v>125.59041549958937</v>
      </c>
      <c r="AU39" s="110">
        <f t="shared" si="12"/>
        <v>125.59041549958937</v>
      </c>
      <c r="AV39" s="110">
        <f t="shared" si="12"/>
        <v>125.59041549958937</v>
      </c>
      <c r="AW39" s="110">
        <f t="shared" si="12"/>
        <v>150.70777393545512</v>
      </c>
      <c r="AX39" s="110">
        <f t="shared" si="12"/>
        <v>150.70777393545512</v>
      </c>
      <c r="AY39" s="110">
        <f t="shared" si="12"/>
        <v>150.70777393545512</v>
      </c>
    </row>
    <row r="40" spans="1:52">
      <c r="A40" s="110"/>
      <c r="B40" s="165" t="s">
        <v>348</v>
      </c>
      <c r="C40" s="110"/>
      <c r="D40" s="110">
        <f>D34-D37</f>
        <v>134.22634385720741</v>
      </c>
      <c r="E40" s="110">
        <f t="shared" ref="E40:AY40" si="13">E34-E37</f>
        <v>164.14252056741131</v>
      </c>
      <c r="F40" s="110">
        <f t="shared" si="13"/>
        <v>164.14252056741131</v>
      </c>
      <c r="G40" s="110">
        <f t="shared" si="13"/>
        <v>0</v>
      </c>
      <c r="H40" s="110">
        <f t="shared" si="13"/>
        <v>289.87097085992656</v>
      </c>
      <c r="I40" s="110">
        <f t="shared" si="13"/>
        <v>136.7860915259748</v>
      </c>
      <c r="J40" s="110">
        <f t="shared" si="13"/>
        <v>136.7860915259748</v>
      </c>
      <c r="K40" s="110">
        <f t="shared" si="13"/>
        <v>136.7860915259748</v>
      </c>
      <c r="L40" s="110">
        <f t="shared" si="13"/>
        <v>136.7860915259748</v>
      </c>
      <c r="M40" s="110">
        <f t="shared" si="13"/>
        <v>109.42966248453824</v>
      </c>
      <c r="N40" s="110">
        <f t="shared" si="13"/>
        <v>109.42966248453824</v>
      </c>
      <c r="O40" s="110">
        <f t="shared" si="13"/>
        <v>109.42966248453824</v>
      </c>
      <c r="P40" s="110">
        <f t="shared" si="13"/>
        <v>109.42966248453824</v>
      </c>
      <c r="Q40" s="110">
        <f t="shared" si="13"/>
        <v>136.7860915259748</v>
      </c>
      <c r="R40" s="110">
        <f t="shared" si="13"/>
        <v>136.7860915259748</v>
      </c>
      <c r="S40" s="110">
        <f t="shared" si="13"/>
        <v>136.7860915259748</v>
      </c>
      <c r="T40" s="110">
        <f t="shared" si="13"/>
        <v>136.7860915259748</v>
      </c>
      <c r="U40" s="110">
        <f t="shared" si="13"/>
        <v>136.7860915259748</v>
      </c>
      <c r="V40" s="110">
        <f t="shared" si="13"/>
        <v>136.7860915259748</v>
      </c>
      <c r="W40" s="110">
        <f t="shared" si="13"/>
        <v>0</v>
      </c>
      <c r="X40" s="110">
        <f t="shared" si="13"/>
        <v>273.57218305194959</v>
      </c>
      <c r="Y40" s="110">
        <f t="shared" si="13"/>
        <v>136.7860915259748</v>
      </c>
      <c r="Z40" s="110">
        <f t="shared" si="13"/>
        <v>136.7860915259748</v>
      </c>
      <c r="AA40" s="110">
        <f t="shared" si="13"/>
        <v>136.7860915259748</v>
      </c>
      <c r="AB40" s="110">
        <f t="shared" si="13"/>
        <v>136.7860915259748</v>
      </c>
      <c r="AC40" s="110">
        <f t="shared" si="13"/>
        <v>136.7860915259748</v>
      </c>
      <c r="AD40" s="110">
        <f t="shared" si="13"/>
        <v>136.7860915259748</v>
      </c>
      <c r="AE40" s="110">
        <f t="shared" si="13"/>
        <v>136.7860915259748</v>
      </c>
      <c r="AF40" s="110">
        <f t="shared" si="13"/>
        <v>136.7860915259748</v>
      </c>
      <c r="AG40" s="110">
        <f t="shared" si="13"/>
        <v>136.7860915259748</v>
      </c>
      <c r="AH40" s="110">
        <f t="shared" si="13"/>
        <v>136.7860915259748</v>
      </c>
      <c r="AI40" s="110">
        <f t="shared" si="13"/>
        <v>136.7860915259748</v>
      </c>
      <c r="AJ40" s="110">
        <f t="shared" si="13"/>
        <v>136.7860915259748</v>
      </c>
      <c r="AK40" s="110">
        <f t="shared" si="13"/>
        <v>136.7860915259748</v>
      </c>
      <c r="AL40" s="110">
        <f t="shared" si="13"/>
        <v>136.7860915259748</v>
      </c>
      <c r="AM40" s="110">
        <f t="shared" si="13"/>
        <v>136.7860915259748</v>
      </c>
      <c r="AN40" s="110">
        <f t="shared" si="13"/>
        <v>0</v>
      </c>
      <c r="AO40" s="110">
        <f t="shared" si="13"/>
        <v>289.87097085992656</v>
      </c>
      <c r="AP40" s="110">
        <f t="shared" si="13"/>
        <v>164.14252056741131</v>
      </c>
      <c r="AQ40" s="110">
        <f t="shared" si="13"/>
        <v>164.14252056741131</v>
      </c>
      <c r="AR40" s="110">
        <f t="shared" si="13"/>
        <v>164.14252056741131</v>
      </c>
      <c r="AS40" s="110">
        <f t="shared" si="13"/>
        <v>136.7860915259748</v>
      </c>
      <c r="AT40" s="110">
        <f t="shared" si="13"/>
        <v>136.7860915259748</v>
      </c>
      <c r="AU40" s="110">
        <f t="shared" si="13"/>
        <v>136.7860915259748</v>
      </c>
      <c r="AV40" s="110">
        <f t="shared" si="13"/>
        <v>136.7860915259748</v>
      </c>
      <c r="AW40" s="110">
        <f t="shared" si="13"/>
        <v>164.14252056741131</v>
      </c>
      <c r="AX40" s="110">
        <f t="shared" si="13"/>
        <v>164.14252056741131</v>
      </c>
      <c r="AY40" s="110">
        <f t="shared" si="13"/>
        <v>164.14252056741131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3</v>
      </c>
      <c r="G41" s="110">
        <v>1</v>
      </c>
      <c r="H41" s="110">
        <v>1</v>
      </c>
      <c r="I41" s="110">
        <v>2</v>
      </c>
      <c r="J41" s="110">
        <v>1</v>
      </c>
      <c r="K41" s="110">
        <v>1</v>
      </c>
      <c r="L41" s="110">
        <v>2</v>
      </c>
      <c r="M41" s="110">
        <v>1</v>
      </c>
      <c r="N41" s="110">
        <v>3</v>
      </c>
      <c r="O41" s="110">
        <v>1</v>
      </c>
      <c r="P41" s="110">
        <v>1</v>
      </c>
      <c r="Q41" s="110">
        <v>1</v>
      </c>
      <c r="R41" s="110">
        <v>2</v>
      </c>
      <c r="S41" s="110">
        <v>2</v>
      </c>
      <c r="T41" s="110">
        <v>1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3</v>
      </c>
      <c r="AA41" s="110">
        <v>3</v>
      </c>
      <c r="AB41" s="110">
        <v>2</v>
      </c>
      <c r="AC41" s="110">
        <v>3</v>
      </c>
      <c r="AD41" s="110">
        <v>2</v>
      </c>
      <c r="AE41" s="110">
        <v>2</v>
      </c>
      <c r="AF41" s="110">
        <v>1</v>
      </c>
      <c r="AG41" s="110">
        <v>3</v>
      </c>
      <c r="AH41" s="110">
        <v>2</v>
      </c>
      <c r="AI41" s="110">
        <v>1</v>
      </c>
      <c r="AJ41" s="110">
        <v>3</v>
      </c>
      <c r="AK41" s="110">
        <v>1</v>
      </c>
      <c r="AL41" s="110">
        <v>1</v>
      </c>
      <c r="AM41" s="110">
        <v>2</v>
      </c>
      <c r="AN41" s="110">
        <v>2</v>
      </c>
      <c r="AO41" s="110">
        <v>1</v>
      </c>
      <c r="AP41" s="110">
        <v>1</v>
      </c>
      <c r="AQ41" s="110">
        <v>2</v>
      </c>
      <c r="AR41" s="110">
        <v>1</v>
      </c>
      <c r="AS41" s="110">
        <v>1</v>
      </c>
      <c r="AT41" s="110">
        <v>1</v>
      </c>
      <c r="AU41" s="110">
        <v>2</v>
      </c>
      <c r="AV41" s="110">
        <v>2</v>
      </c>
      <c r="AW41" s="110">
        <v>2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208354.78298115372</v>
      </c>
      <c r="E43" s="110">
        <v>254792.60082644463</v>
      </c>
      <c r="F43" s="110">
        <v>254792.60082644463</v>
      </c>
      <c r="G43" s="110">
        <v>0</v>
      </c>
      <c r="H43" s="110">
        <v>449956.40565392136</v>
      </c>
      <c r="I43" s="110">
        <v>212328.18831043781</v>
      </c>
      <c r="J43" s="110">
        <v>212328.18831043781</v>
      </c>
      <c r="K43" s="110">
        <v>212328.18831043781</v>
      </c>
      <c r="L43" s="110">
        <v>212328.18831043781</v>
      </c>
      <c r="M43" s="110">
        <v>169863.77579443093</v>
      </c>
      <c r="N43" s="110">
        <v>169863.77579443093</v>
      </c>
      <c r="O43" s="110">
        <v>169863.77579443093</v>
      </c>
      <c r="P43" s="110">
        <v>169863.77579443093</v>
      </c>
      <c r="Q43" s="110">
        <v>212328.18831043781</v>
      </c>
      <c r="R43" s="110">
        <v>212328.18831043781</v>
      </c>
      <c r="S43" s="110">
        <v>212328.18831043781</v>
      </c>
      <c r="T43" s="110">
        <v>212328.18831043781</v>
      </c>
      <c r="U43" s="110">
        <v>212328.18831043781</v>
      </c>
      <c r="V43" s="110">
        <v>212328.18831043781</v>
      </c>
      <c r="W43" s="110">
        <v>0</v>
      </c>
      <c r="X43" s="110">
        <v>424656.37662087561</v>
      </c>
      <c r="Y43" s="110">
        <v>212328.18831043781</v>
      </c>
      <c r="Z43" s="110">
        <v>212328.18831043781</v>
      </c>
      <c r="AA43" s="110">
        <v>212328.18831043781</v>
      </c>
      <c r="AB43" s="110">
        <v>212328.18831043781</v>
      </c>
      <c r="AC43" s="110">
        <v>212328.18831043781</v>
      </c>
      <c r="AD43" s="110">
        <v>212328.18831043781</v>
      </c>
      <c r="AE43" s="110">
        <v>212328.18831043781</v>
      </c>
      <c r="AF43" s="110">
        <v>212328.18831043781</v>
      </c>
      <c r="AG43" s="110">
        <v>212328.18831043781</v>
      </c>
      <c r="AH43" s="110">
        <v>212328.18831043781</v>
      </c>
      <c r="AI43" s="110">
        <v>212328.18831043781</v>
      </c>
      <c r="AJ43" s="110">
        <v>212328.18831043781</v>
      </c>
      <c r="AK43" s="110">
        <v>212328.18831043781</v>
      </c>
      <c r="AL43" s="110">
        <v>212328.18831043781</v>
      </c>
      <c r="AM43" s="110">
        <v>212328.18831043781</v>
      </c>
      <c r="AN43" s="110">
        <v>0</v>
      </c>
      <c r="AO43" s="110">
        <v>449956.40565392136</v>
      </c>
      <c r="AP43" s="110">
        <v>254792.60082644463</v>
      </c>
      <c r="AQ43" s="110">
        <v>254792.60082644463</v>
      </c>
      <c r="AR43" s="110">
        <v>254792.60082644463</v>
      </c>
      <c r="AS43" s="110">
        <v>212328.18831043781</v>
      </c>
      <c r="AT43" s="110">
        <v>212328.18831043781</v>
      </c>
      <c r="AU43" s="110">
        <v>212328.18831043781</v>
      </c>
      <c r="AV43" s="110">
        <v>212328.18831043781</v>
      </c>
      <c r="AW43" s="110">
        <v>254792.60082644463</v>
      </c>
      <c r="AX43" s="110">
        <v>254792.60082644463</v>
      </c>
      <c r="AY43" s="110">
        <v>254792.60082644463</v>
      </c>
      <c r="AZ43" s="100">
        <f>SUM($D$43:$AY$43)</f>
        <v>10408237.341701845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3</v>
      </c>
      <c r="E52" s="110">
        <v>1</v>
      </c>
      <c r="F52" s="110">
        <v>1</v>
      </c>
      <c r="G52" s="110">
        <v>2</v>
      </c>
      <c r="H52" s="110">
        <v>1</v>
      </c>
      <c r="I52" s="110">
        <v>2</v>
      </c>
      <c r="J52" s="110">
        <v>3</v>
      </c>
      <c r="K52" s="110">
        <v>1</v>
      </c>
      <c r="L52" s="110">
        <v>2</v>
      </c>
      <c r="M52" s="110">
        <v>3</v>
      </c>
      <c r="N52" s="110">
        <v>1</v>
      </c>
      <c r="O52" s="110">
        <v>1</v>
      </c>
      <c r="P52" s="110">
        <v>1</v>
      </c>
      <c r="Q52" s="110">
        <v>2</v>
      </c>
      <c r="R52" s="110">
        <v>1</v>
      </c>
      <c r="S52" s="110">
        <v>1</v>
      </c>
      <c r="T52" s="110">
        <v>1</v>
      </c>
      <c r="U52" s="110">
        <v>1</v>
      </c>
      <c r="V52" s="110">
        <v>3</v>
      </c>
      <c r="W52" s="110">
        <v>1</v>
      </c>
      <c r="X52" s="110">
        <v>2</v>
      </c>
      <c r="Y52" s="110">
        <v>1</v>
      </c>
      <c r="Z52" s="110">
        <v>3</v>
      </c>
      <c r="AA52" s="110">
        <v>1</v>
      </c>
      <c r="AB52" s="110">
        <v>1</v>
      </c>
      <c r="AC52" s="110">
        <v>1</v>
      </c>
      <c r="AD52" s="110">
        <v>1</v>
      </c>
      <c r="AE52" s="110">
        <v>1</v>
      </c>
      <c r="AF52" s="110">
        <v>2</v>
      </c>
      <c r="AG52" s="110">
        <v>2</v>
      </c>
      <c r="AH52" s="110">
        <v>1</v>
      </c>
      <c r="AI52" s="110">
        <v>1</v>
      </c>
      <c r="AJ52" s="110">
        <v>1</v>
      </c>
      <c r="AK52" s="110">
        <v>2</v>
      </c>
      <c r="AL52" s="110">
        <v>2</v>
      </c>
      <c r="AM52" s="110">
        <v>1</v>
      </c>
      <c r="AN52" s="110">
        <v>2</v>
      </c>
      <c r="AO52" s="110">
        <v>2</v>
      </c>
      <c r="AP52" s="110">
        <v>3</v>
      </c>
      <c r="AQ52" s="110">
        <v>2</v>
      </c>
      <c r="AR52" s="110">
        <v>2</v>
      </c>
      <c r="AS52" s="110">
        <v>2</v>
      </c>
      <c r="AT52" s="110">
        <v>2</v>
      </c>
      <c r="AU52" s="110">
        <v>1</v>
      </c>
      <c r="AV52" s="110">
        <v>1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595.96544413260062</v>
      </c>
      <c r="E55" s="124">
        <f>E$21*shipping_manufacturing!$F$29/100</f>
        <v>728.79337512961024</v>
      </c>
      <c r="F55" s="124">
        <f>F$21*shipping_manufacturing!$F$29/100</f>
        <v>728.79337512961024</v>
      </c>
      <c r="G55" s="124">
        <f>G$21*shipping_manufacturing!$F$29/100</f>
        <v>0</v>
      </c>
      <c r="H55" s="124">
        <f>H$21*shipping_manufacturing!$F$29/100</f>
        <v>1287.0281416102814</v>
      </c>
      <c r="I55" s="124">
        <f>I$21*shipping_manufacturing!$F$29/100</f>
        <v>607.33073288625394</v>
      </c>
      <c r="J55" s="124">
        <f>J$21*shipping_manufacturing!$F$29/100</f>
        <v>607.33073288625394</v>
      </c>
      <c r="K55" s="124">
        <f>K$21*shipping_manufacturing!$F$29/100</f>
        <v>607.33073288625394</v>
      </c>
      <c r="L55" s="124">
        <f>L$21*shipping_manufacturing!$F$29/100</f>
        <v>607.33073288625394</v>
      </c>
      <c r="M55" s="124">
        <f>M$21*shipping_manufacturing!$F$29/100</f>
        <v>485.86809064289781</v>
      </c>
      <c r="N55" s="124">
        <f>N$21*shipping_manufacturing!$F$29/100</f>
        <v>485.86809064289781</v>
      </c>
      <c r="O55" s="124">
        <f>O$21*shipping_manufacturing!$F$29/100</f>
        <v>485.86809064289781</v>
      </c>
      <c r="P55" s="124">
        <f>P$21*shipping_manufacturing!$F$29/100</f>
        <v>485.86809064289781</v>
      </c>
      <c r="Q55" s="124">
        <f>Q$21*shipping_manufacturing!$F$29/100</f>
        <v>607.33073288625394</v>
      </c>
      <c r="R55" s="124">
        <f>R$21*shipping_manufacturing!$F$29/100</f>
        <v>607.33073288625394</v>
      </c>
      <c r="S55" s="124">
        <f>S$21*shipping_manufacturing!$F$29/100</f>
        <v>607.33073288625394</v>
      </c>
      <c r="T55" s="124">
        <f>T$21*shipping_manufacturing!$F$29/100</f>
        <v>607.33073288625394</v>
      </c>
      <c r="U55" s="124">
        <f>U$21*shipping_manufacturing!$F$29/100</f>
        <v>607.33073288625394</v>
      </c>
      <c r="V55" s="124">
        <f>V$21*shipping_manufacturing!$F$29/100</f>
        <v>607.33073288625394</v>
      </c>
      <c r="W55" s="124">
        <f>W$21*shipping_manufacturing!$F$29/100</f>
        <v>0</v>
      </c>
      <c r="X55" s="124">
        <f>X$21*shipping_manufacturing!$F$29/100</f>
        <v>1214.6614657725079</v>
      </c>
      <c r="Y55" s="124">
        <f>Y$21*shipping_manufacturing!$F$29/100</f>
        <v>607.33073288625394</v>
      </c>
      <c r="Z55" s="124">
        <f>Z$21*shipping_manufacturing!$F$29/100</f>
        <v>607.33073288625394</v>
      </c>
      <c r="AA55" s="124">
        <f>AA$21*shipping_manufacturing!$F$29/100</f>
        <v>607.33073288625394</v>
      </c>
      <c r="AB55" s="124">
        <f>AB$21*shipping_manufacturing!$F$29/100</f>
        <v>607.33073288625394</v>
      </c>
      <c r="AC55" s="124">
        <f>AC$21*shipping_manufacturing!$F$29/100</f>
        <v>607.33073288625394</v>
      </c>
      <c r="AD55" s="124">
        <f>AD$21*shipping_manufacturing!$F$29/100</f>
        <v>607.33073288625394</v>
      </c>
      <c r="AE55" s="124">
        <f>AE$21*shipping_manufacturing!$F$29/100</f>
        <v>607.33073288625394</v>
      </c>
      <c r="AF55" s="124">
        <f>AF$21*shipping_manufacturing!$F$29/100</f>
        <v>607.33073288625394</v>
      </c>
      <c r="AG55" s="124">
        <f>AG$21*shipping_manufacturing!$F$29/100</f>
        <v>607.33073288625394</v>
      </c>
      <c r="AH55" s="124">
        <f>AH$21*shipping_manufacturing!$F$29/100</f>
        <v>607.33073288625394</v>
      </c>
      <c r="AI55" s="124">
        <f>AI$21*shipping_manufacturing!$F$29/100</f>
        <v>607.33073288625394</v>
      </c>
      <c r="AJ55" s="124">
        <f>AJ$21*shipping_manufacturing!$F$29/100</f>
        <v>607.33073288625394</v>
      </c>
      <c r="AK55" s="124">
        <f>AK$21*shipping_manufacturing!$F$29/100</f>
        <v>607.33073288625394</v>
      </c>
      <c r="AL55" s="124">
        <f>AL$21*shipping_manufacturing!$F$29/100</f>
        <v>607.33073288625394</v>
      </c>
      <c r="AM55" s="124">
        <f>AM$21*shipping_manufacturing!$F$29/100</f>
        <v>607.33073288625394</v>
      </c>
      <c r="AN55" s="124">
        <f>AN$21*shipping_manufacturing!$F$29/100</f>
        <v>0</v>
      </c>
      <c r="AO55" s="124">
        <f>AO$21*shipping_manufacturing!$F$29/100</f>
        <v>1287.0281416102814</v>
      </c>
      <c r="AP55" s="124">
        <f>AP$21*shipping_manufacturing!$F$29/100</f>
        <v>728.79337512961024</v>
      </c>
      <c r="AQ55" s="124">
        <f>AQ$21*shipping_manufacturing!$F$29/100</f>
        <v>728.79337512961024</v>
      </c>
      <c r="AR55" s="124">
        <f>AR$21*shipping_manufacturing!$F$29/100</f>
        <v>728.79337512961024</v>
      </c>
      <c r="AS55" s="124">
        <f>AS$21*shipping_manufacturing!$F$29/100</f>
        <v>607.33073288625394</v>
      </c>
      <c r="AT55" s="124">
        <f>AT$21*shipping_manufacturing!$F$29/100</f>
        <v>607.33073288625394</v>
      </c>
      <c r="AU55" s="124">
        <f>AU$21*shipping_manufacturing!$F$29/100</f>
        <v>607.33073288625394</v>
      </c>
      <c r="AV55" s="124">
        <f>AV$21*shipping_manufacturing!$F$29/100</f>
        <v>607.33073288625394</v>
      </c>
      <c r="AW55" s="124">
        <f>AW$21*shipping_manufacturing!$F$29/100</f>
        <v>728.79337512961024</v>
      </c>
      <c r="AX55" s="124">
        <f>AX$21*shipping_manufacturing!$F$29/100</f>
        <v>728.79337512961024</v>
      </c>
      <c r="AY55" s="124">
        <f>AY$21*shipping_manufacturing!$F$29/100</f>
        <v>728.79337512961024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808.4741800935625</v>
      </c>
      <c r="E56" s="110">
        <f>E$22*shipping_manufacturing!$G$29/100</f>
        <v>988.66575607097457</v>
      </c>
      <c r="F56" s="110">
        <f>F$22*shipping_manufacturing!$G$29/100</f>
        <v>988.66575607097457</v>
      </c>
      <c r="G56" s="110">
        <f>G$22*shipping_manufacturing!$G$29/100</f>
        <v>0</v>
      </c>
      <c r="H56" s="110">
        <f>H$22*shipping_manufacturing!$G$29/100</f>
        <v>1745.9552928612402</v>
      </c>
      <c r="I56" s="110">
        <f>I$22*shipping_manufacturing!$G$29/100</f>
        <v>823.89209164715942</v>
      </c>
      <c r="J56" s="110">
        <f>J$22*shipping_manufacturing!$G$29/100</f>
        <v>823.89209164715942</v>
      </c>
      <c r="K56" s="110">
        <f>K$22*shipping_manufacturing!$G$29/100</f>
        <v>823.89209164715942</v>
      </c>
      <c r="L56" s="110">
        <f>L$22*shipping_manufacturing!$G$29/100</f>
        <v>823.89209164715942</v>
      </c>
      <c r="M56" s="110">
        <f>M$22*shipping_manufacturing!$G$29/100</f>
        <v>659.11842722334416</v>
      </c>
      <c r="N56" s="110">
        <f>N$22*shipping_manufacturing!$G$29/100</f>
        <v>659.11842722334416</v>
      </c>
      <c r="O56" s="110">
        <f>O$22*shipping_manufacturing!$G$29/100</f>
        <v>659.11842722334416</v>
      </c>
      <c r="P56" s="110">
        <f>P$22*shipping_manufacturing!$G$29/100</f>
        <v>659.11842722334416</v>
      </c>
      <c r="Q56" s="110">
        <f>Q$22*shipping_manufacturing!$G$29/100</f>
        <v>823.89209164715942</v>
      </c>
      <c r="R56" s="110">
        <f>R$22*shipping_manufacturing!$G$29/100</f>
        <v>823.89209164715942</v>
      </c>
      <c r="S56" s="110">
        <f>S$22*shipping_manufacturing!$G$29/100</f>
        <v>823.89209164715942</v>
      </c>
      <c r="T56" s="110">
        <f>T$22*shipping_manufacturing!$G$29/100</f>
        <v>823.89209164715942</v>
      </c>
      <c r="U56" s="110">
        <f>U$22*shipping_manufacturing!$G$29/100</f>
        <v>823.89209164715942</v>
      </c>
      <c r="V56" s="110">
        <f>V$22*shipping_manufacturing!$G$29/100</f>
        <v>823.89209164715942</v>
      </c>
      <c r="W56" s="110">
        <f>W$22*shipping_manufacturing!$G$29/100</f>
        <v>0</v>
      </c>
      <c r="X56" s="110">
        <f>X$22*shipping_manufacturing!$G$29/100</f>
        <v>1647.7841832943188</v>
      </c>
      <c r="Y56" s="110">
        <f>Y$22*shipping_manufacturing!$G$29/100</f>
        <v>823.89209164715942</v>
      </c>
      <c r="Z56" s="110">
        <f>Z$22*shipping_manufacturing!$G$29/100</f>
        <v>823.89209164715942</v>
      </c>
      <c r="AA56" s="110">
        <f>AA$22*shipping_manufacturing!$G$29/100</f>
        <v>823.89209164715942</v>
      </c>
      <c r="AB56" s="110">
        <f>AB$22*shipping_manufacturing!$G$29/100</f>
        <v>823.89209164715942</v>
      </c>
      <c r="AC56" s="110">
        <f>AC$22*shipping_manufacturing!$G$29/100</f>
        <v>823.89209164715942</v>
      </c>
      <c r="AD56" s="110">
        <f>AD$22*shipping_manufacturing!$G$29/100</f>
        <v>823.89209164715942</v>
      </c>
      <c r="AE56" s="110">
        <f>AE$22*shipping_manufacturing!$G$29/100</f>
        <v>823.89209164715942</v>
      </c>
      <c r="AF56" s="110">
        <f>AF$22*shipping_manufacturing!$G$29/100</f>
        <v>823.89209164715942</v>
      </c>
      <c r="AG56" s="110">
        <f>AG$22*shipping_manufacturing!$G$29/100</f>
        <v>823.89209164715942</v>
      </c>
      <c r="AH56" s="110">
        <f>AH$22*shipping_manufacturing!$G$29/100</f>
        <v>823.89209164715942</v>
      </c>
      <c r="AI56" s="110">
        <f>AI$22*shipping_manufacturing!$G$29/100</f>
        <v>823.89209164715942</v>
      </c>
      <c r="AJ56" s="110">
        <f>AJ$22*shipping_manufacturing!$G$29/100</f>
        <v>823.89209164715942</v>
      </c>
      <c r="AK56" s="110">
        <f>AK$22*shipping_manufacturing!$G$29/100</f>
        <v>823.89209164715942</v>
      </c>
      <c r="AL56" s="110">
        <f>AL$22*shipping_manufacturing!$G$29/100</f>
        <v>823.89209164715942</v>
      </c>
      <c r="AM56" s="110">
        <f>AM$22*shipping_manufacturing!$G$29/100</f>
        <v>823.89209164715942</v>
      </c>
      <c r="AN56" s="110">
        <f>AN$22*shipping_manufacturing!$G$29/100</f>
        <v>0</v>
      </c>
      <c r="AO56" s="110">
        <f>AO$22*shipping_manufacturing!$G$29/100</f>
        <v>1745.9552928612402</v>
      </c>
      <c r="AP56" s="110">
        <f>AP$22*shipping_manufacturing!$G$29/100</f>
        <v>988.66575607097457</v>
      </c>
      <c r="AQ56" s="110">
        <f>AQ$22*shipping_manufacturing!$G$29/100</f>
        <v>988.66575607097457</v>
      </c>
      <c r="AR56" s="110">
        <f>AR$22*shipping_manufacturing!$G$29/100</f>
        <v>988.66575607097457</v>
      </c>
      <c r="AS56" s="110">
        <f>AS$22*shipping_manufacturing!$G$29/100</f>
        <v>823.89209164715942</v>
      </c>
      <c r="AT56" s="110">
        <f>AT$22*shipping_manufacturing!$G$29/100</f>
        <v>823.89209164715942</v>
      </c>
      <c r="AU56" s="110">
        <f>AU$22*shipping_manufacturing!$G$29/100</f>
        <v>823.89209164715942</v>
      </c>
      <c r="AV56" s="110">
        <f>AV$22*shipping_manufacturing!$G$29/100</f>
        <v>823.89209164715942</v>
      </c>
      <c r="AW56" s="110">
        <f>AW$22*shipping_manufacturing!$G$29/100</f>
        <v>988.66575607097457</v>
      </c>
      <c r="AX56" s="110">
        <f>AX$22*shipping_manufacturing!$G$29/100</f>
        <v>988.66575607097457</v>
      </c>
      <c r="AY56" s="110">
        <f>AY$22*shipping_manufacturing!$G$29/100</f>
        <v>988.66575607097457</v>
      </c>
    </row>
    <row r="57" spans="1:52">
      <c r="A57" s="110">
        <v>495</v>
      </c>
      <c r="B57" s="165" t="s">
        <v>343</v>
      </c>
      <c r="C57" s="110"/>
      <c r="D57" s="110">
        <f>SUM(D55:D56)</f>
        <v>1404.4396242261632</v>
      </c>
      <c r="E57" s="110">
        <f t="shared" ref="E57:AY57" si="17">SUM(E55:E56)</f>
        <v>1717.4591312005848</v>
      </c>
      <c r="F57" s="110">
        <f t="shared" si="17"/>
        <v>1717.4591312005848</v>
      </c>
      <c r="G57" s="110">
        <f t="shared" si="17"/>
        <v>0</v>
      </c>
      <c r="H57" s="110">
        <f t="shared" si="17"/>
        <v>3032.9834344715218</v>
      </c>
      <c r="I57" s="110">
        <f t="shared" si="17"/>
        <v>1431.2228245334134</v>
      </c>
      <c r="J57" s="110">
        <f t="shared" si="17"/>
        <v>1431.2228245334134</v>
      </c>
      <c r="K57" s="110">
        <f t="shared" si="17"/>
        <v>1431.2228245334134</v>
      </c>
      <c r="L57" s="110">
        <f t="shared" si="17"/>
        <v>1431.2228245334134</v>
      </c>
      <c r="M57" s="110">
        <f t="shared" si="17"/>
        <v>1144.9865178662419</v>
      </c>
      <c r="N57" s="110">
        <f t="shared" si="17"/>
        <v>1144.9865178662419</v>
      </c>
      <c r="O57" s="110">
        <f t="shared" si="17"/>
        <v>1144.9865178662419</v>
      </c>
      <c r="P57" s="110">
        <f t="shared" si="17"/>
        <v>1144.9865178662419</v>
      </c>
      <c r="Q57" s="110">
        <f t="shared" si="17"/>
        <v>1431.2228245334134</v>
      </c>
      <c r="R57" s="110">
        <f t="shared" si="17"/>
        <v>1431.2228245334134</v>
      </c>
      <c r="S57" s="110">
        <f t="shared" si="17"/>
        <v>1431.2228245334134</v>
      </c>
      <c r="T57" s="110">
        <f t="shared" si="17"/>
        <v>1431.2228245334134</v>
      </c>
      <c r="U57" s="110">
        <f t="shared" si="17"/>
        <v>1431.2228245334134</v>
      </c>
      <c r="V57" s="110">
        <f t="shared" si="17"/>
        <v>1431.2228245334134</v>
      </c>
      <c r="W57" s="110">
        <f t="shared" si="17"/>
        <v>0</v>
      </c>
      <c r="X57" s="110">
        <f t="shared" si="17"/>
        <v>2862.4456490668267</v>
      </c>
      <c r="Y57" s="110">
        <f t="shared" si="17"/>
        <v>1431.2228245334134</v>
      </c>
      <c r="Z57" s="110">
        <f t="shared" si="17"/>
        <v>1431.2228245334134</v>
      </c>
      <c r="AA57" s="110">
        <f t="shared" si="17"/>
        <v>1431.2228245334134</v>
      </c>
      <c r="AB57" s="110">
        <f t="shared" si="17"/>
        <v>1431.2228245334134</v>
      </c>
      <c r="AC57" s="110">
        <f t="shared" si="17"/>
        <v>1431.2228245334134</v>
      </c>
      <c r="AD57" s="110">
        <f t="shared" si="17"/>
        <v>1431.2228245334134</v>
      </c>
      <c r="AE57" s="110">
        <f t="shared" si="17"/>
        <v>1431.2228245334134</v>
      </c>
      <c r="AF57" s="110">
        <f t="shared" si="17"/>
        <v>1431.2228245334134</v>
      </c>
      <c r="AG57" s="110">
        <f t="shared" si="17"/>
        <v>1431.2228245334134</v>
      </c>
      <c r="AH57" s="110">
        <f t="shared" si="17"/>
        <v>1431.2228245334134</v>
      </c>
      <c r="AI57" s="110">
        <f t="shared" si="17"/>
        <v>1431.2228245334134</v>
      </c>
      <c r="AJ57" s="110">
        <f t="shared" si="17"/>
        <v>1431.2228245334134</v>
      </c>
      <c r="AK57" s="110">
        <f t="shared" si="17"/>
        <v>1431.2228245334134</v>
      </c>
      <c r="AL57" s="110">
        <f t="shared" si="17"/>
        <v>1431.2228245334134</v>
      </c>
      <c r="AM57" s="110">
        <f t="shared" si="17"/>
        <v>1431.2228245334134</v>
      </c>
      <c r="AN57" s="110">
        <f t="shared" si="17"/>
        <v>0</v>
      </c>
      <c r="AO57" s="110">
        <f t="shared" si="17"/>
        <v>3032.9834344715218</v>
      </c>
      <c r="AP57" s="110">
        <f t="shared" si="17"/>
        <v>1717.4591312005848</v>
      </c>
      <c r="AQ57" s="110">
        <f t="shared" si="17"/>
        <v>1717.4591312005848</v>
      </c>
      <c r="AR57" s="110">
        <f t="shared" si="17"/>
        <v>1717.4591312005848</v>
      </c>
      <c r="AS57" s="110">
        <f t="shared" si="17"/>
        <v>1431.2228245334134</v>
      </c>
      <c r="AT57" s="110">
        <f t="shared" si="17"/>
        <v>1431.2228245334134</v>
      </c>
      <c r="AU57" s="110">
        <f t="shared" si="17"/>
        <v>1431.2228245334134</v>
      </c>
      <c r="AV57" s="110">
        <f t="shared" si="17"/>
        <v>1431.2228245334134</v>
      </c>
      <c r="AW57" s="110">
        <f t="shared" si="17"/>
        <v>1717.4591312005848</v>
      </c>
      <c r="AX57" s="110">
        <f t="shared" si="17"/>
        <v>1717.4591312005848</v>
      </c>
      <c r="AY57" s="110">
        <f t="shared" si="17"/>
        <v>1717.4591312005848</v>
      </c>
    </row>
    <row r="58" spans="1:52">
      <c r="A58" s="110"/>
      <c r="B58" s="165" t="s">
        <v>344</v>
      </c>
      <c r="C58" s="110"/>
      <c r="D58" s="110">
        <v>190.95477315903699</v>
      </c>
      <c r="E58" s="110"/>
      <c r="F58" s="110">
        <v>190.95477315903705</v>
      </c>
      <c r="G58" s="110"/>
      <c r="H58" s="110">
        <v>190.95477315903702</v>
      </c>
      <c r="I58" s="110"/>
      <c r="J58" s="110">
        <v>190.95477315903699</v>
      </c>
      <c r="K58" s="110"/>
      <c r="L58" s="110">
        <v>190.95477315903699</v>
      </c>
      <c r="M58" s="110"/>
      <c r="N58" s="110">
        <v>190.95477315903705</v>
      </c>
      <c r="O58" s="110"/>
      <c r="P58" s="110">
        <v>190.95477315903705</v>
      </c>
      <c r="Q58" s="110"/>
      <c r="R58" s="110">
        <v>190.95477315903699</v>
      </c>
      <c r="S58" s="110"/>
      <c r="T58" s="110">
        <v>190.95477315903699</v>
      </c>
      <c r="U58" s="110"/>
      <c r="V58" s="110">
        <v>190.95477315903699</v>
      </c>
      <c r="W58" s="110"/>
      <c r="X58" s="110">
        <v>190.95477315903702</v>
      </c>
      <c r="Y58" s="110"/>
      <c r="Z58" s="110">
        <v>190.95477315903699</v>
      </c>
      <c r="AA58" s="110"/>
      <c r="AB58" s="110">
        <v>190.95477315903699</v>
      </c>
      <c r="AC58" s="110"/>
      <c r="AD58" s="110">
        <v>190.95477315903699</v>
      </c>
      <c r="AE58" s="110"/>
      <c r="AF58" s="110">
        <v>190.95477315903699</v>
      </c>
      <c r="AG58" s="110"/>
      <c r="AH58" s="110">
        <v>190.95477315903699</v>
      </c>
      <c r="AI58" s="110"/>
      <c r="AJ58" s="110">
        <v>190.95477315903699</v>
      </c>
      <c r="AK58" s="110"/>
      <c r="AL58" s="110">
        <v>190.95477315903699</v>
      </c>
      <c r="AM58" s="110"/>
      <c r="AN58" s="110"/>
      <c r="AO58" s="110">
        <v>190.95477315903702</v>
      </c>
      <c r="AP58" s="110"/>
      <c r="AQ58" s="110">
        <v>190.95477315903705</v>
      </c>
      <c r="AR58" s="110"/>
      <c r="AS58" s="110">
        <v>190.95477315903699</v>
      </c>
      <c r="AT58" s="110"/>
      <c r="AU58" s="110">
        <v>190.95477315903699</v>
      </c>
      <c r="AV58" s="110"/>
      <c r="AW58" s="110">
        <v>190.95477315903705</v>
      </c>
      <c r="AX58" s="110"/>
      <c r="AY58" s="110">
        <v>190.95477315903705</v>
      </c>
    </row>
    <row r="59" spans="1:52">
      <c r="A59" s="110"/>
      <c r="B59" s="165" t="s">
        <v>345</v>
      </c>
      <c r="C59" s="110"/>
      <c r="D59" s="110">
        <v>259.04522684096298</v>
      </c>
      <c r="E59" s="110"/>
      <c r="F59" s="110">
        <v>259.04522684096298</v>
      </c>
      <c r="G59" s="110"/>
      <c r="H59" s="110">
        <v>259.04522684096298</v>
      </c>
      <c r="I59" s="110"/>
      <c r="J59" s="110">
        <v>259.04522684096304</v>
      </c>
      <c r="K59" s="110"/>
      <c r="L59" s="110">
        <v>259.04522684096304</v>
      </c>
      <c r="M59" s="110"/>
      <c r="N59" s="110">
        <v>259.04522684096304</v>
      </c>
      <c r="O59" s="110"/>
      <c r="P59" s="110">
        <v>259.04522684096304</v>
      </c>
      <c r="Q59" s="110"/>
      <c r="R59" s="110">
        <v>259.04522684096304</v>
      </c>
      <c r="S59" s="110"/>
      <c r="T59" s="110">
        <v>259.04522684096304</v>
      </c>
      <c r="U59" s="110"/>
      <c r="V59" s="110">
        <v>259.04522684096304</v>
      </c>
      <c r="W59" s="110"/>
      <c r="X59" s="110">
        <v>259.04522684096298</v>
      </c>
      <c r="Y59" s="110"/>
      <c r="Z59" s="110">
        <v>259.04522684096304</v>
      </c>
      <c r="AA59" s="110"/>
      <c r="AB59" s="110">
        <v>259.04522684096304</v>
      </c>
      <c r="AC59" s="110"/>
      <c r="AD59" s="110">
        <v>259.04522684096304</v>
      </c>
      <c r="AE59" s="110"/>
      <c r="AF59" s="110">
        <v>259.04522684096304</v>
      </c>
      <c r="AG59" s="110"/>
      <c r="AH59" s="110">
        <v>259.04522684096304</v>
      </c>
      <c r="AI59" s="110"/>
      <c r="AJ59" s="110">
        <v>259.04522684096304</v>
      </c>
      <c r="AK59" s="110"/>
      <c r="AL59" s="110">
        <v>259.04522684096304</v>
      </c>
      <c r="AM59" s="110"/>
      <c r="AN59" s="110"/>
      <c r="AO59" s="110">
        <v>259.04522684096298</v>
      </c>
      <c r="AP59" s="110"/>
      <c r="AQ59" s="110">
        <v>259.04522684096298</v>
      </c>
      <c r="AR59" s="110"/>
      <c r="AS59" s="110">
        <v>259.04522684096304</v>
      </c>
      <c r="AT59" s="110"/>
      <c r="AU59" s="110">
        <v>259.04522684096304</v>
      </c>
      <c r="AV59" s="110"/>
      <c r="AW59" s="110">
        <v>259.04522684096298</v>
      </c>
      <c r="AX59" s="110"/>
      <c r="AY59" s="110">
        <v>259.04522684096298</v>
      </c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>
        <v>15</v>
      </c>
      <c r="Y60" s="110"/>
      <c r="Z60" s="110">
        <v>15</v>
      </c>
      <c r="AA60" s="110"/>
      <c r="AB60" s="110">
        <v>15</v>
      </c>
      <c r="AC60" s="110"/>
      <c r="AD60" s="110">
        <v>15</v>
      </c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405.01067097356361</v>
      </c>
      <c r="E61" s="110">
        <f t="shared" ref="E61:AY61" si="18">E55-E58</f>
        <v>728.79337512961024</v>
      </c>
      <c r="F61" s="110">
        <f t="shared" si="18"/>
        <v>537.83860197057322</v>
      </c>
      <c r="G61" s="110">
        <f t="shared" si="18"/>
        <v>0</v>
      </c>
      <c r="H61" s="110">
        <f t="shared" si="18"/>
        <v>1096.0733684512443</v>
      </c>
      <c r="I61" s="110">
        <f t="shared" si="18"/>
        <v>607.33073288625394</v>
      </c>
      <c r="J61" s="110">
        <f t="shared" si="18"/>
        <v>416.37595972721692</v>
      </c>
      <c r="K61" s="110">
        <f t="shared" si="18"/>
        <v>607.33073288625394</v>
      </c>
      <c r="L61" s="110">
        <f t="shared" si="18"/>
        <v>416.37595972721692</v>
      </c>
      <c r="M61" s="110">
        <f t="shared" si="18"/>
        <v>485.86809064289781</v>
      </c>
      <c r="N61" s="110">
        <f t="shared" si="18"/>
        <v>294.91331748386074</v>
      </c>
      <c r="O61" s="110">
        <f t="shared" si="18"/>
        <v>485.86809064289781</v>
      </c>
      <c r="P61" s="110">
        <f t="shared" si="18"/>
        <v>294.91331748386074</v>
      </c>
      <c r="Q61" s="110">
        <f t="shared" si="18"/>
        <v>607.33073288625394</v>
      </c>
      <c r="R61" s="110">
        <f t="shared" si="18"/>
        <v>416.37595972721692</v>
      </c>
      <c r="S61" s="110">
        <f t="shared" si="18"/>
        <v>607.33073288625394</v>
      </c>
      <c r="T61" s="110">
        <f t="shared" si="18"/>
        <v>416.37595972721692</v>
      </c>
      <c r="U61" s="110">
        <f t="shared" si="18"/>
        <v>607.33073288625394</v>
      </c>
      <c r="V61" s="110">
        <f t="shared" si="18"/>
        <v>416.37595972721692</v>
      </c>
      <c r="W61" s="110">
        <f t="shared" si="18"/>
        <v>0</v>
      </c>
      <c r="X61" s="110">
        <f t="shared" si="18"/>
        <v>1023.7066926134709</v>
      </c>
      <c r="Y61" s="110">
        <f t="shared" si="18"/>
        <v>607.33073288625394</v>
      </c>
      <c r="Z61" s="110">
        <f t="shared" si="18"/>
        <v>416.37595972721692</v>
      </c>
      <c r="AA61" s="110">
        <f t="shared" si="18"/>
        <v>607.33073288625394</v>
      </c>
      <c r="AB61" s="110">
        <f t="shared" si="18"/>
        <v>416.37595972721692</v>
      </c>
      <c r="AC61" s="110">
        <f t="shared" si="18"/>
        <v>607.33073288625394</v>
      </c>
      <c r="AD61" s="110">
        <f t="shared" si="18"/>
        <v>416.37595972721692</v>
      </c>
      <c r="AE61" s="110">
        <f t="shared" si="18"/>
        <v>607.33073288625394</v>
      </c>
      <c r="AF61" s="110">
        <f t="shared" si="18"/>
        <v>416.37595972721692</v>
      </c>
      <c r="AG61" s="110">
        <f t="shared" si="18"/>
        <v>607.33073288625394</v>
      </c>
      <c r="AH61" s="110">
        <f t="shared" si="18"/>
        <v>416.37595972721692</v>
      </c>
      <c r="AI61" s="110">
        <f t="shared" si="18"/>
        <v>607.33073288625394</v>
      </c>
      <c r="AJ61" s="110">
        <f t="shared" si="18"/>
        <v>416.37595972721692</v>
      </c>
      <c r="AK61" s="110">
        <f t="shared" si="18"/>
        <v>607.33073288625394</v>
      </c>
      <c r="AL61" s="110">
        <f t="shared" si="18"/>
        <v>416.37595972721692</v>
      </c>
      <c r="AM61" s="110">
        <f t="shared" si="18"/>
        <v>607.33073288625394</v>
      </c>
      <c r="AN61" s="110">
        <f t="shared" si="18"/>
        <v>0</v>
      </c>
      <c r="AO61" s="110">
        <f t="shared" si="18"/>
        <v>1096.0733684512443</v>
      </c>
      <c r="AP61" s="110">
        <f t="shared" si="18"/>
        <v>728.79337512961024</v>
      </c>
      <c r="AQ61" s="110">
        <f t="shared" si="18"/>
        <v>537.83860197057322</v>
      </c>
      <c r="AR61" s="110">
        <f t="shared" si="18"/>
        <v>728.79337512961024</v>
      </c>
      <c r="AS61" s="110">
        <f t="shared" si="18"/>
        <v>416.37595972721692</v>
      </c>
      <c r="AT61" s="110">
        <f t="shared" si="18"/>
        <v>607.33073288625394</v>
      </c>
      <c r="AU61" s="110">
        <f t="shared" si="18"/>
        <v>416.37595972721692</v>
      </c>
      <c r="AV61" s="110">
        <f t="shared" si="18"/>
        <v>607.33073288625394</v>
      </c>
      <c r="AW61" s="110">
        <f t="shared" si="18"/>
        <v>537.83860197057322</v>
      </c>
      <c r="AX61" s="110">
        <f t="shared" si="18"/>
        <v>728.79337512961024</v>
      </c>
      <c r="AY61" s="110">
        <f t="shared" si="18"/>
        <v>537.83860197057322</v>
      </c>
    </row>
    <row r="62" spans="1:52">
      <c r="A62" s="110"/>
      <c r="B62" s="165" t="s">
        <v>348</v>
      </c>
      <c r="C62" s="110"/>
      <c r="D62" s="110">
        <f>D56-D59</f>
        <v>549.42895325259951</v>
      </c>
      <c r="E62" s="110">
        <f t="shared" ref="E62:AY62" si="19">E56-E59</f>
        <v>988.66575607097457</v>
      </c>
      <c r="F62" s="110">
        <f t="shared" si="19"/>
        <v>729.62052923001158</v>
      </c>
      <c r="G62" s="110">
        <f t="shared" si="19"/>
        <v>0</v>
      </c>
      <c r="H62" s="110">
        <f t="shared" si="19"/>
        <v>1486.9100660202771</v>
      </c>
      <c r="I62" s="110">
        <f t="shared" si="19"/>
        <v>823.89209164715942</v>
      </c>
      <c r="J62" s="110">
        <f t="shared" si="19"/>
        <v>564.84686480619644</v>
      </c>
      <c r="K62" s="110">
        <f t="shared" si="19"/>
        <v>823.89209164715942</v>
      </c>
      <c r="L62" s="110">
        <f t="shared" si="19"/>
        <v>564.84686480619644</v>
      </c>
      <c r="M62" s="110">
        <f t="shared" si="19"/>
        <v>659.11842722334416</v>
      </c>
      <c r="N62" s="110">
        <f t="shared" si="19"/>
        <v>400.07320038238112</v>
      </c>
      <c r="O62" s="110">
        <f t="shared" si="19"/>
        <v>659.11842722334416</v>
      </c>
      <c r="P62" s="110">
        <f t="shared" si="19"/>
        <v>400.07320038238112</v>
      </c>
      <c r="Q62" s="110">
        <f t="shared" si="19"/>
        <v>823.89209164715942</v>
      </c>
      <c r="R62" s="110">
        <f t="shared" si="19"/>
        <v>564.84686480619644</v>
      </c>
      <c r="S62" s="110">
        <f t="shared" si="19"/>
        <v>823.89209164715942</v>
      </c>
      <c r="T62" s="110">
        <f t="shared" si="19"/>
        <v>564.84686480619644</v>
      </c>
      <c r="U62" s="110">
        <f t="shared" si="19"/>
        <v>823.89209164715942</v>
      </c>
      <c r="V62" s="110">
        <f t="shared" si="19"/>
        <v>564.84686480619644</v>
      </c>
      <c r="W62" s="110">
        <f t="shared" si="19"/>
        <v>0</v>
      </c>
      <c r="X62" s="110">
        <f t="shared" si="19"/>
        <v>1388.738956453356</v>
      </c>
      <c r="Y62" s="110">
        <f t="shared" si="19"/>
        <v>823.89209164715942</v>
      </c>
      <c r="Z62" s="110">
        <f t="shared" si="19"/>
        <v>564.84686480619644</v>
      </c>
      <c r="AA62" s="110">
        <f t="shared" si="19"/>
        <v>823.89209164715942</v>
      </c>
      <c r="AB62" s="110">
        <f t="shared" si="19"/>
        <v>564.84686480619644</v>
      </c>
      <c r="AC62" s="110">
        <f t="shared" si="19"/>
        <v>823.89209164715942</v>
      </c>
      <c r="AD62" s="110">
        <f t="shared" si="19"/>
        <v>564.84686480619644</v>
      </c>
      <c r="AE62" s="110">
        <f t="shared" si="19"/>
        <v>823.89209164715942</v>
      </c>
      <c r="AF62" s="110">
        <f t="shared" si="19"/>
        <v>564.84686480619644</v>
      </c>
      <c r="AG62" s="110">
        <f t="shared" si="19"/>
        <v>823.89209164715942</v>
      </c>
      <c r="AH62" s="110">
        <f t="shared" si="19"/>
        <v>564.84686480619644</v>
      </c>
      <c r="AI62" s="110">
        <f t="shared" si="19"/>
        <v>823.89209164715942</v>
      </c>
      <c r="AJ62" s="110">
        <f t="shared" si="19"/>
        <v>564.84686480619644</v>
      </c>
      <c r="AK62" s="110">
        <f t="shared" si="19"/>
        <v>823.89209164715942</v>
      </c>
      <c r="AL62" s="110">
        <f t="shared" si="19"/>
        <v>564.84686480619644</v>
      </c>
      <c r="AM62" s="110">
        <f t="shared" si="19"/>
        <v>823.89209164715942</v>
      </c>
      <c r="AN62" s="110">
        <f t="shared" si="19"/>
        <v>0</v>
      </c>
      <c r="AO62" s="110">
        <f t="shared" si="19"/>
        <v>1486.9100660202771</v>
      </c>
      <c r="AP62" s="110">
        <f t="shared" si="19"/>
        <v>988.66575607097457</v>
      </c>
      <c r="AQ62" s="110">
        <f t="shared" si="19"/>
        <v>729.62052923001158</v>
      </c>
      <c r="AR62" s="110">
        <f t="shared" si="19"/>
        <v>988.66575607097457</v>
      </c>
      <c r="AS62" s="110">
        <f t="shared" si="19"/>
        <v>564.84686480619644</v>
      </c>
      <c r="AT62" s="110">
        <f t="shared" si="19"/>
        <v>823.89209164715942</v>
      </c>
      <c r="AU62" s="110">
        <f t="shared" si="19"/>
        <v>564.84686480619644</v>
      </c>
      <c r="AV62" s="110">
        <f t="shared" si="19"/>
        <v>823.89209164715942</v>
      </c>
      <c r="AW62" s="110">
        <f t="shared" si="19"/>
        <v>729.62052923001158</v>
      </c>
      <c r="AX62" s="110">
        <f t="shared" si="19"/>
        <v>988.66575607097457</v>
      </c>
      <c r="AY62" s="110">
        <f t="shared" si="19"/>
        <v>729.62052923001158</v>
      </c>
    </row>
    <row r="63" spans="1:52">
      <c r="A63" s="110"/>
      <c r="B63" s="165" t="s">
        <v>349</v>
      </c>
      <c r="C63" s="110"/>
      <c r="D63" s="110">
        <v>2</v>
      </c>
      <c r="E63" s="110">
        <v>1</v>
      </c>
      <c r="F63" s="110">
        <v>1</v>
      </c>
      <c r="G63" s="110">
        <v>1</v>
      </c>
      <c r="H63" s="110">
        <v>1</v>
      </c>
      <c r="I63" s="110">
        <v>2</v>
      </c>
      <c r="J63" s="110">
        <v>1</v>
      </c>
      <c r="K63" s="110">
        <v>1</v>
      </c>
      <c r="L63" s="110">
        <v>2</v>
      </c>
      <c r="M63" s="110">
        <v>2</v>
      </c>
      <c r="N63" s="110">
        <v>1</v>
      </c>
      <c r="O63" s="110">
        <v>2</v>
      </c>
      <c r="P63" s="110">
        <v>2</v>
      </c>
      <c r="Q63" s="110">
        <v>2</v>
      </c>
      <c r="R63" s="110">
        <v>3</v>
      </c>
      <c r="S63" s="110">
        <v>1</v>
      </c>
      <c r="T63" s="110">
        <v>1</v>
      </c>
      <c r="U63" s="110">
        <v>1</v>
      </c>
      <c r="V63" s="110">
        <v>2</v>
      </c>
      <c r="W63" s="110">
        <v>1</v>
      </c>
      <c r="X63" s="110">
        <v>2</v>
      </c>
      <c r="Y63" s="110">
        <v>1</v>
      </c>
      <c r="Z63" s="110">
        <v>1</v>
      </c>
      <c r="AA63" s="110">
        <v>1</v>
      </c>
      <c r="AB63" s="110">
        <v>1</v>
      </c>
      <c r="AC63" s="110">
        <v>1</v>
      </c>
      <c r="AD63" s="110">
        <v>3</v>
      </c>
      <c r="AE63" s="110">
        <v>2</v>
      </c>
      <c r="AF63" s="110">
        <v>2</v>
      </c>
      <c r="AG63" s="110">
        <v>1</v>
      </c>
      <c r="AH63" s="110">
        <v>1</v>
      </c>
      <c r="AI63" s="110">
        <v>1</v>
      </c>
      <c r="AJ63" s="110">
        <v>1</v>
      </c>
      <c r="AK63" s="110">
        <v>3</v>
      </c>
      <c r="AL63" s="110">
        <v>1</v>
      </c>
      <c r="AM63" s="110">
        <v>2</v>
      </c>
      <c r="AN63" s="110">
        <v>2</v>
      </c>
      <c r="AO63" s="110">
        <v>1</v>
      </c>
      <c r="AP63" s="110">
        <v>2</v>
      </c>
      <c r="AQ63" s="110">
        <v>2</v>
      </c>
      <c r="AR63" s="110">
        <v>2</v>
      </c>
      <c r="AS63" s="110">
        <v>1</v>
      </c>
      <c r="AT63" s="110">
        <v>2</v>
      </c>
      <c r="AU63" s="110">
        <v>1</v>
      </c>
      <c r="AV63" s="110">
        <v>1</v>
      </c>
      <c r="AW63" s="110">
        <v>1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267300</v>
      </c>
      <c r="Y64" s="110">
        <v>0</v>
      </c>
      <c r="Z64" s="110">
        <v>267300</v>
      </c>
      <c r="AA64" s="110">
        <v>0</v>
      </c>
      <c r="AB64" s="110">
        <v>267300</v>
      </c>
      <c r="AC64" s="110">
        <v>0</v>
      </c>
      <c r="AD64" s="110">
        <v>267300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6415200</v>
      </c>
    </row>
    <row r="65" spans="1:52">
      <c r="A65" s="125"/>
      <c r="B65" s="140" t="s">
        <v>351</v>
      </c>
      <c r="C65" s="125"/>
      <c r="D65" s="125">
        <v>307090.94909476797</v>
      </c>
      <c r="E65" s="125">
        <v>552592.47546378814</v>
      </c>
      <c r="F65" s="125">
        <v>407804.97546378814</v>
      </c>
      <c r="G65" s="125">
        <v>0</v>
      </c>
      <c r="H65" s="125">
        <v>831074.920041212</v>
      </c>
      <c r="I65" s="125">
        <v>460495.94379362575</v>
      </c>
      <c r="J65" s="125">
        <v>315708.4437936258</v>
      </c>
      <c r="K65" s="125">
        <v>460495.94379362575</v>
      </c>
      <c r="L65" s="125">
        <v>315708.4437936258</v>
      </c>
      <c r="M65" s="125">
        <v>368399.41212346329</v>
      </c>
      <c r="N65" s="125">
        <v>223611.91212346335</v>
      </c>
      <c r="O65" s="125">
        <v>368399.41212346329</v>
      </c>
      <c r="P65" s="125">
        <v>223611.91212346335</v>
      </c>
      <c r="Q65" s="125">
        <v>460495.94379362575</v>
      </c>
      <c r="R65" s="125">
        <v>315708.4437936258</v>
      </c>
      <c r="S65" s="125">
        <v>460495.94379362575</v>
      </c>
      <c r="T65" s="125">
        <v>315708.4437936258</v>
      </c>
      <c r="U65" s="125">
        <v>460495.94379362575</v>
      </c>
      <c r="V65" s="125">
        <v>315708.4437936258</v>
      </c>
      <c r="W65" s="125">
        <v>0</v>
      </c>
      <c r="X65" s="125">
        <v>776204.38758725149</v>
      </c>
      <c r="Y65" s="125">
        <v>460495.94379362575</v>
      </c>
      <c r="Z65" s="125">
        <v>315708.4437936258</v>
      </c>
      <c r="AA65" s="125">
        <v>460495.94379362575</v>
      </c>
      <c r="AB65" s="125">
        <v>315708.4437936258</v>
      </c>
      <c r="AC65" s="125">
        <v>460495.94379362575</v>
      </c>
      <c r="AD65" s="125">
        <v>315708.4437936258</v>
      </c>
      <c r="AE65" s="125">
        <v>460495.94379362575</v>
      </c>
      <c r="AF65" s="125">
        <v>315708.4437936258</v>
      </c>
      <c r="AG65" s="125">
        <v>460495.94379362575</v>
      </c>
      <c r="AH65" s="125">
        <v>315708.4437936258</v>
      </c>
      <c r="AI65" s="125">
        <v>460495.94379362575</v>
      </c>
      <c r="AJ65" s="125">
        <v>315708.4437936258</v>
      </c>
      <c r="AK65" s="125">
        <v>460495.94379362575</v>
      </c>
      <c r="AL65" s="125">
        <v>315708.4437936258</v>
      </c>
      <c r="AM65" s="125">
        <v>460495.94379362575</v>
      </c>
      <c r="AN65" s="125">
        <v>0</v>
      </c>
      <c r="AO65" s="125">
        <v>831074.920041212</v>
      </c>
      <c r="AP65" s="125">
        <v>552592.47546378814</v>
      </c>
      <c r="AQ65" s="125">
        <v>407804.97546378814</v>
      </c>
      <c r="AR65" s="125">
        <v>552592.47546378814</v>
      </c>
      <c r="AS65" s="125">
        <v>315708.4437936258</v>
      </c>
      <c r="AT65" s="125">
        <v>460495.94379362575</v>
      </c>
      <c r="AU65" s="125">
        <v>315708.4437936258</v>
      </c>
      <c r="AV65" s="125">
        <v>460495.94379362575</v>
      </c>
      <c r="AW65" s="125">
        <v>407804.97546378814</v>
      </c>
      <c r="AX65" s="125">
        <v>552592.47546378814</v>
      </c>
      <c r="AY65" s="125">
        <v>407804.97546378814</v>
      </c>
      <c r="AZ65" s="100">
        <f>SUM($D$65:$AY$65)</f>
        <v>19098414.998983759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1300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140</v>
      </c>
      <c r="E9" s="117">
        <v>140</v>
      </c>
      <c r="F9" s="117">
        <v>140</v>
      </c>
      <c r="G9" s="117">
        <v>140</v>
      </c>
      <c r="H9" s="117">
        <v>140</v>
      </c>
      <c r="I9" s="117">
        <v>140</v>
      </c>
      <c r="J9" s="117">
        <v>140</v>
      </c>
      <c r="K9" s="117">
        <v>140</v>
      </c>
      <c r="L9" s="117">
        <v>140</v>
      </c>
      <c r="M9" s="117">
        <v>140</v>
      </c>
      <c r="N9" s="117">
        <v>140</v>
      </c>
      <c r="O9" s="117">
        <v>140</v>
      </c>
      <c r="P9" s="117">
        <v>2.4144163543567191E-21</v>
      </c>
      <c r="Q9" s="117">
        <v>2.4144163543567191E-21</v>
      </c>
      <c r="R9" s="117">
        <v>2.4144163543567191E-21</v>
      </c>
      <c r="S9" s="117">
        <v>2.4144163543567191E-21</v>
      </c>
      <c r="T9" s="117">
        <v>140</v>
      </c>
      <c r="U9" s="117">
        <v>140</v>
      </c>
      <c r="V9" s="117">
        <v>140</v>
      </c>
      <c r="W9" s="117">
        <v>140</v>
      </c>
      <c r="X9" s="117">
        <v>168</v>
      </c>
      <c r="Y9" s="117">
        <v>168</v>
      </c>
      <c r="Z9" s="117">
        <v>168</v>
      </c>
      <c r="AA9" s="117">
        <v>168</v>
      </c>
      <c r="AB9" s="117">
        <v>9.545102393814934E-22</v>
      </c>
      <c r="AC9" s="117">
        <v>2.4144163543567191E-21</v>
      </c>
      <c r="AD9" s="117">
        <v>2.4144163543567191E-21</v>
      </c>
      <c r="AE9" s="117">
        <v>2.4144163543567191E-21</v>
      </c>
      <c r="AF9" s="117">
        <v>112</v>
      </c>
      <c r="AG9" s="117">
        <v>112</v>
      </c>
      <c r="AH9" s="117">
        <v>112</v>
      </c>
      <c r="AI9" s="117">
        <v>112</v>
      </c>
      <c r="AJ9" s="117">
        <v>140</v>
      </c>
      <c r="AK9" s="117">
        <v>140</v>
      </c>
      <c r="AL9" s="117">
        <v>140</v>
      </c>
      <c r="AM9" s="117">
        <v>140</v>
      </c>
      <c r="AN9" s="117">
        <v>140</v>
      </c>
      <c r="AO9" s="117">
        <v>140</v>
      </c>
      <c r="AP9" s="117">
        <v>140</v>
      </c>
      <c r="AQ9" s="117">
        <v>140</v>
      </c>
      <c r="AR9" s="117">
        <v>168</v>
      </c>
      <c r="AS9" s="117">
        <v>168</v>
      </c>
      <c r="AT9" s="117">
        <v>168</v>
      </c>
      <c r="AU9" s="117">
        <v>168</v>
      </c>
      <c r="AV9" s="117">
        <v>168</v>
      </c>
      <c r="AW9" s="117">
        <v>168</v>
      </c>
      <c r="AX9" s="117">
        <v>168</v>
      </c>
      <c r="AY9" s="117">
        <v>168</v>
      </c>
    </row>
    <row r="10" spans="1:53">
      <c r="A10" s="118" t="s">
        <v>133</v>
      </c>
      <c r="B10" s="119">
        <v>1</v>
      </c>
      <c r="C10" s="106" t="s">
        <v>293</v>
      </c>
      <c r="D10" s="100">
        <v>179.99999999999977</v>
      </c>
      <c r="E10" s="100">
        <v>54.409584500410439</v>
      </c>
      <c r="F10" s="100">
        <v>205.11735843586555</v>
      </c>
      <c r="G10" s="100">
        <v>54.409584500410439</v>
      </c>
      <c r="H10" s="100">
        <v>54.409584500410439</v>
      </c>
      <c r="I10" s="100">
        <v>320.55517916896247</v>
      </c>
      <c r="J10" s="100">
        <v>0</v>
      </c>
      <c r="K10" s="100">
        <v>169.11808309991773</v>
      </c>
      <c r="L10" s="100">
        <v>169.11808309991773</v>
      </c>
      <c r="M10" s="100">
        <v>43.52766760032835</v>
      </c>
      <c r="N10" s="100">
        <v>154.88264156413408</v>
      </c>
      <c r="O10" s="100">
        <v>0</v>
      </c>
      <c r="P10" s="100">
        <v>154.88264156413442</v>
      </c>
      <c r="Q10" s="100">
        <v>154.88264156413408</v>
      </c>
      <c r="R10" s="100">
        <v>179.9999999999998</v>
      </c>
      <c r="S10" s="100">
        <v>0</v>
      </c>
      <c r="T10" s="100">
        <v>54.409584500410432</v>
      </c>
      <c r="U10" s="100">
        <v>179.9999999999998</v>
      </c>
      <c r="V10" s="100">
        <v>179.9999999999998</v>
      </c>
      <c r="W10" s="100">
        <v>179.9999999999998</v>
      </c>
      <c r="X10" s="100">
        <v>54.409584500410432</v>
      </c>
      <c r="Y10" s="100">
        <v>0</v>
      </c>
      <c r="Z10" s="100">
        <v>125.59041549958937</v>
      </c>
      <c r="AA10" s="100">
        <v>4.3993135490822566E-21</v>
      </c>
      <c r="AB10" s="100">
        <v>4.3993135490822566E-21</v>
      </c>
      <c r="AC10" s="100">
        <v>4.3993135490822566E-21</v>
      </c>
      <c r="AD10" s="100">
        <v>21.510169707234041</v>
      </c>
      <c r="AE10" s="100">
        <v>13.600334121081906</v>
      </c>
      <c r="AF10" s="100">
        <v>0</v>
      </c>
      <c r="AG10" s="100">
        <v>139.19074962067128</v>
      </c>
      <c r="AH10" s="100">
        <v>0</v>
      </c>
      <c r="AI10" s="100">
        <v>54.409584500410439</v>
      </c>
      <c r="AJ10" s="100">
        <v>179.9999999999998</v>
      </c>
      <c r="AK10" s="100">
        <v>13.600334121081906</v>
      </c>
      <c r="AL10" s="100">
        <v>179.9999999999998</v>
      </c>
      <c r="AM10" s="100">
        <v>179.9999999999998</v>
      </c>
      <c r="AN10" s="100">
        <v>54.409584500410439</v>
      </c>
      <c r="AO10" s="100">
        <v>13.600334121081906</v>
      </c>
      <c r="AP10" s="100">
        <v>266.14559466855201</v>
      </c>
      <c r="AQ10" s="100">
        <v>205.11735843586555</v>
      </c>
      <c r="AR10" s="100">
        <v>54.409584500410439</v>
      </c>
      <c r="AS10" s="100">
        <v>205.11735843586555</v>
      </c>
      <c r="AT10" s="100">
        <v>125.59041549958937</v>
      </c>
      <c r="AU10" s="100">
        <v>179.9999999999998</v>
      </c>
      <c r="AV10" s="100">
        <v>54.409584500410439</v>
      </c>
      <c r="AW10" s="100">
        <v>54.409584500410439</v>
      </c>
      <c r="AX10" s="100">
        <v>54.409584500410439</v>
      </c>
      <c r="AY10" s="100">
        <v>164.30810805653704</v>
      </c>
      <c r="AZ10" s="100">
        <v>54.409584500410439</v>
      </c>
    </row>
    <row r="11" spans="1:53">
      <c r="B11" s="119">
        <v>2</v>
      </c>
      <c r="C11" s="106" t="s">
        <v>293</v>
      </c>
      <c r="F11" s="100">
        <v>123.24017820785747</v>
      </c>
      <c r="K11" s="100">
        <v>169.11808309991773</v>
      </c>
      <c r="N11" s="100">
        <v>125.59041549958937</v>
      </c>
      <c r="P11" s="100">
        <v>0</v>
      </c>
      <c r="Q11" s="100">
        <v>0</v>
      </c>
      <c r="S11" s="100">
        <v>0</v>
      </c>
      <c r="T11" s="100">
        <v>125.59041549958937</v>
      </c>
      <c r="U11" s="100">
        <v>125.59041549958937</v>
      </c>
      <c r="Z11" s="100">
        <v>305.5904154995892</v>
      </c>
      <c r="AD11" s="100">
        <v>125.59041549958937</v>
      </c>
      <c r="AF11" s="100">
        <v>125.59041549958937</v>
      </c>
      <c r="AG11" s="100">
        <v>179.9999999999998</v>
      </c>
      <c r="AH11" s="100">
        <v>40.809250379328532</v>
      </c>
      <c r="AI11" s="100">
        <v>54.409584500410439</v>
      </c>
      <c r="AJ11" s="100">
        <v>125.59041549958937</v>
      </c>
      <c r="AL11" s="100">
        <v>40.809250379328532</v>
      </c>
      <c r="AO11" s="100">
        <v>125.59041549958937</v>
      </c>
      <c r="AP11" s="100">
        <v>40.809250379328532</v>
      </c>
      <c r="AS11" s="100">
        <v>150.70777393545512</v>
      </c>
      <c r="AU11" s="100">
        <v>54.409584500410439</v>
      </c>
      <c r="AW11" s="100">
        <v>125.59041549958937</v>
      </c>
      <c r="AX11" s="100">
        <v>125.59041549958937</v>
      </c>
      <c r="AY11" s="100">
        <v>150.70777393545512</v>
      </c>
      <c r="AZ11" s="100">
        <v>40.809250379328532</v>
      </c>
      <c r="BA11" s="100">
        <v>150.70777393545512</v>
      </c>
    </row>
    <row r="12" spans="1:53">
      <c r="B12" s="120">
        <v>3</v>
      </c>
      <c r="C12" s="106" t="s">
        <v>293</v>
      </c>
      <c r="D12" s="100">
        <v>69.452548715049488</v>
      </c>
      <c r="I12" s="100">
        <v>150.70777393545512</v>
      </c>
      <c r="Q12" s="100">
        <v>100.47305706372363</v>
      </c>
      <c r="U12" s="100">
        <v>54.409584500410439</v>
      </c>
      <c r="AC12" s="100">
        <v>125.59041549958937</v>
      </c>
      <c r="AD12" s="100">
        <v>125.59041549958937</v>
      </c>
      <c r="AF12" s="100">
        <v>125.59041549958937</v>
      </c>
      <c r="AG12" s="100">
        <v>40.809250379328532</v>
      </c>
      <c r="AJ12" s="100">
        <v>125.59041549958937</v>
      </c>
      <c r="AM12" s="100">
        <v>125.59041549958937</v>
      </c>
      <c r="AR12" s="100">
        <v>54.409584500410439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72.237512302113416</v>
      </c>
      <c r="E14" s="117">
        <f t="shared" ref="E14:AZ14" si="0">D$172*SUM(D$122:D$169)</f>
        <v>104.38902152228717</v>
      </c>
      <c r="F14" s="117">
        <f t="shared" si="0"/>
        <v>40.080084168722756</v>
      </c>
      <c r="G14" s="117">
        <f t="shared" si="0"/>
        <v>130.21380200402029</v>
      </c>
      <c r="H14" s="117">
        <f t="shared" si="0"/>
        <v>73.122302906086233</v>
      </c>
      <c r="I14" s="117">
        <f t="shared" si="0"/>
        <v>23.475986614330875</v>
      </c>
      <c r="J14" s="117">
        <f t="shared" si="0"/>
        <v>185.89376544608561</v>
      </c>
      <c r="K14" s="117">
        <f t="shared" si="0"/>
        <v>68.953302104190868</v>
      </c>
      <c r="L14" s="117">
        <f t="shared" si="0"/>
        <v>145.36877308235628</v>
      </c>
      <c r="M14" s="117">
        <f t="shared" si="0"/>
        <v>105.63091858507292</v>
      </c>
      <c r="N14" s="117">
        <f t="shared" si="0"/>
        <v>46.915705503018437</v>
      </c>
      <c r="O14" s="117">
        <f t="shared" si="0"/>
        <v>111.55666402779794</v>
      </c>
      <c r="P14" s="117">
        <f t="shared" si="0"/>
        <v>26.578978609801133</v>
      </c>
      <c r="Q14" s="117">
        <f t="shared" si="0"/>
        <v>62.62311121446379</v>
      </c>
      <c r="R14" s="117">
        <f t="shared" si="0"/>
        <v>103.71275166751442</v>
      </c>
      <c r="S14" s="117">
        <f t="shared" si="0"/>
        <v>99.669165606032493</v>
      </c>
      <c r="T14" s="117">
        <f t="shared" si="0"/>
        <v>7.1387407283811699</v>
      </c>
      <c r="U14" s="117">
        <f t="shared" si="0"/>
        <v>72.40953942766518</v>
      </c>
      <c r="V14" s="117">
        <f t="shared" si="0"/>
        <v>144.81377049317118</v>
      </c>
      <c r="W14" s="117">
        <f t="shared" si="0"/>
        <v>130.35965054084625</v>
      </c>
      <c r="X14" s="117">
        <f t="shared" si="0"/>
        <v>122.14952872436379</v>
      </c>
      <c r="Y14" s="117">
        <f t="shared" si="0"/>
        <v>53.275675843702992</v>
      </c>
      <c r="Z14" s="117">
        <f t="shared" si="0"/>
        <v>5.308362159178113E-3</v>
      </c>
      <c r="AA14" s="117">
        <f t="shared" si="0"/>
        <v>170.27664505433376</v>
      </c>
      <c r="AB14" s="117">
        <f t="shared" si="0"/>
        <v>76.097950704219386</v>
      </c>
      <c r="AC14" s="117">
        <f t="shared" si="0"/>
        <v>2.3742355743242505</v>
      </c>
      <c r="AD14" s="117">
        <f t="shared" si="0"/>
        <v>48.938861175493464</v>
      </c>
      <c r="AE14" s="117">
        <f t="shared" si="0"/>
        <v>107.15126213633185</v>
      </c>
      <c r="AF14" s="117">
        <f t="shared" si="0"/>
        <v>16.977803119952693</v>
      </c>
      <c r="AG14" s="117">
        <f t="shared" si="0"/>
        <v>97.872413988827745</v>
      </c>
      <c r="AH14" s="117">
        <f t="shared" si="0"/>
        <v>167.4186922739521</v>
      </c>
      <c r="AI14" s="117">
        <f t="shared" si="0"/>
        <v>69.176947607829689</v>
      </c>
      <c r="AJ14" s="117">
        <f t="shared" si="0"/>
        <v>50.952035542134084</v>
      </c>
      <c r="AK14" s="117">
        <f t="shared" si="0"/>
        <v>170.27664505433376</v>
      </c>
      <c r="AL14" s="117">
        <f t="shared" si="0"/>
        <v>58.354037253690727</v>
      </c>
      <c r="AM14" s="117">
        <f t="shared" si="0"/>
        <v>95.295630812514588</v>
      </c>
      <c r="AN14" s="117">
        <f t="shared" si="0"/>
        <v>139.06010570152011</v>
      </c>
      <c r="AO14" s="117">
        <f t="shared" si="0"/>
        <v>54.120042683027592</v>
      </c>
      <c r="AP14" s="117">
        <f t="shared" si="0"/>
        <v>54.805641251263715</v>
      </c>
      <c r="AQ14" s="117">
        <f t="shared" si="0"/>
        <v>121.30700434377955</v>
      </c>
      <c r="AR14" s="117">
        <f t="shared" si="0"/>
        <v>114.31643753736367</v>
      </c>
      <c r="AS14" s="117">
        <f t="shared" si="0"/>
        <v>86.740442355607414</v>
      </c>
      <c r="AT14" s="117">
        <f t="shared" si="0"/>
        <v>143.32312835312536</v>
      </c>
      <c r="AU14" s="117">
        <f t="shared" si="0"/>
        <v>92.695291273673405</v>
      </c>
      <c r="AV14" s="117">
        <f t="shared" si="0"/>
        <v>114.63279417181651</v>
      </c>
      <c r="AW14" s="117">
        <f t="shared" si="0"/>
        <v>59.180094649151208</v>
      </c>
      <c r="AX14" s="117">
        <f t="shared" si="0"/>
        <v>72.409539427665152</v>
      </c>
      <c r="AY14" s="117">
        <f t="shared" si="0"/>
        <v>72.409539427665152</v>
      </c>
      <c r="AZ14" s="110">
        <f t="shared" si="0"/>
        <v>123.31205049100105</v>
      </c>
      <c r="BA14" s="107">
        <f>SUM($E14:$AZ14)</f>
        <v>4237.8118191466692</v>
      </c>
    </row>
    <row r="15" spans="1:53">
      <c r="A15" s="122" t="s">
        <v>123</v>
      </c>
      <c r="B15" s="123">
        <v>1</v>
      </c>
      <c r="C15" s="124" t="s">
        <v>293</v>
      </c>
      <c r="D15" s="124">
        <v>202.23712979032393</v>
      </c>
      <c r="E15" s="124">
        <v>65.623447901689673</v>
      </c>
      <c r="F15" s="124">
        <v>229.76596846910098</v>
      </c>
      <c r="G15" s="124">
        <v>65.623447901689659</v>
      </c>
      <c r="H15" s="124">
        <v>65.623447901689659</v>
      </c>
      <c r="I15" s="124">
        <v>355.4944187616162</v>
      </c>
      <c r="J15" s="124">
        <v>1.4838695954244044E-2</v>
      </c>
      <c r="K15" s="124">
        <v>189.28781758651738</v>
      </c>
      <c r="L15" s="124">
        <v>189.28781758651738</v>
      </c>
      <c r="M15" s="124">
        <v>52.50172606054258</v>
      </c>
      <c r="N15" s="124">
        <v>175.0531103862279</v>
      </c>
      <c r="O15" s="124">
        <v>1.4838695954244044E-2</v>
      </c>
      <c r="P15" s="124">
        <v>175.05311038622835</v>
      </c>
      <c r="Q15" s="124">
        <v>175.0531103862279</v>
      </c>
      <c r="R15" s="124">
        <v>202.40953942766447</v>
      </c>
      <c r="S15" s="124">
        <v>1.4838695954244044E-2</v>
      </c>
      <c r="T15" s="124">
        <v>65.623447901689659</v>
      </c>
      <c r="U15" s="124">
        <v>202.40953942766447</v>
      </c>
      <c r="V15" s="124">
        <v>202.40953942766447</v>
      </c>
      <c r="W15" s="124">
        <v>202.40953942766447</v>
      </c>
      <c r="X15" s="124">
        <v>65.623447901689659</v>
      </c>
      <c r="Y15" s="124">
        <v>1.4838695954244044E-2</v>
      </c>
      <c r="Z15" s="124">
        <v>136.80093022192904</v>
      </c>
      <c r="AA15" s="124">
        <v>1.4838695954244044E-2</v>
      </c>
      <c r="AB15" s="124">
        <v>1.4838695954244044E-2</v>
      </c>
      <c r="AC15" s="124">
        <v>1.4838695954244044E-2</v>
      </c>
      <c r="AD15" s="124">
        <v>25.952407071620133</v>
      </c>
      <c r="AE15" s="124">
        <v>16.414504574872335</v>
      </c>
      <c r="AF15" s="124">
        <v>1.4838695954244044E-2</v>
      </c>
      <c r="AG15" s="124">
        <v>153.20059610084712</v>
      </c>
      <c r="AH15" s="124">
        <v>1.4838695954244044E-2</v>
      </c>
      <c r="AI15" s="124">
        <v>65.623447901689659</v>
      </c>
      <c r="AJ15" s="124">
        <v>202.40953942766447</v>
      </c>
      <c r="AK15" s="124">
        <v>16.414504574872335</v>
      </c>
      <c r="AL15" s="124">
        <v>202.40953942766447</v>
      </c>
      <c r="AM15" s="124">
        <v>202.40953942766447</v>
      </c>
      <c r="AN15" s="124">
        <v>65.623447901689659</v>
      </c>
      <c r="AO15" s="124">
        <v>16.414504574872335</v>
      </c>
      <c r="AP15" s="124">
        <v>289.88580955588083</v>
      </c>
      <c r="AQ15" s="124">
        <v>229.76596846910098</v>
      </c>
      <c r="AR15" s="124">
        <v>65.623447901689659</v>
      </c>
      <c r="AS15" s="124">
        <v>229.76596846910098</v>
      </c>
      <c r="AT15" s="124">
        <v>136.80093022192904</v>
      </c>
      <c r="AU15" s="124">
        <v>202.40953942766447</v>
      </c>
      <c r="AV15" s="124">
        <v>65.623447901689659</v>
      </c>
      <c r="AW15" s="124">
        <v>65.623447901689659</v>
      </c>
      <c r="AX15" s="124">
        <v>65.623447901689659</v>
      </c>
      <c r="AY15" s="124">
        <v>180.55702514228363</v>
      </c>
      <c r="AZ15" s="100">
        <v>65.608609205735419</v>
      </c>
    </row>
    <row r="16" spans="1:53">
      <c r="A16" s="110"/>
      <c r="B16" s="119">
        <v>2</v>
      </c>
      <c r="C16" s="109" t="s">
        <v>293</v>
      </c>
      <c r="D16" s="106"/>
      <c r="E16" s="110"/>
      <c r="F16" s="110">
        <v>134.22634385720741</v>
      </c>
      <c r="G16" s="110"/>
      <c r="H16" s="110"/>
      <c r="I16" s="110"/>
      <c r="J16" s="110"/>
      <c r="K16" s="110">
        <v>189.27297889056314</v>
      </c>
      <c r="L16" s="110"/>
      <c r="M16" s="110"/>
      <c r="N16" s="110">
        <v>136.7860915259748</v>
      </c>
      <c r="O16" s="110"/>
      <c r="P16" s="110">
        <v>0</v>
      </c>
      <c r="Q16" s="110">
        <v>0</v>
      </c>
      <c r="R16" s="110"/>
      <c r="S16" s="110">
        <v>0</v>
      </c>
      <c r="T16" s="110">
        <v>136.7860915259748</v>
      </c>
      <c r="U16" s="110">
        <v>136.7860915259748</v>
      </c>
      <c r="V16" s="110"/>
      <c r="W16" s="110"/>
      <c r="X16" s="110"/>
      <c r="Y16" s="110"/>
      <c r="Z16" s="110">
        <v>339.18079225768503</v>
      </c>
      <c r="AA16" s="110"/>
      <c r="AB16" s="110"/>
      <c r="AC16" s="110"/>
      <c r="AD16" s="110">
        <v>136.7860915259748</v>
      </c>
      <c r="AE16" s="110"/>
      <c r="AF16" s="110">
        <v>136.7860915259748</v>
      </c>
      <c r="AG16" s="110">
        <v>202.3947007317102</v>
      </c>
      <c r="AH16" s="110">
        <v>49.208943326817327</v>
      </c>
      <c r="AI16" s="110">
        <v>65.608609205735419</v>
      </c>
      <c r="AJ16" s="110">
        <v>136.7860915259748</v>
      </c>
      <c r="AK16" s="110"/>
      <c r="AL16" s="110">
        <v>49.208943326817327</v>
      </c>
      <c r="AM16" s="110"/>
      <c r="AN16" s="110"/>
      <c r="AO16" s="110">
        <v>136.7860915259748</v>
      </c>
      <c r="AP16" s="110">
        <v>49.208943326817327</v>
      </c>
      <c r="AQ16" s="110"/>
      <c r="AR16" s="110"/>
      <c r="AS16" s="110">
        <v>164.14252056741131</v>
      </c>
      <c r="AT16" s="110"/>
      <c r="AU16" s="110">
        <v>65.608609205735419</v>
      </c>
      <c r="AV16" s="110"/>
      <c r="AW16" s="110">
        <v>136.7860915259748</v>
      </c>
      <c r="AX16" s="110">
        <v>136.7860915259748</v>
      </c>
      <c r="AY16" s="110">
        <v>164.14252056741131</v>
      </c>
      <c r="AZ16" s="100">
        <v>49.208943326817327</v>
      </c>
      <c r="BA16" s="100">
        <v>164.14252056741131</v>
      </c>
    </row>
    <row r="17" spans="1:51">
      <c r="A17" s="110"/>
      <c r="B17" s="119">
        <v>3</v>
      </c>
      <c r="C17" s="109" t="s">
        <v>293</v>
      </c>
      <c r="D17" s="106">
        <v>80.566048832822148</v>
      </c>
      <c r="E17" s="110"/>
      <c r="F17" s="110"/>
      <c r="G17" s="110"/>
      <c r="H17" s="110"/>
      <c r="I17" s="110">
        <v>164.14252056741131</v>
      </c>
      <c r="J17" s="110"/>
      <c r="K17" s="110"/>
      <c r="L17" s="110"/>
      <c r="M17" s="110"/>
      <c r="N17" s="110"/>
      <c r="O17" s="110"/>
      <c r="P17" s="110"/>
      <c r="Q17" s="110">
        <v>109.42966248453824</v>
      </c>
      <c r="R17" s="110"/>
      <c r="S17" s="110"/>
      <c r="T17" s="110"/>
      <c r="U17" s="110">
        <v>65.608609205735419</v>
      </c>
      <c r="V17" s="110"/>
      <c r="W17" s="110"/>
      <c r="X17" s="110"/>
      <c r="Y17" s="110"/>
      <c r="Z17" s="110"/>
      <c r="AA17" s="110"/>
      <c r="AB17" s="110"/>
      <c r="AC17" s="110">
        <v>136.7860915259748</v>
      </c>
      <c r="AD17" s="110">
        <v>136.7860915259748</v>
      </c>
      <c r="AE17" s="110"/>
      <c r="AF17" s="110">
        <v>136.7860915259748</v>
      </c>
      <c r="AG17" s="110">
        <v>49.208943326817327</v>
      </c>
      <c r="AH17" s="110"/>
      <c r="AI17" s="110"/>
      <c r="AJ17" s="110">
        <v>136.7860915259748</v>
      </c>
      <c r="AK17" s="110"/>
      <c r="AL17" s="110"/>
      <c r="AM17" s="110">
        <v>136.7860915259748</v>
      </c>
      <c r="AN17" s="110"/>
      <c r="AO17" s="110"/>
      <c r="AP17" s="110"/>
      <c r="AQ17" s="110"/>
      <c r="AR17" s="110">
        <v>65.608609205735419</v>
      </c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>
        <v>50.083078611786277</v>
      </c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>
        <v>0</v>
      </c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>
        <v>0</v>
      </c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>
        <v>0</v>
      </c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>
        <v>0</v>
      </c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>
        <v>0</v>
      </c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>
        <v>0</v>
      </c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>
        <v>0</v>
      </c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50.083078611786277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140</v>
      </c>
      <c r="D95" s="110">
        <v>140</v>
      </c>
      <c r="E95" s="110">
        <v>140</v>
      </c>
      <c r="F95" s="110">
        <v>140</v>
      </c>
      <c r="G95" s="110">
        <v>140</v>
      </c>
      <c r="H95" s="110">
        <v>140</v>
      </c>
      <c r="I95" s="110">
        <v>140</v>
      </c>
      <c r="J95" s="110">
        <v>140</v>
      </c>
      <c r="K95" s="110">
        <v>140</v>
      </c>
      <c r="L95" s="110">
        <v>140</v>
      </c>
      <c r="M95" s="110">
        <v>140</v>
      </c>
      <c r="N95" s="110">
        <v>140</v>
      </c>
      <c r="O95" s="110">
        <v>140</v>
      </c>
      <c r="P95" s="110">
        <v>2.4144163543567191E-21</v>
      </c>
      <c r="Q95" s="110">
        <v>2.4144163543567191E-21</v>
      </c>
      <c r="R95" s="110">
        <v>2.4144163543567191E-21</v>
      </c>
      <c r="S95" s="110">
        <v>2.4144163543567191E-21</v>
      </c>
      <c r="T95" s="110">
        <v>140</v>
      </c>
      <c r="U95" s="110">
        <v>140</v>
      </c>
      <c r="V95" s="110">
        <v>140</v>
      </c>
      <c r="W95" s="110">
        <v>140</v>
      </c>
      <c r="X95" s="110">
        <v>168</v>
      </c>
      <c r="Y95" s="110">
        <v>168</v>
      </c>
      <c r="Z95" s="110">
        <v>168</v>
      </c>
      <c r="AA95" s="110">
        <v>168</v>
      </c>
      <c r="AB95" s="110">
        <v>9.545102393814934E-22</v>
      </c>
      <c r="AC95" s="110">
        <v>2.4144163543567191E-21</v>
      </c>
      <c r="AD95" s="110">
        <v>2.4144163543567191E-21</v>
      </c>
      <c r="AE95" s="110">
        <v>2.4144163543567191E-21</v>
      </c>
      <c r="AF95" s="110">
        <v>112</v>
      </c>
      <c r="AG95" s="110">
        <v>112</v>
      </c>
      <c r="AH95" s="110">
        <v>112</v>
      </c>
      <c r="AI95" s="110">
        <v>112</v>
      </c>
      <c r="AJ95" s="110">
        <v>140</v>
      </c>
      <c r="AK95" s="110">
        <v>140</v>
      </c>
      <c r="AL95" s="110">
        <v>140</v>
      </c>
      <c r="AM95" s="110">
        <v>140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168</v>
      </c>
      <c r="AS95" s="110">
        <v>168</v>
      </c>
      <c r="AT95" s="110">
        <v>168</v>
      </c>
      <c r="AU95" s="110">
        <v>168</v>
      </c>
      <c r="AV95" s="110">
        <v>168</v>
      </c>
      <c r="AW95" s="110">
        <v>168</v>
      </c>
      <c r="AX95" s="110">
        <v>168</v>
      </c>
      <c r="AY95" s="110">
        <v>168</v>
      </c>
    </row>
    <row r="96" spans="1:52">
      <c r="A96" s="109"/>
      <c r="B96" s="120">
        <v>2</v>
      </c>
      <c r="C96" s="110">
        <v>39</v>
      </c>
      <c r="D96" s="110">
        <v>30</v>
      </c>
      <c r="E96" s="110">
        <v>5</v>
      </c>
      <c r="F96" s="110">
        <v>0</v>
      </c>
      <c r="G96" s="110">
        <v>0</v>
      </c>
      <c r="H96" s="110">
        <v>0</v>
      </c>
      <c r="I96" s="110">
        <v>0</v>
      </c>
      <c r="J96" s="110">
        <v>25</v>
      </c>
      <c r="K96" s="110">
        <v>46</v>
      </c>
      <c r="L96" s="110">
        <v>77</v>
      </c>
      <c r="M96" s="110">
        <v>89</v>
      </c>
      <c r="N96" s="110">
        <v>69</v>
      </c>
      <c r="O96" s="110">
        <v>75</v>
      </c>
      <c r="P96" s="110">
        <v>49</v>
      </c>
      <c r="Q96" s="110">
        <v>2.4144163543567191E-21</v>
      </c>
      <c r="R96" s="110">
        <v>0</v>
      </c>
      <c r="S96" s="110">
        <v>0</v>
      </c>
      <c r="T96" s="110">
        <v>0</v>
      </c>
      <c r="U96" s="110">
        <v>0</v>
      </c>
      <c r="V96" s="110">
        <v>39</v>
      </c>
      <c r="W96" s="110">
        <v>67</v>
      </c>
      <c r="X96" s="110">
        <v>66</v>
      </c>
      <c r="Y96" s="110">
        <v>70</v>
      </c>
      <c r="Z96" s="110">
        <v>70.916921388213723</v>
      </c>
      <c r="AA96" s="110">
        <v>108.91692138821372</v>
      </c>
      <c r="AB96" s="110">
        <v>91.916921388213723</v>
      </c>
      <c r="AC96" s="110">
        <v>9.545102393814934E-22</v>
      </c>
      <c r="AD96" s="110">
        <v>0</v>
      </c>
      <c r="AE96" s="110">
        <v>0</v>
      </c>
      <c r="AF96" s="110">
        <v>0</v>
      </c>
      <c r="AG96" s="110">
        <v>9</v>
      </c>
      <c r="AH96" s="110">
        <v>0</v>
      </c>
      <c r="AI96" s="110">
        <v>3</v>
      </c>
      <c r="AJ96" s="110">
        <v>0</v>
      </c>
      <c r="AK96" s="110">
        <v>0</v>
      </c>
      <c r="AL96" s="110">
        <v>0</v>
      </c>
      <c r="AM96" s="110">
        <v>0</v>
      </c>
      <c r="AN96" s="110">
        <v>7</v>
      </c>
      <c r="AO96" s="110">
        <v>9</v>
      </c>
      <c r="AP96" s="110">
        <v>22</v>
      </c>
      <c r="AQ96" s="110">
        <v>0</v>
      </c>
      <c r="AR96" s="110">
        <v>31</v>
      </c>
      <c r="AS96" s="110">
        <v>85</v>
      </c>
      <c r="AT96" s="110">
        <v>111</v>
      </c>
      <c r="AU96" s="110">
        <v>120</v>
      </c>
      <c r="AV96" s="110">
        <v>92</v>
      </c>
      <c r="AW96" s="110">
        <v>90</v>
      </c>
      <c r="AX96" s="110">
        <v>72</v>
      </c>
      <c r="AY96" s="110">
        <v>45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179.99999999999977</v>
      </c>
      <c r="D100" s="106">
        <v>179.99999999999977</v>
      </c>
      <c r="E100" s="106">
        <v>54.409584500410439</v>
      </c>
      <c r="F100" s="106">
        <v>205.11735843586555</v>
      </c>
      <c r="G100" s="106">
        <v>54.409584500410439</v>
      </c>
      <c r="H100" s="106">
        <v>54.409584500410439</v>
      </c>
      <c r="I100" s="106">
        <v>320.55517916896247</v>
      </c>
      <c r="J100" s="106">
        <v>0</v>
      </c>
      <c r="K100" s="106">
        <v>169.11808309991773</v>
      </c>
      <c r="L100" s="106">
        <v>169.11808309991773</v>
      </c>
      <c r="M100" s="106">
        <v>43.52766760032835</v>
      </c>
      <c r="N100" s="106">
        <v>154.88264156413408</v>
      </c>
      <c r="O100" s="106">
        <v>0</v>
      </c>
      <c r="P100" s="106">
        <v>154.88264156413442</v>
      </c>
      <c r="Q100" s="106">
        <v>154.88264156413408</v>
      </c>
      <c r="R100" s="106">
        <v>179.9999999999998</v>
      </c>
      <c r="S100" s="106">
        <v>0</v>
      </c>
      <c r="T100" s="106">
        <v>54.409584500410432</v>
      </c>
      <c r="U100" s="106">
        <v>179.9999999999998</v>
      </c>
      <c r="V100" s="106">
        <v>179.9999999999998</v>
      </c>
      <c r="W100" s="106">
        <v>179.9999999999998</v>
      </c>
      <c r="X100" s="106">
        <v>54.409584500410432</v>
      </c>
      <c r="Y100" s="106">
        <v>0</v>
      </c>
      <c r="Z100" s="106">
        <v>125.59041549958937</v>
      </c>
      <c r="AA100" s="106">
        <v>4.3993135490822566E-21</v>
      </c>
      <c r="AB100" s="106">
        <v>4.3993135490822566E-21</v>
      </c>
      <c r="AC100" s="106">
        <v>4.3993135490822566E-21</v>
      </c>
      <c r="AD100" s="106">
        <v>21.510169707234041</v>
      </c>
      <c r="AE100" s="106">
        <v>13.600334121081906</v>
      </c>
      <c r="AF100" s="106">
        <v>0</v>
      </c>
      <c r="AG100" s="106">
        <v>139.19074962067128</v>
      </c>
      <c r="AH100" s="106">
        <v>0</v>
      </c>
      <c r="AI100" s="106">
        <v>54.409584500410439</v>
      </c>
      <c r="AJ100" s="106">
        <v>179.9999999999998</v>
      </c>
      <c r="AK100" s="106">
        <v>13.600334121081906</v>
      </c>
      <c r="AL100" s="106">
        <v>179.9999999999998</v>
      </c>
      <c r="AM100" s="106">
        <v>179.9999999999998</v>
      </c>
      <c r="AN100" s="106">
        <v>54.409584500410439</v>
      </c>
      <c r="AO100" s="106">
        <v>13.600334121081906</v>
      </c>
      <c r="AP100" s="106">
        <v>266.14559466855201</v>
      </c>
      <c r="AQ100" s="106">
        <v>205.11735843586555</v>
      </c>
      <c r="AR100" s="106">
        <v>54.409584500410439</v>
      </c>
      <c r="AS100" s="106">
        <v>205.11735843586555</v>
      </c>
      <c r="AT100" s="106">
        <v>125.59041549958937</v>
      </c>
      <c r="AU100" s="106">
        <v>179.9999999999998</v>
      </c>
      <c r="AV100" s="106">
        <v>54.409584500410439</v>
      </c>
      <c r="AW100" s="106">
        <v>54.409584500410439</v>
      </c>
      <c r="AX100" s="106">
        <v>54.409584500410439</v>
      </c>
      <c r="AY100" s="106">
        <v>164.30810805653704</v>
      </c>
    </row>
    <row r="101" spans="1:52">
      <c r="A101" s="109"/>
      <c r="B101" s="119">
        <v>2</v>
      </c>
      <c r="C101" s="106">
        <v>31.54745128494848</v>
      </c>
      <c r="D101" s="106">
        <v>34.547451284948238</v>
      </c>
      <c r="E101" s="106">
        <v>56.999999999997499</v>
      </c>
      <c r="F101" s="106">
        <v>123.24017820785747</v>
      </c>
      <c r="G101" s="106">
        <v>105.35753664372302</v>
      </c>
      <c r="H101" s="106">
        <v>7.1054273576010019E-15</v>
      </c>
      <c r="I101" s="106">
        <v>0</v>
      </c>
      <c r="J101" s="106">
        <v>245.26295310441759</v>
      </c>
      <c r="K101" s="106">
        <v>169.11808309991773</v>
      </c>
      <c r="L101" s="106">
        <v>139.49911930425304</v>
      </c>
      <c r="M101" s="106">
        <v>145.61720240417077</v>
      </c>
      <c r="N101" s="106">
        <v>125.59041549958937</v>
      </c>
      <c r="O101" s="106">
        <v>33.473057063723445</v>
      </c>
      <c r="P101" s="106">
        <v>0</v>
      </c>
      <c r="Q101" s="106">
        <v>0</v>
      </c>
      <c r="R101" s="106">
        <v>38.355698627857706</v>
      </c>
      <c r="S101" s="106">
        <v>3.3556986278574925</v>
      </c>
      <c r="T101" s="106">
        <v>125.59041549958937</v>
      </c>
      <c r="U101" s="106">
        <v>168.59041549958917</v>
      </c>
      <c r="V101" s="106">
        <v>179.9999999999998</v>
      </c>
      <c r="W101" s="106">
        <v>179.9999999999998</v>
      </c>
      <c r="X101" s="106">
        <v>179.9999999999998</v>
      </c>
      <c r="Y101" s="106">
        <v>22.409584500409437</v>
      </c>
      <c r="Z101" s="106">
        <v>305.5904154995892</v>
      </c>
      <c r="AA101" s="106">
        <v>125.59041549958937</v>
      </c>
      <c r="AB101" s="106">
        <v>4.3993135490822566E-21</v>
      </c>
      <c r="AC101" s="106">
        <v>4.3993135490822566E-21</v>
      </c>
      <c r="AD101" s="106">
        <v>125.59041549958937</v>
      </c>
      <c r="AE101" s="106">
        <v>21.510169707234041</v>
      </c>
      <c r="AF101" s="106">
        <v>125.59041549958938</v>
      </c>
      <c r="AG101" s="106">
        <v>179.9999999999998</v>
      </c>
      <c r="AH101" s="106">
        <v>179.99999999999983</v>
      </c>
      <c r="AI101" s="106">
        <v>54.409584500410439</v>
      </c>
      <c r="AJ101" s="106">
        <v>125.59041549958937</v>
      </c>
      <c r="AK101" s="106">
        <v>179.9999999999998</v>
      </c>
      <c r="AL101" s="106">
        <v>40.809250379328532</v>
      </c>
      <c r="AM101" s="106">
        <v>2.8421709430404007E-14</v>
      </c>
      <c r="AN101" s="106">
        <v>89.590415499589213</v>
      </c>
      <c r="AO101" s="106">
        <v>125.59041549958937</v>
      </c>
      <c r="AP101" s="106">
        <v>40.809250379328532</v>
      </c>
      <c r="AQ101" s="106">
        <v>110.95484504788055</v>
      </c>
      <c r="AR101" s="106">
        <v>95.072203483746108</v>
      </c>
      <c r="AS101" s="106">
        <v>167.59914642002209</v>
      </c>
      <c r="AT101" s="106">
        <v>147.71650485588765</v>
      </c>
      <c r="AU101" s="106">
        <v>80.71650485588745</v>
      </c>
      <c r="AV101" s="106">
        <v>77.716504855887251</v>
      </c>
      <c r="AW101" s="106">
        <v>125.59041549958937</v>
      </c>
      <c r="AX101" s="106">
        <v>125.59041549958937</v>
      </c>
      <c r="AY101" s="106">
        <v>182.70777393545492</v>
      </c>
    </row>
    <row r="102" spans="1:52">
      <c r="A102" s="109"/>
      <c r="B102" s="120">
        <v>3</v>
      </c>
      <c r="C102" s="106">
        <v>0</v>
      </c>
      <c r="D102" s="106">
        <v>69.452548715049488</v>
      </c>
      <c r="E102" s="106">
        <v>0</v>
      </c>
      <c r="F102" s="106">
        <v>0</v>
      </c>
      <c r="G102" s="106">
        <v>0</v>
      </c>
      <c r="H102" s="106">
        <v>0</v>
      </c>
      <c r="I102" s="106">
        <v>150.70777393545512</v>
      </c>
      <c r="J102" s="106">
        <v>0</v>
      </c>
      <c r="K102" s="106">
        <v>9.2629531044175906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100.47305706372363</v>
      </c>
      <c r="R102" s="106">
        <v>0</v>
      </c>
      <c r="S102" s="106">
        <v>0</v>
      </c>
      <c r="T102" s="106">
        <v>0</v>
      </c>
      <c r="U102" s="106">
        <v>54.409584500410432</v>
      </c>
      <c r="V102" s="106">
        <v>45.999999999999602</v>
      </c>
      <c r="W102" s="106">
        <v>65.999999999999403</v>
      </c>
      <c r="X102" s="106">
        <v>30.999999999999204</v>
      </c>
      <c r="Y102" s="106">
        <v>0</v>
      </c>
      <c r="Z102" s="106">
        <v>0</v>
      </c>
      <c r="AA102" s="106">
        <v>124.5904154995892</v>
      </c>
      <c r="AB102" s="106">
        <v>90.180830999178568</v>
      </c>
      <c r="AC102" s="106">
        <v>125.59041549958937</v>
      </c>
      <c r="AD102" s="106">
        <v>125.59041549958937</v>
      </c>
      <c r="AE102" s="106">
        <v>100.18083099917874</v>
      </c>
      <c r="AF102" s="106">
        <v>125.59041549958937</v>
      </c>
      <c r="AG102" s="106">
        <v>106.99008137850728</v>
      </c>
      <c r="AH102" s="106">
        <v>44.990081378507085</v>
      </c>
      <c r="AI102" s="106">
        <v>68.990081378506915</v>
      </c>
      <c r="AJ102" s="106">
        <v>125.59041549958937</v>
      </c>
      <c r="AK102" s="106">
        <v>52.180830999178738</v>
      </c>
      <c r="AL102" s="106">
        <v>0</v>
      </c>
      <c r="AM102" s="106">
        <v>125.59041549958938</v>
      </c>
      <c r="AN102" s="106">
        <v>0</v>
      </c>
      <c r="AO102" s="106">
        <v>0</v>
      </c>
      <c r="AP102" s="106">
        <v>0</v>
      </c>
      <c r="AQ102" s="106">
        <v>0</v>
      </c>
      <c r="AR102" s="106">
        <v>54.409584500410432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81.072619430593249</v>
      </c>
      <c r="D109" s="106">
        <v>72.237512302113416</v>
      </c>
      <c r="E109" s="106">
        <v>104.38902152228717</v>
      </c>
      <c r="F109" s="106">
        <v>40.080084168722756</v>
      </c>
      <c r="G109" s="106">
        <v>130.21380200402029</v>
      </c>
      <c r="H109" s="106">
        <v>73.122302906086233</v>
      </c>
      <c r="I109" s="106">
        <v>23.475986614330875</v>
      </c>
      <c r="J109" s="106">
        <v>185.89376544608561</v>
      </c>
      <c r="K109" s="106">
        <v>68.953302104190868</v>
      </c>
      <c r="L109" s="106">
        <v>145.36877308235628</v>
      </c>
      <c r="M109" s="106">
        <v>105.63091858507292</v>
      </c>
      <c r="N109" s="106">
        <v>46.915705503018437</v>
      </c>
      <c r="O109" s="106">
        <v>111.55666402779794</v>
      </c>
      <c r="P109" s="106">
        <v>26.578978609801133</v>
      </c>
      <c r="Q109" s="106">
        <v>62.62311121446379</v>
      </c>
      <c r="R109" s="106">
        <v>103.71275166751442</v>
      </c>
      <c r="S109" s="106">
        <v>99.669165606032493</v>
      </c>
      <c r="T109" s="106">
        <v>7.1387407283811699</v>
      </c>
      <c r="U109" s="106">
        <v>72.40953942766518</v>
      </c>
      <c r="V109" s="106">
        <v>144.81377049317118</v>
      </c>
      <c r="W109" s="106">
        <v>130.35965054084625</v>
      </c>
      <c r="X109" s="106">
        <v>122.14952872436379</v>
      </c>
      <c r="Y109" s="106">
        <v>53.275675843702992</v>
      </c>
      <c r="Z109" s="106">
        <v>5.308362159178113E-3</v>
      </c>
      <c r="AA109" s="106">
        <v>170.27664505433376</v>
      </c>
      <c r="AB109" s="106">
        <v>76.097950704219386</v>
      </c>
      <c r="AC109" s="106">
        <v>2.3742355743242505</v>
      </c>
      <c r="AD109" s="106">
        <v>48.938861175493464</v>
      </c>
      <c r="AE109" s="106">
        <v>107.15126213633185</v>
      </c>
      <c r="AF109" s="106">
        <v>16.977803119952693</v>
      </c>
      <c r="AG109" s="106">
        <v>97.872413988827745</v>
      </c>
      <c r="AH109" s="106">
        <v>167.4186922739521</v>
      </c>
      <c r="AI109" s="106">
        <v>69.176947607829689</v>
      </c>
      <c r="AJ109" s="106">
        <v>50.952035542134084</v>
      </c>
      <c r="AK109" s="106">
        <v>170.27664505433376</v>
      </c>
      <c r="AL109" s="106">
        <v>58.354037253690727</v>
      </c>
      <c r="AM109" s="106">
        <v>95.295630812514588</v>
      </c>
      <c r="AN109" s="106">
        <v>139.06010570152011</v>
      </c>
      <c r="AO109" s="106">
        <v>54.120042683027592</v>
      </c>
      <c r="AP109" s="106">
        <v>54.805641251263715</v>
      </c>
      <c r="AQ109" s="106">
        <v>121.30700434377955</v>
      </c>
      <c r="AR109" s="106">
        <v>114.31643753736367</v>
      </c>
      <c r="AS109" s="106">
        <v>86.740442355607414</v>
      </c>
      <c r="AT109" s="106">
        <v>143.32312835312536</v>
      </c>
      <c r="AU109" s="106">
        <v>92.695291273673405</v>
      </c>
      <c r="AV109" s="106">
        <v>114.63279417181651</v>
      </c>
      <c r="AW109" s="106">
        <v>59.180094649151208</v>
      </c>
      <c r="AX109" s="106">
        <v>72.409539427665152</v>
      </c>
      <c r="AY109" s="106">
        <v>72.409539427665152</v>
      </c>
    </row>
    <row r="110" spans="1:52">
      <c r="A110" s="109"/>
      <c r="B110" s="119">
        <v>2</v>
      </c>
      <c r="C110" s="106">
        <v>29.669365911412754</v>
      </c>
      <c r="D110" s="106">
        <v>38.741985342006004</v>
      </c>
      <c r="E110" s="106">
        <v>39.979497644119419</v>
      </c>
      <c r="F110" s="106">
        <v>45.697810968186531</v>
      </c>
      <c r="G110" s="106">
        <v>25.777895136909287</v>
      </c>
      <c r="H110" s="106">
        <v>49.611820424139694</v>
      </c>
      <c r="I110" s="106">
        <v>40.371698247596868</v>
      </c>
      <c r="J110" s="106">
        <v>0</v>
      </c>
      <c r="K110" s="106">
        <v>88.893765446085609</v>
      </c>
      <c r="L110" s="106">
        <v>68.953302104190868</v>
      </c>
      <c r="M110" s="106">
        <v>145.36877308235628</v>
      </c>
      <c r="N110" s="106">
        <v>105.63091858507292</v>
      </c>
      <c r="O110" s="106">
        <v>46.915705503018437</v>
      </c>
      <c r="P110" s="106">
        <v>111.55666402779794</v>
      </c>
      <c r="Q110" s="106">
        <v>26.578978609801133</v>
      </c>
      <c r="R110" s="106">
        <v>62.62311121446379</v>
      </c>
      <c r="S110" s="106">
        <v>100.86873680678039</v>
      </c>
      <c r="T110" s="106">
        <v>96.537902412812883</v>
      </c>
      <c r="U110" s="106">
        <v>7.1387407283811699</v>
      </c>
      <c r="V110" s="106">
        <v>35.086182568859236</v>
      </c>
      <c r="W110" s="106">
        <v>113.89995306203042</v>
      </c>
      <c r="X110" s="106">
        <v>130.35965054084625</v>
      </c>
      <c r="Y110" s="106">
        <v>122.14952872436379</v>
      </c>
      <c r="Z110" s="106">
        <v>53.275675843702992</v>
      </c>
      <c r="AA110" s="106">
        <v>5.308362159178113E-3</v>
      </c>
      <c r="AB110" s="106">
        <v>129.19717018732752</v>
      </c>
      <c r="AC110" s="106">
        <v>76.097950704219386</v>
      </c>
      <c r="AD110" s="106">
        <v>2.3742355743242505</v>
      </c>
      <c r="AE110" s="106">
        <v>0</v>
      </c>
      <c r="AF110" s="106">
        <v>37.151262136331852</v>
      </c>
      <c r="AG110" s="106">
        <v>0</v>
      </c>
      <c r="AH110" s="106">
        <v>0</v>
      </c>
      <c r="AI110" s="106">
        <v>110.4186922739521</v>
      </c>
      <c r="AJ110" s="106">
        <v>69.176947607829689</v>
      </c>
      <c r="AK110" s="106">
        <v>50.952035542134084</v>
      </c>
      <c r="AL110" s="106">
        <v>155.82432047824963</v>
      </c>
      <c r="AM110" s="106">
        <v>58.354037253690727</v>
      </c>
      <c r="AN110" s="106">
        <v>95.295630812514588</v>
      </c>
      <c r="AO110" s="106">
        <v>139.06010570152011</v>
      </c>
      <c r="AP110" s="106">
        <v>54.120042683027592</v>
      </c>
      <c r="AQ110" s="106">
        <v>48.225712571379823</v>
      </c>
      <c r="AR110" s="106">
        <v>57.532716915159376</v>
      </c>
      <c r="AS110" s="106">
        <v>93.849154452523038</v>
      </c>
      <c r="AT110" s="106">
        <v>86.740442355607414</v>
      </c>
      <c r="AU110" s="106">
        <v>143.32312835312536</v>
      </c>
      <c r="AV110" s="106">
        <v>92.695291273673405</v>
      </c>
      <c r="AW110" s="106">
        <v>114.63279417181651</v>
      </c>
      <c r="AX110" s="106">
        <v>59.180094649151208</v>
      </c>
      <c r="AY110" s="106">
        <v>72.409539427665152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28.893765446085609</v>
      </c>
      <c r="M111" s="106">
        <v>1.8470675502764777</v>
      </c>
      <c r="N111" s="106">
        <v>63.473021914065725</v>
      </c>
      <c r="O111" s="106">
        <v>68.103940499138645</v>
      </c>
      <c r="P111" s="106">
        <v>25.397231287203091</v>
      </c>
      <c r="Q111" s="106">
        <v>64.953895315001034</v>
      </c>
      <c r="R111" s="106">
        <v>18.532873924802168</v>
      </c>
      <c r="S111" s="106">
        <v>0</v>
      </c>
      <c r="T111" s="106">
        <v>0</v>
      </c>
      <c r="U111" s="106">
        <v>36.537902412812883</v>
      </c>
      <c r="V111" s="106">
        <v>0</v>
      </c>
      <c r="W111" s="106">
        <v>0</v>
      </c>
      <c r="X111" s="106">
        <v>36.89995306203042</v>
      </c>
      <c r="Y111" s="106">
        <v>60.259603602876666</v>
      </c>
      <c r="Z111" s="106">
        <v>100.63954092713161</v>
      </c>
      <c r="AA111" s="106">
        <v>49.915216770834597</v>
      </c>
      <c r="AB111" s="106">
        <v>0</v>
      </c>
      <c r="AC111" s="106">
        <v>37.452599175349093</v>
      </c>
      <c r="AD111" s="106">
        <v>14.550549879568479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33.418692273952104</v>
      </c>
      <c r="AK111" s="106">
        <v>32.595639881781793</v>
      </c>
      <c r="AL111" s="106">
        <v>0</v>
      </c>
      <c r="AM111" s="106">
        <v>55.261063197178686</v>
      </c>
      <c r="AN111" s="106">
        <v>0.6151004508694129</v>
      </c>
      <c r="AO111" s="106">
        <v>6.8778561147514097</v>
      </c>
      <c r="AP111" s="106">
        <v>50.300028637088516</v>
      </c>
      <c r="AQ111" s="106">
        <v>0</v>
      </c>
      <c r="AR111" s="106">
        <v>0</v>
      </c>
      <c r="AS111" s="106">
        <v>0</v>
      </c>
      <c r="AT111" s="106">
        <v>10.849154452523038</v>
      </c>
      <c r="AU111" s="106">
        <v>24.589596808130452</v>
      </c>
      <c r="AV111" s="106">
        <v>70.912725161255807</v>
      </c>
      <c r="AW111" s="106">
        <v>77.976642849903271</v>
      </c>
      <c r="AX111" s="106">
        <v>99.506599808033286</v>
      </c>
      <c r="AY111" s="106">
        <v>59.180094649151208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23.506599808033286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202.23751230211315</v>
      </c>
      <c r="D122" s="106">
        <v>202.23712979032393</v>
      </c>
      <c r="E122" s="106">
        <v>65.623447901689673</v>
      </c>
      <c r="F122" s="106">
        <v>229.76596846910098</v>
      </c>
      <c r="G122" s="106">
        <v>65.623447901689659</v>
      </c>
      <c r="H122" s="106">
        <v>65.623447901689659</v>
      </c>
      <c r="I122" s="106">
        <v>355.4944187616162</v>
      </c>
      <c r="J122" s="106">
        <v>1.4838695954244044E-2</v>
      </c>
      <c r="K122" s="106">
        <v>189.28781758651738</v>
      </c>
      <c r="L122" s="106">
        <v>189.28781758651738</v>
      </c>
      <c r="M122" s="106">
        <v>52.50172606054258</v>
      </c>
      <c r="N122" s="106">
        <v>175.0531103862279</v>
      </c>
      <c r="O122" s="106">
        <v>1.4838695954244044E-2</v>
      </c>
      <c r="P122" s="106">
        <v>175.05311038622835</v>
      </c>
      <c r="Q122" s="106">
        <v>175.0531103862279</v>
      </c>
      <c r="R122" s="106">
        <v>202.40953942766447</v>
      </c>
      <c r="S122" s="106">
        <v>1.4838695954244044E-2</v>
      </c>
      <c r="T122" s="106">
        <v>65.623447901689659</v>
      </c>
      <c r="U122" s="106">
        <v>202.40953942766447</v>
      </c>
      <c r="V122" s="106">
        <v>202.40953942766447</v>
      </c>
      <c r="W122" s="106">
        <v>202.40953942766447</v>
      </c>
      <c r="X122" s="106">
        <v>65.623447901689659</v>
      </c>
      <c r="Y122" s="106">
        <v>1.4838695954244044E-2</v>
      </c>
      <c r="Z122" s="106">
        <v>136.80093022192904</v>
      </c>
      <c r="AA122" s="106">
        <v>1.4838695954244044E-2</v>
      </c>
      <c r="AB122" s="106">
        <v>1.4838695954244044E-2</v>
      </c>
      <c r="AC122" s="106">
        <v>1.4838695954244044E-2</v>
      </c>
      <c r="AD122" s="106">
        <v>25.952407071620133</v>
      </c>
      <c r="AE122" s="106">
        <v>16.414504574872335</v>
      </c>
      <c r="AF122" s="106">
        <v>1.4838695954244044E-2</v>
      </c>
      <c r="AG122" s="106">
        <v>153.20059610084712</v>
      </c>
      <c r="AH122" s="106">
        <v>1.4838695954244044E-2</v>
      </c>
      <c r="AI122" s="106">
        <v>65.623447901689659</v>
      </c>
      <c r="AJ122" s="106">
        <v>202.40953942766447</v>
      </c>
      <c r="AK122" s="106">
        <v>16.414504574872335</v>
      </c>
      <c r="AL122" s="106">
        <v>202.40953942766447</v>
      </c>
      <c r="AM122" s="106">
        <v>202.40953942766447</v>
      </c>
      <c r="AN122" s="106">
        <v>65.623447901689659</v>
      </c>
      <c r="AO122" s="106">
        <v>16.414504574872335</v>
      </c>
      <c r="AP122" s="106">
        <v>289.88580955588083</v>
      </c>
      <c r="AQ122" s="106">
        <v>229.76596846910098</v>
      </c>
      <c r="AR122" s="106">
        <v>65.623447901689659</v>
      </c>
      <c r="AS122" s="106">
        <v>229.76596846910098</v>
      </c>
      <c r="AT122" s="106">
        <v>136.80093022192904</v>
      </c>
      <c r="AU122" s="106">
        <v>202.40953942766447</v>
      </c>
      <c r="AV122" s="106">
        <v>65.623447901689659</v>
      </c>
      <c r="AW122" s="106">
        <v>65.623447901689659</v>
      </c>
      <c r="AX122" s="106">
        <v>65.623447901689659</v>
      </c>
      <c r="AY122" s="106">
        <v>180.55702514228363</v>
      </c>
    </row>
    <row r="123" spans="1:52">
      <c r="A123" s="109"/>
      <c r="B123" s="119">
        <v>2</v>
      </c>
      <c r="C123" s="106">
        <v>0</v>
      </c>
      <c r="D123" s="106">
        <v>8.9999999999997442</v>
      </c>
      <c r="E123" s="106">
        <v>46.414157100858645</v>
      </c>
      <c r="F123" s="106">
        <v>134.22634385720741</v>
      </c>
      <c r="G123" s="106">
        <v>138.77851032228807</v>
      </c>
      <c r="H123" s="106">
        <v>0</v>
      </c>
      <c r="I123" s="106">
        <v>0</v>
      </c>
      <c r="J123" s="106">
        <v>192.73333000173903</v>
      </c>
      <c r="K123" s="106">
        <v>189.28250922435819</v>
      </c>
      <c r="L123" s="106">
        <v>105.98688998822665</v>
      </c>
      <c r="M123" s="106">
        <v>78.643788989671108</v>
      </c>
      <c r="N123" s="106">
        <v>136.7860915259748</v>
      </c>
      <c r="O123" s="106">
        <v>74.282537884404775</v>
      </c>
      <c r="P123" s="106">
        <v>0</v>
      </c>
      <c r="Q123" s="106">
        <v>5.4299991717645639</v>
      </c>
      <c r="R123" s="106">
        <v>76.200020375016294</v>
      </c>
      <c r="S123" s="106">
        <v>19.940394196648271</v>
      </c>
      <c r="T123" s="106">
        <v>136.7860915259748</v>
      </c>
      <c r="U123" s="106">
        <v>136.78609152597477</v>
      </c>
      <c r="V123" s="106">
        <v>129.99999999999929</v>
      </c>
      <c r="W123" s="106">
        <v>129.99999999999929</v>
      </c>
      <c r="X123" s="106">
        <v>83.300369256322384</v>
      </c>
      <c r="Y123" s="106">
        <v>7.1054273576010019E-15</v>
      </c>
      <c r="Z123" s="106">
        <v>339.18079225768503</v>
      </c>
      <c r="AA123" s="106">
        <v>87.862069046435565</v>
      </c>
      <c r="AB123" s="106">
        <v>9.5303337950684731E-3</v>
      </c>
      <c r="AC123" s="106">
        <v>7.8062556418956319E-17</v>
      </c>
      <c r="AD123" s="106">
        <v>136.7860915259748</v>
      </c>
      <c r="AE123" s="106">
        <v>16.668250561956867</v>
      </c>
      <c r="AF123" s="106">
        <v>136.7860915259748</v>
      </c>
      <c r="AG123" s="106">
        <v>202.40423106550526</v>
      </c>
      <c r="AH123" s="106">
        <v>147.60389817640072</v>
      </c>
      <c r="AI123" s="106">
        <v>65.618139539530489</v>
      </c>
      <c r="AJ123" s="106">
        <v>136.7860915259748</v>
      </c>
      <c r="AK123" s="106">
        <v>129.99999999999929</v>
      </c>
      <c r="AL123" s="106">
        <v>59.751359463760238</v>
      </c>
      <c r="AM123" s="106">
        <v>49.525139407358182</v>
      </c>
      <c r="AN123" s="106">
        <v>85.660664659477334</v>
      </c>
      <c r="AO123" s="106">
        <v>136.7860915259748</v>
      </c>
      <c r="AP123" s="106">
        <v>49.208943326817348</v>
      </c>
      <c r="AQ123" s="106">
        <v>89.787748538918635</v>
      </c>
      <c r="AR123" s="106">
        <v>111.23727947065592</v>
      </c>
      <c r="AS123" s="106">
        <v>170.87141478988491</v>
      </c>
      <c r="AT123" s="106">
        <v>122.31425490586052</v>
      </c>
      <c r="AU123" s="106">
        <v>118.02850305985157</v>
      </c>
      <c r="AV123" s="106">
        <v>99.805248315699515</v>
      </c>
      <c r="AW123" s="106">
        <v>136.78609152597477</v>
      </c>
      <c r="AX123" s="106">
        <v>136.78609152597477</v>
      </c>
      <c r="AY123" s="106">
        <v>164.14252056741128</v>
      </c>
    </row>
    <row r="124" spans="1:52">
      <c r="A124" s="109"/>
      <c r="B124" s="119">
        <v>3</v>
      </c>
      <c r="C124" s="106">
        <v>0</v>
      </c>
      <c r="D124" s="106">
        <v>80.566048832822148</v>
      </c>
      <c r="E124" s="106">
        <v>0</v>
      </c>
      <c r="F124" s="106">
        <v>0</v>
      </c>
      <c r="G124" s="106">
        <v>0</v>
      </c>
      <c r="H124" s="106">
        <v>0</v>
      </c>
      <c r="I124" s="106">
        <v>164.14252056741131</v>
      </c>
      <c r="J124" s="106">
        <v>0</v>
      </c>
      <c r="K124" s="106">
        <v>27.78533625970735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109.42966248453824</v>
      </c>
      <c r="R124" s="106">
        <v>0</v>
      </c>
      <c r="S124" s="106">
        <v>0</v>
      </c>
      <c r="T124" s="106">
        <v>0</v>
      </c>
      <c r="U124" s="106">
        <v>65.608609205735419</v>
      </c>
      <c r="V124" s="106">
        <v>31.990469666204199</v>
      </c>
      <c r="W124" s="106">
        <v>9.0403585530224149</v>
      </c>
      <c r="X124" s="106">
        <v>0</v>
      </c>
      <c r="Y124" s="106">
        <v>0</v>
      </c>
      <c r="Z124" s="106">
        <v>0</v>
      </c>
      <c r="AA124" s="106">
        <v>124.84300837884473</v>
      </c>
      <c r="AB124" s="106">
        <v>6.6124350832200847</v>
      </c>
      <c r="AC124" s="106">
        <v>136.7860915259748</v>
      </c>
      <c r="AD124" s="106">
        <v>136.7860915259748</v>
      </c>
      <c r="AE124" s="106">
        <v>14.376037408538565</v>
      </c>
      <c r="AF124" s="106">
        <v>136.7860915259748</v>
      </c>
      <c r="AG124" s="106">
        <v>112.38793542544269</v>
      </c>
      <c r="AH124" s="106">
        <v>45.754597842749945</v>
      </c>
      <c r="AI124" s="106">
        <v>11.186856773480145</v>
      </c>
      <c r="AJ124" s="106">
        <v>136.7860915259748</v>
      </c>
      <c r="AK124" s="106">
        <v>16.705077425281019</v>
      </c>
      <c r="AL124" s="106">
        <v>4.2231286095190086</v>
      </c>
      <c r="AM124" s="106">
        <v>136.7860915259748</v>
      </c>
      <c r="AN124" s="106">
        <v>0</v>
      </c>
      <c r="AO124" s="106">
        <v>0</v>
      </c>
      <c r="AP124" s="106">
        <v>0</v>
      </c>
      <c r="AQ124" s="106">
        <v>0</v>
      </c>
      <c r="AR124" s="106">
        <v>65.608609205735434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0.35719146007987468</v>
      </c>
      <c r="D172" s="134">
        <v>0.35773778070149864</v>
      </c>
      <c r="E172" s="134">
        <v>0.35773778070149864</v>
      </c>
      <c r="F172" s="134">
        <v>0.35773778070149864</v>
      </c>
      <c r="G172" s="134">
        <v>0.35773778070149864</v>
      </c>
      <c r="H172" s="134">
        <v>0.35773778070149864</v>
      </c>
      <c r="I172" s="134">
        <v>0.35773778070149864</v>
      </c>
      <c r="J172" s="134">
        <v>0.35773778070149864</v>
      </c>
      <c r="K172" s="134">
        <v>0.35773778070149864</v>
      </c>
      <c r="L172" s="134">
        <v>0.35773778070149864</v>
      </c>
      <c r="M172" s="134">
        <v>0.35773778070149864</v>
      </c>
      <c r="N172" s="134">
        <v>0.35773778070149864</v>
      </c>
      <c r="O172" s="134">
        <v>0.35773778070149864</v>
      </c>
      <c r="P172" s="134">
        <v>0.35773778070149864</v>
      </c>
      <c r="Q172" s="134">
        <v>0.35773778070149864</v>
      </c>
      <c r="R172" s="134">
        <v>0.35773778070149864</v>
      </c>
      <c r="S172" s="134">
        <v>0.35773778070149864</v>
      </c>
      <c r="T172" s="134">
        <v>0.35773778070149864</v>
      </c>
      <c r="U172" s="134">
        <v>0.35773778070149864</v>
      </c>
      <c r="V172" s="134">
        <v>0.35773778070149864</v>
      </c>
      <c r="W172" s="134">
        <v>0.35773778070149864</v>
      </c>
      <c r="X172" s="134">
        <v>0.35773778070149864</v>
      </c>
      <c r="Y172" s="134">
        <v>0.35773778070149864</v>
      </c>
      <c r="Z172" s="134">
        <v>0.35773778070149864</v>
      </c>
      <c r="AA172" s="134">
        <v>0.35773778070149864</v>
      </c>
      <c r="AB172" s="134">
        <v>0.35773778070149864</v>
      </c>
      <c r="AC172" s="134">
        <v>0.35773778070149864</v>
      </c>
      <c r="AD172" s="134">
        <v>0.35773778070149864</v>
      </c>
      <c r="AE172" s="134">
        <v>0.35773778070149864</v>
      </c>
      <c r="AF172" s="134">
        <v>0.35773778070149864</v>
      </c>
      <c r="AG172" s="134">
        <v>0.35773778070149864</v>
      </c>
      <c r="AH172" s="134">
        <v>0.35773778070149864</v>
      </c>
      <c r="AI172" s="134">
        <v>0.35773778070149864</v>
      </c>
      <c r="AJ172" s="134">
        <v>0.35773778070149864</v>
      </c>
      <c r="AK172" s="134">
        <v>0.35773778070149864</v>
      </c>
      <c r="AL172" s="134">
        <v>0.35773778070149864</v>
      </c>
      <c r="AM172" s="134">
        <v>0.35773778070149864</v>
      </c>
      <c r="AN172" s="134">
        <v>0.35773778070149864</v>
      </c>
      <c r="AO172" s="134">
        <v>0.35773778070149864</v>
      </c>
      <c r="AP172" s="134">
        <v>0.35773778070149864</v>
      </c>
      <c r="AQ172" s="134">
        <v>0.35773778070149864</v>
      </c>
      <c r="AR172" s="134">
        <v>0.35773778070149864</v>
      </c>
      <c r="AS172" s="134">
        <v>0.35773778070149864</v>
      </c>
      <c r="AT172" s="134">
        <v>0.35773778070149864</v>
      </c>
      <c r="AU172" s="134">
        <v>0.35773778070149864</v>
      </c>
      <c r="AV172" s="134">
        <v>0.35773778070149864</v>
      </c>
      <c r="AW172" s="134">
        <v>0.35773778070149864</v>
      </c>
      <c r="AX172" s="134">
        <v>0.35773778070149864</v>
      </c>
      <c r="AY172" s="134">
        <v>0.35773778070149864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170</v>
      </c>
      <c r="E175" s="124">
        <f t="shared" si="1"/>
        <v>145</v>
      </c>
      <c r="F175" s="124">
        <f t="shared" si="1"/>
        <v>140</v>
      </c>
      <c r="G175" s="124">
        <f t="shared" si="1"/>
        <v>140</v>
      </c>
      <c r="H175" s="124">
        <f t="shared" si="1"/>
        <v>140</v>
      </c>
      <c r="I175" s="124">
        <f t="shared" si="1"/>
        <v>140</v>
      </c>
      <c r="J175" s="124">
        <f t="shared" si="1"/>
        <v>165</v>
      </c>
      <c r="K175" s="124">
        <f t="shared" si="1"/>
        <v>186</v>
      </c>
      <c r="L175" s="124">
        <f t="shared" si="1"/>
        <v>217</v>
      </c>
      <c r="M175" s="124">
        <f t="shared" si="1"/>
        <v>229</v>
      </c>
      <c r="N175" s="124">
        <f t="shared" si="1"/>
        <v>209</v>
      </c>
      <c r="O175" s="124">
        <f t="shared" si="1"/>
        <v>215</v>
      </c>
      <c r="P175" s="124">
        <f t="shared" si="1"/>
        <v>49</v>
      </c>
      <c r="Q175" s="124">
        <f t="shared" si="1"/>
        <v>4.8288327087134383E-21</v>
      </c>
      <c r="R175" s="124">
        <f t="shared" si="1"/>
        <v>2.4144163543567191E-21</v>
      </c>
      <c r="S175" s="124">
        <f t="shared" si="1"/>
        <v>2.4144163543567191E-21</v>
      </c>
      <c r="T175" s="124">
        <f t="shared" si="1"/>
        <v>140</v>
      </c>
      <c r="U175" s="124">
        <f t="shared" si="1"/>
        <v>140</v>
      </c>
      <c r="V175" s="124">
        <f t="shared" si="1"/>
        <v>179</v>
      </c>
      <c r="W175" s="124">
        <f t="shared" si="1"/>
        <v>207</v>
      </c>
      <c r="X175" s="124">
        <f t="shared" si="1"/>
        <v>234</v>
      </c>
      <c r="Y175" s="124">
        <f t="shared" si="1"/>
        <v>238</v>
      </c>
      <c r="Z175" s="124">
        <f t="shared" si="1"/>
        <v>238.91692138821372</v>
      </c>
      <c r="AA175" s="124">
        <f t="shared" si="1"/>
        <v>276.91692138821372</v>
      </c>
      <c r="AB175" s="124">
        <f t="shared" si="1"/>
        <v>91.916921388213723</v>
      </c>
      <c r="AC175" s="124">
        <f t="shared" si="1"/>
        <v>3.3689265937382127E-21</v>
      </c>
      <c r="AD175" s="124">
        <f t="shared" si="1"/>
        <v>2.4144163543567191E-21</v>
      </c>
      <c r="AE175" s="124">
        <f t="shared" si="1"/>
        <v>2.4144163543567191E-21</v>
      </c>
      <c r="AF175" s="124">
        <f t="shared" si="1"/>
        <v>112</v>
      </c>
      <c r="AG175" s="124">
        <f t="shared" si="1"/>
        <v>121</v>
      </c>
      <c r="AH175" s="124">
        <f t="shared" si="1"/>
        <v>112</v>
      </c>
      <c r="AI175" s="124">
        <f t="shared" si="1"/>
        <v>115</v>
      </c>
      <c r="AJ175" s="124">
        <f t="shared" si="1"/>
        <v>140</v>
      </c>
      <c r="AK175" s="124">
        <f t="shared" si="1"/>
        <v>140</v>
      </c>
      <c r="AL175" s="124">
        <f t="shared" si="1"/>
        <v>140</v>
      </c>
      <c r="AM175" s="124">
        <f t="shared" si="1"/>
        <v>140</v>
      </c>
      <c r="AN175" s="124">
        <f t="shared" si="1"/>
        <v>147</v>
      </c>
      <c r="AO175" s="124">
        <f t="shared" si="1"/>
        <v>149</v>
      </c>
      <c r="AP175" s="124">
        <f t="shared" si="1"/>
        <v>162</v>
      </c>
      <c r="AQ175" s="124">
        <f t="shared" si="1"/>
        <v>140</v>
      </c>
      <c r="AR175" s="124">
        <f t="shared" si="1"/>
        <v>199</v>
      </c>
      <c r="AS175" s="124">
        <f t="shared" si="1"/>
        <v>253</v>
      </c>
      <c r="AT175" s="124">
        <f t="shared" si="1"/>
        <v>279</v>
      </c>
      <c r="AU175" s="124">
        <f t="shared" si="1"/>
        <v>288</v>
      </c>
      <c r="AV175" s="124">
        <f t="shared" si="1"/>
        <v>260</v>
      </c>
      <c r="AW175" s="124">
        <f t="shared" si="1"/>
        <v>258</v>
      </c>
      <c r="AX175" s="124">
        <f t="shared" si="1"/>
        <v>240</v>
      </c>
      <c r="AY175" s="124">
        <f t="shared" si="1"/>
        <v>213</v>
      </c>
    </row>
    <row r="176" spans="1:52">
      <c r="A176" s="125"/>
      <c r="B176" s="136" t="s">
        <v>299</v>
      </c>
      <c r="C176" s="125" t="s">
        <v>293</v>
      </c>
      <c r="D176" s="125">
        <v>165</v>
      </c>
      <c r="E176" s="125">
        <v>145</v>
      </c>
      <c r="F176" s="125">
        <v>140</v>
      </c>
      <c r="G176" s="125">
        <v>140</v>
      </c>
      <c r="H176" s="125">
        <v>140</v>
      </c>
      <c r="I176" s="125">
        <v>115</v>
      </c>
      <c r="J176" s="125">
        <v>119</v>
      </c>
      <c r="K176" s="125">
        <v>109</v>
      </c>
      <c r="L176" s="125">
        <v>128</v>
      </c>
      <c r="M176" s="125">
        <v>160</v>
      </c>
      <c r="N176" s="125">
        <v>134</v>
      </c>
      <c r="O176" s="125">
        <v>166</v>
      </c>
      <c r="P176" s="125">
        <v>49</v>
      </c>
      <c r="Q176" s="125">
        <v>4.8288327087134383E-21</v>
      </c>
      <c r="R176" s="125">
        <v>2.4144163543567191E-21</v>
      </c>
      <c r="S176" s="125">
        <v>2.4144163543567191E-21</v>
      </c>
      <c r="T176" s="125">
        <v>140</v>
      </c>
      <c r="U176" s="125">
        <v>101</v>
      </c>
      <c r="V176" s="125">
        <v>112</v>
      </c>
      <c r="W176" s="125">
        <v>141</v>
      </c>
      <c r="X176" s="125">
        <v>164</v>
      </c>
      <c r="Y176" s="125">
        <v>117</v>
      </c>
      <c r="Z176" s="125">
        <v>130</v>
      </c>
      <c r="AA176" s="125">
        <v>185</v>
      </c>
      <c r="AB176" s="125">
        <v>91.916921388213723</v>
      </c>
      <c r="AC176" s="125">
        <v>3.3689265937382127E-21</v>
      </c>
      <c r="AD176" s="125">
        <v>2.4144163543567191E-21</v>
      </c>
      <c r="AE176" s="125">
        <v>2.4144163543567191E-21</v>
      </c>
      <c r="AF176" s="125">
        <v>103</v>
      </c>
      <c r="AG176" s="125">
        <v>121</v>
      </c>
      <c r="AH176" s="125">
        <v>109</v>
      </c>
      <c r="AI176" s="125">
        <v>115</v>
      </c>
      <c r="AJ176" s="125">
        <v>140</v>
      </c>
      <c r="AK176" s="125">
        <v>140</v>
      </c>
      <c r="AL176" s="125">
        <v>140</v>
      </c>
      <c r="AM176" s="125">
        <v>133</v>
      </c>
      <c r="AN176" s="125">
        <v>138</v>
      </c>
      <c r="AO176" s="125">
        <v>127</v>
      </c>
      <c r="AP176" s="125">
        <v>162</v>
      </c>
      <c r="AQ176" s="125">
        <v>109</v>
      </c>
      <c r="AR176" s="125">
        <v>114</v>
      </c>
      <c r="AS176" s="125">
        <v>142</v>
      </c>
      <c r="AT176" s="125">
        <v>159</v>
      </c>
      <c r="AU176" s="125">
        <v>196</v>
      </c>
      <c r="AV176" s="125">
        <v>170</v>
      </c>
      <c r="AW176" s="125">
        <v>186</v>
      </c>
      <c r="AX176" s="125">
        <v>195</v>
      </c>
      <c r="AY176" s="125">
        <v>140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283.9999999999975</v>
      </c>
      <c r="E177" s="124">
        <f t="shared" si="2"/>
        <v>111.40958450040793</v>
      </c>
      <c r="F177" s="124">
        <f t="shared" si="2"/>
        <v>328.35753664372305</v>
      </c>
      <c r="G177" s="124">
        <f t="shared" si="2"/>
        <v>159.76712114413345</v>
      </c>
      <c r="H177" s="124">
        <f t="shared" si="2"/>
        <v>54.409584500410446</v>
      </c>
      <c r="I177" s="124">
        <f t="shared" si="2"/>
        <v>471.26295310441759</v>
      </c>
      <c r="J177" s="124">
        <f t="shared" si="2"/>
        <v>245.26295310441759</v>
      </c>
      <c r="K177" s="124">
        <f t="shared" si="2"/>
        <v>347.49911930425304</v>
      </c>
      <c r="L177" s="124">
        <f t="shared" si="2"/>
        <v>308.61720240417077</v>
      </c>
      <c r="M177" s="124">
        <f t="shared" si="2"/>
        <v>189.14487000449913</v>
      </c>
      <c r="N177" s="124">
        <f t="shared" si="2"/>
        <v>280.47305706372345</v>
      </c>
      <c r="O177" s="124">
        <f t="shared" si="2"/>
        <v>33.473057063723445</v>
      </c>
      <c r="P177" s="124">
        <f t="shared" si="2"/>
        <v>154.88264156413442</v>
      </c>
      <c r="Q177" s="124">
        <f t="shared" si="2"/>
        <v>255.35569862785769</v>
      </c>
      <c r="R177" s="124">
        <f t="shared" si="2"/>
        <v>218.35569862785752</v>
      </c>
      <c r="S177" s="124">
        <f t="shared" si="2"/>
        <v>3.3556986278574925</v>
      </c>
      <c r="T177" s="124">
        <f t="shared" si="2"/>
        <v>179.9999999999998</v>
      </c>
      <c r="U177" s="124">
        <f t="shared" si="2"/>
        <v>402.99999999999943</v>
      </c>
      <c r="V177" s="124">
        <f t="shared" si="2"/>
        <v>405.9999999999992</v>
      </c>
      <c r="W177" s="124">
        <f t="shared" si="2"/>
        <v>425.99999999999898</v>
      </c>
      <c r="X177" s="124">
        <f t="shared" si="2"/>
        <v>265.40958450040944</v>
      </c>
      <c r="Y177" s="124">
        <f t="shared" si="2"/>
        <v>22.409584500409437</v>
      </c>
      <c r="Z177" s="124">
        <f t="shared" si="2"/>
        <v>431.18083099917857</v>
      </c>
      <c r="AA177" s="124">
        <f t="shared" si="2"/>
        <v>250.18083099917857</v>
      </c>
      <c r="AB177" s="124">
        <f t="shared" si="2"/>
        <v>90.180830999178568</v>
      </c>
      <c r="AC177" s="124">
        <f t="shared" si="2"/>
        <v>125.59041549958937</v>
      </c>
      <c r="AD177" s="124">
        <f t="shared" si="2"/>
        <v>272.69100070641275</v>
      </c>
      <c r="AE177" s="124">
        <f t="shared" si="2"/>
        <v>135.29133482749469</v>
      </c>
      <c r="AF177" s="124">
        <f t="shared" si="2"/>
        <v>251.18083099917874</v>
      </c>
      <c r="AG177" s="124">
        <f t="shared" si="2"/>
        <v>426.1808309991784</v>
      </c>
      <c r="AH177" s="124">
        <f t="shared" si="2"/>
        <v>224.99008137850691</v>
      </c>
      <c r="AI177" s="124">
        <f t="shared" si="2"/>
        <v>177.80925037932781</v>
      </c>
      <c r="AJ177" s="124">
        <f t="shared" si="2"/>
        <v>431.18083099917857</v>
      </c>
      <c r="AK177" s="124">
        <f t="shared" si="2"/>
        <v>245.78116512026045</v>
      </c>
      <c r="AL177" s="124">
        <f t="shared" si="2"/>
        <v>220.80925037932832</v>
      </c>
      <c r="AM177" s="124">
        <f t="shared" si="2"/>
        <v>305.5904154995892</v>
      </c>
      <c r="AN177" s="124">
        <f t="shared" si="2"/>
        <v>143.99999999999966</v>
      </c>
      <c r="AO177" s="124">
        <f t="shared" si="2"/>
        <v>139.19074962067128</v>
      </c>
      <c r="AP177" s="124">
        <f t="shared" si="2"/>
        <v>306.95484504788055</v>
      </c>
      <c r="AQ177" s="124">
        <f t="shared" si="2"/>
        <v>316.07220348374608</v>
      </c>
      <c r="AR177" s="124">
        <f t="shared" si="2"/>
        <v>203.89137248456697</v>
      </c>
      <c r="AS177" s="124">
        <f t="shared" si="2"/>
        <v>372.71650485588765</v>
      </c>
      <c r="AT177" s="124">
        <f t="shared" si="2"/>
        <v>273.30692035547702</v>
      </c>
      <c r="AU177" s="124">
        <f t="shared" si="2"/>
        <v>260.71650485588725</v>
      </c>
      <c r="AV177" s="124">
        <f t="shared" si="2"/>
        <v>132.12608935629768</v>
      </c>
      <c r="AW177" s="124">
        <f t="shared" si="2"/>
        <v>179.9999999999998</v>
      </c>
      <c r="AX177" s="124">
        <f t="shared" si="2"/>
        <v>179.9999999999998</v>
      </c>
      <c r="AY177" s="124">
        <f t="shared" si="2"/>
        <v>347.01588199199193</v>
      </c>
    </row>
    <row r="178" spans="1:51">
      <c r="A178" s="125"/>
      <c r="B178" s="136" t="s">
        <v>299</v>
      </c>
      <c r="C178" s="125" t="s">
        <v>293</v>
      </c>
      <c r="D178" s="125">
        <v>227</v>
      </c>
      <c r="E178" s="125">
        <v>111.40958450040793</v>
      </c>
      <c r="F178" s="125">
        <v>223</v>
      </c>
      <c r="G178" s="125">
        <v>159.76712114413345</v>
      </c>
      <c r="H178" s="125">
        <v>54.409584500410446</v>
      </c>
      <c r="I178" s="125">
        <v>226</v>
      </c>
      <c r="J178" s="125">
        <v>236</v>
      </c>
      <c r="K178" s="125">
        <v>208</v>
      </c>
      <c r="L178" s="125">
        <v>163</v>
      </c>
      <c r="M178" s="125">
        <v>189.14487000449913</v>
      </c>
      <c r="N178" s="125">
        <v>247</v>
      </c>
      <c r="O178" s="125">
        <v>33.473057063723445</v>
      </c>
      <c r="P178" s="125">
        <v>154.88264156413442</v>
      </c>
      <c r="Q178" s="125">
        <v>217</v>
      </c>
      <c r="R178" s="125">
        <v>215</v>
      </c>
      <c r="S178" s="125">
        <v>3.3556986278574925</v>
      </c>
      <c r="T178" s="125">
        <v>137</v>
      </c>
      <c r="U178" s="125">
        <v>177</v>
      </c>
      <c r="V178" s="125">
        <v>160</v>
      </c>
      <c r="W178" s="125">
        <v>215</v>
      </c>
      <c r="X178" s="125">
        <v>243</v>
      </c>
      <c r="Y178" s="125">
        <v>22.409584500409437</v>
      </c>
      <c r="Z178" s="125">
        <v>181</v>
      </c>
      <c r="AA178" s="125">
        <v>160</v>
      </c>
      <c r="AB178" s="125">
        <v>90.180830999178568</v>
      </c>
      <c r="AC178" s="125">
        <v>125.59041549958937</v>
      </c>
      <c r="AD178" s="125">
        <v>151</v>
      </c>
      <c r="AE178" s="125">
        <v>135.29133482749469</v>
      </c>
      <c r="AF178" s="125">
        <v>185</v>
      </c>
      <c r="AG178" s="125">
        <v>242</v>
      </c>
      <c r="AH178" s="125">
        <v>156</v>
      </c>
      <c r="AI178" s="125">
        <v>177.80925037932781</v>
      </c>
      <c r="AJ178" s="125">
        <v>199</v>
      </c>
      <c r="AK178" s="125">
        <v>245.78116512026045</v>
      </c>
      <c r="AL178" s="125">
        <v>220.80925037932832</v>
      </c>
      <c r="AM178" s="125">
        <v>216</v>
      </c>
      <c r="AN178" s="125">
        <v>143.99999999999966</v>
      </c>
      <c r="AO178" s="125">
        <v>139.19074962067128</v>
      </c>
      <c r="AP178" s="125">
        <v>196</v>
      </c>
      <c r="AQ178" s="125">
        <v>221</v>
      </c>
      <c r="AR178" s="125">
        <v>187</v>
      </c>
      <c r="AS178" s="125">
        <v>225</v>
      </c>
      <c r="AT178" s="125">
        <v>247</v>
      </c>
      <c r="AU178" s="125">
        <v>183</v>
      </c>
      <c r="AV178" s="125">
        <v>132.12608935629768</v>
      </c>
      <c r="AW178" s="125">
        <v>179.9999999999998</v>
      </c>
      <c r="AX178" s="125">
        <v>148</v>
      </c>
      <c r="AY178" s="125">
        <v>185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110.97949764411942</v>
      </c>
      <c r="E179" s="124">
        <f t="shared" si="3"/>
        <v>144.3685191664066</v>
      </c>
      <c r="F179" s="124">
        <f t="shared" si="3"/>
        <v>85.777895136909279</v>
      </c>
      <c r="G179" s="124">
        <f t="shared" si="3"/>
        <v>155.99169714092957</v>
      </c>
      <c r="H179" s="124">
        <f t="shared" si="3"/>
        <v>122.73412333022593</v>
      </c>
      <c r="I179" s="124">
        <f t="shared" si="3"/>
        <v>63.847684861927746</v>
      </c>
      <c r="J179" s="124">
        <f t="shared" si="3"/>
        <v>185.89376544608561</v>
      </c>
      <c r="K179" s="124">
        <f t="shared" si="3"/>
        <v>157.84706755027648</v>
      </c>
      <c r="L179" s="124">
        <f t="shared" si="3"/>
        <v>243.21584063263276</v>
      </c>
      <c r="M179" s="124">
        <f t="shared" si="3"/>
        <v>252.84675921770568</v>
      </c>
      <c r="N179" s="124">
        <f t="shared" si="3"/>
        <v>216.01964600215709</v>
      </c>
      <c r="O179" s="124">
        <f t="shared" si="3"/>
        <v>226.57631002995501</v>
      </c>
      <c r="P179" s="124">
        <f t="shared" si="3"/>
        <v>163.53287392480215</v>
      </c>
      <c r="Q179" s="124">
        <f t="shared" si="3"/>
        <v>154.15598513926597</v>
      </c>
      <c r="R179" s="124">
        <f t="shared" si="3"/>
        <v>184.86873680678039</v>
      </c>
      <c r="S179" s="124">
        <f t="shared" si="3"/>
        <v>200.53790241281288</v>
      </c>
      <c r="T179" s="124">
        <f t="shared" si="3"/>
        <v>103.67664314119405</v>
      </c>
      <c r="U179" s="124">
        <f t="shared" si="3"/>
        <v>116.08618256885923</v>
      </c>
      <c r="V179" s="124">
        <f t="shared" si="3"/>
        <v>179.89995306203042</v>
      </c>
      <c r="W179" s="124">
        <f t="shared" si="3"/>
        <v>244.25960360287667</v>
      </c>
      <c r="X179" s="124">
        <f t="shared" si="3"/>
        <v>289.40913232724046</v>
      </c>
      <c r="Y179" s="124">
        <f t="shared" si="3"/>
        <v>235.68480817094346</v>
      </c>
      <c r="Z179" s="124">
        <f t="shared" si="3"/>
        <v>153.92052513299376</v>
      </c>
      <c r="AA179" s="124">
        <f t="shared" si="3"/>
        <v>220.19717018732754</v>
      </c>
      <c r="AB179" s="124">
        <f t="shared" si="3"/>
        <v>205.2951208915469</v>
      </c>
      <c r="AC179" s="124">
        <f t="shared" si="3"/>
        <v>115.92478545389272</v>
      </c>
      <c r="AD179" s="124">
        <f t="shared" si="3"/>
        <v>65.863646629386196</v>
      </c>
      <c r="AE179" s="124">
        <f t="shared" si="3"/>
        <v>107.15126213633185</v>
      </c>
      <c r="AF179" s="124">
        <f t="shared" si="3"/>
        <v>54.129065256284548</v>
      </c>
      <c r="AG179" s="124">
        <f t="shared" si="3"/>
        <v>97.872413988827745</v>
      </c>
      <c r="AH179" s="124">
        <f t="shared" si="3"/>
        <v>167.4186922739521</v>
      </c>
      <c r="AI179" s="124">
        <f t="shared" si="3"/>
        <v>179.59563988178178</v>
      </c>
      <c r="AJ179" s="124">
        <f t="shared" si="3"/>
        <v>153.54767542391588</v>
      </c>
      <c r="AK179" s="124">
        <f t="shared" si="3"/>
        <v>253.8243204782496</v>
      </c>
      <c r="AL179" s="124">
        <f t="shared" si="3"/>
        <v>214.17835773194037</v>
      </c>
      <c r="AM179" s="124">
        <f t="shared" si="3"/>
        <v>208.91073126338401</v>
      </c>
      <c r="AN179" s="124">
        <f t="shared" si="3"/>
        <v>234.97083696490412</v>
      </c>
      <c r="AO179" s="124">
        <f t="shared" si="3"/>
        <v>200.0580044992991</v>
      </c>
      <c r="AP179" s="124">
        <f t="shared" si="3"/>
        <v>159.2257125713798</v>
      </c>
      <c r="AQ179" s="124">
        <f t="shared" si="3"/>
        <v>169.53271691515937</v>
      </c>
      <c r="AR179" s="124">
        <f t="shared" si="3"/>
        <v>171.84915445252304</v>
      </c>
      <c r="AS179" s="124">
        <f t="shared" si="3"/>
        <v>180.58959680813047</v>
      </c>
      <c r="AT179" s="124">
        <f t="shared" si="3"/>
        <v>240.91272516125579</v>
      </c>
      <c r="AU179" s="124">
        <f t="shared" si="3"/>
        <v>260.6080164349292</v>
      </c>
      <c r="AV179" s="124">
        <f t="shared" si="3"/>
        <v>278.24081060674575</v>
      </c>
      <c r="AW179" s="124">
        <f t="shared" si="3"/>
        <v>251.78953167087099</v>
      </c>
      <c r="AX179" s="124">
        <f t="shared" si="3"/>
        <v>231.09623388484965</v>
      </c>
      <c r="AY179" s="124">
        <f t="shared" si="3"/>
        <v>227.5057733125148</v>
      </c>
    </row>
    <row r="180" spans="1:51">
      <c r="A180" s="125"/>
      <c r="B180" s="136" t="s">
        <v>299</v>
      </c>
      <c r="C180" s="125" t="s">
        <v>293</v>
      </c>
      <c r="D180" s="125">
        <v>71</v>
      </c>
      <c r="E180" s="125">
        <v>98.670708198220055</v>
      </c>
      <c r="F180" s="125">
        <v>60</v>
      </c>
      <c r="G180" s="125">
        <v>106.37987671678988</v>
      </c>
      <c r="H180" s="125">
        <v>82.362425082629059</v>
      </c>
      <c r="I180" s="125">
        <v>63.847684861927746</v>
      </c>
      <c r="J180" s="125">
        <v>97</v>
      </c>
      <c r="K180" s="125">
        <v>60</v>
      </c>
      <c r="L180" s="125">
        <v>96</v>
      </c>
      <c r="M180" s="125">
        <v>83.742818718567037</v>
      </c>
      <c r="N180" s="125">
        <v>101</v>
      </c>
      <c r="O180" s="125">
        <v>89.62241471495399</v>
      </c>
      <c r="P180" s="125">
        <v>72</v>
      </c>
      <c r="Q180" s="125">
        <v>73</v>
      </c>
      <c r="R180" s="125">
        <v>84</v>
      </c>
      <c r="S180" s="125">
        <v>104</v>
      </c>
      <c r="T180" s="125">
        <v>60</v>
      </c>
      <c r="U180" s="125">
        <v>81</v>
      </c>
      <c r="V180" s="125">
        <v>66</v>
      </c>
      <c r="W180" s="125">
        <v>77</v>
      </c>
      <c r="X180" s="125">
        <v>107</v>
      </c>
      <c r="Y180" s="125">
        <v>81.769591400108851</v>
      </c>
      <c r="Z180" s="125">
        <v>104</v>
      </c>
      <c r="AA180" s="125">
        <v>91</v>
      </c>
      <c r="AB180" s="125">
        <v>91.744571011978422</v>
      </c>
      <c r="AC180" s="125">
        <v>99</v>
      </c>
      <c r="AD180" s="125">
        <v>65.863646629386196</v>
      </c>
      <c r="AE180" s="125">
        <v>70</v>
      </c>
      <c r="AF180" s="125">
        <v>54.129065256284548</v>
      </c>
      <c r="AG180" s="125">
        <v>97.872413988827745</v>
      </c>
      <c r="AH180" s="125">
        <v>57</v>
      </c>
      <c r="AI180" s="125">
        <v>77</v>
      </c>
      <c r="AJ180" s="125">
        <v>70</v>
      </c>
      <c r="AK180" s="125">
        <v>98</v>
      </c>
      <c r="AL180" s="125">
        <v>100.56325728107095</v>
      </c>
      <c r="AM180" s="125">
        <v>113</v>
      </c>
      <c r="AN180" s="125">
        <v>89.032875148632598</v>
      </c>
      <c r="AO180" s="125">
        <v>95.637933179183008</v>
      </c>
      <c r="AP180" s="125">
        <v>111</v>
      </c>
      <c r="AQ180" s="125">
        <v>112</v>
      </c>
      <c r="AR180" s="125">
        <v>78</v>
      </c>
      <c r="AS180" s="125">
        <v>83</v>
      </c>
      <c r="AT180" s="125">
        <v>73</v>
      </c>
      <c r="AU180" s="125">
        <v>97</v>
      </c>
      <c r="AV180" s="125">
        <v>85.631373585025941</v>
      </c>
      <c r="AW180" s="125">
        <v>93.102837213686499</v>
      </c>
      <c r="AX180" s="125">
        <v>76</v>
      </c>
      <c r="AY180" s="125">
        <v>97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187.41415710085863</v>
      </c>
      <c r="E181" s="124">
        <f t="shared" si="4"/>
        <v>71.957520833825555</v>
      </c>
      <c r="F181" s="124">
        <f t="shared" si="4"/>
        <v>233.77851032228807</v>
      </c>
      <c r="G181" s="124">
        <f t="shared" si="4"/>
        <v>131.2796553178915</v>
      </c>
      <c r="H181" s="124">
        <f t="shared" si="4"/>
        <v>42.14746128735878</v>
      </c>
      <c r="I181" s="124">
        <f t="shared" si="4"/>
        <v>333.74317388294196</v>
      </c>
      <c r="J181" s="124">
        <f t="shared" si="4"/>
        <v>123.79486659350241</v>
      </c>
      <c r="K181" s="124">
        <f t="shared" si="4"/>
        <v>260.98688998822672</v>
      </c>
      <c r="L181" s="124">
        <f t="shared" si="4"/>
        <v>189.64378898967109</v>
      </c>
      <c r="M181" s="124">
        <f t="shared" si="4"/>
        <v>84.229809547195259</v>
      </c>
      <c r="N181" s="124">
        <f t="shared" si="4"/>
        <v>200.2825378844048</v>
      </c>
      <c r="O181" s="124">
        <f t="shared" si="4"/>
        <v>47.718397970557881</v>
      </c>
      <c r="P181" s="124">
        <f t="shared" si="4"/>
        <v>112.42999917176456</v>
      </c>
      <c r="Q181" s="124">
        <f t="shared" si="4"/>
        <v>186.20002037501629</v>
      </c>
      <c r="R181" s="124">
        <f t="shared" si="4"/>
        <v>178.9403941966483</v>
      </c>
      <c r="S181" s="124">
        <f t="shared" si="4"/>
        <v>12.816492164221343</v>
      </c>
      <c r="T181" s="124">
        <f t="shared" si="4"/>
        <v>129.99999999999929</v>
      </c>
      <c r="U181" s="124">
        <f t="shared" si="4"/>
        <v>259.99046966620352</v>
      </c>
      <c r="V181" s="124">
        <f t="shared" si="4"/>
        <v>234.04035855302169</v>
      </c>
      <c r="W181" s="124">
        <f t="shared" si="4"/>
        <v>219.30036925632237</v>
      </c>
      <c r="X181" s="124">
        <f t="shared" si="4"/>
        <v>95.648141314309044</v>
      </c>
      <c r="Y181" s="124">
        <f t="shared" si="4"/>
        <v>9.5303337950730371E-3</v>
      </c>
      <c r="Z181" s="124">
        <f t="shared" si="4"/>
        <v>305.70507742528031</v>
      </c>
      <c r="AA181" s="124">
        <f t="shared" si="4"/>
        <v>136.62196541701513</v>
      </c>
      <c r="AB181" s="124">
        <f t="shared" si="4"/>
        <v>4.2625685386451471</v>
      </c>
      <c r="AC181" s="124">
        <f t="shared" si="4"/>
        <v>87.862069046435565</v>
      </c>
      <c r="AD181" s="124">
        <f t="shared" si="4"/>
        <v>192.37332798723787</v>
      </c>
      <c r="AE181" s="124">
        <f t="shared" si="4"/>
        <v>30.480989425415078</v>
      </c>
      <c r="AF181" s="124">
        <f t="shared" si="4"/>
        <v>175.71460775907605</v>
      </c>
      <c r="AG181" s="124">
        <f t="shared" si="4"/>
        <v>300.574070317843</v>
      </c>
      <c r="AH181" s="124">
        <f t="shared" si="4"/>
        <v>124.19638710727521</v>
      </c>
      <c r="AI181" s="124">
        <f t="shared" si="4"/>
        <v>91.476408672566194</v>
      </c>
      <c r="AJ181" s="124">
        <f t="shared" si="4"/>
        <v>305.70507742528031</v>
      </c>
      <c r="AK181" s="124">
        <f t="shared" si="4"/>
        <v>104.7655447464619</v>
      </c>
      <c r="AL181" s="124">
        <f t="shared" si="4"/>
        <v>171.08839668842913</v>
      </c>
      <c r="AM181" s="124">
        <f t="shared" si="4"/>
        <v>249.66066465947733</v>
      </c>
      <c r="AN181" s="124">
        <f t="shared" si="4"/>
        <v>97.164069878139387</v>
      </c>
      <c r="AO181" s="124">
        <f t="shared" si="4"/>
        <v>98.394954849583399</v>
      </c>
      <c r="AP181" s="124">
        <f t="shared" si="4"/>
        <v>217.78774853891861</v>
      </c>
      <c r="AQ181" s="124">
        <f t="shared" si="4"/>
        <v>205.23727947065592</v>
      </c>
      <c r="AR181" s="124">
        <f t="shared" si="4"/>
        <v>155.72889422247363</v>
      </c>
      <c r="AS181" s="124">
        <f t="shared" si="4"/>
        <v>257.31425490586054</v>
      </c>
      <c r="AT181" s="124">
        <f t="shared" si="4"/>
        <v>166.41989385411617</v>
      </c>
      <c r="AU181" s="124">
        <f t="shared" si="4"/>
        <v>205.80524831569952</v>
      </c>
      <c r="AV181" s="124">
        <f t="shared" si="4"/>
        <v>106.24860156823797</v>
      </c>
      <c r="AW181" s="124">
        <f t="shared" si="4"/>
        <v>129.99999999999926</v>
      </c>
      <c r="AX181" s="124">
        <f t="shared" si="4"/>
        <v>129.99999999999926</v>
      </c>
      <c r="AY181" s="124">
        <f t="shared" si="4"/>
        <v>221.38749521869386</v>
      </c>
    </row>
    <row r="182" spans="1:51">
      <c r="A182" s="125"/>
      <c r="B182" s="136" t="s">
        <v>299</v>
      </c>
      <c r="C182" s="125" t="s">
        <v>293</v>
      </c>
      <c r="D182" s="125">
        <v>141</v>
      </c>
      <c r="E182" s="125">
        <v>71.957520833825555</v>
      </c>
      <c r="F182" s="125">
        <v>95</v>
      </c>
      <c r="G182" s="125">
        <v>131.2796553178915</v>
      </c>
      <c r="H182" s="125">
        <v>42.14746128735878</v>
      </c>
      <c r="I182" s="125">
        <v>141.0098438812029</v>
      </c>
      <c r="J182" s="125">
        <v>96</v>
      </c>
      <c r="K182" s="125">
        <v>155</v>
      </c>
      <c r="L182" s="125">
        <v>111</v>
      </c>
      <c r="M182" s="125">
        <v>84.229809547195259</v>
      </c>
      <c r="N182" s="125">
        <v>126</v>
      </c>
      <c r="O182" s="125">
        <v>47.718397970557881</v>
      </c>
      <c r="P182" s="125">
        <v>107</v>
      </c>
      <c r="Q182" s="125">
        <v>110</v>
      </c>
      <c r="R182" s="125">
        <v>159</v>
      </c>
      <c r="S182" s="125">
        <v>12.816492164221343</v>
      </c>
      <c r="T182" s="125">
        <v>129.99999999999929</v>
      </c>
      <c r="U182" s="125">
        <v>98</v>
      </c>
      <c r="V182" s="125">
        <v>95</v>
      </c>
      <c r="W182" s="125">
        <v>136</v>
      </c>
      <c r="X182" s="125">
        <v>95.648141314309044</v>
      </c>
      <c r="Y182" s="125">
        <v>9.5303337950730371E-3</v>
      </c>
      <c r="Z182" s="125">
        <v>93</v>
      </c>
      <c r="AA182" s="125">
        <v>130</v>
      </c>
      <c r="AB182" s="125">
        <v>4.2625685386451471</v>
      </c>
      <c r="AC182" s="125">
        <v>87.862069046435565</v>
      </c>
      <c r="AD182" s="125">
        <v>161.32904001674245</v>
      </c>
      <c r="AE182" s="125">
        <v>30.480989425415078</v>
      </c>
      <c r="AF182" s="125">
        <v>112.52608532665566</v>
      </c>
      <c r="AG182" s="125">
        <v>156.42451762550962</v>
      </c>
      <c r="AH182" s="125">
        <v>113</v>
      </c>
      <c r="AI182" s="125">
        <v>91.476408672566194</v>
      </c>
      <c r="AJ182" s="125">
        <v>159</v>
      </c>
      <c r="AK182" s="125">
        <v>90</v>
      </c>
      <c r="AL182" s="125">
        <v>121.56325728107095</v>
      </c>
      <c r="AM182" s="125">
        <v>164</v>
      </c>
      <c r="AN182" s="125">
        <v>97.164069878139387</v>
      </c>
      <c r="AO182" s="125">
        <v>98.394954849583399</v>
      </c>
      <c r="AP182" s="125">
        <v>128</v>
      </c>
      <c r="AQ182" s="125">
        <v>94</v>
      </c>
      <c r="AR182" s="125">
        <v>149</v>
      </c>
      <c r="AS182" s="125">
        <v>135</v>
      </c>
      <c r="AT182" s="125">
        <v>114</v>
      </c>
      <c r="AU182" s="125">
        <v>106</v>
      </c>
      <c r="AV182" s="125">
        <v>106.24860156823797</v>
      </c>
      <c r="AW182" s="125">
        <v>129.99999999999926</v>
      </c>
      <c r="AX182" s="125">
        <v>129.99999999999926</v>
      </c>
      <c r="AY182" s="125">
        <v>134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110</v>
      </c>
      <c r="D185" s="124">
        <v>135</v>
      </c>
      <c r="E185" s="124">
        <v>140</v>
      </c>
      <c r="F185" s="124">
        <v>140</v>
      </c>
      <c r="G185" s="124">
        <v>140</v>
      </c>
      <c r="H185" s="124">
        <v>140</v>
      </c>
      <c r="I185" s="124">
        <v>115</v>
      </c>
      <c r="J185" s="124">
        <v>94</v>
      </c>
      <c r="K185" s="124">
        <v>63</v>
      </c>
      <c r="L185" s="124">
        <v>51</v>
      </c>
      <c r="M185" s="124">
        <v>71</v>
      </c>
      <c r="N185" s="124">
        <v>65</v>
      </c>
      <c r="O185" s="124">
        <v>91</v>
      </c>
      <c r="P185" s="124">
        <v>0</v>
      </c>
      <c r="Q185" s="124">
        <v>2.4144163543567191E-21</v>
      </c>
      <c r="R185" s="124">
        <v>2.4144163543567191E-21</v>
      </c>
      <c r="S185" s="124">
        <v>2.4144163543567191E-21</v>
      </c>
      <c r="T185" s="124">
        <v>140</v>
      </c>
      <c r="U185" s="124">
        <v>101</v>
      </c>
      <c r="V185" s="124">
        <v>73</v>
      </c>
      <c r="W185" s="124">
        <v>74</v>
      </c>
      <c r="X185" s="124">
        <v>98</v>
      </c>
      <c r="Y185" s="124">
        <v>47</v>
      </c>
      <c r="Z185" s="124">
        <v>59.083078611786277</v>
      </c>
      <c r="AA185" s="124">
        <v>76.083078611786277</v>
      </c>
      <c r="AB185" s="124">
        <v>0</v>
      </c>
      <c r="AC185" s="124">
        <v>2.4144163543567191E-21</v>
      </c>
      <c r="AD185" s="124">
        <v>2.4144163543567191E-21</v>
      </c>
      <c r="AE185" s="124">
        <v>2.4144163543567191E-21</v>
      </c>
      <c r="AF185" s="124">
        <v>103</v>
      </c>
      <c r="AG185" s="124">
        <v>112</v>
      </c>
      <c r="AH185" s="124">
        <v>109</v>
      </c>
      <c r="AI185" s="124">
        <v>112</v>
      </c>
      <c r="AJ185" s="124">
        <v>140</v>
      </c>
      <c r="AK185" s="124">
        <v>140</v>
      </c>
      <c r="AL185" s="124">
        <v>140</v>
      </c>
      <c r="AM185" s="124">
        <v>133</v>
      </c>
      <c r="AN185" s="124">
        <v>131</v>
      </c>
      <c r="AO185" s="124">
        <v>118</v>
      </c>
      <c r="AP185" s="124">
        <v>140</v>
      </c>
      <c r="AQ185" s="124">
        <v>109</v>
      </c>
      <c r="AR185" s="124">
        <v>83</v>
      </c>
      <c r="AS185" s="124">
        <v>57</v>
      </c>
      <c r="AT185" s="124">
        <v>48</v>
      </c>
      <c r="AU185" s="124">
        <v>76</v>
      </c>
      <c r="AV185" s="124">
        <v>78</v>
      </c>
      <c r="AW185" s="124">
        <v>96</v>
      </c>
      <c r="AX185" s="124">
        <v>123</v>
      </c>
      <c r="AY185" s="124">
        <v>95</v>
      </c>
    </row>
    <row r="186" spans="1:51">
      <c r="A186" s="109"/>
      <c r="B186" s="120">
        <v>2</v>
      </c>
      <c r="C186" s="106">
        <v>39</v>
      </c>
      <c r="D186" s="106">
        <v>30</v>
      </c>
      <c r="E186" s="106">
        <v>5</v>
      </c>
      <c r="F186" s="106">
        <v>0</v>
      </c>
      <c r="G186" s="106">
        <v>0</v>
      </c>
      <c r="H186" s="106">
        <v>0</v>
      </c>
      <c r="I186" s="106">
        <v>0</v>
      </c>
      <c r="J186" s="106">
        <v>25</v>
      </c>
      <c r="K186" s="106">
        <v>46</v>
      </c>
      <c r="L186" s="106">
        <v>77</v>
      </c>
      <c r="M186" s="106">
        <v>89</v>
      </c>
      <c r="N186" s="106">
        <v>69</v>
      </c>
      <c r="O186" s="106">
        <v>75</v>
      </c>
      <c r="P186" s="106">
        <v>49</v>
      </c>
      <c r="Q186" s="106">
        <v>2.4144163543567191E-21</v>
      </c>
      <c r="R186" s="106">
        <v>0</v>
      </c>
      <c r="S186" s="106">
        <v>0</v>
      </c>
      <c r="T186" s="106">
        <v>0</v>
      </c>
      <c r="U186" s="106">
        <v>0</v>
      </c>
      <c r="V186" s="106">
        <v>39</v>
      </c>
      <c r="W186" s="106">
        <v>67</v>
      </c>
      <c r="X186" s="106">
        <v>66</v>
      </c>
      <c r="Y186" s="106">
        <v>70</v>
      </c>
      <c r="Z186" s="106">
        <v>70.916921388213723</v>
      </c>
      <c r="AA186" s="106">
        <v>108.91692138821372</v>
      </c>
      <c r="AB186" s="106">
        <v>91.916921388213723</v>
      </c>
      <c r="AC186" s="106">
        <v>9.545102393814934E-22</v>
      </c>
      <c r="AD186" s="106">
        <v>0</v>
      </c>
      <c r="AE186" s="106">
        <v>0</v>
      </c>
      <c r="AF186" s="106">
        <v>0</v>
      </c>
      <c r="AG186" s="106">
        <v>9</v>
      </c>
      <c r="AH186" s="106">
        <v>0</v>
      </c>
      <c r="AI186" s="106">
        <v>3</v>
      </c>
      <c r="AJ186" s="106">
        <v>0</v>
      </c>
      <c r="AK186" s="106">
        <v>0</v>
      </c>
      <c r="AL186" s="106">
        <v>0</v>
      </c>
      <c r="AM186" s="106">
        <v>0</v>
      </c>
      <c r="AN186" s="106">
        <v>7</v>
      </c>
      <c r="AO186" s="106">
        <v>9</v>
      </c>
      <c r="AP186" s="106">
        <v>22</v>
      </c>
      <c r="AQ186" s="106">
        <v>0</v>
      </c>
      <c r="AR186" s="106">
        <v>31</v>
      </c>
      <c r="AS186" s="106">
        <v>85</v>
      </c>
      <c r="AT186" s="106">
        <v>111</v>
      </c>
      <c r="AU186" s="106">
        <v>120</v>
      </c>
      <c r="AV186" s="106">
        <v>92</v>
      </c>
      <c r="AW186" s="106">
        <v>90</v>
      </c>
      <c r="AX186" s="106">
        <v>72</v>
      </c>
      <c r="AY186" s="106">
        <v>45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145.45254871505153</v>
      </c>
      <c r="D189" s="124">
        <v>123.00000000000227</v>
      </c>
      <c r="E189" s="124">
        <v>54.409584500410432</v>
      </c>
      <c r="F189" s="124">
        <v>99.759821792142532</v>
      </c>
      <c r="G189" s="124">
        <v>54.409584500410432</v>
      </c>
      <c r="H189" s="124">
        <v>54.409584500410439</v>
      </c>
      <c r="I189" s="124">
        <v>75.292226064544877</v>
      </c>
      <c r="J189" s="124">
        <v>0</v>
      </c>
      <c r="K189" s="124">
        <v>29.618963795664683</v>
      </c>
      <c r="L189" s="124">
        <v>23.500880695746957</v>
      </c>
      <c r="M189" s="124">
        <v>43.52766760032835</v>
      </c>
      <c r="N189" s="124">
        <v>121.40958450041063</v>
      </c>
      <c r="O189" s="124">
        <v>0</v>
      </c>
      <c r="P189" s="124">
        <v>154.88264156413442</v>
      </c>
      <c r="Q189" s="124">
        <v>116.52694293627637</v>
      </c>
      <c r="R189" s="124">
        <v>176.64430137214231</v>
      </c>
      <c r="S189" s="124">
        <v>0</v>
      </c>
      <c r="T189" s="124">
        <v>11.409584500410631</v>
      </c>
      <c r="U189" s="124">
        <v>0</v>
      </c>
      <c r="V189" s="124">
        <v>0</v>
      </c>
      <c r="W189" s="124">
        <v>0</v>
      </c>
      <c r="X189" s="124">
        <v>32.000000000000995</v>
      </c>
      <c r="Y189" s="124">
        <v>0</v>
      </c>
      <c r="Z189" s="124">
        <v>0</v>
      </c>
      <c r="AA189" s="124">
        <v>0</v>
      </c>
      <c r="AB189" s="124">
        <v>0</v>
      </c>
      <c r="AC189" s="124">
        <v>0</v>
      </c>
      <c r="AD189" s="124">
        <v>0</v>
      </c>
      <c r="AE189" s="124">
        <v>13.600334121081906</v>
      </c>
      <c r="AF189" s="124">
        <v>0</v>
      </c>
      <c r="AG189" s="124">
        <v>0</v>
      </c>
      <c r="AH189" s="124">
        <v>0</v>
      </c>
      <c r="AI189" s="124">
        <v>54.409584500410439</v>
      </c>
      <c r="AJ189" s="124">
        <v>0</v>
      </c>
      <c r="AK189" s="124">
        <v>13.600334121081906</v>
      </c>
      <c r="AL189" s="124">
        <v>179.99999999999977</v>
      </c>
      <c r="AM189" s="124">
        <v>90.409584500410588</v>
      </c>
      <c r="AN189" s="124">
        <v>54.409584500410439</v>
      </c>
      <c r="AO189" s="124">
        <v>13.600334121081906</v>
      </c>
      <c r="AP189" s="124">
        <v>155.19074962067145</v>
      </c>
      <c r="AQ189" s="124">
        <v>110.04515495211945</v>
      </c>
      <c r="AR189" s="124">
        <v>37.51821201584346</v>
      </c>
      <c r="AS189" s="124">
        <v>57.400853579977905</v>
      </c>
      <c r="AT189" s="124">
        <v>99.283495144112351</v>
      </c>
      <c r="AU189" s="124">
        <v>102.28349514411255</v>
      </c>
      <c r="AV189" s="124">
        <v>54.409584500410432</v>
      </c>
      <c r="AW189" s="124">
        <v>54.409584500410432</v>
      </c>
      <c r="AX189" s="124">
        <v>22.409584500410631</v>
      </c>
      <c r="AY189" s="124">
        <v>2.2922260645450763</v>
      </c>
    </row>
    <row r="190" spans="1:51">
      <c r="A190" s="109"/>
      <c r="B190" s="119">
        <v>2</v>
      </c>
      <c r="C190" s="106">
        <v>31.54745128494848</v>
      </c>
      <c r="D190" s="106">
        <v>34.547451284948238</v>
      </c>
      <c r="E190" s="106">
        <v>56.999999999997499</v>
      </c>
      <c r="F190" s="106">
        <v>123.24017820785747</v>
      </c>
      <c r="G190" s="106">
        <v>105.35753664372302</v>
      </c>
      <c r="H190" s="106">
        <v>7.1054273576010019E-15</v>
      </c>
      <c r="I190" s="106">
        <v>0</v>
      </c>
      <c r="J190" s="106">
        <v>236</v>
      </c>
      <c r="K190" s="106">
        <v>169.11808309991773</v>
      </c>
      <c r="L190" s="106">
        <v>139.49911930425304</v>
      </c>
      <c r="M190" s="106">
        <v>145.61720240417077</v>
      </c>
      <c r="N190" s="106">
        <v>125.59041549958937</v>
      </c>
      <c r="O190" s="106">
        <v>33.473057063723445</v>
      </c>
      <c r="P190" s="106">
        <v>0</v>
      </c>
      <c r="Q190" s="106">
        <v>0</v>
      </c>
      <c r="R190" s="106">
        <v>38.355698627857706</v>
      </c>
      <c r="S190" s="106">
        <v>3.3556986278574925</v>
      </c>
      <c r="T190" s="106">
        <v>125.59041549958937</v>
      </c>
      <c r="U190" s="106">
        <v>122.59041549958957</v>
      </c>
      <c r="V190" s="106">
        <v>114.0000000000004</v>
      </c>
      <c r="W190" s="106">
        <v>149.0000000000006</v>
      </c>
      <c r="X190" s="106">
        <v>179.9999999999998</v>
      </c>
      <c r="Y190" s="106">
        <v>22.409584500409437</v>
      </c>
      <c r="Z190" s="106">
        <v>181</v>
      </c>
      <c r="AA190" s="106">
        <v>35.409584500410801</v>
      </c>
      <c r="AB190" s="106">
        <v>0</v>
      </c>
      <c r="AC190" s="106">
        <v>0</v>
      </c>
      <c r="AD190" s="106">
        <v>25.409584500410631</v>
      </c>
      <c r="AE190" s="106">
        <v>21.510169707234041</v>
      </c>
      <c r="AF190" s="106">
        <v>59.409584500410631</v>
      </c>
      <c r="AG190" s="106">
        <v>135.00991862149272</v>
      </c>
      <c r="AH190" s="106">
        <v>111.00991862149291</v>
      </c>
      <c r="AI190" s="106">
        <v>54.409584500410439</v>
      </c>
      <c r="AJ190" s="106">
        <v>73.409584500410631</v>
      </c>
      <c r="AK190" s="106">
        <v>179.9999999999998</v>
      </c>
      <c r="AL190" s="106">
        <v>40.809250379328532</v>
      </c>
      <c r="AM190" s="106">
        <v>2.8421709430404007E-14</v>
      </c>
      <c r="AN190" s="106">
        <v>89.590415499589213</v>
      </c>
      <c r="AO190" s="106">
        <v>125.59041549958937</v>
      </c>
      <c r="AP190" s="106">
        <v>40.809250379328532</v>
      </c>
      <c r="AQ190" s="106">
        <v>110.95484504788055</v>
      </c>
      <c r="AR190" s="106">
        <v>95.072203483746108</v>
      </c>
      <c r="AS190" s="106">
        <v>167.59914642002209</v>
      </c>
      <c r="AT190" s="106">
        <v>147.71650485588765</v>
      </c>
      <c r="AU190" s="106">
        <v>80.71650485588745</v>
      </c>
      <c r="AV190" s="106">
        <v>77.716504855887251</v>
      </c>
      <c r="AW190" s="106">
        <v>125.59041549958937</v>
      </c>
      <c r="AX190" s="106">
        <v>125.59041549958937</v>
      </c>
      <c r="AY190" s="106">
        <v>182.70777393545492</v>
      </c>
    </row>
    <row r="191" spans="1:51">
      <c r="A191" s="109"/>
      <c r="B191" s="120">
        <v>3</v>
      </c>
      <c r="C191" s="106">
        <v>0</v>
      </c>
      <c r="D191" s="106">
        <v>69.452548715049488</v>
      </c>
      <c r="E191" s="106">
        <v>0</v>
      </c>
      <c r="F191" s="106">
        <v>0</v>
      </c>
      <c r="G191" s="106">
        <v>0</v>
      </c>
      <c r="H191" s="106">
        <v>0</v>
      </c>
      <c r="I191" s="106">
        <v>150.70777393545512</v>
      </c>
      <c r="J191" s="106">
        <v>0</v>
      </c>
      <c r="K191" s="106">
        <v>9.2629531044175906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100.47305706372363</v>
      </c>
      <c r="R191" s="106">
        <v>0</v>
      </c>
      <c r="S191" s="106">
        <v>0</v>
      </c>
      <c r="T191" s="106">
        <v>0</v>
      </c>
      <c r="U191" s="106">
        <v>54.409584500410432</v>
      </c>
      <c r="V191" s="106">
        <v>45.999999999999602</v>
      </c>
      <c r="W191" s="106">
        <v>65.999999999999403</v>
      </c>
      <c r="X191" s="106">
        <v>30.999999999999204</v>
      </c>
      <c r="Y191" s="106">
        <v>0</v>
      </c>
      <c r="Z191" s="106">
        <v>0</v>
      </c>
      <c r="AA191" s="106">
        <v>124.5904154995892</v>
      </c>
      <c r="AB191" s="106">
        <v>90.180830999178568</v>
      </c>
      <c r="AC191" s="106">
        <v>125.59041549958937</v>
      </c>
      <c r="AD191" s="106">
        <v>125.59041549958937</v>
      </c>
      <c r="AE191" s="106">
        <v>100.18083099917874</v>
      </c>
      <c r="AF191" s="106">
        <v>125.59041549958937</v>
      </c>
      <c r="AG191" s="106">
        <v>106.99008137850728</v>
      </c>
      <c r="AH191" s="106">
        <v>44.990081378507085</v>
      </c>
      <c r="AI191" s="106">
        <v>68.990081378506915</v>
      </c>
      <c r="AJ191" s="106">
        <v>125.59041549958937</v>
      </c>
      <c r="AK191" s="106">
        <v>52.180830999178738</v>
      </c>
      <c r="AL191" s="106">
        <v>0</v>
      </c>
      <c r="AM191" s="106">
        <v>125.59041549958938</v>
      </c>
      <c r="AN191" s="106">
        <v>0</v>
      </c>
      <c r="AO191" s="106">
        <v>0</v>
      </c>
      <c r="AP191" s="106">
        <v>0</v>
      </c>
      <c r="AQ191" s="106">
        <v>0</v>
      </c>
      <c r="AR191" s="106">
        <v>54.409584500410432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42.330634088587246</v>
      </c>
      <c r="D197" s="106">
        <v>32.258014657993996</v>
      </c>
      <c r="E197" s="106">
        <v>58.691210554100635</v>
      </c>
      <c r="F197" s="106">
        <v>14.302189031813469</v>
      </c>
      <c r="G197" s="106">
        <v>80.601981579880601</v>
      </c>
      <c r="H197" s="106">
        <v>32.750604658489365</v>
      </c>
      <c r="I197" s="106">
        <v>23.475986614330875</v>
      </c>
      <c r="J197" s="106">
        <v>97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2.8440148607340348</v>
      </c>
      <c r="S197" s="106">
        <v>3.1312631932196098</v>
      </c>
      <c r="T197" s="106">
        <v>0</v>
      </c>
      <c r="U197" s="106">
        <v>37.323356858805944</v>
      </c>
      <c r="V197" s="106">
        <v>30.913817431140764</v>
      </c>
      <c r="W197" s="106">
        <v>0</v>
      </c>
      <c r="X197" s="106">
        <v>0</v>
      </c>
      <c r="Y197" s="106">
        <v>0</v>
      </c>
      <c r="Z197" s="106">
        <v>0</v>
      </c>
      <c r="AA197" s="106">
        <v>41.079474867006226</v>
      </c>
      <c r="AB197" s="106">
        <v>0</v>
      </c>
      <c r="AC197" s="106">
        <v>0</v>
      </c>
      <c r="AD197" s="106">
        <v>48.938861175493464</v>
      </c>
      <c r="AE197" s="106">
        <v>70</v>
      </c>
      <c r="AF197" s="106">
        <v>16.977803119952693</v>
      </c>
      <c r="AG197" s="106">
        <v>97.872413988827745</v>
      </c>
      <c r="AH197" s="106">
        <v>57</v>
      </c>
      <c r="AI197" s="106">
        <v>0</v>
      </c>
      <c r="AJ197" s="106">
        <v>0</v>
      </c>
      <c r="AK197" s="106">
        <v>14.452324576084123</v>
      </c>
      <c r="AL197" s="106">
        <v>0</v>
      </c>
      <c r="AM197" s="106">
        <v>0</v>
      </c>
      <c r="AN197" s="106">
        <v>0</v>
      </c>
      <c r="AO197" s="106">
        <v>0</v>
      </c>
      <c r="AP197" s="106">
        <v>6.5799286798838921</v>
      </c>
      <c r="AQ197" s="106">
        <v>63.774287428620177</v>
      </c>
      <c r="AR197" s="106">
        <v>20.467283084840624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</v>
      </c>
      <c r="AY197" s="106">
        <v>0</v>
      </c>
    </row>
    <row r="198" spans="1:51">
      <c r="A198" s="109"/>
      <c r="B198" s="119">
        <v>2</v>
      </c>
      <c r="C198" s="106">
        <v>29.669365911412754</v>
      </c>
      <c r="D198" s="106">
        <v>38.741985342006004</v>
      </c>
      <c r="E198" s="106">
        <v>39.979497644119419</v>
      </c>
      <c r="F198" s="106">
        <v>45.697810968186531</v>
      </c>
      <c r="G198" s="106">
        <v>25.777895136909287</v>
      </c>
      <c r="H198" s="106">
        <v>49.611820424139694</v>
      </c>
      <c r="I198" s="106">
        <v>40.371698247596868</v>
      </c>
      <c r="J198" s="106">
        <v>0</v>
      </c>
      <c r="K198" s="106">
        <v>60</v>
      </c>
      <c r="L198" s="106">
        <v>67.106234553914391</v>
      </c>
      <c r="M198" s="106">
        <v>81.895751168290559</v>
      </c>
      <c r="N198" s="106">
        <v>37.526978085934275</v>
      </c>
      <c r="O198" s="106">
        <v>21.518474215815345</v>
      </c>
      <c r="P198" s="106">
        <v>46.602768712796909</v>
      </c>
      <c r="Q198" s="106">
        <v>8.0461046849989657</v>
      </c>
      <c r="R198" s="106">
        <v>62.62311121446379</v>
      </c>
      <c r="S198" s="106">
        <v>100.86873680678039</v>
      </c>
      <c r="T198" s="106">
        <v>60</v>
      </c>
      <c r="U198" s="106">
        <v>7.1387407283811699</v>
      </c>
      <c r="V198" s="106">
        <v>35.086182568859236</v>
      </c>
      <c r="W198" s="106">
        <v>77</v>
      </c>
      <c r="X198" s="106">
        <v>70.10004693796958</v>
      </c>
      <c r="Y198" s="106">
        <v>21.509987797232185</v>
      </c>
      <c r="Z198" s="106">
        <v>3.3604590728683945</v>
      </c>
      <c r="AA198" s="106">
        <v>5.308362159178113E-3</v>
      </c>
      <c r="AB198" s="106">
        <v>91.744571011978422</v>
      </c>
      <c r="AC198" s="106">
        <v>61.547400824650907</v>
      </c>
      <c r="AD198" s="106">
        <v>2.3742355743242505</v>
      </c>
      <c r="AE198" s="106">
        <v>0</v>
      </c>
      <c r="AF198" s="106">
        <v>37.151262136331852</v>
      </c>
      <c r="AG198" s="106">
        <v>0</v>
      </c>
      <c r="AH198" s="106">
        <v>0</v>
      </c>
      <c r="AI198" s="106">
        <v>77</v>
      </c>
      <c r="AJ198" s="106">
        <v>36.581307726047896</v>
      </c>
      <c r="AK198" s="106">
        <v>50.952035542134084</v>
      </c>
      <c r="AL198" s="106">
        <v>100.56325728107095</v>
      </c>
      <c r="AM198" s="106">
        <v>57.738936802821314</v>
      </c>
      <c r="AN198" s="106">
        <v>88.417774697763178</v>
      </c>
      <c r="AO198" s="106">
        <v>88.760077064431599</v>
      </c>
      <c r="AP198" s="106">
        <v>54.120042683027592</v>
      </c>
      <c r="AQ198" s="106">
        <v>48.225712571379823</v>
      </c>
      <c r="AR198" s="106">
        <v>57.532716915159376</v>
      </c>
      <c r="AS198" s="106">
        <v>83</v>
      </c>
      <c r="AT198" s="106">
        <v>62.150845547476962</v>
      </c>
      <c r="AU198" s="106">
        <v>72.410403191869548</v>
      </c>
      <c r="AV198" s="106">
        <v>14.718648423770134</v>
      </c>
      <c r="AW198" s="106">
        <v>15.126194363783227</v>
      </c>
      <c r="AX198" s="106">
        <v>0</v>
      </c>
      <c r="AY198" s="106">
        <v>14.313305542815506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28.893765446085609</v>
      </c>
      <c r="M199" s="106">
        <v>1.8470675502764777</v>
      </c>
      <c r="N199" s="106">
        <v>63.473021914065725</v>
      </c>
      <c r="O199" s="106">
        <v>68.103940499138645</v>
      </c>
      <c r="P199" s="106">
        <v>25.397231287203091</v>
      </c>
      <c r="Q199" s="106">
        <v>64.953895315001034</v>
      </c>
      <c r="R199" s="106">
        <v>18.532873924802168</v>
      </c>
      <c r="S199" s="106">
        <v>0</v>
      </c>
      <c r="T199" s="106">
        <v>0</v>
      </c>
      <c r="U199" s="106">
        <v>36.537902412812883</v>
      </c>
      <c r="V199" s="106">
        <v>0</v>
      </c>
      <c r="W199" s="106">
        <v>0</v>
      </c>
      <c r="X199" s="106">
        <v>36.89995306203042</v>
      </c>
      <c r="Y199" s="106">
        <v>60.259603602876666</v>
      </c>
      <c r="Z199" s="106">
        <v>100.63954092713161</v>
      </c>
      <c r="AA199" s="106">
        <v>49.915216770834597</v>
      </c>
      <c r="AB199" s="106">
        <v>0</v>
      </c>
      <c r="AC199" s="106">
        <v>37.452599175349093</v>
      </c>
      <c r="AD199" s="106">
        <v>14.550549879568479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33.418692273952104</v>
      </c>
      <c r="AK199" s="106">
        <v>32.595639881781793</v>
      </c>
      <c r="AL199" s="106">
        <v>0</v>
      </c>
      <c r="AM199" s="106">
        <v>55.261063197178686</v>
      </c>
      <c r="AN199" s="106">
        <v>0.6151004508694129</v>
      </c>
      <c r="AO199" s="106">
        <v>6.8778561147514097</v>
      </c>
      <c r="AP199" s="106">
        <v>50.300028637088516</v>
      </c>
      <c r="AQ199" s="106">
        <v>0</v>
      </c>
      <c r="AR199" s="106">
        <v>0</v>
      </c>
      <c r="AS199" s="106">
        <v>0</v>
      </c>
      <c r="AT199" s="106">
        <v>10.849154452523038</v>
      </c>
      <c r="AU199" s="106">
        <v>24.589596808130452</v>
      </c>
      <c r="AV199" s="106">
        <v>70.912725161255807</v>
      </c>
      <c r="AW199" s="106">
        <v>77.976642849903271</v>
      </c>
      <c r="AX199" s="106">
        <v>76</v>
      </c>
      <c r="AY199" s="106">
        <v>59.180094649151208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23.506599808033286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121</v>
      </c>
      <c r="D209" s="124">
        <v>83.475110702833874</v>
      </c>
      <c r="E209" s="124">
        <v>42.147461287358787</v>
      </c>
      <c r="F209" s="124">
        <v>8.7914905059462001</v>
      </c>
      <c r="G209" s="124">
        <v>42.14746128735878</v>
      </c>
      <c r="H209" s="124">
        <v>42.14746128735878</v>
      </c>
      <c r="I209" s="124">
        <v>35.587304340327407</v>
      </c>
      <c r="J209" s="124">
        <v>0</v>
      </c>
      <c r="K209" s="124">
        <v>15.585523821059894</v>
      </c>
      <c r="L209" s="124">
        <v>42.928624819615436</v>
      </c>
      <c r="M209" s="124">
        <v>33.719875096646042</v>
      </c>
      <c r="N209" s="124">
        <v>38.147461287359491</v>
      </c>
      <c r="O209" s="124">
        <v>9.5303337950684731E-3</v>
      </c>
      <c r="P209" s="124">
        <v>107</v>
      </c>
      <c r="Q209" s="124">
        <v>36.229978796747979</v>
      </c>
      <c r="R209" s="124">
        <v>110.05960580335102</v>
      </c>
      <c r="S209" s="124">
        <v>9.5303337950678468E-3</v>
      </c>
      <c r="T209" s="124">
        <v>42.14746128735878</v>
      </c>
      <c r="U209" s="124">
        <v>0</v>
      </c>
      <c r="V209" s="124">
        <v>0</v>
      </c>
      <c r="W209" s="124">
        <v>46.699630743676906</v>
      </c>
      <c r="X209" s="124">
        <v>42.147461287358773</v>
      </c>
      <c r="Y209" s="124">
        <v>9.5303337950684731E-3</v>
      </c>
      <c r="Z209" s="124">
        <v>0</v>
      </c>
      <c r="AA209" s="124">
        <v>0</v>
      </c>
      <c r="AB209" s="124">
        <v>9.530333795068395E-3</v>
      </c>
      <c r="AC209" s="124">
        <v>9.530333795055362E-3</v>
      </c>
      <c r="AD209" s="124">
        <v>0</v>
      </c>
      <c r="AE209" s="124">
        <v>10.54241613694291</v>
      </c>
      <c r="AF209" s="124">
        <v>0</v>
      </c>
      <c r="AG209" s="124">
        <v>0</v>
      </c>
      <c r="AH209" s="124">
        <v>0</v>
      </c>
      <c r="AI209" s="124">
        <v>42.147461287358773</v>
      </c>
      <c r="AJ209" s="124">
        <v>0</v>
      </c>
      <c r="AK209" s="124">
        <v>0</v>
      </c>
      <c r="AL209" s="124">
        <v>80.474860592641107</v>
      </c>
      <c r="AM209" s="124">
        <v>44.339335340521956</v>
      </c>
      <c r="AN209" s="124">
        <v>42.147461287358773</v>
      </c>
      <c r="AO209" s="124">
        <v>10.54241613694289</v>
      </c>
      <c r="AP209" s="124">
        <v>96.39495484958411</v>
      </c>
      <c r="AQ209" s="124">
        <v>36.332721357578343</v>
      </c>
      <c r="AR209" s="124">
        <v>35.418567064885181</v>
      </c>
      <c r="AS209" s="124">
        <v>25.255745922373748</v>
      </c>
      <c r="AT209" s="124">
        <v>35.442175192319411</v>
      </c>
      <c r="AU209" s="124">
        <v>30.194751684299774</v>
      </c>
      <c r="AV209" s="124">
        <v>42.14746128735878</v>
      </c>
      <c r="AW209" s="124">
        <v>42.14746128735878</v>
      </c>
      <c r="AX209" s="124">
        <v>42.14746128735878</v>
      </c>
      <c r="AY209" s="124">
        <v>28.577460459124524</v>
      </c>
    </row>
    <row r="210" spans="1:51">
      <c r="A210" s="109"/>
      <c r="B210" s="119">
        <v>2</v>
      </c>
      <c r="C210" s="106">
        <v>0</v>
      </c>
      <c r="D210" s="110">
        <v>5.7803599736863482</v>
      </c>
      <c r="E210" s="110">
        <v>29.810059546466768</v>
      </c>
      <c r="F210" s="110">
        <v>86.2085094940538</v>
      </c>
      <c r="G210" s="110">
        <v>89.132194030532716</v>
      </c>
      <c r="H210" s="110">
        <v>0</v>
      </c>
      <c r="I210" s="110">
        <v>0</v>
      </c>
      <c r="J210" s="110">
        <v>96</v>
      </c>
      <c r="K210" s="110">
        <v>121.56900444882535</v>
      </c>
      <c r="L210" s="110">
        <v>68.071375180384564</v>
      </c>
      <c r="M210" s="110">
        <v>50.50993445054921</v>
      </c>
      <c r="N210" s="110">
        <v>87.852538712640509</v>
      </c>
      <c r="O210" s="110">
        <v>47.708867636762811</v>
      </c>
      <c r="P210" s="110">
        <v>0</v>
      </c>
      <c r="Q210" s="110">
        <v>3.4874833188465333</v>
      </c>
      <c r="R210" s="110">
        <v>48.940394196648988</v>
      </c>
      <c r="S210" s="110">
        <v>12.806961830426275</v>
      </c>
      <c r="T210" s="110">
        <v>87.852538712640509</v>
      </c>
      <c r="U210" s="110">
        <v>55.862069046436282</v>
      </c>
      <c r="V210" s="110">
        <v>74.453729955782308</v>
      </c>
      <c r="W210" s="110">
        <v>83.494088508804722</v>
      </c>
      <c r="X210" s="110">
        <v>53.50068002695027</v>
      </c>
      <c r="Y210" s="110">
        <v>4.5635475437571057E-15</v>
      </c>
      <c r="Z210" s="110">
        <v>93</v>
      </c>
      <c r="AA210" s="110">
        <v>49.818052374701779</v>
      </c>
      <c r="AB210" s="110">
        <v>6.1209733338761863E-3</v>
      </c>
      <c r="AC210" s="110">
        <v>5.013663072975336E-17</v>
      </c>
      <c r="AD210" s="110">
        <v>73.476501304101944</v>
      </c>
      <c r="AE210" s="110">
        <v>10.70538759774591</v>
      </c>
      <c r="AF210" s="110">
        <v>24.673546614015152</v>
      </c>
      <c r="AG210" s="110">
        <v>84.241992796788139</v>
      </c>
      <c r="AH210" s="110">
        <v>83.613550446405</v>
      </c>
      <c r="AI210" s="110">
        <v>42.144051926897596</v>
      </c>
      <c r="AJ210" s="110">
        <v>71.147461287359491</v>
      </c>
      <c r="AK210" s="110">
        <v>79.270959899285714</v>
      </c>
      <c r="AL210" s="110">
        <v>38.37604073529716</v>
      </c>
      <c r="AM210" s="110">
        <v>31.808125946837531</v>
      </c>
      <c r="AN210" s="110">
        <v>55.016608590780613</v>
      </c>
      <c r="AO210" s="110">
        <v>87.852538712640509</v>
      </c>
      <c r="AP210" s="110">
        <v>31.60504515041589</v>
      </c>
      <c r="AQ210" s="110">
        <v>57.667278642421657</v>
      </c>
      <c r="AR210" s="110">
        <v>71.443501981551094</v>
      </c>
      <c r="AS210" s="110">
        <v>109.74425407762625</v>
      </c>
      <c r="AT210" s="110">
        <v>78.557824807680589</v>
      </c>
      <c r="AU210" s="110">
        <v>75.805248315700226</v>
      </c>
      <c r="AV210" s="110">
        <v>64.101140280879179</v>
      </c>
      <c r="AW210" s="110">
        <v>87.852538712640481</v>
      </c>
      <c r="AX210" s="110">
        <v>87.852538712640481</v>
      </c>
      <c r="AY210" s="110">
        <v>105.42253954087548</v>
      </c>
    </row>
    <row r="211" spans="1:51">
      <c r="A211" s="109"/>
      <c r="B211" s="119">
        <v>3</v>
      </c>
      <c r="C211" s="106">
        <v>0</v>
      </c>
      <c r="D211" s="110">
        <v>51.744529323479789</v>
      </c>
      <c r="E211" s="110">
        <v>0</v>
      </c>
      <c r="F211" s="110">
        <v>0</v>
      </c>
      <c r="G211" s="110">
        <v>0</v>
      </c>
      <c r="H211" s="110">
        <v>0</v>
      </c>
      <c r="I211" s="110">
        <v>105.42253954087549</v>
      </c>
      <c r="J211" s="110">
        <v>0</v>
      </c>
      <c r="K211" s="110">
        <v>17.845471730114763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70.282537884405485</v>
      </c>
      <c r="R211" s="110">
        <v>0</v>
      </c>
      <c r="S211" s="110">
        <v>0</v>
      </c>
      <c r="T211" s="110">
        <v>0</v>
      </c>
      <c r="U211" s="110">
        <v>42.137930953563718</v>
      </c>
      <c r="V211" s="110">
        <v>20.546270044217696</v>
      </c>
      <c r="W211" s="110">
        <v>5.8062807475183646</v>
      </c>
      <c r="X211" s="110">
        <v>0</v>
      </c>
      <c r="Y211" s="110">
        <v>0</v>
      </c>
      <c r="Z211" s="110">
        <v>0</v>
      </c>
      <c r="AA211" s="110">
        <v>80.181947625298221</v>
      </c>
      <c r="AB211" s="110">
        <v>4.2469172315162025</v>
      </c>
      <c r="AC211" s="110">
        <v>87.852538712640509</v>
      </c>
      <c r="AD211" s="110">
        <v>87.852538712640509</v>
      </c>
      <c r="AE211" s="110">
        <v>9.2331856907262555</v>
      </c>
      <c r="AF211" s="110">
        <v>87.852538712640509</v>
      </c>
      <c r="AG211" s="110">
        <v>72.182524828721483</v>
      </c>
      <c r="AH211" s="110">
        <v>29.386449553595003</v>
      </c>
      <c r="AI211" s="110">
        <v>7.1848954583098301</v>
      </c>
      <c r="AJ211" s="110">
        <v>87.852538712640509</v>
      </c>
      <c r="AK211" s="110">
        <v>10.729040100714283</v>
      </c>
      <c r="AL211" s="110">
        <v>2.7123559531326724</v>
      </c>
      <c r="AM211" s="110">
        <v>87.852538712640509</v>
      </c>
      <c r="AN211" s="110">
        <v>0</v>
      </c>
      <c r="AO211" s="110">
        <v>0</v>
      </c>
      <c r="AP211" s="110">
        <v>0</v>
      </c>
      <c r="AQ211" s="110">
        <v>0</v>
      </c>
      <c r="AR211" s="110">
        <v>42.137930953563725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67852.863989486665</v>
      </c>
      <c r="E259" s="124">
        <f t="shared" ref="E259:AX259" si="5">F$14*$B$259</f>
        <v>26052.054709669792</v>
      </c>
      <c r="F259" s="124">
        <f t="shared" si="5"/>
        <v>84638.971302613194</v>
      </c>
      <c r="G259" s="124">
        <f t="shared" si="5"/>
        <v>47529.496888956055</v>
      </c>
      <c r="H259" s="124">
        <f t="shared" si="5"/>
        <v>15259.391299315068</v>
      </c>
      <c r="I259" s="124">
        <f t="shared" si="5"/>
        <v>120830.94753995564</v>
      </c>
      <c r="J259" s="124">
        <f t="shared" si="5"/>
        <v>44819.646367724061</v>
      </c>
      <c r="K259" s="124">
        <f t="shared" si="5"/>
        <v>94489.702503531589</v>
      </c>
      <c r="L259" s="124">
        <f t="shared" si="5"/>
        <v>68660.097080297404</v>
      </c>
      <c r="M259" s="124">
        <f t="shared" si="5"/>
        <v>30495.208576961984</v>
      </c>
      <c r="N259" s="124">
        <f t="shared" si="5"/>
        <v>72511.831618068652</v>
      </c>
      <c r="O259" s="124">
        <f t="shared" si="5"/>
        <v>17276.336096370738</v>
      </c>
      <c r="P259" s="124">
        <f t="shared" si="5"/>
        <v>40705.022289401466</v>
      </c>
      <c r="Q259" s="124">
        <f t="shared" si="5"/>
        <v>67413.288583884379</v>
      </c>
      <c r="R259" s="124">
        <f t="shared" si="5"/>
        <v>64784.957643921123</v>
      </c>
      <c r="S259" s="124">
        <f t="shared" si="5"/>
        <v>4640.1814734477603</v>
      </c>
      <c r="T259" s="124">
        <f t="shared" si="5"/>
        <v>47066.200627982369</v>
      </c>
      <c r="U259" s="124">
        <f t="shared" si="5"/>
        <v>94128.950820561266</v>
      </c>
      <c r="V259" s="124">
        <f t="shared" si="5"/>
        <v>84733.772851550064</v>
      </c>
      <c r="W259" s="124">
        <f t="shared" si="5"/>
        <v>79397.193670836466</v>
      </c>
      <c r="X259" s="124">
        <f t="shared" si="5"/>
        <v>34629.189298406942</v>
      </c>
      <c r="Y259" s="124">
        <f t="shared" si="5"/>
        <v>3.4504354034657734</v>
      </c>
      <c r="Z259" s="124">
        <f t="shared" si="5"/>
        <v>110679.81928531695</v>
      </c>
      <c r="AA259" s="124">
        <f t="shared" si="5"/>
        <v>49463.667957742604</v>
      </c>
      <c r="AB259" s="124">
        <f t="shared" si="5"/>
        <v>1543.2531233107627</v>
      </c>
      <c r="AC259" s="124">
        <f t="shared" si="5"/>
        <v>31810.259764070754</v>
      </c>
      <c r="AD259" s="124">
        <f t="shared" si="5"/>
        <v>69648.320388615699</v>
      </c>
      <c r="AE259" s="124">
        <f t="shared" si="5"/>
        <v>11035.57202796925</v>
      </c>
      <c r="AF259" s="124">
        <f t="shared" si="5"/>
        <v>63617.069092738035</v>
      </c>
      <c r="AG259" s="124">
        <f t="shared" si="5"/>
        <v>108822.14997806886</v>
      </c>
      <c r="AH259" s="124">
        <f t="shared" si="5"/>
        <v>44965.015945089297</v>
      </c>
      <c r="AI259" s="124">
        <f t="shared" si="5"/>
        <v>33118.823102387156</v>
      </c>
      <c r="AJ259" s="124">
        <f t="shared" si="5"/>
        <v>110679.81928531695</v>
      </c>
      <c r="AK259" s="124">
        <f t="shared" si="5"/>
        <v>37930.12421489897</v>
      </c>
      <c r="AL259" s="124">
        <f t="shared" si="5"/>
        <v>61942.16002813448</v>
      </c>
      <c r="AM259" s="124">
        <f t="shared" si="5"/>
        <v>90389.068705988073</v>
      </c>
      <c r="AN259" s="124">
        <f t="shared" si="5"/>
        <v>35178.027743967934</v>
      </c>
      <c r="AO259" s="124">
        <f t="shared" si="5"/>
        <v>35623.666813321412</v>
      </c>
      <c r="AP259" s="124">
        <f t="shared" si="5"/>
        <v>78849.552823456703</v>
      </c>
      <c r="AQ259" s="124">
        <f t="shared" si="5"/>
        <v>74305.684399286387</v>
      </c>
      <c r="AR259" s="124">
        <f t="shared" si="5"/>
        <v>56381.287531144822</v>
      </c>
      <c r="AS259" s="124">
        <f t="shared" si="5"/>
        <v>93160.033429531482</v>
      </c>
      <c r="AT259" s="124">
        <f t="shared" si="5"/>
        <v>60251.939327887711</v>
      </c>
      <c r="AU259" s="124">
        <f t="shared" si="5"/>
        <v>74511.316211680736</v>
      </c>
      <c r="AV259" s="124">
        <f t="shared" si="5"/>
        <v>38467.061521948286</v>
      </c>
      <c r="AW259" s="124">
        <f t="shared" si="5"/>
        <v>47066.200627982347</v>
      </c>
      <c r="AX259" s="124">
        <f t="shared" si="5"/>
        <v>47066.200627982347</v>
      </c>
      <c r="AY259" s="124">
        <f>AZ$14*$B$259</f>
        <v>80152.832819150673</v>
      </c>
      <c r="AZ259" s="139">
        <f>SUM($D259:$AY259)</f>
        <v>2754577.6824453347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8903.6192846985323</v>
      </c>
      <c r="E260" s="125">
        <f t="shared" ref="E260:AY260" si="6">(E$175-E$176+E$177-E$178+E$179-E$180+E$181-E$182)*$B$260</f>
        <v>2741.8686580911926</v>
      </c>
      <c r="F260" s="125">
        <f t="shared" si="6"/>
        <v>16194.836526175222</v>
      </c>
      <c r="G260" s="125">
        <f t="shared" si="6"/>
        <v>2976.7092254483814</v>
      </c>
      <c r="H260" s="125">
        <f t="shared" si="6"/>
        <v>2422.301894855812</v>
      </c>
      <c r="I260" s="125">
        <f t="shared" si="6"/>
        <v>27779.776986369397</v>
      </c>
      <c r="J260" s="125">
        <f t="shared" si="6"/>
        <v>10317.095108640337</v>
      </c>
      <c r="K260" s="125">
        <f t="shared" si="6"/>
        <v>25219.984610565374</v>
      </c>
      <c r="L260" s="125">
        <f t="shared" si="6"/>
        <v>27628.609921588479</v>
      </c>
      <c r="M260" s="125">
        <f t="shared" si="6"/>
        <v>14286.236429948316</v>
      </c>
      <c r="N260" s="125">
        <f t="shared" si="6"/>
        <v>17866.514457017118</v>
      </c>
      <c r="O260" s="125">
        <f t="shared" si="6"/>
        <v>11157.233718900063</v>
      </c>
      <c r="P260" s="125">
        <f t="shared" si="6"/>
        <v>5817.7723857940027</v>
      </c>
      <c r="Q260" s="125">
        <f t="shared" si="6"/>
        <v>11742.7022485284</v>
      </c>
      <c r="R260" s="125">
        <f t="shared" si="6"/>
        <v>7449.8897778771743</v>
      </c>
      <c r="S260" s="125">
        <f t="shared" si="6"/>
        <v>5792.2741447687731</v>
      </c>
      <c r="T260" s="125">
        <f t="shared" si="6"/>
        <v>5200.5985884716301</v>
      </c>
      <c r="U260" s="125">
        <f t="shared" si="6"/>
        <v>27724.59913410373</v>
      </c>
      <c r="V260" s="125">
        <f t="shared" si="6"/>
        <v>33956.418696903078</v>
      </c>
      <c r="W260" s="125">
        <f t="shared" si="6"/>
        <v>31653.598371551878</v>
      </c>
      <c r="X260" s="125">
        <f t="shared" si="6"/>
        <v>16489.123009658993</v>
      </c>
      <c r="Y260" s="125">
        <f t="shared" si="6"/>
        <v>16494.913006250077</v>
      </c>
      <c r="Z260" s="125">
        <f t="shared" si="6"/>
        <v>37303.401296739983</v>
      </c>
      <c r="AA260" s="125">
        <f t="shared" si="6"/>
        <v>19075.013279504099</v>
      </c>
      <c r="AB260" s="125">
        <f t="shared" si="6"/>
        <v>6813.0329927741086</v>
      </c>
      <c r="AC260" s="125">
        <f t="shared" si="6"/>
        <v>1015.4871272335635</v>
      </c>
      <c r="AD260" s="125">
        <f t="shared" si="6"/>
        <v>9164.1173206144904</v>
      </c>
      <c r="AE260" s="125">
        <f t="shared" si="6"/>
        <v>2229.075728179911</v>
      </c>
      <c r="AF260" s="125">
        <f t="shared" si="6"/>
        <v>8302.1612058959472</v>
      </c>
      <c r="AG260" s="125">
        <f t="shared" si="6"/>
        <v>19699.823021490705</v>
      </c>
      <c r="AH260" s="125">
        <f t="shared" si="6"/>
        <v>11616.309645584055</v>
      </c>
      <c r="AI260" s="125">
        <f t="shared" si="6"/>
        <v>6155.7383929069074</v>
      </c>
      <c r="AJ260" s="125">
        <f t="shared" si="6"/>
        <v>27746.01503090249</v>
      </c>
      <c r="AK260" s="125">
        <f t="shared" si="6"/>
        <v>10235.39191348269</v>
      </c>
      <c r="AL260" s="125">
        <f t="shared" si="6"/>
        <v>9788.414391493654</v>
      </c>
      <c r="AM260" s="125">
        <f t="shared" si="6"/>
        <v>16689.708685347035</v>
      </c>
      <c r="AN260" s="125">
        <f t="shared" si="6"/>
        <v>9296.2777089762913</v>
      </c>
      <c r="AO260" s="125">
        <f t="shared" si="6"/>
        <v>7585.2042792069651</v>
      </c>
      <c r="AP260" s="125">
        <f t="shared" si="6"/>
        <v>14938.098369490737</v>
      </c>
      <c r="AQ260" s="125">
        <f t="shared" si="6"/>
        <v>17690.531992173681</v>
      </c>
      <c r="AR260" s="125">
        <f t="shared" si="6"/>
        <v>12148.165269573821</v>
      </c>
      <c r="AS260" s="125">
        <f t="shared" si="6"/>
        <v>28717.221394192715</v>
      </c>
      <c r="AT260" s="125">
        <f t="shared" si="6"/>
        <v>21998.372362250939</v>
      </c>
      <c r="AU260" s="125">
        <f t="shared" si="6"/>
        <v>25987.78617639096</v>
      </c>
      <c r="AV260" s="125">
        <f t="shared" si="6"/>
        <v>16956.56622130319</v>
      </c>
      <c r="AW260" s="125">
        <f t="shared" si="6"/>
        <v>13841.201667431071</v>
      </c>
      <c r="AX260" s="125">
        <f t="shared" si="6"/>
        <v>13925.774033090966</v>
      </c>
      <c r="AY260" s="125">
        <f t="shared" si="6"/>
        <v>27174.549031392038</v>
      </c>
      <c r="AZ260" s="141">
        <f>SUM($D260:$AY260)</f>
        <v>725910.11472382862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199.99999999999997</v>
      </c>
      <c r="E9" s="117">
        <v>199.99999999999997</v>
      </c>
      <c r="F9" s="117">
        <v>199.99999999999997</v>
      </c>
      <c r="G9" s="117">
        <v>199.99999999999997</v>
      </c>
      <c r="H9" s="117">
        <v>160</v>
      </c>
      <c r="I9" s="117">
        <v>160</v>
      </c>
      <c r="J9" s="117">
        <v>160</v>
      </c>
      <c r="K9" s="117">
        <v>160</v>
      </c>
      <c r="L9" s="117">
        <v>199.99999999999997</v>
      </c>
      <c r="M9" s="117">
        <v>199.99999999999997</v>
      </c>
      <c r="N9" s="117">
        <v>199.99999999999997</v>
      </c>
      <c r="O9" s="117">
        <v>199.99999999999997</v>
      </c>
      <c r="P9" s="117">
        <v>199.99999999999997</v>
      </c>
      <c r="Q9" s="117">
        <v>199.99999999999997</v>
      </c>
      <c r="R9" s="117">
        <v>199.99999999999997</v>
      </c>
      <c r="S9" s="117">
        <v>199.99999999999997</v>
      </c>
      <c r="T9" s="117">
        <v>199.99999999999997</v>
      </c>
      <c r="U9" s="117">
        <v>199.99999999999997</v>
      </c>
      <c r="V9" s="117">
        <v>199.99999999999997</v>
      </c>
      <c r="W9" s="117">
        <v>199.99999999999997</v>
      </c>
      <c r="X9" s="117">
        <v>2.6783924707212325E-20</v>
      </c>
      <c r="Y9" s="117">
        <v>2.6783924707212325E-20</v>
      </c>
      <c r="Z9" s="117">
        <v>2.6783924707212325E-20</v>
      </c>
      <c r="AA9" s="117">
        <v>2.6783924707212325E-20</v>
      </c>
      <c r="AB9" s="117">
        <v>79.067575702849851</v>
      </c>
      <c r="AC9" s="117">
        <v>199.99999999999997</v>
      </c>
      <c r="AD9" s="117">
        <v>199.99999999999997</v>
      </c>
      <c r="AE9" s="117">
        <v>199.99999999999997</v>
      </c>
      <c r="AF9" s="117">
        <v>199.99999999999997</v>
      </c>
      <c r="AG9" s="117">
        <v>199.99999999999997</v>
      </c>
      <c r="AH9" s="117">
        <v>199.99999999999997</v>
      </c>
      <c r="AI9" s="117">
        <v>199.99999999999997</v>
      </c>
      <c r="AJ9" s="117">
        <v>199.99999999999997</v>
      </c>
      <c r="AK9" s="117">
        <v>199.99999999999997</v>
      </c>
      <c r="AL9" s="117">
        <v>199.99999999999997</v>
      </c>
      <c r="AM9" s="117">
        <v>199.99999999999997</v>
      </c>
      <c r="AN9" s="117">
        <v>199.99999999999997</v>
      </c>
      <c r="AO9" s="117">
        <v>199.99999999999997</v>
      </c>
      <c r="AP9" s="117">
        <v>199.99999999999997</v>
      </c>
      <c r="AQ9" s="117">
        <v>199.99999999999997</v>
      </c>
      <c r="AR9" s="117">
        <v>199.99999999999997</v>
      </c>
      <c r="AS9" s="117">
        <v>199.99999999999997</v>
      </c>
      <c r="AT9" s="117">
        <v>199.99999999999997</v>
      </c>
      <c r="AU9" s="117">
        <v>199.99999999999997</v>
      </c>
      <c r="AV9" s="117">
        <v>199.99999999999997</v>
      </c>
      <c r="AW9" s="117">
        <v>199.99999999999997</v>
      </c>
      <c r="AX9" s="117">
        <v>199.99999999999997</v>
      </c>
      <c r="AY9" s="117">
        <v>199.99999999999997</v>
      </c>
    </row>
    <row r="10" spans="1:53">
      <c r="A10" s="118" t="s">
        <v>133</v>
      </c>
      <c r="B10" s="119">
        <v>1</v>
      </c>
      <c r="C10" s="106" t="s">
        <v>293</v>
      </c>
      <c r="D10" s="100">
        <v>170.00000000000003</v>
      </c>
      <c r="E10" s="100">
        <v>169.99999999999997</v>
      </c>
      <c r="F10" s="100">
        <v>106.25402740531639</v>
      </c>
      <c r="G10" s="100">
        <v>169.99999999999997</v>
      </c>
      <c r="H10" s="100">
        <v>106.25402740531639</v>
      </c>
      <c r="I10" s="100">
        <v>127.50483288637967</v>
      </c>
      <c r="J10" s="100">
        <v>106.25402740531632</v>
      </c>
      <c r="K10" s="100">
        <v>135.99999999999997</v>
      </c>
      <c r="L10" s="100">
        <v>135.99999999999997</v>
      </c>
      <c r="M10" s="100">
        <v>116.87943014584795</v>
      </c>
      <c r="N10" s="100">
        <v>169.99999999999997</v>
      </c>
      <c r="O10" s="100">
        <v>0</v>
      </c>
      <c r="P10" s="100">
        <v>170.00000000000117</v>
      </c>
      <c r="Q10" s="100">
        <v>169.99999999999997</v>
      </c>
      <c r="R10" s="100">
        <v>170</v>
      </c>
      <c r="S10" s="100">
        <v>169.99999999999997</v>
      </c>
      <c r="T10" s="100">
        <v>170</v>
      </c>
      <c r="U10" s="100">
        <v>169.99999999999997</v>
      </c>
      <c r="V10" s="100">
        <v>170</v>
      </c>
      <c r="W10" s="100">
        <v>169.99999999999997</v>
      </c>
      <c r="X10" s="100">
        <v>170</v>
      </c>
      <c r="Y10" s="100">
        <v>169.99999999999997</v>
      </c>
      <c r="Z10" s="100">
        <v>1.3745433092552688E-20</v>
      </c>
      <c r="AA10" s="100">
        <v>1.3745433092552688E-20</v>
      </c>
      <c r="AB10" s="100">
        <v>1.3745433092552688E-20</v>
      </c>
      <c r="AC10" s="100">
        <v>1.3745433092552688E-20</v>
      </c>
      <c r="AD10" s="100">
        <v>67.207439347422365</v>
      </c>
      <c r="AE10" s="100">
        <v>169.99999999999997</v>
      </c>
      <c r="AF10" s="100">
        <v>169.99999999999997</v>
      </c>
      <c r="AG10" s="100">
        <v>169.99999999999997</v>
      </c>
      <c r="AH10" s="100">
        <v>95.628624664784752</v>
      </c>
      <c r="AI10" s="100">
        <v>127.50483288637967</v>
      </c>
      <c r="AJ10" s="100">
        <v>95.628624664784752</v>
      </c>
      <c r="AK10" s="100">
        <v>127.50483288637967</v>
      </c>
      <c r="AL10" s="100">
        <v>95.628624664784752</v>
      </c>
      <c r="AM10" s="100">
        <v>169.99999999999997</v>
      </c>
      <c r="AN10" s="100">
        <v>169.99999999999997</v>
      </c>
      <c r="AO10" s="100">
        <v>127.50483288637967</v>
      </c>
      <c r="AP10" s="100">
        <v>169.99999999999997</v>
      </c>
      <c r="AQ10" s="100">
        <v>169.99999999999997</v>
      </c>
      <c r="AR10" s="100">
        <v>169.99999999999997</v>
      </c>
      <c r="AS10" s="100">
        <v>169.99999999999997</v>
      </c>
      <c r="AT10" s="100">
        <v>95.628624664784752</v>
      </c>
      <c r="AU10" s="100">
        <v>127.50483288637967</v>
      </c>
      <c r="AV10" s="100">
        <v>95.628624664784752</v>
      </c>
      <c r="AW10" s="100">
        <v>169.99999999999997</v>
      </c>
      <c r="AX10" s="100">
        <v>169.99999999999997</v>
      </c>
      <c r="AY10" s="100">
        <v>169.99999999999997</v>
      </c>
      <c r="AZ10" s="100">
        <v>95.628624664784752</v>
      </c>
    </row>
    <row r="11" spans="1:53">
      <c r="B11" s="119">
        <v>2</v>
      </c>
      <c r="C11" s="106" t="s">
        <v>293</v>
      </c>
      <c r="D11" s="100">
        <v>45.328180910834988</v>
      </c>
      <c r="I11" s="100">
        <v>63.745972594683579</v>
      </c>
      <c r="K11" s="100">
        <v>0</v>
      </c>
      <c r="N11" s="100">
        <v>19.120569854152023</v>
      </c>
      <c r="P11" s="100">
        <v>0</v>
      </c>
      <c r="S11" s="100">
        <v>0</v>
      </c>
      <c r="U11" s="100">
        <v>0</v>
      </c>
      <c r="Y11" s="100">
        <v>0</v>
      </c>
      <c r="Z11" s="100">
        <v>0</v>
      </c>
      <c r="AC11" s="100">
        <v>0</v>
      </c>
      <c r="AD11" s="100">
        <v>0</v>
      </c>
      <c r="AH11" s="100">
        <v>0</v>
      </c>
      <c r="AI11" s="100">
        <v>74.37137533521522</v>
      </c>
      <c r="AJ11" s="100">
        <v>42.495167113620298</v>
      </c>
      <c r="AK11" s="100">
        <v>74.37137533521522</v>
      </c>
      <c r="AM11" s="100">
        <v>0</v>
      </c>
      <c r="AN11" s="100">
        <v>0</v>
      </c>
      <c r="AP11" s="100">
        <v>42.495167113620298</v>
      </c>
      <c r="AQ11" s="100">
        <v>0</v>
      </c>
      <c r="AS11" s="100">
        <v>0</v>
      </c>
      <c r="AT11" s="100">
        <v>0</v>
      </c>
      <c r="AU11" s="100">
        <v>74.37137533521522</v>
      </c>
      <c r="AV11" s="100">
        <v>42.495167113620298</v>
      </c>
      <c r="AW11" s="100">
        <v>74.37137533521522</v>
      </c>
      <c r="AY11" s="100">
        <v>0</v>
      </c>
      <c r="BA11" s="100">
        <v>74.37137533521522</v>
      </c>
    </row>
    <row r="12" spans="1:53">
      <c r="B12" s="120">
        <v>3</v>
      </c>
      <c r="C12" s="106" t="s">
        <v>293</v>
      </c>
      <c r="G12" s="100">
        <v>0</v>
      </c>
      <c r="H12" s="100">
        <v>63.745972594683579</v>
      </c>
      <c r="K12" s="100">
        <v>42.495167113620298</v>
      </c>
      <c r="L12" s="100">
        <v>29.74597259468365</v>
      </c>
      <c r="M12" s="100">
        <v>0</v>
      </c>
      <c r="P12" s="100">
        <v>0</v>
      </c>
      <c r="Y12" s="100">
        <v>0</v>
      </c>
      <c r="AB12" s="100">
        <v>0</v>
      </c>
      <c r="AC12" s="100">
        <v>0</v>
      </c>
      <c r="AM12" s="100">
        <v>42.495167113620298</v>
      </c>
      <c r="AN12" s="100">
        <v>74.37137533521522</v>
      </c>
      <c r="AS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88.005762196590311</v>
      </c>
      <c r="E14" s="117">
        <f t="shared" ref="E14:AZ14" si="0">D$172*SUM(D$122:D$169)</f>
        <v>171.60620211269199</v>
      </c>
      <c r="F14" s="117">
        <f t="shared" si="0"/>
        <v>160.183846251712</v>
      </c>
      <c r="G14" s="117">
        <f t="shared" si="0"/>
        <v>106.22028205987532</v>
      </c>
      <c r="H14" s="117">
        <f t="shared" si="0"/>
        <v>149.99999999999994</v>
      </c>
      <c r="I14" s="117">
        <f t="shared" si="0"/>
        <v>149.99999999999994</v>
      </c>
      <c r="J14" s="117">
        <f t="shared" si="0"/>
        <v>168.7496102510984</v>
      </c>
      <c r="K14" s="117">
        <f t="shared" si="0"/>
        <v>96.176008339679882</v>
      </c>
      <c r="L14" s="117">
        <f t="shared" si="0"/>
        <v>157.49529576844819</v>
      </c>
      <c r="M14" s="117">
        <f t="shared" si="0"/>
        <v>152.05420713046257</v>
      </c>
      <c r="N14" s="117">
        <f t="shared" si="0"/>
        <v>103.13165978724284</v>
      </c>
      <c r="O14" s="117">
        <f t="shared" si="0"/>
        <v>166.87010089399737</v>
      </c>
      <c r="P14" s="117">
        <f t="shared" si="0"/>
        <v>8.6869717575183092</v>
      </c>
      <c r="Q14" s="117">
        <f t="shared" si="0"/>
        <v>150.00000000000099</v>
      </c>
      <c r="R14" s="117">
        <f t="shared" si="0"/>
        <v>149.99999999999994</v>
      </c>
      <c r="S14" s="117">
        <f t="shared" si="0"/>
        <v>155.69223909620146</v>
      </c>
      <c r="T14" s="117">
        <f t="shared" si="0"/>
        <v>149.99999999999994</v>
      </c>
      <c r="U14" s="117">
        <f t="shared" si="0"/>
        <v>151.58545935299637</v>
      </c>
      <c r="V14" s="117">
        <f t="shared" si="0"/>
        <v>158.42582848326688</v>
      </c>
      <c r="W14" s="117">
        <f t="shared" si="0"/>
        <v>149.99999999999991</v>
      </c>
      <c r="X14" s="117">
        <f t="shared" si="0"/>
        <v>156.29032258064507</v>
      </c>
      <c r="Y14" s="117">
        <f t="shared" si="0"/>
        <v>163.98584086400362</v>
      </c>
      <c r="Z14" s="117">
        <f t="shared" si="0"/>
        <v>149.99999999999994</v>
      </c>
      <c r="AA14" s="117">
        <f t="shared" si="0"/>
        <v>6.299125986846672</v>
      </c>
      <c r="AB14" s="117">
        <f t="shared" si="0"/>
        <v>8.8034062015372987E-3</v>
      </c>
      <c r="AC14" s="117">
        <f t="shared" si="0"/>
        <v>8.8034062015372987E-3</v>
      </c>
      <c r="AD14" s="117">
        <f t="shared" si="0"/>
        <v>8.8034062015372987E-3</v>
      </c>
      <c r="AE14" s="117">
        <f t="shared" si="0"/>
        <v>59.30600486340753</v>
      </c>
      <c r="AF14" s="117">
        <f t="shared" si="0"/>
        <v>149.99999999999994</v>
      </c>
      <c r="AG14" s="117">
        <f t="shared" si="0"/>
        <v>149.99999999999994</v>
      </c>
      <c r="AH14" s="117">
        <f t="shared" si="0"/>
        <v>149.99999999999994</v>
      </c>
      <c r="AI14" s="117">
        <f t="shared" si="0"/>
        <v>84.382049536144407</v>
      </c>
      <c r="AJ14" s="117">
        <f t="shared" si="0"/>
        <v>178.12441537664759</v>
      </c>
      <c r="AK14" s="117">
        <f t="shared" si="0"/>
        <v>121.87558462335234</v>
      </c>
      <c r="AL14" s="117">
        <f t="shared" si="0"/>
        <v>178.12441537664759</v>
      </c>
      <c r="AM14" s="117">
        <f t="shared" si="0"/>
        <v>101.87202687952539</v>
      </c>
      <c r="AN14" s="117">
        <f t="shared" si="0"/>
        <v>187.49353508720787</v>
      </c>
      <c r="AO14" s="117">
        <f t="shared" si="0"/>
        <v>215.61795046385552</v>
      </c>
      <c r="AP14" s="117">
        <f t="shared" si="0"/>
        <v>146.3737941844594</v>
      </c>
      <c r="AQ14" s="117">
        <f t="shared" si="0"/>
        <v>187.49353508720787</v>
      </c>
      <c r="AR14" s="117">
        <f t="shared" si="0"/>
        <v>164.9966632708169</v>
      </c>
      <c r="AS14" s="117">
        <f t="shared" si="0"/>
        <v>149.99999999999994</v>
      </c>
      <c r="AT14" s="117">
        <f t="shared" si="0"/>
        <v>161.03617862657381</v>
      </c>
      <c r="AU14" s="117">
        <f t="shared" si="0"/>
        <v>84.382049536144422</v>
      </c>
      <c r="AV14" s="117">
        <f t="shared" si="0"/>
        <v>178.12441537664759</v>
      </c>
      <c r="AW14" s="117">
        <f t="shared" si="0"/>
        <v>145.10108933388011</v>
      </c>
      <c r="AX14" s="117">
        <f t="shared" si="0"/>
        <v>215.61795046385552</v>
      </c>
      <c r="AY14" s="117">
        <f t="shared" si="0"/>
        <v>176.60926475553828</v>
      </c>
      <c r="AZ14" s="110">
        <f t="shared" si="0"/>
        <v>165.66929793834228</v>
      </c>
      <c r="BA14" s="107">
        <f>SUM($E14:$AZ14)</f>
        <v>6485.6796317155458</v>
      </c>
    </row>
    <row r="15" spans="1:53">
      <c r="A15" s="122" t="s">
        <v>123</v>
      </c>
      <c r="B15" s="123">
        <v>1</v>
      </c>
      <c r="C15" s="124" t="s">
        <v>293</v>
      </c>
      <c r="D15" s="124">
        <v>279.99959615827413</v>
      </c>
      <c r="E15" s="124">
        <v>310</v>
      </c>
      <c r="F15" s="124">
        <v>193.76416630083347</v>
      </c>
      <c r="G15" s="124">
        <v>309.99999999999989</v>
      </c>
      <c r="H15" s="124">
        <v>193.76416630083347</v>
      </c>
      <c r="I15" s="124">
        <v>232.51336081977021</v>
      </c>
      <c r="J15" s="124">
        <v>193.76416630083347</v>
      </c>
      <c r="K15" s="124">
        <v>248.00363874122988</v>
      </c>
      <c r="L15" s="124">
        <v>248.00363874122988</v>
      </c>
      <c r="M15" s="124">
        <v>213.13876356030184</v>
      </c>
      <c r="N15" s="124">
        <v>309.99999999999989</v>
      </c>
      <c r="O15" s="124">
        <v>1.8193706149843749E-2</v>
      </c>
      <c r="P15" s="124">
        <v>310.00000000000205</v>
      </c>
      <c r="Q15" s="124">
        <v>309.99999999999989</v>
      </c>
      <c r="R15" s="124">
        <v>309.99999999999983</v>
      </c>
      <c r="S15" s="124">
        <v>309.99999999999989</v>
      </c>
      <c r="T15" s="124">
        <v>309.99999999999983</v>
      </c>
      <c r="U15" s="124">
        <v>309.99999999999989</v>
      </c>
      <c r="V15" s="124">
        <v>309.99999999999983</v>
      </c>
      <c r="W15" s="124">
        <v>309.99999999999989</v>
      </c>
      <c r="X15" s="124">
        <v>309.99999999999983</v>
      </c>
      <c r="Y15" s="124">
        <v>309.99999999999989</v>
      </c>
      <c r="Z15" s="124">
        <v>1.8193706149843749E-2</v>
      </c>
      <c r="AA15" s="124">
        <v>1.8193706149843749E-2</v>
      </c>
      <c r="AB15" s="124">
        <v>1.8193706149843749E-2</v>
      </c>
      <c r="AC15" s="124">
        <v>1.8193706149843749E-2</v>
      </c>
      <c r="AD15" s="124">
        <v>122.56574338437555</v>
      </c>
      <c r="AE15" s="124">
        <v>309.99999999999989</v>
      </c>
      <c r="AF15" s="124">
        <v>309.99999999999989</v>
      </c>
      <c r="AG15" s="124">
        <v>309.99999999999989</v>
      </c>
      <c r="AH15" s="124">
        <v>174.38956904136509</v>
      </c>
      <c r="AI15" s="124">
        <v>232.51336081977021</v>
      </c>
      <c r="AJ15" s="124">
        <v>174.38956904136509</v>
      </c>
      <c r="AK15" s="124">
        <v>232.51336081977021</v>
      </c>
      <c r="AL15" s="124">
        <v>174.38956904136509</v>
      </c>
      <c r="AM15" s="124">
        <v>309.99999999999989</v>
      </c>
      <c r="AN15" s="124">
        <v>309.99999999999989</v>
      </c>
      <c r="AO15" s="124">
        <v>232.51336081977021</v>
      </c>
      <c r="AP15" s="124">
        <v>309.99999999999989</v>
      </c>
      <c r="AQ15" s="124">
        <v>309.99999999999989</v>
      </c>
      <c r="AR15" s="124">
        <v>309.99999999999989</v>
      </c>
      <c r="AS15" s="124">
        <v>309.99999999999989</v>
      </c>
      <c r="AT15" s="124">
        <v>174.38956904136509</v>
      </c>
      <c r="AU15" s="124">
        <v>232.51336081977021</v>
      </c>
      <c r="AV15" s="124">
        <v>174.38956904136509</v>
      </c>
      <c r="AW15" s="124">
        <v>309.99999999999989</v>
      </c>
      <c r="AX15" s="124">
        <v>309.99999999999989</v>
      </c>
      <c r="AY15" s="124">
        <v>309.99999999999989</v>
      </c>
      <c r="AZ15" s="100">
        <v>174.37137533521525</v>
      </c>
    </row>
    <row r="16" spans="1:53">
      <c r="A16" s="110"/>
      <c r="B16" s="119">
        <v>2</v>
      </c>
      <c r="C16" s="109" t="s">
        <v>293</v>
      </c>
      <c r="D16" s="106">
        <v>74.653221541289355</v>
      </c>
      <c r="E16" s="110"/>
      <c r="F16" s="110"/>
      <c r="G16" s="110"/>
      <c r="H16" s="110"/>
      <c r="I16" s="110">
        <v>116.23583369916645</v>
      </c>
      <c r="J16" s="110"/>
      <c r="K16" s="110">
        <v>0</v>
      </c>
      <c r="L16" s="110"/>
      <c r="M16" s="110"/>
      <c r="N16" s="110">
        <v>34.864875180928038</v>
      </c>
      <c r="O16" s="110"/>
      <c r="P16" s="110">
        <v>0</v>
      </c>
      <c r="Q16" s="110"/>
      <c r="R16" s="110"/>
      <c r="S16" s="110">
        <v>0</v>
      </c>
      <c r="T16" s="110"/>
      <c r="U16" s="110">
        <v>0</v>
      </c>
      <c r="V16" s="110"/>
      <c r="W16" s="110"/>
      <c r="X16" s="110"/>
      <c r="Y16" s="110">
        <v>0</v>
      </c>
      <c r="Z16" s="110">
        <v>0</v>
      </c>
      <c r="AA16" s="110"/>
      <c r="AB16" s="110"/>
      <c r="AC16" s="110">
        <v>0</v>
      </c>
      <c r="AD16" s="110">
        <v>0</v>
      </c>
      <c r="AE16" s="110"/>
      <c r="AF16" s="110"/>
      <c r="AG16" s="110"/>
      <c r="AH16" s="110">
        <v>0</v>
      </c>
      <c r="AI16" s="110">
        <v>135.61043095863482</v>
      </c>
      <c r="AJ16" s="110">
        <v>77.486639180229702</v>
      </c>
      <c r="AK16" s="110">
        <v>135.61043095863482</v>
      </c>
      <c r="AL16" s="110"/>
      <c r="AM16" s="110">
        <v>0</v>
      </c>
      <c r="AN16" s="110">
        <v>0</v>
      </c>
      <c r="AO16" s="110"/>
      <c r="AP16" s="110">
        <v>77.486639180229702</v>
      </c>
      <c r="AQ16" s="110">
        <v>0</v>
      </c>
      <c r="AR16" s="110"/>
      <c r="AS16" s="110">
        <v>0</v>
      </c>
      <c r="AT16" s="110">
        <v>0</v>
      </c>
      <c r="AU16" s="110">
        <v>135.61043095863482</v>
      </c>
      <c r="AV16" s="110">
        <v>77.486639180229702</v>
      </c>
      <c r="AW16" s="110">
        <v>135.61043095863482</v>
      </c>
      <c r="AX16" s="110"/>
      <c r="AY16" s="110">
        <v>0</v>
      </c>
      <c r="BA16" s="100">
        <v>135.61043095863482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>
        <v>0</v>
      </c>
      <c r="H17" s="110">
        <v>116.23583369916645</v>
      </c>
      <c r="I17" s="110"/>
      <c r="J17" s="110"/>
      <c r="K17" s="110">
        <v>77.486639180229702</v>
      </c>
      <c r="L17" s="110">
        <v>54.239472440396412</v>
      </c>
      <c r="M17" s="110">
        <v>0</v>
      </c>
      <c r="N17" s="110"/>
      <c r="O17" s="110"/>
      <c r="P17" s="110">
        <v>0</v>
      </c>
      <c r="Q17" s="110"/>
      <c r="R17" s="110"/>
      <c r="S17" s="110"/>
      <c r="T17" s="110"/>
      <c r="U17" s="110"/>
      <c r="V17" s="110"/>
      <c r="W17" s="110"/>
      <c r="X17" s="110"/>
      <c r="Y17" s="110">
        <v>0</v>
      </c>
      <c r="Z17" s="110"/>
      <c r="AA17" s="110"/>
      <c r="AB17" s="110">
        <v>0</v>
      </c>
      <c r="AC17" s="110">
        <v>0</v>
      </c>
      <c r="AD17" s="110"/>
      <c r="AE17" s="110"/>
      <c r="AF17" s="110"/>
      <c r="AG17" s="110"/>
      <c r="AH17" s="110"/>
      <c r="AI17" s="110"/>
      <c r="AJ17" s="110"/>
      <c r="AK17" s="110"/>
      <c r="AL17" s="110"/>
      <c r="AM17" s="110">
        <v>77.486639180229702</v>
      </c>
      <c r="AN17" s="110">
        <v>135.61043095863482</v>
      </c>
      <c r="AO17" s="110"/>
      <c r="AP17" s="110"/>
      <c r="AQ17" s="110"/>
      <c r="AR17" s="110"/>
      <c r="AS17" s="110">
        <v>0</v>
      </c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>
        <v>2.5875935824419685</v>
      </c>
      <c r="AV22" s="110"/>
      <c r="AW22" s="110">
        <v>21.811935281834394</v>
      </c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>
        <v>0</v>
      </c>
      <c r="AV23" s="110"/>
      <c r="AW23" s="110">
        <v>0</v>
      </c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>
        <v>0</v>
      </c>
      <c r="AV30" s="110"/>
      <c r="AW30" s="110">
        <v>0</v>
      </c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>
        <v>0</v>
      </c>
      <c r="AV31" s="110"/>
      <c r="AW31" s="110">
        <v>0</v>
      </c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>
        <v>0</v>
      </c>
      <c r="AV42" s="106"/>
      <c r="AW42" s="106">
        <v>0</v>
      </c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>
        <v>0</v>
      </c>
      <c r="AV43" s="106"/>
      <c r="AW43" s="106">
        <v>0</v>
      </c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>
        <v>0</v>
      </c>
      <c r="AV90" s="110"/>
      <c r="AW90" s="110">
        <v>0</v>
      </c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>
        <v>0</v>
      </c>
      <c r="AV91" s="110"/>
      <c r="AW91" s="110">
        <v>0</v>
      </c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24.399528864276363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199.99999999999997</v>
      </c>
      <c r="E95" s="110">
        <v>199.99999999999997</v>
      </c>
      <c r="F95" s="110">
        <v>199.99999999999997</v>
      </c>
      <c r="G95" s="110">
        <v>199.99999999999997</v>
      </c>
      <c r="H95" s="110">
        <v>160</v>
      </c>
      <c r="I95" s="110">
        <v>160</v>
      </c>
      <c r="J95" s="110">
        <v>160</v>
      </c>
      <c r="K95" s="110">
        <v>160</v>
      </c>
      <c r="L95" s="110">
        <v>199.99999999999997</v>
      </c>
      <c r="M95" s="110">
        <v>199.99999999999997</v>
      </c>
      <c r="N95" s="110">
        <v>199.99999999999997</v>
      </c>
      <c r="O95" s="110">
        <v>199.99999999999997</v>
      </c>
      <c r="P95" s="110">
        <v>199.99999999999997</v>
      </c>
      <c r="Q95" s="110">
        <v>199.99999999999997</v>
      </c>
      <c r="R95" s="110">
        <v>199.99999999999997</v>
      </c>
      <c r="S95" s="110">
        <v>199.99999999999997</v>
      </c>
      <c r="T95" s="110">
        <v>199.99999999999997</v>
      </c>
      <c r="U95" s="110">
        <v>199.99999999999997</v>
      </c>
      <c r="V95" s="110">
        <v>199.99999999999997</v>
      </c>
      <c r="W95" s="110">
        <v>199.99999999999997</v>
      </c>
      <c r="X95" s="110">
        <v>2.6783924707212325E-20</v>
      </c>
      <c r="Y95" s="110">
        <v>2.6783924707212325E-20</v>
      </c>
      <c r="Z95" s="110">
        <v>2.6783924707212325E-20</v>
      </c>
      <c r="AA95" s="110">
        <v>2.6783924707212325E-20</v>
      </c>
      <c r="AB95" s="110">
        <v>79.067575702849851</v>
      </c>
      <c r="AC95" s="110">
        <v>199.99999999999997</v>
      </c>
      <c r="AD95" s="110">
        <v>199.99999999999997</v>
      </c>
      <c r="AE95" s="110">
        <v>199.99999999999997</v>
      </c>
      <c r="AF95" s="110">
        <v>199.99999999999997</v>
      </c>
      <c r="AG95" s="110">
        <v>199.99999999999997</v>
      </c>
      <c r="AH95" s="110">
        <v>199.99999999999997</v>
      </c>
      <c r="AI95" s="110">
        <v>199.99999999999997</v>
      </c>
      <c r="AJ95" s="110">
        <v>199.99999999999997</v>
      </c>
      <c r="AK95" s="110">
        <v>199.99999999999997</v>
      </c>
      <c r="AL95" s="110">
        <v>199.99999999999997</v>
      </c>
      <c r="AM95" s="110">
        <v>199.99999999999997</v>
      </c>
      <c r="AN95" s="110">
        <v>199.99999999999997</v>
      </c>
      <c r="AO95" s="110">
        <v>199.99999999999997</v>
      </c>
      <c r="AP95" s="110">
        <v>199.99999999999997</v>
      </c>
      <c r="AQ95" s="110">
        <v>199.99999999999997</v>
      </c>
      <c r="AR95" s="110">
        <v>199.99999999999997</v>
      </c>
      <c r="AS95" s="110">
        <v>199.99999999999997</v>
      </c>
      <c r="AT95" s="110">
        <v>199.99999999999997</v>
      </c>
      <c r="AU95" s="110">
        <v>199.99999999999997</v>
      </c>
      <c r="AV95" s="110">
        <v>199.99999999999997</v>
      </c>
      <c r="AW95" s="110">
        <v>199.99999999999997</v>
      </c>
      <c r="AX95" s="110">
        <v>199.99999999999997</v>
      </c>
      <c r="AY95" s="110">
        <v>199.99999999999997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6.9999999999999716</v>
      </c>
      <c r="F96" s="110">
        <v>41.999999999999943</v>
      </c>
      <c r="G96" s="110">
        <v>18.999999999999915</v>
      </c>
      <c r="H96" s="110">
        <v>46.999999999999886</v>
      </c>
      <c r="I96" s="110">
        <v>9.9999999999998863</v>
      </c>
      <c r="J96" s="110">
        <v>0</v>
      </c>
      <c r="K96" s="110">
        <v>0</v>
      </c>
      <c r="L96" s="110">
        <v>0</v>
      </c>
      <c r="M96" s="110">
        <v>40.999999999999972</v>
      </c>
      <c r="N96" s="110">
        <v>56.999999999999943</v>
      </c>
      <c r="O96" s="110">
        <v>83.999999999999915</v>
      </c>
      <c r="P96" s="110">
        <v>112.99999999999989</v>
      </c>
      <c r="Q96" s="110">
        <v>157.99999999999986</v>
      </c>
      <c r="R96" s="110">
        <v>199.99999999999997</v>
      </c>
      <c r="S96" s="110">
        <v>199.99999999999997</v>
      </c>
      <c r="T96" s="110">
        <v>199.99999999999997</v>
      </c>
      <c r="U96" s="110">
        <v>199.99999999999997</v>
      </c>
      <c r="V96" s="110">
        <v>199.99999999999997</v>
      </c>
      <c r="W96" s="110">
        <v>199.99999999999997</v>
      </c>
      <c r="X96" s="110">
        <v>199.99999999999997</v>
      </c>
      <c r="Y96" s="110">
        <v>2.6783924707212325E-20</v>
      </c>
      <c r="Z96" s="110">
        <v>2.6783924707212325E-20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22.999999999999972</v>
      </c>
      <c r="AG96" s="110">
        <v>35.999999999999943</v>
      </c>
      <c r="AH96" s="110">
        <v>19.999999999999915</v>
      </c>
      <c r="AI96" s="110">
        <v>27.999999999999886</v>
      </c>
      <c r="AJ96" s="110">
        <v>55.999999999999858</v>
      </c>
      <c r="AK96" s="110">
        <v>36.999999999999829</v>
      </c>
      <c r="AL96" s="110">
        <v>34.999999999999801</v>
      </c>
      <c r="AM96" s="110">
        <v>0</v>
      </c>
      <c r="AN96" s="110">
        <v>0</v>
      </c>
      <c r="AO96" s="110">
        <v>23.999999999999972</v>
      </c>
      <c r="AP96" s="110">
        <v>22.999999999999943</v>
      </c>
      <c r="AQ96" s="110">
        <v>50.999999999999915</v>
      </c>
      <c r="AR96" s="110">
        <v>88.999999999999886</v>
      </c>
      <c r="AS96" s="110">
        <v>128.99999999999986</v>
      </c>
      <c r="AT96" s="110">
        <v>132.99999999999983</v>
      </c>
      <c r="AU96" s="110">
        <v>130.41240641755783</v>
      </c>
      <c r="AV96" s="110">
        <v>79.412406417557804</v>
      </c>
      <c r="AW96" s="110">
        <v>33.600471135723382</v>
      </c>
      <c r="AX96" s="110">
        <v>36.600471135723353</v>
      </c>
      <c r="AY96" s="110">
        <v>31.600471135723325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17.999999999999858</v>
      </c>
      <c r="S97" s="110">
        <v>2.9999999999998295</v>
      </c>
      <c r="T97" s="110">
        <v>23.999999999999801</v>
      </c>
      <c r="U97" s="110">
        <v>66.999999999999773</v>
      </c>
      <c r="V97" s="110">
        <v>79.999999999999744</v>
      </c>
      <c r="W97" s="110">
        <v>99.999999999999716</v>
      </c>
      <c r="X97" s="110">
        <v>103.99999999999969</v>
      </c>
      <c r="Y97" s="110">
        <v>137.99999999999966</v>
      </c>
      <c r="Z97" s="110">
        <v>2.6783924707212325E-20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124.67181908916504</v>
      </c>
      <c r="D100" s="106">
        <v>170.00000000000003</v>
      </c>
      <c r="E100" s="106">
        <v>169.99999999999997</v>
      </c>
      <c r="F100" s="106">
        <v>106.25402740531639</v>
      </c>
      <c r="G100" s="106">
        <v>169.99999999999997</v>
      </c>
      <c r="H100" s="106">
        <v>106.25402740531639</v>
      </c>
      <c r="I100" s="106">
        <v>127.50483288637967</v>
      </c>
      <c r="J100" s="106">
        <v>106.25402740531632</v>
      </c>
      <c r="K100" s="106">
        <v>135.99999999999997</v>
      </c>
      <c r="L100" s="106">
        <v>135.99999999999997</v>
      </c>
      <c r="M100" s="106">
        <v>116.87943014584795</v>
      </c>
      <c r="N100" s="106">
        <v>169.99999999999997</v>
      </c>
      <c r="O100" s="106">
        <v>0</v>
      </c>
      <c r="P100" s="106">
        <v>170.00000000000117</v>
      </c>
      <c r="Q100" s="106">
        <v>169.99999999999997</v>
      </c>
      <c r="R100" s="106">
        <v>170</v>
      </c>
      <c r="S100" s="106">
        <v>169.99999999999997</v>
      </c>
      <c r="T100" s="106">
        <v>170</v>
      </c>
      <c r="U100" s="106">
        <v>169.99999999999997</v>
      </c>
      <c r="V100" s="106">
        <v>170</v>
      </c>
      <c r="W100" s="106">
        <v>169.99999999999997</v>
      </c>
      <c r="X100" s="106">
        <v>170</v>
      </c>
      <c r="Y100" s="106">
        <v>169.99999999999997</v>
      </c>
      <c r="Z100" s="106">
        <v>1.3745433092552688E-20</v>
      </c>
      <c r="AA100" s="106">
        <v>1.3745433092552688E-20</v>
      </c>
      <c r="AB100" s="106">
        <v>1.3745433092552688E-20</v>
      </c>
      <c r="AC100" s="106">
        <v>1.3745433092552688E-20</v>
      </c>
      <c r="AD100" s="106">
        <v>67.207439347422365</v>
      </c>
      <c r="AE100" s="106">
        <v>169.99999999999997</v>
      </c>
      <c r="AF100" s="106">
        <v>169.99999999999997</v>
      </c>
      <c r="AG100" s="106">
        <v>169.99999999999997</v>
      </c>
      <c r="AH100" s="106">
        <v>95.628624664784752</v>
      </c>
      <c r="AI100" s="106">
        <v>127.50483288637967</v>
      </c>
      <c r="AJ100" s="106">
        <v>95.628624664784752</v>
      </c>
      <c r="AK100" s="106">
        <v>127.50483288637967</v>
      </c>
      <c r="AL100" s="106">
        <v>95.628624664784752</v>
      </c>
      <c r="AM100" s="106">
        <v>169.99999999999997</v>
      </c>
      <c r="AN100" s="106">
        <v>169.99999999999997</v>
      </c>
      <c r="AO100" s="106">
        <v>127.50483288637967</v>
      </c>
      <c r="AP100" s="106">
        <v>169.99999999999997</v>
      </c>
      <c r="AQ100" s="106">
        <v>169.99999999999997</v>
      </c>
      <c r="AR100" s="106">
        <v>169.99999999999997</v>
      </c>
      <c r="AS100" s="106">
        <v>169.99999999999997</v>
      </c>
      <c r="AT100" s="106">
        <v>95.628624664784752</v>
      </c>
      <c r="AU100" s="106">
        <v>127.50483288637967</v>
      </c>
      <c r="AV100" s="106">
        <v>95.628624664784752</v>
      </c>
      <c r="AW100" s="106">
        <v>169.99999999999997</v>
      </c>
      <c r="AX100" s="106">
        <v>169.99999999999997</v>
      </c>
      <c r="AY100" s="106">
        <v>169.99999999999997</v>
      </c>
    </row>
    <row r="101" spans="1:52">
      <c r="A101" s="109"/>
      <c r="B101" s="119">
        <v>2</v>
      </c>
      <c r="C101" s="106">
        <v>42.328180910835016</v>
      </c>
      <c r="D101" s="106">
        <v>45.328180910834988</v>
      </c>
      <c r="E101" s="106">
        <v>38.328180910835016</v>
      </c>
      <c r="F101" s="106">
        <v>0</v>
      </c>
      <c r="G101" s="106">
        <v>0</v>
      </c>
      <c r="H101" s="106">
        <v>0</v>
      </c>
      <c r="I101" s="106">
        <v>63.745972594683579</v>
      </c>
      <c r="J101" s="106">
        <v>16.250805481063253</v>
      </c>
      <c r="K101" s="106">
        <v>0</v>
      </c>
      <c r="L101" s="106">
        <v>2.8421709430404007E-14</v>
      </c>
      <c r="M101" s="106">
        <v>0</v>
      </c>
      <c r="N101" s="106">
        <v>19.120569854152023</v>
      </c>
      <c r="O101" s="106">
        <v>0</v>
      </c>
      <c r="P101" s="106">
        <v>0</v>
      </c>
      <c r="Q101" s="106">
        <v>15.000000000001165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12</v>
      </c>
      <c r="X101" s="106">
        <v>0</v>
      </c>
      <c r="Y101" s="106">
        <v>21</v>
      </c>
      <c r="Z101" s="106">
        <v>49.999999999999972</v>
      </c>
      <c r="AA101" s="106">
        <v>1.3745433092552688E-20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74.37137533521522</v>
      </c>
      <c r="AJ101" s="106">
        <v>42.495167113620312</v>
      </c>
      <c r="AK101" s="106">
        <v>74.37137533521522</v>
      </c>
      <c r="AL101" s="106">
        <v>33.876208221594894</v>
      </c>
      <c r="AM101" s="106">
        <v>1.4210854715202004E-14</v>
      </c>
      <c r="AN101" s="106">
        <v>0</v>
      </c>
      <c r="AO101" s="106">
        <v>25.371375335215191</v>
      </c>
      <c r="AP101" s="106">
        <v>42.495167113620298</v>
      </c>
      <c r="AQ101" s="106">
        <v>48.495167113620269</v>
      </c>
      <c r="AR101" s="106">
        <v>36.495167113620226</v>
      </c>
      <c r="AS101" s="106">
        <v>0</v>
      </c>
      <c r="AT101" s="106">
        <v>0</v>
      </c>
      <c r="AU101" s="106">
        <v>74.37137533521522</v>
      </c>
      <c r="AV101" s="106">
        <v>75.371375335215191</v>
      </c>
      <c r="AW101" s="106">
        <v>74.37137533521522</v>
      </c>
      <c r="AX101" s="106">
        <v>82.371375335215191</v>
      </c>
      <c r="AY101" s="106">
        <v>10.371375335215163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63.745972594683579</v>
      </c>
      <c r="I102" s="106">
        <v>0</v>
      </c>
      <c r="J102" s="106">
        <v>0</v>
      </c>
      <c r="K102" s="106">
        <v>42.495167113620298</v>
      </c>
      <c r="L102" s="106">
        <v>29.74597259468365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42.495167113620298</v>
      </c>
      <c r="AN102" s="106">
        <v>74.37137533521522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151.99423780340976</v>
      </c>
      <c r="D109" s="106">
        <v>88.005762196590311</v>
      </c>
      <c r="E109" s="106">
        <v>171.60620211269199</v>
      </c>
      <c r="F109" s="106">
        <v>160.183846251712</v>
      </c>
      <c r="G109" s="106">
        <v>106.22028205987532</v>
      </c>
      <c r="H109" s="106">
        <v>149.99999999999994</v>
      </c>
      <c r="I109" s="106">
        <v>149.99999999999994</v>
      </c>
      <c r="J109" s="106">
        <v>168.7496102510984</v>
      </c>
      <c r="K109" s="106">
        <v>96.176008339679882</v>
      </c>
      <c r="L109" s="106">
        <v>157.49529576844819</v>
      </c>
      <c r="M109" s="106">
        <v>152.05420713046257</v>
      </c>
      <c r="N109" s="106">
        <v>103.13165978724284</v>
      </c>
      <c r="O109" s="106">
        <v>166.87010089399737</v>
      </c>
      <c r="P109" s="106">
        <v>8.6869717575183092</v>
      </c>
      <c r="Q109" s="106">
        <v>150.00000000000099</v>
      </c>
      <c r="R109" s="106">
        <v>149.99999999999994</v>
      </c>
      <c r="S109" s="106">
        <v>155.69223909620146</v>
      </c>
      <c r="T109" s="106">
        <v>149.99999999999994</v>
      </c>
      <c r="U109" s="106">
        <v>151.58545935299637</v>
      </c>
      <c r="V109" s="106">
        <v>158.42582848326688</v>
      </c>
      <c r="W109" s="106">
        <v>149.99999999999991</v>
      </c>
      <c r="X109" s="106">
        <v>156.29032258064507</v>
      </c>
      <c r="Y109" s="106">
        <v>163.98584086400362</v>
      </c>
      <c r="Z109" s="106">
        <v>149.99999999999994</v>
      </c>
      <c r="AA109" s="106">
        <v>6.299125986846672</v>
      </c>
      <c r="AB109" s="106">
        <v>8.8034062015372987E-3</v>
      </c>
      <c r="AC109" s="106">
        <v>8.8034062015372987E-3</v>
      </c>
      <c r="AD109" s="106">
        <v>8.8034062015372987E-3</v>
      </c>
      <c r="AE109" s="106">
        <v>59.30600486340753</v>
      </c>
      <c r="AF109" s="106">
        <v>149.99999999999994</v>
      </c>
      <c r="AG109" s="106">
        <v>149.99999999999994</v>
      </c>
      <c r="AH109" s="106">
        <v>149.99999999999994</v>
      </c>
      <c r="AI109" s="106">
        <v>84.382049536144407</v>
      </c>
      <c r="AJ109" s="106">
        <v>178.12441537664759</v>
      </c>
      <c r="AK109" s="106">
        <v>121.87558462335234</v>
      </c>
      <c r="AL109" s="106">
        <v>178.12441537664759</v>
      </c>
      <c r="AM109" s="106">
        <v>101.87202687952539</v>
      </c>
      <c r="AN109" s="106">
        <v>187.49353508720787</v>
      </c>
      <c r="AO109" s="106">
        <v>215.61795046385552</v>
      </c>
      <c r="AP109" s="106">
        <v>146.3737941844594</v>
      </c>
      <c r="AQ109" s="106">
        <v>187.49353508720787</v>
      </c>
      <c r="AR109" s="106">
        <v>164.9966632708169</v>
      </c>
      <c r="AS109" s="106">
        <v>149.99999999999994</v>
      </c>
      <c r="AT109" s="106">
        <v>161.03617862657381</v>
      </c>
      <c r="AU109" s="106">
        <v>84.382049536144422</v>
      </c>
      <c r="AV109" s="106">
        <v>178.12441537664759</v>
      </c>
      <c r="AW109" s="106">
        <v>145.10108933388011</v>
      </c>
      <c r="AX109" s="106">
        <v>215.61795046385552</v>
      </c>
      <c r="AY109" s="106">
        <v>176.60926475553828</v>
      </c>
    </row>
    <row r="110" spans="1:52">
      <c r="A110" s="109"/>
      <c r="B110" s="119">
        <v>2</v>
      </c>
      <c r="C110" s="106">
        <v>14.999799256266343</v>
      </c>
      <c r="D110" s="106">
        <v>49.360538689914009</v>
      </c>
      <c r="E110" s="106">
        <v>31.36630088650432</v>
      </c>
      <c r="F110" s="106">
        <v>92.867483620279032</v>
      </c>
      <c r="G110" s="106">
        <v>110.85245310751704</v>
      </c>
      <c r="H110" s="106">
        <v>97.072735167392352</v>
      </c>
      <c r="I110" s="106">
        <v>104.41677948872194</v>
      </c>
      <c r="J110" s="106">
        <v>102.41677948872189</v>
      </c>
      <c r="K110" s="106">
        <v>158.41494455446554</v>
      </c>
      <c r="L110" s="106">
        <v>96.176008339679882</v>
      </c>
      <c r="M110" s="106">
        <v>128.10677078989187</v>
      </c>
      <c r="N110" s="106">
        <v>152.05420713046257</v>
      </c>
      <c r="O110" s="106">
        <v>103.13165978724284</v>
      </c>
      <c r="P110" s="106">
        <v>135.45640797826758</v>
      </c>
      <c r="Q110" s="106">
        <v>8.6869717575183092</v>
      </c>
      <c r="R110" s="106">
        <v>52.907340534603463</v>
      </c>
      <c r="S110" s="106">
        <v>63.527330332987248</v>
      </c>
      <c r="T110" s="106">
        <v>57.496185425381412</v>
      </c>
      <c r="U110" s="106">
        <v>49.218407647603584</v>
      </c>
      <c r="V110" s="106">
        <v>83.426538423509186</v>
      </c>
      <c r="W110" s="106">
        <v>86.852366906776069</v>
      </c>
      <c r="X110" s="106">
        <v>93.046760606362199</v>
      </c>
      <c r="Y110" s="106">
        <v>74.337083187007266</v>
      </c>
      <c r="Z110" s="106">
        <v>84.322924051010887</v>
      </c>
      <c r="AA110" s="106">
        <v>71.32292405101083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7.3679162642347933</v>
      </c>
      <c r="AH110" s="106">
        <v>0</v>
      </c>
      <c r="AI110" s="106">
        <v>0</v>
      </c>
      <c r="AJ110" s="106">
        <v>0</v>
      </c>
      <c r="AK110" s="106">
        <v>2.9041295934202651</v>
      </c>
      <c r="AL110" s="106">
        <v>0</v>
      </c>
      <c r="AM110" s="106">
        <v>13.935292431765617</v>
      </c>
      <c r="AN110" s="106">
        <v>0</v>
      </c>
      <c r="AO110" s="106">
        <v>67.493535087207874</v>
      </c>
      <c r="AP110" s="106">
        <v>134.30918700177281</v>
      </c>
      <c r="AQ110" s="106">
        <v>146.3737941844594</v>
      </c>
      <c r="AR110" s="106">
        <v>187.49353508720787</v>
      </c>
      <c r="AS110" s="106">
        <v>164.9966632708169</v>
      </c>
      <c r="AT110" s="106">
        <v>149.99999999999994</v>
      </c>
      <c r="AU110" s="106">
        <v>161.03617862657381</v>
      </c>
      <c r="AV110" s="106">
        <v>84.382049536144422</v>
      </c>
      <c r="AW110" s="106">
        <v>178.12441537664759</v>
      </c>
      <c r="AX110" s="106">
        <v>145.10108933388011</v>
      </c>
      <c r="AY110" s="106">
        <v>215.03567303428213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5.4222126227838316</v>
      </c>
      <c r="M111" s="106">
        <v>0</v>
      </c>
      <c r="N111" s="106">
        <v>11.460333194107349</v>
      </c>
      <c r="O111" s="106">
        <v>27.454647297027364</v>
      </c>
      <c r="P111" s="106">
        <v>0</v>
      </c>
      <c r="Q111" s="106">
        <v>3.4564079782675776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1.3091870017728127</v>
      </c>
      <c r="AR111" s="106">
        <v>7.6829811862322117</v>
      </c>
      <c r="AS111" s="106">
        <v>62.984618768359439</v>
      </c>
      <c r="AT111" s="106">
        <v>68.566543698129692</v>
      </c>
      <c r="AU111" s="106">
        <v>104.16936541972404</v>
      </c>
      <c r="AV111" s="106">
        <v>82.205544046297859</v>
      </c>
      <c r="AW111" s="106">
        <v>3.1922178598989035</v>
      </c>
      <c r="AX111" s="106">
        <v>19.316633236546494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205.34677845871073</v>
      </c>
      <c r="D122" s="106">
        <v>279.99959615827413</v>
      </c>
      <c r="E122" s="106">
        <v>310</v>
      </c>
      <c r="F122" s="106">
        <v>193.76416630083347</v>
      </c>
      <c r="G122" s="106">
        <v>309.99999999999989</v>
      </c>
      <c r="H122" s="106">
        <v>193.76416630083347</v>
      </c>
      <c r="I122" s="106">
        <v>232.51336081977021</v>
      </c>
      <c r="J122" s="106">
        <v>193.76416630083347</v>
      </c>
      <c r="K122" s="106">
        <v>248.00363874122988</v>
      </c>
      <c r="L122" s="106">
        <v>248.00363874122988</v>
      </c>
      <c r="M122" s="106">
        <v>213.13876356030184</v>
      </c>
      <c r="N122" s="106">
        <v>309.99999999999989</v>
      </c>
      <c r="O122" s="106">
        <v>1.8193706149843749E-2</v>
      </c>
      <c r="P122" s="106">
        <v>310.00000000000205</v>
      </c>
      <c r="Q122" s="106">
        <v>309.99999999999989</v>
      </c>
      <c r="R122" s="106">
        <v>309.99999999999983</v>
      </c>
      <c r="S122" s="106">
        <v>309.99999999999989</v>
      </c>
      <c r="T122" s="106">
        <v>309.99999999999983</v>
      </c>
      <c r="U122" s="106">
        <v>309.99999999999989</v>
      </c>
      <c r="V122" s="106">
        <v>309.99999999999983</v>
      </c>
      <c r="W122" s="106">
        <v>309.99999999999989</v>
      </c>
      <c r="X122" s="106">
        <v>309.99999999999983</v>
      </c>
      <c r="Y122" s="106">
        <v>309.99999999999989</v>
      </c>
      <c r="Z122" s="106">
        <v>1.8193706149843749E-2</v>
      </c>
      <c r="AA122" s="106">
        <v>1.8193706149843749E-2</v>
      </c>
      <c r="AB122" s="106">
        <v>1.8193706149843749E-2</v>
      </c>
      <c r="AC122" s="106">
        <v>1.8193706149843749E-2</v>
      </c>
      <c r="AD122" s="106">
        <v>122.56574338437555</v>
      </c>
      <c r="AE122" s="106">
        <v>309.99999999999989</v>
      </c>
      <c r="AF122" s="106">
        <v>309.99999999999989</v>
      </c>
      <c r="AG122" s="106">
        <v>309.99999999999989</v>
      </c>
      <c r="AH122" s="106">
        <v>174.38956904136509</v>
      </c>
      <c r="AI122" s="106">
        <v>232.51336081977021</v>
      </c>
      <c r="AJ122" s="106">
        <v>174.38956904136509</v>
      </c>
      <c r="AK122" s="106">
        <v>232.51336081977021</v>
      </c>
      <c r="AL122" s="106">
        <v>174.38956904136509</v>
      </c>
      <c r="AM122" s="106">
        <v>309.99999999999989</v>
      </c>
      <c r="AN122" s="106">
        <v>309.99999999999989</v>
      </c>
      <c r="AO122" s="106">
        <v>232.51336081977021</v>
      </c>
      <c r="AP122" s="106">
        <v>309.99999999999989</v>
      </c>
      <c r="AQ122" s="106">
        <v>309.99999999999989</v>
      </c>
      <c r="AR122" s="106">
        <v>309.99999999999989</v>
      </c>
      <c r="AS122" s="106">
        <v>309.99999999999989</v>
      </c>
      <c r="AT122" s="106">
        <v>174.38956904136509</v>
      </c>
      <c r="AU122" s="106">
        <v>232.51336081977021</v>
      </c>
      <c r="AV122" s="106">
        <v>174.38956904136509</v>
      </c>
      <c r="AW122" s="106">
        <v>309.99999999999989</v>
      </c>
      <c r="AX122" s="106">
        <v>309.99999999999989</v>
      </c>
      <c r="AY122" s="106">
        <v>309.99999999999989</v>
      </c>
    </row>
    <row r="123" spans="1:52">
      <c r="A123" s="109"/>
      <c r="B123" s="119">
        <v>2</v>
      </c>
      <c r="C123" s="106">
        <v>0</v>
      </c>
      <c r="D123" s="106">
        <v>74.653221541289355</v>
      </c>
      <c r="E123" s="106">
        <v>21.046615586871468</v>
      </c>
      <c r="F123" s="106">
        <v>25.757749956242179</v>
      </c>
      <c r="G123" s="106">
        <v>0</v>
      </c>
      <c r="H123" s="106">
        <v>0</v>
      </c>
      <c r="I123" s="106">
        <v>116.23583369916646</v>
      </c>
      <c r="J123" s="106">
        <v>4.9995842678382871</v>
      </c>
      <c r="K123" s="106">
        <v>0</v>
      </c>
      <c r="L123" s="106">
        <v>12.002250221329689</v>
      </c>
      <c r="M123" s="106">
        <v>2.8421709430404007E-14</v>
      </c>
      <c r="N123" s="106">
        <v>34.864875180928038</v>
      </c>
      <c r="O123" s="106">
        <v>17.934881259387993</v>
      </c>
      <c r="P123" s="106">
        <v>4.7011006198971472E-16</v>
      </c>
      <c r="Q123" s="106">
        <v>0</v>
      </c>
      <c r="R123" s="106">
        <v>11.763960798816527</v>
      </c>
      <c r="S123" s="106">
        <v>0</v>
      </c>
      <c r="T123" s="106">
        <v>3.2766159961926462</v>
      </c>
      <c r="U123" s="106">
        <v>17.413378865418338</v>
      </c>
      <c r="V123" s="106">
        <v>0</v>
      </c>
      <c r="W123" s="106">
        <v>12.999999999999915</v>
      </c>
      <c r="X123" s="106">
        <v>28.904071118940948</v>
      </c>
      <c r="Y123" s="106">
        <v>0</v>
      </c>
      <c r="Z123" s="106">
        <v>12.999999999999943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135.61043095863482</v>
      </c>
      <c r="AJ123" s="106">
        <v>77.486639180229716</v>
      </c>
      <c r="AK123" s="106">
        <v>135.61043095863482</v>
      </c>
      <c r="AL123" s="106">
        <v>36.145953176320731</v>
      </c>
      <c r="AM123" s="106">
        <v>0</v>
      </c>
      <c r="AN123" s="106">
        <v>0</v>
      </c>
      <c r="AO123" s="106">
        <v>69.992480494779201</v>
      </c>
      <c r="AP123" s="106">
        <v>77.486639180229716</v>
      </c>
      <c r="AQ123" s="106">
        <v>30.993104093021714</v>
      </c>
      <c r="AR123" s="106">
        <v>0</v>
      </c>
      <c r="AS123" s="106">
        <v>22.808102494919297</v>
      </c>
      <c r="AT123" s="106">
        <v>2.8421709430404007E-14</v>
      </c>
      <c r="AU123" s="106">
        <v>135.61043095863482</v>
      </c>
      <c r="AV123" s="106">
        <v>125.48601558198713</v>
      </c>
      <c r="AW123" s="106">
        <v>135.61043095863482</v>
      </c>
      <c r="AX123" s="106">
        <v>54.992480494779201</v>
      </c>
      <c r="AY123" s="106">
        <v>32.383215739240825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116.23583369916645</v>
      </c>
      <c r="I124" s="106">
        <v>0</v>
      </c>
      <c r="J124" s="106">
        <v>0</v>
      </c>
      <c r="K124" s="106">
        <v>77.486639180229702</v>
      </c>
      <c r="L124" s="106">
        <v>54.239472440396412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77.486639180229702</v>
      </c>
      <c r="AN124" s="106">
        <v>135.61043095863482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0.42857142857142855</v>
      </c>
      <c r="D172" s="134">
        <v>0.4838709677419355</v>
      </c>
      <c r="E172" s="134">
        <v>0.4838709677419355</v>
      </c>
      <c r="F172" s="134">
        <v>0.4838709677419355</v>
      </c>
      <c r="G172" s="134">
        <v>0.4838709677419355</v>
      </c>
      <c r="H172" s="134">
        <v>0.4838709677419355</v>
      </c>
      <c r="I172" s="134">
        <v>0.4838709677419355</v>
      </c>
      <c r="J172" s="134">
        <v>0.4838709677419355</v>
      </c>
      <c r="K172" s="134">
        <v>0.4838709677419355</v>
      </c>
      <c r="L172" s="134">
        <v>0.4838709677419355</v>
      </c>
      <c r="M172" s="134">
        <v>0.4838709677419355</v>
      </c>
      <c r="N172" s="134">
        <v>0.4838709677419355</v>
      </c>
      <c r="O172" s="134">
        <v>0.4838709677419355</v>
      </c>
      <c r="P172" s="134">
        <v>0.4838709677419355</v>
      </c>
      <c r="Q172" s="134">
        <v>0.4838709677419355</v>
      </c>
      <c r="R172" s="134">
        <v>0.4838709677419355</v>
      </c>
      <c r="S172" s="134">
        <v>0.4838709677419355</v>
      </c>
      <c r="T172" s="134">
        <v>0.4838709677419355</v>
      </c>
      <c r="U172" s="134">
        <v>0.4838709677419355</v>
      </c>
      <c r="V172" s="134">
        <v>0.4838709677419355</v>
      </c>
      <c r="W172" s="134">
        <v>0.4838709677419355</v>
      </c>
      <c r="X172" s="134">
        <v>0.4838709677419355</v>
      </c>
      <c r="Y172" s="134">
        <v>0.4838709677419355</v>
      </c>
      <c r="Z172" s="134">
        <v>0.4838709677419355</v>
      </c>
      <c r="AA172" s="134">
        <v>0.4838709677419355</v>
      </c>
      <c r="AB172" s="134">
        <v>0.4838709677419355</v>
      </c>
      <c r="AC172" s="134">
        <v>0.4838709677419355</v>
      </c>
      <c r="AD172" s="134">
        <v>0.4838709677419355</v>
      </c>
      <c r="AE172" s="134">
        <v>0.4838709677419355</v>
      </c>
      <c r="AF172" s="134">
        <v>0.4838709677419355</v>
      </c>
      <c r="AG172" s="134">
        <v>0.4838709677419355</v>
      </c>
      <c r="AH172" s="134">
        <v>0.4838709677419355</v>
      </c>
      <c r="AI172" s="134">
        <v>0.4838709677419355</v>
      </c>
      <c r="AJ172" s="134">
        <v>0.4838709677419355</v>
      </c>
      <c r="AK172" s="134">
        <v>0.4838709677419355</v>
      </c>
      <c r="AL172" s="134">
        <v>0.4838709677419355</v>
      </c>
      <c r="AM172" s="134">
        <v>0.4838709677419355</v>
      </c>
      <c r="AN172" s="134">
        <v>0.4838709677419355</v>
      </c>
      <c r="AO172" s="134">
        <v>0.4838709677419355</v>
      </c>
      <c r="AP172" s="134">
        <v>0.4838709677419355</v>
      </c>
      <c r="AQ172" s="134">
        <v>0.4838709677419355</v>
      </c>
      <c r="AR172" s="134">
        <v>0.4838709677419355</v>
      </c>
      <c r="AS172" s="134">
        <v>0.4838709677419355</v>
      </c>
      <c r="AT172" s="134">
        <v>0.4838709677419355</v>
      </c>
      <c r="AU172" s="134">
        <v>0.4838709677419355</v>
      </c>
      <c r="AV172" s="134">
        <v>0.4838709677419355</v>
      </c>
      <c r="AW172" s="134">
        <v>0.4838709677419355</v>
      </c>
      <c r="AX172" s="134">
        <v>0.4838709677419355</v>
      </c>
      <c r="AY172" s="134">
        <v>0.4838709677419355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199.99999999999997</v>
      </c>
      <c r="E175" s="124">
        <f t="shared" si="1"/>
        <v>206.99999999999994</v>
      </c>
      <c r="F175" s="124">
        <f t="shared" si="1"/>
        <v>241.99999999999991</v>
      </c>
      <c r="G175" s="124">
        <f t="shared" si="1"/>
        <v>218.99999999999989</v>
      </c>
      <c r="H175" s="124">
        <f t="shared" si="1"/>
        <v>206.99999999999989</v>
      </c>
      <c r="I175" s="124">
        <f t="shared" si="1"/>
        <v>169.99999999999989</v>
      </c>
      <c r="J175" s="124">
        <f t="shared" si="1"/>
        <v>160</v>
      </c>
      <c r="K175" s="124">
        <f t="shared" si="1"/>
        <v>160</v>
      </c>
      <c r="L175" s="124">
        <f t="shared" si="1"/>
        <v>199.99999999999997</v>
      </c>
      <c r="M175" s="124">
        <f t="shared" si="1"/>
        <v>240.99999999999994</v>
      </c>
      <c r="N175" s="124">
        <f t="shared" si="1"/>
        <v>256.99999999999989</v>
      </c>
      <c r="O175" s="124">
        <f t="shared" si="1"/>
        <v>283.99999999999989</v>
      </c>
      <c r="P175" s="124">
        <f t="shared" si="1"/>
        <v>312.99999999999989</v>
      </c>
      <c r="Q175" s="124">
        <f t="shared" si="1"/>
        <v>357.99999999999983</v>
      </c>
      <c r="R175" s="124">
        <f t="shared" si="1"/>
        <v>417.99999999999977</v>
      </c>
      <c r="S175" s="124">
        <f t="shared" si="1"/>
        <v>402.99999999999977</v>
      </c>
      <c r="T175" s="124">
        <f t="shared" si="1"/>
        <v>423.99999999999977</v>
      </c>
      <c r="U175" s="124">
        <f t="shared" si="1"/>
        <v>466.99999999999972</v>
      </c>
      <c r="V175" s="124">
        <f t="shared" si="1"/>
        <v>479.99999999999966</v>
      </c>
      <c r="W175" s="124">
        <f t="shared" si="1"/>
        <v>499.99999999999966</v>
      </c>
      <c r="X175" s="124">
        <f t="shared" si="1"/>
        <v>303.99999999999966</v>
      </c>
      <c r="Y175" s="124">
        <f t="shared" si="1"/>
        <v>137.99999999999966</v>
      </c>
      <c r="Z175" s="124">
        <f t="shared" si="1"/>
        <v>8.035177412163698E-20</v>
      </c>
      <c r="AA175" s="124">
        <f t="shared" si="1"/>
        <v>2.6783924707212325E-20</v>
      </c>
      <c r="AB175" s="124">
        <f t="shared" si="1"/>
        <v>79.067575702849851</v>
      </c>
      <c r="AC175" s="124">
        <f t="shared" si="1"/>
        <v>199.99999999999997</v>
      </c>
      <c r="AD175" s="124">
        <f t="shared" si="1"/>
        <v>199.99999999999997</v>
      </c>
      <c r="AE175" s="124">
        <f t="shared" si="1"/>
        <v>199.99999999999997</v>
      </c>
      <c r="AF175" s="124">
        <f t="shared" si="1"/>
        <v>222.99999999999994</v>
      </c>
      <c r="AG175" s="124">
        <f t="shared" si="1"/>
        <v>235.99999999999991</v>
      </c>
      <c r="AH175" s="124">
        <f t="shared" si="1"/>
        <v>219.99999999999989</v>
      </c>
      <c r="AI175" s="124">
        <f t="shared" si="1"/>
        <v>227.99999999999986</v>
      </c>
      <c r="AJ175" s="124">
        <f t="shared" si="1"/>
        <v>255.99999999999983</v>
      </c>
      <c r="AK175" s="124">
        <f t="shared" si="1"/>
        <v>236.9999999999998</v>
      </c>
      <c r="AL175" s="124">
        <f t="shared" si="1"/>
        <v>234.99999999999977</v>
      </c>
      <c r="AM175" s="124">
        <f t="shared" si="1"/>
        <v>199.99999999999997</v>
      </c>
      <c r="AN175" s="124">
        <f t="shared" si="1"/>
        <v>199.99999999999997</v>
      </c>
      <c r="AO175" s="124">
        <f t="shared" si="1"/>
        <v>223.99999999999994</v>
      </c>
      <c r="AP175" s="124">
        <f t="shared" si="1"/>
        <v>222.99999999999991</v>
      </c>
      <c r="AQ175" s="124">
        <f t="shared" si="1"/>
        <v>250.99999999999989</v>
      </c>
      <c r="AR175" s="124">
        <f t="shared" si="1"/>
        <v>288.99999999999989</v>
      </c>
      <c r="AS175" s="124">
        <f t="shared" si="1"/>
        <v>328.99999999999983</v>
      </c>
      <c r="AT175" s="124">
        <f t="shared" si="1"/>
        <v>332.99999999999977</v>
      </c>
      <c r="AU175" s="124">
        <f t="shared" si="1"/>
        <v>330.4124064175578</v>
      </c>
      <c r="AV175" s="124">
        <f t="shared" si="1"/>
        <v>279.4124064175578</v>
      </c>
      <c r="AW175" s="124">
        <f t="shared" si="1"/>
        <v>233.60047113572335</v>
      </c>
      <c r="AX175" s="124">
        <f t="shared" si="1"/>
        <v>236.60047113572332</v>
      </c>
      <c r="AY175" s="124">
        <f t="shared" si="1"/>
        <v>231.6004711357233</v>
      </c>
    </row>
    <row r="176" spans="1:52">
      <c r="A176" s="125"/>
      <c r="B176" s="136" t="s">
        <v>299</v>
      </c>
      <c r="C176" s="125" t="s">
        <v>293</v>
      </c>
      <c r="D176" s="125">
        <v>193</v>
      </c>
      <c r="E176" s="125">
        <v>165</v>
      </c>
      <c r="F176" s="125">
        <v>223</v>
      </c>
      <c r="G176" s="125">
        <v>172</v>
      </c>
      <c r="H176" s="125">
        <v>197</v>
      </c>
      <c r="I176" s="125">
        <v>169.99999999999989</v>
      </c>
      <c r="J176" s="125">
        <v>160</v>
      </c>
      <c r="K176" s="125">
        <v>160</v>
      </c>
      <c r="L176" s="125">
        <v>159</v>
      </c>
      <c r="M176" s="125">
        <v>184</v>
      </c>
      <c r="N176" s="125">
        <v>173</v>
      </c>
      <c r="O176" s="125">
        <v>171</v>
      </c>
      <c r="P176" s="125">
        <v>155</v>
      </c>
      <c r="Q176" s="125">
        <v>140</v>
      </c>
      <c r="R176" s="125">
        <v>215</v>
      </c>
      <c r="S176" s="125">
        <v>179</v>
      </c>
      <c r="T176" s="125">
        <v>157</v>
      </c>
      <c r="U176" s="125">
        <v>187</v>
      </c>
      <c r="V176" s="125">
        <v>180</v>
      </c>
      <c r="W176" s="125">
        <v>196</v>
      </c>
      <c r="X176" s="125">
        <v>166</v>
      </c>
      <c r="Y176" s="125">
        <v>137.99999999999966</v>
      </c>
      <c r="Z176" s="125">
        <v>8.035177412163698E-20</v>
      </c>
      <c r="AA176" s="125">
        <v>2.6783924707212325E-20</v>
      </c>
      <c r="AB176" s="125">
        <v>79.067575702849851</v>
      </c>
      <c r="AC176" s="125">
        <v>199.99999999999997</v>
      </c>
      <c r="AD176" s="125">
        <v>199.99999999999997</v>
      </c>
      <c r="AE176" s="125">
        <v>177</v>
      </c>
      <c r="AF176" s="125">
        <v>187</v>
      </c>
      <c r="AG176" s="125">
        <v>216</v>
      </c>
      <c r="AH176" s="125">
        <v>192</v>
      </c>
      <c r="AI176" s="125">
        <v>172</v>
      </c>
      <c r="AJ176" s="125">
        <v>219</v>
      </c>
      <c r="AK176" s="125">
        <v>202</v>
      </c>
      <c r="AL176" s="125">
        <v>234.99999999999977</v>
      </c>
      <c r="AM176" s="125">
        <v>199.99999999999997</v>
      </c>
      <c r="AN176" s="125">
        <v>176</v>
      </c>
      <c r="AO176" s="125">
        <v>201</v>
      </c>
      <c r="AP176" s="125">
        <v>172</v>
      </c>
      <c r="AQ176" s="125">
        <v>162</v>
      </c>
      <c r="AR176" s="125">
        <v>160</v>
      </c>
      <c r="AS176" s="125">
        <v>196</v>
      </c>
      <c r="AT176" s="125">
        <v>200</v>
      </c>
      <c r="AU176" s="125">
        <v>251</v>
      </c>
      <c r="AV176" s="125">
        <v>224</v>
      </c>
      <c r="AW176" s="125">
        <v>197</v>
      </c>
      <c r="AX176" s="125">
        <v>205</v>
      </c>
      <c r="AY176" s="125">
        <v>201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215.32818091083502</v>
      </c>
      <c r="E177" s="124">
        <f t="shared" si="2"/>
        <v>208.32818091083499</v>
      </c>
      <c r="F177" s="124">
        <f t="shared" si="2"/>
        <v>106.25402740531639</v>
      </c>
      <c r="G177" s="124">
        <f t="shared" si="2"/>
        <v>169.99999999999997</v>
      </c>
      <c r="H177" s="124">
        <f t="shared" si="2"/>
        <v>169.99999999999997</v>
      </c>
      <c r="I177" s="124">
        <f t="shared" si="2"/>
        <v>191.25080548106325</v>
      </c>
      <c r="J177" s="124">
        <f t="shared" si="2"/>
        <v>122.50483288637957</v>
      </c>
      <c r="K177" s="124">
        <f t="shared" si="2"/>
        <v>178.49516711362025</v>
      </c>
      <c r="L177" s="124">
        <f t="shared" si="2"/>
        <v>165.74597259468365</v>
      </c>
      <c r="M177" s="124">
        <f t="shared" si="2"/>
        <v>116.87943014584795</v>
      </c>
      <c r="N177" s="124">
        <f t="shared" si="2"/>
        <v>189.120569854152</v>
      </c>
      <c r="O177" s="124">
        <f t="shared" si="2"/>
        <v>0</v>
      </c>
      <c r="P177" s="124">
        <f t="shared" si="2"/>
        <v>170.00000000000117</v>
      </c>
      <c r="Q177" s="124">
        <f t="shared" si="2"/>
        <v>185.00000000000114</v>
      </c>
      <c r="R177" s="124">
        <f t="shared" si="2"/>
        <v>170</v>
      </c>
      <c r="S177" s="124">
        <f t="shared" si="2"/>
        <v>169.99999999999997</v>
      </c>
      <c r="T177" s="124">
        <f t="shared" si="2"/>
        <v>170</v>
      </c>
      <c r="U177" s="124">
        <f t="shared" si="2"/>
        <v>169.99999999999997</v>
      </c>
      <c r="V177" s="124">
        <f t="shared" si="2"/>
        <v>170</v>
      </c>
      <c r="W177" s="124">
        <f t="shared" si="2"/>
        <v>181.99999999999997</v>
      </c>
      <c r="X177" s="124">
        <f t="shared" si="2"/>
        <v>170</v>
      </c>
      <c r="Y177" s="124">
        <f t="shared" si="2"/>
        <v>190.99999999999997</v>
      </c>
      <c r="Z177" s="124">
        <f t="shared" si="2"/>
        <v>49.999999999999972</v>
      </c>
      <c r="AA177" s="124">
        <f t="shared" si="2"/>
        <v>2.7490866185105377E-20</v>
      </c>
      <c r="AB177" s="124">
        <f t="shared" si="2"/>
        <v>1.3745433092552688E-20</v>
      </c>
      <c r="AC177" s="124">
        <f t="shared" si="2"/>
        <v>1.3745433092552688E-20</v>
      </c>
      <c r="AD177" s="124">
        <f t="shared" si="2"/>
        <v>67.207439347422365</v>
      </c>
      <c r="AE177" s="124">
        <f t="shared" si="2"/>
        <v>169.99999999999997</v>
      </c>
      <c r="AF177" s="124">
        <f t="shared" si="2"/>
        <v>169.99999999999997</v>
      </c>
      <c r="AG177" s="124">
        <f t="shared" si="2"/>
        <v>169.99999999999997</v>
      </c>
      <c r="AH177" s="124">
        <f t="shared" si="2"/>
        <v>95.628624664784752</v>
      </c>
      <c r="AI177" s="124">
        <f t="shared" si="2"/>
        <v>201.87620822159488</v>
      </c>
      <c r="AJ177" s="124">
        <f t="shared" si="2"/>
        <v>138.12379177840506</v>
      </c>
      <c r="AK177" s="124">
        <f t="shared" si="2"/>
        <v>201.87620822159488</v>
      </c>
      <c r="AL177" s="124">
        <f t="shared" si="2"/>
        <v>129.50483288637963</v>
      </c>
      <c r="AM177" s="124">
        <f t="shared" si="2"/>
        <v>212.49516711362031</v>
      </c>
      <c r="AN177" s="124">
        <f t="shared" si="2"/>
        <v>244.37137533521519</v>
      </c>
      <c r="AO177" s="124">
        <f t="shared" si="2"/>
        <v>152.87620822159488</v>
      </c>
      <c r="AP177" s="124">
        <f t="shared" si="2"/>
        <v>212.49516711362025</v>
      </c>
      <c r="AQ177" s="124">
        <f t="shared" si="2"/>
        <v>218.49516711362025</v>
      </c>
      <c r="AR177" s="124">
        <f t="shared" si="2"/>
        <v>206.4951671136202</v>
      </c>
      <c r="AS177" s="124">
        <f t="shared" si="2"/>
        <v>169.99999999999997</v>
      </c>
      <c r="AT177" s="124">
        <f t="shared" si="2"/>
        <v>95.628624664784752</v>
      </c>
      <c r="AU177" s="124">
        <f t="shared" si="2"/>
        <v>201.87620822159488</v>
      </c>
      <c r="AV177" s="124">
        <f t="shared" si="2"/>
        <v>170.99999999999994</v>
      </c>
      <c r="AW177" s="124">
        <f t="shared" si="2"/>
        <v>244.37137533521519</v>
      </c>
      <c r="AX177" s="124">
        <f t="shared" si="2"/>
        <v>252.37137533521516</v>
      </c>
      <c r="AY177" s="124">
        <f t="shared" si="2"/>
        <v>180.37137533521513</v>
      </c>
    </row>
    <row r="178" spans="1:51">
      <c r="A178" s="125"/>
      <c r="B178" s="136" t="s">
        <v>299</v>
      </c>
      <c r="C178" s="125" t="s">
        <v>293</v>
      </c>
      <c r="D178" s="125">
        <v>177</v>
      </c>
      <c r="E178" s="125">
        <v>208.32818091083499</v>
      </c>
      <c r="F178" s="125">
        <v>106.25402740531639</v>
      </c>
      <c r="G178" s="125">
        <v>169.99999999999997</v>
      </c>
      <c r="H178" s="125">
        <v>169.99999999999997</v>
      </c>
      <c r="I178" s="125">
        <v>175</v>
      </c>
      <c r="J178" s="125">
        <v>122.50483288637957</v>
      </c>
      <c r="K178" s="125">
        <v>178.49516711362025</v>
      </c>
      <c r="L178" s="125">
        <v>165.74597259468365</v>
      </c>
      <c r="M178" s="125">
        <v>116.87943014584795</v>
      </c>
      <c r="N178" s="125">
        <v>189.120569854152</v>
      </c>
      <c r="O178" s="125">
        <v>0</v>
      </c>
      <c r="P178" s="125">
        <v>155</v>
      </c>
      <c r="Q178" s="125">
        <v>185.00000000000114</v>
      </c>
      <c r="R178" s="125">
        <v>170</v>
      </c>
      <c r="S178" s="125">
        <v>169.99999999999997</v>
      </c>
      <c r="T178" s="125">
        <v>170</v>
      </c>
      <c r="U178" s="125">
        <v>169.99999999999997</v>
      </c>
      <c r="V178" s="125">
        <v>158</v>
      </c>
      <c r="W178" s="125">
        <v>181.99999999999997</v>
      </c>
      <c r="X178" s="125">
        <v>149</v>
      </c>
      <c r="Y178" s="125">
        <v>141</v>
      </c>
      <c r="Z178" s="125">
        <v>49.999999999999972</v>
      </c>
      <c r="AA178" s="125">
        <v>2.7490866185105377E-20</v>
      </c>
      <c r="AB178" s="125">
        <v>1.3745433092552688E-20</v>
      </c>
      <c r="AC178" s="125">
        <v>1.3745433092552688E-20</v>
      </c>
      <c r="AD178" s="125">
        <v>67.207439347422365</v>
      </c>
      <c r="AE178" s="125">
        <v>169.99999999999997</v>
      </c>
      <c r="AF178" s="125">
        <v>169.99999999999997</v>
      </c>
      <c r="AG178" s="125">
        <v>169.99999999999997</v>
      </c>
      <c r="AH178" s="125">
        <v>95.628624664784752</v>
      </c>
      <c r="AI178" s="125">
        <v>201.87620822159488</v>
      </c>
      <c r="AJ178" s="125">
        <v>138.12379177840506</v>
      </c>
      <c r="AK178" s="125">
        <v>168</v>
      </c>
      <c r="AL178" s="125">
        <v>129.50483288637963</v>
      </c>
      <c r="AM178" s="125">
        <v>212.49516711362031</v>
      </c>
      <c r="AN178" s="125">
        <v>219</v>
      </c>
      <c r="AO178" s="125">
        <v>152.87620822159488</v>
      </c>
      <c r="AP178" s="125">
        <v>164</v>
      </c>
      <c r="AQ178" s="125">
        <v>182</v>
      </c>
      <c r="AR178" s="125">
        <v>206.4951671136202</v>
      </c>
      <c r="AS178" s="125">
        <v>169.99999999999997</v>
      </c>
      <c r="AT178" s="125">
        <v>95.628624664784752</v>
      </c>
      <c r="AU178" s="125">
        <v>169</v>
      </c>
      <c r="AV178" s="125">
        <v>170.99999999999994</v>
      </c>
      <c r="AW178" s="125">
        <v>162</v>
      </c>
      <c r="AX178" s="125">
        <v>242</v>
      </c>
      <c r="AY178" s="125">
        <v>180.37137533521513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137.36630088650432</v>
      </c>
      <c r="E179" s="124">
        <f t="shared" si="3"/>
        <v>202.97250299919631</v>
      </c>
      <c r="F179" s="124">
        <f t="shared" si="3"/>
        <v>253.05132987199102</v>
      </c>
      <c r="G179" s="124">
        <f t="shared" si="3"/>
        <v>217.07273516739235</v>
      </c>
      <c r="H179" s="124">
        <f t="shared" si="3"/>
        <v>247.0727351673923</v>
      </c>
      <c r="I179" s="124">
        <f t="shared" si="3"/>
        <v>254.41677948872189</v>
      </c>
      <c r="J179" s="124">
        <f t="shared" si="3"/>
        <v>271.16638973982026</v>
      </c>
      <c r="K179" s="124">
        <f t="shared" si="3"/>
        <v>254.5909528941454</v>
      </c>
      <c r="L179" s="124">
        <f t="shared" si="3"/>
        <v>259.09351673091192</v>
      </c>
      <c r="M179" s="124">
        <f t="shared" si="3"/>
        <v>280.16097792035441</v>
      </c>
      <c r="N179" s="124">
        <f t="shared" si="3"/>
        <v>266.64620011181279</v>
      </c>
      <c r="O179" s="124">
        <f t="shared" si="3"/>
        <v>297.45640797826758</v>
      </c>
      <c r="P179" s="124">
        <f t="shared" si="3"/>
        <v>144.14337973578589</v>
      </c>
      <c r="Q179" s="124">
        <f t="shared" si="3"/>
        <v>162.14337973578688</v>
      </c>
      <c r="R179" s="124">
        <f t="shared" si="3"/>
        <v>202.90734053460341</v>
      </c>
      <c r="S179" s="124">
        <f t="shared" si="3"/>
        <v>219.21956942918871</v>
      </c>
      <c r="T179" s="124">
        <f t="shared" si="3"/>
        <v>207.49618542538136</v>
      </c>
      <c r="U179" s="124">
        <f t="shared" si="3"/>
        <v>200.80386700059995</v>
      </c>
      <c r="V179" s="124">
        <f t="shared" si="3"/>
        <v>241.85236690677607</v>
      </c>
      <c r="W179" s="124">
        <f t="shared" si="3"/>
        <v>236.85236690677598</v>
      </c>
      <c r="X179" s="124">
        <f t="shared" si="3"/>
        <v>249.33708318700727</v>
      </c>
      <c r="Y179" s="124">
        <f t="shared" si="3"/>
        <v>238.32292405101089</v>
      </c>
      <c r="Z179" s="124">
        <f t="shared" si="3"/>
        <v>234.32292405101083</v>
      </c>
      <c r="AA179" s="124">
        <f t="shared" si="3"/>
        <v>77.622050037857505</v>
      </c>
      <c r="AB179" s="124">
        <f t="shared" si="3"/>
        <v>8.8034062015372987E-3</v>
      </c>
      <c r="AC179" s="124">
        <f t="shared" si="3"/>
        <v>8.8034062015372987E-3</v>
      </c>
      <c r="AD179" s="124">
        <f t="shared" si="3"/>
        <v>8.8034062015372987E-3</v>
      </c>
      <c r="AE179" s="124">
        <f t="shared" si="3"/>
        <v>59.30600486340753</v>
      </c>
      <c r="AF179" s="124">
        <f t="shared" si="3"/>
        <v>149.99999999999994</v>
      </c>
      <c r="AG179" s="124">
        <f t="shared" si="3"/>
        <v>157.36791626423474</v>
      </c>
      <c r="AH179" s="124">
        <f t="shared" si="3"/>
        <v>149.99999999999994</v>
      </c>
      <c r="AI179" s="124">
        <f t="shared" si="3"/>
        <v>84.382049536144407</v>
      </c>
      <c r="AJ179" s="124">
        <f t="shared" si="3"/>
        <v>178.12441537664759</v>
      </c>
      <c r="AK179" s="124">
        <f t="shared" si="3"/>
        <v>124.7797142167726</v>
      </c>
      <c r="AL179" s="124">
        <f t="shared" si="3"/>
        <v>178.12441537664759</v>
      </c>
      <c r="AM179" s="124">
        <f t="shared" si="3"/>
        <v>115.80731931129101</v>
      </c>
      <c r="AN179" s="124">
        <f t="shared" si="3"/>
        <v>187.49353508720787</v>
      </c>
      <c r="AO179" s="124">
        <f t="shared" si="3"/>
        <v>283.11148555106342</v>
      </c>
      <c r="AP179" s="124">
        <f t="shared" si="3"/>
        <v>280.68298118623221</v>
      </c>
      <c r="AQ179" s="124">
        <f t="shared" si="3"/>
        <v>335.17651627344003</v>
      </c>
      <c r="AR179" s="124">
        <f t="shared" si="3"/>
        <v>360.17317954425698</v>
      </c>
      <c r="AS179" s="124">
        <f t="shared" si="3"/>
        <v>377.98128203917628</v>
      </c>
      <c r="AT179" s="124">
        <f t="shared" si="3"/>
        <v>379.60272232470345</v>
      </c>
      <c r="AU179" s="124">
        <f t="shared" si="3"/>
        <v>349.58759358244231</v>
      </c>
      <c r="AV179" s="124">
        <f t="shared" si="3"/>
        <v>344.71200895908987</v>
      </c>
      <c r="AW179" s="124">
        <f t="shared" si="3"/>
        <v>326.41772257042663</v>
      </c>
      <c r="AX179" s="124">
        <f t="shared" si="3"/>
        <v>380.03567303428213</v>
      </c>
      <c r="AY179" s="124">
        <f t="shared" si="3"/>
        <v>391.6449377898204</v>
      </c>
    </row>
    <row r="180" spans="1:51">
      <c r="A180" s="125"/>
      <c r="B180" s="136" t="s">
        <v>299</v>
      </c>
      <c r="C180" s="125" t="s">
        <v>293</v>
      </c>
      <c r="D180" s="125">
        <v>106</v>
      </c>
      <c r="E180" s="125">
        <v>110.10501937891728</v>
      </c>
      <c r="F180" s="125">
        <v>142.19887676447399</v>
      </c>
      <c r="G180" s="125">
        <v>120</v>
      </c>
      <c r="H180" s="125">
        <v>142.65595567867035</v>
      </c>
      <c r="I180" s="125">
        <v>152</v>
      </c>
      <c r="J180" s="125">
        <v>112.75144518535475</v>
      </c>
      <c r="K180" s="125">
        <v>152.9927319316817</v>
      </c>
      <c r="L180" s="125">
        <v>130.98674594102002</v>
      </c>
      <c r="M180" s="125">
        <v>116.64643759578452</v>
      </c>
      <c r="N180" s="125">
        <v>136.05989302754256</v>
      </c>
      <c r="O180" s="125">
        <v>162</v>
      </c>
      <c r="P180" s="125">
        <v>132</v>
      </c>
      <c r="Q180" s="125">
        <v>109.23603920118342</v>
      </c>
      <c r="R180" s="125">
        <v>139.38001020161616</v>
      </c>
      <c r="S180" s="125">
        <v>161.7233840038073</v>
      </c>
      <c r="T180" s="125">
        <v>158.27777777777777</v>
      </c>
      <c r="U180" s="125">
        <v>117.37732857709076</v>
      </c>
      <c r="V180" s="125">
        <v>155</v>
      </c>
      <c r="W180" s="125">
        <v>143.80560630041379</v>
      </c>
      <c r="X180" s="125">
        <v>175</v>
      </c>
      <c r="Y180" s="125">
        <v>154</v>
      </c>
      <c r="Z180" s="125">
        <v>163</v>
      </c>
      <c r="AA180" s="125">
        <v>77.622050037857505</v>
      </c>
      <c r="AB180" s="125">
        <v>8.8034062015372987E-3</v>
      </c>
      <c r="AC180" s="125">
        <v>8.8034062015372987E-3</v>
      </c>
      <c r="AD180" s="125">
        <v>8.8034062015372987E-3</v>
      </c>
      <c r="AE180" s="125">
        <v>59.30600486340753</v>
      </c>
      <c r="AF180" s="125">
        <v>142.63208373576515</v>
      </c>
      <c r="AG180" s="125">
        <v>157.36791626423474</v>
      </c>
      <c r="AH180" s="125">
        <v>149.99999999999994</v>
      </c>
      <c r="AI180" s="125">
        <v>84.382049536144407</v>
      </c>
      <c r="AJ180" s="125">
        <v>175.22028578322733</v>
      </c>
      <c r="AK180" s="125">
        <v>124.7797142167726</v>
      </c>
      <c r="AL180" s="125">
        <v>164.18912294488197</v>
      </c>
      <c r="AM180" s="125">
        <v>115.80731931129101</v>
      </c>
      <c r="AN180" s="125">
        <v>120</v>
      </c>
      <c r="AO180" s="125">
        <v>148.80229854929058</v>
      </c>
      <c r="AP180" s="125">
        <v>133</v>
      </c>
      <c r="AQ180" s="125">
        <v>140</v>
      </c>
      <c r="AR180" s="125">
        <v>132.19189750508065</v>
      </c>
      <c r="AS180" s="125">
        <v>159.41473834104664</v>
      </c>
      <c r="AT180" s="125">
        <v>114.39717827840559</v>
      </c>
      <c r="AU180" s="125">
        <v>183</v>
      </c>
      <c r="AV180" s="125">
        <v>163.39537572254338</v>
      </c>
      <c r="AW180" s="125">
        <v>162</v>
      </c>
      <c r="AX180" s="125">
        <v>165</v>
      </c>
      <c r="AY180" s="125">
        <v>189.61809051671128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183.04661558687147</v>
      </c>
      <c r="E181" s="124">
        <f t="shared" si="4"/>
        <v>170.86276933515944</v>
      </c>
      <c r="F181" s="124">
        <f t="shared" si="4"/>
        <v>113.30163419720033</v>
      </c>
      <c r="G181" s="124">
        <f t="shared" si="4"/>
        <v>159.99999999999994</v>
      </c>
      <c r="H181" s="124">
        <f t="shared" si="4"/>
        <v>159.99999999999994</v>
      </c>
      <c r="I181" s="124">
        <f t="shared" si="4"/>
        <v>179.99958426783829</v>
      </c>
      <c r="J181" s="124">
        <f t="shared" si="4"/>
        <v>102.58774222899187</v>
      </c>
      <c r="K181" s="124">
        <f t="shared" si="4"/>
        <v>167.99498215301136</v>
      </c>
      <c r="L181" s="124">
        <f t="shared" si="4"/>
        <v>162.19115427249338</v>
      </c>
      <c r="M181" s="124">
        <f t="shared" si="4"/>
        <v>110.00710377305903</v>
      </c>
      <c r="N181" s="124">
        <f t="shared" si="4"/>
        <v>177.99477428693055</v>
      </c>
      <c r="O181" s="124">
        <f t="shared" si="4"/>
        <v>9.266103208019528</v>
      </c>
      <c r="P181" s="124">
        <f t="shared" si="4"/>
        <v>160.00000000000105</v>
      </c>
      <c r="Q181" s="124">
        <f t="shared" si="4"/>
        <v>159.99999999999994</v>
      </c>
      <c r="R181" s="124">
        <f t="shared" si="4"/>
        <v>166.07172170261489</v>
      </c>
      <c r="S181" s="124">
        <f t="shared" si="4"/>
        <v>159.99999999999994</v>
      </c>
      <c r="T181" s="124">
        <f t="shared" si="4"/>
        <v>161.69115664319614</v>
      </c>
      <c r="U181" s="124">
        <f t="shared" si="4"/>
        <v>168.98755038215134</v>
      </c>
      <c r="V181" s="124">
        <f t="shared" si="4"/>
        <v>159.99999999999991</v>
      </c>
      <c r="W181" s="124">
        <f t="shared" si="4"/>
        <v>166.7096774193547</v>
      </c>
      <c r="X181" s="124">
        <f t="shared" si="4"/>
        <v>174.91823025493719</v>
      </c>
      <c r="Y181" s="124">
        <f t="shared" si="4"/>
        <v>159.99999999999994</v>
      </c>
      <c r="Z181" s="124">
        <f t="shared" si="4"/>
        <v>6.7190677193031156</v>
      </c>
      <c r="AA181" s="124">
        <f t="shared" si="4"/>
        <v>9.3902999483064502E-3</v>
      </c>
      <c r="AB181" s="124">
        <f t="shared" si="4"/>
        <v>9.3902999483064502E-3</v>
      </c>
      <c r="AC181" s="124">
        <f t="shared" si="4"/>
        <v>9.3902999483064502E-3</v>
      </c>
      <c r="AD181" s="124">
        <f t="shared" si="4"/>
        <v>63.259738520968021</v>
      </c>
      <c r="AE181" s="124">
        <f t="shared" si="4"/>
        <v>159.99999999999994</v>
      </c>
      <c r="AF181" s="124">
        <f t="shared" si="4"/>
        <v>159.99999999999994</v>
      </c>
      <c r="AG181" s="124">
        <f t="shared" si="4"/>
        <v>159.99999999999994</v>
      </c>
      <c r="AH181" s="124">
        <f t="shared" si="4"/>
        <v>90.007519505220685</v>
      </c>
      <c r="AI181" s="124">
        <f t="shared" si="4"/>
        <v>189.99937640175742</v>
      </c>
      <c r="AJ181" s="124">
        <f t="shared" si="4"/>
        <v>130.0006235982425</v>
      </c>
      <c r="AK181" s="124">
        <f t="shared" si="4"/>
        <v>189.99937640175742</v>
      </c>
      <c r="AL181" s="124">
        <f t="shared" si="4"/>
        <v>108.66349533816042</v>
      </c>
      <c r="AM181" s="124">
        <f t="shared" si="4"/>
        <v>199.99310409302171</v>
      </c>
      <c r="AN181" s="124">
        <f t="shared" si="4"/>
        <v>229.99248049477919</v>
      </c>
      <c r="AO181" s="124">
        <f t="shared" si="4"/>
        <v>156.13204713009</v>
      </c>
      <c r="AP181" s="124">
        <f t="shared" si="4"/>
        <v>199.99310409302171</v>
      </c>
      <c r="AQ181" s="124">
        <f t="shared" si="4"/>
        <v>175.9964408222047</v>
      </c>
      <c r="AR181" s="124">
        <f t="shared" si="4"/>
        <v>159.99999999999994</v>
      </c>
      <c r="AS181" s="124">
        <f t="shared" si="4"/>
        <v>171.77192386834537</v>
      </c>
      <c r="AT181" s="124">
        <f t="shared" si="4"/>
        <v>90.007519505220699</v>
      </c>
      <c r="AU181" s="124">
        <f t="shared" si="4"/>
        <v>189.99937640175742</v>
      </c>
      <c r="AV181" s="124">
        <f t="shared" si="4"/>
        <v>154.7744952894721</v>
      </c>
      <c r="AW181" s="124">
        <f t="shared" si="4"/>
        <v>229.99248049477919</v>
      </c>
      <c r="AX181" s="124">
        <f t="shared" si="4"/>
        <v>188.38321573924082</v>
      </c>
      <c r="AY181" s="124">
        <f t="shared" si="4"/>
        <v>176.71391780089843</v>
      </c>
    </row>
    <row r="182" spans="1:51">
      <c r="A182" s="125"/>
      <c r="B182" s="136" t="s">
        <v>299</v>
      </c>
      <c r="C182" s="125" t="s">
        <v>293</v>
      </c>
      <c r="D182" s="125">
        <v>162</v>
      </c>
      <c r="E182" s="125">
        <v>145.10501937891729</v>
      </c>
      <c r="F182" s="125">
        <v>113.30163419720033</v>
      </c>
      <c r="G182" s="125">
        <v>159.99999999999994</v>
      </c>
      <c r="H182" s="125">
        <v>159.99999999999994</v>
      </c>
      <c r="I182" s="125">
        <v>175</v>
      </c>
      <c r="J182" s="125">
        <v>102.58774222899187</v>
      </c>
      <c r="K182" s="125">
        <v>155.9927319316817</v>
      </c>
      <c r="L182" s="125">
        <v>162.19115427249338</v>
      </c>
      <c r="M182" s="125">
        <v>110.00710377305903</v>
      </c>
      <c r="N182" s="125">
        <v>160.05989302754256</v>
      </c>
      <c r="O182" s="125">
        <v>9.266103208019528</v>
      </c>
      <c r="P182" s="125">
        <v>160.00000000000105</v>
      </c>
      <c r="Q182" s="125">
        <v>148.23603920118342</v>
      </c>
      <c r="R182" s="125">
        <v>166.07172170261489</v>
      </c>
      <c r="S182" s="125">
        <v>156.7233840038073</v>
      </c>
      <c r="T182" s="125">
        <v>144.27777777777777</v>
      </c>
      <c r="U182" s="125">
        <v>168.98755038215134</v>
      </c>
      <c r="V182" s="125">
        <v>147</v>
      </c>
      <c r="W182" s="125">
        <v>137.80560630041379</v>
      </c>
      <c r="X182" s="125">
        <v>174.91823025493719</v>
      </c>
      <c r="Y182" s="125">
        <v>147</v>
      </c>
      <c r="Z182" s="125">
        <v>6.7190677193031156</v>
      </c>
      <c r="AA182" s="125">
        <v>9.3902999483064502E-3</v>
      </c>
      <c r="AB182" s="125">
        <v>9.3902999483064502E-3</v>
      </c>
      <c r="AC182" s="125">
        <v>9.3902999483064502E-3</v>
      </c>
      <c r="AD182" s="125">
        <v>63.259738520968021</v>
      </c>
      <c r="AE182" s="125">
        <v>159.99999999999994</v>
      </c>
      <c r="AF182" s="125">
        <v>159.99999999999994</v>
      </c>
      <c r="AG182" s="125">
        <v>159.99999999999994</v>
      </c>
      <c r="AH182" s="125">
        <v>90.007519505220685</v>
      </c>
      <c r="AI182" s="125">
        <v>189.99937640175742</v>
      </c>
      <c r="AJ182" s="125">
        <v>130.0006235982425</v>
      </c>
      <c r="AK182" s="125">
        <v>153.8534232254367</v>
      </c>
      <c r="AL182" s="125">
        <v>108.66349533816042</v>
      </c>
      <c r="AM182" s="125">
        <v>199.99310409302171</v>
      </c>
      <c r="AN182" s="125">
        <v>160</v>
      </c>
      <c r="AO182" s="125">
        <v>156.13204713009</v>
      </c>
      <c r="AP182" s="125">
        <v>169</v>
      </c>
      <c r="AQ182" s="125">
        <v>175.9964408222047</v>
      </c>
      <c r="AR182" s="125">
        <v>137.19189750508065</v>
      </c>
      <c r="AS182" s="125">
        <v>171.77192386834537</v>
      </c>
      <c r="AT182" s="125">
        <v>90.007519505220699</v>
      </c>
      <c r="AU182" s="125">
        <v>142</v>
      </c>
      <c r="AV182" s="125">
        <v>154.7744952894721</v>
      </c>
      <c r="AW182" s="125">
        <v>175</v>
      </c>
      <c r="AX182" s="125">
        <v>156</v>
      </c>
      <c r="AY182" s="125">
        <v>172.61809051671128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190</v>
      </c>
      <c r="D185" s="124">
        <v>193</v>
      </c>
      <c r="E185" s="124">
        <v>158.00000000000003</v>
      </c>
      <c r="F185" s="124">
        <v>181.00000000000006</v>
      </c>
      <c r="G185" s="124">
        <v>153.00000000000009</v>
      </c>
      <c r="H185" s="124">
        <v>150.00000000000011</v>
      </c>
      <c r="I185" s="124">
        <v>160</v>
      </c>
      <c r="J185" s="124">
        <v>160</v>
      </c>
      <c r="K185" s="124">
        <v>160</v>
      </c>
      <c r="L185" s="124">
        <v>159</v>
      </c>
      <c r="M185" s="124">
        <v>143.00000000000003</v>
      </c>
      <c r="N185" s="124">
        <v>116.00000000000006</v>
      </c>
      <c r="O185" s="124">
        <v>87.000000000000085</v>
      </c>
      <c r="P185" s="124">
        <v>42.000000000000114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2.6783924707212325E-20</v>
      </c>
      <c r="AA185" s="124">
        <v>2.6783924707212325E-20</v>
      </c>
      <c r="AB185" s="124">
        <v>79.067575702849851</v>
      </c>
      <c r="AC185" s="124">
        <v>199.99999999999997</v>
      </c>
      <c r="AD185" s="124">
        <v>199.99999999999997</v>
      </c>
      <c r="AE185" s="124">
        <v>177</v>
      </c>
      <c r="AF185" s="124">
        <v>164.00000000000003</v>
      </c>
      <c r="AG185" s="124">
        <v>180.00000000000006</v>
      </c>
      <c r="AH185" s="124">
        <v>172.00000000000009</v>
      </c>
      <c r="AI185" s="124">
        <v>144.00000000000011</v>
      </c>
      <c r="AJ185" s="124">
        <v>163.00000000000014</v>
      </c>
      <c r="AK185" s="124">
        <v>165.00000000000017</v>
      </c>
      <c r="AL185" s="124">
        <v>199.99999999999997</v>
      </c>
      <c r="AM185" s="124">
        <v>199.99999999999997</v>
      </c>
      <c r="AN185" s="124">
        <v>176</v>
      </c>
      <c r="AO185" s="124">
        <v>177.00000000000003</v>
      </c>
      <c r="AP185" s="124">
        <v>149.00000000000006</v>
      </c>
      <c r="AQ185" s="124">
        <v>111.00000000000009</v>
      </c>
      <c r="AR185" s="124">
        <v>71.000000000000114</v>
      </c>
      <c r="AS185" s="124">
        <v>67.000000000000142</v>
      </c>
      <c r="AT185" s="124">
        <v>67.000000000000171</v>
      </c>
      <c r="AU185" s="124">
        <v>120.58759358244217</v>
      </c>
      <c r="AV185" s="124">
        <v>144.5875935824422</v>
      </c>
      <c r="AW185" s="124">
        <v>163.39952886427662</v>
      </c>
      <c r="AX185" s="124">
        <v>168.39952886427665</v>
      </c>
      <c r="AY185" s="124">
        <v>169.39952886427668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6.9999999999999716</v>
      </c>
      <c r="F186" s="106">
        <v>41.999999999999943</v>
      </c>
      <c r="G186" s="106">
        <v>18.999999999999915</v>
      </c>
      <c r="H186" s="106">
        <v>46.999999999999886</v>
      </c>
      <c r="I186" s="106">
        <v>9.9999999999998863</v>
      </c>
      <c r="J186" s="106">
        <v>0</v>
      </c>
      <c r="K186" s="106">
        <v>0</v>
      </c>
      <c r="L186" s="106">
        <v>0</v>
      </c>
      <c r="M186" s="106">
        <v>40.999999999999972</v>
      </c>
      <c r="N186" s="106">
        <v>56.999999999999943</v>
      </c>
      <c r="O186" s="106">
        <v>83.999999999999915</v>
      </c>
      <c r="P186" s="106">
        <v>112.99999999999989</v>
      </c>
      <c r="Q186" s="106">
        <v>140</v>
      </c>
      <c r="R186" s="106">
        <v>197.00000000000014</v>
      </c>
      <c r="S186" s="106">
        <v>176.00000000000017</v>
      </c>
      <c r="T186" s="106">
        <v>133.0000000000002</v>
      </c>
      <c r="U186" s="106">
        <v>120.00000000000023</v>
      </c>
      <c r="V186" s="106">
        <v>100.00000000000026</v>
      </c>
      <c r="W186" s="106">
        <v>96.000000000000284</v>
      </c>
      <c r="X186" s="106">
        <v>62.000000000000313</v>
      </c>
      <c r="Y186" s="106">
        <v>0</v>
      </c>
      <c r="Z186" s="106">
        <v>2.6783924707212325E-20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22.999999999999972</v>
      </c>
      <c r="AG186" s="106">
        <v>35.999999999999943</v>
      </c>
      <c r="AH186" s="106">
        <v>19.999999999999915</v>
      </c>
      <c r="AI186" s="106">
        <v>27.999999999999886</v>
      </c>
      <c r="AJ186" s="106">
        <v>55.999999999999858</v>
      </c>
      <c r="AK186" s="106">
        <v>36.999999999999829</v>
      </c>
      <c r="AL186" s="106">
        <v>34.999999999999801</v>
      </c>
      <c r="AM186" s="106">
        <v>0</v>
      </c>
      <c r="AN186" s="106">
        <v>0</v>
      </c>
      <c r="AO186" s="106">
        <v>23.999999999999972</v>
      </c>
      <c r="AP186" s="106">
        <v>22.999999999999943</v>
      </c>
      <c r="AQ186" s="106">
        <v>50.999999999999915</v>
      </c>
      <c r="AR186" s="106">
        <v>88.999999999999886</v>
      </c>
      <c r="AS186" s="106">
        <v>128.99999999999986</v>
      </c>
      <c r="AT186" s="106">
        <v>132.99999999999983</v>
      </c>
      <c r="AU186" s="106">
        <v>130.41240641755783</v>
      </c>
      <c r="AV186" s="106">
        <v>79.412406417557804</v>
      </c>
      <c r="AW186" s="106">
        <v>33.600471135723382</v>
      </c>
      <c r="AX186" s="106">
        <v>36.600471135723353</v>
      </c>
      <c r="AY186" s="106">
        <v>31.600471135723325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17.999999999999858</v>
      </c>
      <c r="S187" s="106">
        <v>2.9999999999998295</v>
      </c>
      <c r="T187" s="106">
        <v>23.999999999999801</v>
      </c>
      <c r="U187" s="106">
        <v>66.999999999999773</v>
      </c>
      <c r="V187" s="106">
        <v>79.999999999999744</v>
      </c>
      <c r="W187" s="106">
        <v>99.999999999999716</v>
      </c>
      <c r="X187" s="106">
        <v>103.99999999999969</v>
      </c>
      <c r="Y187" s="106">
        <v>137.99999999999966</v>
      </c>
      <c r="Z187" s="106">
        <v>2.6783924707212325E-20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124.67181908916504</v>
      </c>
      <c r="D189" s="124">
        <v>131.67181908916501</v>
      </c>
      <c r="E189" s="124">
        <v>169.99999999999997</v>
      </c>
      <c r="F189" s="124">
        <v>106.25402740531639</v>
      </c>
      <c r="G189" s="124">
        <v>169.99999999999997</v>
      </c>
      <c r="H189" s="124">
        <v>106.25402740531639</v>
      </c>
      <c r="I189" s="124">
        <v>111.25402740531642</v>
      </c>
      <c r="J189" s="124">
        <v>106.25402740531632</v>
      </c>
      <c r="K189" s="124">
        <v>135.99999999999994</v>
      </c>
      <c r="L189" s="124">
        <v>135.99999999999997</v>
      </c>
      <c r="M189" s="124">
        <v>116.87943014584795</v>
      </c>
      <c r="N189" s="124">
        <v>169.99999999999997</v>
      </c>
      <c r="O189" s="124">
        <v>0</v>
      </c>
      <c r="P189" s="124">
        <v>155</v>
      </c>
      <c r="Q189" s="124">
        <v>169.99999999999997</v>
      </c>
      <c r="R189" s="124">
        <v>170</v>
      </c>
      <c r="S189" s="124">
        <v>169.99999999999997</v>
      </c>
      <c r="T189" s="124">
        <v>170</v>
      </c>
      <c r="U189" s="124">
        <v>169.99999999999997</v>
      </c>
      <c r="V189" s="124">
        <v>158</v>
      </c>
      <c r="W189" s="124">
        <v>169.99999999999997</v>
      </c>
      <c r="X189" s="124">
        <v>149</v>
      </c>
      <c r="Y189" s="124">
        <v>120</v>
      </c>
      <c r="Z189" s="124">
        <v>0</v>
      </c>
      <c r="AA189" s="124">
        <v>1.3745433092552688E-20</v>
      </c>
      <c r="AB189" s="124">
        <v>1.3745433092552688E-20</v>
      </c>
      <c r="AC189" s="124">
        <v>1.3745433092552688E-20</v>
      </c>
      <c r="AD189" s="124">
        <v>67.207439347422365</v>
      </c>
      <c r="AE189" s="124">
        <v>169.99999999999997</v>
      </c>
      <c r="AF189" s="124">
        <v>169.99999999999997</v>
      </c>
      <c r="AG189" s="124">
        <v>169.99999999999997</v>
      </c>
      <c r="AH189" s="124">
        <v>95.628624664784752</v>
      </c>
      <c r="AI189" s="124">
        <v>127.50483288637966</v>
      </c>
      <c r="AJ189" s="124">
        <v>95.628624664784752</v>
      </c>
      <c r="AK189" s="124">
        <v>93.62862466478478</v>
      </c>
      <c r="AL189" s="124">
        <v>95.628624664784738</v>
      </c>
      <c r="AM189" s="124">
        <v>169.99999999999997</v>
      </c>
      <c r="AN189" s="124">
        <v>144.62862466478478</v>
      </c>
      <c r="AO189" s="124">
        <v>127.50483288637967</v>
      </c>
      <c r="AP189" s="124">
        <v>121.5048328863797</v>
      </c>
      <c r="AQ189" s="124">
        <v>133.50483288637975</v>
      </c>
      <c r="AR189" s="124">
        <v>169.99999999999997</v>
      </c>
      <c r="AS189" s="124">
        <v>169.99999999999997</v>
      </c>
      <c r="AT189" s="124">
        <v>95.628624664784752</v>
      </c>
      <c r="AU189" s="124">
        <v>94.62862466478478</v>
      </c>
      <c r="AV189" s="124">
        <v>95.628624664784752</v>
      </c>
      <c r="AW189" s="124">
        <v>87.62862466478478</v>
      </c>
      <c r="AX189" s="124">
        <v>159.62862466478481</v>
      </c>
      <c r="AY189" s="124">
        <v>169.99999999999997</v>
      </c>
    </row>
    <row r="190" spans="1:51">
      <c r="A190" s="109"/>
      <c r="B190" s="119">
        <v>2</v>
      </c>
      <c r="C190" s="106">
        <v>42.328180910835016</v>
      </c>
      <c r="D190" s="106">
        <v>45.328180910834988</v>
      </c>
      <c r="E190" s="106">
        <v>38.328180910835016</v>
      </c>
      <c r="F190" s="106">
        <v>0</v>
      </c>
      <c r="G190" s="106">
        <v>0</v>
      </c>
      <c r="H190" s="106">
        <v>0</v>
      </c>
      <c r="I190" s="106">
        <v>63.745972594683579</v>
      </c>
      <c r="J190" s="106">
        <v>16.250805481063253</v>
      </c>
      <c r="K190" s="106">
        <v>0</v>
      </c>
      <c r="L190" s="106">
        <v>2.8421709430404007E-14</v>
      </c>
      <c r="M190" s="106">
        <v>0</v>
      </c>
      <c r="N190" s="106">
        <v>19.120569854152023</v>
      </c>
      <c r="O190" s="106">
        <v>0</v>
      </c>
      <c r="P190" s="106">
        <v>0</v>
      </c>
      <c r="Q190" s="106">
        <v>15.000000000001165</v>
      </c>
      <c r="R190" s="106">
        <v>0</v>
      </c>
      <c r="S190" s="106">
        <v>0</v>
      </c>
      <c r="T190" s="106">
        <v>0</v>
      </c>
      <c r="U190" s="106">
        <v>0</v>
      </c>
      <c r="V190" s="106">
        <v>0</v>
      </c>
      <c r="W190" s="106">
        <v>12</v>
      </c>
      <c r="X190" s="106">
        <v>0</v>
      </c>
      <c r="Y190" s="106">
        <v>21</v>
      </c>
      <c r="Z190" s="106">
        <v>49.999999999999972</v>
      </c>
      <c r="AA190" s="106">
        <v>1.3745433092552688E-20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0</v>
      </c>
      <c r="AG190" s="106">
        <v>0</v>
      </c>
      <c r="AH190" s="106">
        <v>0</v>
      </c>
      <c r="AI190" s="106">
        <v>74.37137533521522</v>
      </c>
      <c r="AJ190" s="106">
        <v>42.495167113620312</v>
      </c>
      <c r="AK190" s="106">
        <v>74.37137533521522</v>
      </c>
      <c r="AL190" s="106">
        <v>33.876208221594894</v>
      </c>
      <c r="AM190" s="106">
        <v>1.4210854715202004E-14</v>
      </c>
      <c r="AN190" s="106">
        <v>0</v>
      </c>
      <c r="AO190" s="106">
        <v>25.371375335215191</v>
      </c>
      <c r="AP190" s="106">
        <v>42.495167113620298</v>
      </c>
      <c r="AQ190" s="106">
        <v>48.495167113620269</v>
      </c>
      <c r="AR190" s="106">
        <v>36.495167113620226</v>
      </c>
      <c r="AS190" s="106">
        <v>0</v>
      </c>
      <c r="AT190" s="106">
        <v>0</v>
      </c>
      <c r="AU190" s="106">
        <v>74.37137533521522</v>
      </c>
      <c r="AV190" s="106">
        <v>75.371375335215191</v>
      </c>
      <c r="AW190" s="106">
        <v>74.37137533521522</v>
      </c>
      <c r="AX190" s="106">
        <v>82.371375335215191</v>
      </c>
      <c r="AY190" s="106">
        <v>10.371375335215163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63.745972594683579</v>
      </c>
      <c r="I191" s="106">
        <v>0</v>
      </c>
      <c r="J191" s="106">
        <v>0</v>
      </c>
      <c r="K191" s="106">
        <v>42.495167113620298</v>
      </c>
      <c r="L191" s="106">
        <v>29.74597259468365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42.495167113620298</v>
      </c>
      <c r="AN191" s="106">
        <v>74.37137533521522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102.63369911349575</v>
      </c>
      <c r="D197" s="106">
        <v>56.639461310085991</v>
      </c>
      <c r="E197" s="106">
        <v>78.738718492412957</v>
      </c>
      <c r="F197" s="106">
        <v>49.331393144194962</v>
      </c>
      <c r="G197" s="106">
        <v>9.1475468924829642</v>
      </c>
      <c r="H197" s="106">
        <v>45.583220511278</v>
      </c>
      <c r="I197" s="106">
        <v>47.583220511278057</v>
      </c>
      <c r="J197" s="106">
        <v>10.334665696632868</v>
      </c>
      <c r="K197" s="106">
        <v>0</v>
      </c>
      <c r="L197" s="106">
        <v>29.388524978556305</v>
      </c>
      <c r="M197" s="106">
        <v>0</v>
      </c>
      <c r="N197" s="106">
        <v>0</v>
      </c>
      <c r="O197" s="106">
        <v>31.413692915729811</v>
      </c>
      <c r="P197" s="106">
        <v>0</v>
      </c>
      <c r="Q197" s="106">
        <v>97.092659465397531</v>
      </c>
      <c r="R197" s="106">
        <v>86.472669667012696</v>
      </c>
      <c r="S197" s="106">
        <v>98.196053670820049</v>
      </c>
      <c r="T197" s="106">
        <v>100.78159235239636</v>
      </c>
      <c r="U197" s="106">
        <v>68.158920929487181</v>
      </c>
      <c r="V197" s="106">
        <v>71.573461576490814</v>
      </c>
      <c r="W197" s="106">
        <v>56.953239393637716</v>
      </c>
      <c r="X197" s="106">
        <v>81.953239393637801</v>
      </c>
      <c r="Y197" s="106">
        <v>79.662916812992734</v>
      </c>
      <c r="Z197" s="106">
        <v>78.677075948989113</v>
      </c>
      <c r="AA197" s="106">
        <v>6.299125986846672</v>
      </c>
      <c r="AB197" s="106">
        <v>8.8034062015372987E-3</v>
      </c>
      <c r="AC197" s="106">
        <v>8.8034062015372987E-3</v>
      </c>
      <c r="AD197" s="106">
        <v>8.8034062015372987E-3</v>
      </c>
      <c r="AE197" s="106">
        <v>59.30600486340753</v>
      </c>
      <c r="AF197" s="106">
        <v>142.63208373576515</v>
      </c>
      <c r="AG197" s="106">
        <v>149.99999999999994</v>
      </c>
      <c r="AH197" s="106">
        <v>149.99999999999994</v>
      </c>
      <c r="AI197" s="106">
        <v>84.382049536144407</v>
      </c>
      <c r="AJ197" s="106">
        <v>175.22028578322733</v>
      </c>
      <c r="AK197" s="106">
        <v>121.87558462335234</v>
      </c>
      <c r="AL197" s="106">
        <v>164.18912294488197</v>
      </c>
      <c r="AM197" s="106">
        <v>101.87202687952539</v>
      </c>
      <c r="AN197" s="106">
        <v>120</v>
      </c>
      <c r="AO197" s="106">
        <v>81.308763462082709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0.58227742957339501</v>
      </c>
      <c r="AY197" s="106">
        <v>0</v>
      </c>
    </row>
    <row r="198" spans="1:51">
      <c r="A198" s="109"/>
      <c r="B198" s="119">
        <v>2</v>
      </c>
      <c r="C198" s="106">
        <v>14.999799256266343</v>
      </c>
      <c r="D198" s="106">
        <v>49.360538689914009</v>
      </c>
      <c r="E198" s="106">
        <v>31.36630088650432</v>
      </c>
      <c r="F198" s="106">
        <v>92.867483620279032</v>
      </c>
      <c r="G198" s="106">
        <v>110.85245310751704</v>
      </c>
      <c r="H198" s="106">
        <v>97.072735167392352</v>
      </c>
      <c r="I198" s="106">
        <v>104.41677948872194</v>
      </c>
      <c r="J198" s="106">
        <v>102.41677948872189</v>
      </c>
      <c r="K198" s="106">
        <v>152.9927319316817</v>
      </c>
      <c r="L198" s="106">
        <v>96.176008339679882</v>
      </c>
      <c r="M198" s="106">
        <v>116.64643759578452</v>
      </c>
      <c r="N198" s="106">
        <v>124.59955983343521</v>
      </c>
      <c r="O198" s="106">
        <v>103.13165978724284</v>
      </c>
      <c r="P198" s="106">
        <v>132</v>
      </c>
      <c r="Q198" s="106">
        <v>8.6869717575183092</v>
      </c>
      <c r="R198" s="106">
        <v>52.907340534603463</v>
      </c>
      <c r="S198" s="106">
        <v>63.527330332987248</v>
      </c>
      <c r="T198" s="106">
        <v>57.496185425381412</v>
      </c>
      <c r="U198" s="106">
        <v>49.218407647603584</v>
      </c>
      <c r="V198" s="106">
        <v>83.426538423509186</v>
      </c>
      <c r="W198" s="106">
        <v>86.852366906776069</v>
      </c>
      <c r="X198" s="106">
        <v>93.046760606362199</v>
      </c>
      <c r="Y198" s="106">
        <v>74.337083187007266</v>
      </c>
      <c r="Z198" s="106">
        <v>84.322924051010887</v>
      </c>
      <c r="AA198" s="106">
        <v>71.32292405101083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7.3679162642347933</v>
      </c>
      <c r="AH198" s="106">
        <v>0</v>
      </c>
      <c r="AI198" s="106">
        <v>0</v>
      </c>
      <c r="AJ198" s="106">
        <v>0</v>
      </c>
      <c r="AK198" s="106">
        <v>2.9041295934202651</v>
      </c>
      <c r="AL198" s="106">
        <v>0</v>
      </c>
      <c r="AM198" s="106">
        <v>13.935292431765617</v>
      </c>
      <c r="AN198" s="106">
        <v>0</v>
      </c>
      <c r="AO198" s="106">
        <v>67.493535087207874</v>
      </c>
      <c r="AP198" s="106">
        <v>133</v>
      </c>
      <c r="AQ198" s="106">
        <v>138.69081299822719</v>
      </c>
      <c r="AR198" s="106">
        <v>124.50891631884843</v>
      </c>
      <c r="AS198" s="106">
        <v>96.430119572687204</v>
      </c>
      <c r="AT198" s="106">
        <v>45.830634580275898</v>
      </c>
      <c r="AU198" s="106">
        <v>78.830634580275955</v>
      </c>
      <c r="AV198" s="106">
        <v>81.189831676245518</v>
      </c>
      <c r="AW198" s="106">
        <v>158.8077821401011</v>
      </c>
      <c r="AX198" s="106">
        <v>145.10108933388011</v>
      </c>
      <c r="AY198" s="106">
        <v>189.61809051671128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5.4222126227838316</v>
      </c>
      <c r="M199" s="106">
        <v>0</v>
      </c>
      <c r="N199" s="106">
        <v>11.460333194107349</v>
      </c>
      <c r="O199" s="106">
        <v>27.454647297027364</v>
      </c>
      <c r="P199" s="106">
        <v>0</v>
      </c>
      <c r="Q199" s="106">
        <v>3.4564079782675776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1.3091870017728127</v>
      </c>
      <c r="AR199" s="106">
        <v>7.6829811862322117</v>
      </c>
      <c r="AS199" s="106">
        <v>62.984618768359439</v>
      </c>
      <c r="AT199" s="106">
        <v>68.566543698129692</v>
      </c>
      <c r="AU199" s="106">
        <v>104.16936541972404</v>
      </c>
      <c r="AV199" s="106">
        <v>82.205544046297859</v>
      </c>
      <c r="AW199" s="106">
        <v>3.1922178598989035</v>
      </c>
      <c r="AX199" s="106">
        <v>19.316633236546494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117.34101626212041</v>
      </c>
      <c r="D209" s="124">
        <v>123.46930501094744</v>
      </c>
      <c r="E209" s="124">
        <v>134.24225004375782</v>
      </c>
      <c r="F209" s="124">
        <v>100.00731163913986</v>
      </c>
      <c r="G209" s="124">
        <v>159.99999999999994</v>
      </c>
      <c r="H209" s="124">
        <v>100.00731163913984</v>
      </c>
      <c r="I209" s="124">
        <v>115.00731163913989</v>
      </c>
      <c r="J209" s="124">
        <v>100.00731163913986</v>
      </c>
      <c r="K209" s="124">
        <v>115.99962783865993</v>
      </c>
      <c r="L209" s="124">
        <v>128.00187805998959</v>
      </c>
      <c r="M209" s="124">
        <v>110.00710377305901</v>
      </c>
      <c r="N209" s="124">
        <v>142.06511874061195</v>
      </c>
      <c r="O209" s="124">
        <v>9.3902999483059801E-3</v>
      </c>
      <c r="P209" s="124">
        <v>160.00000000000105</v>
      </c>
      <c r="Q209" s="124">
        <v>148.23603920118342</v>
      </c>
      <c r="R209" s="124">
        <v>159.99999999999991</v>
      </c>
      <c r="S209" s="124">
        <v>156.7233840038073</v>
      </c>
      <c r="T209" s="124">
        <v>142.58662113458158</v>
      </c>
      <c r="U209" s="124">
        <v>159.99999999999994</v>
      </c>
      <c r="V209" s="124">
        <v>147</v>
      </c>
      <c r="W209" s="124">
        <v>131.095928881059</v>
      </c>
      <c r="X209" s="124">
        <v>159.99999999999991</v>
      </c>
      <c r="Y209" s="124">
        <v>147</v>
      </c>
      <c r="Z209" s="124">
        <v>9.3902999483064502E-3</v>
      </c>
      <c r="AA209" s="124">
        <v>9.3902999483064502E-3</v>
      </c>
      <c r="AB209" s="124">
        <v>9.3902999483064502E-3</v>
      </c>
      <c r="AC209" s="124">
        <v>9.3902999483064502E-3</v>
      </c>
      <c r="AD209" s="124">
        <v>63.259738520968021</v>
      </c>
      <c r="AE209" s="124">
        <v>159.99999999999994</v>
      </c>
      <c r="AF209" s="124">
        <v>159.99999999999994</v>
      </c>
      <c r="AG209" s="124">
        <v>159.99999999999994</v>
      </c>
      <c r="AH209" s="124">
        <v>90.007519505220685</v>
      </c>
      <c r="AI209" s="124">
        <v>120.00689590697816</v>
      </c>
      <c r="AJ209" s="124">
        <v>90.007519505220685</v>
      </c>
      <c r="AK209" s="124">
        <v>83.860942730657442</v>
      </c>
      <c r="AL209" s="124">
        <v>90.007519505220685</v>
      </c>
      <c r="AM209" s="124">
        <v>159.99999999999994</v>
      </c>
      <c r="AN209" s="124">
        <v>90.007519505220742</v>
      </c>
      <c r="AO209" s="124">
        <v>120.00689590697816</v>
      </c>
      <c r="AP209" s="124">
        <v>129.00689590697823</v>
      </c>
      <c r="AQ209" s="124">
        <v>159.99999999999994</v>
      </c>
      <c r="AR209" s="124">
        <v>137.19189750508065</v>
      </c>
      <c r="AS209" s="124">
        <v>159.99999999999991</v>
      </c>
      <c r="AT209" s="124">
        <v>90.007519505220685</v>
      </c>
      <c r="AU209" s="124">
        <v>72.007519505220742</v>
      </c>
      <c r="AV209" s="124">
        <v>90.007519505220685</v>
      </c>
      <c r="AW209" s="124">
        <v>105.00751950522074</v>
      </c>
      <c r="AX209" s="124">
        <v>127.61678426075912</v>
      </c>
      <c r="AY209" s="124">
        <v>155.90417271581279</v>
      </c>
    </row>
    <row r="210" spans="1:51">
      <c r="A210" s="109"/>
      <c r="B210" s="119">
        <v>2</v>
      </c>
      <c r="C210" s="106">
        <v>0</v>
      </c>
      <c r="D210" s="110">
        <v>38.53069498905257</v>
      </c>
      <c r="E210" s="110">
        <v>10.862769335159467</v>
      </c>
      <c r="F210" s="110">
        <v>13.294322558060479</v>
      </c>
      <c r="G210" s="110">
        <v>0</v>
      </c>
      <c r="H210" s="110">
        <v>0</v>
      </c>
      <c r="I210" s="110">
        <v>59.992688360860107</v>
      </c>
      <c r="J210" s="110">
        <v>2.580430589852019</v>
      </c>
      <c r="K210" s="110">
        <v>0</v>
      </c>
      <c r="L210" s="110">
        <v>6.1947097916540326</v>
      </c>
      <c r="M210" s="110">
        <v>1.4669269383434326E-14</v>
      </c>
      <c r="N210" s="110">
        <v>17.9947742869306</v>
      </c>
      <c r="O210" s="110">
        <v>9.256712908071222</v>
      </c>
      <c r="P210" s="110">
        <v>2.4263745134953019E-16</v>
      </c>
      <c r="Q210" s="110">
        <v>0</v>
      </c>
      <c r="R210" s="110">
        <v>6.0717217026149815</v>
      </c>
      <c r="S210" s="110">
        <v>0</v>
      </c>
      <c r="T210" s="110">
        <v>1.6911566431962044</v>
      </c>
      <c r="U210" s="110">
        <v>8.9875503821513991</v>
      </c>
      <c r="V210" s="110">
        <v>0</v>
      </c>
      <c r="W210" s="110">
        <v>6.7096774193547946</v>
      </c>
      <c r="X210" s="110">
        <v>14.918230254937264</v>
      </c>
      <c r="Y210" s="110">
        <v>0</v>
      </c>
      <c r="Z210" s="110">
        <v>6.7096774193548088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69.992480494779258</v>
      </c>
      <c r="AJ210" s="110">
        <v>39.993104093021785</v>
      </c>
      <c r="AK210" s="110">
        <v>69.992480494779258</v>
      </c>
      <c r="AL210" s="110">
        <v>18.655975832939731</v>
      </c>
      <c r="AM210" s="110">
        <v>0</v>
      </c>
      <c r="AN210" s="110">
        <v>0</v>
      </c>
      <c r="AO210" s="110">
        <v>36.125151223111843</v>
      </c>
      <c r="AP210" s="110">
        <v>39.993104093021785</v>
      </c>
      <c r="AQ210" s="110">
        <v>15.996440822204756</v>
      </c>
      <c r="AR210" s="110">
        <v>0</v>
      </c>
      <c r="AS210" s="110">
        <v>11.771923868345443</v>
      </c>
      <c r="AT210" s="110">
        <v>1.4669269383434326E-14</v>
      </c>
      <c r="AU210" s="110">
        <v>69.992480494779258</v>
      </c>
      <c r="AV210" s="110">
        <v>64.766975784251414</v>
      </c>
      <c r="AW210" s="110">
        <v>69.992480494779258</v>
      </c>
      <c r="AX210" s="110">
        <v>28.383215739240878</v>
      </c>
      <c r="AY210" s="110">
        <v>16.713917800898489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59.9926883608601</v>
      </c>
      <c r="I211" s="110">
        <v>0</v>
      </c>
      <c r="J211" s="110">
        <v>0</v>
      </c>
      <c r="K211" s="110">
        <v>39.993104093021778</v>
      </c>
      <c r="L211" s="110">
        <v>27.994566420849761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39.993104093021778</v>
      </c>
      <c r="AN211" s="110">
        <v>69.992480494779258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111544.03137324979</v>
      </c>
      <c r="E259" s="124">
        <f t="shared" ref="E259:AX259" si="5">F$14*$B$259</f>
        <v>104119.5000636128</v>
      </c>
      <c r="F259" s="124">
        <f t="shared" si="5"/>
        <v>69043.183338918956</v>
      </c>
      <c r="G259" s="124">
        <f t="shared" si="5"/>
        <v>97499.999999999956</v>
      </c>
      <c r="H259" s="124">
        <f t="shared" si="5"/>
        <v>97499.999999999956</v>
      </c>
      <c r="I259" s="124">
        <f t="shared" si="5"/>
        <v>109687.24666321395</v>
      </c>
      <c r="J259" s="124">
        <f t="shared" si="5"/>
        <v>62514.405420791925</v>
      </c>
      <c r="K259" s="124">
        <f t="shared" si="5"/>
        <v>102371.94224949132</v>
      </c>
      <c r="L259" s="124">
        <f t="shared" si="5"/>
        <v>98835.234634800669</v>
      </c>
      <c r="M259" s="124">
        <f t="shared" si="5"/>
        <v>67035.578861707851</v>
      </c>
      <c r="N259" s="124">
        <f t="shared" si="5"/>
        <v>108465.5655810983</v>
      </c>
      <c r="O259" s="124">
        <f t="shared" si="5"/>
        <v>5646.5316423869008</v>
      </c>
      <c r="P259" s="124">
        <f t="shared" si="5"/>
        <v>97500.00000000064</v>
      </c>
      <c r="Q259" s="124">
        <f t="shared" si="5"/>
        <v>97499.999999999956</v>
      </c>
      <c r="R259" s="124">
        <f t="shared" si="5"/>
        <v>101199.95541253095</v>
      </c>
      <c r="S259" s="124">
        <f t="shared" si="5"/>
        <v>97499.999999999956</v>
      </c>
      <c r="T259" s="124">
        <f t="shared" si="5"/>
        <v>98530.548579447641</v>
      </c>
      <c r="U259" s="124">
        <f t="shared" si="5"/>
        <v>102976.78851412347</v>
      </c>
      <c r="V259" s="124">
        <f t="shared" si="5"/>
        <v>97499.999999999942</v>
      </c>
      <c r="W259" s="124">
        <f t="shared" si="5"/>
        <v>101588.70967741929</v>
      </c>
      <c r="X259" s="124">
        <f t="shared" si="5"/>
        <v>106590.79656160236</v>
      </c>
      <c r="Y259" s="124">
        <f t="shared" si="5"/>
        <v>97499.999999999956</v>
      </c>
      <c r="Z259" s="124">
        <f t="shared" si="5"/>
        <v>4094.4318914503369</v>
      </c>
      <c r="AA259" s="124">
        <f t="shared" si="5"/>
        <v>5.7222140309992442</v>
      </c>
      <c r="AB259" s="124">
        <f t="shared" si="5"/>
        <v>5.7222140309992442</v>
      </c>
      <c r="AC259" s="124">
        <f t="shared" si="5"/>
        <v>5.7222140309992442</v>
      </c>
      <c r="AD259" s="124">
        <f t="shared" si="5"/>
        <v>38548.903161214897</v>
      </c>
      <c r="AE259" s="124">
        <f t="shared" si="5"/>
        <v>97499.999999999956</v>
      </c>
      <c r="AF259" s="124">
        <f t="shared" si="5"/>
        <v>97499.999999999956</v>
      </c>
      <c r="AG259" s="124">
        <f t="shared" si="5"/>
        <v>97499.999999999956</v>
      </c>
      <c r="AH259" s="124">
        <f t="shared" si="5"/>
        <v>54848.332198493867</v>
      </c>
      <c r="AI259" s="124">
        <f t="shared" si="5"/>
        <v>115780.86999482094</v>
      </c>
      <c r="AJ259" s="124">
        <f t="shared" si="5"/>
        <v>79219.130005179017</v>
      </c>
      <c r="AK259" s="124">
        <f t="shared" si="5"/>
        <v>115780.86999482094</v>
      </c>
      <c r="AL259" s="124">
        <f t="shared" si="5"/>
        <v>66216.817471691509</v>
      </c>
      <c r="AM259" s="124">
        <f t="shared" si="5"/>
        <v>121870.79780668512</v>
      </c>
      <c r="AN259" s="124">
        <f t="shared" si="5"/>
        <v>140151.66780150609</v>
      </c>
      <c r="AO259" s="124">
        <f t="shared" si="5"/>
        <v>95142.966219898604</v>
      </c>
      <c r="AP259" s="124">
        <f t="shared" si="5"/>
        <v>121870.79780668512</v>
      </c>
      <c r="AQ259" s="124">
        <f t="shared" si="5"/>
        <v>107247.83112603099</v>
      </c>
      <c r="AR259" s="124">
        <f t="shared" si="5"/>
        <v>97499.999999999956</v>
      </c>
      <c r="AS259" s="124">
        <f t="shared" si="5"/>
        <v>104673.51610727298</v>
      </c>
      <c r="AT259" s="124">
        <f t="shared" si="5"/>
        <v>54848.332198493874</v>
      </c>
      <c r="AU259" s="124">
        <f t="shared" si="5"/>
        <v>115780.86999482094</v>
      </c>
      <c r="AV259" s="124">
        <f t="shared" si="5"/>
        <v>94315.708067022075</v>
      </c>
      <c r="AW259" s="124">
        <f t="shared" si="5"/>
        <v>140151.66780150609</v>
      </c>
      <c r="AX259" s="124">
        <f t="shared" si="5"/>
        <v>114796.02209109988</v>
      </c>
      <c r="AY259" s="124">
        <f>AZ$14*$B$259</f>
        <v>107685.04365992248</v>
      </c>
      <c r="AZ259" s="139">
        <f>SUM($D259:$AY259)</f>
        <v>4215691.7606151057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5864.465843052647</v>
      </c>
      <c r="E260" s="125">
        <f t="shared" ref="E260:AY260" si="6">(E$175-E$176+E$177-E$178+E$179-E$180+E$181-E$182)*$B$260</f>
        <v>9637.5140145912665</v>
      </c>
      <c r="F260" s="125">
        <f t="shared" si="6"/>
        <v>7791.1471864510149</v>
      </c>
      <c r="G260" s="125">
        <f t="shared" si="6"/>
        <v>8644.3641100435343</v>
      </c>
      <c r="H260" s="125">
        <f t="shared" si="6"/>
        <v>6865.0067693233095</v>
      </c>
      <c r="I260" s="125">
        <f t="shared" si="6"/>
        <v>7420.0301542574034</v>
      </c>
      <c r="J260" s="125">
        <f t="shared" si="6"/>
        <v>9504.8966732679291</v>
      </c>
      <c r="K260" s="125">
        <f t="shared" si="6"/>
        <v>6816.0282710275997</v>
      </c>
      <c r="L260" s="125">
        <f t="shared" si="6"/>
        <v>10146.406247393514</v>
      </c>
      <c r="M260" s="125">
        <f t="shared" si="6"/>
        <v>13230.872419474192</v>
      </c>
      <c r="N260" s="125">
        <f t="shared" si="6"/>
        <v>13951.271300619484</v>
      </c>
      <c r="O260" s="125">
        <f t="shared" si="6"/>
        <v>14907.384478696045</v>
      </c>
      <c r="P260" s="125">
        <f t="shared" si="6"/>
        <v>11108.602784147211</v>
      </c>
      <c r="Q260" s="125">
        <f t="shared" si="6"/>
        <v>16960.278080005188</v>
      </c>
      <c r="R260" s="125">
        <f t="shared" si="6"/>
        <v>15991.639819979224</v>
      </c>
      <c r="S260" s="125">
        <f t="shared" si="6"/>
        <v>17086.368085294431</v>
      </c>
      <c r="T260" s="125">
        <f t="shared" si="6"/>
        <v>20017.907190781305</v>
      </c>
      <c r="U260" s="125">
        <f t="shared" si="6"/>
        <v>21805.592305410533</v>
      </c>
      <c r="V260" s="125">
        <f t="shared" si="6"/>
        <v>24711.142014406538</v>
      </c>
      <c r="W260" s="125">
        <f t="shared" si="6"/>
        <v>25557.049903518164</v>
      </c>
      <c r="X260" s="125">
        <f t="shared" si="6"/>
        <v>14000.224991220412</v>
      </c>
      <c r="Y260" s="125">
        <f t="shared" si="6"/>
        <v>8839.3754430606496</v>
      </c>
      <c r="Z260" s="125">
        <f t="shared" si="6"/>
        <v>4279.3754430606496</v>
      </c>
      <c r="AA260" s="125">
        <f t="shared" si="6"/>
        <v>0</v>
      </c>
      <c r="AB260" s="125">
        <f t="shared" si="6"/>
        <v>0</v>
      </c>
      <c r="AC260" s="125">
        <f t="shared" si="6"/>
        <v>0</v>
      </c>
      <c r="AD260" s="125">
        <f t="shared" si="6"/>
        <v>0</v>
      </c>
      <c r="AE260" s="125">
        <f t="shared" si="6"/>
        <v>1379.9999999999982</v>
      </c>
      <c r="AF260" s="125">
        <f t="shared" si="6"/>
        <v>2602.0749758540842</v>
      </c>
      <c r="AG260" s="125">
        <f t="shared" si="6"/>
        <v>1199.999999999995</v>
      </c>
      <c r="AH260" s="125">
        <f t="shared" si="6"/>
        <v>1679.9999999999932</v>
      </c>
      <c r="AI260" s="125">
        <f t="shared" si="6"/>
        <v>3359.9999999999914</v>
      </c>
      <c r="AJ260" s="125">
        <f t="shared" si="6"/>
        <v>2394.2477756052058</v>
      </c>
      <c r="AK260" s="125">
        <f t="shared" si="6"/>
        <v>6301.3296838749238</v>
      </c>
      <c r="AL260" s="125">
        <f t="shared" si="6"/>
        <v>836.11754590593705</v>
      </c>
      <c r="AM260" s="125">
        <f t="shared" si="6"/>
        <v>0</v>
      </c>
      <c r="AN260" s="125">
        <f t="shared" si="6"/>
        <v>11211.443455032133</v>
      </c>
      <c r="AO260" s="125">
        <f t="shared" si="6"/>
        <v>9438.5512201063648</v>
      </c>
      <c r="AP260" s="125">
        <f t="shared" si="6"/>
        <v>16690.275143572442</v>
      </c>
      <c r="AQ260" s="125">
        <f t="shared" si="6"/>
        <v>19240.301003223609</v>
      </c>
      <c r="AR260" s="125">
        <f t="shared" si="6"/>
        <v>22787.363072045733</v>
      </c>
      <c r="AS260" s="125">
        <f t="shared" si="6"/>
        <v>21093.992621887766</v>
      </c>
      <c r="AT260" s="125">
        <f t="shared" si="6"/>
        <v>23892.332642777859</v>
      </c>
      <c r="AU260" s="125">
        <f t="shared" si="6"/>
        <v>19612.535077401146</v>
      </c>
      <c r="AV260" s="125">
        <f t="shared" si="6"/>
        <v>14203.742379246256</v>
      </c>
      <c r="AW260" s="125">
        <f t="shared" si="6"/>
        <v>20302.922972168661</v>
      </c>
      <c r="AX260" s="125">
        <f t="shared" si="6"/>
        <v>17363.444114667687</v>
      </c>
      <c r="AY260" s="125">
        <f t="shared" si="6"/>
        <v>14203.388741581173</v>
      </c>
      <c r="AZ260" s="141">
        <f>SUM($D260:$AY260)</f>
        <v>524931.00595403323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1268.3144858243709</v>
      </c>
      <c r="E9" s="117">
        <v>1268.3144858243709</v>
      </c>
      <c r="F9" s="117">
        <v>1268.3144858243709</v>
      </c>
      <c r="G9" s="117">
        <v>1268.3144858243709</v>
      </c>
      <c r="H9" s="117">
        <v>1056.9338203286743</v>
      </c>
      <c r="I9" s="117">
        <v>1056.9338203286743</v>
      </c>
      <c r="J9" s="117">
        <v>1056.9338203286743</v>
      </c>
      <c r="K9" s="117">
        <v>1056.9338203286743</v>
      </c>
      <c r="L9" s="117">
        <v>845.55315483297784</v>
      </c>
      <c r="M9" s="117">
        <v>845.55315483297784</v>
      </c>
      <c r="N9" s="117">
        <v>845.55315483297784</v>
      </c>
      <c r="O9" s="117">
        <v>845.55315483297784</v>
      </c>
      <c r="P9" s="117">
        <v>1056.9338203286743</v>
      </c>
      <c r="Q9" s="117">
        <v>1056.9338203286743</v>
      </c>
      <c r="R9" s="117">
        <v>1056.9338203286743</v>
      </c>
      <c r="S9" s="117">
        <v>1056.9338203286743</v>
      </c>
      <c r="T9" s="117">
        <v>1056.9338203286743</v>
      </c>
      <c r="U9" s="117">
        <v>1056.9338203286743</v>
      </c>
      <c r="V9" s="117">
        <v>1056.9338203286743</v>
      </c>
      <c r="W9" s="117">
        <v>1056.9338203286743</v>
      </c>
      <c r="X9" s="117">
        <v>1056.9338203286743</v>
      </c>
      <c r="Y9" s="117">
        <v>1056.9338203286743</v>
      </c>
      <c r="Z9" s="117">
        <v>1056.9338203286743</v>
      </c>
      <c r="AA9" s="117">
        <v>1056.9338203286743</v>
      </c>
      <c r="AB9" s="117">
        <v>1056.9338203286743</v>
      </c>
      <c r="AC9" s="117">
        <v>1056.9338203286743</v>
      </c>
      <c r="AD9" s="117">
        <v>1056.9338203286743</v>
      </c>
      <c r="AE9" s="117">
        <v>1056.9338203286743</v>
      </c>
      <c r="AF9" s="117">
        <v>1056.9338203286743</v>
      </c>
      <c r="AG9" s="117">
        <v>1056.9338203286743</v>
      </c>
      <c r="AH9" s="117">
        <v>1056.9338203286743</v>
      </c>
      <c r="AI9" s="117">
        <v>1056.9338203286743</v>
      </c>
      <c r="AJ9" s="117">
        <v>1056.9338203286743</v>
      </c>
      <c r="AK9" s="117">
        <v>1056.9338203286743</v>
      </c>
      <c r="AL9" s="117">
        <v>1056.9338203286743</v>
      </c>
      <c r="AM9" s="117">
        <v>1056.9338203286743</v>
      </c>
      <c r="AN9" s="117">
        <v>1268.3144858243709</v>
      </c>
      <c r="AO9" s="117">
        <v>1268.3144858243709</v>
      </c>
      <c r="AP9" s="117">
        <v>1268.3144858243709</v>
      </c>
      <c r="AQ9" s="117">
        <v>1268.3144858243709</v>
      </c>
      <c r="AR9" s="117">
        <v>1056.9338203286743</v>
      </c>
      <c r="AS9" s="117">
        <v>1056.9338203286743</v>
      </c>
      <c r="AT9" s="117">
        <v>1056.9338203286743</v>
      </c>
      <c r="AU9" s="117">
        <v>1056.9338203286743</v>
      </c>
      <c r="AV9" s="117">
        <v>1268.3144858243709</v>
      </c>
      <c r="AW9" s="117">
        <v>1268.3144858243709</v>
      </c>
      <c r="AX9" s="117">
        <v>1268.3144858243709</v>
      </c>
      <c r="AY9" s="117">
        <v>1268.3144858243709</v>
      </c>
    </row>
    <row r="10" spans="1:53">
      <c r="A10" s="118" t="s">
        <v>133</v>
      </c>
      <c r="B10" s="119">
        <v>1</v>
      </c>
      <c r="C10" s="106" t="s">
        <v>293</v>
      </c>
      <c r="D10" s="100">
        <v>605.60996451915514</v>
      </c>
      <c r="E10" s="100">
        <v>190.95477315903699</v>
      </c>
      <c r="F10" s="100">
        <v>728.79337512961024</v>
      </c>
      <c r="G10" s="100">
        <v>728.79337512961024</v>
      </c>
      <c r="H10" s="100">
        <v>0</v>
      </c>
      <c r="I10" s="100">
        <v>1287.0281416102812</v>
      </c>
      <c r="J10" s="100">
        <v>0</v>
      </c>
      <c r="K10" s="100">
        <v>607.33073288625394</v>
      </c>
      <c r="L10" s="100">
        <v>607.33073288625394</v>
      </c>
      <c r="M10" s="100">
        <v>190.95477315903699</v>
      </c>
      <c r="N10" s="100">
        <v>0</v>
      </c>
      <c r="O10" s="100">
        <v>485.86809064289776</v>
      </c>
      <c r="P10" s="100">
        <v>0</v>
      </c>
      <c r="Q10" s="100">
        <v>190.95477315903705</v>
      </c>
      <c r="R10" s="100">
        <v>0</v>
      </c>
      <c r="S10" s="100">
        <v>190.95477315903699</v>
      </c>
      <c r="T10" s="100">
        <v>607.33073288625394</v>
      </c>
      <c r="U10" s="100">
        <v>607.33073288625394</v>
      </c>
      <c r="V10" s="100">
        <v>607.33073288625394</v>
      </c>
      <c r="W10" s="100">
        <v>190.95477315903699</v>
      </c>
      <c r="X10" s="100">
        <v>0</v>
      </c>
      <c r="Y10" s="100">
        <v>190.95477315903702</v>
      </c>
      <c r="Z10" s="100">
        <v>607.33073288625394</v>
      </c>
      <c r="AA10" s="100">
        <v>607.33073288625394</v>
      </c>
      <c r="AB10" s="100">
        <v>607.33073288625394</v>
      </c>
      <c r="AC10" s="100">
        <v>607.33073288625394</v>
      </c>
      <c r="AD10" s="100">
        <v>607.33073288625394</v>
      </c>
      <c r="AE10" s="100">
        <v>190.95477315903699</v>
      </c>
      <c r="AF10" s="100">
        <v>0</v>
      </c>
      <c r="AG10" s="100">
        <v>190.95477315903699</v>
      </c>
      <c r="AH10" s="100">
        <v>607.33073288625394</v>
      </c>
      <c r="AI10" s="100">
        <v>607.33073288625394</v>
      </c>
      <c r="AJ10" s="100">
        <v>607.33073288625394</v>
      </c>
      <c r="AK10" s="100">
        <v>607.33073288625394</v>
      </c>
      <c r="AL10" s="100">
        <v>0</v>
      </c>
      <c r="AM10" s="100">
        <v>607.33073288625394</v>
      </c>
      <c r="AN10" s="100">
        <v>0</v>
      </c>
      <c r="AO10" s="100">
        <v>0</v>
      </c>
      <c r="AP10" s="100">
        <v>1287.0281416102812</v>
      </c>
      <c r="AQ10" s="100">
        <v>0</v>
      </c>
      <c r="AR10" s="100">
        <v>190.95477315903705</v>
      </c>
      <c r="AS10" s="100">
        <v>0</v>
      </c>
      <c r="AT10" s="100">
        <v>607.33073288625394</v>
      </c>
      <c r="AU10" s="100">
        <v>0</v>
      </c>
      <c r="AV10" s="100">
        <v>607.33073288625394</v>
      </c>
      <c r="AW10" s="100">
        <v>607.33073288625394</v>
      </c>
      <c r="AX10" s="100">
        <v>728.79337512961024</v>
      </c>
      <c r="AY10" s="100">
        <v>0</v>
      </c>
      <c r="AZ10" s="100">
        <v>728.79337512961024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F11" s="100">
        <v>405.01067097356361</v>
      </c>
      <c r="G11" s="100">
        <v>0</v>
      </c>
      <c r="I11" s="100">
        <v>0</v>
      </c>
      <c r="K11" s="100">
        <v>607.33073288625394</v>
      </c>
      <c r="M11" s="100">
        <v>0</v>
      </c>
      <c r="N11" s="100">
        <v>416.37595972721692</v>
      </c>
      <c r="O11" s="100">
        <v>485.86809064289781</v>
      </c>
      <c r="Q11" s="100">
        <v>485.86809064289781</v>
      </c>
      <c r="R11" s="100">
        <v>294.91331748386074</v>
      </c>
      <c r="S11" s="100">
        <v>607.33073288625394</v>
      </c>
      <c r="T11" s="100">
        <v>0</v>
      </c>
      <c r="U11" s="100">
        <v>0</v>
      </c>
      <c r="V11" s="100">
        <v>0</v>
      </c>
      <c r="W11" s="100">
        <v>0</v>
      </c>
      <c r="X11" s="100">
        <v>416.37595972721692</v>
      </c>
      <c r="Y11" s="100">
        <v>0</v>
      </c>
      <c r="Z11" s="100">
        <v>1023.7066926134709</v>
      </c>
      <c r="AA11" s="100">
        <v>0</v>
      </c>
      <c r="AC11" s="100">
        <v>0</v>
      </c>
      <c r="AF11" s="100">
        <v>0</v>
      </c>
      <c r="AG11" s="100">
        <v>607.33073288625394</v>
      </c>
      <c r="AH11" s="100">
        <v>416.37595972721692</v>
      </c>
      <c r="AJ11" s="100">
        <v>0</v>
      </c>
      <c r="AL11" s="100">
        <v>0</v>
      </c>
      <c r="AM11" s="100">
        <v>0</v>
      </c>
      <c r="AO11" s="100">
        <v>607.33073288625394</v>
      </c>
      <c r="AP11" s="100">
        <v>0</v>
      </c>
      <c r="AQ11" s="100">
        <v>0</v>
      </c>
      <c r="AR11" s="100">
        <v>728.79337512961024</v>
      </c>
      <c r="AS11" s="100">
        <v>537.83860197057322</v>
      </c>
      <c r="AT11" s="100">
        <v>728.79337512961024</v>
      </c>
      <c r="AU11" s="100">
        <v>0</v>
      </c>
      <c r="AV11" s="100">
        <v>607.33073288625394</v>
      </c>
      <c r="AY11" s="100">
        <v>0</v>
      </c>
      <c r="AZ11" s="100">
        <v>728.79337512961024</v>
      </c>
      <c r="BA11" s="100">
        <v>0</v>
      </c>
    </row>
    <row r="12" spans="1:53">
      <c r="B12" s="120">
        <v>3</v>
      </c>
      <c r="C12" s="106" t="s">
        <v>293</v>
      </c>
      <c r="G12" s="100">
        <v>0</v>
      </c>
      <c r="K12" s="100">
        <v>0</v>
      </c>
      <c r="M12" s="100">
        <v>0</v>
      </c>
      <c r="Q12" s="100">
        <v>0</v>
      </c>
      <c r="T12" s="100">
        <v>0</v>
      </c>
      <c r="U12" s="100">
        <v>416.37595972721692</v>
      </c>
      <c r="AA12" s="100">
        <v>0</v>
      </c>
      <c r="AE12" s="100">
        <v>0</v>
      </c>
      <c r="AF12" s="100">
        <v>0</v>
      </c>
      <c r="AG12" s="100">
        <v>416.37595972721692</v>
      </c>
      <c r="AJ12" s="100">
        <v>0</v>
      </c>
      <c r="AL12" s="100">
        <v>0</v>
      </c>
      <c r="AN12" s="100">
        <v>607.33073288625394</v>
      </c>
      <c r="AX12" s="100">
        <v>0</v>
      </c>
      <c r="AY12" s="100">
        <v>0</v>
      </c>
    </row>
    <row r="13" spans="1:53">
      <c r="B13" s="120">
        <v>4</v>
      </c>
      <c r="C13" s="106" t="s">
        <v>293</v>
      </c>
      <c r="D13" s="100">
        <v>0</v>
      </c>
      <c r="J13" s="100">
        <v>0</v>
      </c>
      <c r="AD13" s="100">
        <v>0</v>
      </c>
      <c r="AP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593.85503740679246</v>
      </c>
      <c r="E14" s="117">
        <f t="shared" ref="E14:AZ14" si="0">D$172*SUM(D$122:D$169)</f>
        <v>380.37704027182809</v>
      </c>
      <c r="F14" s="117">
        <f t="shared" si="0"/>
        <v>116.40184700623479</v>
      </c>
      <c r="G14" s="117">
        <f t="shared" si="0"/>
        <v>690.98669434918429</v>
      </c>
      <c r="H14" s="117">
        <f t="shared" si="0"/>
        <v>559.2501909560433</v>
      </c>
      <c r="I14" s="117">
        <f t="shared" si="0"/>
        <v>74.003029287223541</v>
      </c>
      <c r="J14" s="117">
        <f t="shared" si="0"/>
        <v>784.36348961498413</v>
      </c>
      <c r="K14" s="117">
        <f t="shared" si="0"/>
        <v>201.58295392537653</v>
      </c>
      <c r="L14" s="117">
        <f t="shared" si="0"/>
        <v>740.26227791322003</v>
      </c>
      <c r="M14" s="117">
        <f t="shared" si="0"/>
        <v>520.45496195999453</v>
      </c>
      <c r="N14" s="117">
        <f t="shared" si="0"/>
        <v>152.38463789644888</v>
      </c>
      <c r="O14" s="117">
        <f t="shared" si="0"/>
        <v>253.77650676250136</v>
      </c>
      <c r="P14" s="117">
        <f t="shared" si="0"/>
        <v>592.220388813932</v>
      </c>
      <c r="Q14" s="117">
        <f t="shared" si="0"/>
        <v>56.673078539243541</v>
      </c>
      <c r="R14" s="117">
        <f t="shared" si="0"/>
        <v>412.49630314249214</v>
      </c>
      <c r="S14" s="117">
        <f t="shared" si="0"/>
        <v>179.75556221285731</v>
      </c>
      <c r="T14" s="117">
        <f t="shared" si="0"/>
        <v>486.51724769213621</v>
      </c>
      <c r="U14" s="117">
        <f t="shared" si="0"/>
        <v>370.14687722731873</v>
      </c>
      <c r="V14" s="117">
        <f t="shared" si="0"/>
        <v>623.89190744840266</v>
      </c>
      <c r="W14" s="117">
        <f t="shared" si="0"/>
        <v>427.70023396953741</v>
      </c>
      <c r="X14" s="117">
        <f t="shared" si="0"/>
        <v>136.78694371462572</v>
      </c>
      <c r="Y14" s="117">
        <f t="shared" si="0"/>
        <v>253.77650676250136</v>
      </c>
      <c r="Z14" s="117">
        <f t="shared" si="0"/>
        <v>116.40184700623479</v>
      </c>
      <c r="AA14" s="117">
        <f t="shared" si="0"/>
        <v>994.00730813430414</v>
      </c>
      <c r="AB14" s="117">
        <f t="shared" si="0"/>
        <v>646.62470210452466</v>
      </c>
      <c r="AC14" s="117">
        <f t="shared" si="0"/>
        <v>465.28818348695148</v>
      </c>
      <c r="AD14" s="117">
        <f t="shared" si="0"/>
        <v>370.14687722731873</v>
      </c>
      <c r="AE14" s="117">
        <f t="shared" si="0"/>
        <v>370.14687722731873</v>
      </c>
      <c r="AF14" s="117">
        <f t="shared" si="0"/>
        <v>116.4018470062348</v>
      </c>
      <c r="AG14" s="117">
        <f t="shared" si="0"/>
        <v>3.1476541417386553E-2</v>
      </c>
      <c r="AH14" s="117">
        <f t="shared" si="0"/>
        <v>740.26227791322015</v>
      </c>
      <c r="AI14" s="117">
        <f t="shared" si="0"/>
        <v>762.00813795817407</v>
      </c>
      <c r="AJ14" s="117">
        <f t="shared" si="0"/>
        <v>536.92425272965988</v>
      </c>
      <c r="AK14" s="117">
        <f t="shared" si="0"/>
        <v>386.89912793405017</v>
      </c>
      <c r="AL14" s="117">
        <f t="shared" si="0"/>
        <v>370.14687722731873</v>
      </c>
      <c r="AM14" s="117">
        <f t="shared" si="0"/>
        <v>3.1476541417386553E-2</v>
      </c>
      <c r="AN14" s="117">
        <f t="shared" si="0"/>
        <v>370.14687722731873</v>
      </c>
      <c r="AO14" s="117">
        <f t="shared" si="0"/>
        <v>370.14687722731873</v>
      </c>
      <c r="AP14" s="117">
        <f t="shared" si="0"/>
        <v>370.14687722731873</v>
      </c>
      <c r="AQ14" s="117">
        <f t="shared" si="0"/>
        <v>784.36348961498413</v>
      </c>
      <c r="AR14" s="117">
        <f t="shared" si="0"/>
        <v>91.449871636716054</v>
      </c>
      <c r="AS14" s="117">
        <f t="shared" si="0"/>
        <v>560.53819224178017</v>
      </c>
      <c r="AT14" s="117">
        <f t="shared" si="0"/>
        <v>327.79745131214537</v>
      </c>
      <c r="AU14" s="117">
        <f t="shared" si="0"/>
        <v>814.28322246286405</v>
      </c>
      <c r="AV14" s="117">
        <f t="shared" si="0"/>
        <v>134.27692568748</v>
      </c>
      <c r="AW14" s="117">
        <f t="shared" si="0"/>
        <v>740.26227791322003</v>
      </c>
      <c r="AX14" s="117">
        <f t="shared" si="0"/>
        <v>462.66949212641242</v>
      </c>
      <c r="AY14" s="117">
        <f t="shared" si="0"/>
        <v>444.16782177696274</v>
      </c>
      <c r="AZ14" s="110">
        <f t="shared" si="0"/>
        <v>3.1476541417386553E-2</v>
      </c>
      <c r="BA14" s="107">
        <f>SUM($E14:$AZ14)</f>
        <v>19359.410801500169</v>
      </c>
    </row>
    <row r="15" spans="1:53">
      <c r="A15" s="122" t="s">
        <v>123</v>
      </c>
      <c r="B15" s="123">
        <v>1</v>
      </c>
      <c r="C15" s="124" t="s">
        <v>293</v>
      </c>
      <c r="D15" s="124">
        <v>824.162556300284</v>
      </c>
      <c r="E15" s="124">
        <v>259.11529491567194</v>
      </c>
      <c r="F15" s="124">
        <v>988.73582414568352</v>
      </c>
      <c r="G15" s="124">
        <v>988.73582414568352</v>
      </c>
      <c r="H15" s="124">
        <v>7.0068074708940137E-2</v>
      </c>
      <c r="I15" s="124">
        <v>1746.025360935949</v>
      </c>
      <c r="J15" s="124">
        <v>7.0068074708940137E-2</v>
      </c>
      <c r="K15" s="124">
        <v>823.96215972186837</v>
      </c>
      <c r="L15" s="124">
        <v>823.96215972186837</v>
      </c>
      <c r="M15" s="124">
        <v>259.115294915672</v>
      </c>
      <c r="N15" s="124">
        <v>7.0068074708940137E-2</v>
      </c>
      <c r="O15" s="124">
        <v>659.18849529805311</v>
      </c>
      <c r="P15" s="124">
        <v>7.0068074708940137E-2</v>
      </c>
      <c r="Q15" s="124">
        <v>259.115294915672</v>
      </c>
      <c r="R15" s="124">
        <v>7.0068074708940137E-2</v>
      </c>
      <c r="S15" s="124">
        <v>259.115294915672</v>
      </c>
      <c r="T15" s="124">
        <v>823.96215972186837</v>
      </c>
      <c r="U15" s="124">
        <v>823.96215972186837</v>
      </c>
      <c r="V15" s="124">
        <v>823.96215972186837</v>
      </c>
      <c r="W15" s="124">
        <v>259.115294915672</v>
      </c>
      <c r="X15" s="124">
        <v>7.0068074708940137E-2</v>
      </c>
      <c r="Y15" s="124">
        <v>259.11529491567194</v>
      </c>
      <c r="Z15" s="124">
        <v>823.96215972186837</v>
      </c>
      <c r="AA15" s="124">
        <v>823.96215972186837</v>
      </c>
      <c r="AB15" s="124">
        <v>823.96215972186837</v>
      </c>
      <c r="AC15" s="124">
        <v>823.96215972186837</v>
      </c>
      <c r="AD15" s="124">
        <v>823.96215972186837</v>
      </c>
      <c r="AE15" s="124">
        <v>259.115294915672</v>
      </c>
      <c r="AF15" s="124">
        <v>7.0068074708940137E-2</v>
      </c>
      <c r="AG15" s="124">
        <v>259.115294915672</v>
      </c>
      <c r="AH15" s="124">
        <v>823.96215972186837</v>
      </c>
      <c r="AI15" s="124">
        <v>823.96215972186837</v>
      </c>
      <c r="AJ15" s="124">
        <v>823.96215972186837</v>
      </c>
      <c r="AK15" s="124">
        <v>823.96215972186837</v>
      </c>
      <c r="AL15" s="124">
        <v>7.0068074708940137E-2</v>
      </c>
      <c r="AM15" s="124">
        <v>823.96215972186837</v>
      </c>
      <c r="AN15" s="124">
        <v>7.0068074708940137E-2</v>
      </c>
      <c r="AO15" s="124">
        <v>7.0068074708940137E-2</v>
      </c>
      <c r="AP15" s="124">
        <v>1746.025360935949</v>
      </c>
      <c r="AQ15" s="124">
        <v>7.0068074708940137E-2</v>
      </c>
      <c r="AR15" s="124">
        <v>259.11529491567194</v>
      </c>
      <c r="AS15" s="124">
        <v>7.0068074708940137E-2</v>
      </c>
      <c r="AT15" s="124">
        <v>823.96215972186837</v>
      </c>
      <c r="AU15" s="124">
        <v>7.0068074708940137E-2</v>
      </c>
      <c r="AV15" s="124">
        <v>823.96215972186837</v>
      </c>
      <c r="AW15" s="124">
        <v>823.96215972186837</v>
      </c>
      <c r="AX15" s="124">
        <v>988.73582414568352</v>
      </c>
      <c r="AY15" s="124">
        <v>7.0068074708940137E-2</v>
      </c>
      <c r="AZ15" s="100">
        <v>988.66575607097457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>
        <v>549.42895325259951</v>
      </c>
      <c r="G16" s="110">
        <v>0</v>
      </c>
      <c r="H16" s="110"/>
      <c r="I16" s="110">
        <v>0</v>
      </c>
      <c r="J16" s="110"/>
      <c r="K16" s="110">
        <v>823.89209164715942</v>
      </c>
      <c r="L16" s="110"/>
      <c r="M16" s="110">
        <v>0</v>
      </c>
      <c r="N16" s="110">
        <v>564.84686480619644</v>
      </c>
      <c r="O16" s="110">
        <v>659.11842722334416</v>
      </c>
      <c r="P16" s="110"/>
      <c r="Q16" s="110">
        <v>659.11842722334416</v>
      </c>
      <c r="R16" s="110">
        <v>400.07320038238112</v>
      </c>
      <c r="S16" s="110">
        <v>823.89209164715942</v>
      </c>
      <c r="T16" s="110">
        <v>0</v>
      </c>
      <c r="U16" s="110">
        <v>0</v>
      </c>
      <c r="V16" s="110">
        <v>0</v>
      </c>
      <c r="W16" s="110">
        <v>0</v>
      </c>
      <c r="X16" s="110">
        <v>564.84686480619644</v>
      </c>
      <c r="Y16" s="110">
        <v>0</v>
      </c>
      <c r="Z16" s="110">
        <v>1388.738956453356</v>
      </c>
      <c r="AA16" s="110">
        <v>0</v>
      </c>
      <c r="AB16" s="110"/>
      <c r="AC16" s="110">
        <v>0</v>
      </c>
      <c r="AD16" s="110"/>
      <c r="AE16" s="110"/>
      <c r="AF16" s="110">
        <v>0</v>
      </c>
      <c r="AG16" s="110">
        <v>823.89209164715942</v>
      </c>
      <c r="AH16" s="110">
        <v>564.84686480619644</v>
      </c>
      <c r="AI16" s="110"/>
      <c r="AJ16" s="110">
        <v>0</v>
      </c>
      <c r="AK16" s="110"/>
      <c r="AL16" s="110">
        <v>0</v>
      </c>
      <c r="AM16" s="110">
        <v>0</v>
      </c>
      <c r="AN16" s="110"/>
      <c r="AO16" s="110">
        <v>823.89209164715942</v>
      </c>
      <c r="AP16" s="110">
        <v>0</v>
      </c>
      <c r="AQ16" s="110">
        <v>0</v>
      </c>
      <c r="AR16" s="110">
        <v>988.66575607097457</v>
      </c>
      <c r="AS16" s="110">
        <v>729.62052923001158</v>
      </c>
      <c r="AT16" s="110">
        <v>988.66575607097457</v>
      </c>
      <c r="AU16" s="110">
        <v>0</v>
      </c>
      <c r="AV16" s="110">
        <v>823.89209164715942</v>
      </c>
      <c r="AW16" s="110"/>
      <c r="AX16" s="110"/>
      <c r="AY16" s="110">
        <v>0</v>
      </c>
      <c r="AZ16" s="100">
        <v>988.66575607097457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>
        <v>0</v>
      </c>
      <c r="H17" s="110"/>
      <c r="I17" s="110"/>
      <c r="J17" s="110"/>
      <c r="K17" s="110">
        <v>0</v>
      </c>
      <c r="L17" s="110"/>
      <c r="M17" s="110">
        <v>0</v>
      </c>
      <c r="N17" s="110"/>
      <c r="O17" s="110"/>
      <c r="P17" s="110"/>
      <c r="Q17" s="110">
        <v>0</v>
      </c>
      <c r="R17" s="110"/>
      <c r="S17" s="110"/>
      <c r="T17" s="110">
        <v>0</v>
      </c>
      <c r="U17" s="110">
        <v>564.84686480619644</v>
      </c>
      <c r="V17" s="110"/>
      <c r="W17" s="110"/>
      <c r="X17" s="110"/>
      <c r="Y17" s="110"/>
      <c r="Z17" s="110"/>
      <c r="AA17" s="110">
        <v>0</v>
      </c>
      <c r="AB17" s="110"/>
      <c r="AC17" s="110"/>
      <c r="AD17" s="110"/>
      <c r="AE17" s="110">
        <v>0</v>
      </c>
      <c r="AF17" s="110">
        <v>0</v>
      </c>
      <c r="AG17" s="110">
        <v>564.84686480619644</v>
      </c>
      <c r="AH17" s="110"/>
      <c r="AI17" s="110"/>
      <c r="AJ17" s="110">
        <v>0</v>
      </c>
      <c r="AK17" s="110"/>
      <c r="AL17" s="110">
        <v>0</v>
      </c>
      <c r="AM17" s="110"/>
      <c r="AN17" s="110">
        <v>823.89209164715942</v>
      </c>
      <c r="AO17" s="110"/>
      <c r="AP17" s="110"/>
      <c r="AQ17" s="110"/>
      <c r="AR17" s="110"/>
      <c r="AS17" s="110"/>
      <c r="AT17" s="110"/>
      <c r="AU17" s="110"/>
      <c r="AV17" s="110"/>
      <c r="AW17" s="110"/>
      <c r="AX17" s="110">
        <v>0</v>
      </c>
      <c r="AY17" s="110">
        <v>0</v>
      </c>
    </row>
    <row r="18" spans="1:51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>
        <v>0</v>
      </c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>
        <v>0</v>
      </c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>
        <v>109.31871758388434</v>
      </c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>
        <v>17.07420900985835</v>
      </c>
      <c r="AA21" s="124">
        <v>105.72244647517891</v>
      </c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>
        <v>444.3648215844828</v>
      </c>
      <c r="G22" s="110">
        <v>84.843685099664071</v>
      </c>
      <c r="H22" s="110"/>
      <c r="I22" s="110">
        <v>81.260456252063705</v>
      </c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>
        <v>441.47056262939441</v>
      </c>
      <c r="AA22" s="110">
        <v>0</v>
      </c>
      <c r="AB22" s="110"/>
      <c r="AC22" s="110"/>
      <c r="AD22" s="110"/>
      <c r="AE22" s="110"/>
      <c r="AF22" s="110"/>
      <c r="AG22" s="110"/>
      <c r="AH22" s="110">
        <v>332.56096740767589</v>
      </c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>
        <v>0</v>
      </c>
      <c r="G23" s="110">
        <v>0</v>
      </c>
      <c r="H23" s="110"/>
      <c r="I23" s="110">
        <v>0</v>
      </c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>
        <v>0</v>
      </c>
      <c r="AA23" s="110">
        <v>0</v>
      </c>
      <c r="AB23" s="110"/>
      <c r="AC23" s="110"/>
      <c r="AD23" s="110"/>
      <c r="AE23" s="110"/>
      <c r="AF23" s="110"/>
      <c r="AG23" s="110"/>
      <c r="AH23" s="110">
        <v>0</v>
      </c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>
        <v>0</v>
      </c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>
        <v>0</v>
      </c>
      <c r="AA29" s="110">
        <v>0</v>
      </c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>
        <v>0</v>
      </c>
      <c r="G30" s="110">
        <v>0</v>
      </c>
      <c r="H30" s="110"/>
      <c r="I30" s="110">
        <v>0</v>
      </c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>
        <v>0</v>
      </c>
      <c r="AA30" s="110">
        <v>0</v>
      </c>
      <c r="AB30" s="110"/>
      <c r="AC30" s="110"/>
      <c r="AD30" s="110"/>
      <c r="AE30" s="110"/>
      <c r="AF30" s="110"/>
      <c r="AG30" s="110"/>
      <c r="AH30" s="110">
        <v>0</v>
      </c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>
        <v>0</v>
      </c>
      <c r="G31" s="110">
        <v>0</v>
      </c>
      <c r="H31" s="110"/>
      <c r="I31" s="110">
        <v>0</v>
      </c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>
        <v>0</v>
      </c>
      <c r="AA31" s="110">
        <v>0</v>
      </c>
      <c r="AB31" s="110"/>
      <c r="AC31" s="110"/>
      <c r="AD31" s="110"/>
      <c r="AE31" s="110"/>
      <c r="AF31" s="110"/>
      <c r="AG31" s="110"/>
      <c r="AH31" s="110">
        <v>0</v>
      </c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>
        <v>0</v>
      </c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>
        <v>0</v>
      </c>
      <c r="AA41" s="106">
        <v>0</v>
      </c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>
        <v>0</v>
      </c>
      <c r="G42" s="106">
        <v>0</v>
      </c>
      <c r="H42" s="106"/>
      <c r="I42" s="106">
        <v>0</v>
      </c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>
        <v>0</v>
      </c>
      <c r="AA42" s="106">
        <v>0</v>
      </c>
      <c r="AB42" s="106"/>
      <c r="AC42" s="106"/>
      <c r="AD42" s="106"/>
      <c r="AE42" s="106"/>
      <c r="AF42" s="106"/>
      <c r="AG42" s="106"/>
      <c r="AH42" s="106">
        <v>0</v>
      </c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>
        <v>0</v>
      </c>
      <c r="G43" s="106">
        <v>0</v>
      </c>
      <c r="H43" s="106"/>
      <c r="I43" s="106">
        <v>0</v>
      </c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>
        <v>0</v>
      </c>
      <c r="AA43" s="106">
        <v>0</v>
      </c>
      <c r="AB43" s="106"/>
      <c r="AC43" s="106"/>
      <c r="AD43" s="106"/>
      <c r="AE43" s="106"/>
      <c r="AF43" s="106"/>
      <c r="AG43" s="106"/>
      <c r="AH43" s="106">
        <v>0</v>
      </c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>
        <v>0</v>
      </c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>
        <v>0</v>
      </c>
      <c r="AA89" s="110">
        <v>0</v>
      </c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>
        <v>0</v>
      </c>
      <c r="G90" s="110">
        <v>0</v>
      </c>
      <c r="H90" s="110"/>
      <c r="I90" s="110">
        <v>0</v>
      </c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>
        <v>0</v>
      </c>
      <c r="AA90" s="110">
        <v>0</v>
      </c>
      <c r="AB90" s="110"/>
      <c r="AC90" s="110"/>
      <c r="AD90" s="110"/>
      <c r="AE90" s="110"/>
      <c r="AF90" s="110"/>
      <c r="AG90" s="110"/>
      <c r="AH90" s="110">
        <v>0</v>
      </c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>
        <v>0</v>
      </c>
      <c r="G91" s="110">
        <v>0</v>
      </c>
      <c r="H91" s="110"/>
      <c r="I91" s="110">
        <v>0</v>
      </c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>
        <v>0</v>
      </c>
      <c r="AA91" s="110">
        <v>0</v>
      </c>
      <c r="AB91" s="110"/>
      <c r="AC91" s="110"/>
      <c r="AD91" s="110"/>
      <c r="AE91" s="110"/>
      <c r="AF91" s="110"/>
      <c r="AG91" s="110"/>
      <c r="AH91" s="110">
        <v>0</v>
      </c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1616.6158660422025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1053.3294308751972</v>
      </c>
      <c r="D95" s="110">
        <v>1268.3144858243709</v>
      </c>
      <c r="E95" s="110">
        <v>1268.3144858243709</v>
      </c>
      <c r="F95" s="110">
        <v>1158.9957682404865</v>
      </c>
      <c r="G95" s="110">
        <v>1268.3144858243709</v>
      </c>
      <c r="H95" s="110">
        <v>1056.9338203286743</v>
      </c>
      <c r="I95" s="110">
        <v>1056.9338203286743</v>
      </c>
      <c r="J95" s="110">
        <v>1056.9338203286743</v>
      </c>
      <c r="K95" s="110">
        <v>1056.9338203286743</v>
      </c>
      <c r="L95" s="110">
        <v>845.55315483297784</v>
      </c>
      <c r="M95" s="110">
        <v>845.55315483297784</v>
      </c>
      <c r="N95" s="110">
        <v>845.55315483297784</v>
      </c>
      <c r="O95" s="110">
        <v>845.55315483297784</v>
      </c>
      <c r="P95" s="110">
        <v>1056.9338203286743</v>
      </c>
      <c r="Q95" s="110">
        <v>1056.9338203286743</v>
      </c>
      <c r="R95" s="110">
        <v>1056.9338203286743</v>
      </c>
      <c r="S95" s="110">
        <v>1056.9338203286743</v>
      </c>
      <c r="T95" s="110">
        <v>1056.9338203286743</v>
      </c>
      <c r="U95" s="110">
        <v>1056.9338203286743</v>
      </c>
      <c r="V95" s="110">
        <v>1056.9338203286743</v>
      </c>
      <c r="W95" s="110">
        <v>1056.9338203286743</v>
      </c>
      <c r="X95" s="110">
        <v>1056.9338203286743</v>
      </c>
      <c r="Y95" s="110">
        <v>1056.9338203286743</v>
      </c>
      <c r="Z95" s="110">
        <v>1039.859611318816</v>
      </c>
      <c r="AA95" s="110">
        <v>951.21137385349539</v>
      </c>
      <c r="AB95" s="110">
        <v>1056.9338203286743</v>
      </c>
      <c r="AC95" s="110">
        <v>1056.9338203286743</v>
      </c>
      <c r="AD95" s="110">
        <v>1056.9338203286743</v>
      </c>
      <c r="AE95" s="110">
        <v>1056.9338203286743</v>
      </c>
      <c r="AF95" s="110">
        <v>1056.9338203286743</v>
      </c>
      <c r="AG95" s="110">
        <v>1056.9338203286743</v>
      </c>
      <c r="AH95" s="110">
        <v>1056.9338203286743</v>
      </c>
      <c r="AI95" s="110">
        <v>1056.9338203286743</v>
      </c>
      <c r="AJ95" s="110">
        <v>1056.9338203286743</v>
      </c>
      <c r="AK95" s="110">
        <v>1056.9338203286743</v>
      </c>
      <c r="AL95" s="110">
        <v>1056.9338203286743</v>
      </c>
      <c r="AM95" s="110">
        <v>1056.9338203286743</v>
      </c>
      <c r="AN95" s="110">
        <v>1268.3144858243709</v>
      </c>
      <c r="AO95" s="110">
        <v>1268.3144858243709</v>
      </c>
      <c r="AP95" s="110">
        <v>1268.3144858243709</v>
      </c>
      <c r="AQ95" s="110">
        <v>1268.3144858243709</v>
      </c>
      <c r="AR95" s="110">
        <v>1056.9338203286743</v>
      </c>
      <c r="AS95" s="110">
        <v>1056.9338203286743</v>
      </c>
      <c r="AT95" s="110">
        <v>1056.9338203286743</v>
      </c>
      <c r="AU95" s="110">
        <v>1056.9338203286743</v>
      </c>
      <c r="AV95" s="110">
        <v>1268.3144858243709</v>
      </c>
      <c r="AW95" s="110">
        <v>1268.3144858243709</v>
      </c>
      <c r="AX95" s="110">
        <v>1268.3144858243709</v>
      </c>
      <c r="AY95" s="110">
        <v>1268.3144858243709</v>
      </c>
    </row>
    <row r="96" spans="1:52">
      <c r="A96" s="109"/>
      <c r="B96" s="120">
        <v>2</v>
      </c>
      <c r="C96" s="110">
        <v>22.40641906054384</v>
      </c>
      <c r="D96" s="110">
        <v>98.735849935741044</v>
      </c>
      <c r="E96" s="110">
        <v>245.05033576011192</v>
      </c>
      <c r="F96" s="110">
        <v>0</v>
      </c>
      <c r="G96" s="110">
        <v>7.1520831408224694</v>
      </c>
      <c r="H96" s="110">
        <v>290.46656896519335</v>
      </c>
      <c r="I96" s="110">
        <v>151.13993304180394</v>
      </c>
      <c r="J96" s="110">
        <v>246.07375337047824</v>
      </c>
      <c r="K96" s="110">
        <v>0</v>
      </c>
      <c r="L96" s="110">
        <v>246.9338203286743</v>
      </c>
      <c r="M96" s="110">
        <v>77.48697516165214</v>
      </c>
      <c r="N96" s="110">
        <v>0</v>
      </c>
      <c r="O96" s="110">
        <v>0</v>
      </c>
      <c r="P96" s="110">
        <v>0</v>
      </c>
      <c r="Q96" s="110">
        <v>8.933820328674301</v>
      </c>
      <c r="R96" s="110">
        <v>0</v>
      </c>
      <c r="S96" s="110">
        <v>156.9338203286743</v>
      </c>
      <c r="T96" s="110">
        <v>184.8676406573486</v>
      </c>
      <c r="U96" s="110">
        <v>150.8014609860229</v>
      </c>
      <c r="V96" s="110">
        <v>96.735281314697204</v>
      </c>
      <c r="W96" s="110">
        <v>256.6691016433715</v>
      </c>
      <c r="X96" s="110">
        <v>335.60292197204581</v>
      </c>
      <c r="Y96" s="110">
        <v>436.53674230072011</v>
      </c>
      <c r="Z96" s="110">
        <v>0</v>
      </c>
      <c r="AA96" s="110">
        <v>0</v>
      </c>
      <c r="AB96" s="110">
        <v>0</v>
      </c>
      <c r="AC96" s="110">
        <v>37.933820328674301</v>
      </c>
      <c r="AD96" s="110">
        <v>0</v>
      </c>
      <c r="AE96" s="110">
        <v>21.933820328674301</v>
      </c>
      <c r="AF96" s="110">
        <v>145.8676406573486</v>
      </c>
      <c r="AG96" s="110">
        <v>289.8014609860229</v>
      </c>
      <c r="AH96" s="110">
        <v>36.174313907021315</v>
      </c>
      <c r="AI96" s="110">
        <v>2.1081342356956156</v>
      </c>
      <c r="AJ96" s="110">
        <v>0</v>
      </c>
      <c r="AK96" s="110">
        <v>5.933820328674301</v>
      </c>
      <c r="AL96" s="110">
        <v>64.867640657348602</v>
      </c>
      <c r="AM96" s="110">
        <v>42.801460986022903</v>
      </c>
      <c r="AN96" s="110">
        <v>0</v>
      </c>
      <c r="AO96" s="110">
        <v>198.31448582437088</v>
      </c>
      <c r="AP96" s="110">
        <v>157.62897164874175</v>
      </c>
      <c r="AQ96" s="110">
        <v>319.94345747311263</v>
      </c>
      <c r="AR96" s="110">
        <v>340.25794329748351</v>
      </c>
      <c r="AS96" s="110">
        <v>230.19176362615781</v>
      </c>
      <c r="AT96" s="110">
        <v>0</v>
      </c>
      <c r="AU96" s="110">
        <v>0</v>
      </c>
      <c r="AV96" s="110">
        <v>0</v>
      </c>
      <c r="AW96" s="110">
        <v>305.31448582437088</v>
      </c>
      <c r="AX96" s="110">
        <v>593.62897164874175</v>
      </c>
      <c r="AY96" s="110">
        <v>847.94345747311263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605.60996451915514</v>
      </c>
      <c r="D100" s="106">
        <v>605.60996451915514</v>
      </c>
      <c r="E100" s="106">
        <v>190.95477315903699</v>
      </c>
      <c r="F100" s="106">
        <v>728.79337512961024</v>
      </c>
      <c r="G100" s="106">
        <v>728.79337512961024</v>
      </c>
      <c r="H100" s="106">
        <v>0</v>
      </c>
      <c r="I100" s="106">
        <v>1287.0281416102812</v>
      </c>
      <c r="J100" s="106">
        <v>0</v>
      </c>
      <c r="K100" s="106">
        <v>607.33073288625394</v>
      </c>
      <c r="L100" s="106">
        <v>607.33073288625394</v>
      </c>
      <c r="M100" s="106">
        <v>190.95477315903699</v>
      </c>
      <c r="N100" s="106">
        <v>0</v>
      </c>
      <c r="O100" s="106">
        <v>485.86809064289776</v>
      </c>
      <c r="P100" s="106">
        <v>0</v>
      </c>
      <c r="Q100" s="106">
        <v>190.95477315903705</v>
      </c>
      <c r="R100" s="106">
        <v>0</v>
      </c>
      <c r="S100" s="106">
        <v>190.95477315903699</v>
      </c>
      <c r="T100" s="106">
        <v>607.33073288625394</v>
      </c>
      <c r="U100" s="106">
        <v>607.33073288625394</v>
      </c>
      <c r="V100" s="106">
        <v>607.33073288625394</v>
      </c>
      <c r="W100" s="106">
        <v>190.95477315903699</v>
      </c>
      <c r="X100" s="106">
        <v>0</v>
      </c>
      <c r="Y100" s="106">
        <v>190.95477315903702</v>
      </c>
      <c r="Z100" s="106">
        <v>607.33073288625394</v>
      </c>
      <c r="AA100" s="106">
        <v>607.33073288625394</v>
      </c>
      <c r="AB100" s="106">
        <v>607.33073288625394</v>
      </c>
      <c r="AC100" s="106">
        <v>607.33073288625394</v>
      </c>
      <c r="AD100" s="106">
        <v>607.33073288625394</v>
      </c>
      <c r="AE100" s="106">
        <v>190.95477315903699</v>
      </c>
      <c r="AF100" s="106">
        <v>0</v>
      </c>
      <c r="AG100" s="106">
        <v>190.95477315903699</v>
      </c>
      <c r="AH100" s="106">
        <v>607.33073288625394</v>
      </c>
      <c r="AI100" s="106">
        <v>607.33073288625394</v>
      </c>
      <c r="AJ100" s="106">
        <v>607.33073288625394</v>
      </c>
      <c r="AK100" s="106">
        <v>607.33073288625394</v>
      </c>
      <c r="AL100" s="106">
        <v>0</v>
      </c>
      <c r="AM100" s="106">
        <v>607.33073288625394</v>
      </c>
      <c r="AN100" s="106">
        <v>0</v>
      </c>
      <c r="AO100" s="106">
        <v>0</v>
      </c>
      <c r="AP100" s="106">
        <v>1287.0281416102812</v>
      </c>
      <c r="AQ100" s="106">
        <v>0</v>
      </c>
      <c r="AR100" s="106">
        <v>190.95477315903705</v>
      </c>
      <c r="AS100" s="106">
        <v>0</v>
      </c>
      <c r="AT100" s="106">
        <v>607.33073288625394</v>
      </c>
      <c r="AU100" s="106">
        <v>0</v>
      </c>
      <c r="AV100" s="106">
        <v>607.33073288625394</v>
      </c>
      <c r="AW100" s="106">
        <v>607.33073288625394</v>
      </c>
      <c r="AX100" s="106">
        <v>728.79337512961024</v>
      </c>
      <c r="AY100" s="106">
        <v>0</v>
      </c>
    </row>
    <row r="101" spans="1:52">
      <c r="A101" s="109"/>
      <c r="B101" s="119">
        <v>2</v>
      </c>
      <c r="C101" s="106">
        <v>605.60996451915514</v>
      </c>
      <c r="D101" s="106">
        <v>605.60996451915514</v>
      </c>
      <c r="E101" s="106">
        <v>605.60996451915514</v>
      </c>
      <c r="F101" s="106">
        <v>595.96544413260062</v>
      </c>
      <c r="G101" s="106">
        <v>728.79337512961024</v>
      </c>
      <c r="H101" s="106">
        <v>728.79337512961024</v>
      </c>
      <c r="I101" s="106">
        <v>0</v>
      </c>
      <c r="J101" s="106">
        <v>733.01393386494158</v>
      </c>
      <c r="K101" s="106">
        <v>607.33073288625394</v>
      </c>
      <c r="L101" s="106">
        <v>607.33073288625394</v>
      </c>
      <c r="M101" s="106">
        <v>605.0061325237034</v>
      </c>
      <c r="N101" s="106">
        <v>480.33686540995734</v>
      </c>
      <c r="O101" s="106">
        <v>485.86809064289781</v>
      </c>
      <c r="P101" s="106">
        <v>247.73618128579557</v>
      </c>
      <c r="Q101" s="106">
        <v>485.86809064289781</v>
      </c>
      <c r="R101" s="106">
        <v>355.73618128579557</v>
      </c>
      <c r="S101" s="106">
        <v>607.33073288625394</v>
      </c>
      <c r="T101" s="106">
        <v>111.28550604529093</v>
      </c>
      <c r="U101" s="106">
        <v>72.616238931544899</v>
      </c>
      <c r="V101" s="106">
        <v>463.32293154501576</v>
      </c>
      <c r="W101" s="106">
        <v>374.6536644312697</v>
      </c>
      <c r="X101" s="106">
        <v>416.37595972721692</v>
      </c>
      <c r="Y101" s="106">
        <v>0</v>
      </c>
      <c r="Z101" s="106">
        <v>1023.7066926134709</v>
      </c>
      <c r="AA101" s="106">
        <v>607.33073288625394</v>
      </c>
      <c r="AB101" s="106">
        <v>607.33073288625394</v>
      </c>
      <c r="AC101" s="106">
        <v>607.33073288625394</v>
      </c>
      <c r="AD101" s="106">
        <v>607.33073288625394</v>
      </c>
      <c r="AE101" s="106">
        <v>553.36035704474057</v>
      </c>
      <c r="AF101" s="106">
        <v>129.31513020377756</v>
      </c>
      <c r="AG101" s="106">
        <v>607.33073288625394</v>
      </c>
      <c r="AH101" s="106">
        <v>607.33073288625394</v>
      </c>
      <c r="AI101" s="106">
        <v>607.33073288625394</v>
      </c>
      <c r="AJ101" s="106">
        <v>607.33073288625394</v>
      </c>
      <c r="AK101" s="106">
        <v>547.02962415848663</v>
      </c>
      <c r="AL101" s="106">
        <v>366.36035704474057</v>
      </c>
      <c r="AM101" s="106">
        <v>0</v>
      </c>
      <c r="AN101" s="106">
        <v>0</v>
      </c>
      <c r="AO101" s="106">
        <v>607.33073288625394</v>
      </c>
      <c r="AP101" s="106">
        <v>0</v>
      </c>
      <c r="AQ101" s="106">
        <v>572.02814161028118</v>
      </c>
      <c r="AR101" s="106">
        <v>728.79337512961024</v>
      </c>
      <c r="AS101" s="106">
        <v>666.58675025922048</v>
      </c>
      <c r="AT101" s="106">
        <v>728.79337512961024</v>
      </c>
      <c r="AU101" s="106">
        <v>607.33073288625394</v>
      </c>
      <c r="AV101" s="106">
        <v>607.33073288625394</v>
      </c>
      <c r="AW101" s="106">
        <v>443.66146577250788</v>
      </c>
      <c r="AX101" s="106">
        <v>359.99219865876182</v>
      </c>
      <c r="AY101" s="106">
        <v>288.78557378837206</v>
      </c>
    </row>
    <row r="102" spans="1:52">
      <c r="A102" s="109"/>
      <c r="B102" s="120">
        <v>3</v>
      </c>
      <c r="C102" s="106">
        <v>396.60370430537387</v>
      </c>
      <c r="D102" s="106">
        <v>362.21366882452901</v>
      </c>
      <c r="E102" s="106">
        <v>319.82363334368415</v>
      </c>
      <c r="F102" s="106">
        <v>224.43359786283929</v>
      </c>
      <c r="G102" s="106">
        <v>44.399041995439916</v>
      </c>
      <c r="H102" s="106">
        <v>91.192417125050156</v>
      </c>
      <c r="I102" s="106">
        <v>60.985792254660396</v>
      </c>
      <c r="J102" s="106">
        <v>0</v>
      </c>
      <c r="K102" s="106">
        <v>164.01393386494158</v>
      </c>
      <c r="L102" s="106">
        <v>80.344666751195518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416.37595972721692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400.70669261347086</v>
      </c>
      <c r="AB102" s="106">
        <v>194.0374254997248</v>
      </c>
      <c r="AC102" s="106">
        <v>102.36815838597875</v>
      </c>
      <c r="AD102" s="106">
        <v>6.6988912722326859</v>
      </c>
      <c r="AE102" s="106">
        <v>0</v>
      </c>
      <c r="AF102" s="106">
        <v>0</v>
      </c>
      <c r="AG102" s="106">
        <v>416.37595972721692</v>
      </c>
      <c r="AH102" s="106">
        <v>255.70669261347086</v>
      </c>
      <c r="AI102" s="106">
        <v>104.0374254997248</v>
      </c>
      <c r="AJ102" s="106">
        <v>61.368158385978745</v>
      </c>
      <c r="AK102" s="106">
        <v>0</v>
      </c>
      <c r="AL102" s="106">
        <v>0</v>
      </c>
      <c r="AM102" s="106">
        <v>0</v>
      </c>
      <c r="AN102" s="106">
        <v>607.33073288625394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34.79337512961024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993.01311255132475</v>
      </c>
      <c r="D109" s="106">
        <v>593.85503740679246</v>
      </c>
      <c r="E109" s="106">
        <v>380.37704027182809</v>
      </c>
      <c r="F109" s="106">
        <v>116.40184700623479</v>
      </c>
      <c r="G109" s="106">
        <v>690.98669434918429</v>
      </c>
      <c r="H109" s="106">
        <v>559.2501909560433</v>
      </c>
      <c r="I109" s="106">
        <v>74.003029287223541</v>
      </c>
      <c r="J109" s="106">
        <v>784.36348961498413</v>
      </c>
      <c r="K109" s="106">
        <v>201.58295392537653</v>
      </c>
      <c r="L109" s="106">
        <v>740.26227791322003</v>
      </c>
      <c r="M109" s="106">
        <v>520.45496195999453</v>
      </c>
      <c r="N109" s="106">
        <v>152.38463789644888</v>
      </c>
      <c r="O109" s="106">
        <v>253.77650676250136</v>
      </c>
      <c r="P109" s="106">
        <v>592.220388813932</v>
      </c>
      <c r="Q109" s="106">
        <v>56.673078539243541</v>
      </c>
      <c r="R109" s="106">
        <v>412.49630314249214</v>
      </c>
      <c r="S109" s="106">
        <v>179.75556221285731</v>
      </c>
      <c r="T109" s="106">
        <v>486.51724769213621</v>
      </c>
      <c r="U109" s="106">
        <v>370.14687722731873</v>
      </c>
      <c r="V109" s="106">
        <v>623.89190744840266</v>
      </c>
      <c r="W109" s="106">
        <v>427.70023396953741</v>
      </c>
      <c r="X109" s="106">
        <v>136.78694371462572</v>
      </c>
      <c r="Y109" s="106">
        <v>253.77650676250136</v>
      </c>
      <c r="Z109" s="106">
        <v>116.40184700623479</v>
      </c>
      <c r="AA109" s="106">
        <v>994.00730813430414</v>
      </c>
      <c r="AB109" s="106">
        <v>646.62470210452466</v>
      </c>
      <c r="AC109" s="106">
        <v>465.28818348695148</v>
      </c>
      <c r="AD109" s="106">
        <v>370.14687722731873</v>
      </c>
      <c r="AE109" s="106">
        <v>370.14687722731873</v>
      </c>
      <c r="AF109" s="106">
        <v>116.4018470062348</v>
      </c>
      <c r="AG109" s="106">
        <v>3.1476541417386553E-2</v>
      </c>
      <c r="AH109" s="106">
        <v>740.26227791322015</v>
      </c>
      <c r="AI109" s="106">
        <v>762.00813795817407</v>
      </c>
      <c r="AJ109" s="106">
        <v>536.92425272965988</v>
      </c>
      <c r="AK109" s="106">
        <v>386.89912793405017</v>
      </c>
      <c r="AL109" s="106">
        <v>370.14687722731873</v>
      </c>
      <c r="AM109" s="106">
        <v>3.1476541417386553E-2</v>
      </c>
      <c r="AN109" s="106">
        <v>370.14687722731873</v>
      </c>
      <c r="AO109" s="106">
        <v>370.14687722731873</v>
      </c>
      <c r="AP109" s="106">
        <v>370.14687722731873</v>
      </c>
      <c r="AQ109" s="106">
        <v>784.36348961498413</v>
      </c>
      <c r="AR109" s="106">
        <v>91.449871636716054</v>
      </c>
      <c r="AS109" s="106">
        <v>560.53819224178017</v>
      </c>
      <c r="AT109" s="106">
        <v>327.79745131214537</v>
      </c>
      <c r="AU109" s="106">
        <v>814.28322246286405</v>
      </c>
      <c r="AV109" s="106">
        <v>134.27692568748</v>
      </c>
      <c r="AW109" s="106">
        <v>740.26227791322003</v>
      </c>
      <c r="AX109" s="106">
        <v>462.66949212641242</v>
      </c>
      <c r="AY109" s="106">
        <v>444.16782177696274</v>
      </c>
    </row>
    <row r="110" spans="1:52">
      <c r="A110" s="109"/>
      <c r="B110" s="119">
        <v>2</v>
      </c>
      <c r="C110" s="106">
        <v>0</v>
      </c>
      <c r="D110" s="106">
        <v>532.01311255132475</v>
      </c>
      <c r="E110" s="106">
        <v>593.85503740679246</v>
      </c>
      <c r="F110" s="106">
        <v>380.37704027182809</v>
      </c>
      <c r="G110" s="106">
        <v>116.40184700623479</v>
      </c>
      <c r="H110" s="106">
        <v>544.63373158536433</v>
      </c>
      <c r="I110" s="106">
        <v>559.2501909560433</v>
      </c>
      <c r="J110" s="106">
        <v>74.003029287223541</v>
      </c>
      <c r="K110" s="106">
        <v>450.25044144361527</v>
      </c>
      <c r="L110" s="106">
        <v>164.8333953689918</v>
      </c>
      <c r="M110" s="106">
        <v>488.09567328221181</v>
      </c>
      <c r="N110" s="106">
        <v>520.45496195999453</v>
      </c>
      <c r="O110" s="106">
        <v>152.38463789644888</v>
      </c>
      <c r="P110" s="106">
        <v>25.335183362444155</v>
      </c>
      <c r="Q110" s="106">
        <v>226.91914188789463</v>
      </c>
      <c r="R110" s="106">
        <v>7.1054273576010019E-15</v>
      </c>
      <c r="S110" s="106">
        <v>0</v>
      </c>
      <c r="T110" s="106">
        <v>0</v>
      </c>
      <c r="U110" s="106">
        <v>0</v>
      </c>
      <c r="V110" s="106">
        <v>0</v>
      </c>
      <c r="W110" s="106">
        <v>151.89190744840266</v>
      </c>
      <c r="X110" s="106">
        <v>42.342961273103583</v>
      </c>
      <c r="Y110" s="106">
        <v>0</v>
      </c>
      <c r="Z110" s="106">
        <v>0</v>
      </c>
      <c r="AA110" s="106">
        <v>0</v>
      </c>
      <c r="AB110" s="106">
        <v>498.00730813430414</v>
      </c>
      <c r="AC110" s="106">
        <v>590.6320102388288</v>
      </c>
      <c r="AD110" s="106">
        <v>465.28818348695148</v>
      </c>
      <c r="AE110" s="106">
        <v>370.14687722731873</v>
      </c>
      <c r="AF110" s="106">
        <v>370.14687722731873</v>
      </c>
      <c r="AG110" s="106">
        <v>100.47961945398602</v>
      </c>
      <c r="AH110" s="106">
        <v>0</v>
      </c>
      <c r="AI110" s="106">
        <v>262.26227791322015</v>
      </c>
      <c r="AJ110" s="106">
        <v>511.27041587139422</v>
      </c>
      <c r="AK110" s="106">
        <v>536.92425272965988</v>
      </c>
      <c r="AL110" s="106">
        <v>386.89912793405017</v>
      </c>
      <c r="AM110" s="106">
        <v>312.77702804754523</v>
      </c>
      <c r="AN110" s="106">
        <v>2.4438784329561258E-14</v>
      </c>
      <c r="AO110" s="106">
        <v>0</v>
      </c>
      <c r="AP110" s="106">
        <v>0</v>
      </c>
      <c r="AQ110" s="106">
        <v>0</v>
      </c>
      <c r="AR110" s="106">
        <v>336.47276071543502</v>
      </c>
      <c r="AS110" s="106">
        <v>0</v>
      </c>
      <c r="AT110" s="106">
        <v>85.904145529346522</v>
      </c>
      <c r="AU110" s="106">
        <v>0</v>
      </c>
      <c r="AV110" s="106">
        <v>285.86542945974213</v>
      </c>
      <c r="AW110" s="106">
        <v>0</v>
      </c>
      <c r="AX110" s="106">
        <v>286.26227791322003</v>
      </c>
      <c r="AY110" s="106">
        <v>183.93177003963245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116.01311255132475</v>
      </c>
      <c r="F111" s="106">
        <v>256.86814995811721</v>
      </c>
      <c r="G111" s="106">
        <v>170.24519022994531</v>
      </c>
      <c r="H111" s="106">
        <v>0</v>
      </c>
      <c r="I111" s="106">
        <v>64.63373158536433</v>
      </c>
      <c r="J111" s="106">
        <v>93.883922541407628</v>
      </c>
      <c r="K111" s="106">
        <v>0</v>
      </c>
      <c r="L111" s="106">
        <v>0</v>
      </c>
      <c r="M111" s="106">
        <v>0</v>
      </c>
      <c r="N111" s="106">
        <v>34.095673282211806</v>
      </c>
      <c r="O111" s="106">
        <v>25.17403870349392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200.6320102388288</v>
      </c>
      <c r="AE111" s="106">
        <v>207.92019372578028</v>
      </c>
      <c r="AF111" s="106">
        <v>166.06707095309901</v>
      </c>
      <c r="AG111" s="106">
        <v>0</v>
      </c>
      <c r="AH111" s="106">
        <v>0</v>
      </c>
      <c r="AI111" s="106">
        <v>0</v>
      </c>
      <c r="AJ111" s="106">
        <v>0</v>
      </c>
      <c r="AK111" s="106">
        <v>2.2704158713942206</v>
      </c>
      <c r="AL111" s="106">
        <v>82.194668601054104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824.16439322849249</v>
      </c>
      <c r="D122" s="106">
        <v>824.162556300284</v>
      </c>
      <c r="E122" s="106">
        <v>259.11529491567194</v>
      </c>
      <c r="F122" s="106">
        <v>988.73582414568352</v>
      </c>
      <c r="G122" s="106">
        <v>988.73582414568352</v>
      </c>
      <c r="H122" s="106">
        <v>7.0068074708940137E-2</v>
      </c>
      <c r="I122" s="106">
        <v>1746.025360935949</v>
      </c>
      <c r="J122" s="106">
        <v>7.0068074708940137E-2</v>
      </c>
      <c r="K122" s="106">
        <v>823.96215972186837</v>
      </c>
      <c r="L122" s="106">
        <v>823.96215972186837</v>
      </c>
      <c r="M122" s="106">
        <v>259.115294915672</v>
      </c>
      <c r="N122" s="106">
        <v>7.0068074708940137E-2</v>
      </c>
      <c r="O122" s="106">
        <v>659.18849529805311</v>
      </c>
      <c r="P122" s="106">
        <v>7.0068074708940137E-2</v>
      </c>
      <c r="Q122" s="106">
        <v>259.115294915672</v>
      </c>
      <c r="R122" s="106">
        <v>7.0068074708940137E-2</v>
      </c>
      <c r="S122" s="106">
        <v>259.115294915672</v>
      </c>
      <c r="T122" s="106">
        <v>823.96215972186837</v>
      </c>
      <c r="U122" s="106">
        <v>823.96215972186837</v>
      </c>
      <c r="V122" s="106">
        <v>823.96215972186837</v>
      </c>
      <c r="W122" s="106">
        <v>259.115294915672</v>
      </c>
      <c r="X122" s="106">
        <v>7.0068074708940137E-2</v>
      </c>
      <c r="Y122" s="106">
        <v>259.11529491567194</v>
      </c>
      <c r="Z122" s="106">
        <v>823.96215972186837</v>
      </c>
      <c r="AA122" s="106">
        <v>823.96215972186837</v>
      </c>
      <c r="AB122" s="106">
        <v>823.96215972186837</v>
      </c>
      <c r="AC122" s="106">
        <v>823.96215972186837</v>
      </c>
      <c r="AD122" s="106">
        <v>823.96215972186837</v>
      </c>
      <c r="AE122" s="106">
        <v>259.115294915672</v>
      </c>
      <c r="AF122" s="106">
        <v>7.0068074708940137E-2</v>
      </c>
      <c r="AG122" s="106">
        <v>259.115294915672</v>
      </c>
      <c r="AH122" s="106">
        <v>823.96215972186837</v>
      </c>
      <c r="AI122" s="106">
        <v>823.96215972186837</v>
      </c>
      <c r="AJ122" s="106">
        <v>823.96215972186837</v>
      </c>
      <c r="AK122" s="106">
        <v>823.96215972186837</v>
      </c>
      <c r="AL122" s="106">
        <v>7.0068074708940137E-2</v>
      </c>
      <c r="AM122" s="106">
        <v>823.96215972186837</v>
      </c>
      <c r="AN122" s="106">
        <v>7.0068074708940137E-2</v>
      </c>
      <c r="AO122" s="106">
        <v>7.0068074708940137E-2</v>
      </c>
      <c r="AP122" s="106">
        <v>1746.025360935949</v>
      </c>
      <c r="AQ122" s="106">
        <v>7.0068074708940137E-2</v>
      </c>
      <c r="AR122" s="106">
        <v>259.11529491567194</v>
      </c>
      <c r="AS122" s="106">
        <v>7.0068074708940137E-2</v>
      </c>
      <c r="AT122" s="106">
        <v>823.96215972186837</v>
      </c>
      <c r="AU122" s="106">
        <v>7.0068074708940137E-2</v>
      </c>
      <c r="AV122" s="106">
        <v>823.96215972186837</v>
      </c>
      <c r="AW122" s="106">
        <v>823.96215972186837</v>
      </c>
      <c r="AX122" s="106">
        <v>988.73582414568352</v>
      </c>
      <c r="AY122" s="106">
        <v>7.0068074708940137E-2</v>
      </c>
    </row>
    <row r="123" spans="1:52">
      <c r="A123" s="109"/>
      <c r="B123" s="119">
        <v>2</v>
      </c>
      <c r="C123" s="106">
        <v>454.34117887750688</v>
      </c>
      <c r="D123" s="106">
        <v>22.572366762457023</v>
      </c>
      <c r="E123" s="106">
        <v>0</v>
      </c>
      <c r="F123" s="106">
        <v>549.42895325259951</v>
      </c>
      <c r="G123" s="106">
        <v>256.1780830490988</v>
      </c>
      <c r="H123" s="106">
        <v>164.66371623873891</v>
      </c>
      <c r="I123" s="106">
        <v>1.9567680809018384E-15</v>
      </c>
      <c r="J123" s="106">
        <v>448.66187132096491</v>
      </c>
      <c r="K123" s="106">
        <v>823.89209164715942</v>
      </c>
      <c r="L123" s="106">
        <v>334.5919734558077</v>
      </c>
      <c r="M123" s="106">
        <v>80.099171217681544</v>
      </c>
      <c r="N123" s="106">
        <v>564.84686480619644</v>
      </c>
      <c r="O123" s="106">
        <v>659.11842722334416</v>
      </c>
      <c r="P123" s="106">
        <v>126.08653370746526</v>
      </c>
      <c r="Q123" s="106">
        <v>659.11842722334416</v>
      </c>
      <c r="R123" s="106">
        <v>400.07320038238117</v>
      </c>
      <c r="S123" s="106">
        <v>823.89209164715942</v>
      </c>
      <c r="T123" s="106">
        <v>0</v>
      </c>
      <c r="U123" s="106">
        <v>0</v>
      </c>
      <c r="V123" s="106">
        <v>128.11613723662038</v>
      </c>
      <c r="W123" s="106">
        <v>45.378062988951399</v>
      </c>
      <c r="X123" s="106">
        <v>564.84686480619644</v>
      </c>
      <c r="Y123" s="106">
        <v>1.6167622796103842E-14</v>
      </c>
      <c r="Z123" s="106">
        <v>1388.738956453356</v>
      </c>
      <c r="AA123" s="106">
        <v>453.81528249454965</v>
      </c>
      <c r="AB123" s="106">
        <v>211.78845752169676</v>
      </c>
      <c r="AC123" s="106">
        <v>0</v>
      </c>
      <c r="AD123" s="106">
        <v>0</v>
      </c>
      <c r="AE123" s="106">
        <v>0</v>
      </c>
      <c r="AF123" s="106">
        <v>0</v>
      </c>
      <c r="AG123" s="106">
        <v>823.89209164715942</v>
      </c>
      <c r="AH123" s="106">
        <v>707.56031271563359</v>
      </c>
      <c r="AI123" s="106">
        <v>371.25329150693119</v>
      </c>
      <c r="AJ123" s="106">
        <v>37.291198499139682</v>
      </c>
      <c r="AK123" s="106">
        <v>0</v>
      </c>
      <c r="AL123" s="106">
        <v>0</v>
      </c>
      <c r="AM123" s="106">
        <v>0</v>
      </c>
      <c r="AN123" s="106">
        <v>0</v>
      </c>
      <c r="AO123" s="106">
        <v>823.89209164715942</v>
      </c>
      <c r="AP123" s="106">
        <v>0</v>
      </c>
      <c r="AQ123" s="106">
        <v>203.50110427858544</v>
      </c>
      <c r="AR123" s="106">
        <v>988.66575607097457</v>
      </c>
      <c r="AS123" s="106">
        <v>729.62052923001158</v>
      </c>
      <c r="AT123" s="106">
        <v>988.66575607097457</v>
      </c>
      <c r="AU123" s="106">
        <v>298.83588655346404</v>
      </c>
      <c r="AV123" s="106">
        <v>823.89209164715942</v>
      </c>
      <c r="AW123" s="106">
        <v>205.95914293923255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44.921832063250235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564.84686480619644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161.63571740980342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564.84686480619644</v>
      </c>
      <c r="AH124" s="106">
        <v>164.73895702760325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823.89209164715942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0.44872505702688764</v>
      </c>
      <c r="D172" s="134">
        <v>0.44922800502423954</v>
      </c>
      <c r="E172" s="134">
        <v>0.44922800502423954</v>
      </c>
      <c r="F172" s="134">
        <v>0.44922800502423954</v>
      </c>
      <c r="G172" s="134">
        <v>0.44922800502423954</v>
      </c>
      <c r="H172" s="134">
        <v>0.44922800502423954</v>
      </c>
      <c r="I172" s="134">
        <v>0.44922800502423954</v>
      </c>
      <c r="J172" s="134">
        <v>0.44922800502423954</v>
      </c>
      <c r="K172" s="134">
        <v>0.44922800502423954</v>
      </c>
      <c r="L172" s="134">
        <v>0.44922800502423954</v>
      </c>
      <c r="M172" s="134">
        <v>0.44922800502423954</v>
      </c>
      <c r="N172" s="134">
        <v>0.44922800502423954</v>
      </c>
      <c r="O172" s="134">
        <v>0.44922800502423954</v>
      </c>
      <c r="P172" s="134">
        <v>0.44922800502423954</v>
      </c>
      <c r="Q172" s="134">
        <v>0.44922800502423954</v>
      </c>
      <c r="R172" s="134">
        <v>0.44922800502423954</v>
      </c>
      <c r="S172" s="134">
        <v>0.44922800502423954</v>
      </c>
      <c r="T172" s="134">
        <v>0.44922800502423954</v>
      </c>
      <c r="U172" s="134">
        <v>0.44922800502423954</v>
      </c>
      <c r="V172" s="134">
        <v>0.44922800502423954</v>
      </c>
      <c r="W172" s="134">
        <v>0.44922800502423954</v>
      </c>
      <c r="X172" s="134">
        <v>0.44922800502423954</v>
      </c>
      <c r="Y172" s="134">
        <v>0.44922800502423954</v>
      </c>
      <c r="Z172" s="134">
        <v>0.44922800502423954</v>
      </c>
      <c r="AA172" s="134">
        <v>0.44922800502423954</v>
      </c>
      <c r="AB172" s="134">
        <v>0.44922800502423954</v>
      </c>
      <c r="AC172" s="134">
        <v>0.44922800502423954</v>
      </c>
      <c r="AD172" s="134">
        <v>0.44922800502423954</v>
      </c>
      <c r="AE172" s="134">
        <v>0.44922800502423954</v>
      </c>
      <c r="AF172" s="134">
        <v>0.44922800502423954</v>
      </c>
      <c r="AG172" s="134">
        <v>0.44922800502423954</v>
      </c>
      <c r="AH172" s="134">
        <v>0.44922800502423954</v>
      </c>
      <c r="AI172" s="134">
        <v>0.44922800502423954</v>
      </c>
      <c r="AJ172" s="134">
        <v>0.44922800502423954</v>
      </c>
      <c r="AK172" s="134">
        <v>0.44922800502423954</v>
      </c>
      <c r="AL172" s="134">
        <v>0.44922800502423954</v>
      </c>
      <c r="AM172" s="134">
        <v>0.44922800502423954</v>
      </c>
      <c r="AN172" s="134">
        <v>0.44922800502423954</v>
      </c>
      <c r="AO172" s="134">
        <v>0.44922800502423954</v>
      </c>
      <c r="AP172" s="134">
        <v>0.44922800502423954</v>
      </c>
      <c r="AQ172" s="134">
        <v>0.44922800502423954</v>
      </c>
      <c r="AR172" s="134">
        <v>0.44922800502423954</v>
      </c>
      <c r="AS172" s="134">
        <v>0.44922800502423954</v>
      </c>
      <c r="AT172" s="134">
        <v>0.44922800502423954</v>
      </c>
      <c r="AU172" s="134">
        <v>0.44922800502423954</v>
      </c>
      <c r="AV172" s="134">
        <v>0.44922800502423954</v>
      </c>
      <c r="AW172" s="134">
        <v>0.44922800502423954</v>
      </c>
      <c r="AX172" s="134">
        <v>0.44922800502423954</v>
      </c>
      <c r="AY172" s="134">
        <v>0.44922800502423954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1367.0503357601119</v>
      </c>
      <c r="E175" s="124">
        <f t="shared" si="1"/>
        <v>1513.3648215844828</v>
      </c>
      <c r="F175" s="124">
        <f t="shared" si="1"/>
        <v>1158.9957682404865</v>
      </c>
      <c r="G175" s="124">
        <f t="shared" si="1"/>
        <v>1275.4665689651933</v>
      </c>
      <c r="H175" s="124">
        <f t="shared" si="1"/>
        <v>1347.4003892938676</v>
      </c>
      <c r="I175" s="124">
        <f t="shared" si="1"/>
        <v>1208.0737533704782</v>
      </c>
      <c r="J175" s="124">
        <f t="shared" si="1"/>
        <v>1303.0075736991525</v>
      </c>
      <c r="K175" s="124">
        <f t="shared" si="1"/>
        <v>1056.9338203286743</v>
      </c>
      <c r="L175" s="124">
        <f t="shared" si="1"/>
        <v>1092.486975161652</v>
      </c>
      <c r="M175" s="124">
        <f t="shared" si="1"/>
        <v>923.04012999462998</v>
      </c>
      <c r="N175" s="124">
        <f t="shared" si="1"/>
        <v>845.55315483297784</v>
      </c>
      <c r="O175" s="124">
        <f t="shared" si="1"/>
        <v>845.55315483297784</v>
      </c>
      <c r="P175" s="124">
        <f t="shared" si="1"/>
        <v>1056.9338203286743</v>
      </c>
      <c r="Q175" s="124">
        <f t="shared" si="1"/>
        <v>1065.8676406573486</v>
      </c>
      <c r="R175" s="124">
        <f t="shared" si="1"/>
        <v>1056.9338203286743</v>
      </c>
      <c r="S175" s="124">
        <f t="shared" si="1"/>
        <v>1213.8676406573486</v>
      </c>
      <c r="T175" s="124">
        <f t="shared" si="1"/>
        <v>1241.8014609860229</v>
      </c>
      <c r="U175" s="124">
        <f t="shared" si="1"/>
        <v>1207.7352813146972</v>
      </c>
      <c r="V175" s="124">
        <f t="shared" si="1"/>
        <v>1153.6691016433715</v>
      </c>
      <c r="W175" s="124">
        <f t="shared" si="1"/>
        <v>1313.6029219720458</v>
      </c>
      <c r="X175" s="124">
        <f t="shared" si="1"/>
        <v>1392.5367423007201</v>
      </c>
      <c r="Y175" s="124">
        <f t="shared" si="1"/>
        <v>1493.4705626293944</v>
      </c>
      <c r="Z175" s="124">
        <f t="shared" si="1"/>
        <v>1039.859611318816</v>
      </c>
      <c r="AA175" s="124">
        <f t="shared" si="1"/>
        <v>951.21137385349539</v>
      </c>
      <c r="AB175" s="124">
        <f t="shared" si="1"/>
        <v>1056.9338203286743</v>
      </c>
      <c r="AC175" s="124">
        <f t="shared" si="1"/>
        <v>1094.8676406573486</v>
      </c>
      <c r="AD175" s="124">
        <f t="shared" si="1"/>
        <v>1056.9338203286743</v>
      </c>
      <c r="AE175" s="124">
        <f t="shared" si="1"/>
        <v>1078.8676406573486</v>
      </c>
      <c r="AF175" s="124">
        <f t="shared" si="1"/>
        <v>1202.8014609860229</v>
      </c>
      <c r="AG175" s="124">
        <f t="shared" si="1"/>
        <v>1346.7352813146972</v>
      </c>
      <c r="AH175" s="124">
        <f t="shared" si="1"/>
        <v>1093.1081342356956</v>
      </c>
      <c r="AI175" s="124">
        <f t="shared" si="1"/>
        <v>1059.0419545643699</v>
      </c>
      <c r="AJ175" s="124">
        <f t="shared" si="1"/>
        <v>1056.9338203286743</v>
      </c>
      <c r="AK175" s="124">
        <f t="shared" si="1"/>
        <v>1062.8676406573486</v>
      </c>
      <c r="AL175" s="124">
        <f t="shared" si="1"/>
        <v>1121.8014609860229</v>
      </c>
      <c r="AM175" s="124">
        <f t="shared" si="1"/>
        <v>1099.7352813146972</v>
      </c>
      <c r="AN175" s="124">
        <f t="shared" si="1"/>
        <v>1268.3144858243709</v>
      </c>
      <c r="AO175" s="124">
        <f t="shared" si="1"/>
        <v>1466.6289716487418</v>
      </c>
      <c r="AP175" s="124">
        <f t="shared" si="1"/>
        <v>1425.9434574731126</v>
      </c>
      <c r="AQ175" s="124">
        <f t="shared" si="1"/>
        <v>1588.2579432974835</v>
      </c>
      <c r="AR175" s="124">
        <f t="shared" si="1"/>
        <v>1397.1917636261578</v>
      </c>
      <c r="AS175" s="124">
        <f t="shared" si="1"/>
        <v>1287.1255839548321</v>
      </c>
      <c r="AT175" s="124">
        <f t="shared" si="1"/>
        <v>1056.9338203286743</v>
      </c>
      <c r="AU175" s="124">
        <f t="shared" si="1"/>
        <v>1056.9338203286743</v>
      </c>
      <c r="AV175" s="124">
        <f t="shared" si="1"/>
        <v>1268.3144858243709</v>
      </c>
      <c r="AW175" s="124">
        <f t="shared" si="1"/>
        <v>1573.6289716487418</v>
      </c>
      <c r="AX175" s="124">
        <f t="shared" si="1"/>
        <v>1861.9434574731126</v>
      </c>
      <c r="AY175" s="124">
        <f t="shared" si="1"/>
        <v>2116.2579432974835</v>
      </c>
    </row>
    <row r="176" spans="1:52">
      <c r="A176" s="125"/>
      <c r="B176" s="136" t="s">
        <v>299</v>
      </c>
      <c r="C176" s="125" t="s">
        <v>293</v>
      </c>
      <c r="D176" s="125">
        <v>1122</v>
      </c>
      <c r="E176" s="125">
        <v>1069</v>
      </c>
      <c r="F176" s="125">
        <v>1067</v>
      </c>
      <c r="G176" s="125">
        <v>985</v>
      </c>
      <c r="H176" s="125">
        <v>1115</v>
      </c>
      <c r="I176" s="125">
        <v>962</v>
      </c>
      <c r="J176" s="125">
        <v>1303.0075736991525</v>
      </c>
      <c r="K176" s="125">
        <v>810</v>
      </c>
      <c r="L176" s="125">
        <v>1015</v>
      </c>
      <c r="M176" s="125">
        <v>923.04012999462998</v>
      </c>
      <c r="N176" s="125">
        <v>845.55315483297784</v>
      </c>
      <c r="O176" s="125">
        <v>845.55315483297784</v>
      </c>
      <c r="P176" s="125">
        <v>1048</v>
      </c>
      <c r="Q176" s="125">
        <v>1065.8676406573486</v>
      </c>
      <c r="R176" s="125">
        <v>900</v>
      </c>
      <c r="S176" s="125">
        <v>1029</v>
      </c>
      <c r="T176" s="125">
        <v>1091</v>
      </c>
      <c r="U176" s="125">
        <v>1111</v>
      </c>
      <c r="V176" s="125">
        <v>897</v>
      </c>
      <c r="W176" s="125">
        <v>978</v>
      </c>
      <c r="X176" s="125">
        <v>956</v>
      </c>
      <c r="Y176" s="125">
        <v>1052</v>
      </c>
      <c r="Z176" s="125">
        <v>1039.859611318816</v>
      </c>
      <c r="AA176" s="125">
        <v>951.21137385349539</v>
      </c>
      <c r="AB176" s="125">
        <v>1019</v>
      </c>
      <c r="AC176" s="125">
        <v>1094.8676406573486</v>
      </c>
      <c r="AD176" s="125">
        <v>1035</v>
      </c>
      <c r="AE176" s="125">
        <v>933</v>
      </c>
      <c r="AF176" s="125">
        <v>913</v>
      </c>
      <c r="AG176" s="125">
        <v>978</v>
      </c>
      <c r="AH176" s="125">
        <v>1091</v>
      </c>
      <c r="AI176" s="125">
        <v>1059.0419545643699</v>
      </c>
      <c r="AJ176" s="125">
        <v>1051</v>
      </c>
      <c r="AK176" s="125">
        <v>998</v>
      </c>
      <c r="AL176" s="125">
        <v>1079</v>
      </c>
      <c r="AM176" s="125">
        <v>1099.7352813146972</v>
      </c>
      <c r="AN176" s="125">
        <v>1070</v>
      </c>
      <c r="AO176" s="125">
        <v>1309</v>
      </c>
      <c r="AP176" s="125">
        <v>1106</v>
      </c>
      <c r="AQ176" s="125">
        <v>1248</v>
      </c>
      <c r="AR176" s="125">
        <v>1167</v>
      </c>
      <c r="AS176" s="125">
        <v>1287.1255839548321</v>
      </c>
      <c r="AT176" s="125">
        <v>1056.9338203286743</v>
      </c>
      <c r="AU176" s="125">
        <v>1056.9338203286743</v>
      </c>
      <c r="AV176" s="125">
        <v>963</v>
      </c>
      <c r="AW176" s="125">
        <v>980</v>
      </c>
      <c r="AX176" s="125">
        <v>1014</v>
      </c>
      <c r="AY176" s="125">
        <v>1091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1573.4335978628392</v>
      </c>
      <c r="E177" s="124">
        <f t="shared" si="2"/>
        <v>1116.3883710218763</v>
      </c>
      <c r="F177" s="124">
        <f t="shared" si="2"/>
        <v>1549.1924171250503</v>
      </c>
      <c r="G177" s="124">
        <f t="shared" si="2"/>
        <v>1501.9857922546603</v>
      </c>
      <c r="H177" s="124">
        <f t="shared" si="2"/>
        <v>819.9857922546604</v>
      </c>
      <c r="I177" s="124">
        <f t="shared" si="2"/>
        <v>1348.0139338649415</v>
      </c>
      <c r="J177" s="124">
        <f t="shared" si="2"/>
        <v>733.01393386494158</v>
      </c>
      <c r="K177" s="124">
        <f t="shared" si="2"/>
        <v>1378.6753996374496</v>
      </c>
      <c r="L177" s="124">
        <f t="shared" si="2"/>
        <v>1295.0061325237034</v>
      </c>
      <c r="M177" s="124">
        <f t="shared" si="2"/>
        <v>795.96090568274042</v>
      </c>
      <c r="N177" s="124">
        <f t="shared" si="2"/>
        <v>480.33686540995734</v>
      </c>
      <c r="O177" s="124">
        <f t="shared" si="2"/>
        <v>971.73618128579551</v>
      </c>
      <c r="P177" s="124">
        <f t="shared" si="2"/>
        <v>247.73618128579557</v>
      </c>
      <c r="Q177" s="124">
        <f t="shared" si="2"/>
        <v>676.82286380193489</v>
      </c>
      <c r="R177" s="124">
        <f t="shared" si="2"/>
        <v>355.73618128579557</v>
      </c>
      <c r="S177" s="124">
        <f t="shared" si="2"/>
        <v>798.28550604529096</v>
      </c>
      <c r="T177" s="124">
        <f t="shared" si="2"/>
        <v>718.6162389315449</v>
      </c>
      <c r="U177" s="124">
        <f t="shared" si="2"/>
        <v>1096.3229315450158</v>
      </c>
      <c r="V177" s="124">
        <f t="shared" si="2"/>
        <v>1070.6536644312696</v>
      </c>
      <c r="W177" s="124">
        <f t="shared" si="2"/>
        <v>565.60843759030672</v>
      </c>
      <c r="X177" s="124">
        <f t="shared" si="2"/>
        <v>416.37595972721692</v>
      </c>
      <c r="Y177" s="124">
        <f t="shared" si="2"/>
        <v>190.95477315903702</v>
      </c>
      <c r="Z177" s="124">
        <f t="shared" si="2"/>
        <v>1631.0374254997248</v>
      </c>
      <c r="AA177" s="124">
        <f t="shared" si="2"/>
        <v>1615.3681583859789</v>
      </c>
      <c r="AB177" s="124">
        <f t="shared" si="2"/>
        <v>1408.6988912722327</v>
      </c>
      <c r="AC177" s="124">
        <f t="shared" si="2"/>
        <v>1317.0296241584865</v>
      </c>
      <c r="AD177" s="124">
        <f t="shared" si="2"/>
        <v>1221.3603570447406</v>
      </c>
      <c r="AE177" s="124">
        <f t="shared" si="2"/>
        <v>744.31513020377758</v>
      </c>
      <c r="AF177" s="124">
        <f t="shared" si="2"/>
        <v>129.31513020377756</v>
      </c>
      <c r="AG177" s="124">
        <f t="shared" si="2"/>
        <v>1214.6614657725079</v>
      </c>
      <c r="AH177" s="124">
        <f t="shared" si="2"/>
        <v>1470.3681583859789</v>
      </c>
      <c r="AI177" s="124">
        <f t="shared" si="2"/>
        <v>1318.6988912722327</v>
      </c>
      <c r="AJ177" s="124">
        <f t="shared" si="2"/>
        <v>1276.0296241584865</v>
      </c>
      <c r="AK177" s="124">
        <f t="shared" si="2"/>
        <v>1154.3603570447406</v>
      </c>
      <c r="AL177" s="124">
        <f t="shared" si="2"/>
        <v>366.36035704474057</v>
      </c>
      <c r="AM177" s="124">
        <f t="shared" si="2"/>
        <v>607.33073288625394</v>
      </c>
      <c r="AN177" s="124">
        <f t="shared" si="2"/>
        <v>607.33073288625394</v>
      </c>
      <c r="AO177" s="124">
        <f t="shared" si="2"/>
        <v>607.33073288625394</v>
      </c>
      <c r="AP177" s="124">
        <f t="shared" si="2"/>
        <v>1287.0281416102812</v>
      </c>
      <c r="AQ177" s="124">
        <f t="shared" si="2"/>
        <v>572.02814161028118</v>
      </c>
      <c r="AR177" s="124">
        <f t="shared" si="2"/>
        <v>919.74814828864726</v>
      </c>
      <c r="AS177" s="124">
        <f t="shared" si="2"/>
        <v>666.58675025922048</v>
      </c>
      <c r="AT177" s="124">
        <f t="shared" si="2"/>
        <v>1336.1241080158643</v>
      </c>
      <c r="AU177" s="124">
        <f t="shared" si="2"/>
        <v>642.12410801586418</v>
      </c>
      <c r="AV177" s="124">
        <f t="shared" si="2"/>
        <v>1214.6614657725079</v>
      </c>
      <c r="AW177" s="124">
        <f t="shared" si="2"/>
        <v>1050.9921986587619</v>
      </c>
      <c r="AX177" s="124">
        <f t="shared" si="2"/>
        <v>1088.7855737883719</v>
      </c>
      <c r="AY177" s="124">
        <f t="shared" si="2"/>
        <v>288.78557378837206</v>
      </c>
    </row>
    <row r="178" spans="1:51">
      <c r="A178" s="125"/>
      <c r="B178" s="136" t="s">
        <v>299</v>
      </c>
      <c r="C178" s="125" t="s">
        <v>293</v>
      </c>
      <c r="D178" s="125">
        <v>648</v>
      </c>
      <c r="E178" s="125">
        <v>701</v>
      </c>
      <c r="F178" s="125">
        <v>776</v>
      </c>
      <c r="G178" s="125">
        <v>682</v>
      </c>
      <c r="H178" s="125">
        <v>759</v>
      </c>
      <c r="I178" s="125">
        <v>615</v>
      </c>
      <c r="J178" s="125">
        <v>569</v>
      </c>
      <c r="K178" s="125">
        <v>691</v>
      </c>
      <c r="L178" s="125">
        <v>690</v>
      </c>
      <c r="M178" s="125">
        <v>732</v>
      </c>
      <c r="N178" s="125">
        <v>480.33686540995734</v>
      </c>
      <c r="O178" s="125">
        <v>724</v>
      </c>
      <c r="P178" s="125">
        <v>247.73618128579557</v>
      </c>
      <c r="Q178" s="125">
        <v>616</v>
      </c>
      <c r="R178" s="125">
        <v>355.73618128579557</v>
      </c>
      <c r="S178" s="125">
        <v>687</v>
      </c>
      <c r="T178" s="125">
        <v>646</v>
      </c>
      <c r="U178" s="125">
        <v>633</v>
      </c>
      <c r="V178" s="125">
        <v>696</v>
      </c>
      <c r="W178" s="125">
        <v>565.60843759030672</v>
      </c>
      <c r="X178" s="125">
        <v>416.37595972721692</v>
      </c>
      <c r="Y178" s="125">
        <v>190.95477315903702</v>
      </c>
      <c r="Z178" s="125">
        <v>623</v>
      </c>
      <c r="AA178" s="125">
        <v>814</v>
      </c>
      <c r="AB178" s="125">
        <v>699</v>
      </c>
      <c r="AC178" s="125">
        <v>703</v>
      </c>
      <c r="AD178" s="125">
        <v>668</v>
      </c>
      <c r="AE178" s="125">
        <v>615</v>
      </c>
      <c r="AF178" s="125">
        <v>129.31513020377756</v>
      </c>
      <c r="AG178" s="125">
        <v>768</v>
      </c>
      <c r="AH178" s="125">
        <v>759</v>
      </c>
      <c r="AI178" s="125">
        <v>650</v>
      </c>
      <c r="AJ178" s="125">
        <v>729</v>
      </c>
      <c r="AK178" s="125">
        <v>788</v>
      </c>
      <c r="AL178" s="125">
        <v>366.36035704474057</v>
      </c>
      <c r="AM178" s="125">
        <v>607.33073288625394</v>
      </c>
      <c r="AN178" s="125">
        <v>607.33073288625394</v>
      </c>
      <c r="AO178" s="125">
        <v>607.33073288625394</v>
      </c>
      <c r="AP178" s="125">
        <v>715</v>
      </c>
      <c r="AQ178" s="125">
        <v>572.02814161028118</v>
      </c>
      <c r="AR178" s="125">
        <v>791</v>
      </c>
      <c r="AS178" s="125">
        <v>666.58675025922048</v>
      </c>
      <c r="AT178" s="125">
        <v>694</v>
      </c>
      <c r="AU178" s="125">
        <v>642.12410801586418</v>
      </c>
      <c r="AV178" s="125">
        <v>771</v>
      </c>
      <c r="AW178" s="125">
        <v>691</v>
      </c>
      <c r="AX178" s="125">
        <v>800</v>
      </c>
      <c r="AY178" s="125">
        <v>288.78557378837206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1125.8681499581171</v>
      </c>
      <c r="E179" s="124">
        <f t="shared" si="3"/>
        <v>1090.2451902299454</v>
      </c>
      <c r="F179" s="124">
        <f t="shared" si="3"/>
        <v>753.64703723618004</v>
      </c>
      <c r="G179" s="124">
        <f t="shared" si="3"/>
        <v>977.63373158536433</v>
      </c>
      <c r="H179" s="124">
        <f t="shared" si="3"/>
        <v>1103.8839225414076</v>
      </c>
      <c r="I179" s="124">
        <f t="shared" si="3"/>
        <v>697.88695182863114</v>
      </c>
      <c r="J179" s="124">
        <f t="shared" si="3"/>
        <v>952.25044144361527</v>
      </c>
      <c r="K179" s="124">
        <f t="shared" si="3"/>
        <v>651.83339536899177</v>
      </c>
      <c r="L179" s="124">
        <f t="shared" si="3"/>
        <v>905.09567328221181</v>
      </c>
      <c r="M179" s="124">
        <f t="shared" si="3"/>
        <v>1008.5506352422063</v>
      </c>
      <c r="N179" s="124">
        <f t="shared" si="3"/>
        <v>706.93527313865525</v>
      </c>
      <c r="O179" s="124">
        <f t="shared" si="3"/>
        <v>431.33518336244413</v>
      </c>
      <c r="P179" s="124">
        <f t="shared" si="3"/>
        <v>617.55557217637613</v>
      </c>
      <c r="Q179" s="124">
        <f t="shared" si="3"/>
        <v>283.59222042713816</v>
      </c>
      <c r="R179" s="124">
        <f t="shared" si="3"/>
        <v>412.49630314249214</v>
      </c>
      <c r="S179" s="124">
        <f t="shared" si="3"/>
        <v>179.75556221285731</v>
      </c>
      <c r="T179" s="124">
        <f t="shared" si="3"/>
        <v>486.51724769213621</v>
      </c>
      <c r="U179" s="124">
        <f t="shared" si="3"/>
        <v>370.14687722731873</v>
      </c>
      <c r="V179" s="124">
        <f t="shared" si="3"/>
        <v>623.89190744840266</v>
      </c>
      <c r="W179" s="124">
        <f t="shared" si="3"/>
        <v>579.59214141794007</v>
      </c>
      <c r="X179" s="124">
        <f t="shared" si="3"/>
        <v>179.1299049877293</v>
      </c>
      <c r="Y179" s="124">
        <f t="shared" si="3"/>
        <v>253.77650676250136</v>
      </c>
      <c r="Z179" s="124">
        <f t="shared" si="3"/>
        <v>116.40184700623479</v>
      </c>
      <c r="AA179" s="124">
        <f t="shared" si="3"/>
        <v>994.00730813430414</v>
      </c>
      <c r="AB179" s="124">
        <f t="shared" si="3"/>
        <v>1144.6320102388288</v>
      </c>
      <c r="AC179" s="124">
        <f t="shared" si="3"/>
        <v>1055.9201937257803</v>
      </c>
      <c r="AD179" s="124">
        <f t="shared" si="3"/>
        <v>1036.0670709530991</v>
      </c>
      <c r="AE179" s="124">
        <f t="shared" si="3"/>
        <v>948.21394818041767</v>
      </c>
      <c r="AF179" s="124">
        <f t="shared" si="3"/>
        <v>652.61579518665258</v>
      </c>
      <c r="AG179" s="124">
        <f t="shared" si="3"/>
        <v>100.51109599540341</v>
      </c>
      <c r="AH179" s="124">
        <f t="shared" si="3"/>
        <v>740.26227791322015</v>
      </c>
      <c r="AI179" s="124">
        <f t="shared" si="3"/>
        <v>1024.2704158713941</v>
      </c>
      <c r="AJ179" s="124">
        <f t="shared" si="3"/>
        <v>1048.1946686010542</v>
      </c>
      <c r="AK179" s="124">
        <f t="shared" si="3"/>
        <v>926.09379653510427</v>
      </c>
      <c r="AL179" s="124">
        <f t="shared" si="3"/>
        <v>839.24067376242294</v>
      </c>
      <c r="AM179" s="124">
        <f t="shared" si="3"/>
        <v>312.80850458896259</v>
      </c>
      <c r="AN179" s="124">
        <f t="shared" si="3"/>
        <v>370.14687722731873</v>
      </c>
      <c r="AO179" s="124">
        <f t="shared" si="3"/>
        <v>370.14687722731873</v>
      </c>
      <c r="AP179" s="124">
        <f t="shared" si="3"/>
        <v>370.14687722731873</v>
      </c>
      <c r="AQ179" s="124">
        <f t="shared" si="3"/>
        <v>784.36348961498413</v>
      </c>
      <c r="AR179" s="124">
        <f t="shared" si="3"/>
        <v>427.92263235215108</v>
      </c>
      <c r="AS179" s="124">
        <f t="shared" si="3"/>
        <v>560.53819224178017</v>
      </c>
      <c r="AT179" s="124">
        <f t="shared" si="3"/>
        <v>413.70159684149189</v>
      </c>
      <c r="AU179" s="124">
        <f t="shared" si="3"/>
        <v>814.28322246286405</v>
      </c>
      <c r="AV179" s="124">
        <f t="shared" si="3"/>
        <v>420.14235514722213</v>
      </c>
      <c r="AW179" s="124">
        <f t="shared" si="3"/>
        <v>740.26227791322003</v>
      </c>
      <c r="AX179" s="124">
        <f t="shared" si="3"/>
        <v>748.93177003963251</v>
      </c>
      <c r="AY179" s="124">
        <f t="shared" si="3"/>
        <v>628.09959181659519</v>
      </c>
    </row>
    <row r="180" spans="1:51">
      <c r="A180" s="125"/>
      <c r="B180" s="136" t="s">
        <v>299</v>
      </c>
      <c r="C180" s="125" t="s">
        <v>293</v>
      </c>
      <c r="D180" s="125">
        <v>416</v>
      </c>
      <c r="E180" s="125">
        <v>453</v>
      </c>
      <c r="F180" s="125">
        <v>467</v>
      </c>
      <c r="G180" s="125">
        <v>433</v>
      </c>
      <c r="H180" s="125">
        <v>480</v>
      </c>
      <c r="I180" s="125">
        <v>530</v>
      </c>
      <c r="J180" s="125">
        <v>502</v>
      </c>
      <c r="K180" s="125">
        <v>487</v>
      </c>
      <c r="L180" s="125">
        <v>417</v>
      </c>
      <c r="M180" s="125">
        <v>454</v>
      </c>
      <c r="N180" s="125">
        <v>529.37659653871242</v>
      </c>
      <c r="O180" s="125">
        <v>406</v>
      </c>
      <c r="P180" s="125">
        <v>390.63643028848156</v>
      </c>
      <c r="Q180" s="125">
        <v>283.59222042713816</v>
      </c>
      <c r="R180" s="125">
        <v>412.49630314249214</v>
      </c>
      <c r="S180" s="125">
        <v>179.75556221285731</v>
      </c>
      <c r="T180" s="125">
        <v>486.51724769213621</v>
      </c>
      <c r="U180" s="125">
        <v>370.14687722731873</v>
      </c>
      <c r="V180" s="125">
        <v>472</v>
      </c>
      <c r="W180" s="125">
        <v>537.24918014483649</v>
      </c>
      <c r="X180" s="125">
        <v>179.1299049877293</v>
      </c>
      <c r="Y180" s="125">
        <v>253.77650676250136</v>
      </c>
      <c r="Z180" s="125">
        <v>116.40184700623479</v>
      </c>
      <c r="AA180" s="125">
        <v>496</v>
      </c>
      <c r="AB180" s="125">
        <v>554</v>
      </c>
      <c r="AC180" s="125">
        <v>390</v>
      </c>
      <c r="AD180" s="125">
        <v>458</v>
      </c>
      <c r="AE180" s="125">
        <v>412</v>
      </c>
      <c r="AF180" s="125">
        <v>552.13617573266652</v>
      </c>
      <c r="AG180" s="125">
        <v>100.51109599540341</v>
      </c>
      <c r="AH180" s="125">
        <v>478</v>
      </c>
      <c r="AI180" s="125">
        <v>513</v>
      </c>
      <c r="AJ180" s="125">
        <v>509</v>
      </c>
      <c r="AK180" s="125">
        <v>457</v>
      </c>
      <c r="AL180" s="125">
        <v>526.46364571487777</v>
      </c>
      <c r="AM180" s="125">
        <v>312.80850458896259</v>
      </c>
      <c r="AN180" s="125">
        <v>370.14687722731873</v>
      </c>
      <c r="AO180" s="125">
        <v>370.14687722731873</v>
      </c>
      <c r="AP180" s="125">
        <v>370.14687722731873</v>
      </c>
      <c r="AQ180" s="125">
        <v>447.89072889954912</v>
      </c>
      <c r="AR180" s="125">
        <v>427.92263235215108</v>
      </c>
      <c r="AS180" s="125">
        <v>474.63404671243364</v>
      </c>
      <c r="AT180" s="125">
        <v>413.70159684149189</v>
      </c>
      <c r="AU180" s="125">
        <v>528.41779300312191</v>
      </c>
      <c r="AV180" s="125">
        <v>420.14235514722213</v>
      </c>
      <c r="AW180" s="125">
        <v>454</v>
      </c>
      <c r="AX180" s="125">
        <v>565</v>
      </c>
      <c r="AY180" s="125">
        <v>582.54895579445838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466.35788279091292</v>
      </c>
      <c r="E181" s="124">
        <f t="shared" si="4"/>
        <v>142.71344790943715</v>
      </c>
      <c r="F181" s="124">
        <f t="shared" si="4"/>
        <v>847.17808304909886</v>
      </c>
      <c r="G181" s="124">
        <f t="shared" si="4"/>
        <v>685.66371623873897</v>
      </c>
      <c r="H181" s="124">
        <f t="shared" si="4"/>
        <v>90.730755026224301</v>
      </c>
      <c r="I181" s="124">
        <f t="shared" si="4"/>
        <v>961.66187132096491</v>
      </c>
      <c r="J181" s="124">
        <f t="shared" si="4"/>
        <v>247.14898547029733</v>
      </c>
      <c r="K181" s="124">
        <f t="shared" si="4"/>
        <v>907.59197345580765</v>
      </c>
      <c r="L181" s="124">
        <f t="shared" si="4"/>
        <v>638.09917121768149</v>
      </c>
      <c r="M181" s="124">
        <f t="shared" si="4"/>
        <v>186.82982823690466</v>
      </c>
      <c r="N181" s="124">
        <f t="shared" si="4"/>
        <v>311.14042611840404</v>
      </c>
      <c r="O181" s="124">
        <f t="shared" si="4"/>
        <v>726.08653370746515</v>
      </c>
      <c r="P181" s="124">
        <f t="shared" si="4"/>
        <v>69.483523242930659</v>
      </c>
      <c r="Q181" s="124">
        <f t="shared" si="4"/>
        <v>505.73741899652407</v>
      </c>
      <c r="R181" s="124">
        <f t="shared" si="4"/>
        <v>220.38770624423282</v>
      </c>
      <c r="S181" s="124">
        <f t="shared" si="4"/>
        <v>596.49013887069532</v>
      </c>
      <c r="T181" s="124">
        <f t="shared" si="4"/>
        <v>453.81528249454965</v>
      </c>
      <c r="U181" s="124">
        <f t="shared" si="4"/>
        <v>764.91711707966215</v>
      </c>
      <c r="V181" s="124">
        <f t="shared" si="4"/>
        <v>524.37806298895134</v>
      </c>
      <c r="W181" s="124">
        <f t="shared" si="4"/>
        <v>167.70641418999767</v>
      </c>
      <c r="X181" s="124">
        <f t="shared" si="4"/>
        <v>311.14042611840404</v>
      </c>
      <c r="Y181" s="124">
        <f t="shared" si="4"/>
        <v>142.71344790943715</v>
      </c>
      <c r="Z181" s="124">
        <f t="shared" si="4"/>
        <v>1218.6938080409202</v>
      </c>
      <c r="AA181" s="124">
        <f t="shared" si="4"/>
        <v>792.78845752169673</v>
      </c>
      <c r="AB181" s="124">
        <f t="shared" si="4"/>
        <v>570.46243375661368</v>
      </c>
      <c r="AC181" s="124">
        <f t="shared" si="4"/>
        <v>453.81528249454965</v>
      </c>
      <c r="AD181" s="124">
        <f t="shared" si="4"/>
        <v>453.81528249454965</v>
      </c>
      <c r="AE181" s="124">
        <f t="shared" si="4"/>
        <v>142.71344790943718</v>
      </c>
      <c r="AF181" s="124">
        <f t="shared" si="4"/>
        <v>3.8591533291553584E-2</v>
      </c>
      <c r="AG181" s="124">
        <f t="shared" si="4"/>
        <v>907.59197345580776</v>
      </c>
      <c r="AH181" s="124">
        <f t="shared" si="4"/>
        <v>934.25329150693119</v>
      </c>
      <c r="AI181" s="124">
        <f t="shared" si="4"/>
        <v>658.29119849913968</v>
      </c>
      <c r="AJ181" s="124">
        <f t="shared" si="4"/>
        <v>474.35423028695789</v>
      </c>
      <c r="AK181" s="124">
        <f t="shared" si="4"/>
        <v>453.81528249454965</v>
      </c>
      <c r="AL181" s="124">
        <f t="shared" si="4"/>
        <v>3.8591533291553584E-2</v>
      </c>
      <c r="AM181" s="124">
        <f t="shared" si="4"/>
        <v>453.81528249454965</v>
      </c>
      <c r="AN181" s="124">
        <f t="shared" si="4"/>
        <v>453.81528249454965</v>
      </c>
      <c r="AO181" s="124">
        <f t="shared" si="4"/>
        <v>453.81528249454965</v>
      </c>
      <c r="AP181" s="124">
        <f t="shared" si="4"/>
        <v>961.66187132096491</v>
      </c>
      <c r="AQ181" s="124">
        <f t="shared" si="4"/>
        <v>112.12130071657832</v>
      </c>
      <c r="AR181" s="124">
        <f t="shared" si="4"/>
        <v>687.24285874486634</v>
      </c>
      <c r="AS181" s="124">
        <f t="shared" si="4"/>
        <v>401.89314599257517</v>
      </c>
      <c r="AT181" s="124">
        <f t="shared" si="4"/>
        <v>998.3446933299789</v>
      </c>
      <c r="AU181" s="124">
        <f t="shared" si="4"/>
        <v>164.62902894069299</v>
      </c>
      <c r="AV181" s="124">
        <f t="shared" si="4"/>
        <v>907.59197345580765</v>
      </c>
      <c r="AW181" s="124">
        <f t="shared" si="4"/>
        <v>567.25181053468862</v>
      </c>
      <c r="AX181" s="124">
        <f t="shared" si="4"/>
        <v>544.56800236872073</v>
      </c>
      <c r="AY181" s="124">
        <f t="shared" si="4"/>
        <v>3.8591533291553584E-2</v>
      </c>
    </row>
    <row r="182" spans="1:51">
      <c r="A182" s="125"/>
      <c r="B182" s="136" t="s">
        <v>299</v>
      </c>
      <c r="C182" s="125" t="s">
        <v>293</v>
      </c>
      <c r="D182" s="125">
        <v>466.35788279091292</v>
      </c>
      <c r="E182" s="125">
        <v>142.71344790943715</v>
      </c>
      <c r="F182" s="125">
        <v>591</v>
      </c>
      <c r="G182" s="125">
        <v>521</v>
      </c>
      <c r="H182" s="125">
        <v>90.730755026224301</v>
      </c>
      <c r="I182" s="125">
        <v>513</v>
      </c>
      <c r="J182" s="125">
        <v>247.14898547029733</v>
      </c>
      <c r="K182" s="125">
        <v>573</v>
      </c>
      <c r="L182" s="125">
        <v>558</v>
      </c>
      <c r="M182" s="125">
        <v>186.82982823690466</v>
      </c>
      <c r="N182" s="125">
        <v>311.14042611840404</v>
      </c>
      <c r="O182" s="125">
        <v>600</v>
      </c>
      <c r="P182" s="125">
        <v>69.483523242930659</v>
      </c>
      <c r="Q182" s="125">
        <v>505.73741899652407</v>
      </c>
      <c r="R182" s="125">
        <v>220.38770624423282</v>
      </c>
      <c r="S182" s="125">
        <v>596.49013887069532</v>
      </c>
      <c r="T182" s="125">
        <v>453.81528249454965</v>
      </c>
      <c r="U182" s="125">
        <v>636.80097984304177</v>
      </c>
      <c r="V182" s="125">
        <v>479</v>
      </c>
      <c r="W182" s="125">
        <v>167.70641418999767</v>
      </c>
      <c r="X182" s="125">
        <v>311.14042611840404</v>
      </c>
      <c r="Y182" s="125">
        <v>142.71344790943715</v>
      </c>
      <c r="Z182" s="125">
        <v>603.24280813656719</v>
      </c>
      <c r="AA182" s="125">
        <v>581</v>
      </c>
      <c r="AB182" s="125">
        <v>570.46243375661368</v>
      </c>
      <c r="AC182" s="125">
        <v>453.81528249454965</v>
      </c>
      <c r="AD182" s="125">
        <v>453.81528249454965</v>
      </c>
      <c r="AE182" s="125">
        <v>142.71344790943718</v>
      </c>
      <c r="AF182" s="125">
        <v>3.8591533291553584E-2</v>
      </c>
      <c r="AG182" s="125">
        <v>600.13956851876731</v>
      </c>
      <c r="AH182" s="125">
        <v>563</v>
      </c>
      <c r="AI182" s="125">
        <v>621</v>
      </c>
      <c r="AJ182" s="125">
        <v>474.35423028695789</v>
      </c>
      <c r="AK182" s="125">
        <v>453.81528249454965</v>
      </c>
      <c r="AL182" s="125">
        <v>3.8591533291553584E-2</v>
      </c>
      <c r="AM182" s="125">
        <v>453.81528249454965</v>
      </c>
      <c r="AN182" s="125">
        <v>453.81528249454965</v>
      </c>
      <c r="AO182" s="125">
        <v>453.81528249454965</v>
      </c>
      <c r="AP182" s="125">
        <v>758.16076704237946</v>
      </c>
      <c r="AQ182" s="125">
        <v>112.12130071657832</v>
      </c>
      <c r="AR182" s="125">
        <v>687.24285874486634</v>
      </c>
      <c r="AS182" s="125">
        <v>401.89314599257517</v>
      </c>
      <c r="AT182" s="125">
        <v>699.5088067765148</v>
      </c>
      <c r="AU182" s="125">
        <v>164.62902894069299</v>
      </c>
      <c r="AV182" s="125">
        <v>701.63283051657515</v>
      </c>
      <c r="AW182" s="125">
        <v>567.25181053468862</v>
      </c>
      <c r="AX182" s="125">
        <v>544.56800236872073</v>
      </c>
      <c r="AY182" s="125">
        <v>3.8591533291553584E-2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954.59358093945616</v>
      </c>
      <c r="D185" s="124">
        <v>1023.264150064259</v>
      </c>
      <c r="E185" s="124">
        <v>823.94966423988808</v>
      </c>
      <c r="F185" s="124">
        <v>1067</v>
      </c>
      <c r="G185" s="124">
        <v>977.84791685917753</v>
      </c>
      <c r="H185" s="124">
        <v>824.53343103480665</v>
      </c>
      <c r="I185" s="124">
        <v>810.86006695819606</v>
      </c>
      <c r="J185" s="124">
        <v>1056.9338203286743</v>
      </c>
      <c r="K185" s="124">
        <v>810</v>
      </c>
      <c r="L185" s="124">
        <v>768.0661796713257</v>
      </c>
      <c r="M185" s="124">
        <v>845.55315483297784</v>
      </c>
      <c r="N185" s="124">
        <v>845.55315483297784</v>
      </c>
      <c r="O185" s="124">
        <v>845.55315483297784</v>
      </c>
      <c r="P185" s="124">
        <v>1048</v>
      </c>
      <c r="Q185" s="124">
        <v>1056.9338203286743</v>
      </c>
      <c r="R185" s="124">
        <v>900</v>
      </c>
      <c r="S185" s="124">
        <v>872.0661796713257</v>
      </c>
      <c r="T185" s="124">
        <v>906.1323593426514</v>
      </c>
      <c r="U185" s="124">
        <v>960.1985390139771</v>
      </c>
      <c r="V185" s="124">
        <v>800.2647186853028</v>
      </c>
      <c r="W185" s="124">
        <v>721.3308983566285</v>
      </c>
      <c r="X185" s="124">
        <v>620.39707802795419</v>
      </c>
      <c r="Y185" s="124">
        <v>615.46325769927989</v>
      </c>
      <c r="Z185" s="124">
        <v>1039.859611318816</v>
      </c>
      <c r="AA185" s="124">
        <v>951.21137385349539</v>
      </c>
      <c r="AB185" s="124">
        <v>1019</v>
      </c>
      <c r="AC185" s="124">
        <v>1056.9338203286743</v>
      </c>
      <c r="AD185" s="124">
        <v>1035</v>
      </c>
      <c r="AE185" s="124">
        <v>911.0661796713257</v>
      </c>
      <c r="AF185" s="124">
        <v>767.1323593426514</v>
      </c>
      <c r="AG185" s="124">
        <v>688.1985390139771</v>
      </c>
      <c r="AH185" s="124">
        <v>1054.8256860929787</v>
      </c>
      <c r="AI185" s="124">
        <v>1056.9338203286743</v>
      </c>
      <c r="AJ185" s="124">
        <v>1051</v>
      </c>
      <c r="AK185" s="124">
        <v>992.0661796713257</v>
      </c>
      <c r="AL185" s="124">
        <v>1014.1323593426514</v>
      </c>
      <c r="AM185" s="124">
        <v>1056.9338203286743</v>
      </c>
      <c r="AN185" s="124">
        <v>1070</v>
      </c>
      <c r="AO185" s="124">
        <v>1110.6855141756291</v>
      </c>
      <c r="AP185" s="124">
        <v>948.37102835125825</v>
      </c>
      <c r="AQ185" s="124">
        <v>928.05654252688737</v>
      </c>
      <c r="AR185" s="124">
        <v>826.74205670251649</v>
      </c>
      <c r="AS185" s="124">
        <v>1056.9338203286743</v>
      </c>
      <c r="AT185" s="124">
        <v>1056.9338203286743</v>
      </c>
      <c r="AU185" s="124">
        <v>1056.9338203286743</v>
      </c>
      <c r="AV185" s="124">
        <v>963</v>
      </c>
      <c r="AW185" s="124">
        <v>674.68551417562912</v>
      </c>
      <c r="AX185" s="124">
        <v>420.37102835125825</v>
      </c>
      <c r="AY185" s="124">
        <v>243.05654252688737</v>
      </c>
    </row>
    <row r="186" spans="1:51">
      <c r="A186" s="109"/>
      <c r="B186" s="120">
        <v>2</v>
      </c>
      <c r="C186" s="106">
        <v>22.40641906054384</v>
      </c>
      <c r="D186" s="106">
        <v>98.735849935741044</v>
      </c>
      <c r="E186" s="106">
        <v>245.05033576011192</v>
      </c>
      <c r="F186" s="106">
        <v>0</v>
      </c>
      <c r="G186" s="106">
        <v>7.1520831408224694</v>
      </c>
      <c r="H186" s="106">
        <v>290.46656896519335</v>
      </c>
      <c r="I186" s="106">
        <v>151.13993304180394</v>
      </c>
      <c r="J186" s="106">
        <v>246.07375337047824</v>
      </c>
      <c r="K186" s="106">
        <v>0</v>
      </c>
      <c r="L186" s="106">
        <v>246.9338203286743</v>
      </c>
      <c r="M186" s="106">
        <v>77.48697516165214</v>
      </c>
      <c r="N186" s="106">
        <v>0</v>
      </c>
      <c r="O186" s="106">
        <v>0</v>
      </c>
      <c r="P186" s="106">
        <v>0</v>
      </c>
      <c r="Q186" s="106">
        <v>8.933820328674301</v>
      </c>
      <c r="R186" s="106">
        <v>0</v>
      </c>
      <c r="S186" s="106">
        <v>156.9338203286743</v>
      </c>
      <c r="T186" s="106">
        <v>184.8676406573486</v>
      </c>
      <c r="U186" s="106">
        <v>150.8014609860229</v>
      </c>
      <c r="V186" s="106">
        <v>96.735281314697204</v>
      </c>
      <c r="W186" s="106">
        <v>256.6691016433715</v>
      </c>
      <c r="X186" s="106">
        <v>335.60292197204581</v>
      </c>
      <c r="Y186" s="106">
        <v>436.53674230072011</v>
      </c>
      <c r="Z186" s="106">
        <v>0</v>
      </c>
      <c r="AA186" s="106">
        <v>0</v>
      </c>
      <c r="AB186" s="106">
        <v>0</v>
      </c>
      <c r="AC186" s="106">
        <v>37.933820328674301</v>
      </c>
      <c r="AD186" s="106">
        <v>0</v>
      </c>
      <c r="AE186" s="106">
        <v>21.933820328674301</v>
      </c>
      <c r="AF186" s="106">
        <v>145.8676406573486</v>
      </c>
      <c r="AG186" s="106">
        <v>289.8014609860229</v>
      </c>
      <c r="AH186" s="106">
        <v>36.174313907021315</v>
      </c>
      <c r="AI186" s="106">
        <v>2.1081342356956156</v>
      </c>
      <c r="AJ186" s="106">
        <v>0</v>
      </c>
      <c r="AK186" s="106">
        <v>5.933820328674301</v>
      </c>
      <c r="AL186" s="106">
        <v>64.867640657348602</v>
      </c>
      <c r="AM186" s="106">
        <v>42.801460986022903</v>
      </c>
      <c r="AN186" s="106">
        <v>0</v>
      </c>
      <c r="AO186" s="106">
        <v>198.31448582437088</v>
      </c>
      <c r="AP186" s="106">
        <v>157.62897164874175</v>
      </c>
      <c r="AQ186" s="106">
        <v>319.94345747311263</v>
      </c>
      <c r="AR186" s="106">
        <v>340.25794329748351</v>
      </c>
      <c r="AS186" s="106">
        <v>230.19176362615781</v>
      </c>
      <c r="AT186" s="106">
        <v>0</v>
      </c>
      <c r="AU186" s="106">
        <v>0</v>
      </c>
      <c r="AV186" s="106">
        <v>0</v>
      </c>
      <c r="AW186" s="106">
        <v>305.31448582437088</v>
      </c>
      <c r="AX186" s="106">
        <v>593.62897164874175</v>
      </c>
      <c r="AY186" s="106">
        <v>847.94345747311263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0</v>
      </c>
      <c r="G189" s="124">
        <v>0</v>
      </c>
      <c r="H189" s="124">
        <v>0</v>
      </c>
      <c r="I189" s="124">
        <v>554.0142077453396</v>
      </c>
      <c r="J189" s="124">
        <v>0</v>
      </c>
      <c r="K189" s="124">
        <v>0</v>
      </c>
      <c r="L189" s="124">
        <v>2.3246003625505409</v>
      </c>
      <c r="M189" s="124">
        <v>126.9938674762966</v>
      </c>
      <c r="N189" s="124">
        <v>0</v>
      </c>
      <c r="O189" s="124">
        <v>238.13190935710219</v>
      </c>
      <c r="P189" s="124">
        <v>0</v>
      </c>
      <c r="Q189" s="124">
        <v>130.13190935710219</v>
      </c>
      <c r="R189" s="124">
        <v>0</v>
      </c>
      <c r="S189" s="124">
        <v>79.669267113746059</v>
      </c>
      <c r="T189" s="124">
        <v>534.71449395470904</v>
      </c>
      <c r="U189" s="124">
        <v>144.00780134123818</v>
      </c>
      <c r="V189" s="124">
        <v>232.67706845498424</v>
      </c>
      <c r="W189" s="124">
        <v>190.95477315903699</v>
      </c>
      <c r="X189" s="124">
        <v>0</v>
      </c>
      <c r="Y189" s="124">
        <v>190.95477315903702</v>
      </c>
      <c r="Z189" s="124">
        <v>0</v>
      </c>
      <c r="AA189" s="124">
        <v>0</v>
      </c>
      <c r="AB189" s="124">
        <v>0</v>
      </c>
      <c r="AC189" s="124">
        <v>0</v>
      </c>
      <c r="AD189" s="124">
        <v>53.970375841513373</v>
      </c>
      <c r="AE189" s="124">
        <v>61.639642955259433</v>
      </c>
      <c r="AF189" s="124">
        <v>0</v>
      </c>
      <c r="AG189" s="124">
        <v>0</v>
      </c>
      <c r="AH189" s="124">
        <v>0</v>
      </c>
      <c r="AI189" s="124">
        <v>0</v>
      </c>
      <c r="AJ189" s="124">
        <v>60.301108727767314</v>
      </c>
      <c r="AK189" s="124">
        <v>240.97037584151337</v>
      </c>
      <c r="AL189" s="124">
        <v>0</v>
      </c>
      <c r="AM189" s="124">
        <v>607.33073288625394</v>
      </c>
      <c r="AN189" s="124">
        <v>0</v>
      </c>
      <c r="AO189" s="124">
        <v>0</v>
      </c>
      <c r="AP189" s="124">
        <v>715</v>
      </c>
      <c r="AQ189" s="124">
        <v>0</v>
      </c>
      <c r="AR189" s="124">
        <v>62.20662487038976</v>
      </c>
      <c r="AS189" s="124">
        <v>0</v>
      </c>
      <c r="AT189" s="124">
        <v>0</v>
      </c>
      <c r="AU189" s="124">
        <v>0</v>
      </c>
      <c r="AV189" s="124">
        <v>163.66926711374606</v>
      </c>
      <c r="AW189" s="124">
        <v>247.33853422749212</v>
      </c>
      <c r="AX189" s="124">
        <v>440.00780134123818</v>
      </c>
      <c r="AY189" s="124">
        <v>0</v>
      </c>
    </row>
    <row r="190" spans="1:51">
      <c r="A190" s="109"/>
      <c r="B190" s="119">
        <v>2</v>
      </c>
      <c r="C190" s="106">
        <v>243.39629569462613</v>
      </c>
      <c r="D190" s="106">
        <v>285.78633117547099</v>
      </c>
      <c r="E190" s="106">
        <v>381.17636665631585</v>
      </c>
      <c r="F190" s="106">
        <v>551.56640213716071</v>
      </c>
      <c r="G190" s="106">
        <v>637.60095800456008</v>
      </c>
      <c r="H190" s="106">
        <v>667.80758287494984</v>
      </c>
      <c r="I190" s="106">
        <v>0</v>
      </c>
      <c r="J190" s="106">
        <v>569</v>
      </c>
      <c r="K190" s="106">
        <v>526.98606613505842</v>
      </c>
      <c r="L190" s="106">
        <v>607.33073288625394</v>
      </c>
      <c r="M190" s="106">
        <v>605.0061325237034</v>
      </c>
      <c r="N190" s="106">
        <v>480.33686540995734</v>
      </c>
      <c r="O190" s="106">
        <v>485.86809064289781</v>
      </c>
      <c r="P190" s="106">
        <v>247.73618128579557</v>
      </c>
      <c r="Q190" s="106">
        <v>485.86809064289781</v>
      </c>
      <c r="R190" s="106">
        <v>355.73618128579557</v>
      </c>
      <c r="S190" s="106">
        <v>607.33073288625394</v>
      </c>
      <c r="T190" s="106">
        <v>111.28550604529093</v>
      </c>
      <c r="U190" s="106">
        <v>72.616238931544899</v>
      </c>
      <c r="V190" s="106">
        <v>463.32293154501576</v>
      </c>
      <c r="W190" s="106">
        <v>374.6536644312697</v>
      </c>
      <c r="X190" s="106">
        <v>416.37595972721692</v>
      </c>
      <c r="Y190" s="106">
        <v>0</v>
      </c>
      <c r="Z190" s="106">
        <v>623</v>
      </c>
      <c r="AA190" s="106">
        <v>413.29330738652914</v>
      </c>
      <c r="AB190" s="106">
        <v>504.9625745002752</v>
      </c>
      <c r="AC190" s="106">
        <v>600.63184161402125</v>
      </c>
      <c r="AD190" s="106">
        <v>607.33073288625394</v>
      </c>
      <c r="AE190" s="106">
        <v>553.36035704474057</v>
      </c>
      <c r="AF190" s="106">
        <v>129.31513020377756</v>
      </c>
      <c r="AG190" s="106">
        <v>351.62404027278308</v>
      </c>
      <c r="AH190" s="106">
        <v>503.29330738652914</v>
      </c>
      <c r="AI190" s="106">
        <v>545.9625745002752</v>
      </c>
      <c r="AJ190" s="106">
        <v>607.33073288625394</v>
      </c>
      <c r="AK190" s="106">
        <v>547.02962415848663</v>
      </c>
      <c r="AL190" s="106">
        <v>366.36035704474057</v>
      </c>
      <c r="AM190" s="106">
        <v>0</v>
      </c>
      <c r="AN190" s="106">
        <v>0</v>
      </c>
      <c r="AO190" s="106">
        <v>607.33073288625394</v>
      </c>
      <c r="AP190" s="106">
        <v>0</v>
      </c>
      <c r="AQ190" s="106">
        <v>572.02814161028118</v>
      </c>
      <c r="AR190" s="106">
        <v>728.79337512961024</v>
      </c>
      <c r="AS190" s="106">
        <v>666.58675025922048</v>
      </c>
      <c r="AT190" s="106">
        <v>694</v>
      </c>
      <c r="AU190" s="106">
        <v>607.33073288625394</v>
      </c>
      <c r="AV190" s="106">
        <v>607.33073288625394</v>
      </c>
      <c r="AW190" s="106">
        <v>443.66146577250788</v>
      </c>
      <c r="AX190" s="106">
        <v>359.99219865876182</v>
      </c>
      <c r="AY190" s="106">
        <v>288.78557378837206</v>
      </c>
    </row>
    <row r="191" spans="1:51">
      <c r="A191" s="109"/>
      <c r="B191" s="120">
        <v>3</v>
      </c>
      <c r="C191" s="106">
        <v>396.60370430537387</v>
      </c>
      <c r="D191" s="106">
        <v>362.21366882452901</v>
      </c>
      <c r="E191" s="106">
        <v>319.82363334368415</v>
      </c>
      <c r="F191" s="106">
        <v>224.43359786283929</v>
      </c>
      <c r="G191" s="106">
        <v>44.399041995439916</v>
      </c>
      <c r="H191" s="106">
        <v>91.192417125050156</v>
      </c>
      <c r="I191" s="106">
        <v>60.985792254660396</v>
      </c>
      <c r="J191" s="106">
        <v>0</v>
      </c>
      <c r="K191" s="106">
        <v>164.01393386494158</v>
      </c>
      <c r="L191" s="106">
        <v>80.344666751195518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416.37595972721692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400.70669261347086</v>
      </c>
      <c r="AB191" s="106">
        <v>194.0374254997248</v>
      </c>
      <c r="AC191" s="106">
        <v>102.36815838597875</v>
      </c>
      <c r="AD191" s="106">
        <v>6.6988912722326859</v>
      </c>
      <c r="AE191" s="106">
        <v>0</v>
      </c>
      <c r="AF191" s="106">
        <v>0</v>
      </c>
      <c r="AG191" s="106">
        <v>416.37595972721692</v>
      </c>
      <c r="AH191" s="106">
        <v>255.70669261347086</v>
      </c>
      <c r="AI191" s="106">
        <v>104.0374254997248</v>
      </c>
      <c r="AJ191" s="106">
        <v>61.368158385978745</v>
      </c>
      <c r="AK191" s="106">
        <v>0</v>
      </c>
      <c r="AL191" s="106">
        <v>0</v>
      </c>
      <c r="AM191" s="106">
        <v>0</v>
      </c>
      <c r="AN191" s="106">
        <v>607.33073288625394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34.79337512961024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461</v>
      </c>
      <c r="D197" s="106">
        <v>0</v>
      </c>
      <c r="E197" s="106">
        <v>0</v>
      </c>
      <c r="F197" s="106">
        <v>0</v>
      </c>
      <c r="G197" s="106">
        <v>146.3529627638199</v>
      </c>
      <c r="H197" s="106">
        <v>0</v>
      </c>
      <c r="I197" s="106">
        <v>0</v>
      </c>
      <c r="J197" s="106">
        <v>334.11304817136886</v>
      </c>
      <c r="K197" s="106">
        <v>36.749558556384727</v>
      </c>
      <c r="L197" s="106">
        <v>252.1666046310082</v>
      </c>
      <c r="M197" s="106">
        <v>0</v>
      </c>
      <c r="N197" s="106">
        <v>0</v>
      </c>
      <c r="O197" s="106">
        <v>228.4413234000572</v>
      </c>
      <c r="P197" s="106">
        <v>365.30124692603738</v>
      </c>
      <c r="Q197" s="106">
        <v>56.673078539243534</v>
      </c>
      <c r="R197" s="106">
        <v>412.49630314249214</v>
      </c>
      <c r="S197" s="106">
        <v>179.75556221285731</v>
      </c>
      <c r="T197" s="106">
        <v>486.51724769213621</v>
      </c>
      <c r="U197" s="106">
        <v>370.14687722731873</v>
      </c>
      <c r="V197" s="106">
        <v>472</v>
      </c>
      <c r="W197" s="106">
        <v>385.35727269643382</v>
      </c>
      <c r="X197" s="106">
        <v>136.78694371462572</v>
      </c>
      <c r="Y197" s="106">
        <v>253.77650676250136</v>
      </c>
      <c r="Z197" s="106">
        <v>116.40184700623479</v>
      </c>
      <c r="AA197" s="106">
        <v>496</v>
      </c>
      <c r="AB197" s="106">
        <v>55.992691865695861</v>
      </c>
      <c r="AC197" s="106">
        <v>0</v>
      </c>
      <c r="AD197" s="106">
        <v>0</v>
      </c>
      <c r="AE197" s="106">
        <v>0</v>
      </c>
      <c r="AF197" s="106">
        <v>15.922227552248785</v>
      </c>
      <c r="AG197" s="106">
        <v>3.1476541417386553E-2</v>
      </c>
      <c r="AH197" s="106">
        <v>478</v>
      </c>
      <c r="AI197" s="106">
        <v>250.73772208677985</v>
      </c>
      <c r="AJ197" s="106">
        <v>0</v>
      </c>
      <c r="AK197" s="106">
        <v>0</v>
      </c>
      <c r="AL197" s="106">
        <v>57.369849179773496</v>
      </c>
      <c r="AM197" s="106">
        <v>3.1476541417362114E-2</v>
      </c>
      <c r="AN197" s="106">
        <v>370.14687722731873</v>
      </c>
      <c r="AO197" s="106">
        <v>370.14687722731873</v>
      </c>
      <c r="AP197" s="106">
        <v>370.14687722731873</v>
      </c>
      <c r="AQ197" s="106">
        <v>447.89072889954912</v>
      </c>
      <c r="AR197" s="106">
        <v>91.449871636716054</v>
      </c>
      <c r="AS197" s="106">
        <v>474.63404671243364</v>
      </c>
      <c r="AT197" s="106">
        <v>327.79745131214537</v>
      </c>
      <c r="AU197" s="106">
        <v>528.41779300312191</v>
      </c>
      <c r="AV197" s="106">
        <v>134.27692568748</v>
      </c>
      <c r="AW197" s="106">
        <v>454</v>
      </c>
      <c r="AX197" s="106">
        <v>278.73772208677997</v>
      </c>
      <c r="AY197" s="106">
        <v>398.61718575482593</v>
      </c>
    </row>
    <row r="198" spans="1:51">
      <c r="A198" s="109"/>
      <c r="B198" s="119">
        <v>2</v>
      </c>
      <c r="C198" s="106">
        <v>0</v>
      </c>
      <c r="D198" s="106">
        <v>416</v>
      </c>
      <c r="E198" s="106">
        <v>336.98688744867525</v>
      </c>
      <c r="F198" s="106">
        <v>210.13185004188279</v>
      </c>
      <c r="G198" s="106">
        <v>116.40184700623479</v>
      </c>
      <c r="H198" s="106">
        <v>480</v>
      </c>
      <c r="I198" s="106">
        <v>465.36626841463567</v>
      </c>
      <c r="J198" s="106">
        <v>74.003029287223541</v>
      </c>
      <c r="K198" s="106">
        <v>450.25044144361527</v>
      </c>
      <c r="L198" s="106">
        <v>164.8333953689918</v>
      </c>
      <c r="M198" s="106">
        <v>454</v>
      </c>
      <c r="N198" s="106">
        <v>495.28092325650061</v>
      </c>
      <c r="O198" s="106">
        <v>152.38463789644888</v>
      </c>
      <c r="P198" s="106">
        <v>25.335183362444155</v>
      </c>
      <c r="Q198" s="106">
        <v>226.91914188789463</v>
      </c>
      <c r="R198" s="106">
        <v>7.1054273576010019E-15</v>
      </c>
      <c r="S198" s="106">
        <v>0</v>
      </c>
      <c r="T198" s="106">
        <v>0</v>
      </c>
      <c r="U198" s="106">
        <v>0</v>
      </c>
      <c r="V198" s="106">
        <v>0</v>
      </c>
      <c r="W198" s="106">
        <v>151.89190744840266</v>
      </c>
      <c r="X198" s="106">
        <v>42.342961273103583</v>
      </c>
      <c r="Y198" s="106">
        <v>0</v>
      </c>
      <c r="Z198" s="106">
        <v>0</v>
      </c>
      <c r="AA198" s="106">
        <v>0</v>
      </c>
      <c r="AB198" s="106">
        <v>498.00730813430414</v>
      </c>
      <c r="AC198" s="106">
        <v>390</v>
      </c>
      <c r="AD198" s="106">
        <v>257.3679897611712</v>
      </c>
      <c r="AE198" s="106">
        <v>204.07980627421972</v>
      </c>
      <c r="AF198" s="106">
        <v>370.14687722731873</v>
      </c>
      <c r="AG198" s="106">
        <v>100.47961945398602</v>
      </c>
      <c r="AH198" s="106">
        <v>0</v>
      </c>
      <c r="AI198" s="106">
        <v>262.26227791322015</v>
      </c>
      <c r="AJ198" s="106">
        <v>509</v>
      </c>
      <c r="AK198" s="106">
        <v>454.72958412860578</v>
      </c>
      <c r="AL198" s="106">
        <v>386.89912793405017</v>
      </c>
      <c r="AM198" s="106">
        <v>312.77702804754523</v>
      </c>
      <c r="AN198" s="106">
        <v>2.4438784329561258E-14</v>
      </c>
      <c r="AO198" s="106">
        <v>0</v>
      </c>
      <c r="AP198" s="106">
        <v>0</v>
      </c>
      <c r="AQ198" s="106">
        <v>0</v>
      </c>
      <c r="AR198" s="106">
        <v>336.47276071543502</v>
      </c>
      <c r="AS198" s="106">
        <v>0</v>
      </c>
      <c r="AT198" s="106">
        <v>85.904145529346522</v>
      </c>
      <c r="AU198" s="106">
        <v>0</v>
      </c>
      <c r="AV198" s="106">
        <v>285.86542945974213</v>
      </c>
      <c r="AW198" s="106">
        <v>0</v>
      </c>
      <c r="AX198" s="106">
        <v>286.26227791322003</v>
      </c>
      <c r="AY198" s="106">
        <v>183.93177003963245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116.01311255132475</v>
      </c>
      <c r="F199" s="106">
        <v>256.86814995811721</v>
      </c>
      <c r="G199" s="106">
        <v>170.24519022994531</v>
      </c>
      <c r="H199" s="106">
        <v>0</v>
      </c>
      <c r="I199" s="106">
        <v>64.63373158536433</v>
      </c>
      <c r="J199" s="106">
        <v>93.883922541407628</v>
      </c>
      <c r="K199" s="106">
        <v>0</v>
      </c>
      <c r="L199" s="106">
        <v>0</v>
      </c>
      <c r="M199" s="106">
        <v>0</v>
      </c>
      <c r="N199" s="106">
        <v>34.095673282211806</v>
      </c>
      <c r="O199" s="106">
        <v>25.17403870349392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200.6320102388288</v>
      </c>
      <c r="AE199" s="106">
        <v>207.92019372578028</v>
      </c>
      <c r="AF199" s="106">
        <v>166.06707095309901</v>
      </c>
      <c r="AG199" s="106">
        <v>0</v>
      </c>
      <c r="AH199" s="106">
        <v>0</v>
      </c>
      <c r="AI199" s="106">
        <v>0</v>
      </c>
      <c r="AJ199" s="106">
        <v>0</v>
      </c>
      <c r="AK199" s="106">
        <v>2.2704158713942206</v>
      </c>
      <c r="AL199" s="106">
        <v>82.194668601054104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431.76881211504985</v>
      </c>
      <c r="D209" s="124">
        <v>453.92565531782992</v>
      </c>
      <c r="E209" s="124">
        <v>142.71344790943715</v>
      </c>
      <c r="F209" s="124">
        <v>288.38991931962192</v>
      </c>
      <c r="G209" s="124">
        <v>379.90428612998181</v>
      </c>
      <c r="H209" s="124">
        <v>3.8591533291551627E-2</v>
      </c>
      <c r="I209" s="124">
        <v>513</v>
      </c>
      <c r="J209" s="124">
        <v>3.8591533291553584E-2</v>
      </c>
      <c r="K209" s="124">
        <v>119.22330903874195</v>
      </c>
      <c r="L209" s="124">
        <v>373.71611127686811</v>
      </c>
      <c r="M209" s="124">
        <v>142.71344790943718</v>
      </c>
      <c r="N209" s="124">
        <v>3.8591533291537417E-2</v>
      </c>
      <c r="O209" s="124">
        <v>236.97602891291314</v>
      </c>
      <c r="P209" s="124">
        <v>3.8591533291551627E-2</v>
      </c>
      <c r="Q209" s="124">
        <v>142.71344790943718</v>
      </c>
      <c r="R209" s="124">
        <v>3.8591533291553584E-2</v>
      </c>
      <c r="S209" s="124">
        <v>142.71344790943718</v>
      </c>
      <c r="T209" s="124">
        <v>453.81528249454965</v>
      </c>
      <c r="U209" s="124">
        <v>325.69914525792927</v>
      </c>
      <c r="V209" s="124">
        <v>408.43721950559825</v>
      </c>
      <c r="W209" s="124">
        <v>142.71344790943718</v>
      </c>
      <c r="X209" s="124">
        <v>3.8591533291537417E-2</v>
      </c>
      <c r="Y209" s="124">
        <v>142.71344790943715</v>
      </c>
      <c r="Z209" s="124">
        <v>0</v>
      </c>
      <c r="AA209" s="124">
        <v>242.02682497285289</v>
      </c>
      <c r="AB209" s="124">
        <v>453.81528249454965</v>
      </c>
      <c r="AC209" s="124">
        <v>453.81528249454965</v>
      </c>
      <c r="AD209" s="124">
        <v>453.81528249454965</v>
      </c>
      <c r="AE209" s="124">
        <v>142.71344790943718</v>
      </c>
      <c r="AF209" s="124">
        <v>3.8591533291553584E-2</v>
      </c>
      <c r="AG209" s="124">
        <v>0</v>
      </c>
      <c r="AH209" s="124">
        <v>82.561990987618458</v>
      </c>
      <c r="AI209" s="124">
        <v>416.52408399540997</v>
      </c>
      <c r="AJ209" s="124">
        <v>453.81528249454965</v>
      </c>
      <c r="AK209" s="124">
        <v>453.81528249454965</v>
      </c>
      <c r="AL209" s="124">
        <v>3.8591533291553584E-2</v>
      </c>
      <c r="AM209" s="124">
        <v>453.81528249454965</v>
      </c>
      <c r="AN209" s="124">
        <v>3.8591533291553584E-2</v>
      </c>
      <c r="AO209" s="124">
        <v>3.8591533291553584E-2</v>
      </c>
      <c r="AP209" s="124">
        <v>758.16076704237946</v>
      </c>
      <c r="AQ209" s="124">
        <v>3.8591533291551627E-2</v>
      </c>
      <c r="AR209" s="124">
        <v>142.71344790943715</v>
      </c>
      <c r="AS209" s="124">
        <v>3.8591533291537417E-2</v>
      </c>
      <c r="AT209" s="124">
        <v>154.97939594108561</v>
      </c>
      <c r="AU209" s="124">
        <v>3.8591533291553584E-2</v>
      </c>
      <c r="AV209" s="124">
        <v>247.8561395553171</v>
      </c>
      <c r="AW209" s="124">
        <v>453.81528249454965</v>
      </c>
      <c r="AX209" s="124">
        <v>544.56800236872073</v>
      </c>
      <c r="AY209" s="124">
        <v>3.8591533291553584E-2</v>
      </c>
    </row>
    <row r="210" spans="1:51">
      <c r="A210" s="109"/>
      <c r="B210" s="119">
        <v>2</v>
      </c>
      <c r="C210" s="106">
        <v>250.46690747603421</v>
      </c>
      <c r="D210" s="110">
        <v>12.432227473083001</v>
      </c>
      <c r="E210" s="110">
        <v>0</v>
      </c>
      <c r="F210" s="110">
        <v>302.61008068037808</v>
      </c>
      <c r="G210" s="110">
        <v>141.09571387001819</v>
      </c>
      <c r="H210" s="110">
        <v>90.69216349293275</v>
      </c>
      <c r="I210" s="110">
        <v>1.0777330596231958E-15</v>
      </c>
      <c r="J210" s="110">
        <v>247.11039393700577</v>
      </c>
      <c r="K210" s="110">
        <v>453.77669096125805</v>
      </c>
      <c r="L210" s="110">
        <v>184.28388872313189</v>
      </c>
      <c r="M210" s="110">
        <v>44.116380327467475</v>
      </c>
      <c r="N210" s="110">
        <v>311.1018345851125</v>
      </c>
      <c r="O210" s="110">
        <v>363.02397108708686</v>
      </c>
      <c r="P210" s="110">
        <v>69.444931709639107</v>
      </c>
      <c r="Q210" s="110">
        <v>363.02397108708686</v>
      </c>
      <c r="R210" s="110">
        <v>220.34911471094125</v>
      </c>
      <c r="S210" s="110">
        <v>453.77669096125805</v>
      </c>
      <c r="T210" s="110">
        <v>0</v>
      </c>
      <c r="U210" s="110">
        <v>0</v>
      </c>
      <c r="V210" s="110">
        <v>70.562780494401721</v>
      </c>
      <c r="W210" s="110">
        <v>24.992966280560481</v>
      </c>
      <c r="X210" s="110">
        <v>311.1018345851125</v>
      </c>
      <c r="Y210" s="110">
        <v>8.9046738614256954E-15</v>
      </c>
      <c r="Z210" s="110">
        <v>603.24280813656719</v>
      </c>
      <c r="AA210" s="110">
        <v>249.94874849001141</v>
      </c>
      <c r="AB210" s="110">
        <v>116.64715126206403</v>
      </c>
      <c r="AC210" s="110">
        <v>0</v>
      </c>
      <c r="AD210" s="110">
        <v>0</v>
      </c>
      <c r="AE210" s="110">
        <v>0</v>
      </c>
      <c r="AF210" s="110">
        <v>0</v>
      </c>
      <c r="AG210" s="110">
        <v>289.03773393365481</v>
      </c>
      <c r="AH210" s="110">
        <v>389.70440500006242</v>
      </c>
      <c r="AI210" s="110">
        <v>204.47591600459003</v>
      </c>
      <c r="AJ210" s="110">
        <v>20.538947792408248</v>
      </c>
      <c r="AK210" s="110">
        <v>0</v>
      </c>
      <c r="AL210" s="110">
        <v>0</v>
      </c>
      <c r="AM210" s="110">
        <v>0</v>
      </c>
      <c r="AN210" s="110">
        <v>0</v>
      </c>
      <c r="AO210" s="110">
        <v>453.77669096125805</v>
      </c>
      <c r="AP210" s="110">
        <v>0</v>
      </c>
      <c r="AQ210" s="110">
        <v>112.08270918328677</v>
      </c>
      <c r="AR210" s="110">
        <v>544.52941083542919</v>
      </c>
      <c r="AS210" s="110">
        <v>401.85455445928363</v>
      </c>
      <c r="AT210" s="110">
        <v>544.52941083542919</v>
      </c>
      <c r="AU210" s="110">
        <v>164.59043740740142</v>
      </c>
      <c r="AV210" s="110">
        <v>453.77669096125805</v>
      </c>
      <c r="AW210" s="110">
        <v>113.43652804013892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24.764280408916001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311.1018345851125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89.024426537135682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311.1018345851125</v>
      </c>
      <c r="AH211" s="110">
        <v>90.73360401231912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453.77669096125805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247245.07617668825</v>
      </c>
      <c r="E259" s="124">
        <f t="shared" ref="E259:AX259" si="5">F$14*$B$259</f>
        <v>75661.200554052615</v>
      </c>
      <c r="F259" s="124">
        <f t="shared" si="5"/>
        <v>449141.3513269698</v>
      </c>
      <c r="G259" s="124">
        <f t="shared" si="5"/>
        <v>363512.62412142812</v>
      </c>
      <c r="H259" s="124">
        <f t="shared" si="5"/>
        <v>48101.9690366953</v>
      </c>
      <c r="I259" s="124">
        <f t="shared" si="5"/>
        <v>509836.26824973966</v>
      </c>
      <c r="J259" s="124">
        <f t="shared" si="5"/>
        <v>131028.92005149474</v>
      </c>
      <c r="K259" s="124">
        <f t="shared" si="5"/>
        <v>481170.48064359301</v>
      </c>
      <c r="L259" s="124">
        <f t="shared" si="5"/>
        <v>338295.72527399648</v>
      </c>
      <c r="M259" s="124">
        <f t="shared" si="5"/>
        <v>99050.014632691775</v>
      </c>
      <c r="N259" s="124">
        <f t="shared" si="5"/>
        <v>164954.72939562588</v>
      </c>
      <c r="O259" s="124">
        <f t="shared" si="5"/>
        <v>384943.25272905582</v>
      </c>
      <c r="P259" s="124">
        <f t="shared" si="5"/>
        <v>36837.501050508305</v>
      </c>
      <c r="Q259" s="124">
        <f t="shared" si="5"/>
        <v>268122.59704261989</v>
      </c>
      <c r="R259" s="124">
        <f t="shared" si="5"/>
        <v>116841.11543835726</v>
      </c>
      <c r="S259" s="124">
        <f t="shared" si="5"/>
        <v>316236.21099988854</v>
      </c>
      <c r="T259" s="124">
        <f t="shared" si="5"/>
        <v>240595.47019775718</v>
      </c>
      <c r="U259" s="124">
        <f t="shared" si="5"/>
        <v>405529.73984146171</v>
      </c>
      <c r="V259" s="124">
        <f t="shared" si="5"/>
        <v>278005.15208019933</v>
      </c>
      <c r="W259" s="124">
        <f t="shared" si="5"/>
        <v>88911.513414506713</v>
      </c>
      <c r="X259" s="124">
        <f t="shared" si="5"/>
        <v>164954.72939562588</v>
      </c>
      <c r="Y259" s="124">
        <f t="shared" si="5"/>
        <v>75661.200554052615</v>
      </c>
      <c r="Z259" s="124">
        <f t="shared" si="5"/>
        <v>646104.75028729765</v>
      </c>
      <c r="AA259" s="124">
        <f t="shared" si="5"/>
        <v>420306.05636794103</v>
      </c>
      <c r="AB259" s="124">
        <f t="shared" si="5"/>
        <v>302437.31926651846</v>
      </c>
      <c r="AC259" s="124">
        <f t="shared" si="5"/>
        <v>240595.47019775718</v>
      </c>
      <c r="AD259" s="124">
        <f t="shared" si="5"/>
        <v>240595.47019775718</v>
      </c>
      <c r="AE259" s="124">
        <f t="shared" si="5"/>
        <v>75661.200554052615</v>
      </c>
      <c r="AF259" s="124">
        <f t="shared" si="5"/>
        <v>20.459751921301258</v>
      </c>
      <c r="AG259" s="124">
        <f t="shared" si="5"/>
        <v>481170.48064359307</v>
      </c>
      <c r="AH259" s="124">
        <f t="shared" si="5"/>
        <v>495305.28967281315</v>
      </c>
      <c r="AI259" s="124">
        <f t="shared" si="5"/>
        <v>349000.76427427895</v>
      </c>
      <c r="AJ259" s="124">
        <f t="shared" si="5"/>
        <v>251484.43315713262</v>
      </c>
      <c r="AK259" s="124">
        <f t="shared" si="5"/>
        <v>240595.47019775718</v>
      </c>
      <c r="AL259" s="124">
        <f t="shared" si="5"/>
        <v>20.459751921301258</v>
      </c>
      <c r="AM259" s="124">
        <f t="shared" si="5"/>
        <v>240595.47019775718</v>
      </c>
      <c r="AN259" s="124">
        <f t="shared" si="5"/>
        <v>240595.47019775718</v>
      </c>
      <c r="AO259" s="124">
        <f t="shared" si="5"/>
        <v>240595.47019775718</v>
      </c>
      <c r="AP259" s="124">
        <f t="shared" si="5"/>
        <v>509836.26824973966</v>
      </c>
      <c r="AQ259" s="124">
        <f t="shared" si="5"/>
        <v>59442.416563865438</v>
      </c>
      <c r="AR259" s="124">
        <f t="shared" si="5"/>
        <v>364349.82495715714</v>
      </c>
      <c r="AS259" s="124">
        <f t="shared" si="5"/>
        <v>213068.3433528945</v>
      </c>
      <c r="AT259" s="124">
        <f t="shared" si="5"/>
        <v>529284.09460086166</v>
      </c>
      <c r="AU259" s="124">
        <f t="shared" si="5"/>
        <v>87280.001696862004</v>
      </c>
      <c r="AV259" s="124">
        <f t="shared" si="5"/>
        <v>481170.48064359301</v>
      </c>
      <c r="AW259" s="124">
        <f t="shared" si="5"/>
        <v>300735.16988216806</v>
      </c>
      <c r="AX259" s="124">
        <f t="shared" si="5"/>
        <v>288709.08415502578</v>
      </c>
      <c r="AY259" s="124">
        <f>AZ$14*$B$259</f>
        <v>20.459751921301258</v>
      </c>
      <c r="AZ259" s="139">
        <f>SUM($D259:$AY259)</f>
        <v>12583617.020975109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112821.12501486408</v>
      </c>
      <c r="E260" s="125">
        <f t="shared" ref="E260:AY260" si="6">(E$175-E$176+E$177-E$178+E$179-E$180+E$181-E$182)*$B$260</f>
        <v>89819.902970178286</v>
      </c>
      <c r="F260" s="125">
        <f t="shared" si="6"/>
        <v>84480.798339048939</v>
      </c>
      <c r="G260" s="125">
        <f t="shared" si="6"/>
        <v>109184.98854263741</v>
      </c>
      <c r="H260" s="125">
        <f t="shared" si="6"/>
        <v>55036.206245396133</v>
      </c>
      <c r="I260" s="125">
        <f t="shared" si="6"/>
        <v>95738.190623100949</v>
      </c>
      <c r="J260" s="125">
        <f t="shared" si="6"/>
        <v>36855.862518513401</v>
      </c>
      <c r="K260" s="125">
        <f t="shared" si="6"/>
        <v>86042.075327455386</v>
      </c>
      <c r="L260" s="125">
        <f t="shared" si="6"/>
        <v>75041.277131114926</v>
      </c>
      <c r="M260" s="125">
        <f t="shared" si="6"/>
        <v>37110.692455496806</v>
      </c>
      <c r="N260" s="125">
        <f t="shared" si="6"/>
        <v>10653.52059599657</v>
      </c>
      <c r="O260" s="125">
        <f t="shared" si="6"/>
        <v>23949.473901342288</v>
      </c>
      <c r="P260" s="125">
        <f t="shared" si="6"/>
        <v>14151.177732994131</v>
      </c>
      <c r="Q260" s="125">
        <f t="shared" si="6"/>
        <v>3649.3718281160932</v>
      </c>
      <c r="R260" s="125">
        <f t="shared" si="6"/>
        <v>9416.0292197204526</v>
      </c>
      <c r="S260" s="125">
        <f t="shared" si="6"/>
        <v>17769.188802158373</v>
      </c>
      <c r="T260" s="125">
        <f t="shared" si="6"/>
        <v>13405.061995054071</v>
      </c>
      <c r="U260" s="125">
        <f t="shared" si="6"/>
        <v>41290.461005780002</v>
      </c>
      <c r="V260" s="125">
        <f t="shared" si="6"/>
        <v>49715.564190719706</v>
      </c>
      <c r="W260" s="125">
        <f t="shared" si="6"/>
        <v>22676.752994708964</v>
      </c>
      <c r="X260" s="125">
        <f t="shared" si="6"/>
        <v>26192.20453804321</v>
      </c>
      <c r="Y260" s="125">
        <f t="shared" si="6"/>
        <v>26488.233757763672</v>
      </c>
      <c r="Z260" s="125">
        <f t="shared" si="6"/>
        <v>97409.305524244672</v>
      </c>
      <c r="AA260" s="125">
        <f t="shared" si="6"/>
        <v>90669.835442518801</v>
      </c>
      <c r="AB260" s="125">
        <f t="shared" si="6"/>
        <v>80295.883310384132</v>
      </c>
      <c r="AC260" s="125">
        <f t="shared" si="6"/>
        <v>76796.989073056015</v>
      </c>
      <c r="AD260" s="125">
        <f t="shared" si="6"/>
        <v>69201.674899590842</v>
      </c>
      <c r="AE260" s="125">
        <f t="shared" si="6"/>
        <v>48683.803142492623</v>
      </c>
      <c r="AF260" s="125">
        <f t="shared" si="6"/>
        <v>23416.864826400539</v>
      </c>
      <c r="AG260" s="125">
        <f t="shared" si="6"/>
        <v>67370.949121454731</v>
      </c>
      <c r="AH260" s="125">
        <f t="shared" si="6"/>
        <v>80819.51172250956</v>
      </c>
      <c r="AI260" s="125">
        <f t="shared" si="6"/>
        <v>73035.630338565985</v>
      </c>
      <c r="AJ260" s="125">
        <f t="shared" si="6"/>
        <v>65529.486785292902</v>
      </c>
      <c r="AK260" s="125">
        <f t="shared" si="6"/>
        <v>54019.307654231605</v>
      </c>
      <c r="AL260" s="125">
        <f t="shared" si="6"/>
        <v>21334.709342014085</v>
      </c>
      <c r="AM260" s="125">
        <f t="shared" si="6"/>
        <v>0</v>
      </c>
      <c r="AN260" s="125">
        <f t="shared" si="6"/>
        <v>11898.869149462256</v>
      </c>
      <c r="AO260" s="125">
        <f t="shared" si="6"/>
        <v>9457.7382989245089</v>
      </c>
      <c r="AP260" s="125">
        <f t="shared" si="6"/>
        <v>65728.362201718759</v>
      </c>
      <c r="AQ260" s="125">
        <f t="shared" si="6"/>
        <v>40603.84224077512</v>
      </c>
      <c r="AR260" s="125">
        <f t="shared" si="6"/>
        <v>21536.394714888316</v>
      </c>
      <c r="AS260" s="125">
        <f t="shared" si="6"/>
        <v>5154.2487317607911</v>
      </c>
      <c r="AT260" s="125">
        <f t="shared" si="6"/>
        <v>56457.599674159697</v>
      </c>
      <c r="AU260" s="125">
        <f t="shared" si="6"/>
        <v>17151.925767584529</v>
      </c>
      <c r="AV260" s="125">
        <f t="shared" si="6"/>
        <v>57296.105672166676</v>
      </c>
      <c r="AW260" s="125">
        <f t="shared" si="6"/>
        <v>74393.006893243437</v>
      </c>
      <c r="AX260" s="125">
        <f t="shared" si="6"/>
        <v>79239.648078067024</v>
      </c>
      <c r="AY260" s="125">
        <f t="shared" si="6"/>
        <v>64248.514759177218</v>
      </c>
      <c r="AZ260" s="141">
        <f>SUM($D260:$AY260)</f>
        <v>2393238.3670948893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18</v>
      </c>
      <c r="E6" s="100">
        <v>10411.199999999999</v>
      </c>
      <c r="F6" s="100">
        <v>23</v>
      </c>
      <c r="G6" s="100">
        <v>13303.199999999999</v>
      </c>
      <c r="H6" s="100">
        <v>22</v>
      </c>
      <c r="I6" s="100">
        <v>12724.8</v>
      </c>
      <c r="J6" s="100">
        <v>19</v>
      </c>
      <c r="K6" s="100">
        <v>10989.6</v>
      </c>
      <c r="L6" s="100">
        <v>18</v>
      </c>
      <c r="M6" s="100">
        <v>10411.199999999999</v>
      </c>
      <c r="N6" s="100">
        <v>15</v>
      </c>
      <c r="O6" s="100">
        <v>8676</v>
      </c>
      <c r="P6" s="100">
        <v>27.581912143996661</v>
      </c>
      <c r="Q6" s="100">
        <v>15953.377984087669</v>
      </c>
      <c r="R6" s="100">
        <v>14</v>
      </c>
      <c r="S6" s="100">
        <v>8097.5999999999995</v>
      </c>
      <c r="T6" s="100">
        <v>15</v>
      </c>
      <c r="U6" s="100">
        <v>8676</v>
      </c>
      <c r="V6" s="100">
        <v>15.205118420454177</v>
      </c>
      <c r="W6" s="100">
        <v>8794.6404943906964</v>
      </c>
      <c r="X6" s="100">
        <v>15.745868805083386</v>
      </c>
      <c r="Y6" s="100">
        <v>9107.4105168602309</v>
      </c>
      <c r="Z6" s="100">
        <v>11.359236336966957</v>
      </c>
      <c r="AA6" s="100">
        <v>6570.1822973016879</v>
      </c>
      <c r="AB6" s="100">
        <v>20</v>
      </c>
      <c r="AC6" s="100">
        <v>11568</v>
      </c>
      <c r="AD6" s="100">
        <v>24.437882413660549</v>
      </c>
      <c r="AE6" s="100">
        <v>14134.871188061261</v>
      </c>
      <c r="AF6" s="100">
        <v>15</v>
      </c>
      <c r="AG6" s="100">
        <v>8676</v>
      </c>
      <c r="AH6" s="100">
        <v>29</v>
      </c>
      <c r="AI6" s="100">
        <v>16773.599999999999</v>
      </c>
      <c r="AJ6" s="100">
        <v>15</v>
      </c>
      <c r="AK6" s="100">
        <v>8676</v>
      </c>
      <c r="AL6" s="100">
        <v>26</v>
      </c>
      <c r="AM6" s="100">
        <v>15038.4</v>
      </c>
      <c r="AN6" s="100">
        <v>16</v>
      </c>
      <c r="AO6" s="100">
        <v>9254.4</v>
      </c>
      <c r="AP6" s="100">
        <v>19</v>
      </c>
      <c r="AQ6" s="100">
        <v>10989.6</v>
      </c>
      <c r="AR6" s="100">
        <v>25</v>
      </c>
      <c r="AS6" s="100">
        <v>14460</v>
      </c>
      <c r="AT6" s="100">
        <v>25</v>
      </c>
      <c r="AU6" s="100">
        <v>14460</v>
      </c>
      <c r="AV6" s="100">
        <v>21.527246678967387</v>
      </c>
      <c r="AW6" s="100">
        <v>12451.359479114737</v>
      </c>
      <c r="AX6" s="100">
        <v>18.970027398787657</v>
      </c>
      <c r="AY6" s="100">
        <v>10972.26384745878</v>
      </c>
      <c r="AZ6" s="100">
        <v>24</v>
      </c>
      <c r="BA6" s="100">
        <v>13881.599999999999</v>
      </c>
      <c r="BB6" s="100">
        <v>20.92103771956717</v>
      </c>
      <c r="BC6" s="100">
        <v>12100.728216997652</v>
      </c>
      <c r="BD6" s="100">
        <v>14</v>
      </c>
      <c r="BE6" s="100">
        <v>8097.5999999999995</v>
      </c>
      <c r="BF6" s="100">
        <v>18</v>
      </c>
      <c r="BG6" s="100">
        <v>10411.199999999999</v>
      </c>
      <c r="BH6" s="100">
        <v>21</v>
      </c>
      <c r="BI6" s="100">
        <v>12146.4</v>
      </c>
      <c r="BJ6" s="100">
        <v>28</v>
      </c>
      <c r="BK6" s="100">
        <v>16195.199999999999</v>
      </c>
      <c r="BL6" s="100">
        <v>25</v>
      </c>
      <c r="BM6" s="100">
        <v>14460</v>
      </c>
      <c r="BN6" s="100">
        <v>23.495589789020531</v>
      </c>
      <c r="BO6" s="100">
        <v>13589.849133969476</v>
      </c>
      <c r="BP6" s="100">
        <v>27</v>
      </c>
      <c r="BQ6" s="100">
        <v>15616.8</v>
      </c>
      <c r="BR6" s="100">
        <v>23</v>
      </c>
      <c r="BS6" s="100">
        <v>13303.199999999999</v>
      </c>
      <c r="BT6" s="100">
        <v>18</v>
      </c>
      <c r="BU6" s="100">
        <v>10411.199999999999</v>
      </c>
      <c r="BV6" s="100">
        <v>19.0505324322231</v>
      </c>
      <c r="BW6" s="100">
        <v>11018.827958797841</v>
      </c>
      <c r="BX6" s="100">
        <v>25</v>
      </c>
      <c r="BY6" s="100">
        <v>14460</v>
      </c>
      <c r="BZ6" s="100">
        <v>26</v>
      </c>
      <c r="CA6" s="100">
        <v>15038.4</v>
      </c>
      <c r="CB6" s="100">
        <v>22</v>
      </c>
      <c r="CC6" s="100">
        <v>12724.8</v>
      </c>
      <c r="CD6" s="100">
        <v>33</v>
      </c>
      <c r="CE6" s="100">
        <v>19087.2</v>
      </c>
      <c r="CF6" s="100">
        <v>26</v>
      </c>
      <c r="CG6" s="100">
        <v>15038.4</v>
      </c>
      <c r="CH6" s="100">
        <v>24.067419296088858</v>
      </c>
      <c r="CI6" s="100">
        <v>13920.595320857794</v>
      </c>
      <c r="CJ6" s="100">
        <v>25.895837703152637</v>
      </c>
      <c r="CK6" s="100">
        <v>14978.152527503484</v>
      </c>
      <c r="CL6" s="100">
        <v>16.348550971827908</v>
      </c>
      <c r="CM6" s="100">
        <v>9456.0018821052618</v>
      </c>
      <c r="CN6" s="100">
        <v>20</v>
      </c>
      <c r="CO6" s="100">
        <v>11568</v>
      </c>
      <c r="CP6" s="100">
        <v>29</v>
      </c>
      <c r="CQ6" s="100">
        <v>16773.599999999999</v>
      </c>
      <c r="CR6" s="100">
        <v>21</v>
      </c>
      <c r="CS6" s="100">
        <v>12146.4</v>
      </c>
      <c r="CT6" s="100">
        <v>21</v>
      </c>
      <c r="CU6" s="100">
        <v>12146.4</v>
      </c>
    </row>
    <row r="7" spans="1:99">
      <c r="C7" s="99" t="s">
        <v>173</v>
      </c>
      <c r="D7" s="100">
        <v>18</v>
      </c>
      <c r="E7" s="100">
        <v>14191.199999999999</v>
      </c>
      <c r="F7" s="100">
        <v>20</v>
      </c>
      <c r="G7" s="100">
        <v>15768</v>
      </c>
      <c r="H7" s="100">
        <v>23</v>
      </c>
      <c r="I7" s="100">
        <v>18133.2</v>
      </c>
      <c r="J7" s="100">
        <v>17</v>
      </c>
      <c r="K7" s="100">
        <v>13402.8</v>
      </c>
      <c r="L7" s="100">
        <v>17</v>
      </c>
      <c r="M7" s="100">
        <v>13402.8</v>
      </c>
      <c r="N7" s="100">
        <v>14</v>
      </c>
      <c r="O7" s="100">
        <v>11037.6</v>
      </c>
      <c r="P7" s="100">
        <v>24.728610887721143</v>
      </c>
      <c r="Q7" s="100">
        <v>19496.036823879349</v>
      </c>
      <c r="R7" s="100">
        <v>14</v>
      </c>
      <c r="S7" s="100">
        <v>11037.6</v>
      </c>
      <c r="T7" s="100">
        <v>15</v>
      </c>
      <c r="U7" s="100">
        <v>11826</v>
      </c>
      <c r="V7" s="100">
        <v>15.205118420454177</v>
      </c>
      <c r="W7" s="100">
        <v>11987.715362686073</v>
      </c>
      <c r="X7" s="100">
        <v>14.958575364829215</v>
      </c>
      <c r="Y7" s="100">
        <v>11793.340817631353</v>
      </c>
      <c r="Z7" s="100">
        <v>10.649284065906523</v>
      </c>
      <c r="AA7" s="100">
        <v>8395.8955575607015</v>
      </c>
      <c r="AB7" s="100">
        <v>20</v>
      </c>
      <c r="AC7" s="100">
        <v>15768</v>
      </c>
      <c r="AD7" s="100">
        <v>24.437882413660549</v>
      </c>
      <c r="AE7" s="100">
        <v>19266.826494929977</v>
      </c>
      <c r="AF7" s="100">
        <v>15</v>
      </c>
      <c r="AG7" s="100">
        <v>11826</v>
      </c>
      <c r="AH7" s="100">
        <v>27</v>
      </c>
      <c r="AI7" s="100">
        <v>21286.799999999999</v>
      </c>
      <c r="AJ7" s="100">
        <v>14</v>
      </c>
      <c r="AK7" s="100">
        <v>11037.6</v>
      </c>
      <c r="AL7" s="100">
        <v>28</v>
      </c>
      <c r="AM7" s="100">
        <v>22075.200000000001</v>
      </c>
      <c r="AN7" s="100">
        <v>16</v>
      </c>
      <c r="AO7" s="100">
        <v>12614.4</v>
      </c>
      <c r="AP7" s="100">
        <v>19</v>
      </c>
      <c r="AQ7" s="100">
        <v>14979.6</v>
      </c>
      <c r="AR7" s="100">
        <v>26</v>
      </c>
      <c r="AS7" s="100">
        <v>20498.399999999998</v>
      </c>
      <c r="AT7" s="100">
        <v>25</v>
      </c>
      <c r="AU7" s="100">
        <v>19710</v>
      </c>
      <c r="AV7" s="100">
        <v>21.527246678967387</v>
      </c>
      <c r="AW7" s="100">
        <v>16972.081281697887</v>
      </c>
      <c r="AX7" s="100">
        <v>17.163358122712641</v>
      </c>
      <c r="AY7" s="100">
        <v>13531.591543946646</v>
      </c>
      <c r="AZ7" s="100">
        <v>22</v>
      </c>
      <c r="BA7" s="100">
        <v>17344.8</v>
      </c>
      <c r="BB7" s="100">
        <v>21.91727761097513</v>
      </c>
      <c r="BC7" s="100">
        <v>17279.581668492792</v>
      </c>
      <c r="BD7" s="100">
        <v>15</v>
      </c>
      <c r="BE7" s="100">
        <v>11826</v>
      </c>
      <c r="BF7" s="100">
        <v>18</v>
      </c>
      <c r="BG7" s="100">
        <v>14191.199999999999</v>
      </c>
      <c r="BH7" s="100">
        <v>21</v>
      </c>
      <c r="BI7" s="100">
        <v>16556.399999999998</v>
      </c>
      <c r="BJ7" s="100">
        <v>28</v>
      </c>
      <c r="BK7" s="100">
        <v>22075.200000000001</v>
      </c>
      <c r="BL7" s="100">
        <v>24</v>
      </c>
      <c r="BM7" s="100">
        <v>18921.599999999999</v>
      </c>
      <c r="BN7" s="100">
        <v>24.365796818243517</v>
      </c>
      <c r="BO7" s="100">
        <v>19209.994211503188</v>
      </c>
      <c r="BP7" s="100">
        <v>22</v>
      </c>
      <c r="BQ7" s="100">
        <v>17344.8</v>
      </c>
      <c r="BR7" s="100">
        <v>23</v>
      </c>
      <c r="BS7" s="100">
        <v>18133.2</v>
      </c>
      <c r="BT7" s="100">
        <v>16</v>
      </c>
      <c r="BU7" s="100">
        <v>12614.4</v>
      </c>
      <c r="BV7" s="100">
        <v>19.916465724596879</v>
      </c>
      <c r="BW7" s="100">
        <v>15702.141577272179</v>
      </c>
      <c r="BX7" s="100">
        <v>24</v>
      </c>
      <c r="BY7" s="100">
        <v>18921.599999999999</v>
      </c>
      <c r="BZ7" s="100">
        <v>23</v>
      </c>
      <c r="CA7" s="100">
        <v>18133.2</v>
      </c>
      <c r="CB7" s="100">
        <v>22</v>
      </c>
      <c r="CC7" s="100">
        <v>17344.8</v>
      </c>
      <c r="CD7" s="100">
        <v>32</v>
      </c>
      <c r="CE7" s="100">
        <v>25228.799999999999</v>
      </c>
      <c r="CF7" s="100">
        <v>27</v>
      </c>
      <c r="CG7" s="100">
        <v>21286.799999999999</v>
      </c>
      <c r="CH7" s="100">
        <v>23.104722524245304</v>
      </c>
      <c r="CI7" s="100">
        <v>18215.763238114996</v>
      </c>
      <c r="CJ7" s="100">
        <v>26.854942803269402</v>
      </c>
      <c r="CK7" s="100">
        <v>21172.436906097595</v>
      </c>
      <c r="CL7" s="100">
        <v>14.713695874645117</v>
      </c>
      <c r="CM7" s="100">
        <v>11600.277827570209</v>
      </c>
      <c r="CN7" s="100">
        <v>21</v>
      </c>
      <c r="CO7" s="100">
        <v>16556.399999999998</v>
      </c>
      <c r="CP7" s="100">
        <v>24</v>
      </c>
      <c r="CQ7" s="100">
        <v>18921.599999999999</v>
      </c>
      <c r="CR7" s="100">
        <v>17</v>
      </c>
      <c r="CS7" s="100">
        <v>13402.8</v>
      </c>
      <c r="CT7" s="100">
        <v>20</v>
      </c>
      <c r="CU7" s="100">
        <v>15768</v>
      </c>
    </row>
    <row r="8" spans="1:99">
      <c r="C8" s="99" t="s">
        <v>174</v>
      </c>
      <c r="D8" s="100">
        <v>19</v>
      </c>
      <c r="E8" s="100">
        <v>5882.4</v>
      </c>
      <c r="F8" s="100">
        <v>24</v>
      </c>
      <c r="G8" s="100">
        <v>7430.4</v>
      </c>
      <c r="H8" s="100">
        <v>25</v>
      </c>
      <c r="I8" s="100">
        <v>7739.9999999999991</v>
      </c>
      <c r="J8" s="100">
        <v>18</v>
      </c>
      <c r="K8" s="100">
        <v>5572.7999999999993</v>
      </c>
      <c r="L8" s="100">
        <v>17</v>
      </c>
      <c r="M8" s="100">
        <v>5263.2</v>
      </c>
      <c r="N8" s="100">
        <v>16</v>
      </c>
      <c r="O8" s="100">
        <v>4953.5999999999995</v>
      </c>
      <c r="P8" s="100">
        <v>28.533012562755168</v>
      </c>
      <c r="Q8" s="100">
        <v>8833.8206894289997</v>
      </c>
      <c r="R8" s="100">
        <v>15</v>
      </c>
      <c r="S8" s="100">
        <v>4643.9999999999991</v>
      </c>
      <c r="T8" s="100">
        <v>18</v>
      </c>
      <c r="U8" s="100">
        <v>5572.7999999999993</v>
      </c>
      <c r="V8" s="100">
        <v>15.205118420454177</v>
      </c>
      <c r="W8" s="100">
        <v>4707.504662972613</v>
      </c>
      <c r="X8" s="100">
        <v>16.533162245337557</v>
      </c>
      <c r="Y8" s="100">
        <v>5118.6670311565076</v>
      </c>
      <c r="Z8" s="100">
        <v>12.069188608027392</v>
      </c>
      <c r="AA8" s="100">
        <v>3736.6207930452802</v>
      </c>
      <c r="AB8" s="100">
        <v>23</v>
      </c>
      <c r="AC8" s="100">
        <v>7120.7999999999993</v>
      </c>
      <c r="AD8" s="100">
        <v>26.317719522403667</v>
      </c>
      <c r="AE8" s="100">
        <v>8147.9659641361741</v>
      </c>
      <c r="AF8" s="100">
        <v>18</v>
      </c>
      <c r="AG8" s="100">
        <v>5572.7999999999993</v>
      </c>
      <c r="AH8" s="100">
        <v>26</v>
      </c>
      <c r="AI8" s="100">
        <v>8049.5999999999995</v>
      </c>
      <c r="AJ8" s="100">
        <v>14</v>
      </c>
      <c r="AK8" s="100">
        <v>4334.3999999999996</v>
      </c>
      <c r="AL8" s="100">
        <v>30</v>
      </c>
      <c r="AM8" s="100">
        <v>9287.9999999999982</v>
      </c>
      <c r="AN8" s="100">
        <v>20</v>
      </c>
      <c r="AO8" s="100">
        <v>6191.9999999999991</v>
      </c>
      <c r="AP8" s="100">
        <v>18</v>
      </c>
      <c r="AQ8" s="100">
        <v>5572.7999999999993</v>
      </c>
      <c r="AR8" s="100">
        <v>25</v>
      </c>
      <c r="AS8" s="100">
        <v>7739.9999999999991</v>
      </c>
      <c r="AT8" s="100">
        <v>23</v>
      </c>
      <c r="AU8" s="100">
        <v>7120.7999999999993</v>
      </c>
      <c r="AV8" s="100">
        <v>24.335148419702264</v>
      </c>
      <c r="AW8" s="100">
        <v>7534.16195073982</v>
      </c>
      <c r="AX8" s="100">
        <v>18.970027398787657</v>
      </c>
      <c r="AY8" s="100">
        <v>5873.1204826646581</v>
      </c>
      <c r="AZ8" s="100">
        <v>22</v>
      </c>
      <c r="BA8" s="100">
        <v>6811.1999999999989</v>
      </c>
      <c r="BB8" s="100">
        <v>23.909757393791054</v>
      </c>
      <c r="BC8" s="100">
        <v>7402.4608891177095</v>
      </c>
      <c r="BD8" s="100">
        <v>15</v>
      </c>
      <c r="BE8" s="100">
        <v>4643.9999999999991</v>
      </c>
      <c r="BF8" s="100">
        <v>20</v>
      </c>
      <c r="BG8" s="100">
        <v>6191.9999999999991</v>
      </c>
      <c r="BH8" s="100">
        <v>25</v>
      </c>
      <c r="BI8" s="100">
        <v>7739.9999999999991</v>
      </c>
      <c r="BJ8" s="100">
        <v>27</v>
      </c>
      <c r="BK8" s="100">
        <v>8359.1999999999989</v>
      </c>
      <c r="BL8" s="100">
        <v>26</v>
      </c>
      <c r="BM8" s="100">
        <v>8049.5999999999995</v>
      </c>
      <c r="BN8" s="100">
        <v>24.365796818243517</v>
      </c>
      <c r="BO8" s="100">
        <v>7543.650694928192</v>
      </c>
      <c r="BP8" s="100">
        <v>27</v>
      </c>
      <c r="BQ8" s="100">
        <v>8359.1999999999989</v>
      </c>
      <c r="BR8" s="100">
        <v>24</v>
      </c>
      <c r="BS8" s="100">
        <v>7430.4</v>
      </c>
      <c r="BT8" s="100">
        <v>16</v>
      </c>
      <c r="BU8" s="100">
        <v>4953.5999999999995</v>
      </c>
      <c r="BV8" s="100">
        <v>18.184599139849322</v>
      </c>
      <c r="BW8" s="100">
        <v>5629.9518936973491</v>
      </c>
      <c r="BX8" s="100">
        <v>29</v>
      </c>
      <c r="BY8" s="100">
        <v>8978.4</v>
      </c>
      <c r="BZ8" s="100">
        <v>24</v>
      </c>
      <c r="CA8" s="100">
        <v>7430.4</v>
      </c>
      <c r="CB8" s="100">
        <v>26</v>
      </c>
      <c r="CC8" s="100">
        <v>8049.5999999999995</v>
      </c>
      <c r="CD8" s="100">
        <v>32</v>
      </c>
      <c r="CE8" s="100">
        <v>9907.1999999999989</v>
      </c>
      <c r="CF8" s="100">
        <v>30</v>
      </c>
      <c r="CG8" s="100">
        <v>9287.9999999999982</v>
      </c>
      <c r="CH8" s="100">
        <v>26.955509611619522</v>
      </c>
      <c r="CI8" s="100">
        <v>8345.4257757574032</v>
      </c>
      <c r="CJ8" s="100">
        <v>26.854942803269402</v>
      </c>
      <c r="CK8" s="100">
        <v>8314.2902918922064</v>
      </c>
      <c r="CL8" s="100">
        <v>14.713695874645117</v>
      </c>
      <c r="CM8" s="100">
        <v>4555.3602427901278</v>
      </c>
      <c r="CN8" s="100">
        <v>22</v>
      </c>
      <c r="CO8" s="100">
        <v>6811.1999999999989</v>
      </c>
      <c r="CP8" s="100">
        <v>30</v>
      </c>
      <c r="CQ8" s="100">
        <v>9287.9999999999982</v>
      </c>
      <c r="CR8" s="100">
        <v>22</v>
      </c>
      <c r="CS8" s="100">
        <v>6811.1999999999989</v>
      </c>
      <c r="CT8" s="100">
        <v>23</v>
      </c>
      <c r="CU8" s="100">
        <v>7120.7999999999993</v>
      </c>
    </row>
    <row r="9" spans="1:99">
      <c r="C9" s="99" t="s">
        <v>175</v>
      </c>
      <c r="D9" s="100">
        <v>18</v>
      </c>
      <c r="E9" s="100">
        <v>12636</v>
      </c>
      <c r="F9" s="100">
        <v>20</v>
      </c>
      <c r="G9" s="100">
        <v>14040</v>
      </c>
      <c r="H9" s="100">
        <v>21</v>
      </c>
      <c r="I9" s="100">
        <v>14742</v>
      </c>
      <c r="J9" s="100">
        <v>16</v>
      </c>
      <c r="K9" s="100">
        <v>11232</v>
      </c>
      <c r="L9" s="100">
        <v>16</v>
      </c>
      <c r="M9" s="100">
        <v>11232</v>
      </c>
      <c r="N9" s="100">
        <v>17</v>
      </c>
      <c r="O9" s="100">
        <v>11934</v>
      </c>
      <c r="P9" s="100">
        <v>26.630811725238154</v>
      </c>
      <c r="Q9" s="100">
        <v>18694.829831117182</v>
      </c>
      <c r="R9" s="100">
        <v>16</v>
      </c>
      <c r="S9" s="100">
        <v>11232</v>
      </c>
      <c r="T9" s="100">
        <v>15</v>
      </c>
      <c r="U9" s="100">
        <v>10530</v>
      </c>
      <c r="V9" s="100">
        <v>15.205118420454177</v>
      </c>
      <c r="W9" s="100">
        <v>10673.993131158832</v>
      </c>
      <c r="X9" s="100">
        <v>15.745868805083386</v>
      </c>
      <c r="Y9" s="100">
        <v>11053.599901168538</v>
      </c>
      <c r="Z9" s="100">
        <v>12.069188608027392</v>
      </c>
      <c r="AA9" s="100">
        <v>8472.5704028352302</v>
      </c>
      <c r="AB9" s="100">
        <v>20</v>
      </c>
      <c r="AC9" s="100">
        <v>14040</v>
      </c>
      <c r="AD9" s="100">
        <v>22.558045304917428</v>
      </c>
      <c r="AE9" s="100">
        <v>15835.747804052035</v>
      </c>
      <c r="AF9" s="100">
        <v>15</v>
      </c>
      <c r="AG9" s="100">
        <v>10530</v>
      </c>
      <c r="AH9" s="100">
        <v>24</v>
      </c>
      <c r="AI9" s="100">
        <v>16848</v>
      </c>
      <c r="AJ9" s="100">
        <v>15</v>
      </c>
      <c r="AK9" s="100">
        <v>10530</v>
      </c>
      <c r="AL9" s="100">
        <v>29</v>
      </c>
      <c r="AM9" s="100">
        <v>20358</v>
      </c>
      <c r="AN9" s="100">
        <v>16</v>
      </c>
      <c r="AO9" s="100">
        <v>11232</v>
      </c>
      <c r="AP9" s="100">
        <v>20</v>
      </c>
      <c r="AQ9" s="100">
        <v>14040</v>
      </c>
      <c r="AR9" s="100">
        <v>26</v>
      </c>
      <c r="AS9" s="100">
        <v>18252</v>
      </c>
      <c r="AT9" s="100">
        <v>25</v>
      </c>
      <c r="AU9" s="100">
        <v>17550</v>
      </c>
      <c r="AV9" s="100">
        <v>20.59127943205576</v>
      </c>
      <c r="AW9" s="100">
        <v>14455.078161303143</v>
      </c>
      <c r="AX9" s="100">
        <v>17.163358122712641</v>
      </c>
      <c r="AY9" s="100">
        <v>12048.677402144274</v>
      </c>
      <c r="AZ9" s="100">
        <v>22</v>
      </c>
      <c r="BA9" s="100">
        <v>15444</v>
      </c>
      <c r="BB9" s="100">
        <v>19.924797828159207</v>
      </c>
      <c r="BC9" s="100">
        <v>13987.208075367764</v>
      </c>
      <c r="BD9" s="100">
        <v>15</v>
      </c>
      <c r="BE9" s="100">
        <v>10530</v>
      </c>
      <c r="BF9" s="100">
        <v>18</v>
      </c>
      <c r="BG9" s="100">
        <v>12636</v>
      </c>
      <c r="BH9" s="100">
        <v>22</v>
      </c>
      <c r="BI9" s="100">
        <v>15444</v>
      </c>
      <c r="BJ9" s="100">
        <v>26</v>
      </c>
      <c r="BK9" s="100">
        <v>18252</v>
      </c>
      <c r="BL9" s="100">
        <v>24</v>
      </c>
      <c r="BM9" s="100">
        <v>16848</v>
      </c>
      <c r="BN9" s="100">
        <v>22.625382759797553</v>
      </c>
      <c r="BO9" s="100">
        <v>15883.018697377882</v>
      </c>
      <c r="BP9" s="100">
        <v>26</v>
      </c>
      <c r="BQ9" s="100">
        <v>18252</v>
      </c>
      <c r="BR9" s="100">
        <v>24</v>
      </c>
      <c r="BS9" s="100">
        <v>16848</v>
      </c>
      <c r="BT9" s="100">
        <v>17</v>
      </c>
      <c r="BU9" s="100">
        <v>11934</v>
      </c>
      <c r="BV9" s="100">
        <v>17.318665847475547</v>
      </c>
      <c r="BW9" s="100">
        <v>12157.703424927833</v>
      </c>
      <c r="BX9" s="100">
        <v>26</v>
      </c>
      <c r="BY9" s="100">
        <v>18252</v>
      </c>
      <c r="BZ9" s="100">
        <v>24</v>
      </c>
      <c r="CA9" s="100">
        <v>16848</v>
      </c>
      <c r="CB9" s="100">
        <v>20</v>
      </c>
      <c r="CC9" s="100">
        <v>14040</v>
      </c>
      <c r="CD9" s="100">
        <v>32</v>
      </c>
      <c r="CE9" s="100">
        <v>22464</v>
      </c>
      <c r="CF9" s="100">
        <v>28</v>
      </c>
      <c r="CG9" s="100">
        <v>19656</v>
      </c>
      <c r="CH9" s="100">
        <v>25.030116067932411</v>
      </c>
      <c r="CI9" s="100">
        <v>17571.141479688551</v>
      </c>
      <c r="CJ9" s="100">
        <v>26.854942803269402</v>
      </c>
      <c r="CK9" s="100">
        <v>18852.169847895122</v>
      </c>
      <c r="CL9" s="100">
        <v>14.713695874645117</v>
      </c>
      <c r="CM9" s="100">
        <v>10329.014504000872</v>
      </c>
      <c r="CN9" s="100">
        <v>21</v>
      </c>
      <c r="CO9" s="100">
        <v>14742</v>
      </c>
      <c r="CP9" s="100">
        <v>26</v>
      </c>
      <c r="CQ9" s="100">
        <v>18252</v>
      </c>
      <c r="CR9" s="100">
        <v>20</v>
      </c>
      <c r="CS9" s="100">
        <v>14040</v>
      </c>
      <c r="CT9" s="100">
        <v>22</v>
      </c>
      <c r="CU9" s="100">
        <v>15444</v>
      </c>
    </row>
    <row r="10" spans="1:99">
      <c r="C10" s="99" t="s">
        <v>176</v>
      </c>
      <c r="D10" s="100">
        <v>19</v>
      </c>
      <c r="E10" s="100">
        <v>10351.199999999999</v>
      </c>
      <c r="F10" s="100">
        <v>20</v>
      </c>
      <c r="G10" s="100">
        <v>10896</v>
      </c>
      <c r="H10" s="100">
        <v>21</v>
      </c>
      <c r="I10" s="100">
        <v>11440.8</v>
      </c>
      <c r="J10" s="100">
        <v>18</v>
      </c>
      <c r="K10" s="100">
        <v>9806.4</v>
      </c>
      <c r="L10" s="100">
        <v>17</v>
      </c>
      <c r="M10" s="100">
        <v>9261.5999999999985</v>
      </c>
      <c r="N10" s="100">
        <v>16</v>
      </c>
      <c r="O10" s="100">
        <v>8716.7999999999993</v>
      </c>
      <c r="P10" s="100">
        <v>25.67971130647965</v>
      </c>
      <c r="Q10" s="100">
        <v>13990.306719770111</v>
      </c>
      <c r="R10" s="100">
        <v>14</v>
      </c>
      <c r="S10" s="100">
        <v>7627.1999999999989</v>
      </c>
      <c r="T10" s="100">
        <v>17</v>
      </c>
      <c r="U10" s="100">
        <v>9261.5999999999985</v>
      </c>
      <c r="V10" s="100">
        <v>15.205118420454177</v>
      </c>
      <c r="W10" s="100">
        <v>8283.7485154634342</v>
      </c>
      <c r="X10" s="100">
        <v>14.958575364829215</v>
      </c>
      <c r="Y10" s="100">
        <v>8149.431858758956</v>
      </c>
      <c r="Z10" s="100">
        <v>11.359236336966957</v>
      </c>
      <c r="AA10" s="100">
        <v>6188.5119563795979</v>
      </c>
      <c r="AB10" s="100">
        <v>21</v>
      </c>
      <c r="AC10" s="100">
        <v>11440.8</v>
      </c>
      <c r="AD10" s="100">
        <v>25.377800968032108</v>
      </c>
      <c r="AE10" s="100">
        <v>13825.825967383891</v>
      </c>
      <c r="AF10" s="100">
        <v>17</v>
      </c>
      <c r="AG10" s="100">
        <v>9261.5999999999985</v>
      </c>
      <c r="AH10" s="100">
        <v>29</v>
      </c>
      <c r="AI10" s="100">
        <v>15799.199999999999</v>
      </c>
      <c r="AJ10" s="100">
        <v>15</v>
      </c>
      <c r="AK10" s="100">
        <v>8171.9999999999991</v>
      </c>
      <c r="AL10" s="100">
        <v>27</v>
      </c>
      <c r="AM10" s="100">
        <v>14709.599999999999</v>
      </c>
      <c r="AN10" s="100">
        <v>18</v>
      </c>
      <c r="AO10" s="100">
        <v>9806.4</v>
      </c>
      <c r="AP10" s="100">
        <v>18</v>
      </c>
      <c r="AQ10" s="100">
        <v>9806.4</v>
      </c>
      <c r="AR10" s="100">
        <v>24</v>
      </c>
      <c r="AS10" s="100">
        <v>13075.199999999999</v>
      </c>
      <c r="AT10" s="100">
        <v>22</v>
      </c>
      <c r="AU10" s="100">
        <v>11985.599999999999</v>
      </c>
      <c r="AV10" s="100">
        <v>22.463213925879014</v>
      </c>
      <c r="AW10" s="100">
        <v>12237.958946818886</v>
      </c>
      <c r="AX10" s="100">
        <v>18.066692760750151</v>
      </c>
      <c r="AY10" s="100">
        <v>9842.7342160566805</v>
      </c>
      <c r="AZ10" s="100">
        <v>22</v>
      </c>
      <c r="BA10" s="100">
        <v>11985.599999999999</v>
      </c>
      <c r="BB10" s="100">
        <v>21.91727761097513</v>
      </c>
      <c r="BC10" s="100">
        <v>11940.53284245925</v>
      </c>
      <c r="BD10" s="100">
        <v>14</v>
      </c>
      <c r="BE10" s="100">
        <v>7627.1999999999989</v>
      </c>
      <c r="BF10" s="100">
        <v>18</v>
      </c>
      <c r="BG10" s="100">
        <v>9806.4</v>
      </c>
      <c r="BH10" s="100">
        <v>21</v>
      </c>
      <c r="BI10" s="100">
        <v>11440.8</v>
      </c>
      <c r="BJ10" s="100">
        <v>28</v>
      </c>
      <c r="BK10" s="100">
        <v>15254.399999999998</v>
      </c>
      <c r="BL10" s="100">
        <v>28</v>
      </c>
      <c r="BM10" s="100">
        <v>15254.399999999998</v>
      </c>
      <c r="BN10" s="100">
        <v>22.625382759797553</v>
      </c>
      <c r="BO10" s="100">
        <v>12326.308527537705</v>
      </c>
      <c r="BP10" s="100">
        <v>27</v>
      </c>
      <c r="BQ10" s="100">
        <v>14709.599999999999</v>
      </c>
      <c r="BR10" s="100">
        <v>24</v>
      </c>
      <c r="BS10" s="100">
        <v>13075.199999999999</v>
      </c>
      <c r="BT10" s="100">
        <v>16</v>
      </c>
      <c r="BU10" s="100">
        <v>8716.7999999999993</v>
      </c>
      <c r="BV10" s="100">
        <v>18.184599139849322</v>
      </c>
      <c r="BW10" s="100">
        <v>9906.9696113899099</v>
      </c>
      <c r="BX10" s="100">
        <v>24</v>
      </c>
      <c r="BY10" s="100">
        <v>13075.199999999999</v>
      </c>
      <c r="BZ10" s="100">
        <v>23</v>
      </c>
      <c r="CA10" s="100">
        <v>12530.4</v>
      </c>
      <c r="CB10" s="100">
        <v>25</v>
      </c>
      <c r="CC10" s="100">
        <v>13619.999999999998</v>
      </c>
      <c r="CD10" s="100">
        <v>33</v>
      </c>
      <c r="CE10" s="100">
        <v>17978.399999999998</v>
      </c>
      <c r="CF10" s="100">
        <v>25</v>
      </c>
      <c r="CG10" s="100">
        <v>13619.999999999998</v>
      </c>
      <c r="CH10" s="100">
        <v>28.88090315530663</v>
      </c>
      <c r="CI10" s="100">
        <v>15734.31603901105</v>
      </c>
      <c r="CJ10" s="100">
        <v>23.018522402802343</v>
      </c>
      <c r="CK10" s="100">
        <v>12540.491005046715</v>
      </c>
      <c r="CL10" s="100">
        <v>14.713695874645117</v>
      </c>
      <c r="CM10" s="100">
        <v>8016.0215125066588</v>
      </c>
      <c r="CN10" s="100">
        <v>20</v>
      </c>
      <c r="CO10" s="100">
        <v>10896</v>
      </c>
      <c r="CP10" s="100">
        <v>25</v>
      </c>
      <c r="CQ10" s="100">
        <v>13619.999999999998</v>
      </c>
      <c r="CR10" s="100">
        <v>20</v>
      </c>
      <c r="CS10" s="100">
        <v>10896</v>
      </c>
      <c r="CT10" s="100">
        <v>20</v>
      </c>
      <c r="CU10" s="100">
        <v>10896</v>
      </c>
    </row>
    <row r="11" spans="1:99">
      <c r="C11" s="99" t="s">
        <v>177</v>
      </c>
      <c r="D11" s="100">
        <v>20</v>
      </c>
      <c r="E11" s="100">
        <v>10656</v>
      </c>
      <c r="F11" s="100">
        <v>21</v>
      </c>
      <c r="G11" s="100">
        <v>11188.8</v>
      </c>
      <c r="H11" s="100">
        <v>24</v>
      </c>
      <c r="I11" s="100">
        <v>12787.199999999999</v>
      </c>
      <c r="J11" s="100">
        <v>17</v>
      </c>
      <c r="K11" s="100">
        <v>9057.5999999999985</v>
      </c>
      <c r="L11" s="100">
        <v>16</v>
      </c>
      <c r="M11" s="100">
        <v>8524.7999999999993</v>
      </c>
      <c r="N11" s="100">
        <v>16</v>
      </c>
      <c r="O11" s="100">
        <v>8524.7999999999993</v>
      </c>
      <c r="P11" s="100">
        <v>25.67971130647965</v>
      </c>
      <c r="Q11" s="100">
        <v>13682.150184092356</v>
      </c>
      <c r="R11" s="100">
        <v>15</v>
      </c>
      <c r="S11" s="100">
        <v>7991.9999999999991</v>
      </c>
      <c r="T11" s="100">
        <v>18</v>
      </c>
      <c r="U11" s="100">
        <v>9590.4</v>
      </c>
      <c r="V11" s="100">
        <v>16.099537151069129</v>
      </c>
      <c r="W11" s="100">
        <v>8577.8333940896318</v>
      </c>
      <c r="X11" s="100">
        <v>14.958575364829215</v>
      </c>
      <c r="Y11" s="100">
        <v>7969.9289543810055</v>
      </c>
      <c r="Z11" s="100">
        <v>11.359236336966957</v>
      </c>
      <c r="AA11" s="100">
        <v>6052.2011203359943</v>
      </c>
      <c r="AB11" s="100">
        <v>21</v>
      </c>
      <c r="AC11" s="100">
        <v>11188.8</v>
      </c>
      <c r="AD11" s="100">
        <v>27.257638076775226</v>
      </c>
      <c r="AE11" s="100">
        <v>14522.869567305839</v>
      </c>
      <c r="AF11" s="100">
        <v>16</v>
      </c>
      <c r="AG11" s="100">
        <v>8524.7999999999993</v>
      </c>
      <c r="AH11" s="100">
        <v>28</v>
      </c>
      <c r="AI11" s="100">
        <v>14918.399999999998</v>
      </c>
      <c r="AJ11" s="100">
        <v>16</v>
      </c>
      <c r="AK11" s="100">
        <v>8524.7999999999993</v>
      </c>
      <c r="AL11" s="100">
        <v>26</v>
      </c>
      <c r="AM11" s="100">
        <v>13852.8</v>
      </c>
      <c r="AN11" s="100">
        <v>19</v>
      </c>
      <c r="AO11" s="100">
        <v>10123.199999999999</v>
      </c>
      <c r="AP11" s="100">
        <v>20</v>
      </c>
      <c r="AQ11" s="100">
        <v>10656</v>
      </c>
      <c r="AR11" s="100">
        <v>24</v>
      </c>
      <c r="AS11" s="100">
        <v>12787.199999999999</v>
      </c>
      <c r="AT11" s="100">
        <v>22</v>
      </c>
      <c r="AU11" s="100">
        <v>11721.599999999999</v>
      </c>
      <c r="AV11" s="100">
        <v>25.271115666613888</v>
      </c>
      <c r="AW11" s="100">
        <v>13464.450427171878</v>
      </c>
      <c r="AX11" s="100">
        <v>17.163358122712641</v>
      </c>
      <c r="AY11" s="100">
        <v>9144.6372077812939</v>
      </c>
      <c r="AZ11" s="100">
        <v>22</v>
      </c>
      <c r="BA11" s="100">
        <v>11721.599999999999</v>
      </c>
      <c r="BB11" s="100">
        <v>21.91727761097513</v>
      </c>
      <c r="BC11" s="100">
        <v>11677.525511127549</v>
      </c>
      <c r="BD11" s="100">
        <v>16</v>
      </c>
      <c r="BE11" s="100">
        <v>8524.7999999999993</v>
      </c>
      <c r="BF11" s="100">
        <v>18</v>
      </c>
      <c r="BG11" s="100">
        <v>9590.4</v>
      </c>
      <c r="BH11" s="100">
        <v>22</v>
      </c>
      <c r="BI11" s="100">
        <v>11721.599999999999</v>
      </c>
      <c r="BJ11" s="100">
        <v>28</v>
      </c>
      <c r="BK11" s="100">
        <v>14918.399999999998</v>
      </c>
      <c r="BL11" s="100">
        <v>25</v>
      </c>
      <c r="BM11" s="100">
        <v>13319.999999999998</v>
      </c>
      <c r="BN11" s="100">
        <v>24.365796818243517</v>
      </c>
      <c r="BO11" s="100">
        <v>12982.096544760145</v>
      </c>
      <c r="BP11" s="100">
        <v>23</v>
      </c>
      <c r="BQ11" s="100">
        <v>12254.4</v>
      </c>
      <c r="BR11" s="100">
        <v>22</v>
      </c>
      <c r="BS11" s="100">
        <v>11721.599999999999</v>
      </c>
      <c r="BT11" s="100">
        <v>17</v>
      </c>
      <c r="BU11" s="100">
        <v>9057.5999999999985</v>
      </c>
      <c r="BV11" s="100">
        <v>18.184599139849322</v>
      </c>
      <c r="BW11" s="100">
        <v>9688.7544217117174</v>
      </c>
      <c r="BX11" s="100">
        <v>25</v>
      </c>
      <c r="BY11" s="100">
        <v>13319.999999999998</v>
      </c>
      <c r="BZ11" s="100">
        <v>25</v>
      </c>
      <c r="CA11" s="100">
        <v>13319.999999999998</v>
      </c>
      <c r="CB11" s="100">
        <v>21</v>
      </c>
      <c r="CC11" s="100">
        <v>11188.8</v>
      </c>
      <c r="CD11" s="100">
        <v>28</v>
      </c>
      <c r="CE11" s="100">
        <v>14918.399999999998</v>
      </c>
      <c r="CF11" s="100">
        <v>27</v>
      </c>
      <c r="CG11" s="100">
        <v>14385.599999999999</v>
      </c>
      <c r="CH11" s="100">
        <v>25.030116067932411</v>
      </c>
      <c r="CI11" s="100">
        <v>13336.045840994388</v>
      </c>
      <c r="CJ11" s="100">
        <v>23.977627502919109</v>
      </c>
      <c r="CK11" s="100">
        <v>12775.279933555301</v>
      </c>
      <c r="CL11" s="100">
        <v>17.165978520419305</v>
      </c>
      <c r="CM11" s="100">
        <v>9146.0333556794048</v>
      </c>
      <c r="CN11" s="100">
        <v>20</v>
      </c>
      <c r="CO11" s="100">
        <v>10656</v>
      </c>
      <c r="CP11" s="100">
        <v>27</v>
      </c>
      <c r="CQ11" s="100">
        <v>14385.599999999999</v>
      </c>
      <c r="CR11" s="100">
        <v>21</v>
      </c>
      <c r="CS11" s="100">
        <v>11188.8</v>
      </c>
      <c r="CT11" s="100">
        <v>23</v>
      </c>
      <c r="CU11" s="100">
        <v>12254.4</v>
      </c>
    </row>
    <row r="12" spans="1:99">
      <c r="C12" s="99" t="s">
        <v>178</v>
      </c>
      <c r="D12" s="100">
        <v>17</v>
      </c>
      <c r="E12" s="100">
        <v>9567.5999999999985</v>
      </c>
      <c r="F12" s="100">
        <v>24</v>
      </c>
      <c r="G12" s="100">
        <v>13507.199999999999</v>
      </c>
      <c r="H12" s="100">
        <v>21</v>
      </c>
      <c r="I12" s="100">
        <v>11818.8</v>
      </c>
      <c r="J12" s="100">
        <v>19</v>
      </c>
      <c r="K12" s="100">
        <v>10693.199999999999</v>
      </c>
      <c r="L12" s="100">
        <v>17</v>
      </c>
      <c r="M12" s="100">
        <v>9567.5999999999985</v>
      </c>
      <c r="N12" s="100">
        <v>16</v>
      </c>
      <c r="O12" s="100">
        <v>9004.7999999999993</v>
      </c>
      <c r="P12" s="100">
        <v>23.777510468962635</v>
      </c>
      <c r="Q12" s="100">
        <v>13381.98289193217</v>
      </c>
      <c r="R12" s="100">
        <v>14</v>
      </c>
      <c r="S12" s="100">
        <v>7879.1999999999989</v>
      </c>
      <c r="T12" s="100">
        <v>17</v>
      </c>
      <c r="U12" s="100">
        <v>9567.5999999999985</v>
      </c>
      <c r="V12" s="100">
        <v>15.205118420454177</v>
      </c>
      <c r="W12" s="100">
        <v>8557.4406470316098</v>
      </c>
      <c r="X12" s="100">
        <v>16.533162245337557</v>
      </c>
      <c r="Y12" s="100">
        <v>9304.8637116759764</v>
      </c>
      <c r="Z12" s="100">
        <v>12.779140879087826</v>
      </c>
      <c r="AA12" s="100">
        <v>7192.1004867506281</v>
      </c>
      <c r="AB12" s="100">
        <v>22</v>
      </c>
      <c r="AC12" s="100">
        <v>12381.599999999999</v>
      </c>
      <c r="AD12" s="100">
        <v>22.558045304917428</v>
      </c>
      <c r="AE12" s="100">
        <v>12695.667897607527</v>
      </c>
      <c r="AF12" s="100">
        <v>15</v>
      </c>
      <c r="AG12" s="100">
        <v>8442</v>
      </c>
      <c r="AH12" s="100">
        <v>29</v>
      </c>
      <c r="AI12" s="100">
        <v>16321.199999999999</v>
      </c>
      <c r="AJ12" s="100">
        <v>16</v>
      </c>
      <c r="AK12" s="100">
        <v>9004.7999999999993</v>
      </c>
      <c r="AL12" s="100">
        <v>29</v>
      </c>
      <c r="AM12" s="100">
        <v>16321.199999999999</v>
      </c>
      <c r="AN12" s="100">
        <v>17</v>
      </c>
      <c r="AO12" s="100">
        <v>9567.5999999999985</v>
      </c>
      <c r="AP12" s="100">
        <v>20</v>
      </c>
      <c r="AQ12" s="100">
        <v>11256</v>
      </c>
      <c r="AR12" s="100">
        <v>25</v>
      </c>
      <c r="AS12" s="100">
        <v>14069.999999999998</v>
      </c>
      <c r="AT12" s="100">
        <v>22</v>
      </c>
      <c r="AU12" s="100">
        <v>12381.599999999999</v>
      </c>
      <c r="AV12" s="100">
        <v>22.463213925879014</v>
      </c>
      <c r="AW12" s="100">
        <v>12642.296797484709</v>
      </c>
      <c r="AX12" s="100">
        <v>16.260023484675138</v>
      </c>
      <c r="AY12" s="100">
        <v>9151.1412171751672</v>
      </c>
      <c r="AZ12" s="100">
        <v>22</v>
      </c>
      <c r="BA12" s="100">
        <v>12381.599999999999</v>
      </c>
      <c r="BB12" s="100">
        <v>23.909757393791054</v>
      </c>
      <c r="BC12" s="100">
        <v>13456.411461225603</v>
      </c>
      <c r="BD12" s="100">
        <v>14</v>
      </c>
      <c r="BE12" s="100">
        <v>7879.1999999999989</v>
      </c>
      <c r="BF12" s="100">
        <v>20</v>
      </c>
      <c r="BG12" s="100">
        <v>11256</v>
      </c>
      <c r="BH12" s="100">
        <v>20</v>
      </c>
      <c r="BI12" s="100">
        <v>11256</v>
      </c>
      <c r="BJ12" s="100">
        <v>27</v>
      </c>
      <c r="BK12" s="100">
        <v>15195.599999999999</v>
      </c>
      <c r="BL12" s="100">
        <v>23</v>
      </c>
      <c r="BM12" s="100">
        <v>12944.4</v>
      </c>
      <c r="BN12" s="100">
        <v>22.625382759797553</v>
      </c>
      <c r="BO12" s="100">
        <v>12733.565417214062</v>
      </c>
      <c r="BP12" s="100">
        <v>27</v>
      </c>
      <c r="BQ12" s="100">
        <v>15195.599999999999</v>
      </c>
      <c r="BR12" s="100">
        <v>22</v>
      </c>
      <c r="BS12" s="100">
        <v>12381.599999999999</v>
      </c>
      <c r="BT12" s="100">
        <v>18</v>
      </c>
      <c r="BU12" s="100">
        <v>10130.4</v>
      </c>
      <c r="BV12" s="100">
        <v>17.318665847475547</v>
      </c>
      <c r="BW12" s="100">
        <v>9746.9451389592377</v>
      </c>
      <c r="BX12" s="100">
        <v>25</v>
      </c>
      <c r="BY12" s="100">
        <v>14069.999999999998</v>
      </c>
      <c r="BZ12" s="100">
        <v>26</v>
      </c>
      <c r="CA12" s="100">
        <v>14632.8</v>
      </c>
      <c r="CB12" s="100">
        <v>21</v>
      </c>
      <c r="CC12" s="100">
        <v>11818.8</v>
      </c>
      <c r="CD12" s="100">
        <v>29</v>
      </c>
      <c r="CE12" s="100">
        <v>16321.199999999999</v>
      </c>
      <c r="CF12" s="100">
        <v>26</v>
      </c>
      <c r="CG12" s="100">
        <v>14632.8</v>
      </c>
      <c r="CH12" s="100">
        <v>24.067419296088858</v>
      </c>
      <c r="CI12" s="100">
        <v>13545.143579838808</v>
      </c>
      <c r="CJ12" s="100">
        <v>24.936732603035875</v>
      </c>
      <c r="CK12" s="100">
        <v>14034.39310898859</v>
      </c>
      <c r="CL12" s="100">
        <v>16.348550971827908</v>
      </c>
      <c r="CM12" s="100">
        <v>9200.9644869447457</v>
      </c>
      <c r="CN12" s="100">
        <v>20</v>
      </c>
      <c r="CO12" s="100">
        <v>11256</v>
      </c>
      <c r="CP12" s="100">
        <v>26</v>
      </c>
      <c r="CQ12" s="100">
        <v>14632.8</v>
      </c>
      <c r="CR12" s="100">
        <v>18</v>
      </c>
      <c r="CS12" s="100">
        <v>10130.4</v>
      </c>
      <c r="CT12" s="100">
        <v>22</v>
      </c>
      <c r="CU12" s="100">
        <v>12381.599999999999</v>
      </c>
    </row>
    <row r="13" spans="1:99">
      <c r="C13" s="99" t="s">
        <v>179</v>
      </c>
      <c r="D13" s="100">
        <v>21</v>
      </c>
      <c r="E13" s="100">
        <v>1789.2</v>
      </c>
      <c r="F13" s="100">
        <v>23</v>
      </c>
      <c r="G13" s="100">
        <v>1959.6000000000001</v>
      </c>
      <c r="H13" s="100">
        <v>26</v>
      </c>
      <c r="I13" s="100">
        <v>2215.2000000000003</v>
      </c>
      <c r="J13" s="100">
        <v>18</v>
      </c>
      <c r="K13" s="100">
        <v>1533.6000000000001</v>
      </c>
      <c r="L13" s="100">
        <v>18</v>
      </c>
      <c r="M13" s="100">
        <v>1533.6000000000001</v>
      </c>
      <c r="N13" s="100">
        <v>16</v>
      </c>
      <c r="O13" s="100">
        <v>1363.2</v>
      </c>
      <c r="P13" s="100">
        <v>26.630811725238154</v>
      </c>
      <c r="Q13" s="100">
        <v>2268.9451589902906</v>
      </c>
      <c r="R13" s="100">
        <v>16</v>
      </c>
      <c r="S13" s="100">
        <v>1363.2</v>
      </c>
      <c r="T13" s="100">
        <v>18</v>
      </c>
      <c r="U13" s="100">
        <v>1533.6000000000001</v>
      </c>
      <c r="V13" s="100">
        <v>16.099537151069129</v>
      </c>
      <c r="W13" s="100">
        <v>1371.6805652710898</v>
      </c>
      <c r="X13" s="100">
        <v>14.958575364829215</v>
      </c>
      <c r="Y13" s="100">
        <v>1274.4706210834493</v>
      </c>
      <c r="Z13" s="100">
        <v>13.48909315014826</v>
      </c>
      <c r="AA13" s="100">
        <v>1149.2707363926318</v>
      </c>
      <c r="AB13" s="100">
        <v>23</v>
      </c>
      <c r="AC13" s="100">
        <v>1959.6000000000001</v>
      </c>
      <c r="AD13" s="100">
        <v>28.197556631146785</v>
      </c>
      <c r="AE13" s="100">
        <v>2402.4318249737062</v>
      </c>
      <c r="AF13" s="100">
        <v>16</v>
      </c>
      <c r="AG13" s="100">
        <v>1363.2</v>
      </c>
      <c r="AH13" s="100">
        <v>30</v>
      </c>
      <c r="AI13" s="100">
        <v>2556</v>
      </c>
      <c r="AJ13" s="100">
        <v>16</v>
      </c>
      <c r="AK13" s="100">
        <v>1363.2</v>
      </c>
      <c r="AL13" s="100">
        <v>28</v>
      </c>
      <c r="AM13" s="100">
        <v>2385.6</v>
      </c>
      <c r="AN13" s="100">
        <v>18</v>
      </c>
      <c r="AO13" s="100">
        <v>1533.6000000000001</v>
      </c>
      <c r="AP13" s="100">
        <v>22</v>
      </c>
      <c r="AQ13" s="100">
        <v>1874.4</v>
      </c>
      <c r="AR13" s="100">
        <v>26</v>
      </c>
      <c r="AS13" s="100">
        <v>2215.2000000000003</v>
      </c>
      <c r="AT13" s="100">
        <v>24</v>
      </c>
      <c r="AU13" s="100">
        <v>2044.8000000000002</v>
      </c>
      <c r="AV13" s="100">
        <v>25.271115666613888</v>
      </c>
      <c r="AW13" s="100">
        <v>2153.0990547955034</v>
      </c>
      <c r="AX13" s="100">
        <v>17.163358122712641</v>
      </c>
      <c r="AY13" s="100">
        <v>1462.3181120551171</v>
      </c>
      <c r="AZ13" s="100">
        <v>24</v>
      </c>
      <c r="BA13" s="100">
        <v>2044.8000000000002</v>
      </c>
      <c r="BB13" s="100">
        <v>21.91727761097513</v>
      </c>
      <c r="BC13" s="100">
        <v>1867.3520524550811</v>
      </c>
      <c r="BD13" s="100">
        <v>16</v>
      </c>
      <c r="BE13" s="100">
        <v>1363.2</v>
      </c>
      <c r="BF13" s="100">
        <v>19</v>
      </c>
      <c r="BG13" s="100">
        <v>1618.8</v>
      </c>
      <c r="BH13" s="100">
        <v>25</v>
      </c>
      <c r="BI13" s="100">
        <v>2130</v>
      </c>
      <c r="BJ13" s="100">
        <v>28</v>
      </c>
      <c r="BK13" s="100">
        <v>2385.6</v>
      </c>
      <c r="BL13" s="100">
        <v>26</v>
      </c>
      <c r="BM13" s="100">
        <v>2215.2000000000003</v>
      </c>
      <c r="BN13" s="100">
        <v>24.365796818243517</v>
      </c>
      <c r="BO13" s="100">
        <v>2075.9658889143475</v>
      </c>
      <c r="BP13" s="100">
        <v>26</v>
      </c>
      <c r="BQ13" s="100">
        <v>2215.2000000000003</v>
      </c>
      <c r="BR13" s="100">
        <v>25</v>
      </c>
      <c r="BS13" s="100">
        <v>2130</v>
      </c>
      <c r="BT13" s="100">
        <v>16</v>
      </c>
      <c r="BU13" s="100">
        <v>1363.2</v>
      </c>
      <c r="BV13" s="100">
        <v>20.782399016970654</v>
      </c>
      <c r="BW13" s="100">
        <v>1770.6603962458998</v>
      </c>
      <c r="BX13" s="100">
        <v>28</v>
      </c>
      <c r="BY13" s="100">
        <v>2385.6</v>
      </c>
      <c r="BZ13" s="100">
        <v>27</v>
      </c>
      <c r="CA13" s="100">
        <v>2300.4</v>
      </c>
      <c r="CB13" s="100">
        <v>25</v>
      </c>
      <c r="CC13" s="100">
        <v>2130</v>
      </c>
      <c r="CD13" s="100">
        <v>31</v>
      </c>
      <c r="CE13" s="100">
        <v>2641.2000000000003</v>
      </c>
      <c r="CF13" s="100">
        <v>26</v>
      </c>
      <c r="CG13" s="100">
        <v>2215.2000000000003</v>
      </c>
      <c r="CH13" s="100">
        <v>29.843599927150187</v>
      </c>
      <c r="CI13" s="100">
        <v>2542.6747137931961</v>
      </c>
      <c r="CJ13" s="100">
        <v>24.936732603035875</v>
      </c>
      <c r="CK13" s="100">
        <v>2124.6096177786567</v>
      </c>
      <c r="CL13" s="100">
        <v>17.165978520419305</v>
      </c>
      <c r="CM13" s="100">
        <v>1462.5413699397247</v>
      </c>
      <c r="CN13" s="100">
        <v>21</v>
      </c>
      <c r="CO13" s="100">
        <v>1789.2</v>
      </c>
      <c r="CP13" s="100">
        <v>28</v>
      </c>
      <c r="CQ13" s="100">
        <v>2385.6</v>
      </c>
      <c r="CR13" s="100">
        <v>22</v>
      </c>
      <c r="CS13" s="100">
        <v>1874.4</v>
      </c>
      <c r="CT13" s="100">
        <v>23</v>
      </c>
      <c r="CU13" s="100">
        <v>1959.6000000000001</v>
      </c>
    </row>
    <row r="14" spans="1:99">
      <c r="C14" s="99" t="s">
        <v>180</v>
      </c>
      <c r="D14" s="100">
        <v>19</v>
      </c>
      <c r="E14" s="100">
        <v>9279.6</v>
      </c>
      <c r="F14" s="100">
        <v>22</v>
      </c>
      <c r="G14" s="100">
        <v>10744.8</v>
      </c>
      <c r="H14" s="100">
        <v>22</v>
      </c>
      <c r="I14" s="100">
        <v>10744.8</v>
      </c>
      <c r="J14" s="100">
        <v>18</v>
      </c>
      <c r="K14" s="100">
        <v>8791.1999999999989</v>
      </c>
      <c r="L14" s="100">
        <v>18</v>
      </c>
      <c r="M14" s="100">
        <v>8791.1999999999989</v>
      </c>
      <c r="N14" s="100">
        <v>15</v>
      </c>
      <c r="O14" s="100">
        <v>7326</v>
      </c>
      <c r="P14" s="100">
        <v>22.826410050204135</v>
      </c>
      <c r="Q14" s="100">
        <v>11148.418668519698</v>
      </c>
      <c r="R14" s="100">
        <v>14</v>
      </c>
      <c r="S14" s="100">
        <v>6837.5999999999995</v>
      </c>
      <c r="T14" s="100">
        <v>18</v>
      </c>
      <c r="U14" s="100">
        <v>8791.1999999999989</v>
      </c>
      <c r="V14" s="100">
        <v>14.310699689839224</v>
      </c>
      <c r="W14" s="100">
        <v>6989.3457285174763</v>
      </c>
      <c r="X14" s="100">
        <v>15.745868805083386</v>
      </c>
      <c r="Y14" s="100">
        <v>7690.2823244027259</v>
      </c>
      <c r="Z14" s="100">
        <v>12.069188608027392</v>
      </c>
      <c r="AA14" s="100">
        <v>5894.5917161605785</v>
      </c>
      <c r="AB14" s="100">
        <v>20</v>
      </c>
      <c r="AC14" s="100">
        <v>9768</v>
      </c>
      <c r="AD14" s="100">
        <v>24.437882413660549</v>
      </c>
      <c r="AE14" s="100">
        <v>11935.461770831811</v>
      </c>
      <c r="AF14" s="100">
        <v>17</v>
      </c>
      <c r="AG14" s="100">
        <v>8302.7999999999993</v>
      </c>
      <c r="AH14" s="100">
        <v>30</v>
      </c>
      <c r="AI14" s="100">
        <v>14652</v>
      </c>
      <c r="AJ14" s="100">
        <v>15</v>
      </c>
      <c r="AK14" s="100">
        <v>7326</v>
      </c>
      <c r="AL14" s="100">
        <v>29</v>
      </c>
      <c r="AM14" s="100">
        <v>14163.599999999999</v>
      </c>
      <c r="AN14" s="100">
        <v>18</v>
      </c>
      <c r="AO14" s="100">
        <v>8791.1999999999989</v>
      </c>
      <c r="AP14" s="100">
        <v>18</v>
      </c>
      <c r="AQ14" s="100">
        <v>8791.1999999999989</v>
      </c>
      <c r="AR14" s="100">
        <v>27</v>
      </c>
      <c r="AS14" s="100">
        <v>13186.8</v>
      </c>
      <c r="AT14" s="100">
        <v>22</v>
      </c>
      <c r="AU14" s="100">
        <v>10744.8</v>
      </c>
      <c r="AV14" s="100">
        <v>21.527246678967387</v>
      </c>
      <c r="AW14" s="100">
        <v>10513.907278007671</v>
      </c>
      <c r="AX14" s="100">
        <v>17.163358122712641</v>
      </c>
      <c r="AY14" s="100">
        <v>8382.5841071328541</v>
      </c>
      <c r="AZ14" s="100">
        <v>23</v>
      </c>
      <c r="BA14" s="100">
        <v>11233.199999999999</v>
      </c>
      <c r="BB14" s="100">
        <v>22.913517502383094</v>
      </c>
      <c r="BC14" s="100">
        <v>11190.961948163902</v>
      </c>
      <c r="BD14" s="100">
        <v>14</v>
      </c>
      <c r="BE14" s="100">
        <v>6837.5999999999995</v>
      </c>
      <c r="BF14" s="100">
        <v>18</v>
      </c>
      <c r="BG14" s="100">
        <v>8791.1999999999989</v>
      </c>
      <c r="BH14" s="100">
        <v>23</v>
      </c>
      <c r="BI14" s="100">
        <v>11233.199999999999</v>
      </c>
      <c r="BJ14" s="100">
        <v>27</v>
      </c>
      <c r="BK14" s="100">
        <v>13186.8</v>
      </c>
      <c r="BL14" s="100">
        <v>26</v>
      </c>
      <c r="BM14" s="100">
        <v>12698.4</v>
      </c>
      <c r="BN14" s="100">
        <v>21.755175730574567</v>
      </c>
      <c r="BO14" s="100">
        <v>10625.227826812617</v>
      </c>
      <c r="BP14" s="100">
        <v>25</v>
      </c>
      <c r="BQ14" s="100">
        <v>12210</v>
      </c>
      <c r="BR14" s="100">
        <v>22</v>
      </c>
      <c r="BS14" s="100">
        <v>10744.8</v>
      </c>
      <c r="BT14" s="100">
        <v>16</v>
      </c>
      <c r="BU14" s="100">
        <v>7814.4</v>
      </c>
      <c r="BV14" s="100">
        <v>17.318665847475547</v>
      </c>
      <c r="BW14" s="100">
        <v>8458.4363999070574</v>
      </c>
      <c r="BX14" s="100">
        <v>26</v>
      </c>
      <c r="BY14" s="100">
        <v>12698.4</v>
      </c>
      <c r="BZ14" s="100">
        <v>27</v>
      </c>
      <c r="CA14" s="100">
        <v>13186.8</v>
      </c>
      <c r="CB14" s="100">
        <v>25</v>
      </c>
      <c r="CC14" s="100">
        <v>12210</v>
      </c>
      <c r="CD14" s="100">
        <v>31</v>
      </c>
      <c r="CE14" s="100">
        <v>15140.4</v>
      </c>
      <c r="CF14" s="100">
        <v>28</v>
      </c>
      <c r="CG14" s="100">
        <v>13675.199999999999</v>
      </c>
      <c r="CH14" s="100">
        <v>28.88090315530663</v>
      </c>
      <c r="CI14" s="100">
        <v>14105.433101051758</v>
      </c>
      <c r="CJ14" s="100">
        <v>24.936732603035875</v>
      </c>
      <c r="CK14" s="100">
        <v>12179.100203322721</v>
      </c>
      <c r="CL14" s="100">
        <v>15.531123423236513</v>
      </c>
      <c r="CM14" s="100">
        <v>7585.4006799087128</v>
      </c>
      <c r="CN14" s="100">
        <v>20</v>
      </c>
      <c r="CO14" s="100">
        <v>9768</v>
      </c>
      <c r="CP14" s="100">
        <v>28</v>
      </c>
      <c r="CQ14" s="100">
        <v>13675.199999999999</v>
      </c>
      <c r="CR14" s="100">
        <v>20</v>
      </c>
      <c r="CS14" s="100">
        <v>9768</v>
      </c>
      <c r="CT14" s="100">
        <v>22</v>
      </c>
      <c r="CU14" s="100">
        <v>10744.8</v>
      </c>
    </row>
    <row r="15" spans="1:99">
      <c r="C15" s="99" t="s">
        <v>181</v>
      </c>
      <c r="D15" s="100">
        <v>18</v>
      </c>
      <c r="E15" s="100">
        <v>13737.599999999999</v>
      </c>
      <c r="F15" s="100">
        <v>22</v>
      </c>
      <c r="G15" s="100">
        <v>16790.399999999998</v>
      </c>
      <c r="H15" s="100">
        <v>20</v>
      </c>
      <c r="I15" s="100">
        <v>15263.999999999998</v>
      </c>
      <c r="J15" s="100">
        <v>16</v>
      </c>
      <c r="K15" s="100">
        <v>12211.199999999999</v>
      </c>
      <c r="L15" s="100">
        <v>16</v>
      </c>
      <c r="M15" s="100">
        <v>12211.199999999999</v>
      </c>
      <c r="N15" s="100">
        <v>17</v>
      </c>
      <c r="O15" s="100">
        <v>12974.4</v>
      </c>
      <c r="P15" s="100">
        <v>24.728610887721143</v>
      </c>
      <c r="Q15" s="100">
        <v>18872.875829508775</v>
      </c>
      <c r="R15" s="100">
        <v>16</v>
      </c>
      <c r="S15" s="100">
        <v>12211.199999999999</v>
      </c>
      <c r="T15" s="100">
        <v>16</v>
      </c>
      <c r="U15" s="100">
        <v>12211.199999999999</v>
      </c>
      <c r="V15" s="100">
        <v>15.205118420454177</v>
      </c>
      <c r="W15" s="100">
        <v>11604.546378490626</v>
      </c>
      <c r="X15" s="100">
        <v>14.958575364829215</v>
      </c>
      <c r="Y15" s="100">
        <v>11416.384718437655</v>
      </c>
      <c r="Z15" s="100">
        <v>11.359236336966957</v>
      </c>
      <c r="AA15" s="100">
        <v>8669.3691723731808</v>
      </c>
      <c r="AB15" s="100">
        <v>22</v>
      </c>
      <c r="AC15" s="100">
        <v>16790.399999999998</v>
      </c>
      <c r="AD15" s="100">
        <v>24.437882413660549</v>
      </c>
      <c r="AE15" s="100">
        <v>18650.991858105728</v>
      </c>
      <c r="AF15" s="100">
        <v>16</v>
      </c>
      <c r="AG15" s="100">
        <v>12211.199999999999</v>
      </c>
      <c r="AH15" s="100">
        <v>28</v>
      </c>
      <c r="AI15" s="100">
        <v>21369.599999999999</v>
      </c>
      <c r="AJ15" s="100">
        <v>14</v>
      </c>
      <c r="AK15" s="100">
        <v>10684.8</v>
      </c>
      <c r="AL15" s="100">
        <v>25</v>
      </c>
      <c r="AM15" s="100">
        <v>19080</v>
      </c>
      <c r="AN15" s="100">
        <v>18</v>
      </c>
      <c r="AO15" s="100">
        <v>13737.599999999999</v>
      </c>
      <c r="AP15" s="100">
        <v>17</v>
      </c>
      <c r="AQ15" s="100">
        <v>12974.4</v>
      </c>
      <c r="AR15" s="100">
        <v>25</v>
      </c>
      <c r="AS15" s="100">
        <v>19080</v>
      </c>
      <c r="AT15" s="100">
        <v>24</v>
      </c>
      <c r="AU15" s="100">
        <v>18316.8</v>
      </c>
      <c r="AV15" s="100">
        <v>24.335148419702264</v>
      </c>
      <c r="AW15" s="100">
        <v>18572.585273916768</v>
      </c>
      <c r="AX15" s="100">
        <v>18.970027398787657</v>
      </c>
      <c r="AY15" s="100">
        <v>14477.924910754738</v>
      </c>
      <c r="AZ15" s="100">
        <v>23</v>
      </c>
      <c r="BA15" s="100">
        <v>17553.599999999999</v>
      </c>
      <c r="BB15" s="100">
        <v>19.924797828159207</v>
      </c>
      <c r="BC15" s="100">
        <v>15206.605702451105</v>
      </c>
      <c r="BD15" s="100">
        <v>16</v>
      </c>
      <c r="BE15" s="100">
        <v>12211.199999999999</v>
      </c>
      <c r="BF15" s="100">
        <v>19</v>
      </c>
      <c r="BG15" s="100">
        <v>14500.8</v>
      </c>
      <c r="BH15" s="100">
        <v>23</v>
      </c>
      <c r="BI15" s="100">
        <v>17553.599999999999</v>
      </c>
      <c r="BJ15" s="100">
        <v>29</v>
      </c>
      <c r="BK15" s="100">
        <v>22132.799999999999</v>
      </c>
      <c r="BL15" s="100">
        <v>26</v>
      </c>
      <c r="BM15" s="100">
        <v>19843.199999999997</v>
      </c>
      <c r="BN15" s="100">
        <v>22.625382759797553</v>
      </c>
      <c r="BO15" s="100">
        <v>17267.692122277491</v>
      </c>
      <c r="BP15" s="100">
        <v>22</v>
      </c>
      <c r="BQ15" s="100">
        <v>16790.399999999998</v>
      </c>
      <c r="BR15" s="100">
        <v>21</v>
      </c>
      <c r="BS15" s="100">
        <v>16027.199999999999</v>
      </c>
      <c r="BT15" s="100">
        <v>14</v>
      </c>
      <c r="BU15" s="100">
        <v>10684.8</v>
      </c>
      <c r="BV15" s="100">
        <v>19.0505324322231</v>
      </c>
      <c r="BW15" s="100">
        <v>14539.366352272669</v>
      </c>
      <c r="BX15" s="100">
        <v>25</v>
      </c>
      <c r="BY15" s="100">
        <v>19080</v>
      </c>
      <c r="BZ15" s="100">
        <v>24</v>
      </c>
      <c r="CA15" s="100">
        <v>18316.8</v>
      </c>
      <c r="CB15" s="100">
        <v>21</v>
      </c>
      <c r="CC15" s="100">
        <v>16027.199999999999</v>
      </c>
      <c r="CD15" s="100">
        <v>30</v>
      </c>
      <c r="CE15" s="100">
        <v>22895.999999999996</v>
      </c>
      <c r="CF15" s="100">
        <v>24</v>
      </c>
      <c r="CG15" s="100">
        <v>18316.8</v>
      </c>
      <c r="CH15" s="100">
        <v>25.030116067932411</v>
      </c>
      <c r="CI15" s="100">
        <v>19102.984583046014</v>
      </c>
      <c r="CJ15" s="100">
        <v>23.977627502919109</v>
      </c>
      <c r="CK15" s="100">
        <v>18299.725310227863</v>
      </c>
      <c r="CL15" s="100">
        <v>15.531123423236513</v>
      </c>
      <c r="CM15" s="100">
        <v>11853.353396614106</v>
      </c>
      <c r="CN15" s="100">
        <v>21</v>
      </c>
      <c r="CO15" s="100">
        <v>16027.199999999999</v>
      </c>
      <c r="CP15" s="100">
        <v>24</v>
      </c>
      <c r="CQ15" s="100">
        <v>18316.8</v>
      </c>
      <c r="CR15" s="100">
        <v>20</v>
      </c>
      <c r="CS15" s="100">
        <v>15263.999999999998</v>
      </c>
      <c r="CT15" s="100">
        <v>19</v>
      </c>
      <c r="CU15" s="100">
        <v>14500.8</v>
      </c>
    </row>
    <row r="16" spans="1:99">
      <c r="C16" s="99" t="s">
        <v>182</v>
      </c>
      <c r="D16" s="100">
        <v>18</v>
      </c>
      <c r="E16" s="100">
        <v>6134.4000000000005</v>
      </c>
      <c r="F16" s="100">
        <v>22</v>
      </c>
      <c r="G16" s="100">
        <v>7497.6</v>
      </c>
      <c r="H16" s="100">
        <v>21</v>
      </c>
      <c r="I16" s="100">
        <v>7156.8</v>
      </c>
      <c r="J16" s="100">
        <v>18</v>
      </c>
      <c r="K16" s="100">
        <v>6134.4000000000005</v>
      </c>
      <c r="L16" s="100">
        <v>17</v>
      </c>
      <c r="M16" s="100">
        <v>5793.6</v>
      </c>
      <c r="N16" s="100">
        <v>18</v>
      </c>
      <c r="O16" s="100">
        <v>6134.4000000000005</v>
      </c>
      <c r="P16" s="100">
        <v>27.581912143996661</v>
      </c>
      <c r="Q16" s="100">
        <v>9399.9156586740628</v>
      </c>
      <c r="R16" s="100">
        <v>14</v>
      </c>
      <c r="S16" s="100">
        <v>4771.2</v>
      </c>
      <c r="T16" s="100">
        <v>19</v>
      </c>
      <c r="U16" s="100">
        <v>6475.2</v>
      </c>
      <c r="V16" s="100">
        <v>14.310699689839224</v>
      </c>
      <c r="W16" s="100">
        <v>4877.0864542972076</v>
      </c>
      <c r="X16" s="100">
        <v>16.533162245337557</v>
      </c>
      <c r="Y16" s="100">
        <v>5634.5016932110393</v>
      </c>
      <c r="Z16" s="100">
        <v>13.48909315014826</v>
      </c>
      <c r="AA16" s="100">
        <v>4597.082945570527</v>
      </c>
      <c r="AB16" s="100">
        <v>21</v>
      </c>
      <c r="AC16" s="100">
        <v>7156.8</v>
      </c>
      <c r="AD16" s="100">
        <v>28.197556631146785</v>
      </c>
      <c r="AE16" s="100">
        <v>9609.7272998948247</v>
      </c>
      <c r="AF16" s="100">
        <v>18</v>
      </c>
      <c r="AG16" s="100">
        <v>6134.4000000000005</v>
      </c>
      <c r="AH16" s="100">
        <v>28</v>
      </c>
      <c r="AI16" s="100">
        <v>9542.4</v>
      </c>
      <c r="AJ16" s="100">
        <v>15</v>
      </c>
      <c r="AK16" s="100">
        <v>5112</v>
      </c>
      <c r="AL16" s="100">
        <v>27</v>
      </c>
      <c r="AM16" s="100">
        <v>9201.6</v>
      </c>
      <c r="AN16" s="100">
        <v>18</v>
      </c>
      <c r="AO16" s="100">
        <v>6134.4000000000005</v>
      </c>
      <c r="AP16" s="100">
        <v>18</v>
      </c>
      <c r="AQ16" s="100">
        <v>6134.4000000000005</v>
      </c>
      <c r="AR16" s="100">
        <v>24</v>
      </c>
      <c r="AS16" s="100">
        <v>8179.2000000000007</v>
      </c>
      <c r="AT16" s="100">
        <v>25</v>
      </c>
      <c r="AU16" s="100">
        <v>8520</v>
      </c>
      <c r="AV16" s="100">
        <v>25.271115666613888</v>
      </c>
      <c r="AW16" s="100">
        <v>8612.3962191820137</v>
      </c>
      <c r="AX16" s="100">
        <v>18.066692760750151</v>
      </c>
      <c r="AY16" s="100">
        <v>6157.1288928636513</v>
      </c>
      <c r="AZ16" s="100">
        <v>22</v>
      </c>
      <c r="BA16" s="100">
        <v>7497.6</v>
      </c>
      <c r="BB16" s="100">
        <v>20.92103771956717</v>
      </c>
      <c r="BC16" s="100">
        <v>7129.889654828492</v>
      </c>
      <c r="BD16" s="100">
        <v>17</v>
      </c>
      <c r="BE16" s="100">
        <v>5793.6</v>
      </c>
      <c r="BF16" s="100">
        <v>18</v>
      </c>
      <c r="BG16" s="100">
        <v>6134.4000000000005</v>
      </c>
      <c r="BH16" s="100">
        <v>24</v>
      </c>
      <c r="BI16" s="100">
        <v>8179.2000000000007</v>
      </c>
      <c r="BJ16" s="100">
        <v>29</v>
      </c>
      <c r="BK16" s="100">
        <v>9883.2000000000007</v>
      </c>
      <c r="BL16" s="100">
        <v>27</v>
      </c>
      <c r="BM16" s="100">
        <v>9201.6</v>
      </c>
      <c r="BN16" s="100">
        <v>22.625382759797553</v>
      </c>
      <c r="BO16" s="100">
        <v>7710.7304445390064</v>
      </c>
      <c r="BP16" s="100">
        <v>26</v>
      </c>
      <c r="BQ16" s="100">
        <v>8860.8000000000011</v>
      </c>
      <c r="BR16" s="100">
        <v>25</v>
      </c>
      <c r="BS16" s="100">
        <v>8520</v>
      </c>
      <c r="BT16" s="100">
        <v>17</v>
      </c>
      <c r="BU16" s="100">
        <v>5793.6</v>
      </c>
      <c r="BV16" s="100">
        <v>20.782399016970654</v>
      </c>
      <c r="BW16" s="100">
        <v>7082.6415849835994</v>
      </c>
      <c r="BX16" s="100">
        <v>25</v>
      </c>
      <c r="BY16" s="100">
        <v>8520</v>
      </c>
      <c r="BZ16" s="100">
        <v>25</v>
      </c>
      <c r="CA16" s="100">
        <v>8520</v>
      </c>
      <c r="CB16" s="100">
        <v>22</v>
      </c>
      <c r="CC16" s="100">
        <v>7497.6</v>
      </c>
      <c r="CD16" s="100">
        <v>31</v>
      </c>
      <c r="CE16" s="100">
        <v>10564.800000000001</v>
      </c>
      <c r="CF16" s="100">
        <v>30</v>
      </c>
      <c r="CG16" s="100">
        <v>10224</v>
      </c>
      <c r="CH16" s="100">
        <v>26.955509611619522</v>
      </c>
      <c r="CI16" s="100">
        <v>9186.4376756399342</v>
      </c>
      <c r="CJ16" s="100">
        <v>23.977627502919109</v>
      </c>
      <c r="CK16" s="100">
        <v>8171.5754529948326</v>
      </c>
      <c r="CL16" s="100">
        <v>15.531123423236513</v>
      </c>
      <c r="CM16" s="100">
        <v>5293.0068626390039</v>
      </c>
      <c r="CN16" s="100">
        <v>22</v>
      </c>
      <c r="CO16" s="100">
        <v>7497.6</v>
      </c>
      <c r="CP16" s="100">
        <v>30</v>
      </c>
      <c r="CQ16" s="100">
        <v>10224</v>
      </c>
      <c r="CR16" s="100">
        <v>21</v>
      </c>
      <c r="CS16" s="100">
        <v>7156.8</v>
      </c>
      <c r="CT16" s="100">
        <v>22</v>
      </c>
      <c r="CU16" s="100">
        <v>7497.6</v>
      </c>
    </row>
    <row r="17" spans="2:99">
      <c r="C17" s="99" t="s">
        <v>183</v>
      </c>
      <c r="D17" s="100">
        <v>20</v>
      </c>
      <c r="E17" s="100">
        <v>8448</v>
      </c>
      <c r="F17" s="100">
        <v>22</v>
      </c>
      <c r="G17" s="100">
        <v>9292.7999999999993</v>
      </c>
      <c r="H17" s="100">
        <v>23</v>
      </c>
      <c r="I17" s="100">
        <v>9715.1999999999989</v>
      </c>
      <c r="J17" s="100">
        <v>19</v>
      </c>
      <c r="K17" s="100">
        <v>8025.5999999999995</v>
      </c>
      <c r="L17" s="100">
        <v>17</v>
      </c>
      <c r="M17" s="100">
        <v>7180.7999999999993</v>
      </c>
      <c r="N17" s="100">
        <v>15</v>
      </c>
      <c r="O17" s="100">
        <v>6336</v>
      </c>
      <c r="P17" s="100">
        <v>27.581912143996661</v>
      </c>
      <c r="Q17" s="100">
        <v>11650.599689624189</v>
      </c>
      <c r="R17" s="100">
        <v>15</v>
      </c>
      <c r="S17" s="100">
        <v>6336</v>
      </c>
      <c r="T17" s="100">
        <v>19</v>
      </c>
      <c r="U17" s="100">
        <v>8025.5999999999995</v>
      </c>
      <c r="V17" s="100">
        <v>15.205118420454177</v>
      </c>
      <c r="W17" s="100">
        <v>6422.6420207998444</v>
      </c>
      <c r="X17" s="100">
        <v>15.745868805083386</v>
      </c>
      <c r="Y17" s="100">
        <v>6651.0549832672223</v>
      </c>
      <c r="Z17" s="100">
        <v>12.779140879087826</v>
      </c>
      <c r="AA17" s="100">
        <v>5397.9091073266973</v>
      </c>
      <c r="AB17" s="100">
        <v>24</v>
      </c>
      <c r="AC17" s="100">
        <v>10137.599999999999</v>
      </c>
      <c r="AD17" s="100">
        <v>25.377800968032108</v>
      </c>
      <c r="AE17" s="100">
        <v>10719.583128896762</v>
      </c>
      <c r="AF17" s="100">
        <v>18</v>
      </c>
      <c r="AG17" s="100">
        <v>7603.2</v>
      </c>
      <c r="AH17" s="100">
        <v>28</v>
      </c>
      <c r="AI17" s="100">
        <v>11827.199999999999</v>
      </c>
      <c r="AJ17" s="100">
        <v>14</v>
      </c>
      <c r="AK17" s="100">
        <v>5913.5999999999995</v>
      </c>
      <c r="AL17" s="100">
        <v>29</v>
      </c>
      <c r="AM17" s="100">
        <v>12249.599999999999</v>
      </c>
      <c r="AN17" s="100">
        <v>18</v>
      </c>
      <c r="AO17" s="100">
        <v>7603.2</v>
      </c>
      <c r="AP17" s="100">
        <v>19</v>
      </c>
      <c r="AQ17" s="100">
        <v>8025.5999999999995</v>
      </c>
      <c r="AR17" s="100">
        <v>25</v>
      </c>
      <c r="AS17" s="100">
        <v>10560</v>
      </c>
      <c r="AT17" s="100">
        <v>25</v>
      </c>
      <c r="AU17" s="100">
        <v>10560</v>
      </c>
      <c r="AV17" s="100">
        <v>22.463213925879014</v>
      </c>
      <c r="AW17" s="100">
        <v>9488.4615622912952</v>
      </c>
      <c r="AX17" s="100">
        <v>18.970027398787657</v>
      </c>
      <c r="AY17" s="100">
        <v>8012.9395732479061</v>
      </c>
      <c r="AZ17" s="100">
        <v>21</v>
      </c>
      <c r="BA17" s="100">
        <v>8870.4</v>
      </c>
      <c r="BB17" s="100">
        <v>23.909757393791054</v>
      </c>
      <c r="BC17" s="100">
        <v>10099.481523137341</v>
      </c>
      <c r="BD17" s="100">
        <v>17</v>
      </c>
      <c r="BE17" s="100">
        <v>7180.7999999999993</v>
      </c>
      <c r="BF17" s="100">
        <v>17</v>
      </c>
      <c r="BG17" s="100">
        <v>7180.7999999999993</v>
      </c>
      <c r="BH17" s="100">
        <v>21</v>
      </c>
      <c r="BI17" s="100">
        <v>8870.4</v>
      </c>
      <c r="BJ17" s="100">
        <v>29</v>
      </c>
      <c r="BK17" s="100">
        <v>12249.599999999999</v>
      </c>
      <c r="BL17" s="100">
        <v>28</v>
      </c>
      <c r="BM17" s="100">
        <v>11827.199999999999</v>
      </c>
      <c r="BN17" s="100">
        <v>25.236003847466495</v>
      </c>
      <c r="BO17" s="100">
        <v>10659.688025169848</v>
      </c>
      <c r="BP17" s="100">
        <v>27</v>
      </c>
      <c r="BQ17" s="100">
        <v>11404.8</v>
      </c>
      <c r="BR17" s="100">
        <v>23</v>
      </c>
      <c r="BS17" s="100">
        <v>9715.1999999999989</v>
      </c>
      <c r="BT17" s="100">
        <v>17</v>
      </c>
      <c r="BU17" s="100">
        <v>7180.7999999999993</v>
      </c>
      <c r="BV17" s="100">
        <v>19.0505324322231</v>
      </c>
      <c r="BW17" s="100">
        <v>8046.9448993710375</v>
      </c>
      <c r="BX17" s="100">
        <v>25</v>
      </c>
      <c r="BY17" s="100">
        <v>10560</v>
      </c>
      <c r="BZ17" s="100">
        <v>25</v>
      </c>
      <c r="CA17" s="100">
        <v>10560</v>
      </c>
      <c r="CB17" s="100">
        <v>24</v>
      </c>
      <c r="CC17" s="100">
        <v>10137.599999999999</v>
      </c>
      <c r="CD17" s="100">
        <v>33</v>
      </c>
      <c r="CE17" s="100">
        <v>13939.199999999999</v>
      </c>
      <c r="CF17" s="100">
        <v>28</v>
      </c>
      <c r="CG17" s="100">
        <v>11827.199999999999</v>
      </c>
      <c r="CH17" s="100">
        <v>25.030116067932411</v>
      </c>
      <c r="CI17" s="100">
        <v>10572.721027094651</v>
      </c>
      <c r="CJ17" s="100">
        <v>25.895837703152637</v>
      </c>
      <c r="CK17" s="100">
        <v>10938.401845811673</v>
      </c>
      <c r="CL17" s="100">
        <v>15.531123423236513</v>
      </c>
      <c r="CM17" s="100">
        <v>6560.3465339751028</v>
      </c>
      <c r="CN17" s="100">
        <v>19</v>
      </c>
      <c r="CO17" s="100">
        <v>8025.5999999999995</v>
      </c>
      <c r="CP17" s="100">
        <v>30</v>
      </c>
      <c r="CQ17" s="100">
        <v>12672</v>
      </c>
      <c r="CR17" s="100">
        <v>18</v>
      </c>
      <c r="CS17" s="100">
        <v>7603.2</v>
      </c>
      <c r="CT17" s="100">
        <v>22</v>
      </c>
      <c r="CU17" s="100">
        <v>9292.7999999999993</v>
      </c>
    </row>
    <row r="18" spans="2:99">
      <c r="C18" s="99" t="s">
        <v>184</v>
      </c>
      <c r="D18" s="100">
        <v>19</v>
      </c>
      <c r="E18" s="100">
        <v>12403.199999999999</v>
      </c>
      <c r="F18" s="100">
        <v>21</v>
      </c>
      <c r="G18" s="100">
        <v>13708.8</v>
      </c>
      <c r="H18" s="100">
        <v>20</v>
      </c>
      <c r="I18" s="100">
        <v>13056</v>
      </c>
      <c r="J18" s="100">
        <v>16</v>
      </c>
      <c r="K18" s="100">
        <v>10444.799999999999</v>
      </c>
      <c r="L18" s="100">
        <v>16</v>
      </c>
      <c r="M18" s="100">
        <v>10444.799999999999</v>
      </c>
      <c r="N18" s="100">
        <v>17</v>
      </c>
      <c r="O18" s="100">
        <v>11097.599999999999</v>
      </c>
      <c r="P18" s="100">
        <v>24.728610887721143</v>
      </c>
      <c r="Q18" s="100">
        <v>16142.837187504361</v>
      </c>
      <c r="R18" s="100">
        <v>14</v>
      </c>
      <c r="S18" s="100">
        <v>9139.1999999999989</v>
      </c>
      <c r="T18" s="100">
        <v>15</v>
      </c>
      <c r="U18" s="100">
        <v>9792</v>
      </c>
      <c r="V18" s="100">
        <v>15.205118420454177</v>
      </c>
      <c r="W18" s="100">
        <v>9925.9013048724864</v>
      </c>
      <c r="X18" s="100">
        <v>13.383988484320879</v>
      </c>
      <c r="Y18" s="100">
        <v>8737.0676825646697</v>
      </c>
      <c r="Z18" s="100">
        <v>11.359236336966957</v>
      </c>
      <c r="AA18" s="100">
        <v>7415.309480772029</v>
      </c>
      <c r="AB18" s="100">
        <v>23</v>
      </c>
      <c r="AC18" s="100">
        <v>15014.4</v>
      </c>
      <c r="AD18" s="100">
        <v>24.437882413660549</v>
      </c>
      <c r="AE18" s="100">
        <v>15953.049639637606</v>
      </c>
      <c r="AF18" s="100">
        <v>16</v>
      </c>
      <c r="AG18" s="100">
        <v>10444.799999999999</v>
      </c>
      <c r="AH18" s="100">
        <v>26</v>
      </c>
      <c r="AI18" s="100">
        <v>16972.8</v>
      </c>
      <c r="AJ18" s="100">
        <v>16</v>
      </c>
      <c r="AK18" s="100">
        <v>10444.799999999999</v>
      </c>
      <c r="AL18" s="100">
        <v>28</v>
      </c>
      <c r="AM18" s="100">
        <v>18278.399999999998</v>
      </c>
      <c r="AN18" s="100">
        <v>18</v>
      </c>
      <c r="AO18" s="100">
        <v>11750.4</v>
      </c>
      <c r="AP18" s="100">
        <v>18</v>
      </c>
      <c r="AQ18" s="100">
        <v>11750.4</v>
      </c>
      <c r="AR18" s="100">
        <v>23</v>
      </c>
      <c r="AS18" s="100">
        <v>15014.4</v>
      </c>
      <c r="AT18" s="100">
        <v>22</v>
      </c>
      <c r="AU18" s="100">
        <v>14361.599999999999</v>
      </c>
      <c r="AV18" s="100">
        <v>22.463213925879014</v>
      </c>
      <c r="AW18" s="100">
        <v>14663.986050813819</v>
      </c>
      <c r="AX18" s="100">
        <v>16.260023484675138</v>
      </c>
      <c r="AY18" s="100">
        <v>10614.543330795928</v>
      </c>
      <c r="AZ18" s="100">
        <v>24</v>
      </c>
      <c r="BA18" s="100">
        <v>15667.199999999999</v>
      </c>
      <c r="BB18" s="100">
        <v>20.92103771956717</v>
      </c>
      <c r="BC18" s="100">
        <v>13657.253423333448</v>
      </c>
      <c r="BD18" s="100">
        <v>15</v>
      </c>
      <c r="BE18" s="100">
        <v>9792</v>
      </c>
      <c r="BF18" s="100">
        <v>19</v>
      </c>
      <c r="BG18" s="100">
        <v>12403.199999999999</v>
      </c>
      <c r="BH18" s="100">
        <v>23</v>
      </c>
      <c r="BI18" s="100">
        <v>15014.4</v>
      </c>
      <c r="BJ18" s="100">
        <v>29</v>
      </c>
      <c r="BK18" s="100">
        <v>18931.199999999997</v>
      </c>
      <c r="BL18" s="100">
        <v>27</v>
      </c>
      <c r="BM18" s="100">
        <v>17625.599999999999</v>
      </c>
      <c r="BN18" s="100">
        <v>24.365796818243517</v>
      </c>
      <c r="BO18" s="100">
        <v>15905.992162949367</v>
      </c>
      <c r="BP18" s="100">
        <v>23</v>
      </c>
      <c r="BQ18" s="100">
        <v>15014.4</v>
      </c>
      <c r="BR18" s="100">
        <v>25</v>
      </c>
      <c r="BS18" s="100">
        <v>16319.999999999998</v>
      </c>
      <c r="BT18" s="100">
        <v>17</v>
      </c>
      <c r="BU18" s="100">
        <v>11097.599999999999</v>
      </c>
      <c r="BV18" s="100">
        <v>20.782399016970654</v>
      </c>
      <c r="BW18" s="100">
        <v>13566.750078278443</v>
      </c>
      <c r="BX18" s="100">
        <v>26</v>
      </c>
      <c r="BY18" s="100">
        <v>16972.8</v>
      </c>
      <c r="BZ18" s="100">
        <v>25</v>
      </c>
      <c r="CA18" s="100">
        <v>16319.999999999998</v>
      </c>
      <c r="CB18" s="100">
        <v>22</v>
      </c>
      <c r="CC18" s="100">
        <v>14361.599999999999</v>
      </c>
      <c r="CD18" s="100">
        <v>27</v>
      </c>
      <c r="CE18" s="100">
        <v>17625.599999999999</v>
      </c>
      <c r="CF18" s="100">
        <v>28</v>
      </c>
      <c r="CG18" s="100">
        <v>18278.399999999998</v>
      </c>
      <c r="CH18" s="100">
        <v>25.992812839775965</v>
      </c>
      <c r="CI18" s="100">
        <v>16968.108221805749</v>
      </c>
      <c r="CJ18" s="100">
        <v>23.977627502919109</v>
      </c>
      <c r="CK18" s="100">
        <v>15652.595233905593</v>
      </c>
      <c r="CL18" s="100">
        <v>13.896268326053722</v>
      </c>
      <c r="CM18" s="100">
        <v>9071.4839632478688</v>
      </c>
      <c r="CN18" s="100">
        <v>19</v>
      </c>
      <c r="CO18" s="100">
        <v>12403.199999999999</v>
      </c>
      <c r="CP18" s="100">
        <v>29</v>
      </c>
      <c r="CQ18" s="100">
        <v>18931.199999999997</v>
      </c>
      <c r="CR18" s="100">
        <v>19</v>
      </c>
      <c r="CS18" s="100">
        <v>12403.199999999999</v>
      </c>
      <c r="CT18" s="100">
        <v>22</v>
      </c>
      <c r="CU18" s="100">
        <v>14361.599999999999</v>
      </c>
    </row>
    <row r="19" spans="2:99">
      <c r="C19" s="99" t="s">
        <v>185</v>
      </c>
      <c r="D19" s="100">
        <v>19</v>
      </c>
      <c r="E19" s="100">
        <v>6270</v>
      </c>
      <c r="F19" s="100">
        <v>21</v>
      </c>
      <c r="G19" s="100">
        <v>6930</v>
      </c>
      <c r="H19" s="100">
        <v>23</v>
      </c>
      <c r="I19" s="100">
        <v>7590</v>
      </c>
      <c r="J19" s="100">
        <v>17</v>
      </c>
      <c r="K19" s="100">
        <v>5610</v>
      </c>
      <c r="L19" s="100">
        <v>17</v>
      </c>
      <c r="M19" s="100">
        <v>5610</v>
      </c>
      <c r="N19" s="100">
        <v>15</v>
      </c>
      <c r="O19" s="100">
        <v>4950</v>
      </c>
      <c r="P19" s="100">
        <v>24.728610887721143</v>
      </c>
      <c r="Q19" s="100">
        <v>8160.4415929479774</v>
      </c>
      <c r="R19" s="100">
        <v>17</v>
      </c>
      <c r="S19" s="100">
        <v>5610</v>
      </c>
      <c r="T19" s="100">
        <v>16</v>
      </c>
      <c r="U19" s="100">
        <v>5280</v>
      </c>
      <c r="V19" s="100">
        <v>15.205118420454177</v>
      </c>
      <c r="W19" s="100">
        <v>5017.6890787498787</v>
      </c>
      <c r="X19" s="100">
        <v>14.958575364829215</v>
      </c>
      <c r="Y19" s="100">
        <v>4936.3298703936407</v>
      </c>
      <c r="Z19" s="100">
        <v>12.779140879087826</v>
      </c>
      <c r="AA19" s="100">
        <v>4217.1164900989825</v>
      </c>
      <c r="AB19" s="100">
        <v>24</v>
      </c>
      <c r="AC19" s="100">
        <v>7920</v>
      </c>
      <c r="AD19" s="100">
        <v>26.317719522403667</v>
      </c>
      <c r="AE19" s="100">
        <v>8684.8474423932093</v>
      </c>
      <c r="AF19" s="100">
        <v>18</v>
      </c>
      <c r="AG19" s="100">
        <v>5940</v>
      </c>
      <c r="AH19" s="100">
        <v>25</v>
      </c>
      <c r="AI19" s="100">
        <v>8250</v>
      </c>
      <c r="AJ19" s="100">
        <v>15</v>
      </c>
      <c r="AK19" s="100">
        <v>4950</v>
      </c>
      <c r="AL19" s="100">
        <v>30</v>
      </c>
      <c r="AM19" s="100">
        <v>9900</v>
      </c>
      <c r="AN19" s="100">
        <v>17</v>
      </c>
      <c r="AO19" s="100">
        <v>5610</v>
      </c>
      <c r="AP19" s="100">
        <v>19</v>
      </c>
      <c r="AQ19" s="100">
        <v>6270</v>
      </c>
      <c r="AR19" s="100">
        <v>23</v>
      </c>
      <c r="AS19" s="100">
        <v>7590</v>
      </c>
      <c r="AT19" s="100">
        <v>27</v>
      </c>
      <c r="AU19" s="100">
        <v>8910</v>
      </c>
      <c r="AV19" s="100">
        <v>25.271115666613888</v>
      </c>
      <c r="AW19" s="100">
        <v>8339.4681699825833</v>
      </c>
      <c r="AX19" s="100">
        <v>18.970027398787657</v>
      </c>
      <c r="AY19" s="100">
        <v>6260.109041599927</v>
      </c>
      <c r="AZ19" s="100">
        <v>25</v>
      </c>
      <c r="BA19" s="100">
        <v>8250</v>
      </c>
      <c r="BB19" s="100">
        <v>21.91727761097513</v>
      </c>
      <c r="BC19" s="100">
        <v>7232.7016116217928</v>
      </c>
      <c r="BD19" s="100">
        <v>15</v>
      </c>
      <c r="BE19" s="100">
        <v>4950</v>
      </c>
      <c r="BF19" s="100">
        <v>18</v>
      </c>
      <c r="BG19" s="100">
        <v>5940</v>
      </c>
      <c r="BH19" s="100">
        <v>23</v>
      </c>
      <c r="BI19" s="100">
        <v>7590</v>
      </c>
      <c r="BJ19" s="100">
        <v>27</v>
      </c>
      <c r="BK19" s="100">
        <v>8910</v>
      </c>
      <c r="BL19" s="100">
        <v>24</v>
      </c>
      <c r="BM19" s="100">
        <v>7920</v>
      </c>
      <c r="BN19" s="100">
        <v>25.236003847466495</v>
      </c>
      <c r="BO19" s="100">
        <v>8327.8812696639434</v>
      </c>
      <c r="BP19" s="100">
        <v>24</v>
      </c>
      <c r="BQ19" s="100">
        <v>7920</v>
      </c>
      <c r="BR19" s="100">
        <v>23</v>
      </c>
      <c r="BS19" s="100">
        <v>7590</v>
      </c>
      <c r="BT19" s="100">
        <v>15</v>
      </c>
      <c r="BU19" s="100">
        <v>4950</v>
      </c>
      <c r="BV19" s="100">
        <v>18.184599139849322</v>
      </c>
      <c r="BW19" s="100">
        <v>6000.9177161502766</v>
      </c>
      <c r="BX19" s="100">
        <v>28</v>
      </c>
      <c r="BY19" s="100">
        <v>9240</v>
      </c>
      <c r="BZ19" s="100">
        <v>25</v>
      </c>
      <c r="CA19" s="100">
        <v>8250</v>
      </c>
      <c r="CB19" s="100">
        <v>24</v>
      </c>
      <c r="CC19" s="100">
        <v>7920</v>
      </c>
      <c r="CD19" s="100">
        <v>32</v>
      </c>
      <c r="CE19" s="100">
        <v>10560</v>
      </c>
      <c r="CF19" s="100">
        <v>27</v>
      </c>
      <c r="CG19" s="100">
        <v>8910</v>
      </c>
      <c r="CH19" s="100">
        <v>27.918206383463072</v>
      </c>
      <c r="CI19" s="100">
        <v>9213.008106542813</v>
      </c>
      <c r="CJ19" s="100">
        <v>26.854942803269402</v>
      </c>
      <c r="CK19" s="100">
        <v>8862.1311250789022</v>
      </c>
      <c r="CL19" s="100">
        <v>16.348550971827908</v>
      </c>
      <c r="CM19" s="100">
        <v>5395.0218207032094</v>
      </c>
      <c r="CN19" s="100">
        <v>22</v>
      </c>
      <c r="CO19" s="100">
        <v>7260</v>
      </c>
      <c r="CP19" s="100">
        <v>30</v>
      </c>
      <c r="CQ19" s="100">
        <v>9900</v>
      </c>
      <c r="CR19" s="100">
        <v>21</v>
      </c>
      <c r="CS19" s="100">
        <v>6930</v>
      </c>
      <c r="CT19" s="100">
        <v>20</v>
      </c>
      <c r="CU19" s="100">
        <v>6600</v>
      </c>
    </row>
    <row r="20" spans="2:99">
      <c r="B20" s="99" t="s">
        <v>127</v>
      </c>
      <c r="C20" s="99" t="s">
        <v>186</v>
      </c>
      <c r="D20" s="100">
        <v>21</v>
      </c>
      <c r="E20" s="100">
        <v>6022.8</v>
      </c>
      <c r="F20" s="100">
        <v>19</v>
      </c>
      <c r="G20" s="100">
        <v>5449.2</v>
      </c>
      <c r="H20" s="100">
        <v>24</v>
      </c>
      <c r="I20" s="100">
        <v>6883.2000000000007</v>
      </c>
      <c r="J20" s="100">
        <v>15</v>
      </c>
      <c r="K20" s="100">
        <v>4302</v>
      </c>
      <c r="L20" s="100">
        <v>30</v>
      </c>
      <c r="M20" s="100">
        <v>8604</v>
      </c>
      <c r="N20" s="100">
        <v>17</v>
      </c>
      <c r="O20" s="100">
        <v>4875.6000000000004</v>
      </c>
      <c r="P20" s="100">
        <v>27.581912143996661</v>
      </c>
      <c r="Q20" s="100">
        <v>7910.4924028982423</v>
      </c>
      <c r="R20" s="100">
        <v>16</v>
      </c>
      <c r="S20" s="100">
        <v>4588.8</v>
      </c>
      <c r="T20" s="100">
        <v>20</v>
      </c>
      <c r="U20" s="100">
        <v>5736</v>
      </c>
      <c r="V20" s="100">
        <v>20.571630804143886</v>
      </c>
      <c r="W20" s="100">
        <v>5899.9437146284672</v>
      </c>
      <c r="X20" s="100">
        <v>18.895042566100063</v>
      </c>
      <c r="Y20" s="100">
        <v>5419.0982079574978</v>
      </c>
      <c r="Z20" s="100">
        <v>20.588615860752608</v>
      </c>
      <c r="AA20" s="100">
        <v>5904.8150288638481</v>
      </c>
      <c r="AB20" s="100">
        <v>25</v>
      </c>
      <c r="AC20" s="100">
        <v>7170</v>
      </c>
      <c r="AD20" s="100">
        <v>18.798371087431192</v>
      </c>
      <c r="AE20" s="100">
        <v>5391.372827875266</v>
      </c>
      <c r="AF20" s="100">
        <v>20</v>
      </c>
      <c r="AG20" s="100">
        <v>5736</v>
      </c>
      <c r="AH20" s="100">
        <v>14</v>
      </c>
      <c r="AI20" s="100">
        <v>4015.2000000000003</v>
      </c>
      <c r="AJ20" s="100">
        <v>23</v>
      </c>
      <c r="AK20" s="100">
        <v>6596.4000000000005</v>
      </c>
      <c r="AL20" s="100">
        <v>19</v>
      </c>
      <c r="AM20" s="100">
        <v>5449.2</v>
      </c>
      <c r="AN20" s="100">
        <v>18</v>
      </c>
      <c r="AO20" s="100">
        <v>5162.4000000000005</v>
      </c>
      <c r="AP20" s="100">
        <v>19</v>
      </c>
      <c r="AQ20" s="100">
        <v>5449.2</v>
      </c>
      <c r="AR20" s="100">
        <v>17</v>
      </c>
      <c r="AS20" s="100">
        <v>4875.6000000000004</v>
      </c>
      <c r="AT20" s="100">
        <v>19</v>
      </c>
      <c r="AU20" s="100">
        <v>5449.2</v>
      </c>
      <c r="AV20" s="100">
        <v>16.84741044440926</v>
      </c>
      <c r="AW20" s="100">
        <v>4831.8373154565761</v>
      </c>
      <c r="AX20" s="100">
        <v>18.066692760750151</v>
      </c>
      <c r="AY20" s="100">
        <v>5181.527483783143</v>
      </c>
      <c r="AZ20" s="100">
        <v>17</v>
      </c>
      <c r="BA20" s="100">
        <v>4875.6000000000004</v>
      </c>
      <c r="BB20" s="100">
        <v>20.92103771956717</v>
      </c>
      <c r="BC20" s="100">
        <v>6000.1536179718651</v>
      </c>
      <c r="BD20" s="100">
        <v>27</v>
      </c>
      <c r="BE20" s="100">
        <v>7743.6</v>
      </c>
      <c r="BF20" s="100">
        <v>21</v>
      </c>
      <c r="BG20" s="100">
        <v>6022.8</v>
      </c>
      <c r="BH20" s="100">
        <v>15</v>
      </c>
      <c r="BI20" s="100">
        <v>4302</v>
      </c>
      <c r="BJ20" s="100">
        <v>17</v>
      </c>
      <c r="BK20" s="100">
        <v>4875.6000000000004</v>
      </c>
      <c r="BL20" s="100">
        <v>25</v>
      </c>
      <c r="BM20" s="100">
        <v>7170</v>
      </c>
      <c r="BN20" s="100">
        <v>22.625382759797553</v>
      </c>
      <c r="BO20" s="100">
        <v>6488.9597755099385</v>
      </c>
      <c r="BP20" s="100">
        <v>20</v>
      </c>
      <c r="BQ20" s="100">
        <v>5736</v>
      </c>
      <c r="BR20" s="100">
        <v>19</v>
      </c>
      <c r="BS20" s="100">
        <v>5449.2</v>
      </c>
      <c r="BT20" s="100">
        <v>23</v>
      </c>
      <c r="BU20" s="100">
        <v>6596.4000000000005</v>
      </c>
      <c r="BV20" s="100">
        <v>27.709865355960876</v>
      </c>
      <c r="BW20" s="100">
        <v>7947.1893840895791</v>
      </c>
      <c r="BX20" s="100">
        <v>19</v>
      </c>
      <c r="BY20" s="100">
        <v>5449.2</v>
      </c>
      <c r="BZ20" s="100">
        <v>26</v>
      </c>
      <c r="CA20" s="100">
        <v>7456.8</v>
      </c>
      <c r="CB20" s="100">
        <v>23</v>
      </c>
      <c r="CC20" s="100">
        <v>6596.4000000000005</v>
      </c>
      <c r="CD20" s="100">
        <v>26</v>
      </c>
      <c r="CE20" s="100">
        <v>7456.8</v>
      </c>
      <c r="CF20" s="100">
        <v>24</v>
      </c>
      <c r="CG20" s="100">
        <v>6883.2000000000007</v>
      </c>
      <c r="CH20" s="100">
        <v>27.918206383463072</v>
      </c>
      <c r="CI20" s="100">
        <v>8006.9415907772091</v>
      </c>
      <c r="CJ20" s="100">
        <v>19.182102002335288</v>
      </c>
      <c r="CK20" s="100">
        <v>5501.426854269761</v>
      </c>
      <c r="CL20" s="100">
        <v>24.522826457741861</v>
      </c>
      <c r="CM20" s="100">
        <v>7033.1466280803661</v>
      </c>
      <c r="CN20" s="100">
        <v>20</v>
      </c>
      <c r="CO20" s="100">
        <v>5736</v>
      </c>
      <c r="CP20" s="100">
        <v>18</v>
      </c>
      <c r="CQ20" s="100">
        <v>5162.4000000000005</v>
      </c>
      <c r="CR20" s="100">
        <v>15</v>
      </c>
      <c r="CS20" s="100">
        <v>4302</v>
      </c>
      <c r="CT20" s="100">
        <v>27</v>
      </c>
      <c r="CU20" s="100">
        <v>7743.6</v>
      </c>
    </row>
    <row r="21" spans="2:99">
      <c r="C21" s="99" t="s">
        <v>187</v>
      </c>
      <c r="D21" s="100">
        <v>23</v>
      </c>
      <c r="E21" s="100">
        <v>1435.2</v>
      </c>
      <c r="F21" s="100">
        <v>20</v>
      </c>
      <c r="G21" s="100">
        <v>1248</v>
      </c>
      <c r="H21" s="100">
        <v>25</v>
      </c>
      <c r="I21" s="100">
        <v>1560</v>
      </c>
      <c r="J21" s="100">
        <v>16</v>
      </c>
      <c r="K21" s="100">
        <v>998.4</v>
      </c>
      <c r="L21" s="100">
        <v>26</v>
      </c>
      <c r="M21" s="100">
        <v>1622.3999999999999</v>
      </c>
      <c r="N21" s="100">
        <v>17</v>
      </c>
      <c r="O21" s="100">
        <v>1060.8</v>
      </c>
      <c r="P21" s="100">
        <v>28.533012562755168</v>
      </c>
      <c r="Q21" s="100">
        <v>1780.4599839159225</v>
      </c>
      <c r="R21" s="100">
        <v>16</v>
      </c>
      <c r="S21" s="100">
        <v>998.4</v>
      </c>
      <c r="T21" s="100">
        <v>21</v>
      </c>
      <c r="U21" s="100">
        <v>1310.3999999999999</v>
      </c>
      <c r="V21" s="100">
        <v>24.149305726603693</v>
      </c>
      <c r="W21" s="100">
        <v>1506.9166773400705</v>
      </c>
      <c r="X21" s="100">
        <v>21.256922886862572</v>
      </c>
      <c r="Y21" s="100">
        <v>1326.4319881402246</v>
      </c>
      <c r="Z21" s="100">
        <v>21.298568131813045</v>
      </c>
      <c r="AA21" s="100">
        <v>1329.030651425134</v>
      </c>
      <c r="AB21" s="100">
        <v>26</v>
      </c>
      <c r="AC21" s="100">
        <v>1622.3999999999999</v>
      </c>
      <c r="AD21" s="100">
        <v>18.798371087431192</v>
      </c>
      <c r="AE21" s="100">
        <v>1173.0183558557064</v>
      </c>
      <c r="AF21" s="100">
        <v>23</v>
      </c>
      <c r="AG21" s="100">
        <v>1435.2</v>
      </c>
      <c r="AH21" s="100">
        <v>17</v>
      </c>
      <c r="AI21" s="100">
        <v>1060.8</v>
      </c>
      <c r="AJ21" s="100">
        <v>25</v>
      </c>
      <c r="AK21" s="100">
        <v>1560</v>
      </c>
      <c r="AL21" s="100">
        <v>21</v>
      </c>
      <c r="AM21" s="100">
        <v>1310.3999999999999</v>
      </c>
      <c r="AN21" s="100">
        <v>16</v>
      </c>
      <c r="AO21" s="100">
        <v>998.4</v>
      </c>
      <c r="AP21" s="100">
        <v>19</v>
      </c>
      <c r="AQ21" s="100">
        <v>1185.5999999999999</v>
      </c>
      <c r="AR21" s="100">
        <v>18</v>
      </c>
      <c r="AS21" s="100">
        <v>1123.2</v>
      </c>
      <c r="AT21" s="100">
        <v>19</v>
      </c>
      <c r="AU21" s="100">
        <v>1185.5999999999999</v>
      </c>
      <c r="AV21" s="100">
        <v>18.71934493823251</v>
      </c>
      <c r="AW21" s="100">
        <v>1168.0871241457087</v>
      </c>
      <c r="AX21" s="100">
        <v>21.68003131290018</v>
      </c>
      <c r="AY21" s="100">
        <v>1352.8339539249712</v>
      </c>
      <c r="AZ21" s="100">
        <v>17</v>
      </c>
      <c r="BA21" s="100">
        <v>1060.8</v>
      </c>
      <c r="BB21" s="100">
        <v>21.91727761097513</v>
      </c>
      <c r="BC21" s="100">
        <v>1367.6381229248482</v>
      </c>
      <c r="BD21" s="100">
        <v>26</v>
      </c>
      <c r="BE21" s="100">
        <v>1622.3999999999999</v>
      </c>
      <c r="BF21" s="100">
        <v>20</v>
      </c>
      <c r="BG21" s="100">
        <v>1248</v>
      </c>
      <c r="BH21" s="100">
        <v>15</v>
      </c>
      <c r="BI21" s="100">
        <v>936</v>
      </c>
      <c r="BJ21" s="100">
        <v>17</v>
      </c>
      <c r="BK21" s="100">
        <v>1060.8</v>
      </c>
      <c r="BL21" s="100">
        <v>27</v>
      </c>
      <c r="BM21" s="100">
        <v>1684.8</v>
      </c>
      <c r="BN21" s="100">
        <v>22.625382759797553</v>
      </c>
      <c r="BO21" s="100">
        <v>1411.8238842113674</v>
      </c>
      <c r="BP21" s="100">
        <v>20</v>
      </c>
      <c r="BQ21" s="100">
        <v>1248</v>
      </c>
      <c r="BR21" s="100">
        <v>18</v>
      </c>
      <c r="BS21" s="100">
        <v>1123.2</v>
      </c>
      <c r="BT21" s="100">
        <v>23</v>
      </c>
      <c r="BU21" s="100">
        <v>1435.2</v>
      </c>
      <c r="BV21" s="100">
        <v>27.709865355960876</v>
      </c>
      <c r="BW21" s="100">
        <v>1729.0955982119585</v>
      </c>
      <c r="BX21" s="100">
        <v>19</v>
      </c>
      <c r="BY21" s="100">
        <v>1185.5999999999999</v>
      </c>
      <c r="BZ21" s="100">
        <v>27</v>
      </c>
      <c r="CA21" s="100">
        <v>1684.8</v>
      </c>
      <c r="CB21" s="100">
        <v>24</v>
      </c>
      <c r="CC21" s="100">
        <v>1497.6</v>
      </c>
      <c r="CD21" s="100">
        <v>23</v>
      </c>
      <c r="CE21" s="100">
        <v>1435.2</v>
      </c>
      <c r="CF21" s="100">
        <v>26</v>
      </c>
      <c r="CG21" s="100">
        <v>1622.3999999999999</v>
      </c>
      <c r="CH21" s="100">
        <v>25.992812839775965</v>
      </c>
      <c r="CI21" s="100">
        <v>1621.9515212020201</v>
      </c>
      <c r="CJ21" s="100">
        <v>19.182102002335288</v>
      </c>
      <c r="CK21" s="100">
        <v>1196.9631649457219</v>
      </c>
      <c r="CL21" s="100">
        <v>25.340254006333257</v>
      </c>
      <c r="CM21" s="100">
        <v>1581.2318499951953</v>
      </c>
      <c r="CN21" s="100">
        <v>22</v>
      </c>
      <c r="CO21" s="100">
        <v>1372.8</v>
      </c>
      <c r="CP21" s="100">
        <v>17</v>
      </c>
      <c r="CQ21" s="100">
        <v>1060.8</v>
      </c>
      <c r="CR21" s="100">
        <v>16</v>
      </c>
      <c r="CS21" s="100">
        <v>998.4</v>
      </c>
      <c r="CT21" s="100">
        <v>27</v>
      </c>
      <c r="CU21" s="100">
        <v>1684.8</v>
      </c>
    </row>
    <row r="22" spans="2:99">
      <c r="C22" s="99" t="s">
        <v>188</v>
      </c>
      <c r="D22" s="100">
        <v>24</v>
      </c>
      <c r="E22" s="100">
        <v>4492.7999999999993</v>
      </c>
      <c r="F22" s="100">
        <v>20</v>
      </c>
      <c r="G22" s="100">
        <v>3744</v>
      </c>
      <c r="H22" s="100">
        <v>28</v>
      </c>
      <c r="I22" s="100">
        <v>5241.5999999999995</v>
      </c>
      <c r="J22" s="100">
        <v>15</v>
      </c>
      <c r="K22" s="100">
        <v>2808</v>
      </c>
      <c r="L22" s="100">
        <v>30</v>
      </c>
      <c r="M22" s="100">
        <v>5616</v>
      </c>
      <c r="N22" s="100">
        <v>17</v>
      </c>
      <c r="O22" s="100">
        <v>3182.3999999999996</v>
      </c>
      <c r="P22" s="100">
        <v>27.581912143996661</v>
      </c>
      <c r="Q22" s="100">
        <v>5163.3339533561748</v>
      </c>
      <c r="R22" s="100">
        <v>17</v>
      </c>
      <c r="S22" s="100">
        <v>3182.3999999999996</v>
      </c>
      <c r="T22" s="100">
        <v>20</v>
      </c>
      <c r="U22" s="100">
        <v>3744</v>
      </c>
      <c r="V22" s="100">
        <v>20.571630804143886</v>
      </c>
      <c r="W22" s="100">
        <v>3851.0092865357351</v>
      </c>
      <c r="X22" s="100">
        <v>18.107749125845896</v>
      </c>
      <c r="Y22" s="100">
        <v>3389.7706363583516</v>
      </c>
      <c r="Z22" s="100">
        <v>21.298568131813045</v>
      </c>
      <c r="AA22" s="100">
        <v>3987.0919542754018</v>
      </c>
      <c r="AB22" s="100">
        <v>24</v>
      </c>
      <c r="AC22" s="100">
        <v>4492.7999999999993</v>
      </c>
      <c r="AD22" s="100">
        <v>17.85845253305963</v>
      </c>
      <c r="AE22" s="100">
        <v>3343.1023141887626</v>
      </c>
      <c r="AF22" s="100">
        <v>22</v>
      </c>
      <c r="AG22" s="100">
        <v>4118.3999999999996</v>
      </c>
      <c r="AH22" s="100">
        <v>16</v>
      </c>
      <c r="AI22" s="100">
        <v>2995.2</v>
      </c>
      <c r="AJ22" s="100">
        <v>23</v>
      </c>
      <c r="AK22" s="100">
        <v>4305.5999999999995</v>
      </c>
      <c r="AL22" s="100">
        <v>19</v>
      </c>
      <c r="AM22" s="100">
        <v>3556.7999999999997</v>
      </c>
      <c r="AN22" s="100">
        <v>19</v>
      </c>
      <c r="AO22" s="100">
        <v>3556.7999999999997</v>
      </c>
      <c r="AP22" s="100">
        <v>21</v>
      </c>
      <c r="AQ22" s="100">
        <v>3931.2</v>
      </c>
      <c r="AR22" s="100">
        <v>16</v>
      </c>
      <c r="AS22" s="100">
        <v>2995.2</v>
      </c>
      <c r="AT22" s="100">
        <v>18</v>
      </c>
      <c r="AU22" s="100">
        <v>3369.6</v>
      </c>
      <c r="AV22" s="100">
        <v>16.84741044440926</v>
      </c>
      <c r="AW22" s="100">
        <v>3153.8352351934132</v>
      </c>
      <c r="AX22" s="100">
        <v>19.873362036825164</v>
      </c>
      <c r="AY22" s="100">
        <v>3720.2933732936704</v>
      </c>
      <c r="AZ22" s="100">
        <v>18</v>
      </c>
      <c r="BA22" s="100">
        <v>3369.6</v>
      </c>
      <c r="BB22" s="100">
        <v>19.924797828159207</v>
      </c>
      <c r="BC22" s="100">
        <v>3729.9221534314033</v>
      </c>
      <c r="BD22" s="100">
        <v>26</v>
      </c>
      <c r="BE22" s="100">
        <v>4867.2</v>
      </c>
      <c r="BF22" s="100">
        <v>19</v>
      </c>
      <c r="BG22" s="100">
        <v>3556.7999999999997</v>
      </c>
      <c r="BH22" s="100">
        <v>16</v>
      </c>
      <c r="BI22" s="100">
        <v>2995.2</v>
      </c>
      <c r="BJ22" s="100">
        <v>19</v>
      </c>
      <c r="BK22" s="100">
        <v>3556.7999999999997</v>
      </c>
      <c r="BL22" s="100">
        <v>26</v>
      </c>
      <c r="BM22" s="100">
        <v>4867.2</v>
      </c>
      <c r="BN22" s="100">
        <v>22.625382759797553</v>
      </c>
      <c r="BO22" s="100">
        <v>4235.4716526341017</v>
      </c>
      <c r="BP22" s="100">
        <v>21</v>
      </c>
      <c r="BQ22" s="100">
        <v>3931.2</v>
      </c>
      <c r="BR22" s="100">
        <v>16</v>
      </c>
      <c r="BS22" s="100">
        <v>2995.2</v>
      </c>
      <c r="BT22" s="100">
        <v>26</v>
      </c>
      <c r="BU22" s="100">
        <v>4867.2</v>
      </c>
      <c r="BV22" s="100">
        <v>25.112065478839543</v>
      </c>
      <c r="BW22" s="100">
        <v>4700.9786576387623</v>
      </c>
      <c r="BX22" s="100">
        <v>18</v>
      </c>
      <c r="BY22" s="100">
        <v>3369.6</v>
      </c>
      <c r="BZ22" s="100">
        <v>29</v>
      </c>
      <c r="CA22" s="100">
        <v>5428.7999999999993</v>
      </c>
      <c r="CB22" s="100">
        <v>23</v>
      </c>
      <c r="CC22" s="100">
        <v>4305.5999999999995</v>
      </c>
      <c r="CD22" s="100">
        <v>25</v>
      </c>
      <c r="CE22" s="100">
        <v>4680</v>
      </c>
      <c r="CF22" s="100">
        <v>23</v>
      </c>
      <c r="CG22" s="100">
        <v>4305.5999999999995</v>
      </c>
      <c r="CH22" s="100">
        <v>25.992812839775965</v>
      </c>
      <c r="CI22" s="100">
        <v>4865.8545636060608</v>
      </c>
      <c r="CJ22" s="100">
        <v>17.263891802101757</v>
      </c>
      <c r="CK22" s="100">
        <v>3231.8005453534488</v>
      </c>
      <c r="CL22" s="100">
        <v>26.975109103516047</v>
      </c>
      <c r="CM22" s="100">
        <v>5049.7404241782033</v>
      </c>
      <c r="CN22" s="100">
        <v>21</v>
      </c>
      <c r="CO22" s="100">
        <v>3931.2</v>
      </c>
      <c r="CP22" s="100">
        <v>18</v>
      </c>
      <c r="CQ22" s="100">
        <v>3369.6</v>
      </c>
      <c r="CR22" s="100">
        <v>15</v>
      </c>
      <c r="CS22" s="100">
        <v>2808</v>
      </c>
      <c r="CT22" s="100">
        <v>27</v>
      </c>
      <c r="CU22" s="100">
        <v>5054.3999999999996</v>
      </c>
    </row>
    <row r="23" spans="2:99">
      <c r="C23" s="99" t="s">
        <v>189</v>
      </c>
      <c r="D23" s="100">
        <v>24</v>
      </c>
      <c r="E23" s="100">
        <v>7056</v>
      </c>
      <c r="F23" s="100">
        <v>20</v>
      </c>
      <c r="G23" s="100">
        <v>5880</v>
      </c>
      <c r="H23" s="100">
        <v>24</v>
      </c>
      <c r="I23" s="100">
        <v>7056</v>
      </c>
      <c r="J23" s="100">
        <v>17</v>
      </c>
      <c r="K23" s="100">
        <v>4998</v>
      </c>
      <c r="L23" s="100">
        <v>30</v>
      </c>
      <c r="M23" s="100">
        <v>8820</v>
      </c>
      <c r="N23" s="100">
        <v>17</v>
      </c>
      <c r="O23" s="100">
        <v>4998</v>
      </c>
      <c r="P23" s="100">
        <v>30.435213400272175</v>
      </c>
      <c r="Q23" s="100">
        <v>8947.9527396800204</v>
      </c>
      <c r="R23" s="100">
        <v>15</v>
      </c>
      <c r="S23" s="100">
        <v>4410</v>
      </c>
      <c r="T23" s="100">
        <v>22</v>
      </c>
      <c r="U23" s="100">
        <v>6468</v>
      </c>
      <c r="V23" s="100">
        <v>22.36046826537379</v>
      </c>
      <c r="W23" s="100">
        <v>6573.9776700198945</v>
      </c>
      <c r="X23" s="100">
        <v>20.469629446608401</v>
      </c>
      <c r="Y23" s="100">
        <v>6018.07105730287</v>
      </c>
      <c r="Z23" s="100">
        <v>19.16871131863174</v>
      </c>
      <c r="AA23" s="100">
        <v>5635.6011276777317</v>
      </c>
      <c r="AB23" s="100">
        <v>27</v>
      </c>
      <c r="AC23" s="100">
        <v>7938</v>
      </c>
      <c r="AD23" s="100">
        <v>16.918533978688071</v>
      </c>
      <c r="AE23" s="100">
        <v>4974.0489897342932</v>
      </c>
      <c r="AF23" s="100">
        <v>19</v>
      </c>
      <c r="AG23" s="100">
        <v>5586</v>
      </c>
      <c r="AH23" s="100">
        <v>15</v>
      </c>
      <c r="AI23" s="100">
        <v>4410</v>
      </c>
      <c r="AJ23" s="100">
        <v>24</v>
      </c>
      <c r="AK23" s="100">
        <v>7056</v>
      </c>
      <c r="AL23" s="100">
        <v>18</v>
      </c>
      <c r="AM23" s="100">
        <v>5292</v>
      </c>
      <c r="AN23" s="100">
        <v>18</v>
      </c>
      <c r="AO23" s="100">
        <v>5292</v>
      </c>
      <c r="AP23" s="100">
        <v>19</v>
      </c>
      <c r="AQ23" s="100">
        <v>5586</v>
      </c>
      <c r="AR23" s="100">
        <v>16</v>
      </c>
      <c r="AS23" s="100">
        <v>4704</v>
      </c>
      <c r="AT23" s="100">
        <v>19</v>
      </c>
      <c r="AU23" s="100">
        <v>5586</v>
      </c>
      <c r="AV23" s="100">
        <v>17.783377691320887</v>
      </c>
      <c r="AW23" s="100">
        <v>5228.3130412483406</v>
      </c>
      <c r="AX23" s="100">
        <v>20.776696674862674</v>
      </c>
      <c r="AY23" s="100">
        <v>6108.3488224096263</v>
      </c>
      <c r="AZ23" s="100">
        <v>18</v>
      </c>
      <c r="BA23" s="100">
        <v>5292</v>
      </c>
      <c r="BB23" s="100">
        <v>21.91727761097513</v>
      </c>
      <c r="BC23" s="100">
        <v>6443.679617626688</v>
      </c>
      <c r="BD23" s="100">
        <v>29</v>
      </c>
      <c r="BE23" s="100">
        <v>8526</v>
      </c>
      <c r="BF23" s="100">
        <v>20</v>
      </c>
      <c r="BG23" s="100">
        <v>5880</v>
      </c>
      <c r="BH23" s="100">
        <v>14</v>
      </c>
      <c r="BI23" s="100">
        <v>4116</v>
      </c>
      <c r="BJ23" s="100">
        <v>17</v>
      </c>
      <c r="BK23" s="100">
        <v>4998</v>
      </c>
      <c r="BL23" s="100">
        <v>25</v>
      </c>
      <c r="BM23" s="100">
        <v>7350</v>
      </c>
      <c r="BN23" s="100">
        <v>25.236003847466495</v>
      </c>
      <c r="BO23" s="100">
        <v>7419.3851311551498</v>
      </c>
      <c r="BP23" s="100">
        <v>20</v>
      </c>
      <c r="BQ23" s="100">
        <v>5880</v>
      </c>
      <c r="BR23" s="100">
        <v>18</v>
      </c>
      <c r="BS23" s="100">
        <v>5292</v>
      </c>
      <c r="BT23" s="100">
        <v>26</v>
      </c>
      <c r="BU23" s="100">
        <v>7644</v>
      </c>
      <c r="BV23" s="100">
        <v>24.246132186465765</v>
      </c>
      <c r="BW23" s="100">
        <v>7128.3628628209344</v>
      </c>
      <c r="BX23" s="100">
        <v>17</v>
      </c>
      <c r="BY23" s="100">
        <v>4998</v>
      </c>
      <c r="BZ23" s="100">
        <v>27</v>
      </c>
      <c r="CA23" s="100">
        <v>7938</v>
      </c>
      <c r="CB23" s="100">
        <v>23</v>
      </c>
      <c r="CC23" s="100">
        <v>6762</v>
      </c>
      <c r="CD23" s="100">
        <v>24</v>
      </c>
      <c r="CE23" s="100">
        <v>7056</v>
      </c>
      <c r="CF23" s="100">
        <v>22</v>
      </c>
      <c r="CG23" s="100">
        <v>6468</v>
      </c>
      <c r="CH23" s="100">
        <v>27.918206383463072</v>
      </c>
      <c r="CI23" s="100">
        <v>8207.9526767381431</v>
      </c>
      <c r="CJ23" s="100">
        <v>17.263891802101757</v>
      </c>
      <c r="CK23" s="100">
        <v>5075.584189817916</v>
      </c>
      <c r="CL23" s="100">
        <v>25.340254006333257</v>
      </c>
      <c r="CM23" s="100">
        <v>7450.0346778619778</v>
      </c>
      <c r="CN23" s="100">
        <v>20</v>
      </c>
      <c r="CO23" s="100">
        <v>5880</v>
      </c>
      <c r="CP23" s="100">
        <v>18</v>
      </c>
      <c r="CQ23" s="100">
        <v>5292</v>
      </c>
      <c r="CR23" s="100">
        <v>18</v>
      </c>
      <c r="CS23" s="100">
        <v>5292</v>
      </c>
      <c r="CT23" s="100">
        <v>27</v>
      </c>
      <c r="CU23" s="100">
        <v>7938</v>
      </c>
    </row>
    <row r="24" spans="2:99">
      <c r="C24" s="99" t="s">
        <v>190</v>
      </c>
      <c r="D24" s="100">
        <v>23</v>
      </c>
      <c r="E24" s="100">
        <v>8445.6</v>
      </c>
      <c r="F24" s="100">
        <v>18</v>
      </c>
      <c r="G24" s="100">
        <v>6609.5999999999995</v>
      </c>
      <c r="H24" s="100">
        <v>24</v>
      </c>
      <c r="I24" s="100">
        <v>8812.7999999999993</v>
      </c>
      <c r="J24" s="100">
        <v>15</v>
      </c>
      <c r="K24" s="100">
        <v>5508</v>
      </c>
      <c r="L24" s="100">
        <v>30</v>
      </c>
      <c r="M24" s="100">
        <v>11016</v>
      </c>
      <c r="N24" s="100">
        <v>19</v>
      </c>
      <c r="O24" s="100">
        <v>6976.8</v>
      </c>
      <c r="P24" s="100">
        <v>26.630811725238154</v>
      </c>
      <c r="Q24" s="100">
        <v>9778.8340655074498</v>
      </c>
      <c r="R24" s="100">
        <v>16</v>
      </c>
      <c r="S24" s="100">
        <v>5875.2</v>
      </c>
      <c r="T24" s="100">
        <v>22</v>
      </c>
      <c r="U24" s="100">
        <v>8078.4</v>
      </c>
      <c r="V24" s="100">
        <v>21.466049534758838</v>
      </c>
      <c r="W24" s="100">
        <v>7882.3333891634447</v>
      </c>
      <c r="X24" s="100">
        <v>19.682336006354234</v>
      </c>
      <c r="Y24" s="100">
        <v>7227.3537815332747</v>
      </c>
      <c r="Z24" s="100">
        <v>19.878663589692174</v>
      </c>
      <c r="AA24" s="100">
        <v>7299.4452701349655</v>
      </c>
      <c r="AB24" s="100">
        <v>28</v>
      </c>
      <c r="AC24" s="100">
        <v>10281.6</v>
      </c>
      <c r="AD24" s="100">
        <v>16.918533978688071</v>
      </c>
      <c r="AE24" s="100">
        <v>6212.4856769742591</v>
      </c>
      <c r="AF24" s="100">
        <v>21</v>
      </c>
      <c r="AG24" s="100">
        <v>7711.2</v>
      </c>
      <c r="AH24" s="100">
        <v>16</v>
      </c>
      <c r="AI24" s="100">
        <v>5875.2</v>
      </c>
      <c r="AJ24" s="100">
        <v>25</v>
      </c>
      <c r="AK24" s="100">
        <v>9180</v>
      </c>
      <c r="AL24" s="100">
        <v>20</v>
      </c>
      <c r="AM24" s="100">
        <v>7344</v>
      </c>
      <c r="AN24" s="100">
        <v>16</v>
      </c>
      <c r="AO24" s="100">
        <v>5875.2</v>
      </c>
      <c r="AP24" s="100">
        <v>21</v>
      </c>
      <c r="AQ24" s="100">
        <v>7711.2</v>
      </c>
      <c r="AR24" s="100">
        <v>17</v>
      </c>
      <c r="AS24" s="100">
        <v>6242.4</v>
      </c>
      <c r="AT24" s="100">
        <v>17</v>
      </c>
      <c r="AU24" s="100">
        <v>6242.4</v>
      </c>
      <c r="AV24" s="100">
        <v>15.911443197497633</v>
      </c>
      <c r="AW24" s="100">
        <v>5842.6819421211303</v>
      </c>
      <c r="AX24" s="100">
        <v>19.873362036825164</v>
      </c>
      <c r="AY24" s="100">
        <v>7297.4985399221996</v>
      </c>
      <c r="AZ24" s="100">
        <v>17</v>
      </c>
      <c r="BA24" s="100">
        <v>6242.4</v>
      </c>
      <c r="BB24" s="100">
        <v>20.92103771956717</v>
      </c>
      <c r="BC24" s="100">
        <v>7682.2050506250644</v>
      </c>
      <c r="BD24" s="100">
        <v>28</v>
      </c>
      <c r="BE24" s="100">
        <v>10281.6</v>
      </c>
      <c r="BF24" s="100">
        <v>21</v>
      </c>
      <c r="BG24" s="100">
        <v>7711.2</v>
      </c>
      <c r="BH24" s="100">
        <v>15</v>
      </c>
      <c r="BI24" s="100">
        <v>5508</v>
      </c>
      <c r="BJ24" s="100">
        <v>18</v>
      </c>
      <c r="BK24" s="100">
        <v>6609.5999999999995</v>
      </c>
      <c r="BL24" s="100">
        <v>28</v>
      </c>
      <c r="BM24" s="100">
        <v>10281.6</v>
      </c>
      <c r="BN24" s="100">
        <v>26.106210876689481</v>
      </c>
      <c r="BO24" s="100">
        <v>9586.2006339203763</v>
      </c>
      <c r="BP24" s="100">
        <v>20</v>
      </c>
      <c r="BQ24" s="100">
        <v>7344</v>
      </c>
      <c r="BR24" s="100">
        <v>16</v>
      </c>
      <c r="BS24" s="100">
        <v>5875.2</v>
      </c>
      <c r="BT24" s="100">
        <v>23</v>
      </c>
      <c r="BU24" s="100">
        <v>8445.6</v>
      </c>
      <c r="BV24" s="100">
        <v>29.441731940708429</v>
      </c>
      <c r="BW24" s="100">
        <v>10811.003968628134</v>
      </c>
      <c r="BX24" s="100">
        <v>18</v>
      </c>
      <c r="BY24" s="100">
        <v>6609.5999999999995</v>
      </c>
      <c r="BZ24" s="100">
        <v>30</v>
      </c>
      <c r="CA24" s="100">
        <v>11016</v>
      </c>
      <c r="CB24" s="100">
        <v>20</v>
      </c>
      <c r="CC24" s="100">
        <v>7344</v>
      </c>
      <c r="CD24" s="100">
        <v>25</v>
      </c>
      <c r="CE24" s="100">
        <v>9180</v>
      </c>
      <c r="CF24" s="100">
        <v>23</v>
      </c>
      <c r="CG24" s="100">
        <v>8445.6</v>
      </c>
      <c r="CH24" s="100">
        <v>27.918206383463072</v>
      </c>
      <c r="CI24" s="100">
        <v>10251.565384007639</v>
      </c>
      <c r="CJ24" s="100">
        <v>18.222996902218522</v>
      </c>
      <c r="CK24" s="100">
        <v>6691.4844624946409</v>
      </c>
      <c r="CL24" s="100">
        <v>23.705398909150468</v>
      </c>
      <c r="CM24" s="100">
        <v>8704.6224794400514</v>
      </c>
      <c r="CN24" s="100">
        <v>19</v>
      </c>
      <c r="CO24" s="100">
        <v>6976.8</v>
      </c>
      <c r="CP24" s="100">
        <v>15</v>
      </c>
      <c r="CQ24" s="100">
        <v>5508</v>
      </c>
      <c r="CR24" s="100">
        <v>18</v>
      </c>
      <c r="CS24" s="100">
        <v>6609.5999999999995</v>
      </c>
      <c r="CT24" s="100">
        <v>25</v>
      </c>
      <c r="CU24" s="100">
        <v>9180</v>
      </c>
    </row>
    <row r="25" spans="2:99">
      <c r="C25" s="99" t="s">
        <v>191</v>
      </c>
      <c r="D25" s="100">
        <v>22</v>
      </c>
      <c r="E25" s="100">
        <v>11668.8</v>
      </c>
      <c r="F25" s="100">
        <v>19</v>
      </c>
      <c r="G25" s="100">
        <v>10077.6</v>
      </c>
      <c r="H25" s="100">
        <v>25</v>
      </c>
      <c r="I25" s="100">
        <v>13260</v>
      </c>
      <c r="J25" s="100">
        <v>16</v>
      </c>
      <c r="K25" s="100">
        <v>8486.4</v>
      </c>
      <c r="L25" s="100">
        <v>26</v>
      </c>
      <c r="M25" s="100">
        <v>13790.4</v>
      </c>
      <c r="N25" s="100">
        <v>17</v>
      </c>
      <c r="O25" s="100">
        <v>9016.7999999999993</v>
      </c>
      <c r="P25" s="100">
        <v>25.67971130647965</v>
      </c>
      <c r="Q25" s="100">
        <v>13620.518876956805</v>
      </c>
      <c r="R25" s="100">
        <v>15</v>
      </c>
      <c r="S25" s="100">
        <v>7956</v>
      </c>
      <c r="T25" s="100">
        <v>18</v>
      </c>
      <c r="U25" s="100">
        <v>9547.1999999999989</v>
      </c>
      <c r="V25" s="100">
        <v>19.677212073528935</v>
      </c>
      <c r="W25" s="100">
        <v>10436.793283799747</v>
      </c>
      <c r="X25" s="100">
        <v>17.320455685591725</v>
      </c>
      <c r="Y25" s="100">
        <v>9186.7696956378495</v>
      </c>
      <c r="Z25" s="100">
        <v>18.458759047571306</v>
      </c>
      <c r="AA25" s="100">
        <v>9790.5257988318208</v>
      </c>
      <c r="AB25" s="100">
        <v>26</v>
      </c>
      <c r="AC25" s="100">
        <v>13790.4</v>
      </c>
      <c r="AD25" s="100">
        <v>17.85845253305963</v>
      </c>
      <c r="AE25" s="100">
        <v>9472.123223534827</v>
      </c>
      <c r="AF25" s="100">
        <v>19</v>
      </c>
      <c r="AG25" s="100">
        <v>10077.6</v>
      </c>
      <c r="AH25" s="100">
        <v>16</v>
      </c>
      <c r="AI25" s="100">
        <v>8486.4</v>
      </c>
      <c r="AJ25" s="100">
        <v>24</v>
      </c>
      <c r="AK25" s="100">
        <v>12729.599999999999</v>
      </c>
      <c r="AL25" s="100">
        <v>18</v>
      </c>
      <c r="AM25" s="100">
        <v>9547.1999999999989</v>
      </c>
      <c r="AN25" s="100">
        <v>15</v>
      </c>
      <c r="AO25" s="100">
        <v>7956</v>
      </c>
      <c r="AP25" s="100">
        <v>18</v>
      </c>
      <c r="AQ25" s="100">
        <v>9547.1999999999989</v>
      </c>
      <c r="AR25" s="100">
        <v>15</v>
      </c>
      <c r="AS25" s="100">
        <v>7956</v>
      </c>
      <c r="AT25" s="100">
        <v>19</v>
      </c>
      <c r="AU25" s="100">
        <v>10077.6</v>
      </c>
      <c r="AV25" s="100">
        <v>16.84741044440926</v>
      </c>
      <c r="AW25" s="100">
        <v>8935.8664997146716</v>
      </c>
      <c r="AX25" s="100">
        <v>20.776696674862674</v>
      </c>
      <c r="AY25" s="100">
        <v>11019.959916347161</v>
      </c>
      <c r="AZ25" s="100">
        <v>15</v>
      </c>
      <c r="BA25" s="100">
        <v>7956</v>
      </c>
      <c r="BB25" s="100">
        <v>18.92855793675125</v>
      </c>
      <c r="BC25" s="100">
        <v>10039.707129652863</v>
      </c>
      <c r="BD25" s="100">
        <v>27</v>
      </c>
      <c r="BE25" s="100">
        <v>14320.8</v>
      </c>
      <c r="BF25" s="100">
        <v>20</v>
      </c>
      <c r="BG25" s="100">
        <v>10608</v>
      </c>
      <c r="BH25" s="100">
        <v>14</v>
      </c>
      <c r="BI25" s="100">
        <v>7425.5999999999995</v>
      </c>
      <c r="BJ25" s="100">
        <v>17</v>
      </c>
      <c r="BK25" s="100">
        <v>9016.7999999999993</v>
      </c>
      <c r="BL25" s="100">
        <v>28</v>
      </c>
      <c r="BM25" s="100">
        <v>14851.199999999999</v>
      </c>
      <c r="BN25" s="100">
        <v>24.365796818243517</v>
      </c>
      <c r="BO25" s="100">
        <v>12923.618632396361</v>
      </c>
      <c r="BP25" s="100">
        <v>20</v>
      </c>
      <c r="BQ25" s="100">
        <v>10608</v>
      </c>
      <c r="BR25" s="100">
        <v>18</v>
      </c>
      <c r="BS25" s="100">
        <v>9547.1999999999989</v>
      </c>
      <c r="BT25" s="100">
        <v>25</v>
      </c>
      <c r="BU25" s="100">
        <v>13260</v>
      </c>
      <c r="BV25" s="100">
        <v>26.843932063587097</v>
      </c>
      <c r="BW25" s="100">
        <v>14238.021566526595</v>
      </c>
      <c r="BX25" s="100">
        <v>18</v>
      </c>
      <c r="BY25" s="100">
        <v>9547.1999999999989</v>
      </c>
      <c r="BZ25" s="100">
        <v>29</v>
      </c>
      <c r="CA25" s="100">
        <v>15381.599999999999</v>
      </c>
      <c r="CB25" s="100">
        <v>21</v>
      </c>
      <c r="CC25" s="100">
        <v>11138.4</v>
      </c>
      <c r="CD25" s="100">
        <v>22</v>
      </c>
      <c r="CE25" s="100">
        <v>11668.8</v>
      </c>
      <c r="CF25" s="100">
        <v>24</v>
      </c>
      <c r="CG25" s="100">
        <v>12729.599999999999</v>
      </c>
      <c r="CH25" s="100">
        <v>24.067419296088858</v>
      </c>
      <c r="CI25" s="100">
        <v>12765.359194645529</v>
      </c>
      <c r="CJ25" s="100">
        <v>20.14120710245205</v>
      </c>
      <c r="CK25" s="100">
        <v>10682.896247140567</v>
      </c>
      <c r="CL25" s="100">
        <v>24.522826457741861</v>
      </c>
      <c r="CM25" s="100">
        <v>13006.907153186283</v>
      </c>
      <c r="CN25" s="100">
        <v>22</v>
      </c>
      <c r="CO25" s="100">
        <v>11668.8</v>
      </c>
      <c r="CP25" s="100">
        <v>15</v>
      </c>
      <c r="CQ25" s="100">
        <v>7956</v>
      </c>
      <c r="CR25" s="100">
        <v>17</v>
      </c>
      <c r="CS25" s="100">
        <v>9016.7999999999993</v>
      </c>
      <c r="CT25" s="100">
        <v>23</v>
      </c>
      <c r="CU25" s="100">
        <v>12199.199999999999</v>
      </c>
    </row>
    <row r="26" spans="2:99">
      <c r="C26" s="99" t="s">
        <v>192</v>
      </c>
      <c r="D26" s="100">
        <v>21</v>
      </c>
      <c r="E26" s="100">
        <v>10206</v>
      </c>
      <c r="F26" s="100">
        <v>17</v>
      </c>
      <c r="G26" s="100">
        <v>8262</v>
      </c>
      <c r="H26" s="100">
        <v>26</v>
      </c>
      <c r="I26" s="100">
        <v>12636</v>
      </c>
      <c r="J26" s="100">
        <v>14</v>
      </c>
      <c r="K26" s="100">
        <v>6804</v>
      </c>
      <c r="L26" s="100">
        <v>26</v>
      </c>
      <c r="M26" s="100">
        <v>12636</v>
      </c>
      <c r="N26" s="100">
        <v>18</v>
      </c>
      <c r="O26" s="100">
        <v>8748</v>
      </c>
      <c r="P26" s="100">
        <v>28.533012562755168</v>
      </c>
      <c r="Q26" s="100">
        <v>13867.044105499011</v>
      </c>
      <c r="R26" s="100">
        <v>14</v>
      </c>
      <c r="S26" s="100">
        <v>6804</v>
      </c>
      <c r="T26" s="100">
        <v>21</v>
      </c>
      <c r="U26" s="100">
        <v>10206</v>
      </c>
      <c r="V26" s="100">
        <v>21.466049534758838</v>
      </c>
      <c r="W26" s="100">
        <v>10432.500073892796</v>
      </c>
      <c r="X26" s="100">
        <v>17.320455685591725</v>
      </c>
      <c r="Y26" s="100">
        <v>8417.7414631975789</v>
      </c>
      <c r="Z26" s="100">
        <v>19.16871131863174</v>
      </c>
      <c r="AA26" s="100">
        <v>9315.993700855026</v>
      </c>
      <c r="AB26" s="100">
        <v>27</v>
      </c>
      <c r="AC26" s="100">
        <v>13122</v>
      </c>
      <c r="AD26" s="100">
        <v>16.918533978688071</v>
      </c>
      <c r="AE26" s="100">
        <v>8222.4075136424017</v>
      </c>
      <c r="AF26" s="100">
        <v>21</v>
      </c>
      <c r="AG26" s="100">
        <v>10206</v>
      </c>
      <c r="AH26" s="100">
        <v>16</v>
      </c>
      <c r="AI26" s="100">
        <v>7776</v>
      </c>
      <c r="AJ26" s="100">
        <v>22</v>
      </c>
      <c r="AK26" s="100">
        <v>10692</v>
      </c>
      <c r="AL26" s="100">
        <v>19</v>
      </c>
      <c r="AM26" s="100">
        <v>9234</v>
      </c>
      <c r="AN26" s="100">
        <v>17</v>
      </c>
      <c r="AO26" s="100">
        <v>8262</v>
      </c>
      <c r="AP26" s="100">
        <v>20</v>
      </c>
      <c r="AQ26" s="100">
        <v>9720</v>
      </c>
      <c r="AR26" s="100">
        <v>17</v>
      </c>
      <c r="AS26" s="100">
        <v>8262</v>
      </c>
      <c r="AT26" s="100">
        <v>18</v>
      </c>
      <c r="AU26" s="100">
        <v>8748</v>
      </c>
      <c r="AV26" s="100">
        <v>17.783377691320887</v>
      </c>
      <c r="AW26" s="100">
        <v>8642.7215579819513</v>
      </c>
      <c r="AX26" s="100">
        <v>18.970027398787657</v>
      </c>
      <c r="AY26" s="100">
        <v>9219.433315810802</v>
      </c>
      <c r="AZ26" s="100">
        <v>17</v>
      </c>
      <c r="BA26" s="100">
        <v>8262</v>
      </c>
      <c r="BB26" s="100">
        <v>21.91727761097513</v>
      </c>
      <c r="BC26" s="100">
        <v>10651.796918933913</v>
      </c>
      <c r="BD26" s="100">
        <v>25</v>
      </c>
      <c r="BE26" s="100">
        <v>12150</v>
      </c>
      <c r="BF26" s="100">
        <v>21</v>
      </c>
      <c r="BG26" s="100">
        <v>10206</v>
      </c>
      <c r="BH26" s="100">
        <v>17</v>
      </c>
      <c r="BI26" s="100">
        <v>8262</v>
      </c>
      <c r="BJ26" s="100">
        <v>17</v>
      </c>
      <c r="BK26" s="100">
        <v>8262</v>
      </c>
      <c r="BL26" s="100">
        <v>25</v>
      </c>
      <c r="BM26" s="100">
        <v>12150</v>
      </c>
      <c r="BN26" s="100">
        <v>21.755175730574567</v>
      </c>
      <c r="BO26" s="100">
        <v>10573.015405059239</v>
      </c>
      <c r="BP26" s="100">
        <v>18</v>
      </c>
      <c r="BQ26" s="100">
        <v>8748</v>
      </c>
      <c r="BR26" s="100">
        <v>17</v>
      </c>
      <c r="BS26" s="100">
        <v>8262</v>
      </c>
      <c r="BT26" s="100">
        <v>26</v>
      </c>
      <c r="BU26" s="100">
        <v>12636</v>
      </c>
      <c r="BV26" s="100">
        <v>26.843932063587097</v>
      </c>
      <c r="BW26" s="100">
        <v>13046.150982903329</v>
      </c>
      <c r="BX26" s="100">
        <v>18</v>
      </c>
      <c r="BY26" s="100">
        <v>8748</v>
      </c>
      <c r="BZ26" s="100">
        <v>26</v>
      </c>
      <c r="CA26" s="100">
        <v>12636</v>
      </c>
      <c r="CB26" s="100">
        <v>19</v>
      </c>
      <c r="CC26" s="100">
        <v>9234</v>
      </c>
      <c r="CD26" s="100">
        <v>25</v>
      </c>
      <c r="CE26" s="100">
        <v>12150</v>
      </c>
      <c r="CF26" s="100">
        <v>26</v>
      </c>
      <c r="CG26" s="100">
        <v>12636</v>
      </c>
      <c r="CH26" s="100">
        <v>27.918206383463072</v>
      </c>
      <c r="CI26" s="100">
        <v>13568.248302363054</v>
      </c>
      <c r="CJ26" s="100">
        <v>17.263891802101757</v>
      </c>
      <c r="CK26" s="100">
        <v>8390.2514158214544</v>
      </c>
      <c r="CL26" s="100">
        <v>22.887971360559071</v>
      </c>
      <c r="CM26" s="100">
        <v>11123.554081231709</v>
      </c>
      <c r="CN26" s="100">
        <v>21</v>
      </c>
      <c r="CO26" s="100">
        <v>10206</v>
      </c>
      <c r="CP26" s="100">
        <v>17</v>
      </c>
      <c r="CQ26" s="100">
        <v>8262</v>
      </c>
      <c r="CR26" s="100">
        <v>16</v>
      </c>
      <c r="CS26" s="100">
        <v>7776</v>
      </c>
      <c r="CT26" s="100">
        <v>24</v>
      </c>
      <c r="CU26" s="100">
        <v>11664</v>
      </c>
    </row>
    <row r="27" spans="2:99">
      <c r="C27" s="99" t="s">
        <v>193</v>
      </c>
      <c r="D27" s="100">
        <v>22</v>
      </c>
      <c r="E27" s="100">
        <v>9398.4</v>
      </c>
      <c r="F27" s="100">
        <v>18</v>
      </c>
      <c r="G27" s="100">
        <v>7689.5999999999995</v>
      </c>
      <c r="H27" s="100">
        <v>25</v>
      </c>
      <c r="I27" s="100">
        <v>10680</v>
      </c>
      <c r="J27" s="100">
        <v>16</v>
      </c>
      <c r="K27" s="100">
        <v>6835.2</v>
      </c>
      <c r="L27" s="100">
        <v>26</v>
      </c>
      <c r="M27" s="100">
        <v>11107.199999999999</v>
      </c>
      <c r="N27" s="100">
        <v>19</v>
      </c>
      <c r="O27" s="100">
        <v>8116.8</v>
      </c>
      <c r="P27" s="100">
        <v>25.67971130647965</v>
      </c>
      <c r="Q27" s="100">
        <v>10970.372670128107</v>
      </c>
      <c r="R27" s="100">
        <v>16</v>
      </c>
      <c r="S27" s="100">
        <v>6835.2</v>
      </c>
      <c r="T27" s="100">
        <v>21</v>
      </c>
      <c r="U27" s="100">
        <v>8971.1999999999989</v>
      </c>
      <c r="V27" s="100">
        <v>19.677212073528935</v>
      </c>
      <c r="W27" s="100">
        <v>8406.1049978115607</v>
      </c>
      <c r="X27" s="100">
        <v>16.533162245337557</v>
      </c>
      <c r="Y27" s="100">
        <v>7062.9669112082047</v>
      </c>
      <c r="Z27" s="100">
        <v>19.878663589692174</v>
      </c>
      <c r="AA27" s="100">
        <v>8492.1650855164971</v>
      </c>
      <c r="AB27" s="100">
        <v>28</v>
      </c>
      <c r="AC27" s="100">
        <v>11961.6</v>
      </c>
      <c r="AD27" s="100">
        <v>19.738289641802751</v>
      </c>
      <c r="AE27" s="100">
        <v>8432.1973349781347</v>
      </c>
      <c r="AF27" s="100">
        <v>20</v>
      </c>
      <c r="AG27" s="100">
        <v>8544</v>
      </c>
      <c r="AH27" s="100">
        <v>15</v>
      </c>
      <c r="AI27" s="100">
        <v>6408</v>
      </c>
      <c r="AJ27" s="100">
        <v>22</v>
      </c>
      <c r="AK27" s="100">
        <v>9398.4</v>
      </c>
      <c r="AL27" s="100">
        <v>19</v>
      </c>
      <c r="AM27" s="100">
        <v>8116.8</v>
      </c>
      <c r="AN27" s="100">
        <v>16</v>
      </c>
      <c r="AO27" s="100">
        <v>6835.2</v>
      </c>
      <c r="AP27" s="100">
        <v>22</v>
      </c>
      <c r="AQ27" s="100">
        <v>9398.4</v>
      </c>
      <c r="AR27" s="100">
        <v>18</v>
      </c>
      <c r="AS27" s="100">
        <v>7689.5999999999995</v>
      </c>
      <c r="AT27" s="100">
        <v>19</v>
      </c>
      <c r="AU27" s="100">
        <v>8116.8</v>
      </c>
      <c r="AV27" s="100">
        <v>18.71934493823251</v>
      </c>
      <c r="AW27" s="100">
        <v>7996.9041576129284</v>
      </c>
      <c r="AX27" s="100">
        <v>18.970027398787657</v>
      </c>
      <c r="AY27" s="100">
        <v>8103.9957047620865</v>
      </c>
      <c r="AZ27" s="100">
        <v>17</v>
      </c>
      <c r="BA27" s="100">
        <v>7262.4</v>
      </c>
      <c r="BB27" s="100">
        <v>18.92855793675125</v>
      </c>
      <c r="BC27" s="100">
        <v>8086.279950580134</v>
      </c>
      <c r="BD27" s="100">
        <v>26</v>
      </c>
      <c r="BE27" s="100">
        <v>11107.199999999999</v>
      </c>
      <c r="BF27" s="100">
        <v>21</v>
      </c>
      <c r="BG27" s="100">
        <v>8971.1999999999989</v>
      </c>
      <c r="BH27" s="100">
        <v>15</v>
      </c>
      <c r="BI27" s="100">
        <v>6408</v>
      </c>
      <c r="BJ27" s="100">
        <v>19</v>
      </c>
      <c r="BK27" s="100">
        <v>8116.8</v>
      </c>
      <c r="BL27" s="100">
        <v>23</v>
      </c>
      <c r="BM27" s="100">
        <v>9825.6</v>
      </c>
      <c r="BN27" s="100">
        <v>21.755175730574567</v>
      </c>
      <c r="BO27" s="100">
        <v>9293.8110721014546</v>
      </c>
      <c r="BP27" s="100">
        <v>20</v>
      </c>
      <c r="BQ27" s="100">
        <v>8544</v>
      </c>
      <c r="BR27" s="100">
        <v>16</v>
      </c>
      <c r="BS27" s="100">
        <v>6835.2</v>
      </c>
      <c r="BT27" s="100">
        <v>23</v>
      </c>
      <c r="BU27" s="100">
        <v>9825.6</v>
      </c>
      <c r="BV27" s="100">
        <v>25.977998771213318</v>
      </c>
      <c r="BW27" s="100">
        <v>11097.801075062329</v>
      </c>
      <c r="BX27" s="100">
        <v>17</v>
      </c>
      <c r="BY27" s="100">
        <v>7262.4</v>
      </c>
      <c r="BZ27" s="100">
        <v>30</v>
      </c>
      <c r="CA27" s="100">
        <v>12816</v>
      </c>
      <c r="CB27" s="100">
        <v>20</v>
      </c>
      <c r="CC27" s="100">
        <v>8544</v>
      </c>
      <c r="CD27" s="100">
        <v>24</v>
      </c>
      <c r="CE27" s="100">
        <v>10252.799999999999</v>
      </c>
      <c r="CF27" s="100">
        <v>22</v>
      </c>
      <c r="CG27" s="100">
        <v>9398.4</v>
      </c>
      <c r="CH27" s="100">
        <v>27.918206383463072</v>
      </c>
      <c r="CI27" s="100">
        <v>11926.657767015424</v>
      </c>
      <c r="CJ27" s="100">
        <v>17.263891802101757</v>
      </c>
      <c r="CK27" s="100">
        <v>7375.1345778578707</v>
      </c>
      <c r="CL27" s="100">
        <v>24.522826457741861</v>
      </c>
      <c r="CM27" s="100">
        <v>10476.151462747323</v>
      </c>
      <c r="CN27" s="100">
        <v>20</v>
      </c>
      <c r="CO27" s="100">
        <v>8544</v>
      </c>
      <c r="CP27" s="100">
        <v>16</v>
      </c>
      <c r="CQ27" s="100">
        <v>6835.2</v>
      </c>
      <c r="CR27" s="100">
        <v>17</v>
      </c>
      <c r="CS27" s="100">
        <v>7262.4</v>
      </c>
      <c r="CT27" s="100">
        <v>27</v>
      </c>
      <c r="CU27" s="100">
        <v>11534.4</v>
      </c>
    </row>
    <row r="28" spans="2:99">
      <c r="C28" s="99" t="s">
        <v>194</v>
      </c>
      <c r="D28" s="100">
        <v>21</v>
      </c>
      <c r="E28" s="100">
        <v>15498</v>
      </c>
      <c r="F28" s="100">
        <v>17</v>
      </c>
      <c r="G28" s="100">
        <v>12546</v>
      </c>
      <c r="H28" s="100">
        <v>23</v>
      </c>
      <c r="I28" s="100">
        <v>16974</v>
      </c>
      <c r="J28" s="100">
        <v>14</v>
      </c>
      <c r="K28" s="100">
        <v>10332</v>
      </c>
      <c r="L28" s="100">
        <v>27</v>
      </c>
      <c r="M28" s="100">
        <v>19926</v>
      </c>
      <c r="N28" s="100">
        <v>18</v>
      </c>
      <c r="O28" s="100">
        <v>13284</v>
      </c>
      <c r="P28" s="100">
        <v>25.67971130647965</v>
      </c>
      <c r="Q28" s="100">
        <v>18951.626944181982</v>
      </c>
      <c r="R28" s="100">
        <v>15</v>
      </c>
      <c r="S28" s="100">
        <v>11070</v>
      </c>
      <c r="T28" s="100">
        <v>19</v>
      </c>
      <c r="U28" s="100">
        <v>14022</v>
      </c>
      <c r="V28" s="100">
        <v>19.677212073528935</v>
      </c>
      <c r="W28" s="100">
        <v>14521.782510264355</v>
      </c>
      <c r="X28" s="100">
        <v>16.533162245337557</v>
      </c>
      <c r="Y28" s="100">
        <v>12201.473737059117</v>
      </c>
      <c r="Z28" s="100">
        <v>19.878663589692174</v>
      </c>
      <c r="AA28" s="100">
        <v>14670.453729192825</v>
      </c>
      <c r="AB28" s="100">
        <v>27</v>
      </c>
      <c r="AC28" s="100">
        <v>19926</v>
      </c>
      <c r="AD28" s="100">
        <v>15.978615424316512</v>
      </c>
      <c r="AE28" s="100">
        <v>11792.218183145585</v>
      </c>
      <c r="AF28" s="100">
        <v>20</v>
      </c>
      <c r="AG28" s="100">
        <v>14760</v>
      </c>
      <c r="AH28" s="100">
        <v>14</v>
      </c>
      <c r="AI28" s="100">
        <v>10332</v>
      </c>
      <c r="AJ28" s="100">
        <v>22</v>
      </c>
      <c r="AK28" s="100">
        <v>16236</v>
      </c>
      <c r="AL28" s="100">
        <v>18</v>
      </c>
      <c r="AM28" s="100">
        <v>13284</v>
      </c>
      <c r="AN28" s="100">
        <v>18</v>
      </c>
      <c r="AO28" s="100">
        <v>13284</v>
      </c>
      <c r="AP28" s="100">
        <v>18</v>
      </c>
      <c r="AQ28" s="100">
        <v>13284</v>
      </c>
      <c r="AR28" s="100">
        <v>15</v>
      </c>
      <c r="AS28" s="100">
        <v>11070</v>
      </c>
      <c r="AT28" s="100">
        <v>19</v>
      </c>
      <c r="AU28" s="100">
        <v>14022</v>
      </c>
      <c r="AV28" s="100">
        <v>15.911443197497633</v>
      </c>
      <c r="AW28" s="100">
        <v>11742.645079753253</v>
      </c>
      <c r="AX28" s="100">
        <v>18.066692760750151</v>
      </c>
      <c r="AY28" s="100">
        <v>13333.219257433611</v>
      </c>
      <c r="AZ28" s="100">
        <v>16</v>
      </c>
      <c r="BA28" s="100">
        <v>11808</v>
      </c>
      <c r="BB28" s="100">
        <v>18.92855793675125</v>
      </c>
      <c r="BC28" s="100">
        <v>13969.275757322423</v>
      </c>
      <c r="BD28" s="100">
        <v>26</v>
      </c>
      <c r="BE28" s="100">
        <v>19188</v>
      </c>
      <c r="BF28" s="100">
        <v>18</v>
      </c>
      <c r="BG28" s="100">
        <v>13284</v>
      </c>
      <c r="BH28" s="100">
        <v>15</v>
      </c>
      <c r="BI28" s="100">
        <v>11070</v>
      </c>
      <c r="BJ28" s="100">
        <v>18</v>
      </c>
      <c r="BK28" s="100">
        <v>13284</v>
      </c>
      <c r="BL28" s="100">
        <v>25</v>
      </c>
      <c r="BM28" s="100">
        <v>18450</v>
      </c>
      <c r="BN28" s="100">
        <v>25.236003847466495</v>
      </c>
      <c r="BO28" s="100">
        <v>18624.170839430273</v>
      </c>
      <c r="BP28" s="100">
        <v>18</v>
      </c>
      <c r="BQ28" s="100">
        <v>13284</v>
      </c>
      <c r="BR28" s="100">
        <v>17</v>
      </c>
      <c r="BS28" s="100">
        <v>12546</v>
      </c>
      <c r="BT28" s="100">
        <v>22</v>
      </c>
      <c r="BU28" s="100">
        <v>16236</v>
      </c>
      <c r="BV28" s="100">
        <v>27.709865355960876</v>
      </c>
      <c r="BW28" s="100">
        <v>20449.880632699125</v>
      </c>
      <c r="BX28" s="100">
        <v>18</v>
      </c>
      <c r="BY28" s="100">
        <v>13284</v>
      </c>
      <c r="BZ28" s="100">
        <v>28</v>
      </c>
      <c r="CA28" s="100">
        <v>20664</v>
      </c>
      <c r="CB28" s="100">
        <v>19</v>
      </c>
      <c r="CC28" s="100">
        <v>14022</v>
      </c>
      <c r="CD28" s="100">
        <v>22</v>
      </c>
      <c r="CE28" s="100">
        <v>16236</v>
      </c>
      <c r="CF28" s="100">
        <v>23</v>
      </c>
      <c r="CG28" s="100">
        <v>16974</v>
      </c>
      <c r="CH28" s="100">
        <v>27.918206383463072</v>
      </c>
      <c r="CI28" s="100">
        <v>20603.636310995749</v>
      </c>
      <c r="CJ28" s="100">
        <v>19.182102002335288</v>
      </c>
      <c r="CK28" s="100">
        <v>14156.391277723442</v>
      </c>
      <c r="CL28" s="100">
        <v>26.157681554924654</v>
      </c>
      <c r="CM28" s="100">
        <v>19304.368987534395</v>
      </c>
      <c r="CN28" s="100">
        <v>20</v>
      </c>
      <c r="CO28" s="100">
        <v>14760</v>
      </c>
      <c r="CP28" s="100">
        <v>15</v>
      </c>
      <c r="CQ28" s="100">
        <v>11070</v>
      </c>
      <c r="CR28" s="100">
        <v>17</v>
      </c>
      <c r="CS28" s="100">
        <v>12546</v>
      </c>
      <c r="CT28" s="100">
        <v>24</v>
      </c>
      <c r="CU28" s="100">
        <v>17712</v>
      </c>
    </row>
    <row r="29" spans="2:99">
      <c r="C29" s="99" t="s">
        <v>195</v>
      </c>
      <c r="D29" s="100">
        <v>22</v>
      </c>
      <c r="E29" s="100">
        <v>7444.7999999999993</v>
      </c>
      <c r="F29" s="100">
        <v>17</v>
      </c>
      <c r="G29" s="100">
        <v>5752.7999999999993</v>
      </c>
      <c r="H29" s="100">
        <v>22</v>
      </c>
      <c r="I29" s="100">
        <v>7444.7999999999993</v>
      </c>
      <c r="J29" s="100">
        <v>16</v>
      </c>
      <c r="K29" s="100">
        <v>5414.4</v>
      </c>
      <c r="L29" s="100">
        <v>31</v>
      </c>
      <c r="M29" s="100">
        <v>10490.4</v>
      </c>
      <c r="N29" s="100">
        <v>17</v>
      </c>
      <c r="O29" s="100">
        <v>5752.7999999999993</v>
      </c>
      <c r="P29" s="100">
        <v>28.533012562755168</v>
      </c>
      <c r="Q29" s="100">
        <v>9655.5714512363484</v>
      </c>
      <c r="R29" s="100">
        <v>15</v>
      </c>
      <c r="S29" s="100">
        <v>5076</v>
      </c>
      <c r="T29" s="100">
        <v>21</v>
      </c>
      <c r="U29" s="100">
        <v>7106.4</v>
      </c>
      <c r="V29" s="100">
        <v>23.254886995988741</v>
      </c>
      <c r="W29" s="100">
        <v>7869.4537594425892</v>
      </c>
      <c r="X29" s="100">
        <v>20.469629446608401</v>
      </c>
      <c r="Y29" s="100">
        <v>6926.9226047322827</v>
      </c>
      <c r="Z29" s="100">
        <v>18.458759047571306</v>
      </c>
      <c r="AA29" s="100">
        <v>6246.4440616981292</v>
      </c>
      <c r="AB29" s="100">
        <v>25</v>
      </c>
      <c r="AC29" s="100">
        <v>8460</v>
      </c>
      <c r="AD29" s="100">
        <v>17.85845253305963</v>
      </c>
      <c r="AE29" s="100">
        <v>6043.3003371873783</v>
      </c>
      <c r="AF29" s="100">
        <v>19</v>
      </c>
      <c r="AG29" s="100">
        <v>6429.5999999999995</v>
      </c>
      <c r="AH29" s="100">
        <v>15</v>
      </c>
      <c r="AI29" s="100">
        <v>5076</v>
      </c>
      <c r="AJ29" s="100">
        <v>21</v>
      </c>
      <c r="AK29" s="100">
        <v>7106.4</v>
      </c>
      <c r="AL29" s="100">
        <v>20</v>
      </c>
      <c r="AM29" s="100">
        <v>6768</v>
      </c>
      <c r="AN29" s="100">
        <v>16</v>
      </c>
      <c r="AO29" s="100">
        <v>5414.4</v>
      </c>
      <c r="AP29" s="100">
        <v>20</v>
      </c>
      <c r="AQ29" s="100">
        <v>6768</v>
      </c>
      <c r="AR29" s="100">
        <v>16</v>
      </c>
      <c r="AS29" s="100">
        <v>5414.4</v>
      </c>
      <c r="AT29" s="100">
        <v>20</v>
      </c>
      <c r="AU29" s="100">
        <v>6768</v>
      </c>
      <c r="AV29" s="100">
        <v>18.71934493823251</v>
      </c>
      <c r="AW29" s="100">
        <v>6334.6263270978807</v>
      </c>
      <c r="AX29" s="100">
        <v>19.873362036825164</v>
      </c>
      <c r="AY29" s="100">
        <v>6725.1457132616351</v>
      </c>
      <c r="AZ29" s="100">
        <v>16</v>
      </c>
      <c r="BA29" s="100">
        <v>5414.4</v>
      </c>
      <c r="BB29" s="100">
        <v>22.913517502383094</v>
      </c>
      <c r="BC29" s="100">
        <v>7753.9343228064381</v>
      </c>
      <c r="BD29" s="100">
        <v>27</v>
      </c>
      <c r="BE29" s="100">
        <v>9136.7999999999993</v>
      </c>
      <c r="BF29" s="100">
        <v>22</v>
      </c>
      <c r="BG29" s="100">
        <v>7444.7999999999993</v>
      </c>
      <c r="BH29" s="100">
        <v>16</v>
      </c>
      <c r="BI29" s="100">
        <v>5414.4</v>
      </c>
      <c r="BJ29" s="100">
        <v>19</v>
      </c>
      <c r="BK29" s="100">
        <v>6429.5999999999995</v>
      </c>
      <c r="BL29" s="100">
        <v>28</v>
      </c>
      <c r="BM29" s="100">
        <v>9475.1999999999989</v>
      </c>
      <c r="BN29" s="100">
        <v>22.625382759797553</v>
      </c>
      <c r="BO29" s="100">
        <v>7656.4295259154915</v>
      </c>
      <c r="BP29" s="100">
        <v>21</v>
      </c>
      <c r="BQ29" s="100">
        <v>7106.4</v>
      </c>
      <c r="BR29" s="100">
        <v>17</v>
      </c>
      <c r="BS29" s="100">
        <v>5752.7999999999993</v>
      </c>
      <c r="BT29" s="100">
        <v>24</v>
      </c>
      <c r="BU29" s="100">
        <v>8121.5999999999995</v>
      </c>
      <c r="BV29" s="100">
        <v>26.843932063587097</v>
      </c>
      <c r="BW29" s="100">
        <v>9083.9866103178738</v>
      </c>
      <c r="BX29" s="100">
        <v>16</v>
      </c>
      <c r="BY29" s="100">
        <v>5414.4</v>
      </c>
      <c r="BZ29" s="100">
        <v>28</v>
      </c>
      <c r="CA29" s="100">
        <v>9475.1999999999989</v>
      </c>
      <c r="CB29" s="100">
        <v>22</v>
      </c>
      <c r="CC29" s="100">
        <v>7444.7999999999993</v>
      </c>
      <c r="CD29" s="100">
        <v>25</v>
      </c>
      <c r="CE29" s="100">
        <v>8460</v>
      </c>
      <c r="CF29" s="100">
        <v>22</v>
      </c>
      <c r="CG29" s="100">
        <v>7444.7999999999993</v>
      </c>
      <c r="CH29" s="100">
        <v>28.88090315530663</v>
      </c>
      <c r="CI29" s="100">
        <v>9773.2976277557627</v>
      </c>
      <c r="CJ29" s="100">
        <v>18.222996902218522</v>
      </c>
      <c r="CK29" s="100">
        <v>6166.6621517107478</v>
      </c>
      <c r="CL29" s="100">
        <v>25.340254006333257</v>
      </c>
      <c r="CM29" s="100">
        <v>8575.1419557431745</v>
      </c>
      <c r="CN29" s="100">
        <v>21</v>
      </c>
      <c r="CO29" s="100">
        <v>7106.4</v>
      </c>
      <c r="CP29" s="100">
        <v>17</v>
      </c>
      <c r="CQ29" s="100">
        <v>5752.7999999999993</v>
      </c>
      <c r="CR29" s="100">
        <v>16</v>
      </c>
      <c r="CS29" s="100">
        <v>5414.4</v>
      </c>
      <c r="CT29" s="100">
        <v>26</v>
      </c>
      <c r="CU29" s="100">
        <v>8798.4</v>
      </c>
    </row>
    <row r="30" spans="2:99">
      <c r="C30" s="99" t="s">
        <v>196</v>
      </c>
      <c r="D30" s="100">
        <v>21</v>
      </c>
      <c r="E30" s="100">
        <v>2923.2</v>
      </c>
      <c r="F30" s="100">
        <v>18</v>
      </c>
      <c r="G30" s="100">
        <v>2505.6</v>
      </c>
      <c r="H30" s="100">
        <v>27</v>
      </c>
      <c r="I30" s="100">
        <v>3758.3999999999996</v>
      </c>
      <c r="J30" s="100">
        <v>17</v>
      </c>
      <c r="K30" s="100">
        <v>2366.3999999999996</v>
      </c>
      <c r="L30" s="100">
        <v>28</v>
      </c>
      <c r="M30" s="100">
        <v>3897.5999999999995</v>
      </c>
      <c r="N30" s="100">
        <v>19</v>
      </c>
      <c r="O30" s="100">
        <v>2644.7999999999997</v>
      </c>
      <c r="P30" s="100">
        <v>25.67971130647965</v>
      </c>
      <c r="Q30" s="100">
        <v>3574.6158138619671</v>
      </c>
      <c r="R30" s="100">
        <v>15</v>
      </c>
      <c r="S30" s="100">
        <v>2088</v>
      </c>
      <c r="T30" s="100">
        <v>20</v>
      </c>
      <c r="U30" s="100">
        <v>2784</v>
      </c>
      <c r="V30" s="100">
        <v>21.466049534758838</v>
      </c>
      <c r="W30" s="100">
        <v>2988.0740952384299</v>
      </c>
      <c r="X30" s="100">
        <v>20.469629446608401</v>
      </c>
      <c r="Y30" s="100">
        <v>2849.3724189678892</v>
      </c>
      <c r="Z30" s="100">
        <v>21.298568131813045</v>
      </c>
      <c r="AA30" s="100">
        <v>2964.7606839483756</v>
      </c>
      <c r="AB30" s="100">
        <v>26</v>
      </c>
      <c r="AC30" s="100">
        <v>3619.2</v>
      </c>
      <c r="AD30" s="100">
        <v>19.738289641802751</v>
      </c>
      <c r="AE30" s="100">
        <v>2747.5699181389427</v>
      </c>
      <c r="AF30" s="100">
        <v>21</v>
      </c>
      <c r="AG30" s="100">
        <v>2923.2</v>
      </c>
      <c r="AH30" s="100">
        <v>17</v>
      </c>
      <c r="AI30" s="100">
        <v>2366.3999999999996</v>
      </c>
      <c r="AJ30" s="100">
        <v>24</v>
      </c>
      <c r="AK30" s="100">
        <v>3340.7999999999997</v>
      </c>
      <c r="AL30" s="100">
        <v>21</v>
      </c>
      <c r="AM30" s="100">
        <v>2923.2</v>
      </c>
      <c r="AN30" s="100">
        <v>17</v>
      </c>
      <c r="AO30" s="100">
        <v>2366.3999999999996</v>
      </c>
      <c r="AP30" s="100">
        <v>21</v>
      </c>
      <c r="AQ30" s="100">
        <v>2923.2</v>
      </c>
      <c r="AR30" s="100">
        <v>19</v>
      </c>
      <c r="AS30" s="100">
        <v>2644.7999999999997</v>
      </c>
      <c r="AT30" s="100">
        <v>19</v>
      </c>
      <c r="AU30" s="100">
        <v>2644.7999999999997</v>
      </c>
      <c r="AV30" s="100">
        <v>18.71934493823251</v>
      </c>
      <c r="AW30" s="100">
        <v>2605.7328154019651</v>
      </c>
      <c r="AX30" s="100">
        <v>18.970027398787657</v>
      </c>
      <c r="AY30" s="100">
        <v>2640.6278139112414</v>
      </c>
      <c r="AZ30" s="100">
        <v>16</v>
      </c>
      <c r="BA30" s="100">
        <v>2227.1999999999998</v>
      </c>
      <c r="BB30" s="100">
        <v>22.913517502383094</v>
      </c>
      <c r="BC30" s="100">
        <v>3189.5616363317263</v>
      </c>
      <c r="BD30" s="100">
        <v>30</v>
      </c>
      <c r="BE30" s="100">
        <v>4176</v>
      </c>
      <c r="BF30" s="100">
        <v>20</v>
      </c>
      <c r="BG30" s="100">
        <v>2784</v>
      </c>
      <c r="BH30" s="100">
        <v>16</v>
      </c>
      <c r="BI30" s="100">
        <v>2227.1999999999998</v>
      </c>
      <c r="BJ30" s="100">
        <v>17</v>
      </c>
      <c r="BK30" s="100">
        <v>2366.3999999999996</v>
      </c>
      <c r="BL30" s="100">
        <v>26</v>
      </c>
      <c r="BM30" s="100">
        <v>3619.2</v>
      </c>
      <c r="BN30" s="100">
        <v>26.106210876689481</v>
      </c>
      <c r="BO30" s="100">
        <v>3633.9845540351753</v>
      </c>
      <c r="BP30" s="100">
        <v>19</v>
      </c>
      <c r="BQ30" s="100">
        <v>2644.7999999999997</v>
      </c>
      <c r="BR30" s="100">
        <v>16</v>
      </c>
      <c r="BS30" s="100">
        <v>2227.1999999999998</v>
      </c>
      <c r="BT30" s="100">
        <v>27</v>
      </c>
      <c r="BU30" s="100">
        <v>3758.3999999999996</v>
      </c>
      <c r="BV30" s="100">
        <v>27.709865355960876</v>
      </c>
      <c r="BW30" s="100">
        <v>3857.2132575497535</v>
      </c>
      <c r="BX30" s="100">
        <v>20</v>
      </c>
      <c r="BY30" s="100">
        <v>2784</v>
      </c>
      <c r="BZ30" s="100">
        <v>32</v>
      </c>
      <c r="CA30" s="100">
        <v>4454.3999999999996</v>
      </c>
      <c r="CB30" s="100">
        <v>23</v>
      </c>
      <c r="CC30" s="100">
        <v>3201.6</v>
      </c>
      <c r="CD30" s="100">
        <v>26</v>
      </c>
      <c r="CE30" s="100">
        <v>3619.2</v>
      </c>
      <c r="CF30" s="100">
        <v>25</v>
      </c>
      <c r="CG30" s="100">
        <v>3479.9999999999995</v>
      </c>
      <c r="CH30" s="100">
        <v>30.806296698993737</v>
      </c>
      <c r="CI30" s="100">
        <v>4288.2365004999283</v>
      </c>
      <c r="CJ30" s="100">
        <v>19.182102002335288</v>
      </c>
      <c r="CK30" s="100">
        <v>2670.1485987250717</v>
      </c>
      <c r="CL30" s="100">
        <v>25.340254006333257</v>
      </c>
      <c r="CM30" s="100">
        <v>3527.3633576815892</v>
      </c>
      <c r="CN30" s="100">
        <v>22</v>
      </c>
      <c r="CO30" s="100">
        <v>3062.3999999999996</v>
      </c>
      <c r="CP30" s="100">
        <v>17</v>
      </c>
      <c r="CQ30" s="100">
        <v>2366.3999999999996</v>
      </c>
      <c r="CR30" s="100">
        <v>17</v>
      </c>
      <c r="CS30" s="100">
        <v>2366.3999999999996</v>
      </c>
      <c r="CT30" s="100">
        <v>25</v>
      </c>
      <c r="CU30" s="100">
        <v>3479.9999999999995</v>
      </c>
    </row>
    <row r="31" spans="2:99">
      <c r="C31" s="99" t="s">
        <v>197</v>
      </c>
      <c r="D31" s="100">
        <v>21</v>
      </c>
      <c r="E31" s="100">
        <v>7156.8</v>
      </c>
      <c r="F31" s="100">
        <v>19</v>
      </c>
      <c r="G31" s="100">
        <v>6475.2</v>
      </c>
      <c r="H31" s="100">
        <v>27</v>
      </c>
      <c r="I31" s="100">
        <v>9201.6</v>
      </c>
      <c r="J31" s="100">
        <v>17</v>
      </c>
      <c r="K31" s="100">
        <v>5793.6</v>
      </c>
      <c r="L31" s="100">
        <v>31</v>
      </c>
      <c r="M31" s="100">
        <v>10564.800000000001</v>
      </c>
      <c r="N31" s="100">
        <v>18</v>
      </c>
      <c r="O31" s="100">
        <v>6134.4000000000005</v>
      </c>
      <c r="P31" s="100">
        <v>29.484112981513672</v>
      </c>
      <c r="Q31" s="100">
        <v>10048.18570409986</v>
      </c>
      <c r="R31" s="100">
        <v>15</v>
      </c>
      <c r="S31" s="100">
        <v>5112</v>
      </c>
      <c r="T31" s="100">
        <v>21</v>
      </c>
      <c r="U31" s="100">
        <v>7156.8</v>
      </c>
      <c r="V31" s="100">
        <v>20.571630804143886</v>
      </c>
      <c r="W31" s="100">
        <v>7010.8117780522371</v>
      </c>
      <c r="X31" s="100">
        <v>18.895042566100063</v>
      </c>
      <c r="Y31" s="100">
        <v>6439.4305065269018</v>
      </c>
      <c r="Z31" s="100">
        <v>20.588615860752608</v>
      </c>
      <c r="AA31" s="100">
        <v>7016.6002853444888</v>
      </c>
      <c r="AB31" s="100">
        <v>25</v>
      </c>
      <c r="AC31" s="100">
        <v>8520</v>
      </c>
      <c r="AD31" s="100">
        <v>17.85845253305963</v>
      </c>
      <c r="AE31" s="100">
        <v>6086.1606232667218</v>
      </c>
      <c r="AF31" s="100">
        <v>22</v>
      </c>
      <c r="AG31" s="100">
        <v>7497.6</v>
      </c>
      <c r="AH31" s="100">
        <v>16</v>
      </c>
      <c r="AI31" s="100">
        <v>5452.8</v>
      </c>
      <c r="AJ31" s="100">
        <v>25</v>
      </c>
      <c r="AK31" s="100">
        <v>8520</v>
      </c>
      <c r="AL31" s="100">
        <v>18</v>
      </c>
      <c r="AM31" s="100">
        <v>6134.4000000000005</v>
      </c>
      <c r="AN31" s="100">
        <v>16</v>
      </c>
      <c r="AO31" s="100">
        <v>5452.8</v>
      </c>
      <c r="AP31" s="100">
        <v>22</v>
      </c>
      <c r="AQ31" s="100">
        <v>7497.6</v>
      </c>
      <c r="AR31" s="100">
        <v>16</v>
      </c>
      <c r="AS31" s="100">
        <v>5452.8</v>
      </c>
      <c r="AT31" s="100">
        <v>20</v>
      </c>
      <c r="AU31" s="100">
        <v>6816</v>
      </c>
      <c r="AV31" s="100">
        <v>15.911443197497633</v>
      </c>
      <c r="AW31" s="100">
        <v>5422.6198417071937</v>
      </c>
      <c r="AX31" s="100">
        <v>20.776696674862674</v>
      </c>
      <c r="AY31" s="100">
        <v>7080.698226793199</v>
      </c>
      <c r="AZ31" s="100">
        <v>16</v>
      </c>
      <c r="BA31" s="100">
        <v>5452.8</v>
      </c>
      <c r="BB31" s="100">
        <v>22.913517502383094</v>
      </c>
      <c r="BC31" s="100">
        <v>7808.9267648121586</v>
      </c>
      <c r="BD31" s="100">
        <v>27</v>
      </c>
      <c r="BE31" s="100">
        <v>9201.6</v>
      </c>
      <c r="BF31" s="100">
        <v>21</v>
      </c>
      <c r="BG31" s="100">
        <v>7156.8</v>
      </c>
      <c r="BH31" s="100">
        <v>14</v>
      </c>
      <c r="BI31" s="100">
        <v>4771.2</v>
      </c>
      <c r="BJ31" s="100">
        <v>16</v>
      </c>
      <c r="BK31" s="100">
        <v>5452.8</v>
      </c>
      <c r="BL31" s="100">
        <v>25</v>
      </c>
      <c r="BM31" s="100">
        <v>8520</v>
      </c>
      <c r="BN31" s="100">
        <v>23.495589789020531</v>
      </c>
      <c r="BO31" s="100">
        <v>8007.2970000981977</v>
      </c>
      <c r="BP31" s="100">
        <v>19</v>
      </c>
      <c r="BQ31" s="100">
        <v>6475.2</v>
      </c>
      <c r="BR31" s="100">
        <v>16</v>
      </c>
      <c r="BS31" s="100">
        <v>5452.8</v>
      </c>
      <c r="BT31" s="100">
        <v>23</v>
      </c>
      <c r="BU31" s="100">
        <v>7838.4000000000005</v>
      </c>
      <c r="BV31" s="100">
        <v>27.709865355960876</v>
      </c>
      <c r="BW31" s="100">
        <v>9443.5221133114665</v>
      </c>
      <c r="BX31" s="100">
        <v>18</v>
      </c>
      <c r="BY31" s="100">
        <v>6134.4000000000005</v>
      </c>
      <c r="BZ31" s="100">
        <v>29</v>
      </c>
      <c r="CA31" s="100">
        <v>9883.2000000000007</v>
      </c>
      <c r="CB31" s="100">
        <v>23</v>
      </c>
      <c r="CC31" s="100">
        <v>7838.4000000000005</v>
      </c>
      <c r="CD31" s="100">
        <v>25</v>
      </c>
      <c r="CE31" s="100">
        <v>8520</v>
      </c>
      <c r="CF31" s="100">
        <v>25</v>
      </c>
      <c r="CG31" s="100">
        <v>8520</v>
      </c>
      <c r="CH31" s="100">
        <v>26.955509611619522</v>
      </c>
      <c r="CI31" s="100">
        <v>9186.4376756399342</v>
      </c>
      <c r="CJ31" s="100">
        <v>18.222996902218522</v>
      </c>
      <c r="CK31" s="100">
        <v>6210.3973442760725</v>
      </c>
      <c r="CL31" s="100">
        <v>24.522826457741861</v>
      </c>
      <c r="CM31" s="100">
        <v>8357.3792567984256</v>
      </c>
      <c r="CN31" s="100">
        <v>22</v>
      </c>
      <c r="CO31" s="100">
        <v>7497.6</v>
      </c>
      <c r="CP31" s="100">
        <v>16</v>
      </c>
      <c r="CQ31" s="100">
        <v>5452.8</v>
      </c>
      <c r="CR31" s="100">
        <v>16</v>
      </c>
      <c r="CS31" s="100">
        <v>5452.8</v>
      </c>
      <c r="CT31" s="100">
        <v>27</v>
      </c>
      <c r="CU31" s="100">
        <v>9201.6</v>
      </c>
    </row>
    <row r="32" spans="2:99">
      <c r="C32" s="99" t="s">
        <v>198</v>
      </c>
      <c r="D32" s="100">
        <v>22</v>
      </c>
      <c r="E32" s="100">
        <v>18480</v>
      </c>
      <c r="F32" s="100">
        <v>17</v>
      </c>
      <c r="G32" s="100">
        <v>14280</v>
      </c>
      <c r="H32" s="100">
        <v>21</v>
      </c>
      <c r="I32" s="100">
        <v>17640</v>
      </c>
      <c r="J32" s="100">
        <v>15</v>
      </c>
      <c r="K32" s="100">
        <v>12600</v>
      </c>
      <c r="L32" s="100">
        <v>28</v>
      </c>
      <c r="M32" s="100">
        <v>23520</v>
      </c>
      <c r="N32" s="100">
        <v>15</v>
      </c>
      <c r="O32" s="100">
        <v>12600</v>
      </c>
      <c r="P32" s="100">
        <v>25.67971130647965</v>
      </c>
      <c r="Q32" s="100">
        <v>21570.957497442905</v>
      </c>
      <c r="R32" s="100">
        <v>16</v>
      </c>
      <c r="S32" s="100">
        <v>13440</v>
      </c>
      <c r="T32" s="100">
        <v>18</v>
      </c>
      <c r="U32" s="100">
        <v>15120</v>
      </c>
      <c r="V32" s="100">
        <v>22.36046826537379</v>
      </c>
      <c r="W32" s="100">
        <v>18782.793342913985</v>
      </c>
      <c r="X32" s="100">
        <v>18.895042566100063</v>
      </c>
      <c r="Y32" s="100">
        <v>15871.835755524053</v>
      </c>
      <c r="Z32" s="100">
        <v>17.748806776510872</v>
      </c>
      <c r="AA32" s="100">
        <v>14908.997692269133</v>
      </c>
      <c r="AB32" s="100">
        <v>23</v>
      </c>
      <c r="AC32" s="100">
        <v>19320</v>
      </c>
      <c r="AD32" s="100">
        <v>18.798371087431192</v>
      </c>
      <c r="AE32" s="100">
        <v>15790.631713442202</v>
      </c>
      <c r="AF32" s="100">
        <v>20</v>
      </c>
      <c r="AG32" s="100">
        <v>16800</v>
      </c>
      <c r="AH32" s="100">
        <v>15</v>
      </c>
      <c r="AI32" s="100">
        <v>12600</v>
      </c>
      <c r="AJ32" s="100">
        <v>20</v>
      </c>
      <c r="AK32" s="100">
        <v>16800</v>
      </c>
      <c r="AL32" s="100">
        <v>19</v>
      </c>
      <c r="AM32" s="100">
        <v>15960</v>
      </c>
      <c r="AN32" s="100">
        <v>17</v>
      </c>
      <c r="AO32" s="100">
        <v>14280</v>
      </c>
      <c r="AP32" s="100">
        <v>19</v>
      </c>
      <c r="AQ32" s="100">
        <v>15960</v>
      </c>
      <c r="AR32" s="100">
        <v>16</v>
      </c>
      <c r="AS32" s="100">
        <v>13440</v>
      </c>
      <c r="AT32" s="100">
        <v>19</v>
      </c>
      <c r="AU32" s="100">
        <v>15960</v>
      </c>
      <c r="AV32" s="100">
        <v>16.84741044440926</v>
      </c>
      <c r="AW32" s="100">
        <v>14151.824773303779</v>
      </c>
      <c r="AX32" s="100">
        <v>18.970027398787657</v>
      </c>
      <c r="AY32" s="100">
        <v>15934.823014981632</v>
      </c>
      <c r="AZ32" s="100">
        <v>15</v>
      </c>
      <c r="BA32" s="100">
        <v>12600</v>
      </c>
      <c r="BB32" s="100">
        <v>19.924797828159207</v>
      </c>
      <c r="BC32" s="100">
        <v>16736.830175653733</v>
      </c>
      <c r="BD32" s="100">
        <v>27</v>
      </c>
      <c r="BE32" s="100">
        <v>22680</v>
      </c>
      <c r="BF32" s="100">
        <v>19</v>
      </c>
      <c r="BG32" s="100">
        <v>15960</v>
      </c>
      <c r="BH32" s="100">
        <v>14</v>
      </c>
      <c r="BI32" s="100">
        <v>11760</v>
      </c>
      <c r="BJ32" s="100">
        <v>17</v>
      </c>
      <c r="BK32" s="100">
        <v>14280</v>
      </c>
      <c r="BL32" s="100">
        <v>22</v>
      </c>
      <c r="BM32" s="100">
        <v>18480</v>
      </c>
      <c r="BN32" s="100">
        <v>21.755175730574567</v>
      </c>
      <c r="BO32" s="100">
        <v>18274.347613682636</v>
      </c>
      <c r="BP32" s="100">
        <v>20</v>
      </c>
      <c r="BQ32" s="100">
        <v>16800</v>
      </c>
      <c r="BR32" s="100">
        <v>16</v>
      </c>
      <c r="BS32" s="100">
        <v>13440</v>
      </c>
      <c r="BT32" s="100">
        <v>24</v>
      </c>
      <c r="BU32" s="100">
        <v>20160</v>
      </c>
      <c r="BV32" s="100">
        <v>26.843932063587097</v>
      </c>
      <c r="BW32" s="100">
        <v>22548.902933413163</v>
      </c>
      <c r="BX32" s="100">
        <v>16</v>
      </c>
      <c r="BY32" s="100">
        <v>13440</v>
      </c>
      <c r="BZ32" s="100">
        <v>26</v>
      </c>
      <c r="CA32" s="100">
        <v>21840</v>
      </c>
      <c r="CB32" s="100">
        <v>18</v>
      </c>
      <c r="CC32" s="100">
        <v>15120</v>
      </c>
      <c r="CD32" s="100">
        <v>24</v>
      </c>
      <c r="CE32" s="100">
        <v>20160</v>
      </c>
      <c r="CF32" s="100">
        <v>22</v>
      </c>
      <c r="CG32" s="100">
        <v>18480</v>
      </c>
      <c r="CH32" s="100">
        <v>26.955509611619522</v>
      </c>
      <c r="CI32" s="100">
        <v>22642.628073760399</v>
      </c>
      <c r="CJ32" s="100">
        <v>18.222996902218522</v>
      </c>
      <c r="CK32" s="100">
        <v>15307.317397863559</v>
      </c>
      <c r="CL32" s="100">
        <v>23.705398909150468</v>
      </c>
      <c r="CM32" s="100">
        <v>19912.535083686395</v>
      </c>
      <c r="CN32" s="100">
        <v>20</v>
      </c>
      <c r="CO32" s="100">
        <v>16800</v>
      </c>
      <c r="CP32" s="100">
        <v>15</v>
      </c>
      <c r="CQ32" s="100">
        <v>12600</v>
      </c>
      <c r="CR32" s="100">
        <v>17</v>
      </c>
      <c r="CS32" s="100">
        <v>14280</v>
      </c>
      <c r="CT32" s="100">
        <v>24</v>
      </c>
      <c r="CU32" s="100">
        <v>20160</v>
      </c>
    </row>
    <row r="33" spans="2:99">
      <c r="C33" s="99" t="s">
        <v>199</v>
      </c>
      <c r="D33" s="100">
        <v>22</v>
      </c>
      <c r="E33" s="100">
        <v>10428</v>
      </c>
      <c r="F33" s="100">
        <v>18</v>
      </c>
      <c r="G33" s="100">
        <v>8532</v>
      </c>
      <c r="H33" s="100">
        <v>24</v>
      </c>
      <c r="I33" s="100">
        <v>11376</v>
      </c>
      <c r="J33" s="100">
        <v>16</v>
      </c>
      <c r="K33" s="100">
        <v>7584</v>
      </c>
      <c r="L33" s="100">
        <v>29</v>
      </c>
      <c r="M33" s="100">
        <v>13746</v>
      </c>
      <c r="N33" s="100">
        <v>16</v>
      </c>
      <c r="O33" s="100">
        <v>7584</v>
      </c>
      <c r="P33" s="100">
        <v>26.630811725238154</v>
      </c>
      <c r="Q33" s="100">
        <v>12623.004757762885</v>
      </c>
      <c r="R33" s="100">
        <v>15</v>
      </c>
      <c r="S33" s="100">
        <v>7110</v>
      </c>
      <c r="T33" s="100">
        <v>19</v>
      </c>
      <c r="U33" s="100">
        <v>9006</v>
      </c>
      <c r="V33" s="100">
        <v>21.466049534758838</v>
      </c>
      <c r="W33" s="100">
        <v>10174.907479475689</v>
      </c>
      <c r="X33" s="100">
        <v>18.107749125845896</v>
      </c>
      <c r="Y33" s="100">
        <v>8583.0730856509545</v>
      </c>
      <c r="Z33" s="100">
        <v>19.878663589692174</v>
      </c>
      <c r="AA33" s="100">
        <v>9422.4865415140903</v>
      </c>
      <c r="AB33" s="100">
        <v>27</v>
      </c>
      <c r="AC33" s="100">
        <v>12798</v>
      </c>
      <c r="AD33" s="100">
        <v>17.85845253305963</v>
      </c>
      <c r="AE33" s="100">
        <v>8464.906500670264</v>
      </c>
      <c r="AF33" s="100">
        <v>19</v>
      </c>
      <c r="AG33" s="100">
        <v>9006</v>
      </c>
      <c r="AH33" s="100">
        <v>17</v>
      </c>
      <c r="AI33" s="100">
        <v>8058</v>
      </c>
      <c r="AJ33" s="100">
        <v>22</v>
      </c>
      <c r="AK33" s="100">
        <v>10428</v>
      </c>
      <c r="AL33" s="100">
        <v>17</v>
      </c>
      <c r="AM33" s="100">
        <v>8058</v>
      </c>
      <c r="AN33" s="100">
        <v>17</v>
      </c>
      <c r="AO33" s="100">
        <v>8058</v>
      </c>
      <c r="AP33" s="100">
        <v>20</v>
      </c>
      <c r="AQ33" s="100">
        <v>9480</v>
      </c>
      <c r="AR33" s="100">
        <v>16</v>
      </c>
      <c r="AS33" s="100">
        <v>7584</v>
      </c>
      <c r="AT33" s="100">
        <v>19</v>
      </c>
      <c r="AU33" s="100">
        <v>9006</v>
      </c>
      <c r="AV33" s="100">
        <v>16.84741044440926</v>
      </c>
      <c r="AW33" s="100">
        <v>7985.6725506499888</v>
      </c>
      <c r="AX33" s="100">
        <v>18.066692760750151</v>
      </c>
      <c r="AY33" s="100">
        <v>8563.6123685955718</v>
      </c>
      <c r="AZ33" s="100">
        <v>18</v>
      </c>
      <c r="BA33" s="100">
        <v>8532</v>
      </c>
      <c r="BB33" s="100">
        <v>20.92103771956717</v>
      </c>
      <c r="BC33" s="100">
        <v>9916.5718790748397</v>
      </c>
      <c r="BD33" s="100">
        <v>26</v>
      </c>
      <c r="BE33" s="100">
        <v>12324</v>
      </c>
      <c r="BF33" s="100">
        <v>20</v>
      </c>
      <c r="BG33" s="100">
        <v>9480</v>
      </c>
      <c r="BH33" s="100">
        <v>15</v>
      </c>
      <c r="BI33" s="100">
        <v>7110</v>
      </c>
      <c r="BJ33" s="100">
        <v>17</v>
      </c>
      <c r="BK33" s="100">
        <v>8058</v>
      </c>
      <c r="BL33" s="100">
        <v>27</v>
      </c>
      <c r="BM33" s="100">
        <v>12798</v>
      </c>
      <c r="BN33" s="100">
        <v>26.106210876689481</v>
      </c>
      <c r="BO33" s="100">
        <v>12374.343955550814</v>
      </c>
      <c r="BP33" s="100">
        <v>17</v>
      </c>
      <c r="BQ33" s="100">
        <v>8058</v>
      </c>
      <c r="BR33" s="100">
        <v>19</v>
      </c>
      <c r="BS33" s="100">
        <v>9006</v>
      </c>
      <c r="BT33" s="100">
        <v>25</v>
      </c>
      <c r="BU33" s="100">
        <v>11850</v>
      </c>
      <c r="BV33" s="100">
        <v>28.575798648334651</v>
      </c>
      <c r="BW33" s="100">
        <v>13544.928559310625</v>
      </c>
      <c r="BX33" s="100">
        <v>17</v>
      </c>
      <c r="BY33" s="100">
        <v>8058</v>
      </c>
      <c r="BZ33" s="100">
        <v>27</v>
      </c>
      <c r="CA33" s="100">
        <v>12798</v>
      </c>
      <c r="CB33" s="100">
        <v>22</v>
      </c>
      <c r="CC33" s="100">
        <v>10428</v>
      </c>
      <c r="CD33" s="100">
        <v>24</v>
      </c>
      <c r="CE33" s="100">
        <v>11376</v>
      </c>
      <c r="CF33" s="100">
        <v>22</v>
      </c>
      <c r="CG33" s="100">
        <v>10428</v>
      </c>
      <c r="CH33" s="100">
        <v>26.955509611619522</v>
      </c>
      <c r="CI33" s="100">
        <v>12776.911555907654</v>
      </c>
      <c r="CJ33" s="100">
        <v>17.263891802101757</v>
      </c>
      <c r="CK33" s="100">
        <v>8183.0847141962331</v>
      </c>
      <c r="CL33" s="100">
        <v>26.157681554924654</v>
      </c>
      <c r="CM33" s="100">
        <v>12398.741057034285</v>
      </c>
      <c r="CN33" s="100">
        <v>19</v>
      </c>
      <c r="CO33" s="100">
        <v>9006</v>
      </c>
      <c r="CP33" s="100">
        <v>17</v>
      </c>
      <c r="CQ33" s="100">
        <v>8058</v>
      </c>
      <c r="CR33" s="100">
        <v>17</v>
      </c>
      <c r="CS33" s="100">
        <v>8058</v>
      </c>
      <c r="CT33" s="100">
        <v>26</v>
      </c>
      <c r="CU33" s="100">
        <v>12324</v>
      </c>
    </row>
    <row r="34" spans="2:99">
      <c r="C34" s="99" t="s">
        <v>200</v>
      </c>
      <c r="D34" s="100">
        <v>23</v>
      </c>
      <c r="E34" s="100">
        <v>12613.199999999999</v>
      </c>
      <c r="F34" s="100">
        <v>16</v>
      </c>
      <c r="G34" s="100">
        <v>8774.4</v>
      </c>
      <c r="H34" s="100">
        <v>25</v>
      </c>
      <c r="I34" s="100">
        <v>13710</v>
      </c>
      <c r="J34" s="100">
        <v>16</v>
      </c>
      <c r="K34" s="100">
        <v>8774.4</v>
      </c>
      <c r="L34" s="100">
        <v>30</v>
      </c>
      <c r="M34" s="100">
        <v>16452</v>
      </c>
      <c r="N34" s="100">
        <v>18</v>
      </c>
      <c r="O34" s="100">
        <v>9871.1999999999989</v>
      </c>
      <c r="P34" s="100">
        <v>28.533012562755168</v>
      </c>
      <c r="Q34" s="100">
        <v>15647.504089414933</v>
      </c>
      <c r="R34" s="100">
        <v>15</v>
      </c>
      <c r="S34" s="100">
        <v>8226</v>
      </c>
      <c r="T34" s="100">
        <v>20</v>
      </c>
      <c r="U34" s="100">
        <v>10968</v>
      </c>
      <c r="V34" s="100">
        <v>20.571630804143886</v>
      </c>
      <c r="W34" s="100">
        <v>11281.482332992508</v>
      </c>
      <c r="X34" s="100">
        <v>16.533162245337557</v>
      </c>
      <c r="Y34" s="100">
        <v>9066.7861753431152</v>
      </c>
      <c r="Z34" s="100">
        <v>21.298568131813045</v>
      </c>
      <c r="AA34" s="100">
        <v>11680.134763486274</v>
      </c>
      <c r="AB34" s="100">
        <v>26</v>
      </c>
      <c r="AC34" s="100">
        <v>14258.4</v>
      </c>
      <c r="AD34" s="100">
        <v>16.918533978688071</v>
      </c>
      <c r="AE34" s="100">
        <v>9278.1240339125379</v>
      </c>
      <c r="AF34" s="100">
        <v>21</v>
      </c>
      <c r="AG34" s="100">
        <v>11516.4</v>
      </c>
      <c r="AH34" s="100">
        <v>14</v>
      </c>
      <c r="AI34" s="100">
        <v>7677.5999999999995</v>
      </c>
      <c r="AJ34" s="100">
        <v>21</v>
      </c>
      <c r="AK34" s="100">
        <v>11516.4</v>
      </c>
      <c r="AL34" s="100">
        <v>17</v>
      </c>
      <c r="AM34" s="100">
        <v>9322.7999999999993</v>
      </c>
      <c r="AN34" s="100">
        <v>17</v>
      </c>
      <c r="AO34" s="100">
        <v>9322.7999999999993</v>
      </c>
      <c r="AP34" s="100">
        <v>18</v>
      </c>
      <c r="AQ34" s="100">
        <v>9871.1999999999989</v>
      </c>
      <c r="AR34" s="100">
        <v>17</v>
      </c>
      <c r="AS34" s="100">
        <v>9322.7999999999993</v>
      </c>
      <c r="AT34" s="100">
        <v>20</v>
      </c>
      <c r="AU34" s="100">
        <v>10968</v>
      </c>
      <c r="AV34" s="100">
        <v>16.84741044440926</v>
      </c>
      <c r="AW34" s="100">
        <v>9239.1198877140378</v>
      </c>
      <c r="AX34" s="100">
        <v>17.163358122712641</v>
      </c>
      <c r="AY34" s="100">
        <v>9412.3855944956122</v>
      </c>
      <c r="AZ34" s="100">
        <v>15</v>
      </c>
      <c r="BA34" s="100">
        <v>8226</v>
      </c>
      <c r="BB34" s="100">
        <v>19.924797828159207</v>
      </c>
      <c r="BC34" s="100">
        <v>10926.759128962509</v>
      </c>
      <c r="BD34" s="100">
        <v>25</v>
      </c>
      <c r="BE34" s="100">
        <v>13710</v>
      </c>
      <c r="BF34" s="100">
        <v>22</v>
      </c>
      <c r="BG34" s="100">
        <v>12064.8</v>
      </c>
      <c r="BH34" s="100">
        <v>17</v>
      </c>
      <c r="BI34" s="100">
        <v>9322.7999999999993</v>
      </c>
      <c r="BJ34" s="100">
        <v>17</v>
      </c>
      <c r="BK34" s="100">
        <v>9322.7999999999993</v>
      </c>
      <c r="BL34" s="100">
        <v>24</v>
      </c>
      <c r="BM34" s="100">
        <v>13161.599999999999</v>
      </c>
      <c r="BN34" s="100">
        <v>25.236003847466495</v>
      </c>
      <c r="BO34" s="100">
        <v>13839.424509950626</v>
      </c>
      <c r="BP34" s="100">
        <v>18</v>
      </c>
      <c r="BQ34" s="100">
        <v>9871.1999999999989</v>
      </c>
      <c r="BR34" s="100">
        <v>18</v>
      </c>
      <c r="BS34" s="100">
        <v>9871.1999999999989</v>
      </c>
      <c r="BT34" s="100">
        <v>26</v>
      </c>
      <c r="BU34" s="100">
        <v>14258.4</v>
      </c>
      <c r="BV34" s="100">
        <v>24.246132186465765</v>
      </c>
      <c r="BW34" s="100">
        <v>13296.578891057825</v>
      </c>
      <c r="BX34" s="100">
        <v>18</v>
      </c>
      <c r="BY34" s="100">
        <v>9871.1999999999989</v>
      </c>
      <c r="BZ34" s="100">
        <v>30</v>
      </c>
      <c r="CA34" s="100">
        <v>16452</v>
      </c>
      <c r="CB34" s="100">
        <v>20</v>
      </c>
      <c r="CC34" s="100">
        <v>10968</v>
      </c>
      <c r="CD34" s="100">
        <v>23</v>
      </c>
      <c r="CE34" s="100">
        <v>12613.199999999999</v>
      </c>
      <c r="CF34" s="100">
        <v>25</v>
      </c>
      <c r="CG34" s="100">
        <v>13710</v>
      </c>
      <c r="CH34" s="100">
        <v>25.030116067932411</v>
      </c>
      <c r="CI34" s="100">
        <v>13726.515651654134</v>
      </c>
      <c r="CJ34" s="100">
        <v>19.182102002335288</v>
      </c>
      <c r="CK34" s="100">
        <v>10519.464738080671</v>
      </c>
      <c r="CL34" s="100">
        <v>26.975109103516047</v>
      </c>
      <c r="CM34" s="100">
        <v>14793.149832368199</v>
      </c>
      <c r="CN34" s="100">
        <v>21</v>
      </c>
      <c r="CO34" s="100">
        <v>11516.4</v>
      </c>
      <c r="CP34" s="100">
        <v>16</v>
      </c>
      <c r="CQ34" s="100">
        <v>8774.4</v>
      </c>
      <c r="CR34" s="100">
        <v>16</v>
      </c>
      <c r="CS34" s="100">
        <v>8774.4</v>
      </c>
      <c r="CT34" s="100">
        <v>25</v>
      </c>
      <c r="CU34" s="100">
        <v>13710</v>
      </c>
    </row>
    <row r="35" spans="2:99">
      <c r="C35" s="99" t="s">
        <v>201</v>
      </c>
      <c r="D35" s="100">
        <v>22</v>
      </c>
      <c r="E35" s="100">
        <v>11061.599999999999</v>
      </c>
      <c r="F35" s="100">
        <v>19</v>
      </c>
      <c r="G35" s="100">
        <v>9553.1999999999989</v>
      </c>
      <c r="H35" s="100">
        <v>26</v>
      </c>
      <c r="I35" s="100">
        <v>13072.799999999997</v>
      </c>
      <c r="J35" s="100">
        <v>17</v>
      </c>
      <c r="K35" s="100">
        <v>8547.5999999999985</v>
      </c>
      <c r="L35" s="100">
        <v>29</v>
      </c>
      <c r="M35" s="100">
        <v>14581.199999999997</v>
      </c>
      <c r="N35" s="100">
        <v>18</v>
      </c>
      <c r="O35" s="100">
        <v>9050.3999999999978</v>
      </c>
      <c r="P35" s="100">
        <v>26.630811725238154</v>
      </c>
      <c r="Q35" s="100">
        <v>13389.972135449741</v>
      </c>
      <c r="R35" s="100">
        <v>15</v>
      </c>
      <c r="S35" s="100">
        <v>7541.9999999999982</v>
      </c>
      <c r="T35" s="100">
        <v>20</v>
      </c>
      <c r="U35" s="100">
        <v>10055.999999999998</v>
      </c>
      <c r="V35" s="100">
        <v>21.466049534758838</v>
      </c>
      <c r="W35" s="100">
        <v>10793.129706076741</v>
      </c>
      <c r="X35" s="100">
        <v>19.682336006354234</v>
      </c>
      <c r="Y35" s="100">
        <v>9896.2785439949075</v>
      </c>
      <c r="Z35" s="100">
        <v>19.878663589692174</v>
      </c>
      <c r="AA35" s="100">
        <v>9994.9920528972234</v>
      </c>
      <c r="AB35" s="100">
        <v>26</v>
      </c>
      <c r="AC35" s="100">
        <v>13072.799999999997</v>
      </c>
      <c r="AD35" s="100">
        <v>17.85845253305963</v>
      </c>
      <c r="AE35" s="100">
        <v>8979.2299336223805</v>
      </c>
      <c r="AF35" s="100">
        <v>19</v>
      </c>
      <c r="AG35" s="100">
        <v>9553.1999999999989</v>
      </c>
      <c r="AH35" s="100">
        <v>14</v>
      </c>
      <c r="AI35" s="100">
        <v>7039.1999999999989</v>
      </c>
      <c r="AJ35" s="100">
        <v>21</v>
      </c>
      <c r="AK35" s="100">
        <v>10558.799999999997</v>
      </c>
      <c r="AL35" s="100">
        <v>19</v>
      </c>
      <c r="AM35" s="100">
        <v>9553.1999999999989</v>
      </c>
      <c r="AN35" s="100">
        <v>18</v>
      </c>
      <c r="AO35" s="100">
        <v>9050.3999999999978</v>
      </c>
      <c r="AP35" s="100">
        <v>21</v>
      </c>
      <c r="AQ35" s="100">
        <v>10558.799999999997</v>
      </c>
      <c r="AR35" s="100">
        <v>17</v>
      </c>
      <c r="AS35" s="100">
        <v>8547.5999999999985</v>
      </c>
      <c r="AT35" s="100">
        <v>20</v>
      </c>
      <c r="AU35" s="100">
        <v>10055.999999999998</v>
      </c>
      <c r="AV35" s="100">
        <v>16.84741044440926</v>
      </c>
      <c r="AW35" s="100">
        <v>8470.8779714489738</v>
      </c>
      <c r="AX35" s="100">
        <v>19.873362036825164</v>
      </c>
      <c r="AY35" s="100">
        <v>9992.3264321156894</v>
      </c>
      <c r="AZ35" s="100">
        <v>15</v>
      </c>
      <c r="BA35" s="100">
        <v>7541.9999999999982</v>
      </c>
      <c r="BB35" s="100">
        <v>21.91727761097513</v>
      </c>
      <c r="BC35" s="100">
        <v>11020.007182798294</v>
      </c>
      <c r="BD35" s="100">
        <v>28</v>
      </c>
      <c r="BE35" s="100">
        <v>14078.399999999998</v>
      </c>
      <c r="BF35" s="100">
        <v>19</v>
      </c>
      <c r="BG35" s="100">
        <v>9553.1999999999989</v>
      </c>
      <c r="BH35" s="100">
        <v>14</v>
      </c>
      <c r="BI35" s="100">
        <v>7039.1999999999989</v>
      </c>
      <c r="BJ35" s="100">
        <v>16</v>
      </c>
      <c r="BK35" s="100">
        <v>8044.7999999999984</v>
      </c>
      <c r="BL35" s="100">
        <v>23</v>
      </c>
      <c r="BM35" s="100">
        <v>11564.399999999998</v>
      </c>
      <c r="BN35" s="100">
        <v>20.884968701351582</v>
      </c>
      <c r="BO35" s="100">
        <v>10500.962263039573</v>
      </c>
      <c r="BP35" s="100">
        <v>18</v>
      </c>
      <c r="BQ35" s="100">
        <v>9050.3999999999978</v>
      </c>
      <c r="BR35" s="100">
        <v>16</v>
      </c>
      <c r="BS35" s="100">
        <v>8044.7999999999984</v>
      </c>
      <c r="BT35" s="100">
        <v>23</v>
      </c>
      <c r="BU35" s="100">
        <v>11564.399999999998</v>
      </c>
      <c r="BV35" s="100">
        <v>28.575798648334651</v>
      </c>
      <c r="BW35" s="100">
        <v>14367.911560382659</v>
      </c>
      <c r="BX35" s="100">
        <v>18</v>
      </c>
      <c r="BY35" s="100">
        <v>9050.3999999999978</v>
      </c>
      <c r="BZ35" s="100">
        <v>29</v>
      </c>
      <c r="CA35" s="100">
        <v>14581.199999999997</v>
      </c>
      <c r="CB35" s="100">
        <v>23</v>
      </c>
      <c r="CC35" s="100">
        <v>11564.399999999998</v>
      </c>
      <c r="CD35" s="100">
        <v>25</v>
      </c>
      <c r="CE35" s="100">
        <v>12569.999999999998</v>
      </c>
      <c r="CF35" s="100">
        <v>24</v>
      </c>
      <c r="CG35" s="100">
        <v>12067.199999999997</v>
      </c>
      <c r="CH35" s="100">
        <v>28.88090315530663</v>
      </c>
      <c r="CI35" s="100">
        <v>14521.31810648817</v>
      </c>
      <c r="CJ35" s="100">
        <v>17.263891802101757</v>
      </c>
      <c r="CK35" s="100">
        <v>8680.2847980967617</v>
      </c>
      <c r="CL35" s="100">
        <v>26.975109103516047</v>
      </c>
      <c r="CM35" s="100">
        <v>13563.084857247866</v>
      </c>
      <c r="CN35" s="100">
        <v>22</v>
      </c>
      <c r="CO35" s="100">
        <v>11061.599999999999</v>
      </c>
      <c r="CP35" s="100">
        <v>17</v>
      </c>
      <c r="CQ35" s="100">
        <v>8547.5999999999985</v>
      </c>
      <c r="CR35" s="100">
        <v>17</v>
      </c>
      <c r="CS35" s="100">
        <v>8547.5999999999985</v>
      </c>
      <c r="CT35" s="100">
        <v>23</v>
      </c>
      <c r="CU35" s="100">
        <v>11564.399999999998</v>
      </c>
    </row>
    <row r="36" spans="2:99">
      <c r="C36" s="99" t="s">
        <v>202</v>
      </c>
      <c r="D36" s="100">
        <v>22</v>
      </c>
      <c r="E36" s="100">
        <v>16737.599999999999</v>
      </c>
      <c r="F36" s="100">
        <v>17</v>
      </c>
      <c r="G36" s="100">
        <v>12933.599999999999</v>
      </c>
      <c r="H36" s="100">
        <v>25</v>
      </c>
      <c r="I36" s="100">
        <v>19020</v>
      </c>
      <c r="J36" s="100">
        <v>16</v>
      </c>
      <c r="K36" s="100">
        <v>12172.8</v>
      </c>
      <c r="L36" s="100">
        <v>27</v>
      </c>
      <c r="M36" s="100">
        <v>20541.599999999999</v>
      </c>
      <c r="N36" s="100">
        <v>15</v>
      </c>
      <c r="O36" s="100">
        <v>11412</v>
      </c>
      <c r="P36" s="100">
        <v>25.67971130647965</v>
      </c>
      <c r="Q36" s="100">
        <v>19537.124361969716</v>
      </c>
      <c r="R36" s="100">
        <v>16</v>
      </c>
      <c r="S36" s="100">
        <v>12172.8</v>
      </c>
      <c r="T36" s="100">
        <v>18</v>
      </c>
      <c r="U36" s="100">
        <v>13694.4</v>
      </c>
      <c r="V36" s="100">
        <v>20.571630804143886</v>
      </c>
      <c r="W36" s="100">
        <v>15650.896715792667</v>
      </c>
      <c r="X36" s="100">
        <v>18.895042566100063</v>
      </c>
      <c r="Y36" s="100">
        <v>14375.348384288927</v>
      </c>
      <c r="Z36" s="100">
        <v>20.588615860752608</v>
      </c>
      <c r="AA36" s="100">
        <v>15663.818946860583</v>
      </c>
      <c r="AB36" s="100">
        <v>25</v>
      </c>
      <c r="AC36" s="100">
        <v>19020</v>
      </c>
      <c r="AD36" s="100">
        <v>15.978615424316512</v>
      </c>
      <c r="AE36" s="100">
        <v>12156.530614820002</v>
      </c>
      <c r="AF36" s="100">
        <v>20</v>
      </c>
      <c r="AG36" s="100">
        <v>15216</v>
      </c>
      <c r="AH36" s="100">
        <v>16</v>
      </c>
      <c r="AI36" s="100">
        <v>12172.8</v>
      </c>
      <c r="AJ36" s="100">
        <v>20</v>
      </c>
      <c r="AK36" s="100">
        <v>15216</v>
      </c>
      <c r="AL36" s="100">
        <v>18</v>
      </c>
      <c r="AM36" s="100">
        <v>13694.4</v>
      </c>
      <c r="AN36" s="100">
        <v>16</v>
      </c>
      <c r="AO36" s="100">
        <v>12172.8</v>
      </c>
      <c r="AP36" s="100">
        <v>20</v>
      </c>
      <c r="AQ36" s="100">
        <v>15216</v>
      </c>
      <c r="AR36" s="100">
        <v>16</v>
      </c>
      <c r="AS36" s="100">
        <v>12172.8</v>
      </c>
      <c r="AT36" s="100">
        <v>17</v>
      </c>
      <c r="AU36" s="100">
        <v>12933.599999999999</v>
      </c>
      <c r="AV36" s="100">
        <v>17.783377691320887</v>
      </c>
      <c r="AW36" s="100">
        <v>13529.59374755693</v>
      </c>
      <c r="AX36" s="100">
        <v>19.873362036825164</v>
      </c>
      <c r="AY36" s="100">
        <v>15119.653837616583</v>
      </c>
      <c r="AZ36" s="100">
        <v>15</v>
      </c>
      <c r="BA36" s="100">
        <v>11412</v>
      </c>
      <c r="BB36" s="100">
        <v>17.93231804534329</v>
      </c>
      <c r="BC36" s="100">
        <v>13642.907568897175</v>
      </c>
      <c r="BD36" s="100">
        <v>25</v>
      </c>
      <c r="BE36" s="100">
        <v>19020</v>
      </c>
      <c r="BF36" s="100">
        <v>21</v>
      </c>
      <c r="BG36" s="100">
        <v>15976.8</v>
      </c>
      <c r="BH36" s="100">
        <v>15</v>
      </c>
      <c r="BI36" s="100">
        <v>11412</v>
      </c>
      <c r="BJ36" s="100">
        <v>15</v>
      </c>
      <c r="BK36" s="100">
        <v>11412</v>
      </c>
      <c r="BL36" s="100">
        <v>23</v>
      </c>
      <c r="BM36" s="100">
        <v>17498.399999999998</v>
      </c>
      <c r="BN36" s="100">
        <v>20.884968701351582</v>
      </c>
      <c r="BO36" s="100">
        <v>15889.284187988282</v>
      </c>
      <c r="BP36" s="100">
        <v>20</v>
      </c>
      <c r="BQ36" s="100">
        <v>15216</v>
      </c>
      <c r="BR36" s="100">
        <v>17</v>
      </c>
      <c r="BS36" s="100">
        <v>12933.599999999999</v>
      </c>
      <c r="BT36" s="100">
        <v>23</v>
      </c>
      <c r="BU36" s="100">
        <v>17498.399999999998</v>
      </c>
      <c r="BV36" s="100">
        <v>26.843932063587097</v>
      </c>
      <c r="BW36" s="100">
        <v>20422.863513977063</v>
      </c>
      <c r="BX36" s="100">
        <v>18</v>
      </c>
      <c r="BY36" s="100">
        <v>13694.4</v>
      </c>
      <c r="BZ36" s="100">
        <v>27</v>
      </c>
      <c r="CA36" s="100">
        <v>20541.599999999999</v>
      </c>
      <c r="CB36" s="100">
        <v>21</v>
      </c>
      <c r="CC36" s="100">
        <v>15976.8</v>
      </c>
      <c r="CD36" s="100">
        <v>22</v>
      </c>
      <c r="CE36" s="100">
        <v>16737.599999999999</v>
      </c>
      <c r="CF36" s="100">
        <v>22</v>
      </c>
      <c r="CG36" s="100">
        <v>16737.599999999999</v>
      </c>
      <c r="CH36" s="100">
        <v>27.918206383463072</v>
      </c>
      <c r="CI36" s="100">
        <v>21240.171416538706</v>
      </c>
      <c r="CJ36" s="100">
        <v>19.182102002335288</v>
      </c>
      <c r="CK36" s="100">
        <v>14593.743203376685</v>
      </c>
      <c r="CL36" s="100">
        <v>24.522826457741861</v>
      </c>
      <c r="CM36" s="100">
        <v>18656.966369050006</v>
      </c>
      <c r="CN36" s="100">
        <v>19</v>
      </c>
      <c r="CO36" s="100">
        <v>14455.199999999999</v>
      </c>
      <c r="CP36" s="100">
        <v>17</v>
      </c>
      <c r="CQ36" s="100">
        <v>12933.599999999999</v>
      </c>
      <c r="CR36" s="100">
        <v>15</v>
      </c>
      <c r="CS36" s="100">
        <v>11412</v>
      </c>
      <c r="CT36" s="100">
        <v>25</v>
      </c>
      <c r="CU36" s="100">
        <v>19020</v>
      </c>
    </row>
    <row r="37" spans="2:99">
      <c r="B37" s="99" t="s">
        <v>128</v>
      </c>
      <c r="C37" s="99" t="s">
        <v>203</v>
      </c>
      <c r="D37" s="100">
        <v>16</v>
      </c>
      <c r="E37" s="100">
        <v>13766.4</v>
      </c>
      <c r="F37" s="100">
        <v>13</v>
      </c>
      <c r="G37" s="100">
        <v>11185.199999999999</v>
      </c>
      <c r="H37" s="100">
        <v>11</v>
      </c>
      <c r="I37" s="100">
        <v>9464.4</v>
      </c>
      <c r="J37" s="100">
        <v>19</v>
      </c>
      <c r="K37" s="100">
        <v>16347.6</v>
      </c>
      <c r="L37" s="100">
        <v>12</v>
      </c>
      <c r="M37" s="100">
        <v>10324.799999999999</v>
      </c>
      <c r="N37" s="100">
        <v>13</v>
      </c>
      <c r="O37" s="100">
        <v>11185.199999999999</v>
      </c>
      <c r="P37" s="100">
        <v>15.217606700136088</v>
      </c>
      <c r="Q37" s="100">
        <v>13093.228804797089</v>
      </c>
      <c r="R37" s="100">
        <v>13</v>
      </c>
      <c r="S37" s="100">
        <v>11185.199999999999</v>
      </c>
      <c r="T37" s="100">
        <v>13</v>
      </c>
      <c r="U37" s="100">
        <v>11185.199999999999</v>
      </c>
      <c r="V37" s="100">
        <v>14.310699689839224</v>
      </c>
      <c r="W37" s="100">
        <v>12312.926013137667</v>
      </c>
      <c r="X37" s="100">
        <v>12.596695044066708</v>
      </c>
      <c r="Y37" s="100">
        <v>10838.196415914996</v>
      </c>
      <c r="Z37" s="100">
        <v>13.48909315014826</v>
      </c>
      <c r="AA37" s="100">
        <v>11606.015746387564</v>
      </c>
      <c r="AB37" s="100">
        <v>12</v>
      </c>
      <c r="AC37" s="100">
        <v>10324.799999999999</v>
      </c>
      <c r="AD37" s="100">
        <v>12.218941206830275</v>
      </c>
      <c r="AE37" s="100">
        <v>10513.177014356768</v>
      </c>
      <c r="AF37" s="100">
        <v>10</v>
      </c>
      <c r="AG37" s="100">
        <v>8604</v>
      </c>
      <c r="AH37" s="100">
        <v>13</v>
      </c>
      <c r="AI37" s="100">
        <v>11185.199999999999</v>
      </c>
      <c r="AJ37" s="100">
        <v>16</v>
      </c>
      <c r="AK37" s="100">
        <v>13766.4</v>
      </c>
      <c r="AL37" s="100">
        <v>18</v>
      </c>
      <c r="AM37" s="100">
        <v>15487.199999999999</v>
      </c>
      <c r="AN37" s="100">
        <v>12</v>
      </c>
      <c r="AO37" s="100">
        <v>10324.799999999999</v>
      </c>
      <c r="AP37" s="100">
        <v>13</v>
      </c>
      <c r="AQ37" s="100">
        <v>11185.199999999999</v>
      </c>
      <c r="AR37" s="100">
        <v>12</v>
      </c>
      <c r="AS37" s="100">
        <v>10324.799999999999</v>
      </c>
      <c r="AT37" s="100">
        <v>14</v>
      </c>
      <c r="AU37" s="100">
        <v>12045.6</v>
      </c>
      <c r="AV37" s="100">
        <v>14.039508703674382</v>
      </c>
      <c r="AW37" s="100">
        <v>12079.593288641438</v>
      </c>
      <c r="AX37" s="100">
        <v>11.743350294487596</v>
      </c>
      <c r="AY37" s="100">
        <v>10103.978593377127</v>
      </c>
      <c r="AZ37" s="100">
        <v>16</v>
      </c>
      <c r="BA37" s="100">
        <v>13766.4</v>
      </c>
      <c r="BB37" s="100">
        <v>17.93231804534329</v>
      </c>
      <c r="BC37" s="100">
        <v>15428.966446213366</v>
      </c>
      <c r="BD37" s="100">
        <v>11</v>
      </c>
      <c r="BE37" s="100">
        <v>9464.4</v>
      </c>
      <c r="BF37" s="100">
        <v>9</v>
      </c>
      <c r="BG37" s="100">
        <v>7743.5999999999995</v>
      </c>
      <c r="BH37" s="100">
        <v>13</v>
      </c>
      <c r="BI37" s="100">
        <v>11185.199999999999</v>
      </c>
      <c r="BJ37" s="100">
        <v>12</v>
      </c>
      <c r="BK37" s="100">
        <v>10324.799999999999</v>
      </c>
      <c r="BL37" s="100">
        <v>13</v>
      </c>
      <c r="BM37" s="100">
        <v>11185.199999999999</v>
      </c>
      <c r="BN37" s="100">
        <v>12.182898409121758</v>
      </c>
      <c r="BO37" s="100">
        <v>10482.165791208361</v>
      </c>
      <c r="BP37" s="100">
        <v>11</v>
      </c>
      <c r="BQ37" s="100">
        <v>9464.4</v>
      </c>
      <c r="BR37" s="100">
        <v>16</v>
      </c>
      <c r="BS37" s="100">
        <v>13766.4</v>
      </c>
      <c r="BT37" s="100">
        <v>12</v>
      </c>
      <c r="BU37" s="100">
        <v>10324.799999999999</v>
      </c>
      <c r="BV37" s="100">
        <v>9.5252662161115502</v>
      </c>
      <c r="BW37" s="100">
        <v>8195.5390523423775</v>
      </c>
      <c r="BX37" s="100">
        <v>15</v>
      </c>
      <c r="BY37" s="100">
        <v>12906</v>
      </c>
      <c r="BZ37" s="100">
        <v>21</v>
      </c>
      <c r="CA37" s="100">
        <v>18068.399999999998</v>
      </c>
      <c r="CB37" s="100">
        <v>14</v>
      </c>
      <c r="CC37" s="100">
        <v>12045.6</v>
      </c>
      <c r="CD37" s="100">
        <v>16</v>
      </c>
      <c r="CE37" s="100">
        <v>13766.4</v>
      </c>
      <c r="CF37" s="100">
        <v>15</v>
      </c>
      <c r="CG37" s="100">
        <v>12906</v>
      </c>
      <c r="CH37" s="100">
        <v>17.328541893183978</v>
      </c>
      <c r="CI37" s="100">
        <v>14909.477444895494</v>
      </c>
      <c r="CJ37" s="100">
        <v>13.427471401634701</v>
      </c>
      <c r="CK37" s="100">
        <v>11552.996393966496</v>
      </c>
      <c r="CL37" s="100">
        <v>17.165978520419305</v>
      </c>
      <c r="CM37" s="100">
        <v>14769.60791896877</v>
      </c>
      <c r="CN37" s="100">
        <v>12</v>
      </c>
      <c r="CO37" s="100">
        <v>10324.799999999999</v>
      </c>
      <c r="CP37" s="100">
        <v>12</v>
      </c>
      <c r="CQ37" s="100">
        <v>10324.799999999999</v>
      </c>
      <c r="CR37" s="100">
        <v>13</v>
      </c>
      <c r="CS37" s="100">
        <v>11185.199999999999</v>
      </c>
      <c r="CT37" s="100">
        <v>17</v>
      </c>
      <c r="CU37" s="100">
        <v>14626.8</v>
      </c>
    </row>
    <row r="38" spans="2:99">
      <c r="C38" s="99" t="s">
        <v>204</v>
      </c>
      <c r="D38" s="100">
        <v>16</v>
      </c>
      <c r="E38" s="100">
        <v>19872</v>
      </c>
      <c r="F38" s="100">
        <v>12</v>
      </c>
      <c r="G38" s="100">
        <v>14904</v>
      </c>
      <c r="H38" s="100">
        <v>10</v>
      </c>
      <c r="I38" s="100">
        <v>12420</v>
      </c>
      <c r="J38" s="100">
        <v>18</v>
      </c>
      <c r="K38" s="100">
        <v>22356</v>
      </c>
      <c r="L38" s="100">
        <v>11</v>
      </c>
      <c r="M38" s="100">
        <v>13662</v>
      </c>
      <c r="N38" s="100">
        <v>13</v>
      </c>
      <c r="O38" s="100">
        <v>16146</v>
      </c>
      <c r="P38" s="100">
        <v>16.168707118894595</v>
      </c>
      <c r="Q38" s="100">
        <v>20081.534241667086</v>
      </c>
      <c r="R38" s="100">
        <v>13</v>
      </c>
      <c r="S38" s="100">
        <v>16146</v>
      </c>
      <c r="T38" s="100">
        <v>13</v>
      </c>
      <c r="U38" s="100">
        <v>16146</v>
      </c>
      <c r="V38" s="100">
        <v>16.099537151069129</v>
      </c>
      <c r="W38" s="100">
        <v>19995.625141627857</v>
      </c>
      <c r="X38" s="100">
        <v>14.171281924575048</v>
      </c>
      <c r="Y38" s="100">
        <v>17600.732150322208</v>
      </c>
      <c r="Z38" s="100">
        <v>11.359236336966957</v>
      </c>
      <c r="AA38" s="100">
        <v>14108.17153051296</v>
      </c>
      <c r="AB38" s="100">
        <v>12</v>
      </c>
      <c r="AC38" s="100">
        <v>14904</v>
      </c>
      <c r="AD38" s="100">
        <v>12.218941206830275</v>
      </c>
      <c r="AE38" s="100">
        <v>15175.924978883202</v>
      </c>
      <c r="AF38" s="100">
        <v>10</v>
      </c>
      <c r="AG38" s="100">
        <v>12420</v>
      </c>
      <c r="AH38" s="100">
        <v>12</v>
      </c>
      <c r="AI38" s="100">
        <v>14904</v>
      </c>
      <c r="AJ38" s="100">
        <v>17</v>
      </c>
      <c r="AK38" s="100">
        <v>21114</v>
      </c>
      <c r="AL38" s="100">
        <v>17</v>
      </c>
      <c r="AM38" s="100">
        <v>21114</v>
      </c>
      <c r="AN38" s="100">
        <v>12</v>
      </c>
      <c r="AO38" s="100">
        <v>14904</v>
      </c>
      <c r="AP38" s="100">
        <v>12</v>
      </c>
      <c r="AQ38" s="100">
        <v>14904</v>
      </c>
      <c r="AR38" s="100">
        <v>11</v>
      </c>
      <c r="AS38" s="100">
        <v>13662</v>
      </c>
      <c r="AT38" s="100">
        <v>13</v>
      </c>
      <c r="AU38" s="100">
        <v>16146</v>
      </c>
      <c r="AV38" s="100">
        <v>12.167574209851132</v>
      </c>
      <c r="AW38" s="100">
        <v>15112.127168635107</v>
      </c>
      <c r="AX38" s="100">
        <v>11.743350294487596</v>
      </c>
      <c r="AY38" s="100">
        <v>14585.241065753595</v>
      </c>
      <c r="AZ38" s="100">
        <v>18</v>
      </c>
      <c r="BA38" s="100">
        <v>22356</v>
      </c>
      <c r="BB38" s="100">
        <v>17.93231804534329</v>
      </c>
      <c r="BC38" s="100">
        <v>22271.939012316368</v>
      </c>
      <c r="BD38" s="100">
        <v>10</v>
      </c>
      <c r="BE38" s="100">
        <v>12420</v>
      </c>
      <c r="BF38" s="100">
        <v>9</v>
      </c>
      <c r="BG38" s="100">
        <v>11178</v>
      </c>
      <c r="BH38" s="100">
        <v>12</v>
      </c>
      <c r="BI38" s="100">
        <v>14904</v>
      </c>
      <c r="BJ38" s="100">
        <v>11</v>
      </c>
      <c r="BK38" s="100">
        <v>13662</v>
      </c>
      <c r="BL38" s="100">
        <v>11</v>
      </c>
      <c r="BM38" s="100">
        <v>13662</v>
      </c>
      <c r="BN38" s="100">
        <v>11.312691379898776</v>
      </c>
      <c r="BO38" s="100">
        <v>14050.36269383428</v>
      </c>
      <c r="BP38" s="100">
        <v>9</v>
      </c>
      <c r="BQ38" s="100">
        <v>11178</v>
      </c>
      <c r="BR38" s="100">
        <v>15</v>
      </c>
      <c r="BS38" s="100">
        <v>18630</v>
      </c>
      <c r="BT38" s="100">
        <v>11</v>
      </c>
      <c r="BU38" s="100">
        <v>13662</v>
      </c>
      <c r="BV38" s="100">
        <v>8.6593329237377734</v>
      </c>
      <c r="BW38" s="100">
        <v>10754.891491282315</v>
      </c>
      <c r="BX38" s="100">
        <v>14</v>
      </c>
      <c r="BY38" s="100">
        <v>17388</v>
      </c>
      <c r="BZ38" s="100">
        <v>19</v>
      </c>
      <c r="CA38" s="100">
        <v>23598</v>
      </c>
      <c r="CB38" s="100">
        <v>14</v>
      </c>
      <c r="CC38" s="100">
        <v>17388</v>
      </c>
      <c r="CD38" s="100">
        <v>16</v>
      </c>
      <c r="CE38" s="100">
        <v>19872</v>
      </c>
      <c r="CF38" s="100">
        <v>14</v>
      </c>
      <c r="CG38" s="100">
        <v>17388</v>
      </c>
      <c r="CH38" s="100">
        <v>18.291238665027532</v>
      </c>
      <c r="CI38" s="100">
        <v>22717.718421964193</v>
      </c>
      <c r="CJ38" s="100">
        <v>13.427471401634701</v>
      </c>
      <c r="CK38" s="100">
        <v>16676.9194808303</v>
      </c>
      <c r="CL38" s="100">
        <v>15.531123423236513</v>
      </c>
      <c r="CM38" s="100">
        <v>19289.65529165975</v>
      </c>
      <c r="CN38" s="100">
        <v>11</v>
      </c>
      <c r="CO38" s="100">
        <v>13662</v>
      </c>
      <c r="CP38" s="100">
        <v>11</v>
      </c>
      <c r="CQ38" s="100">
        <v>13662</v>
      </c>
      <c r="CR38" s="100">
        <v>14</v>
      </c>
      <c r="CS38" s="100">
        <v>17388</v>
      </c>
      <c r="CT38" s="100">
        <v>15</v>
      </c>
      <c r="CU38" s="100">
        <v>18630</v>
      </c>
    </row>
    <row r="39" spans="2:99">
      <c r="C39" s="99" t="s">
        <v>205</v>
      </c>
      <c r="D39" s="100">
        <v>13</v>
      </c>
      <c r="E39" s="100">
        <v>18501.600000000002</v>
      </c>
      <c r="F39" s="100">
        <v>13</v>
      </c>
      <c r="G39" s="100">
        <v>18501.600000000002</v>
      </c>
      <c r="H39" s="100">
        <v>10</v>
      </c>
      <c r="I39" s="100">
        <v>14232</v>
      </c>
      <c r="J39" s="100">
        <v>17</v>
      </c>
      <c r="K39" s="100">
        <v>24194.400000000001</v>
      </c>
      <c r="L39" s="100">
        <v>13</v>
      </c>
      <c r="M39" s="100">
        <v>18501.600000000002</v>
      </c>
      <c r="N39" s="100">
        <v>13</v>
      </c>
      <c r="O39" s="100">
        <v>18501.600000000002</v>
      </c>
      <c r="P39" s="100">
        <v>15.217606700136088</v>
      </c>
      <c r="Q39" s="100">
        <v>21657.69785563368</v>
      </c>
      <c r="R39" s="100">
        <v>11</v>
      </c>
      <c r="S39" s="100">
        <v>15655.2</v>
      </c>
      <c r="T39" s="100">
        <v>11</v>
      </c>
      <c r="U39" s="100">
        <v>15655.2</v>
      </c>
      <c r="V39" s="100">
        <v>14.310699689839224</v>
      </c>
      <c r="W39" s="100">
        <v>20366.987798579183</v>
      </c>
      <c r="X39" s="100">
        <v>14.171281924575048</v>
      </c>
      <c r="Y39" s="100">
        <v>20168.568435055207</v>
      </c>
      <c r="Z39" s="100">
        <v>12.779140879087826</v>
      </c>
      <c r="AA39" s="100">
        <v>18187.273299117795</v>
      </c>
      <c r="AB39" s="100">
        <v>11</v>
      </c>
      <c r="AC39" s="100">
        <v>15655.2</v>
      </c>
      <c r="AD39" s="100">
        <v>11.279022652458714</v>
      </c>
      <c r="AE39" s="100">
        <v>16052.305038979242</v>
      </c>
      <c r="AF39" s="100">
        <v>9</v>
      </c>
      <c r="AG39" s="100">
        <v>12808.800000000001</v>
      </c>
      <c r="AH39" s="100">
        <v>12</v>
      </c>
      <c r="AI39" s="100">
        <v>17078.400000000001</v>
      </c>
      <c r="AJ39" s="100">
        <v>17</v>
      </c>
      <c r="AK39" s="100">
        <v>24194.400000000001</v>
      </c>
      <c r="AL39" s="100">
        <v>17</v>
      </c>
      <c r="AM39" s="100">
        <v>24194.400000000001</v>
      </c>
      <c r="AN39" s="100">
        <v>12</v>
      </c>
      <c r="AO39" s="100">
        <v>17078.400000000001</v>
      </c>
      <c r="AP39" s="100">
        <v>12</v>
      </c>
      <c r="AQ39" s="100">
        <v>17078.400000000001</v>
      </c>
      <c r="AR39" s="100">
        <v>13</v>
      </c>
      <c r="AS39" s="100">
        <v>18501.600000000002</v>
      </c>
      <c r="AT39" s="100">
        <v>13</v>
      </c>
      <c r="AU39" s="100">
        <v>18501.600000000002</v>
      </c>
      <c r="AV39" s="100">
        <v>12.167574209851132</v>
      </c>
      <c r="AW39" s="100">
        <v>17316.891615460132</v>
      </c>
      <c r="AX39" s="100">
        <v>12.646684932525105</v>
      </c>
      <c r="AY39" s="100">
        <v>17998.761995969729</v>
      </c>
      <c r="AZ39" s="100">
        <v>18</v>
      </c>
      <c r="BA39" s="100">
        <v>25617.600000000002</v>
      </c>
      <c r="BB39" s="100">
        <v>16.936078153935327</v>
      </c>
      <c r="BC39" s="100">
        <v>24103.426428680759</v>
      </c>
      <c r="BD39" s="100">
        <v>9</v>
      </c>
      <c r="BE39" s="100">
        <v>12808.800000000001</v>
      </c>
      <c r="BF39" s="100">
        <v>10</v>
      </c>
      <c r="BG39" s="100">
        <v>14232</v>
      </c>
      <c r="BH39" s="100">
        <v>11</v>
      </c>
      <c r="BI39" s="100">
        <v>15655.2</v>
      </c>
      <c r="BJ39" s="100">
        <v>10</v>
      </c>
      <c r="BK39" s="100">
        <v>14232</v>
      </c>
      <c r="BL39" s="100">
        <v>11</v>
      </c>
      <c r="BM39" s="100">
        <v>15655.2</v>
      </c>
      <c r="BN39" s="100">
        <v>11.312691379898776</v>
      </c>
      <c r="BO39" s="100">
        <v>16100.22237187194</v>
      </c>
      <c r="BP39" s="100">
        <v>10</v>
      </c>
      <c r="BQ39" s="100">
        <v>14232</v>
      </c>
      <c r="BR39" s="100">
        <v>16</v>
      </c>
      <c r="BS39" s="100">
        <v>22771.200000000001</v>
      </c>
      <c r="BT39" s="100">
        <v>10</v>
      </c>
      <c r="BU39" s="100">
        <v>14232</v>
      </c>
      <c r="BV39" s="100">
        <v>8.6593329237377734</v>
      </c>
      <c r="BW39" s="100">
        <v>12323.9626170636</v>
      </c>
      <c r="BX39" s="100">
        <v>14</v>
      </c>
      <c r="BY39" s="100">
        <v>19924.8</v>
      </c>
      <c r="BZ39" s="100">
        <v>18</v>
      </c>
      <c r="CA39" s="100">
        <v>25617.600000000002</v>
      </c>
      <c r="CB39" s="100">
        <v>12</v>
      </c>
      <c r="CC39" s="100">
        <v>17078.400000000001</v>
      </c>
      <c r="CD39" s="100">
        <v>17</v>
      </c>
      <c r="CE39" s="100">
        <v>24194.400000000001</v>
      </c>
      <c r="CF39" s="100">
        <v>13</v>
      </c>
      <c r="CG39" s="100">
        <v>18501.600000000002</v>
      </c>
      <c r="CH39" s="100">
        <v>18.291238665027532</v>
      </c>
      <c r="CI39" s="100">
        <v>26032.090868067186</v>
      </c>
      <c r="CJ39" s="100">
        <v>13.427471401634701</v>
      </c>
      <c r="CK39" s="100">
        <v>19109.977298806509</v>
      </c>
      <c r="CL39" s="100">
        <v>15.531123423236513</v>
      </c>
      <c r="CM39" s="100">
        <v>22103.894855950206</v>
      </c>
      <c r="CN39" s="100">
        <v>11</v>
      </c>
      <c r="CO39" s="100">
        <v>15655.2</v>
      </c>
      <c r="CP39" s="100">
        <v>12</v>
      </c>
      <c r="CQ39" s="100">
        <v>17078.400000000001</v>
      </c>
      <c r="CR39" s="100">
        <v>14</v>
      </c>
      <c r="CS39" s="100">
        <v>19924.8</v>
      </c>
      <c r="CT39" s="100">
        <v>16</v>
      </c>
      <c r="CU39" s="100">
        <v>22771.200000000001</v>
      </c>
    </row>
    <row r="40" spans="2:99">
      <c r="C40" s="99" t="s">
        <v>206</v>
      </c>
      <c r="D40" s="100">
        <v>17</v>
      </c>
      <c r="E40" s="100">
        <v>12321.599999999999</v>
      </c>
      <c r="F40" s="100">
        <v>14</v>
      </c>
      <c r="G40" s="100">
        <v>10147.199999999999</v>
      </c>
      <c r="H40" s="100">
        <v>10</v>
      </c>
      <c r="I40" s="100">
        <v>7248</v>
      </c>
      <c r="J40" s="100">
        <v>17</v>
      </c>
      <c r="K40" s="100">
        <v>12321.599999999999</v>
      </c>
      <c r="L40" s="100">
        <v>12</v>
      </c>
      <c r="M40" s="100">
        <v>8697.5999999999985</v>
      </c>
      <c r="N40" s="100">
        <v>12</v>
      </c>
      <c r="O40" s="100">
        <v>8697.5999999999985</v>
      </c>
      <c r="P40" s="100">
        <v>17.119807537653099</v>
      </c>
      <c r="Q40" s="100">
        <v>12408.436503290965</v>
      </c>
      <c r="R40" s="100">
        <v>12</v>
      </c>
      <c r="S40" s="100">
        <v>8697.5999999999985</v>
      </c>
      <c r="T40" s="100">
        <v>12</v>
      </c>
      <c r="U40" s="100">
        <v>8697.5999999999985</v>
      </c>
      <c r="V40" s="100">
        <v>14.310699689839224</v>
      </c>
      <c r="W40" s="100">
        <v>10372.395135195469</v>
      </c>
      <c r="X40" s="100">
        <v>12.596695044066708</v>
      </c>
      <c r="Y40" s="100">
        <v>9130.0845679395497</v>
      </c>
      <c r="Z40" s="100">
        <v>13.48909315014826</v>
      </c>
      <c r="AA40" s="100">
        <v>9776.8947152274577</v>
      </c>
      <c r="AB40" s="100">
        <v>13</v>
      </c>
      <c r="AC40" s="100">
        <v>9422.4</v>
      </c>
      <c r="AD40" s="100">
        <v>12.218941206830275</v>
      </c>
      <c r="AE40" s="100">
        <v>8856.2885867105833</v>
      </c>
      <c r="AF40" s="100">
        <v>12</v>
      </c>
      <c r="AG40" s="100">
        <v>8697.5999999999985</v>
      </c>
      <c r="AH40" s="100">
        <v>13</v>
      </c>
      <c r="AI40" s="100">
        <v>9422.4</v>
      </c>
      <c r="AJ40" s="100">
        <v>19</v>
      </c>
      <c r="AK40" s="100">
        <v>13771.199999999999</v>
      </c>
      <c r="AL40" s="100">
        <v>18</v>
      </c>
      <c r="AM40" s="100">
        <v>13046.4</v>
      </c>
      <c r="AN40" s="100">
        <v>13</v>
      </c>
      <c r="AO40" s="100">
        <v>9422.4</v>
      </c>
      <c r="AP40" s="100">
        <v>11</v>
      </c>
      <c r="AQ40" s="100">
        <v>7972.7999999999993</v>
      </c>
      <c r="AR40" s="100">
        <v>13</v>
      </c>
      <c r="AS40" s="100">
        <v>9422.4</v>
      </c>
      <c r="AT40" s="100">
        <v>15</v>
      </c>
      <c r="AU40" s="100">
        <v>10872</v>
      </c>
      <c r="AV40" s="100">
        <v>13.103541456762757</v>
      </c>
      <c r="AW40" s="100">
        <v>9497.4468478616454</v>
      </c>
      <c r="AX40" s="100">
        <v>11.743350294487596</v>
      </c>
      <c r="AY40" s="100">
        <v>8511.5802934446092</v>
      </c>
      <c r="AZ40" s="100">
        <v>19</v>
      </c>
      <c r="BA40" s="100">
        <v>13771.199999999999</v>
      </c>
      <c r="BB40" s="100">
        <v>16.936078153935327</v>
      </c>
      <c r="BC40" s="100">
        <v>12275.269445972324</v>
      </c>
      <c r="BD40" s="100">
        <v>11</v>
      </c>
      <c r="BE40" s="100">
        <v>7972.7999999999993</v>
      </c>
      <c r="BF40" s="100">
        <v>10</v>
      </c>
      <c r="BG40" s="100">
        <v>7248</v>
      </c>
      <c r="BH40" s="100">
        <v>13</v>
      </c>
      <c r="BI40" s="100">
        <v>9422.4</v>
      </c>
      <c r="BJ40" s="100">
        <v>12</v>
      </c>
      <c r="BK40" s="100">
        <v>8697.5999999999985</v>
      </c>
      <c r="BL40" s="100">
        <v>11</v>
      </c>
      <c r="BM40" s="100">
        <v>7972.7999999999993</v>
      </c>
      <c r="BN40" s="100">
        <v>11.312691379898776</v>
      </c>
      <c r="BO40" s="100">
        <v>8199.4387121506334</v>
      </c>
      <c r="BP40" s="100">
        <v>9</v>
      </c>
      <c r="BQ40" s="100">
        <v>6523.2</v>
      </c>
      <c r="BR40" s="100">
        <v>14</v>
      </c>
      <c r="BS40" s="100">
        <v>10147.199999999999</v>
      </c>
      <c r="BT40" s="100">
        <v>13</v>
      </c>
      <c r="BU40" s="100">
        <v>9422.4</v>
      </c>
      <c r="BV40" s="100">
        <v>8.6593329237377734</v>
      </c>
      <c r="BW40" s="100">
        <v>6276.2845031251381</v>
      </c>
      <c r="BX40" s="100">
        <v>15</v>
      </c>
      <c r="BY40" s="100">
        <v>10872</v>
      </c>
      <c r="BZ40" s="100">
        <v>19</v>
      </c>
      <c r="CA40" s="100">
        <v>13771.199999999999</v>
      </c>
      <c r="CB40" s="100">
        <v>15</v>
      </c>
      <c r="CC40" s="100">
        <v>10872</v>
      </c>
      <c r="CD40" s="100">
        <v>17</v>
      </c>
      <c r="CE40" s="100">
        <v>12321.599999999999</v>
      </c>
      <c r="CF40" s="100">
        <v>14</v>
      </c>
      <c r="CG40" s="100">
        <v>10147.199999999999</v>
      </c>
      <c r="CH40" s="100">
        <v>18.291238665027532</v>
      </c>
      <c r="CI40" s="100">
        <v>13257.489784411953</v>
      </c>
      <c r="CJ40" s="100">
        <v>13.427471401634701</v>
      </c>
      <c r="CK40" s="100">
        <v>9732.2312719048314</v>
      </c>
      <c r="CL40" s="100">
        <v>17.165978520419305</v>
      </c>
      <c r="CM40" s="100">
        <v>12441.901231599912</v>
      </c>
      <c r="CN40" s="100">
        <v>11</v>
      </c>
      <c r="CO40" s="100">
        <v>7972.7999999999993</v>
      </c>
      <c r="CP40" s="100">
        <v>11</v>
      </c>
      <c r="CQ40" s="100">
        <v>7972.7999999999993</v>
      </c>
      <c r="CR40" s="100">
        <v>14</v>
      </c>
      <c r="CS40" s="100">
        <v>10147.199999999999</v>
      </c>
      <c r="CT40" s="100">
        <v>16</v>
      </c>
      <c r="CU40" s="100">
        <v>11596.8</v>
      </c>
    </row>
    <row r="41" spans="2:99">
      <c r="C41" s="99" t="s">
        <v>207</v>
      </c>
      <c r="D41" s="100">
        <v>17</v>
      </c>
      <c r="E41" s="100">
        <v>11220</v>
      </c>
      <c r="F41" s="100">
        <v>13</v>
      </c>
      <c r="G41" s="100">
        <v>8580</v>
      </c>
      <c r="H41" s="100">
        <v>10</v>
      </c>
      <c r="I41" s="100">
        <v>6600</v>
      </c>
      <c r="J41" s="100">
        <v>19</v>
      </c>
      <c r="K41" s="100">
        <v>12540</v>
      </c>
      <c r="L41" s="100">
        <v>13</v>
      </c>
      <c r="M41" s="100">
        <v>8580</v>
      </c>
      <c r="N41" s="100">
        <v>12</v>
      </c>
      <c r="O41" s="100">
        <v>7920</v>
      </c>
      <c r="P41" s="100">
        <v>16.168707118894595</v>
      </c>
      <c r="Q41" s="100">
        <v>10671.346698470432</v>
      </c>
      <c r="R41" s="100">
        <v>14</v>
      </c>
      <c r="S41" s="100">
        <v>9240</v>
      </c>
      <c r="T41" s="100">
        <v>13</v>
      </c>
      <c r="U41" s="100">
        <v>8580</v>
      </c>
      <c r="V41" s="100">
        <v>15.205118420454177</v>
      </c>
      <c r="W41" s="100">
        <v>10035.378157499757</v>
      </c>
      <c r="X41" s="100">
        <v>15.745868805083386</v>
      </c>
      <c r="Y41" s="100">
        <v>10392.273411355034</v>
      </c>
      <c r="Z41" s="100">
        <v>14.90899769226913</v>
      </c>
      <c r="AA41" s="100">
        <v>9839.9384768976252</v>
      </c>
      <c r="AB41" s="100">
        <v>13</v>
      </c>
      <c r="AC41" s="100">
        <v>8580</v>
      </c>
      <c r="AD41" s="100">
        <v>12.218941206830275</v>
      </c>
      <c r="AE41" s="100">
        <v>8064.5011965079811</v>
      </c>
      <c r="AF41" s="100">
        <v>10</v>
      </c>
      <c r="AG41" s="100">
        <v>6600</v>
      </c>
      <c r="AH41" s="100">
        <v>13</v>
      </c>
      <c r="AI41" s="100">
        <v>8580</v>
      </c>
      <c r="AJ41" s="100">
        <v>18</v>
      </c>
      <c r="AK41" s="100">
        <v>11880</v>
      </c>
      <c r="AL41" s="100">
        <v>17</v>
      </c>
      <c r="AM41" s="100">
        <v>11220</v>
      </c>
      <c r="AN41" s="100">
        <v>13</v>
      </c>
      <c r="AO41" s="100">
        <v>8580</v>
      </c>
      <c r="AP41" s="100">
        <v>11</v>
      </c>
      <c r="AQ41" s="100">
        <v>7260</v>
      </c>
      <c r="AR41" s="100">
        <v>13</v>
      </c>
      <c r="AS41" s="100">
        <v>8580</v>
      </c>
      <c r="AT41" s="100">
        <v>15</v>
      </c>
      <c r="AU41" s="100">
        <v>9900</v>
      </c>
      <c r="AV41" s="100">
        <v>13.103541456762757</v>
      </c>
      <c r="AW41" s="100">
        <v>8648.3373614634202</v>
      </c>
      <c r="AX41" s="100">
        <v>12.646684932525105</v>
      </c>
      <c r="AY41" s="100">
        <v>8346.8120554665693</v>
      </c>
      <c r="AZ41" s="100">
        <v>18</v>
      </c>
      <c r="BA41" s="100">
        <v>11880</v>
      </c>
      <c r="BB41" s="100">
        <v>17.93231804534329</v>
      </c>
      <c r="BC41" s="100">
        <v>11835.329909926571</v>
      </c>
      <c r="BD41" s="100">
        <v>11</v>
      </c>
      <c r="BE41" s="100">
        <v>7260</v>
      </c>
      <c r="BF41" s="100">
        <v>11</v>
      </c>
      <c r="BG41" s="100">
        <v>7260</v>
      </c>
      <c r="BH41" s="100">
        <v>14</v>
      </c>
      <c r="BI41" s="100">
        <v>9240</v>
      </c>
      <c r="BJ41" s="100">
        <v>12</v>
      </c>
      <c r="BK41" s="100">
        <v>7920</v>
      </c>
      <c r="BL41" s="100">
        <v>11</v>
      </c>
      <c r="BM41" s="100">
        <v>7260</v>
      </c>
      <c r="BN41" s="100">
        <v>13.05310543834474</v>
      </c>
      <c r="BO41" s="100">
        <v>8615.0495893075295</v>
      </c>
      <c r="BP41" s="100">
        <v>9</v>
      </c>
      <c r="BQ41" s="100">
        <v>5940</v>
      </c>
      <c r="BR41" s="100">
        <v>15</v>
      </c>
      <c r="BS41" s="100">
        <v>9900</v>
      </c>
      <c r="BT41" s="100">
        <v>13</v>
      </c>
      <c r="BU41" s="100">
        <v>8580</v>
      </c>
      <c r="BV41" s="100">
        <v>8.6593329237377734</v>
      </c>
      <c r="BW41" s="100">
        <v>5715.1597296669306</v>
      </c>
      <c r="BX41" s="100">
        <v>15</v>
      </c>
      <c r="BY41" s="100">
        <v>9900</v>
      </c>
      <c r="BZ41" s="100">
        <v>21</v>
      </c>
      <c r="CA41" s="100">
        <v>13860</v>
      </c>
      <c r="CB41" s="100">
        <v>15</v>
      </c>
      <c r="CC41" s="100">
        <v>9900</v>
      </c>
      <c r="CD41" s="100">
        <v>17</v>
      </c>
      <c r="CE41" s="100">
        <v>11220</v>
      </c>
      <c r="CF41" s="100">
        <v>14</v>
      </c>
      <c r="CG41" s="100">
        <v>9240</v>
      </c>
      <c r="CH41" s="100">
        <v>18.291238665027532</v>
      </c>
      <c r="CI41" s="100">
        <v>12072.217518918171</v>
      </c>
      <c r="CJ41" s="100">
        <v>13.427471401634701</v>
      </c>
      <c r="CK41" s="100">
        <v>8862.1311250789022</v>
      </c>
      <c r="CL41" s="100">
        <v>16.348550971827908</v>
      </c>
      <c r="CM41" s="100">
        <v>10790.043641406419</v>
      </c>
      <c r="CN41" s="100">
        <v>12</v>
      </c>
      <c r="CO41" s="100">
        <v>7920</v>
      </c>
      <c r="CP41" s="100">
        <v>11</v>
      </c>
      <c r="CQ41" s="100">
        <v>7260</v>
      </c>
      <c r="CR41" s="100">
        <v>15</v>
      </c>
      <c r="CS41" s="100">
        <v>9900</v>
      </c>
      <c r="CT41" s="100">
        <v>17</v>
      </c>
      <c r="CU41" s="100">
        <v>11220</v>
      </c>
    </row>
    <row r="42" spans="2:99">
      <c r="C42" s="99" t="s">
        <v>208</v>
      </c>
      <c r="D42" s="100">
        <v>14</v>
      </c>
      <c r="E42" s="100">
        <v>11844</v>
      </c>
      <c r="F42" s="100">
        <v>14</v>
      </c>
      <c r="G42" s="100">
        <v>11844</v>
      </c>
      <c r="H42" s="100">
        <v>11</v>
      </c>
      <c r="I42" s="100">
        <v>9306</v>
      </c>
      <c r="J42" s="100">
        <v>18</v>
      </c>
      <c r="K42" s="100">
        <v>15228</v>
      </c>
      <c r="L42" s="100">
        <v>12</v>
      </c>
      <c r="M42" s="100">
        <v>10152</v>
      </c>
      <c r="N42" s="100">
        <v>12</v>
      </c>
      <c r="O42" s="100">
        <v>10152</v>
      </c>
      <c r="P42" s="100">
        <v>15.217606700136088</v>
      </c>
      <c r="Q42" s="100">
        <v>12874.09526831513</v>
      </c>
      <c r="R42" s="100">
        <v>12</v>
      </c>
      <c r="S42" s="100">
        <v>10152</v>
      </c>
      <c r="T42" s="100">
        <v>12</v>
      </c>
      <c r="U42" s="100">
        <v>10152</v>
      </c>
      <c r="V42" s="100">
        <v>16.099537151069129</v>
      </c>
      <c r="W42" s="100">
        <v>13620.208429804483</v>
      </c>
      <c r="X42" s="100">
        <v>12.596695044066708</v>
      </c>
      <c r="Y42" s="100">
        <v>10656.804007280434</v>
      </c>
      <c r="Z42" s="100">
        <v>13.48909315014826</v>
      </c>
      <c r="AA42" s="100">
        <v>11411.772805025428</v>
      </c>
      <c r="AB42" s="100">
        <v>11</v>
      </c>
      <c r="AC42" s="100">
        <v>9306</v>
      </c>
      <c r="AD42" s="100">
        <v>13.158859761201834</v>
      </c>
      <c r="AE42" s="100">
        <v>11132.395357976751</v>
      </c>
      <c r="AF42" s="100">
        <v>11</v>
      </c>
      <c r="AG42" s="100">
        <v>9306</v>
      </c>
      <c r="AH42" s="100">
        <v>12</v>
      </c>
      <c r="AI42" s="100">
        <v>10152</v>
      </c>
      <c r="AJ42" s="100">
        <v>17</v>
      </c>
      <c r="AK42" s="100">
        <v>14382</v>
      </c>
      <c r="AL42" s="100">
        <v>16</v>
      </c>
      <c r="AM42" s="100">
        <v>13536</v>
      </c>
      <c r="AN42" s="100">
        <v>13</v>
      </c>
      <c r="AO42" s="100">
        <v>10998</v>
      </c>
      <c r="AP42" s="100">
        <v>12</v>
      </c>
      <c r="AQ42" s="100">
        <v>10152</v>
      </c>
      <c r="AR42" s="100">
        <v>12</v>
      </c>
      <c r="AS42" s="100">
        <v>10152</v>
      </c>
      <c r="AT42" s="100">
        <v>14</v>
      </c>
      <c r="AU42" s="100">
        <v>11844</v>
      </c>
      <c r="AV42" s="100">
        <v>12.167574209851132</v>
      </c>
      <c r="AW42" s="100">
        <v>10293.767781534058</v>
      </c>
      <c r="AX42" s="100">
        <v>11.743350294487596</v>
      </c>
      <c r="AY42" s="100">
        <v>9934.8743491365058</v>
      </c>
      <c r="AZ42" s="100">
        <v>17</v>
      </c>
      <c r="BA42" s="100">
        <v>14382</v>
      </c>
      <c r="BB42" s="100">
        <v>16.936078153935327</v>
      </c>
      <c r="BC42" s="100">
        <v>14327.922118229286</v>
      </c>
      <c r="BD42" s="100">
        <v>10</v>
      </c>
      <c r="BE42" s="100">
        <v>8460</v>
      </c>
      <c r="BF42" s="100">
        <v>10</v>
      </c>
      <c r="BG42" s="100">
        <v>8460</v>
      </c>
      <c r="BH42" s="100">
        <v>14</v>
      </c>
      <c r="BI42" s="100">
        <v>11844</v>
      </c>
      <c r="BJ42" s="100">
        <v>13</v>
      </c>
      <c r="BK42" s="100">
        <v>10998</v>
      </c>
      <c r="BL42" s="100">
        <v>12</v>
      </c>
      <c r="BM42" s="100">
        <v>10152</v>
      </c>
      <c r="BN42" s="100">
        <v>11.312691379898776</v>
      </c>
      <c r="BO42" s="100">
        <v>9570.5369073943657</v>
      </c>
      <c r="BP42" s="100">
        <v>11</v>
      </c>
      <c r="BQ42" s="100">
        <v>9306</v>
      </c>
      <c r="BR42" s="100">
        <v>15</v>
      </c>
      <c r="BS42" s="100">
        <v>12690</v>
      </c>
      <c r="BT42" s="100">
        <v>11</v>
      </c>
      <c r="BU42" s="100">
        <v>9306</v>
      </c>
      <c r="BV42" s="100">
        <v>10.391199508485327</v>
      </c>
      <c r="BW42" s="100">
        <v>8790.9547841785861</v>
      </c>
      <c r="BX42" s="100">
        <v>16</v>
      </c>
      <c r="BY42" s="100">
        <v>13536</v>
      </c>
      <c r="BZ42" s="100">
        <v>19</v>
      </c>
      <c r="CA42" s="100">
        <v>16074</v>
      </c>
      <c r="CB42" s="100">
        <v>14</v>
      </c>
      <c r="CC42" s="100">
        <v>11844</v>
      </c>
      <c r="CD42" s="100">
        <v>17</v>
      </c>
      <c r="CE42" s="100">
        <v>14382</v>
      </c>
      <c r="CF42" s="100">
        <v>13</v>
      </c>
      <c r="CG42" s="100">
        <v>10998</v>
      </c>
      <c r="CH42" s="100">
        <v>17.328541893183978</v>
      </c>
      <c r="CI42" s="100">
        <v>14659.946441633645</v>
      </c>
      <c r="CJ42" s="100">
        <v>15.345681601868229</v>
      </c>
      <c r="CK42" s="100">
        <v>12982.446635180522</v>
      </c>
      <c r="CL42" s="100">
        <v>13.896268326053722</v>
      </c>
      <c r="CM42" s="100">
        <v>11756.24300384145</v>
      </c>
      <c r="CN42" s="100">
        <v>10</v>
      </c>
      <c r="CO42" s="100">
        <v>8460</v>
      </c>
      <c r="CP42" s="100">
        <v>13</v>
      </c>
      <c r="CQ42" s="100">
        <v>10998</v>
      </c>
      <c r="CR42" s="100">
        <v>13</v>
      </c>
      <c r="CS42" s="100">
        <v>10998</v>
      </c>
      <c r="CT42" s="100">
        <v>18</v>
      </c>
      <c r="CU42" s="100">
        <v>15228</v>
      </c>
    </row>
    <row r="43" spans="2:99">
      <c r="C43" s="99" t="s">
        <v>209</v>
      </c>
      <c r="D43" s="100">
        <v>15</v>
      </c>
      <c r="E43" s="100">
        <v>15336</v>
      </c>
      <c r="F43" s="100">
        <v>13</v>
      </c>
      <c r="G43" s="100">
        <v>13291.199999999999</v>
      </c>
      <c r="H43" s="100">
        <v>10</v>
      </c>
      <c r="I43" s="100">
        <v>10224</v>
      </c>
      <c r="J43" s="100">
        <v>19</v>
      </c>
      <c r="K43" s="100">
        <v>19425.599999999999</v>
      </c>
      <c r="L43" s="100">
        <v>12</v>
      </c>
      <c r="M43" s="100">
        <v>12268.8</v>
      </c>
      <c r="N43" s="100">
        <v>12</v>
      </c>
      <c r="O43" s="100">
        <v>12268.8</v>
      </c>
      <c r="P43" s="100">
        <v>15.217606700136088</v>
      </c>
      <c r="Q43" s="100">
        <v>15558.481090219137</v>
      </c>
      <c r="R43" s="100">
        <v>12</v>
      </c>
      <c r="S43" s="100">
        <v>12268.8</v>
      </c>
      <c r="T43" s="100">
        <v>12</v>
      </c>
      <c r="U43" s="100">
        <v>12268.8</v>
      </c>
      <c r="V43" s="100">
        <v>14.310699689839224</v>
      </c>
      <c r="W43" s="100">
        <v>14631.259362891622</v>
      </c>
      <c r="X43" s="100">
        <v>12.596695044066708</v>
      </c>
      <c r="Y43" s="100">
        <v>12878.861013053802</v>
      </c>
      <c r="Z43" s="100">
        <v>14.199045421208696</v>
      </c>
      <c r="AA43" s="100">
        <v>14517.104038643771</v>
      </c>
      <c r="AB43" s="100">
        <v>11</v>
      </c>
      <c r="AC43" s="100">
        <v>11246.4</v>
      </c>
      <c r="AD43" s="100">
        <v>12.218941206830275</v>
      </c>
      <c r="AE43" s="100">
        <v>12492.645489863273</v>
      </c>
      <c r="AF43" s="100">
        <v>10</v>
      </c>
      <c r="AG43" s="100">
        <v>10224</v>
      </c>
      <c r="AH43" s="100">
        <v>13</v>
      </c>
      <c r="AI43" s="100">
        <v>13291.199999999999</v>
      </c>
      <c r="AJ43" s="100">
        <v>17</v>
      </c>
      <c r="AK43" s="100">
        <v>17380.8</v>
      </c>
      <c r="AL43" s="100">
        <v>16</v>
      </c>
      <c r="AM43" s="100">
        <v>16358.4</v>
      </c>
      <c r="AN43" s="100">
        <v>14</v>
      </c>
      <c r="AO43" s="100">
        <v>14313.6</v>
      </c>
      <c r="AP43" s="100">
        <v>12</v>
      </c>
      <c r="AQ43" s="100">
        <v>12268.8</v>
      </c>
      <c r="AR43" s="100">
        <v>13</v>
      </c>
      <c r="AS43" s="100">
        <v>13291.199999999999</v>
      </c>
      <c r="AT43" s="100">
        <v>13</v>
      </c>
      <c r="AU43" s="100">
        <v>13291.199999999999</v>
      </c>
      <c r="AV43" s="100">
        <v>12.167574209851132</v>
      </c>
      <c r="AW43" s="100">
        <v>12440.127872151797</v>
      </c>
      <c r="AX43" s="100">
        <v>11.743350294487596</v>
      </c>
      <c r="AY43" s="100">
        <v>12006.401341084118</v>
      </c>
      <c r="AZ43" s="100">
        <v>18</v>
      </c>
      <c r="BA43" s="100">
        <v>18403.2</v>
      </c>
      <c r="BB43" s="100">
        <v>18.92855793675125</v>
      </c>
      <c r="BC43" s="100">
        <v>19352.557634534478</v>
      </c>
      <c r="BD43" s="100">
        <v>11</v>
      </c>
      <c r="BE43" s="100">
        <v>11246.4</v>
      </c>
      <c r="BF43" s="100">
        <v>10</v>
      </c>
      <c r="BG43" s="100">
        <v>10224</v>
      </c>
      <c r="BH43" s="100">
        <v>11</v>
      </c>
      <c r="BI43" s="100">
        <v>11246.4</v>
      </c>
      <c r="BJ43" s="100">
        <v>12</v>
      </c>
      <c r="BK43" s="100">
        <v>12268.8</v>
      </c>
      <c r="BL43" s="100">
        <v>11</v>
      </c>
      <c r="BM43" s="100">
        <v>11246.4</v>
      </c>
      <c r="BN43" s="100">
        <v>12.182898409121758</v>
      </c>
      <c r="BO43" s="100">
        <v>12455.795333486085</v>
      </c>
      <c r="BP43" s="100">
        <v>11</v>
      </c>
      <c r="BQ43" s="100">
        <v>11246.4</v>
      </c>
      <c r="BR43" s="100">
        <v>14</v>
      </c>
      <c r="BS43" s="100">
        <v>14313.6</v>
      </c>
      <c r="BT43" s="100">
        <v>11</v>
      </c>
      <c r="BU43" s="100">
        <v>11246.4</v>
      </c>
      <c r="BV43" s="100">
        <v>9.5252662161115502</v>
      </c>
      <c r="BW43" s="100">
        <v>9738.6321793524494</v>
      </c>
      <c r="BX43" s="100">
        <v>14</v>
      </c>
      <c r="BY43" s="100">
        <v>14313.6</v>
      </c>
      <c r="BZ43" s="100">
        <v>20</v>
      </c>
      <c r="CA43" s="100">
        <v>20448</v>
      </c>
      <c r="CB43" s="100">
        <v>12</v>
      </c>
      <c r="CC43" s="100">
        <v>12268.8</v>
      </c>
      <c r="CD43" s="100">
        <v>16</v>
      </c>
      <c r="CE43" s="100">
        <v>16358.4</v>
      </c>
      <c r="CF43" s="100">
        <v>14</v>
      </c>
      <c r="CG43" s="100">
        <v>14313.6</v>
      </c>
      <c r="CH43" s="100">
        <v>18.291238665027532</v>
      </c>
      <c r="CI43" s="100">
        <v>18700.962411124146</v>
      </c>
      <c r="CJ43" s="100">
        <v>14.386576501751465</v>
      </c>
      <c r="CK43" s="100">
        <v>14708.835815390697</v>
      </c>
      <c r="CL43" s="100">
        <v>15.531123423236513</v>
      </c>
      <c r="CM43" s="100">
        <v>15879.020587917012</v>
      </c>
      <c r="CN43" s="100">
        <v>10</v>
      </c>
      <c r="CO43" s="100">
        <v>10224</v>
      </c>
      <c r="CP43" s="100">
        <v>13</v>
      </c>
      <c r="CQ43" s="100">
        <v>13291.199999999999</v>
      </c>
      <c r="CR43" s="100">
        <v>14</v>
      </c>
      <c r="CS43" s="100">
        <v>14313.6</v>
      </c>
      <c r="CT43" s="100">
        <v>17</v>
      </c>
      <c r="CU43" s="100">
        <v>17380.8</v>
      </c>
    </row>
    <row r="44" spans="2:99">
      <c r="C44" s="99" t="s">
        <v>210</v>
      </c>
      <c r="D44" s="100">
        <v>15</v>
      </c>
      <c r="E44" s="100">
        <v>15336</v>
      </c>
      <c r="F44" s="100">
        <v>14</v>
      </c>
      <c r="G44" s="100">
        <v>14313.6</v>
      </c>
      <c r="H44" s="100">
        <v>9</v>
      </c>
      <c r="I44" s="100">
        <v>9201.6</v>
      </c>
      <c r="J44" s="100">
        <v>19</v>
      </c>
      <c r="K44" s="100">
        <v>19425.599999999999</v>
      </c>
      <c r="L44" s="100">
        <v>12</v>
      </c>
      <c r="M44" s="100">
        <v>12268.8</v>
      </c>
      <c r="N44" s="100">
        <v>13</v>
      </c>
      <c r="O44" s="100">
        <v>13291.199999999999</v>
      </c>
      <c r="P44" s="100">
        <v>16.168707118894595</v>
      </c>
      <c r="Q44" s="100">
        <v>16530.886158357833</v>
      </c>
      <c r="R44" s="100">
        <v>13</v>
      </c>
      <c r="S44" s="100">
        <v>13291.199999999999</v>
      </c>
      <c r="T44" s="100">
        <v>12</v>
      </c>
      <c r="U44" s="100">
        <v>12268.8</v>
      </c>
      <c r="V44" s="100">
        <v>16.099537151069129</v>
      </c>
      <c r="W44" s="100">
        <v>16460.166783253077</v>
      </c>
      <c r="X44" s="100">
        <v>14.171281924575048</v>
      </c>
      <c r="Y44" s="100">
        <v>14488.718639685529</v>
      </c>
      <c r="Z44" s="100">
        <v>12.069188608027392</v>
      </c>
      <c r="AA44" s="100">
        <v>12339.538432847206</v>
      </c>
      <c r="AB44" s="100">
        <v>12</v>
      </c>
      <c r="AC44" s="100">
        <v>12268.8</v>
      </c>
      <c r="AD44" s="100">
        <v>12.218941206830275</v>
      </c>
      <c r="AE44" s="100">
        <v>12492.645489863273</v>
      </c>
      <c r="AF44" s="100">
        <v>11</v>
      </c>
      <c r="AG44" s="100">
        <v>11246.4</v>
      </c>
      <c r="AH44" s="100">
        <v>11</v>
      </c>
      <c r="AI44" s="100">
        <v>11246.4</v>
      </c>
      <c r="AJ44" s="100">
        <v>18</v>
      </c>
      <c r="AK44" s="100">
        <v>18403.2</v>
      </c>
      <c r="AL44" s="100">
        <v>18</v>
      </c>
      <c r="AM44" s="100">
        <v>18403.2</v>
      </c>
      <c r="AN44" s="100">
        <v>12</v>
      </c>
      <c r="AO44" s="100">
        <v>12268.8</v>
      </c>
      <c r="AP44" s="100">
        <v>11</v>
      </c>
      <c r="AQ44" s="100">
        <v>11246.4</v>
      </c>
      <c r="AR44" s="100">
        <v>12</v>
      </c>
      <c r="AS44" s="100">
        <v>12268.8</v>
      </c>
      <c r="AT44" s="100">
        <v>13</v>
      </c>
      <c r="AU44" s="100">
        <v>13291.199999999999</v>
      </c>
      <c r="AV44" s="100">
        <v>13.103541456762757</v>
      </c>
      <c r="AW44" s="100">
        <v>13397.060785394242</v>
      </c>
      <c r="AX44" s="100">
        <v>11.743350294487596</v>
      </c>
      <c r="AY44" s="100">
        <v>12006.401341084118</v>
      </c>
      <c r="AZ44" s="100">
        <v>17</v>
      </c>
      <c r="BA44" s="100">
        <v>17380.8</v>
      </c>
      <c r="BB44" s="100">
        <v>15.939838262527369</v>
      </c>
      <c r="BC44" s="100">
        <v>16296.890639607982</v>
      </c>
      <c r="BD44" s="100">
        <v>10</v>
      </c>
      <c r="BE44" s="100">
        <v>10224</v>
      </c>
      <c r="BF44" s="100">
        <v>10</v>
      </c>
      <c r="BG44" s="100">
        <v>10224</v>
      </c>
      <c r="BH44" s="100">
        <v>12</v>
      </c>
      <c r="BI44" s="100">
        <v>12268.8</v>
      </c>
      <c r="BJ44" s="100">
        <v>12</v>
      </c>
      <c r="BK44" s="100">
        <v>12268.8</v>
      </c>
      <c r="BL44" s="100">
        <v>11</v>
      </c>
      <c r="BM44" s="100">
        <v>11246.4</v>
      </c>
      <c r="BN44" s="100">
        <v>10.442484350675791</v>
      </c>
      <c r="BO44" s="100">
        <v>10676.396000130928</v>
      </c>
      <c r="BP44" s="100">
        <v>9</v>
      </c>
      <c r="BQ44" s="100">
        <v>9201.6</v>
      </c>
      <c r="BR44" s="100">
        <v>16</v>
      </c>
      <c r="BS44" s="100">
        <v>16358.4</v>
      </c>
      <c r="BT44" s="100">
        <v>12</v>
      </c>
      <c r="BU44" s="100">
        <v>12268.8</v>
      </c>
      <c r="BV44" s="100">
        <v>9.5252662161115502</v>
      </c>
      <c r="BW44" s="100">
        <v>9738.6321793524494</v>
      </c>
      <c r="BX44" s="100">
        <v>14</v>
      </c>
      <c r="BY44" s="100">
        <v>14313.6</v>
      </c>
      <c r="BZ44" s="100">
        <v>19</v>
      </c>
      <c r="CA44" s="100">
        <v>19425.599999999999</v>
      </c>
      <c r="CB44" s="100">
        <v>15</v>
      </c>
      <c r="CC44" s="100">
        <v>15336</v>
      </c>
      <c r="CD44" s="100">
        <v>17</v>
      </c>
      <c r="CE44" s="100">
        <v>17380.8</v>
      </c>
      <c r="CF44" s="100">
        <v>14</v>
      </c>
      <c r="CG44" s="100">
        <v>14313.6</v>
      </c>
      <c r="CH44" s="100">
        <v>20.216632208714639</v>
      </c>
      <c r="CI44" s="100">
        <v>20669.484770189847</v>
      </c>
      <c r="CJ44" s="100">
        <v>15.345681601868229</v>
      </c>
      <c r="CK44" s="100">
        <v>15689.424869750077</v>
      </c>
      <c r="CL44" s="100">
        <v>14.713695874645117</v>
      </c>
      <c r="CM44" s="100">
        <v>15043.282662237167</v>
      </c>
      <c r="CN44" s="100">
        <v>11</v>
      </c>
      <c r="CO44" s="100">
        <v>11246.4</v>
      </c>
      <c r="CP44" s="100">
        <v>12</v>
      </c>
      <c r="CQ44" s="100">
        <v>12268.8</v>
      </c>
      <c r="CR44" s="100">
        <v>13</v>
      </c>
      <c r="CS44" s="100">
        <v>13291.199999999999</v>
      </c>
      <c r="CT44" s="100">
        <v>16</v>
      </c>
      <c r="CU44" s="100">
        <v>16358.4</v>
      </c>
    </row>
    <row r="45" spans="2:99">
      <c r="C45" s="99" t="s">
        <v>211</v>
      </c>
      <c r="D45" s="100">
        <v>15</v>
      </c>
      <c r="E45" s="100">
        <v>18738</v>
      </c>
      <c r="F45" s="100">
        <v>13</v>
      </c>
      <c r="G45" s="100">
        <v>16239.6</v>
      </c>
      <c r="H45" s="100">
        <v>11</v>
      </c>
      <c r="I45" s="100">
        <v>13741.2</v>
      </c>
      <c r="J45" s="100">
        <v>18</v>
      </c>
      <c r="K45" s="100">
        <v>22485.600000000002</v>
      </c>
      <c r="L45" s="100">
        <v>11</v>
      </c>
      <c r="M45" s="100">
        <v>13741.2</v>
      </c>
      <c r="N45" s="100">
        <v>13</v>
      </c>
      <c r="O45" s="100">
        <v>16239.6</v>
      </c>
      <c r="P45" s="100">
        <v>15.217606700136088</v>
      </c>
      <c r="Q45" s="100">
        <v>19009.834289810002</v>
      </c>
      <c r="R45" s="100">
        <v>13</v>
      </c>
      <c r="S45" s="100">
        <v>16239.6</v>
      </c>
      <c r="T45" s="100">
        <v>11</v>
      </c>
      <c r="U45" s="100">
        <v>13741.2</v>
      </c>
      <c r="V45" s="100">
        <v>16.099537151069129</v>
      </c>
      <c r="W45" s="100">
        <v>20111.541809115555</v>
      </c>
      <c r="X45" s="100">
        <v>12.596695044066708</v>
      </c>
      <c r="Y45" s="100">
        <v>15735.791449048133</v>
      </c>
      <c r="Z45" s="100">
        <v>13.48909315014826</v>
      </c>
      <c r="AA45" s="100">
        <v>16850.575163165209</v>
      </c>
      <c r="AB45" s="100">
        <v>12</v>
      </c>
      <c r="AC45" s="100">
        <v>14990.400000000001</v>
      </c>
      <c r="AD45" s="100">
        <v>11.279022652458714</v>
      </c>
      <c r="AE45" s="100">
        <v>14089.755097451427</v>
      </c>
      <c r="AF45" s="100">
        <v>11</v>
      </c>
      <c r="AG45" s="100">
        <v>13741.2</v>
      </c>
      <c r="AH45" s="100">
        <v>12</v>
      </c>
      <c r="AI45" s="100">
        <v>14990.400000000001</v>
      </c>
      <c r="AJ45" s="100">
        <v>16</v>
      </c>
      <c r="AK45" s="100">
        <v>19987.2</v>
      </c>
      <c r="AL45" s="100">
        <v>15</v>
      </c>
      <c r="AM45" s="100">
        <v>18738</v>
      </c>
      <c r="AN45" s="100">
        <v>13</v>
      </c>
      <c r="AO45" s="100">
        <v>16239.6</v>
      </c>
      <c r="AP45" s="100">
        <v>12</v>
      </c>
      <c r="AQ45" s="100">
        <v>14990.400000000001</v>
      </c>
      <c r="AR45" s="100">
        <v>12</v>
      </c>
      <c r="AS45" s="100">
        <v>14990.400000000001</v>
      </c>
      <c r="AT45" s="100">
        <v>13</v>
      </c>
      <c r="AU45" s="100">
        <v>16239.6</v>
      </c>
      <c r="AV45" s="100">
        <v>13.103541456762757</v>
      </c>
      <c r="AW45" s="100">
        <v>16368.943987788038</v>
      </c>
      <c r="AX45" s="100">
        <v>11.743350294487596</v>
      </c>
      <c r="AY45" s="100">
        <v>14669.793187873905</v>
      </c>
      <c r="AZ45" s="100">
        <v>18</v>
      </c>
      <c r="BA45" s="100">
        <v>22485.600000000002</v>
      </c>
      <c r="BB45" s="100">
        <v>16.936078153935327</v>
      </c>
      <c r="BC45" s="100">
        <v>21156.548829896012</v>
      </c>
      <c r="BD45" s="100">
        <v>10</v>
      </c>
      <c r="BE45" s="100">
        <v>12492</v>
      </c>
      <c r="BF45" s="100">
        <v>9</v>
      </c>
      <c r="BG45" s="100">
        <v>11242.800000000001</v>
      </c>
      <c r="BH45" s="100">
        <v>12</v>
      </c>
      <c r="BI45" s="100">
        <v>14990.400000000001</v>
      </c>
      <c r="BJ45" s="100">
        <v>10</v>
      </c>
      <c r="BK45" s="100">
        <v>12492</v>
      </c>
      <c r="BL45" s="100">
        <v>12</v>
      </c>
      <c r="BM45" s="100">
        <v>14990.400000000001</v>
      </c>
      <c r="BN45" s="100">
        <v>11.312691379898776</v>
      </c>
      <c r="BO45" s="100">
        <v>14131.814071769551</v>
      </c>
      <c r="BP45" s="100">
        <v>9</v>
      </c>
      <c r="BQ45" s="100">
        <v>11242.800000000001</v>
      </c>
      <c r="BR45" s="100">
        <v>16</v>
      </c>
      <c r="BS45" s="100">
        <v>19987.2</v>
      </c>
      <c r="BT45" s="100">
        <v>12</v>
      </c>
      <c r="BU45" s="100">
        <v>14990.400000000001</v>
      </c>
      <c r="BV45" s="100">
        <v>8.6593329237377734</v>
      </c>
      <c r="BW45" s="100">
        <v>10817.238688333227</v>
      </c>
      <c r="BX45" s="100">
        <v>15</v>
      </c>
      <c r="BY45" s="100">
        <v>18738</v>
      </c>
      <c r="BZ45" s="100">
        <v>18</v>
      </c>
      <c r="CA45" s="100">
        <v>22485.600000000002</v>
      </c>
      <c r="CB45" s="100">
        <v>14</v>
      </c>
      <c r="CC45" s="100">
        <v>17488.8</v>
      </c>
      <c r="CD45" s="100">
        <v>15</v>
      </c>
      <c r="CE45" s="100">
        <v>18738</v>
      </c>
      <c r="CF45" s="100">
        <v>13</v>
      </c>
      <c r="CG45" s="100">
        <v>16239.6</v>
      </c>
      <c r="CH45" s="100">
        <v>17.328541893183978</v>
      </c>
      <c r="CI45" s="100">
        <v>21646.814532965425</v>
      </c>
      <c r="CJ45" s="100">
        <v>12.468366301517937</v>
      </c>
      <c r="CK45" s="100">
        <v>15575.483183856208</v>
      </c>
      <c r="CL45" s="100">
        <v>13.896268326053722</v>
      </c>
      <c r="CM45" s="100">
        <v>17359.21839290631</v>
      </c>
      <c r="CN45" s="100">
        <v>11</v>
      </c>
      <c r="CO45" s="100">
        <v>13741.2</v>
      </c>
      <c r="CP45" s="100">
        <v>12</v>
      </c>
      <c r="CQ45" s="100">
        <v>14990.400000000001</v>
      </c>
      <c r="CR45" s="100">
        <v>14</v>
      </c>
      <c r="CS45" s="100">
        <v>17488.8</v>
      </c>
      <c r="CT45" s="100">
        <v>17</v>
      </c>
      <c r="CU45" s="100">
        <v>21236.400000000001</v>
      </c>
    </row>
    <row r="46" spans="2:99">
      <c r="C46" s="99" t="s">
        <v>212</v>
      </c>
      <c r="D46" s="100">
        <v>15</v>
      </c>
      <c r="E46" s="100">
        <v>18180</v>
      </c>
      <c r="F46" s="100">
        <v>12</v>
      </c>
      <c r="G46" s="100">
        <v>14544</v>
      </c>
      <c r="H46" s="100">
        <v>10</v>
      </c>
      <c r="I46" s="100">
        <v>12120</v>
      </c>
      <c r="J46" s="100">
        <v>18</v>
      </c>
      <c r="K46" s="100">
        <v>21816</v>
      </c>
      <c r="L46" s="100">
        <v>13</v>
      </c>
      <c r="M46" s="100">
        <v>15756</v>
      </c>
      <c r="N46" s="100">
        <v>12</v>
      </c>
      <c r="O46" s="100">
        <v>14544</v>
      </c>
      <c r="P46" s="100">
        <v>15.217606700136088</v>
      </c>
      <c r="Q46" s="100">
        <v>18443.739320564939</v>
      </c>
      <c r="R46" s="100">
        <v>13</v>
      </c>
      <c r="S46" s="100">
        <v>15756</v>
      </c>
      <c r="T46" s="100">
        <v>11</v>
      </c>
      <c r="U46" s="100">
        <v>13332</v>
      </c>
      <c r="V46" s="100">
        <v>14.310699689839224</v>
      </c>
      <c r="W46" s="100">
        <v>17344.56802408514</v>
      </c>
      <c r="X46" s="100">
        <v>13.383988484320879</v>
      </c>
      <c r="Y46" s="100">
        <v>16221.394042996906</v>
      </c>
      <c r="Z46" s="100">
        <v>11.359236336966957</v>
      </c>
      <c r="AA46" s="100">
        <v>13767.394440403952</v>
      </c>
      <c r="AB46" s="100">
        <v>12</v>
      </c>
      <c r="AC46" s="100">
        <v>14544</v>
      </c>
      <c r="AD46" s="100">
        <v>10.339104098087155</v>
      </c>
      <c r="AE46" s="100">
        <v>12530.994166881632</v>
      </c>
      <c r="AF46" s="100">
        <v>10</v>
      </c>
      <c r="AG46" s="100">
        <v>12120</v>
      </c>
      <c r="AH46" s="100">
        <v>11</v>
      </c>
      <c r="AI46" s="100">
        <v>13332</v>
      </c>
      <c r="AJ46" s="100">
        <v>17</v>
      </c>
      <c r="AK46" s="100">
        <v>20604</v>
      </c>
      <c r="AL46" s="100">
        <v>16</v>
      </c>
      <c r="AM46" s="100">
        <v>19392</v>
      </c>
      <c r="AN46" s="100">
        <v>13</v>
      </c>
      <c r="AO46" s="100">
        <v>15756</v>
      </c>
      <c r="AP46" s="100">
        <v>11</v>
      </c>
      <c r="AQ46" s="100">
        <v>13332</v>
      </c>
      <c r="AR46" s="100">
        <v>11</v>
      </c>
      <c r="AS46" s="100">
        <v>13332</v>
      </c>
      <c r="AT46" s="100">
        <v>13</v>
      </c>
      <c r="AU46" s="100">
        <v>15756</v>
      </c>
      <c r="AV46" s="100">
        <v>13.103541456762757</v>
      </c>
      <c r="AW46" s="100">
        <v>15881.492245596462</v>
      </c>
      <c r="AX46" s="100">
        <v>11.743350294487596</v>
      </c>
      <c r="AY46" s="100">
        <v>14232.940556918968</v>
      </c>
      <c r="AZ46" s="100">
        <v>16</v>
      </c>
      <c r="BA46" s="100">
        <v>19392</v>
      </c>
      <c r="BB46" s="100">
        <v>15.939838262527369</v>
      </c>
      <c r="BC46" s="100">
        <v>19319.08397418317</v>
      </c>
      <c r="BD46" s="100">
        <v>9</v>
      </c>
      <c r="BE46" s="100">
        <v>10908</v>
      </c>
      <c r="BF46" s="100">
        <v>9</v>
      </c>
      <c r="BG46" s="100">
        <v>10908</v>
      </c>
      <c r="BH46" s="100">
        <v>12</v>
      </c>
      <c r="BI46" s="100">
        <v>14544</v>
      </c>
      <c r="BJ46" s="100">
        <v>12</v>
      </c>
      <c r="BK46" s="100">
        <v>14544</v>
      </c>
      <c r="BL46" s="100">
        <v>11</v>
      </c>
      <c r="BM46" s="100">
        <v>13332</v>
      </c>
      <c r="BN46" s="100">
        <v>10.442484350675791</v>
      </c>
      <c r="BO46" s="100">
        <v>12656.291033019059</v>
      </c>
      <c r="BP46" s="100">
        <v>10</v>
      </c>
      <c r="BQ46" s="100">
        <v>12120</v>
      </c>
      <c r="BR46" s="100">
        <v>15</v>
      </c>
      <c r="BS46" s="100">
        <v>18180</v>
      </c>
      <c r="BT46" s="100">
        <v>11</v>
      </c>
      <c r="BU46" s="100">
        <v>13332</v>
      </c>
      <c r="BV46" s="100">
        <v>8.6593329237377734</v>
      </c>
      <c r="BW46" s="100">
        <v>10495.111503570181</v>
      </c>
      <c r="BX46" s="100">
        <v>14</v>
      </c>
      <c r="BY46" s="100">
        <v>16968</v>
      </c>
      <c r="BZ46" s="100">
        <v>21</v>
      </c>
      <c r="CA46" s="100">
        <v>25452</v>
      </c>
      <c r="CB46" s="100">
        <v>12</v>
      </c>
      <c r="CC46" s="100">
        <v>14544</v>
      </c>
      <c r="CD46" s="100">
        <v>15</v>
      </c>
      <c r="CE46" s="100">
        <v>18180</v>
      </c>
      <c r="CF46" s="100">
        <v>13</v>
      </c>
      <c r="CG46" s="100">
        <v>15756</v>
      </c>
      <c r="CH46" s="100">
        <v>16.365845121340421</v>
      </c>
      <c r="CI46" s="100">
        <v>19835.40428706459</v>
      </c>
      <c r="CJ46" s="100">
        <v>14.386576501751465</v>
      </c>
      <c r="CK46" s="100">
        <v>17436.530720122777</v>
      </c>
      <c r="CL46" s="100">
        <v>15.531123423236513</v>
      </c>
      <c r="CM46" s="100">
        <v>18823.721588962653</v>
      </c>
      <c r="CN46" s="100">
        <v>11</v>
      </c>
      <c r="CO46" s="100">
        <v>13332</v>
      </c>
      <c r="CP46" s="100">
        <v>11</v>
      </c>
      <c r="CQ46" s="100">
        <v>13332</v>
      </c>
      <c r="CR46" s="100">
        <v>13</v>
      </c>
      <c r="CS46" s="100">
        <v>15756</v>
      </c>
      <c r="CT46" s="100">
        <v>17</v>
      </c>
      <c r="CU46" s="100">
        <v>20604</v>
      </c>
    </row>
    <row r="47" spans="2:99">
      <c r="C47" s="99" t="s">
        <v>213</v>
      </c>
      <c r="D47" s="100">
        <v>15</v>
      </c>
      <c r="E47" s="100">
        <v>22914</v>
      </c>
      <c r="F47" s="100">
        <v>12</v>
      </c>
      <c r="G47" s="100">
        <v>18331.199999999997</v>
      </c>
      <c r="H47" s="100">
        <v>10</v>
      </c>
      <c r="I47" s="100">
        <v>15276</v>
      </c>
      <c r="J47" s="100">
        <v>17</v>
      </c>
      <c r="K47" s="100">
        <v>25969.199999999997</v>
      </c>
      <c r="L47" s="100">
        <v>12</v>
      </c>
      <c r="M47" s="100">
        <v>18331.199999999997</v>
      </c>
      <c r="N47" s="100">
        <v>11</v>
      </c>
      <c r="O47" s="100">
        <v>16803.599999999999</v>
      </c>
      <c r="P47" s="100">
        <v>15.217606700136088</v>
      </c>
      <c r="Q47" s="100">
        <v>23246.415995127885</v>
      </c>
      <c r="R47" s="100">
        <v>13</v>
      </c>
      <c r="S47" s="100">
        <v>19858.8</v>
      </c>
      <c r="T47" s="100">
        <v>12</v>
      </c>
      <c r="U47" s="100">
        <v>18331.199999999997</v>
      </c>
      <c r="V47" s="100">
        <v>14.310699689839224</v>
      </c>
      <c r="W47" s="100">
        <v>21861.024846198397</v>
      </c>
      <c r="X47" s="100">
        <v>14.171281924575048</v>
      </c>
      <c r="Y47" s="100">
        <v>21648.050267980841</v>
      </c>
      <c r="Z47" s="100">
        <v>12.779140879087826</v>
      </c>
      <c r="AA47" s="100">
        <v>19521.415606894563</v>
      </c>
      <c r="AB47" s="100">
        <v>11</v>
      </c>
      <c r="AC47" s="100">
        <v>16803.599999999999</v>
      </c>
      <c r="AD47" s="100">
        <v>11.279022652458714</v>
      </c>
      <c r="AE47" s="100">
        <v>17229.835003895929</v>
      </c>
      <c r="AF47" s="100">
        <v>11</v>
      </c>
      <c r="AG47" s="100">
        <v>16803.599999999999</v>
      </c>
      <c r="AH47" s="100">
        <v>13</v>
      </c>
      <c r="AI47" s="100">
        <v>19858.8</v>
      </c>
      <c r="AJ47" s="100">
        <v>16</v>
      </c>
      <c r="AK47" s="100">
        <v>24441.599999999999</v>
      </c>
      <c r="AL47" s="100">
        <v>15</v>
      </c>
      <c r="AM47" s="100">
        <v>22914</v>
      </c>
      <c r="AN47" s="100">
        <v>12</v>
      </c>
      <c r="AO47" s="100">
        <v>18331.199999999997</v>
      </c>
      <c r="AP47" s="100">
        <v>12</v>
      </c>
      <c r="AQ47" s="100">
        <v>18331.199999999997</v>
      </c>
      <c r="AR47" s="100">
        <v>12</v>
      </c>
      <c r="AS47" s="100">
        <v>18331.199999999997</v>
      </c>
      <c r="AT47" s="100">
        <v>12</v>
      </c>
      <c r="AU47" s="100">
        <v>18331.199999999997</v>
      </c>
      <c r="AV47" s="100">
        <v>13.103541456762757</v>
      </c>
      <c r="AW47" s="100">
        <v>20016.969929350787</v>
      </c>
      <c r="AX47" s="100">
        <v>12.646684932525105</v>
      </c>
      <c r="AY47" s="100">
        <v>19319.07590292535</v>
      </c>
      <c r="AZ47" s="100">
        <v>18</v>
      </c>
      <c r="BA47" s="100">
        <v>27496.799999999999</v>
      </c>
      <c r="BB47" s="100">
        <v>14.943598371119407</v>
      </c>
      <c r="BC47" s="100">
        <v>22827.840871722005</v>
      </c>
      <c r="BD47" s="100">
        <v>10</v>
      </c>
      <c r="BE47" s="100">
        <v>15276</v>
      </c>
      <c r="BF47" s="100">
        <v>10</v>
      </c>
      <c r="BG47" s="100">
        <v>15276</v>
      </c>
      <c r="BH47" s="100">
        <v>12</v>
      </c>
      <c r="BI47" s="100">
        <v>18331.199999999997</v>
      </c>
      <c r="BJ47" s="100">
        <v>10</v>
      </c>
      <c r="BK47" s="100">
        <v>15276</v>
      </c>
      <c r="BL47" s="100">
        <v>12</v>
      </c>
      <c r="BM47" s="100">
        <v>18331.199999999997</v>
      </c>
      <c r="BN47" s="100">
        <v>9.572277321452809</v>
      </c>
      <c r="BO47" s="100">
        <v>14622.61083625131</v>
      </c>
      <c r="BP47" s="100">
        <v>9</v>
      </c>
      <c r="BQ47" s="100">
        <v>13748.4</v>
      </c>
      <c r="BR47" s="100">
        <v>15</v>
      </c>
      <c r="BS47" s="100">
        <v>22914</v>
      </c>
      <c r="BT47" s="100">
        <v>10</v>
      </c>
      <c r="BU47" s="100">
        <v>15276</v>
      </c>
      <c r="BV47" s="100">
        <v>9.5252662161115502</v>
      </c>
      <c r="BW47" s="100">
        <v>14550.796671732003</v>
      </c>
      <c r="BX47" s="100">
        <v>16</v>
      </c>
      <c r="BY47" s="100">
        <v>24441.599999999999</v>
      </c>
      <c r="BZ47" s="100">
        <v>19</v>
      </c>
      <c r="CA47" s="100">
        <v>29024.399999999998</v>
      </c>
      <c r="CB47" s="100">
        <v>13</v>
      </c>
      <c r="CC47" s="100">
        <v>19858.8</v>
      </c>
      <c r="CD47" s="100">
        <v>16</v>
      </c>
      <c r="CE47" s="100">
        <v>24441.599999999999</v>
      </c>
      <c r="CF47" s="100">
        <v>14</v>
      </c>
      <c r="CG47" s="100">
        <v>21386.399999999998</v>
      </c>
      <c r="CH47" s="100">
        <v>17.328541893183978</v>
      </c>
      <c r="CI47" s="100">
        <v>26471.080596027841</v>
      </c>
      <c r="CJ47" s="100">
        <v>13.427471401634701</v>
      </c>
      <c r="CK47" s="100">
        <v>20511.805313137167</v>
      </c>
      <c r="CL47" s="100">
        <v>14.713695874645117</v>
      </c>
      <c r="CM47" s="100">
        <v>22476.641818107881</v>
      </c>
      <c r="CN47" s="100">
        <v>11</v>
      </c>
      <c r="CO47" s="100">
        <v>16803.599999999999</v>
      </c>
      <c r="CP47" s="100">
        <v>11</v>
      </c>
      <c r="CQ47" s="100">
        <v>16803.599999999999</v>
      </c>
      <c r="CR47" s="100">
        <v>14</v>
      </c>
      <c r="CS47" s="100">
        <v>21386.399999999998</v>
      </c>
      <c r="CT47" s="100">
        <v>16</v>
      </c>
      <c r="CU47" s="100">
        <v>24441.599999999999</v>
      </c>
    </row>
    <row r="48" spans="2:99">
      <c r="C48" s="99" t="s">
        <v>214</v>
      </c>
      <c r="D48" s="100">
        <v>16</v>
      </c>
      <c r="E48" s="100">
        <v>13881.6</v>
      </c>
      <c r="F48" s="100">
        <v>13</v>
      </c>
      <c r="G48" s="100">
        <v>11278.800000000001</v>
      </c>
      <c r="H48" s="100">
        <v>11</v>
      </c>
      <c r="I48" s="100">
        <v>9543.6</v>
      </c>
      <c r="J48" s="100">
        <v>19</v>
      </c>
      <c r="K48" s="100">
        <v>16484.400000000001</v>
      </c>
      <c r="L48" s="100">
        <v>11</v>
      </c>
      <c r="M48" s="100">
        <v>9543.6</v>
      </c>
      <c r="N48" s="100">
        <v>14</v>
      </c>
      <c r="O48" s="100">
        <v>12146.4</v>
      </c>
      <c r="P48" s="100">
        <v>17.119807537653099</v>
      </c>
      <c r="Q48" s="100">
        <v>14853.145019667829</v>
      </c>
      <c r="R48" s="100">
        <v>12</v>
      </c>
      <c r="S48" s="100">
        <v>10411.200000000001</v>
      </c>
      <c r="T48" s="100">
        <v>13</v>
      </c>
      <c r="U48" s="100">
        <v>11278.800000000001</v>
      </c>
      <c r="V48" s="100">
        <v>16.099537151069129</v>
      </c>
      <c r="W48" s="100">
        <v>13967.958432267576</v>
      </c>
      <c r="X48" s="100">
        <v>14.958575364829215</v>
      </c>
      <c r="Y48" s="100">
        <v>12978.059986525828</v>
      </c>
      <c r="Z48" s="100">
        <v>14.199045421208696</v>
      </c>
      <c r="AA48" s="100">
        <v>12319.091807440665</v>
      </c>
      <c r="AB48" s="100">
        <v>12</v>
      </c>
      <c r="AC48" s="100">
        <v>10411.200000000001</v>
      </c>
      <c r="AD48" s="100">
        <v>11.279022652458714</v>
      </c>
      <c r="AE48" s="100">
        <v>9785.6800532731813</v>
      </c>
      <c r="AF48" s="100">
        <v>11</v>
      </c>
      <c r="AG48" s="100">
        <v>9543.6</v>
      </c>
      <c r="AH48" s="100">
        <v>12</v>
      </c>
      <c r="AI48" s="100">
        <v>10411.200000000001</v>
      </c>
      <c r="AJ48" s="100">
        <v>17</v>
      </c>
      <c r="AK48" s="100">
        <v>14749.2</v>
      </c>
      <c r="AL48" s="100">
        <v>17</v>
      </c>
      <c r="AM48" s="100">
        <v>14749.2</v>
      </c>
      <c r="AN48" s="100">
        <v>12</v>
      </c>
      <c r="AO48" s="100">
        <v>10411.200000000001</v>
      </c>
      <c r="AP48" s="100">
        <v>12</v>
      </c>
      <c r="AQ48" s="100">
        <v>10411.200000000001</v>
      </c>
      <c r="AR48" s="100">
        <v>12</v>
      </c>
      <c r="AS48" s="100">
        <v>10411.200000000001</v>
      </c>
      <c r="AT48" s="100">
        <v>13</v>
      </c>
      <c r="AU48" s="100">
        <v>11278.800000000001</v>
      </c>
      <c r="AV48" s="100">
        <v>13.103541456762757</v>
      </c>
      <c r="AW48" s="100">
        <v>11368.632567887369</v>
      </c>
      <c r="AX48" s="100">
        <v>11.743350294487596</v>
      </c>
      <c r="AY48" s="100">
        <v>10188.53071549744</v>
      </c>
      <c r="AZ48" s="100">
        <v>16</v>
      </c>
      <c r="BA48" s="100">
        <v>13881.6</v>
      </c>
      <c r="BB48" s="100">
        <v>16.936078153935327</v>
      </c>
      <c r="BC48" s="100">
        <v>14693.741406354289</v>
      </c>
      <c r="BD48" s="100">
        <v>11</v>
      </c>
      <c r="BE48" s="100">
        <v>9543.6</v>
      </c>
      <c r="BF48" s="100">
        <v>10</v>
      </c>
      <c r="BG48" s="100">
        <v>8676</v>
      </c>
      <c r="BH48" s="100">
        <v>12</v>
      </c>
      <c r="BI48" s="100">
        <v>10411.200000000001</v>
      </c>
      <c r="BJ48" s="100">
        <v>12</v>
      </c>
      <c r="BK48" s="100">
        <v>10411.200000000001</v>
      </c>
      <c r="BL48" s="100">
        <v>12</v>
      </c>
      <c r="BM48" s="100">
        <v>10411.200000000001</v>
      </c>
      <c r="BN48" s="100">
        <v>11.312691379898776</v>
      </c>
      <c r="BO48" s="100">
        <v>9814.8910412001787</v>
      </c>
      <c r="BP48" s="100">
        <v>10</v>
      </c>
      <c r="BQ48" s="100">
        <v>8676</v>
      </c>
      <c r="BR48" s="100">
        <v>17</v>
      </c>
      <c r="BS48" s="100">
        <v>14749.2</v>
      </c>
      <c r="BT48" s="100">
        <v>11</v>
      </c>
      <c r="BU48" s="100">
        <v>9543.6</v>
      </c>
      <c r="BV48" s="100">
        <v>10.391199508485327</v>
      </c>
      <c r="BW48" s="100">
        <v>9015.4046935618699</v>
      </c>
      <c r="BX48" s="100">
        <v>15</v>
      </c>
      <c r="BY48" s="100">
        <v>13014</v>
      </c>
      <c r="BZ48" s="100">
        <v>19</v>
      </c>
      <c r="CA48" s="100">
        <v>16484.400000000001</v>
      </c>
      <c r="CB48" s="100">
        <v>13</v>
      </c>
      <c r="CC48" s="100">
        <v>11278.800000000001</v>
      </c>
      <c r="CD48" s="100">
        <v>17</v>
      </c>
      <c r="CE48" s="100">
        <v>14749.2</v>
      </c>
      <c r="CF48" s="100">
        <v>13</v>
      </c>
      <c r="CG48" s="100">
        <v>11278.800000000001</v>
      </c>
      <c r="CH48" s="100">
        <v>16.365845121340421</v>
      </c>
      <c r="CI48" s="100">
        <v>14199.007227274949</v>
      </c>
      <c r="CJ48" s="100">
        <v>13.427471401634701</v>
      </c>
      <c r="CK48" s="100">
        <v>11649.674188058267</v>
      </c>
      <c r="CL48" s="100">
        <v>14.713695874645117</v>
      </c>
      <c r="CM48" s="100">
        <v>12765.602540842103</v>
      </c>
      <c r="CN48" s="100">
        <v>11</v>
      </c>
      <c r="CO48" s="100">
        <v>9543.6</v>
      </c>
      <c r="CP48" s="100">
        <v>11</v>
      </c>
      <c r="CQ48" s="100">
        <v>9543.6</v>
      </c>
      <c r="CR48" s="100">
        <v>13</v>
      </c>
      <c r="CS48" s="100">
        <v>11278.800000000001</v>
      </c>
      <c r="CT48" s="100">
        <v>15</v>
      </c>
      <c r="CU48" s="100">
        <v>13014</v>
      </c>
    </row>
    <row r="49" spans="2:99">
      <c r="B49" s="99" t="s">
        <v>129</v>
      </c>
      <c r="C49" s="99" t="s">
        <v>215</v>
      </c>
      <c r="D49" s="100">
        <v>16</v>
      </c>
      <c r="E49" s="100">
        <v>15763.199999999999</v>
      </c>
      <c r="F49" s="100">
        <v>14.5</v>
      </c>
      <c r="G49" s="100">
        <v>14285.4</v>
      </c>
      <c r="H49" s="100">
        <v>9.3902439024390247</v>
      </c>
      <c r="I49" s="100">
        <v>9251.2682926829257</v>
      </c>
      <c r="J49" s="100">
        <v>13.066666666666666</v>
      </c>
      <c r="K49" s="100">
        <v>12873.279999999999</v>
      </c>
      <c r="L49" s="100">
        <v>12.5</v>
      </c>
      <c r="M49" s="100">
        <v>12315</v>
      </c>
      <c r="N49" s="100">
        <v>17</v>
      </c>
      <c r="O49" s="100">
        <v>16748.399999999998</v>
      </c>
      <c r="P49" s="100">
        <v>17</v>
      </c>
      <c r="Q49" s="100">
        <v>16748.399999999998</v>
      </c>
      <c r="R49" s="100">
        <v>11</v>
      </c>
      <c r="S49" s="100">
        <v>10837.199999999999</v>
      </c>
      <c r="T49" s="100">
        <v>15</v>
      </c>
      <c r="U49" s="100">
        <v>14777.999999999998</v>
      </c>
      <c r="V49" s="100">
        <v>11</v>
      </c>
      <c r="W49" s="100">
        <v>10837.199999999999</v>
      </c>
      <c r="X49" s="100">
        <v>11</v>
      </c>
      <c r="Y49" s="100">
        <v>10837.199999999999</v>
      </c>
      <c r="Z49" s="100">
        <v>13</v>
      </c>
      <c r="AA49" s="100">
        <v>12807.599999999999</v>
      </c>
      <c r="AB49" s="100">
        <v>2.8405797101449277</v>
      </c>
      <c r="AC49" s="100">
        <v>2798.5391304347827</v>
      </c>
      <c r="AD49" s="100">
        <v>5.0300340715764982E-22</v>
      </c>
      <c r="AE49" s="100">
        <v>4.9555895673171657E-19</v>
      </c>
      <c r="AF49" s="100">
        <v>1.4722050941199506E-22</v>
      </c>
      <c r="AG49" s="100">
        <v>1.4504164587269751E-19</v>
      </c>
      <c r="AH49" s="100">
        <v>1.8794857848285838E-22</v>
      </c>
      <c r="AI49" s="100">
        <v>1.8516693952131205E-19</v>
      </c>
      <c r="AJ49" s="100">
        <v>14.082840236686391</v>
      </c>
      <c r="AK49" s="100">
        <v>13874.41420118343</v>
      </c>
      <c r="AL49" s="100">
        <v>10</v>
      </c>
      <c r="AM49" s="100">
        <v>9852</v>
      </c>
      <c r="AN49" s="100">
        <v>11</v>
      </c>
      <c r="AO49" s="100">
        <v>10837.199999999999</v>
      </c>
      <c r="AP49" s="100">
        <v>14</v>
      </c>
      <c r="AQ49" s="100">
        <v>13792.8</v>
      </c>
      <c r="AR49" s="100">
        <v>9</v>
      </c>
      <c r="AS49" s="100">
        <v>8866.7999999999993</v>
      </c>
      <c r="AT49" s="100">
        <v>12</v>
      </c>
      <c r="AU49" s="100">
        <v>11822.4</v>
      </c>
      <c r="AV49" s="100">
        <v>17</v>
      </c>
      <c r="AW49" s="100">
        <v>16748.399999999998</v>
      </c>
      <c r="AX49" s="100">
        <v>14</v>
      </c>
      <c r="AY49" s="100">
        <v>13792.8</v>
      </c>
      <c r="AZ49" s="100">
        <v>6.1651593614045792</v>
      </c>
      <c r="BA49" s="100">
        <v>6073.9150028557906</v>
      </c>
      <c r="BB49" s="100">
        <v>2.3641590131496227E-22</v>
      </c>
      <c r="BC49" s="100">
        <v>2.3291694597550081E-19</v>
      </c>
      <c r="BD49" s="100">
        <v>1.8355212050665116E-22</v>
      </c>
      <c r="BE49" s="100">
        <v>1.8083554912315272E-19</v>
      </c>
      <c r="BF49" s="100">
        <v>1.3339316874899001E-22</v>
      </c>
      <c r="BG49" s="100">
        <v>1.3141894985150496E-19</v>
      </c>
      <c r="BH49" s="100">
        <v>10</v>
      </c>
      <c r="BI49" s="100">
        <v>9852</v>
      </c>
      <c r="BJ49" s="100">
        <v>7.9489051094890515</v>
      </c>
      <c r="BK49" s="100">
        <v>7831.2613138686129</v>
      </c>
      <c r="BL49" s="100">
        <v>8</v>
      </c>
      <c r="BM49" s="100">
        <v>7881.5999999999995</v>
      </c>
      <c r="BN49" s="100">
        <v>7.419354838709677</v>
      </c>
      <c r="BO49" s="100">
        <v>7309.5483870967737</v>
      </c>
      <c r="BP49" s="100">
        <v>10.606060606060606</v>
      </c>
      <c r="BQ49" s="100">
        <v>10449.090909090908</v>
      </c>
      <c r="BR49" s="100">
        <v>7.9545454545454541</v>
      </c>
      <c r="BS49" s="100">
        <v>7836.8181818181811</v>
      </c>
      <c r="BT49" s="100">
        <v>14.4</v>
      </c>
      <c r="BU49" s="100">
        <v>14186.88</v>
      </c>
      <c r="BV49" s="100">
        <v>16</v>
      </c>
      <c r="BW49" s="100">
        <v>15763.199999999999</v>
      </c>
      <c r="BX49" s="100">
        <v>12</v>
      </c>
      <c r="BY49" s="100">
        <v>11822.4</v>
      </c>
      <c r="BZ49" s="100">
        <v>13</v>
      </c>
      <c r="CA49" s="100">
        <v>12807.599999999999</v>
      </c>
      <c r="CB49" s="100">
        <v>12.789473684210526</v>
      </c>
      <c r="CC49" s="100">
        <v>12600.18947368421</v>
      </c>
      <c r="CD49" s="100">
        <v>11</v>
      </c>
      <c r="CE49" s="100">
        <v>10837.199999999999</v>
      </c>
      <c r="CF49" s="100">
        <v>12</v>
      </c>
      <c r="CG49" s="100">
        <v>11822.4</v>
      </c>
      <c r="CH49" s="100">
        <v>13</v>
      </c>
      <c r="CI49" s="100">
        <v>12807.599999999999</v>
      </c>
      <c r="CJ49" s="100">
        <v>13</v>
      </c>
      <c r="CK49" s="100">
        <v>12807.599999999999</v>
      </c>
      <c r="CL49" s="100">
        <v>14</v>
      </c>
      <c r="CM49" s="100">
        <v>13792.8</v>
      </c>
      <c r="CN49" s="100">
        <v>11</v>
      </c>
      <c r="CO49" s="100">
        <v>10837.199999999999</v>
      </c>
      <c r="CP49" s="100">
        <v>9</v>
      </c>
      <c r="CQ49" s="100">
        <v>8866.7999999999993</v>
      </c>
      <c r="CR49" s="100">
        <v>15</v>
      </c>
      <c r="CS49" s="100">
        <v>14777.999999999998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16</v>
      </c>
      <c r="E50" s="100">
        <v>4512</v>
      </c>
      <c r="F50" s="100">
        <v>18</v>
      </c>
      <c r="G50" s="100">
        <v>5076</v>
      </c>
      <c r="H50" s="100">
        <v>12</v>
      </c>
      <c r="I50" s="100">
        <v>3384</v>
      </c>
      <c r="J50" s="100">
        <v>15</v>
      </c>
      <c r="K50" s="100">
        <v>4230</v>
      </c>
      <c r="L50" s="100">
        <v>15</v>
      </c>
      <c r="M50" s="100">
        <v>4230</v>
      </c>
      <c r="N50" s="100">
        <v>17</v>
      </c>
      <c r="O50" s="100">
        <v>4794</v>
      </c>
      <c r="P50" s="100">
        <v>17.119807537653099</v>
      </c>
      <c r="Q50" s="100">
        <v>4827.7857256181742</v>
      </c>
      <c r="R50" s="100">
        <v>12</v>
      </c>
      <c r="S50" s="100">
        <v>3384</v>
      </c>
      <c r="T50" s="100">
        <v>17</v>
      </c>
      <c r="U50" s="100">
        <v>4794</v>
      </c>
      <c r="V50" s="100">
        <v>10.733024767379419</v>
      </c>
      <c r="W50" s="100">
        <v>3026.712984400996</v>
      </c>
      <c r="X50" s="100">
        <v>7.8729344025416932</v>
      </c>
      <c r="Y50" s="100">
        <v>2220.1675015167575</v>
      </c>
      <c r="Z50" s="100">
        <v>11.359236336966957</v>
      </c>
      <c r="AA50" s="100">
        <v>3203.3046470246818</v>
      </c>
      <c r="AB50" s="100">
        <v>9</v>
      </c>
      <c r="AC50" s="100">
        <v>2538</v>
      </c>
      <c r="AD50" s="100">
        <v>15.978615424316512</v>
      </c>
      <c r="AE50" s="100">
        <v>4505.9695496572567</v>
      </c>
      <c r="AF50" s="100">
        <v>12</v>
      </c>
      <c r="AG50" s="100">
        <v>3384</v>
      </c>
      <c r="AH50" s="100">
        <v>14</v>
      </c>
      <c r="AI50" s="100">
        <v>3948</v>
      </c>
      <c r="AJ50" s="100">
        <v>17</v>
      </c>
      <c r="AK50" s="100">
        <v>4794</v>
      </c>
      <c r="AL50" s="100">
        <v>12</v>
      </c>
      <c r="AM50" s="100">
        <v>3384</v>
      </c>
      <c r="AN50" s="100">
        <v>12</v>
      </c>
      <c r="AO50" s="100">
        <v>3384</v>
      </c>
      <c r="AP50" s="100">
        <v>14</v>
      </c>
      <c r="AQ50" s="100">
        <v>3948</v>
      </c>
      <c r="AR50" s="100">
        <v>10</v>
      </c>
      <c r="AS50" s="100">
        <v>2820</v>
      </c>
      <c r="AT50" s="100">
        <v>14</v>
      </c>
      <c r="AU50" s="100">
        <v>3948</v>
      </c>
      <c r="AV50" s="100">
        <v>15.911443197497633</v>
      </c>
      <c r="AW50" s="100">
        <v>4487.0269816943328</v>
      </c>
      <c r="AX50" s="100">
        <v>12.646684932525105</v>
      </c>
      <c r="AY50" s="100">
        <v>3566.3651509720794</v>
      </c>
      <c r="AZ50" s="100">
        <v>13</v>
      </c>
      <c r="BA50" s="100">
        <v>3666</v>
      </c>
      <c r="BB50" s="100">
        <v>14.943598371119407</v>
      </c>
      <c r="BC50" s="100">
        <v>4214.0947406556725</v>
      </c>
      <c r="BD50" s="100">
        <v>15</v>
      </c>
      <c r="BE50" s="100">
        <v>4230</v>
      </c>
      <c r="BF50" s="100">
        <v>12</v>
      </c>
      <c r="BG50" s="100">
        <v>3384</v>
      </c>
      <c r="BH50" s="100">
        <v>11</v>
      </c>
      <c r="BI50" s="100">
        <v>3102</v>
      </c>
      <c r="BJ50" s="100">
        <v>10</v>
      </c>
      <c r="BK50" s="100">
        <v>2820</v>
      </c>
      <c r="BL50" s="100">
        <v>10</v>
      </c>
      <c r="BM50" s="100">
        <v>2820</v>
      </c>
      <c r="BN50" s="100">
        <v>12.182898409121758</v>
      </c>
      <c r="BO50" s="100">
        <v>3435.5773513723357</v>
      </c>
      <c r="BP50" s="100">
        <v>16</v>
      </c>
      <c r="BQ50" s="100">
        <v>4512</v>
      </c>
      <c r="BR50" s="100">
        <v>11</v>
      </c>
      <c r="BS50" s="100">
        <v>3102</v>
      </c>
      <c r="BT50" s="100">
        <v>16</v>
      </c>
      <c r="BU50" s="100">
        <v>4512</v>
      </c>
      <c r="BV50" s="100">
        <v>13.854932677980438</v>
      </c>
      <c r="BW50" s="100">
        <v>3907.0910151904836</v>
      </c>
      <c r="BX50" s="100">
        <v>13</v>
      </c>
      <c r="BY50" s="100">
        <v>3666</v>
      </c>
      <c r="BZ50" s="100">
        <v>14</v>
      </c>
      <c r="CA50" s="100">
        <v>3948</v>
      </c>
      <c r="CB50" s="100">
        <v>16</v>
      </c>
      <c r="CC50" s="100">
        <v>4512</v>
      </c>
      <c r="CD50" s="100">
        <v>12</v>
      </c>
      <c r="CE50" s="100">
        <v>3384</v>
      </c>
      <c r="CF50" s="100">
        <v>14</v>
      </c>
      <c r="CG50" s="100">
        <v>3948</v>
      </c>
      <c r="CH50" s="100">
        <v>14.440451577653315</v>
      </c>
      <c r="CI50" s="100">
        <v>4072.2073448982346</v>
      </c>
      <c r="CJ50" s="100">
        <v>12.468366301517937</v>
      </c>
      <c r="CK50" s="100">
        <v>3516.0792970280581</v>
      </c>
      <c r="CL50" s="100">
        <v>12.26141322887093</v>
      </c>
      <c r="CM50" s="100">
        <v>3457.7185305416024</v>
      </c>
      <c r="CN50" s="100">
        <v>10</v>
      </c>
      <c r="CO50" s="100">
        <v>2820</v>
      </c>
      <c r="CP50" s="100">
        <v>10</v>
      </c>
      <c r="CQ50" s="100">
        <v>2820</v>
      </c>
      <c r="CR50" s="100">
        <v>18</v>
      </c>
      <c r="CS50" s="100">
        <v>5076</v>
      </c>
      <c r="CT50" s="100">
        <v>9</v>
      </c>
      <c r="CU50" s="100">
        <v>2538</v>
      </c>
    </row>
    <row r="51" spans="2:99">
      <c r="C51" s="99" t="s">
        <v>217</v>
      </c>
      <c r="D51" s="100">
        <v>17</v>
      </c>
      <c r="E51" s="100">
        <v>14524.8</v>
      </c>
      <c r="F51" s="100">
        <v>18</v>
      </c>
      <c r="G51" s="100">
        <v>15379.199999999999</v>
      </c>
      <c r="H51" s="100">
        <v>12</v>
      </c>
      <c r="I51" s="100">
        <v>10252.799999999999</v>
      </c>
      <c r="J51" s="100">
        <v>15</v>
      </c>
      <c r="K51" s="100">
        <v>12816</v>
      </c>
      <c r="L51" s="100">
        <v>14</v>
      </c>
      <c r="M51" s="100">
        <v>11961.6</v>
      </c>
      <c r="N51" s="100">
        <v>17</v>
      </c>
      <c r="O51" s="100">
        <v>14524.8</v>
      </c>
      <c r="P51" s="100">
        <v>16.168707118894595</v>
      </c>
      <c r="Q51" s="100">
        <v>13814.543362383542</v>
      </c>
      <c r="R51" s="100">
        <v>11</v>
      </c>
      <c r="S51" s="100">
        <v>9398.4</v>
      </c>
      <c r="T51" s="100">
        <v>15</v>
      </c>
      <c r="U51" s="100">
        <v>12816</v>
      </c>
      <c r="V51" s="100">
        <v>9.8386060367644674</v>
      </c>
      <c r="W51" s="100">
        <v>8406.1049978115607</v>
      </c>
      <c r="X51" s="100">
        <v>8.6602278427958623</v>
      </c>
      <c r="Y51" s="100">
        <v>7399.298668884785</v>
      </c>
      <c r="Z51" s="100">
        <v>10.649284065906523</v>
      </c>
      <c r="AA51" s="100">
        <v>9098.7483059105325</v>
      </c>
      <c r="AB51" s="100">
        <v>8</v>
      </c>
      <c r="AC51" s="100">
        <v>6835.2</v>
      </c>
      <c r="AD51" s="100">
        <v>15.038696869944953</v>
      </c>
      <c r="AE51" s="100">
        <v>12849.062605680967</v>
      </c>
      <c r="AF51" s="100">
        <v>10</v>
      </c>
      <c r="AG51" s="100">
        <v>8544</v>
      </c>
      <c r="AH51" s="100">
        <v>13</v>
      </c>
      <c r="AI51" s="100">
        <v>11107.199999999999</v>
      </c>
      <c r="AJ51" s="100">
        <v>16</v>
      </c>
      <c r="AK51" s="100">
        <v>13670.4</v>
      </c>
      <c r="AL51" s="100">
        <v>12</v>
      </c>
      <c r="AM51" s="100">
        <v>10252.799999999999</v>
      </c>
      <c r="AN51" s="100">
        <v>13</v>
      </c>
      <c r="AO51" s="100">
        <v>11107.199999999999</v>
      </c>
      <c r="AP51" s="100">
        <v>14</v>
      </c>
      <c r="AQ51" s="100">
        <v>11961.6</v>
      </c>
      <c r="AR51" s="100">
        <v>10</v>
      </c>
      <c r="AS51" s="100">
        <v>8544</v>
      </c>
      <c r="AT51" s="100">
        <v>13</v>
      </c>
      <c r="AU51" s="100">
        <v>11107.199999999999</v>
      </c>
      <c r="AV51" s="100">
        <v>15.911443197497633</v>
      </c>
      <c r="AW51" s="100">
        <v>13594.737067941976</v>
      </c>
      <c r="AX51" s="100">
        <v>12.646684932525105</v>
      </c>
      <c r="AY51" s="100">
        <v>10805.327606349449</v>
      </c>
      <c r="AZ51" s="100">
        <v>13</v>
      </c>
      <c r="BA51" s="100">
        <v>11107.199999999999</v>
      </c>
      <c r="BB51" s="100">
        <v>12.951118588303487</v>
      </c>
      <c r="BC51" s="100">
        <v>11065.435721846499</v>
      </c>
      <c r="BD51" s="100">
        <v>15</v>
      </c>
      <c r="BE51" s="100">
        <v>12816</v>
      </c>
      <c r="BF51" s="100">
        <v>12</v>
      </c>
      <c r="BG51" s="100">
        <v>10252.799999999999</v>
      </c>
      <c r="BH51" s="100">
        <v>10</v>
      </c>
      <c r="BI51" s="100">
        <v>8544</v>
      </c>
      <c r="BJ51" s="100">
        <v>9</v>
      </c>
      <c r="BK51" s="100">
        <v>7689.5999999999995</v>
      </c>
      <c r="BL51" s="100">
        <v>9</v>
      </c>
      <c r="BM51" s="100">
        <v>7689.5999999999995</v>
      </c>
      <c r="BN51" s="100">
        <v>11.312691379898776</v>
      </c>
      <c r="BO51" s="100">
        <v>9665.5635149855152</v>
      </c>
      <c r="BP51" s="100">
        <v>15</v>
      </c>
      <c r="BQ51" s="100">
        <v>12816</v>
      </c>
      <c r="BR51" s="100">
        <v>11</v>
      </c>
      <c r="BS51" s="100">
        <v>9398.4</v>
      </c>
      <c r="BT51" s="100">
        <v>16</v>
      </c>
      <c r="BU51" s="100">
        <v>13670.4</v>
      </c>
      <c r="BV51" s="100">
        <v>14.720865970354215</v>
      </c>
      <c r="BW51" s="100">
        <v>12577.507885070641</v>
      </c>
      <c r="BX51" s="100">
        <v>13</v>
      </c>
      <c r="BY51" s="100">
        <v>11107.199999999999</v>
      </c>
      <c r="BZ51" s="100">
        <v>12</v>
      </c>
      <c r="CA51" s="100">
        <v>10252.799999999999</v>
      </c>
      <c r="CB51" s="100">
        <v>15</v>
      </c>
      <c r="CC51" s="100">
        <v>12816</v>
      </c>
      <c r="CD51" s="100">
        <v>12</v>
      </c>
      <c r="CE51" s="100">
        <v>10252.799999999999</v>
      </c>
      <c r="CF51" s="100">
        <v>11</v>
      </c>
      <c r="CG51" s="100">
        <v>9398.4</v>
      </c>
      <c r="CH51" s="100">
        <v>12.515058033966206</v>
      </c>
      <c r="CI51" s="100">
        <v>10692.865584220726</v>
      </c>
      <c r="CJ51" s="100">
        <v>13.427471401634701</v>
      </c>
      <c r="CK51" s="100">
        <v>11472.431565556688</v>
      </c>
      <c r="CL51" s="100">
        <v>11.443985680279535</v>
      </c>
      <c r="CM51" s="100">
        <v>9777.7413652308351</v>
      </c>
      <c r="CN51" s="100">
        <v>9</v>
      </c>
      <c r="CO51" s="100">
        <v>7689.5999999999995</v>
      </c>
      <c r="CP51" s="100">
        <v>10</v>
      </c>
      <c r="CQ51" s="100">
        <v>8544</v>
      </c>
      <c r="CR51" s="100">
        <v>15</v>
      </c>
      <c r="CS51" s="100">
        <v>12816</v>
      </c>
      <c r="CT51" s="100">
        <v>9</v>
      </c>
      <c r="CU51" s="100">
        <v>7689.5999999999995</v>
      </c>
    </row>
    <row r="52" spans="2:99">
      <c r="C52" s="99" t="s">
        <v>218</v>
      </c>
      <c r="D52" s="100">
        <v>15</v>
      </c>
      <c r="E52" s="100">
        <v>8100</v>
      </c>
      <c r="F52" s="100">
        <v>16</v>
      </c>
      <c r="G52" s="100">
        <v>8640</v>
      </c>
      <c r="H52" s="100">
        <v>11</v>
      </c>
      <c r="I52" s="100">
        <v>5940</v>
      </c>
      <c r="J52" s="100">
        <v>15</v>
      </c>
      <c r="K52" s="100">
        <v>8100</v>
      </c>
      <c r="L52" s="100">
        <v>15</v>
      </c>
      <c r="M52" s="100">
        <v>8100</v>
      </c>
      <c r="N52" s="100">
        <v>16</v>
      </c>
      <c r="O52" s="100">
        <v>8640</v>
      </c>
      <c r="P52" s="100">
        <v>17.119807537653099</v>
      </c>
      <c r="Q52" s="100">
        <v>9244.6960703326731</v>
      </c>
      <c r="R52" s="100">
        <v>10</v>
      </c>
      <c r="S52" s="100">
        <v>5400</v>
      </c>
      <c r="T52" s="100">
        <v>16</v>
      </c>
      <c r="U52" s="100">
        <v>8640</v>
      </c>
      <c r="V52" s="100">
        <v>9.8386060367644674</v>
      </c>
      <c r="W52" s="100">
        <v>5312.8472598528124</v>
      </c>
      <c r="X52" s="100">
        <v>7.8729344025416932</v>
      </c>
      <c r="Y52" s="100">
        <v>4251.3845773725143</v>
      </c>
      <c r="Z52" s="100">
        <v>9.9393317948460869</v>
      </c>
      <c r="AA52" s="100">
        <v>5367.2391692168867</v>
      </c>
      <c r="AB52" s="100">
        <v>9</v>
      </c>
      <c r="AC52" s="100">
        <v>4860</v>
      </c>
      <c r="AD52" s="100">
        <v>15.038696869944953</v>
      </c>
      <c r="AE52" s="100">
        <v>8120.8963097702745</v>
      </c>
      <c r="AF52" s="100">
        <v>12</v>
      </c>
      <c r="AG52" s="100">
        <v>6480</v>
      </c>
      <c r="AH52" s="100">
        <v>13</v>
      </c>
      <c r="AI52" s="100">
        <v>7020</v>
      </c>
      <c r="AJ52" s="100">
        <v>15</v>
      </c>
      <c r="AK52" s="100">
        <v>8100</v>
      </c>
      <c r="AL52" s="100">
        <v>11</v>
      </c>
      <c r="AM52" s="100">
        <v>5940</v>
      </c>
      <c r="AN52" s="100">
        <v>11</v>
      </c>
      <c r="AO52" s="100">
        <v>5940</v>
      </c>
      <c r="AP52" s="100">
        <v>13</v>
      </c>
      <c r="AQ52" s="100">
        <v>7020</v>
      </c>
      <c r="AR52" s="100">
        <v>9</v>
      </c>
      <c r="AS52" s="100">
        <v>4860</v>
      </c>
      <c r="AT52" s="100">
        <v>14</v>
      </c>
      <c r="AU52" s="100">
        <v>7560</v>
      </c>
      <c r="AV52" s="100">
        <v>15.911443197497633</v>
      </c>
      <c r="AW52" s="100">
        <v>8592.1793266487221</v>
      </c>
      <c r="AX52" s="100">
        <v>13.550019570562613</v>
      </c>
      <c r="AY52" s="100">
        <v>7317.0105681038112</v>
      </c>
      <c r="AZ52" s="100">
        <v>13</v>
      </c>
      <c r="BA52" s="100">
        <v>7020</v>
      </c>
      <c r="BB52" s="100">
        <v>12.951118588303487</v>
      </c>
      <c r="BC52" s="100">
        <v>6993.6040376838828</v>
      </c>
      <c r="BD52" s="100">
        <v>13</v>
      </c>
      <c r="BE52" s="100">
        <v>7020</v>
      </c>
      <c r="BF52" s="100">
        <v>12</v>
      </c>
      <c r="BG52" s="100">
        <v>6480</v>
      </c>
      <c r="BH52" s="100">
        <v>11</v>
      </c>
      <c r="BI52" s="100">
        <v>5940</v>
      </c>
      <c r="BJ52" s="100">
        <v>10</v>
      </c>
      <c r="BK52" s="100">
        <v>5400</v>
      </c>
      <c r="BL52" s="100">
        <v>9</v>
      </c>
      <c r="BM52" s="100">
        <v>4860</v>
      </c>
      <c r="BN52" s="100">
        <v>10.442484350675791</v>
      </c>
      <c r="BO52" s="100">
        <v>5638.9415493649267</v>
      </c>
      <c r="BP52" s="100">
        <v>15</v>
      </c>
      <c r="BQ52" s="100">
        <v>8100</v>
      </c>
      <c r="BR52" s="100">
        <v>12</v>
      </c>
      <c r="BS52" s="100">
        <v>6480</v>
      </c>
      <c r="BT52" s="100">
        <v>18</v>
      </c>
      <c r="BU52" s="100">
        <v>9720</v>
      </c>
      <c r="BV52" s="100">
        <v>13.854932677980438</v>
      </c>
      <c r="BW52" s="100">
        <v>7481.6636461094367</v>
      </c>
      <c r="BX52" s="100">
        <v>13</v>
      </c>
      <c r="BY52" s="100">
        <v>7020</v>
      </c>
      <c r="BZ52" s="100">
        <v>15</v>
      </c>
      <c r="CA52" s="100">
        <v>8100</v>
      </c>
      <c r="CB52" s="100">
        <v>15</v>
      </c>
      <c r="CC52" s="100">
        <v>8100</v>
      </c>
      <c r="CD52" s="100">
        <v>11</v>
      </c>
      <c r="CE52" s="100">
        <v>5940</v>
      </c>
      <c r="CF52" s="100">
        <v>12</v>
      </c>
      <c r="CG52" s="100">
        <v>6480</v>
      </c>
      <c r="CH52" s="100">
        <v>13.477754805809761</v>
      </c>
      <c r="CI52" s="100">
        <v>7277.9875951372715</v>
      </c>
      <c r="CJ52" s="100">
        <v>11.509261201401172</v>
      </c>
      <c r="CK52" s="100">
        <v>6215.0010487566324</v>
      </c>
      <c r="CL52" s="100">
        <v>13.078840777462327</v>
      </c>
      <c r="CM52" s="100">
        <v>7062.5740198296562</v>
      </c>
      <c r="CN52" s="100">
        <v>10</v>
      </c>
      <c r="CO52" s="100">
        <v>5400</v>
      </c>
      <c r="CP52" s="100">
        <v>9</v>
      </c>
      <c r="CQ52" s="100">
        <v>4860</v>
      </c>
      <c r="CR52" s="100">
        <v>17</v>
      </c>
      <c r="CS52" s="100">
        <v>9180</v>
      </c>
      <c r="CT52" s="100">
        <v>9</v>
      </c>
      <c r="CU52" s="100">
        <v>4860</v>
      </c>
    </row>
    <row r="53" spans="2:99">
      <c r="C53" s="99" t="s">
        <v>219</v>
      </c>
      <c r="D53" s="100">
        <v>15</v>
      </c>
      <c r="E53" s="100">
        <v>6102</v>
      </c>
      <c r="F53" s="100">
        <v>17</v>
      </c>
      <c r="G53" s="100">
        <v>6915.6</v>
      </c>
      <c r="H53" s="100">
        <v>13</v>
      </c>
      <c r="I53" s="100">
        <v>5288.4000000000005</v>
      </c>
      <c r="J53" s="100">
        <v>14</v>
      </c>
      <c r="K53" s="100">
        <v>5695.2</v>
      </c>
      <c r="L53" s="100">
        <v>15</v>
      </c>
      <c r="M53" s="100">
        <v>6102</v>
      </c>
      <c r="N53" s="100">
        <v>18</v>
      </c>
      <c r="O53" s="100">
        <v>7322.4000000000005</v>
      </c>
      <c r="P53" s="100">
        <v>17.119807537653099</v>
      </c>
      <c r="Q53" s="100">
        <v>6964.3377063172811</v>
      </c>
      <c r="R53" s="100">
        <v>10</v>
      </c>
      <c r="S53" s="100">
        <v>4068</v>
      </c>
      <c r="T53" s="100">
        <v>18</v>
      </c>
      <c r="U53" s="100">
        <v>7322.4000000000005</v>
      </c>
      <c r="V53" s="100">
        <v>9.8386060367644674</v>
      </c>
      <c r="W53" s="100">
        <v>4002.3449357557856</v>
      </c>
      <c r="X53" s="100">
        <v>8.6602278427958623</v>
      </c>
      <c r="Y53" s="100">
        <v>3522.9806864493571</v>
      </c>
      <c r="Z53" s="100">
        <v>9.9393317948460869</v>
      </c>
      <c r="AA53" s="100">
        <v>4043.3201741433882</v>
      </c>
      <c r="AB53" s="100">
        <v>10</v>
      </c>
      <c r="AC53" s="100">
        <v>4068</v>
      </c>
      <c r="AD53" s="100">
        <v>14.098778315573393</v>
      </c>
      <c r="AE53" s="100">
        <v>5735.3830187752565</v>
      </c>
      <c r="AF53" s="100">
        <v>11</v>
      </c>
      <c r="AG53" s="100">
        <v>4474.8</v>
      </c>
      <c r="AH53" s="100">
        <v>14</v>
      </c>
      <c r="AI53" s="100">
        <v>5695.2</v>
      </c>
      <c r="AJ53" s="100">
        <v>17</v>
      </c>
      <c r="AK53" s="100">
        <v>6915.6</v>
      </c>
      <c r="AL53" s="100">
        <v>12</v>
      </c>
      <c r="AM53" s="100">
        <v>4881.6000000000004</v>
      </c>
      <c r="AN53" s="100">
        <v>13</v>
      </c>
      <c r="AO53" s="100">
        <v>5288.4000000000005</v>
      </c>
      <c r="AP53" s="100">
        <v>12</v>
      </c>
      <c r="AQ53" s="100">
        <v>4881.6000000000004</v>
      </c>
      <c r="AR53" s="100">
        <v>11</v>
      </c>
      <c r="AS53" s="100">
        <v>4474.8</v>
      </c>
      <c r="AT53" s="100">
        <v>15</v>
      </c>
      <c r="AU53" s="100">
        <v>6102</v>
      </c>
      <c r="AV53" s="100">
        <v>14.975475950586008</v>
      </c>
      <c r="AW53" s="100">
        <v>6092.0236166983877</v>
      </c>
      <c r="AX53" s="100">
        <v>13.550019570562613</v>
      </c>
      <c r="AY53" s="100">
        <v>5512.1479613048714</v>
      </c>
      <c r="AZ53" s="100">
        <v>12</v>
      </c>
      <c r="BA53" s="100">
        <v>4881.6000000000004</v>
      </c>
      <c r="BB53" s="100">
        <v>12.951118588303487</v>
      </c>
      <c r="BC53" s="100">
        <v>5268.5150417218583</v>
      </c>
      <c r="BD53" s="100">
        <v>13</v>
      </c>
      <c r="BE53" s="100">
        <v>5288.4000000000005</v>
      </c>
      <c r="BF53" s="100">
        <v>12</v>
      </c>
      <c r="BG53" s="100">
        <v>4881.6000000000004</v>
      </c>
      <c r="BH53" s="100">
        <v>10</v>
      </c>
      <c r="BI53" s="100">
        <v>4068</v>
      </c>
      <c r="BJ53" s="100">
        <v>9</v>
      </c>
      <c r="BK53" s="100">
        <v>3661.2000000000003</v>
      </c>
      <c r="BL53" s="100">
        <v>9</v>
      </c>
      <c r="BM53" s="100">
        <v>3661.2000000000003</v>
      </c>
      <c r="BN53" s="100">
        <v>12.182898409121758</v>
      </c>
      <c r="BO53" s="100">
        <v>4956.0030728307311</v>
      </c>
      <c r="BP53" s="100">
        <v>16</v>
      </c>
      <c r="BQ53" s="100">
        <v>6508.8</v>
      </c>
      <c r="BR53" s="100">
        <v>12</v>
      </c>
      <c r="BS53" s="100">
        <v>4881.6000000000004</v>
      </c>
      <c r="BT53" s="100">
        <v>19</v>
      </c>
      <c r="BU53" s="100">
        <v>7729.2</v>
      </c>
      <c r="BV53" s="100">
        <v>14.720865970354215</v>
      </c>
      <c r="BW53" s="100">
        <v>5988.448276740095</v>
      </c>
      <c r="BX53" s="100">
        <v>14</v>
      </c>
      <c r="BY53" s="100">
        <v>5695.2</v>
      </c>
      <c r="BZ53" s="100">
        <v>14</v>
      </c>
      <c r="CA53" s="100">
        <v>5695.2</v>
      </c>
      <c r="CB53" s="100">
        <v>15</v>
      </c>
      <c r="CC53" s="100">
        <v>6102</v>
      </c>
      <c r="CD53" s="100">
        <v>13</v>
      </c>
      <c r="CE53" s="100">
        <v>5288.4000000000005</v>
      </c>
      <c r="CF53" s="100">
        <v>12</v>
      </c>
      <c r="CG53" s="100">
        <v>4881.6000000000004</v>
      </c>
      <c r="CH53" s="100">
        <v>14.440451577653315</v>
      </c>
      <c r="CI53" s="100">
        <v>5874.3757017893686</v>
      </c>
      <c r="CJ53" s="100">
        <v>13.427471401634701</v>
      </c>
      <c r="CK53" s="100">
        <v>5462.295366184997</v>
      </c>
      <c r="CL53" s="100">
        <v>11.443985680279535</v>
      </c>
      <c r="CM53" s="100">
        <v>4655.4133747377155</v>
      </c>
      <c r="CN53" s="100">
        <v>11</v>
      </c>
      <c r="CO53" s="100">
        <v>4474.8</v>
      </c>
      <c r="CP53" s="100">
        <v>9</v>
      </c>
      <c r="CQ53" s="100">
        <v>3661.2000000000003</v>
      </c>
      <c r="CR53" s="100">
        <v>18</v>
      </c>
      <c r="CS53" s="100">
        <v>7322.4000000000005</v>
      </c>
      <c r="CT53" s="100">
        <v>9</v>
      </c>
      <c r="CU53" s="100">
        <v>3661.2000000000003</v>
      </c>
    </row>
    <row r="54" spans="2:99">
      <c r="C54" s="99" t="s">
        <v>220</v>
      </c>
      <c r="D54" s="100">
        <v>18</v>
      </c>
      <c r="E54" s="100">
        <v>6026.4000000000005</v>
      </c>
      <c r="F54" s="100">
        <v>16</v>
      </c>
      <c r="G54" s="100">
        <v>5356.8</v>
      </c>
      <c r="H54" s="100">
        <v>12</v>
      </c>
      <c r="I54" s="100">
        <v>4017.6000000000004</v>
      </c>
      <c r="J54" s="100">
        <v>14</v>
      </c>
      <c r="K54" s="100">
        <v>4687.2</v>
      </c>
      <c r="L54" s="100">
        <v>15</v>
      </c>
      <c r="M54" s="100">
        <v>5022</v>
      </c>
      <c r="N54" s="100">
        <v>18</v>
      </c>
      <c r="O54" s="100">
        <v>6026.4000000000005</v>
      </c>
      <c r="P54" s="100">
        <v>17.119807537653099</v>
      </c>
      <c r="Q54" s="100">
        <v>5731.7115636062572</v>
      </c>
      <c r="R54" s="100">
        <v>11</v>
      </c>
      <c r="S54" s="100">
        <v>3682.8</v>
      </c>
      <c r="T54" s="100">
        <v>16</v>
      </c>
      <c r="U54" s="100">
        <v>5356.8</v>
      </c>
      <c r="V54" s="100">
        <v>10.733024767379419</v>
      </c>
      <c r="W54" s="100">
        <v>3593.4166921186297</v>
      </c>
      <c r="X54" s="100">
        <v>9.4475212830500315</v>
      </c>
      <c r="Y54" s="100">
        <v>3163.0301255651507</v>
      </c>
      <c r="Z54" s="100">
        <v>10.649284065906523</v>
      </c>
      <c r="AA54" s="100">
        <v>3565.3803052655039</v>
      </c>
      <c r="AB54" s="100">
        <v>9</v>
      </c>
      <c r="AC54" s="100">
        <v>3013.2000000000003</v>
      </c>
      <c r="AD54" s="100">
        <v>15.978615424316512</v>
      </c>
      <c r="AE54" s="100">
        <v>5349.6404440611686</v>
      </c>
      <c r="AF54" s="100">
        <v>11</v>
      </c>
      <c r="AG54" s="100">
        <v>3682.8</v>
      </c>
      <c r="AH54" s="100">
        <v>14</v>
      </c>
      <c r="AI54" s="100">
        <v>4687.2</v>
      </c>
      <c r="AJ54" s="100">
        <v>18</v>
      </c>
      <c r="AK54" s="100">
        <v>6026.4000000000005</v>
      </c>
      <c r="AL54" s="100">
        <v>12</v>
      </c>
      <c r="AM54" s="100">
        <v>4017.6000000000004</v>
      </c>
      <c r="AN54" s="100">
        <v>12</v>
      </c>
      <c r="AO54" s="100">
        <v>4017.6000000000004</v>
      </c>
      <c r="AP54" s="100">
        <v>13</v>
      </c>
      <c r="AQ54" s="100">
        <v>4352.4000000000005</v>
      </c>
      <c r="AR54" s="100">
        <v>11</v>
      </c>
      <c r="AS54" s="100">
        <v>3682.8</v>
      </c>
      <c r="AT54" s="100">
        <v>13</v>
      </c>
      <c r="AU54" s="100">
        <v>4352.4000000000005</v>
      </c>
      <c r="AV54" s="100">
        <v>14.039508703674382</v>
      </c>
      <c r="AW54" s="100">
        <v>4700.4275139901838</v>
      </c>
      <c r="AX54" s="100">
        <v>12.646684932525105</v>
      </c>
      <c r="AY54" s="100">
        <v>4234.1101154094049</v>
      </c>
      <c r="AZ54" s="100">
        <v>12</v>
      </c>
      <c r="BA54" s="100">
        <v>4017.6000000000004</v>
      </c>
      <c r="BB54" s="100">
        <v>13.947358479711449</v>
      </c>
      <c r="BC54" s="100">
        <v>4669.5756190073935</v>
      </c>
      <c r="BD54" s="100">
        <v>13</v>
      </c>
      <c r="BE54" s="100">
        <v>4352.4000000000005</v>
      </c>
      <c r="BF54" s="100">
        <v>12</v>
      </c>
      <c r="BG54" s="100">
        <v>4017.6000000000004</v>
      </c>
      <c r="BH54" s="100">
        <v>12</v>
      </c>
      <c r="BI54" s="100">
        <v>4017.6000000000004</v>
      </c>
      <c r="BJ54" s="100">
        <v>9</v>
      </c>
      <c r="BK54" s="100">
        <v>3013.2000000000003</v>
      </c>
      <c r="BL54" s="100">
        <v>10</v>
      </c>
      <c r="BM54" s="100">
        <v>3348</v>
      </c>
      <c r="BN54" s="100">
        <v>10.442484350675791</v>
      </c>
      <c r="BO54" s="100">
        <v>3496.143760606255</v>
      </c>
      <c r="BP54" s="100">
        <v>13</v>
      </c>
      <c r="BQ54" s="100">
        <v>4352.4000000000005</v>
      </c>
      <c r="BR54" s="100">
        <v>13</v>
      </c>
      <c r="BS54" s="100">
        <v>4352.4000000000005</v>
      </c>
      <c r="BT54" s="100">
        <v>16</v>
      </c>
      <c r="BU54" s="100">
        <v>5356.8</v>
      </c>
      <c r="BV54" s="100">
        <v>15.586799262727991</v>
      </c>
      <c r="BW54" s="100">
        <v>5218.4603931613319</v>
      </c>
      <c r="BX54" s="100">
        <v>14</v>
      </c>
      <c r="BY54" s="100">
        <v>4687.2</v>
      </c>
      <c r="BZ54" s="100">
        <v>15</v>
      </c>
      <c r="CA54" s="100">
        <v>5022</v>
      </c>
      <c r="CB54" s="100">
        <v>15</v>
      </c>
      <c r="CC54" s="100">
        <v>5022</v>
      </c>
      <c r="CD54" s="100">
        <v>12</v>
      </c>
      <c r="CE54" s="100">
        <v>4017.6000000000004</v>
      </c>
      <c r="CF54" s="100">
        <v>14</v>
      </c>
      <c r="CG54" s="100">
        <v>4687.2</v>
      </c>
      <c r="CH54" s="100">
        <v>15.403148349496869</v>
      </c>
      <c r="CI54" s="100">
        <v>5156.9740674115519</v>
      </c>
      <c r="CJ54" s="100">
        <v>12.468366301517937</v>
      </c>
      <c r="CK54" s="100">
        <v>4174.4090377482053</v>
      </c>
      <c r="CL54" s="100">
        <v>13.078840777462327</v>
      </c>
      <c r="CM54" s="100">
        <v>4378.7958922943872</v>
      </c>
      <c r="CN54" s="100">
        <v>12</v>
      </c>
      <c r="CO54" s="100">
        <v>4017.6000000000004</v>
      </c>
      <c r="CP54" s="100">
        <v>10</v>
      </c>
      <c r="CQ54" s="100">
        <v>3348</v>
      </c>
      <c r="CR54" s="100">
        <v>17</v>
      </c>
      <c r="CS54" s="100">
        <v>5691.6</v>
      </c>
      <c r="CT54" s="100">
        <v>10</v>
      </c>
      <c r="CU54" s="100">
        <v>3348</v>
      </c>
    </row>
    <row r="55" spans="2:99">
      <c r="C55" s="99" t="s">
        <v>221</v>
      </c>
      <c r="D55" s="100">
        <v>17</v>
      </c>
      <c r="E55" s="100">
        <v>11281.2</v>
      </c>
      <c r="F55" s="100">
        <v>16</v>
      </c>
      <c r="G55" s="100">
        <v>10617.6</v>
      </c>
      <c r="H55" s="100">
        <v>11</v>
      </c>
      <c r="I55" s="100">
        <v>7299.6</v>
      </c>
      <c r="J55" s="100">
        <v>15</v>
      </c>
      <c r="K55" s="100">
        <v>9954</v>
      </c>
      <c r="L55" s="100">
        <v>13</v>
      </c>
      <c r="M55" s="100">
        <v>8626.8000000000011</v>
      </c>
      <c r="N55" s="100">
        <v>17</v>
      </c>
      <c r="O55" s="100">
        <v>11281.2</v>
      </c>
      <c r="P55" s="100">
        <v>15.217606700136088</v>
      </c>
      <c r="Q55" s="100">
        <v>10098.403806210308</v>
      </c>
      <c r="R55" s="100">
        <v>10</v>
      </c>
      <c r="S55" s="100">
        <v>6636</v>
      </c>
      <c r="T55" s="100">
        <v>17</v>
      </c>
      <c r="U55" s="100">
        <v>11281.2</v>
      </c>
      <c r="V55" s="100">
        <v>9.8386060367644674</v>
      </c>
      <c r="W55" s="100">
        <v>6528.8989659969011</v>
      </c>
      <c r="X55" s="100">
        <v>7.8729344025416932</v>
      </c>
      <c r="Y55" s="100">
        <v>5224.4792695266678</v>
      </c>
      <c r="Z55" s="100">
        <v>10.649284065906523</v>
      </c>
      <c r="AA55" s="100">
        <v>7066.8649061355691</v>
      </c>
      <c r="AB55" s="100">
        <v>10</v>
      </c>
      <c r="AC55" s="100">
        <v>6636</v>
      </c>
      <c r="AD55" s="100">
        <v>15.038696869944953</v>
      </c>
      <c r="AE55" s="100">
        <v>9979.6792428954705</v>
      </c>
      <c r="AF55" s="100">
        <v>12</v>
      </c>
      <c r="AG55" s="100">
        <v>7963.2000000000007</v>
      </c>
      <c r="AH55" s="100">
        <v>13</v>
      </c>
      <c r="AI55" s="100">
        <v>8626.8000000000011</v>
      </c>
      <c r="AJ55" s="100">
        <v>16</v>
      </c>
      <c r="AK55" s="100">
        <v>10617.6</v>
      </c>
      <c r="AL55" s="100">
        <v>11</v>
      </c>
      <c r="AM55" s="100">
        <v>7299.6</v>
      </c>
      <c r="AN55" s="100">
        <v>11</v>
      </c>
      <c r="AO55" s="100">
        <v>7299.6</v>
      </c>
      <c r="AP55" s="100">
        <v>13</v>
      </c>
      <c r="AQ55" s="100">
        <v>8626.8000000000011</v>
      </c>
      <c r="AR55" s="100">
        <v>9</v>
      </c>
      <c r="AS55" s="100">
        <v>5972.4000000000005</v>
      </c>
      <c r="AT55" s="100">
        <v>13</v>
      </c>
      <c r="AU55" s="100">
        <v>8626.8000000000011</v>
      </c>
      <c r="AV55" s="100">
        <v>13.103541456762757</v>
      </c>
      <c r="AW55" s="100">
        <v>8695.5101107077662</v>
      </c>
      <c r="AX55" s="100">
        <v>14.453354208600121</v>
      </c>
      <c r="AY55" s="100">
        <v>9591.2458528270399</v>
      </c>
      <c r="AZ55" s="100">
        <v>13</v>
      </c>
      <c r="BA55" s="100">
        <v>8626.8000000000011</v>
      </c>
      <c r="BB55" s="100">
        <v>12.951118588303487</v>
      </c>
      <c r="BC55" s="100">
        <v>8594.3622951981943</v>
      </c>
      <c r="BD55" s="100">
        <v>14</v>
      </c>
      <c r="BE55" s="100">
        <v>9290.4</v>
      </c>
      <c r="BF55" s="100">
        <v>11</v>
      </c>
      <c r="BG55" s="100">
        <v>7299.6</v>
      </c>
      <c r="BH55" s="100">
        <v>11</v>
      </c>
      <c r="BI55" s="100">
        <v>7299.6</v>
      </c>
      <c r="BJ55" s="100">
        <v>9</v>
      </c>
      <c r="BK55" s="100">
        <v>5972.4000000000005</v>
      </c>
      <c r="BL55" s="100">
        <v>9</v>
      </c>
      <c r="BM55" s="100">
        <v>5972.4000000000005</v>
      </c>
      <c r="BN55" s="100">
        <v>9.572277321452809</v>
      </c>
      <c r="BO55" s="100">
        <v>6352.1632305160847</v>
      </c>
      <c r="BP55" s="100">
        <v>15</v>
      </c>
      <c r="BQ55" s="100">
        <v>9954</v>
      </c>
      <c r="BR55" s="100">
        <v>12</v>
      </c>
      <c r="BS55" s="100">
        <v>7963.2000000000007</v>
      </c>
      <c r="BT55" s="100">
        <v>18</v>
      </c>
      <c r="BU55" s="100">
        <v>11944.800000000001</v>
      </c>
      <c r="BV55" s="100">
        <v>15.586799262727991</v>
      </c>
      <c r="BW55" s="100">
        <v>10343.399990746295</v>
      </c>
      <c r="BX55" s="100">
        <v>14</v>
      </c>
      <c r="BY55" s="100">
        <v>9290.4</v>
      </c>
      <c r="BZ55" s="100">
        <v>14</v>
      </c>
      <c r="CA55" s="100">
        <v>9290.4</v>
      </c>
      <c r="CB55" s="100">
        <v>15</v>
      </c>
      <c r="CC55" s="100">
        <v>9954</v>
      </c>
      <c r="CD55" s="100">
        <v>12</v>
      </c>
      <c r="CE55" s="100">
        <v>7963.2000000000007</v>
      </c>
      <c r="CF55" s="100">
        <v>12</v>
      </c>
      <c r="CG55" s="100">
        <v>7963.2000000000007</v>
      </c>
      <c r="CH55" s="100">
        <v>13.477754805809761</v>
      </c>
      <c r="CI55" s="100">
        <v>8943.8380891353572</v>
      </c>
      <c r="CJ55" s="100">
        <v>11.509261201401172</v>
      </c>
      <c r="CK55" s="100">
        <v>7637.5457332498181</v>
      </c>
      <c r="CL55" s="100">
        <v>13.078840777462327</v>
      </c>
      <c r="CM55" s="100">
        <v>8679.1187399240007</v>
      </c>
      <c r="CN55" s="100">
        <v>11</v>
      </c>
      <c r="CO55" s="100">
        <v>7299.6</v>
      </c>
      <c r="CP55" s="100">
        <v>9</v>
      </c>
      <c r="CQ55" s="100">
        <v>5972.4000000000005</v>
      </c>
      <c r="CR55" s="100">
        <v>17</v>
      </c>
      <c r="CS55" s="100">
        <v>11281.2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15</v>
      </c>
      <c r="E56" s="100">
        <v>14723.999999999998</v>
      </c>
      <c r="F56" s="100">
        <v>18</v>
      </c>
      <c r="G56" s="100">
        <v>17668.8</v>
      </c>
      <c r="H56" s="100">
        <v>10</v>
      </c>
      <c r="I56" s="100">
        <v>9816</v>
      </c>
      <c r="J56" s="100">
        <v>14</v>
      </c>
      <c r="K56" s="100">
        <v>13742.399999999998</v>
      </c>
      <c r="L56" s="100">
        <v>13</v>
      </c>
      <c r="M56" s="100">
        <v>12760.8</v>
      </c>
      <c r="N56" s="100">
        <v>13.021276595744672</v>
      </c>
      <c r="O56" s="100">
        <v>12781.685106382969</v>
      </c>
      <c r="P56" s="100">
        <v>13.014354066985645</v>
      </c>
      <c r="Q56" s="100">
        <v>12774.889952153108</v>
      </c>
      <c r="R56" s="100">
        <v>8.5561497326203213</v>
      </c>
      <c r="S56" s="100">
        <v>8398.7165775401063</v>
      </c>
      <c r="T56" s="100">
        <v>17</v>
      </c>
      <c r="U56" s="100">
        <v>16687.199999999997</v>
      </c>
      <c r="V56" s="100">
        <v>9</v>
      </c>
      <c r="W56" s="100">
        <v>8834.4</v>
      </c>
      <c r="X56" s="100">
        <v>11</v>
      </c>
      <c r="Y56" s="100">
        <v>10797.599999999999</v>
      </c>
      <c r="Z56" s="100">
        <v>14</v>
      </c>
      <c r="AA56" s="100">
        <v>13742.399999999998</v>
      </c>
      <c r="AB56" s="100">
        <v>9</v>
      </c>
      <c r="AC56" s="100">
        <v>8834.4</v>
      </c>
      <c r="AD56" s="100">
        <v>15</v>
      </c>
      <c r="AE56" s="100">
        <v>14723.999999999998</v>
      </c>
      <c r="AF56" s="100">
        <v>10</v>
      </c>
      <c r="AG56" s="100">
        <v>9816</v>
      </c>
      <c r="AH56" s="100">
        <v>12</v>
      </c>
      <c r="AI56" s="100">
        <v>11779.199999999999</v>
      </c>
      <c r="AJ56" s="100">
        <v>17</v>
      </c>
      <c r="AK56" s="100">
        <v>16687.199999999997</v>
      </c>
      <c r="AL56" s="100">
        <v>10</v>
      </c>
      <c r="AM56" s="100">
        <v>9816</v>
      </c>
      <c r="AN56" s="100">
        <v>12</v>
      </c>
      <c r="AO56" s="100">
        <v>11779.199999999999</v>
      </c>
      <c r="AP56" s="100">
        <v>13</v>
      </c>
      <c r="AQ56" s="100">
        <v>12760.8</v>
      </c>
      <c r="AR56" s="100">
        <v>11</v>
      </c>
      <c r="AS56" s="100">
        <v>10797.599999999999</v>
      </c>
      <c r="AT56" s="100">
        <v>9.5172413793103203</v>
      </c>
      <c r="AU56" s="100">
        <v>9342.1241379310104</v>
      </c>
      <c r="AV56" s="100">
        <v>6.3961611241104064E-21</v>
      </c>
      <c r="AW56" s="100">
        <v>6.2784717594267743E-18</v>
      </c>
      <c r="AX56" s="100">
        <v>2.269824127729858E-21</v>
      </c>
      <c r="AY56" s="100">
        <v>2.2280593637796285E-18</v>
      </c>
      <c r="AZ56" s="100">
        <v>4.744054542170991</v>
      </c>
      <c r="BA56" s="100">
        <v>4656.7639385950442</v>
      </c>
      <c r="BB56" s="100">
        <v>12.149532710280372</v>
      </c>
      <c r="BC56" s="100">
        <v>11925.981308411212</v>
      </c>
      <c r="BD56" s="100">
        <v>11.453744493392069</v>
      </c>
      <c r="BE56" s="100">
        <v>11242.995594713653</v>
      </c>
      <c r="BF56" s="100">
        <v>11</v>
      </c>
      <c r="BG56" s="100">
        <v>10797.599999999999</v>
      </c>
      <c r="BH56" s="100">
        <v>10</v>
      </c>
      <c r="BI56" s="100">
        <v>9816</v>
      </c>
      <c r="BJ56" s="100">
        <v>9</v>
      </c>
      <c r="BK56" s="100">
        <v>8834.4</v>
      </c>
      <c r="BL56" s="100">
        <v>9</v>
      </c>
      <c r="BM56" s="100">
        <v>8834.4</v>
      </c>
      <c r="BN56" s="100">
        <v>13</v>
      </c>
      <c r="BO56" s="100">
        <v>12760.8</v>
      </c>
      <c r="BP56" s="100">
        <v>15</v>
      </c>
      <c r="BQ56" s="100">
        <v>14723.999999999998</v>
      </c>
      <c r="BR56" s="100">
        <v>10</v>
      </c>
      <c r="BS56" s="100">
        <v>9816</v>
      </c>
      <c r="BT56" s="100">
        <v>14.873417721518974</v>
      </c>
      <c r="BU56" s="100">
        <v>14599.746835443024</v>
      </c>
      <c r="BV56" s="100">
        <v>13.043478260869563</v>
      </c>
      <c r="BW56" s="100">
        <v>12803.478260869562</v>
      </c>
      <c r="BX56" s="100">
        <v>12</v>
      </c>
      <c r="BY56" s="100">
        <v>11779.199999999999</v>
      </c>
      <c r="BZ56" s="100">
        <v>13</v>
      </c>
      <c r="CA56" s="100">
        <v>12760.8</v>
      </c>
      <c r="CB56" s="100">
        <v>15</v>
      </c>
      <c r="CC56" s="100">
        <v>14723.999999999998</v>
      </c>
      <c r="CD56" s="100">
        <v>12</v>
      </c>
      <c r="CE56" s="100">
        <v>11779.199999999999</v>
      </c>
      <c r="CF56" s="100">
        <v>12</v>
      </c>
      <c r="CG56" s="100">
        <v>11779.199999999999</v>
      </c>
      <c r="CH56" s="100">
        <v>13</v>
      </c>
      <c r="CI56" s="100">
        <v>12760.8</v>
      </c>
      <c r="CJ56" s="100">
        <v>14</v>
      </c>
      <c r="CK56" s="100">
        <v>13742.399999999998</v>
      </c>
      <c r="CL56" s="100">
        <v>15</v>
      </c>
      <c r="CM56" s="100">
        <v>14723.999999999998</v>
      </c>
      <c r="CN56" s="100">
        <v>11</v>
      </c>
      <c r="CO56" s="100">
        <v>10797.599999999999</v>
      </c>
      <c r="CP56" s="100">
        <v>9</v>
      </c>
      <c r="CQ56" s="100">
        <v>8834.4</v>
      </c>
      <c r="CR56" s="100">
        <v>15</v>
      </c>
      <c r="CS56" s="100">
        <v>14723.999999999998</v>
      </c>
      <c r="CT56" s="100">
        <v>9</v>
      </c>
      <c r="CU56" s="100">
        <v>8834.4</v>
      </c>
    </row>
    <row r="57" spans="2:99">
      <c r="C57" s="99" t="s">
        <v>223</v>
      </c>
      <c r="D57" s="100">
        <v>17</v>
      </c>
      <c r="E57" s="100">
        <v>23990.400000000001</v>
      </c>
      <c r="F57" s="100">
        <v>17</v>
      </c>
      <c r="G57" s="100">
        <v>23990.400000000001</v>
      </c>
      <c r="H57" s="100">
        <v>10</v>
      </c>
      <c r="I57" s="100">
        <v>14112</v>
      </c>
      <c r="J57" s="100">
        <v>12</v>
      </c>
      <c r="K57" s="100">
        <v>16934.400000000001</v>
      </c>
      <c r="L57" s="100">
        <v>13</v>
      </c>
      <c r="M57" s="100">
        <v>18345.600000000002</v>
      </c>
      <c r="N57" s="100">
        <v>15</v>
      </c>
      <c r="O57" s="100">
        <v>21168</v>
      </c>
      <c r="P57" s="100">
        <v>14.266506281377584</v>
      </c>
      <c r="Q57" s="100">
        <v>20132.893664280047</v>
      </c>
      <c r="R57" s="100">
        <v>10</v>
      </c>
      <c r="S57" s="100">
        <v>14112</v>
      </c>
      <c r="T57" s="100">
        <v>16</v>
      </c>
      <c r="U57" s="100">
        <v>22579.200000000001</v>
      </c>
      <c r="V57" s="100">
        <v>8.9441873061495158</v>
      </c>
      <c r="W57" s="100">
        <v>12622.037126438197</v>
      </c>
      <c r="X57" s="100">
        <v>7.8729344025416932</v>
      </c>
      <c r="Y57" s="100">
        <v>11110.285028866838</v>
      </c>
      <c r="Z57" s="100">
        <v>9.2293795237856529</v>
      </c>
      <c r="AA57" s="100">
        <v>13024.500383966313</v>
      </c>
      <c r="AB57" s="100">
        <v>9</v>
      </c>
      <c r="AC57" s="100">
        <v>12700.800000000001</v>
      </c>
      <c r="AD57" s="100">
        <v>15.038696869944953</v>
      </c>
      <c r="AE57" s="100">
        <v>21222.60902286632</v>
      </c>
      <c r="AF57" s="100">
        <v>11</v>
      </c>
      <c r="AG57" s="100">
        <v>15523.2</v>
      </c>
      <c r="AH57" s="100">
        <v>12</v>
      </c>
      <c r="AI57" s="100">
        <v>16934.400000000001</v>
      </c>
      <c r="AJ57" s="100">
        <v>17</v>
      </c>
      <c r="AK57" s="100">
        <v>23990.400000000001</v>
      </c>
      <c r="AL57" s="100">
        <v>11</v>
      </c>
      <c r="AM57" s="100">
        <v>15523.2</v>
      </c>
      <c r="AN57" s="100">
        <v>12</v>
      </c>
      <c r="AO57" s="100">
        <v>16934.400000000001</v>
      </c>
      <c r="AP57" s="100">
        <v>12</v>
      </c>
      <c r="AQ57" s="100">
        <v>16934.400000000001</v>
      </c>
      <c r="AR57" s="100">
        <v>10</v>
      </c>
      <c r="AS57" s="100">
        <v>14112</v>
      </c>
      <c r="AT57" s="100">
        <v>12</v>
      </c>
      <c r="AU57" s="100">
        <v>16934.400000000001</v>
      </c>
      <c r="AV57" s="100">
        <v>12.167574209851132</v>
      </c>
      <c r="AW57" s="100">
        <v>17170.880724941919</v>
      </c>
      <c r="AX57" s="100">
        <v>12.646684932525105</v>
      </c>
      <c r="AY57" s="100">
        <v>17847.001776779427</v>
      </c>
      <c r="AZ57" s="100">
        <v>10</v>
      </c>
      <c r="BA57" s="100">
        <v>14112</v>
      </c>
      <c r="BB57" s="100">
        <v>10.958638805487565</v>
      </c>
      <c r="BC57" s="100">
        <v>15464.831082304052</v>
      </c>
      <c r="BD57" s="100">
        <v>13</v>
      </c>
      <c r="BE57" s="100">
        <v>18345.600000000002</v>
      </c>
      <c r="BF57" s="100">
        <v>12</v>
      </c>
      <c r="BG57" s="100">
        <v>16934.400000000001</v>
      </c>
      <c r="BH57" s="100">
        <v>11</v>
      </c>
      <c r="BI57" s="100">
        <v>15523.2</v>
      </c>
      <c r="BJ57" s="100">
        <v>8</v>
      </c>
      <c r="BK57" s="100">
        <v>11289.6</v>
      </c>
      <c r="BL57" s="100">
        <v>9</v>
      </c>
      <c r="BM57" s="100">
        <v>12700.800000000001</v>
      </c>
      <c r="BN57" s="100">
        <v>10.442484350675791</v>
      </c>
      <c r="BO57" s="100">
        <v>14736.433915673677</v>
      </c>
      <c r="BP57" s="100">
        <v>13</v>
      </c>
      <c r="BQ57" s="100">
        <v>18345.600000000002</v>
      </c>
      <c r="BR57" s="100">
        <v>11</v>
      </c>
      <c r="BS57" s="100">
        <v>15523.2</v>
      </c>
      <c r="BT57" s="100">
        <v>17</v>
      </c>
      <c r="BU57" s="100">
        <v>23990.400000000001</v>
      </c>
      <c r="BV57" s="100">
        <v>14.720865970354215</v>
      </c>
      <c r="BW57" s="100">
        <v>20774.086057363867</v>
      </c>
      <c r="BX57" s="100">
        <v>11</v>
      </c>
      <c r="BY57" s="100">
        <v>15523.2</v>
      </c>
      <c r="BZ57" s="100">
        <v>13</v>
      </c>
      <c r="CA57" s="100">
        <v>18345.600000000002</v>
      </c>
      <c r="CB57" s="100">
        <v>14</v>
      </c>
      <c r="CC57" s="100">
        <v>19756.8</v>
      </c>
      <c r="CD57" s="100">
        <v>11</v>
      </c>
      <c r="CE57" s="100">
        <v>15523.2</v>
      </c>
      <c r="CF57" s="100">
        <v>13</v>
      </c>
      <c r="CG57" s="100">
        <v>18345.600000000002</v>
      </c>
      <c r="CH57" s="100">
        <v>11.552361262122652</v>
      </c>
      <c r="CI57" s="100">
        <v>16302.692213107486</v>
      </c>
      <c r="CJ57" s="100">
        <v>12.468366301517937</v>
      </c>
      <c r="CK57" s="100">
        <v>17595.358524702115</v>
      </c>
      <c r="CL57" s="100">
        <v>13.078840777462327</v>
      </c>
      <c r="CM57" s="100">
        <v>18456.860105154836</v>
      </c>
      <c r="CN57" s="100">
        <v>10</v>
      </c>
      <c r="CO57" s="100">
        <v>14112</v>
      </c>
      <c r="CP57" s="100">
        <v>10</v>
      </c>
      <c r="CQ57" s="100">
        <v>14112</v>
      </c>
      <c r="CR57" s="100">
        <v>14</v>
      </c>
      <c r="CS57" s="100">
        <v>19756.8</v>
      </c>
      <c r="CT57" s="100">
        <v>8</v>
      </c>
      <c r="CU57" s="100">
        <v>11289.6</v>
      </c>
    </row>
    <row r="58" spans="2:99">
      <c r="C58" s="99" t="s">
        <v>224</v>
      </c>
      <c r="D58" s="100">
        <v>15</v>
      </c>
      <c r="E58" s="100">
        <v>17658</v>
      </c>
      <c r="F58" s="100">
        <v>15.466666666666667</v>
      </c>
      <c r="G58" s="100">
        <v>18207.36</v>
      </c>
      <c r="H58" s="100">
        <v>10.24390243902439</v>
      </c>
      <c r="I58" s="100">
        <v>12059.121951219513</v>
      </c>
      <c r="J58" s="100">
        <v>13.066666666666666</v>
      </c>
      <c r="K58" s="100">
        <v>15382.08</v>
      </c>
      <c r="L58" s="100">
        <v>10</v>
      </c>
      <c r="M58" s="100">
        <v>11772</v>
      </c>
      <c r="N58" s="100">
        <v>15</v>
      </c>
      <c r="O58" s="100">
        <v>17658</v>
      </c>
      <c r="P58" s="100">
        <v>15</v>
      </c>
      <c r="Q58" s="100">
        <v>17658</v>
      </c>
      <c r="R58" s="100">
        <v>9</v>
      </c>
      <c r="S58" s="100">
        <v>10594.800000000001</v>
      </c>
      <c r="T58" s="100">
        <v>14</v>
      </c>
      <c r="U58" s="100">
        <v>16480.8</v>
      </c>
      <c r="V58" s="100">
        <v>10</v>
      </c>
      <c r="W58" s="100">
        <v>11772</v>
      </c>
      <c r="X58" s="100">
        <v>10</v>
      </c>
      <c r="Y58" s="100">
        <v>11772</v>
      </c>
      <c r="Z58" s="100">
        <v>14</v>
      </c>
      <c r="AA58" s="100">
        <v>16480.8</v>
      </c>
      <c r="AB58" s="100">
        <v>3.1956521739130435</v>
      </c>
      <c r="AC58" s="100">
        <v>3761.9217391304351</v>
      </c>
      <c r="AD58" s="100">
        <v>4.6946984668047319E-22</v>
      </c>
      <c r="AE58" s="100">
        <v>5.5265990351225306E-19</v>
      </c>
      <c r="AF58" s="100">
        <v>1.4722050941199506E-22</v>
      </c>
      <c r="AG58" s="100">
        <v>1.7330798367980058E-19</v>
      </c>
      <c r="AH58" s="100">
        <v>1.7349099552263851E-22</v>
      </c>
      <c r="AI58" s="100">
        <v>2.0423359992925006E-19</v>
      </c>
      <c r="AJ58" s="100">
        <v>14.082840236686391</v>
      </c>
      <c r="AK58" s="100">
        <v>16578.31952662722</v>
      </c>
      <c r="AL58" s="100">
        <v>10</v>
      </c>
      <c r="AM58" s="100">
        <v>11772</v>
      </c>
      <c r="AN58" s="100">
        <v>12</v>
      </c>
      <c r="AO58" s="100">
        <v>14126.400000000001</v>
      </c>
      <c r="AP58" s="100">
        <v>13</v>
      </c>
      <c r="AQ58" s="100">
        <v>15303.6</v>
      </c>
      <c r="AR58" s="100">
        <v>10</v>
      </c>
      <c r="AS58" s="100">
        <v>11772</v>
      </c>
      <c r="AT58" s="100">
        <v>12</v>
      </c>
      <c r="AU58" s="100">
        <v>14126.400000000001</v>
      </c>
      <c r="AV58" s="100">
        <v>15</v>
      </c>
      <c r="AW58" s="100">
        <v>17658</v>
      </c>
      <c r="AX58" s="100">
        <v>13</v>
      </c>
      <c r="AY58" s="100">
        <v>15303.6</v>
      </c>
      <c r="AZ58" s="100">
        <v>6.1651593614045792</v>
      </c>
      <c r="BA58" s="100">
        <v>7257.6256002454711</v>
      </c>
      <c r="BB58" s="100">
        <v>2.1671457620538208E-22</v>
      </c>
      <c r="BC58" s="100">
        <v>2.5511639910897578E-19</v>
      </c>
      <c r="BD58" s="100">
        <v>1.9767151439177816E-22</v>
      </c>
      <c r="BE58" s="100">
        <v>2.3269890674200127E-19</v>
      </c>
      <c r="BF58" s="100">
        <v>1.4673248562388901E-22</v>
      </c>
      <c r="BG58" s="100">
        <v>1.7273348207644214E-19</v>
      </c>
      <c r="BH58" s="100">
        <v>9</v>
      </c>
      <c r="BI58" s="100">
        <v>10594.800000000001</v>
      </c>
      <c r="BJ58" s="100">
        <v>7.0656934306569337</v>
      </c>
      <c r="BK58" s="100">
        <v>8317.7343065693422</v>
      </c>
      <c r="BL58" s="100">
        <v>9</v>
      </c>
      <c r="BM58" s="100">
        <v>10594.800000000001</v>
      </c>
      <c r="BN58" s="100">
        <v>7.419354838709677</v>
      </c>
      <c r="BO58" s="100">
        <v>8734.0645161290322</v>
      </c>
      <c r="BP58" s="100">
        <v>9.8989898989898979</v>
      </c>
      <c r="BQ58" s="100">
        <v>11653.090909090908</v>
      </c>
      <c r="BR58" s="100">
        <v>7.9545454545454541</v>
      </c>
      <c r="BS58" s="100">
        <v>9364.0909090909081</v>
      </c>
      <c r="BT58" s="100">
        <v>12</v>
      </c>
      <c r="BU58" s="100">
        <v>14126.400000000001</v>
      </c>
      <c r="BV58" s="100">
        <v>17</v>
      </c>
      <c r="BW58" s="100">
        <v>20012.400000000001</v>
      </c>
      <c r="BX58" s="100">
        <v>11</v>
      </c>
      <c r="BY58" s="100">
        <v>12949.2</v>
      </c>
      <c r="BZ58" s="100">
        <v>12</v>
      </c>
      <c r="CA58" s="100">
        <v>14126.400000000001</v>
      </c>
      <c r="CB58" s="100">
        <v>10.231578947368421</v>
      </c>
      <c r="CC58" s="100">
        <v>12044.614736842106</v>
      </c>
      <c r="CD58" s="100">
        <v>10</v>
      </c>
      <c r="CE58" s="100">
        <v>11772</v>
      </c>
      <c r="CF58" s="100">
        <v>11</v>
      </c>
      <c r="CG58" s="100">
        <v>12949.2</v>
      </c>
      <c r="CH58" s="100">
        <v>14</v>
      </c>
      <c r="CI58" s="100">
        <v>16480.8</v>
      </c>
      <c r="CJ58" s="100">
        <v>13</v>
      </c>
      <c r="CK58" s="100">
        <v>15303.6</v>
      </c>
      <c r="CL58" s="100">
        <v>14</v>
      </c>
      <c r="CM58" s="100">
        <v>16480.8</v>
      </c>
      <c r="CN58" s="100">
        <v>9</v>
      </c>
      <c r="CO58" s="100">
        <v>10594.800000000001</v>
      </c>
      <c r="CP58" s="100">
        <v>9</v>
      </c>
      <c r="CQ58" s="100">
        <v>10594.800000000001</v>
      </c>
      <c r="CR58" s="100">
        <v>15</v>
      </c>
      <c r="CS58" s="100">
        <v>17658</v>
      </c>
      <c r="CT58" s="100">
        <v>8</v>
      </c>
      <c r="CU58" s="100">
        <v>9417.6</v>
      </c>
    </row>
    <row r="59" spans="2:99">
      <c r="C59" s="99" t="s">
        <v>225</v>
      </c>
      <c r="D59" s="100">
        <v>18</v>
      </c>
      <c r="E59" s="100">
        <v>5464.7999999999993</v>
      </c>
      <c r="F59" s="100">
        <v>19</v>
      </c>
      <c r="G59" s="100">
        <v>5768.4</v>
      </c>
      <c r="H59" s="100">
        <v>12</v>
      </c>
      <c r="I59" s="100">
        <v>3643.2</v>
      </c>
      <c r="J59" s="100">
        <v>14</v>
      </c>
      <c r="K59" s="100">
        <v>4250.3999999999996</v>
      </c>
      <c r="L59" s="100">
        <v>13</v>
      </c>
      <c r="M59" s="100">
        <v>3946.7999999999997</v>
      </c>
      <c r="N59" s="100">
        <v>17</v>
      </c>
      <c r="O59" s="100">
        <v>5161.2</v>
      </c>
      <c r="P59" s="100">
        <v>16.168707118894595</v>
      </c>
      <c r="Q59" s="100">
        <v>4908.8194812963984</v>
      </c>
      <c r="R59" s="100">
        <v>11</v>
      </c>
      <c r="S59" s="100">
        <v>3339.5999999999995</v>
      </c>
      <c r="T59" s="100">
        <v>17</v>
      </c>
      <c r="U59" s="100">
        <v>5161.2</v>
      </c>
      <c r="V59" s="100">
        <v>8.9441873061495158</v>
      </c>
      <c r="W59" s="100">
        <v>2715.4552661469929</v>
      </c>
      <c r="X59" s="100">
        <v>8.6602278427958623</v>
      </c>
      <c r="Y59" s="100">
        <v>2629.2451730728235</v>
      </c>
      <c r="Z59" s="100">
        <v>9.2293795237856529</v>
      </c>
      <c r="AA59" s="100">
        <v>2802.039623421324</v>
      </c>
      <c r="AB59" s="100">
        <v>10</v>
      </c>
      <c r="AC59" s="100">
        <v>3035.9999999999995</v>
      </c>
      <c r="AD59" s="100">
        <v>14.098778315573393</v>
      </c>
      <c r="AE59" s="100">
        <v>4280.3890966080817</v>
      </c>
      <c r="AF59" s="100">
        <v>13</v>
      </c>
      <c r="AG59" s="100">
        <v>3946.7999999999997</v>
      </c>
      <c r="AH59" s="100">
        <v>14</v>
      </c>
      <c r="AI59" s="100">
        <v>4250.3999999999996</v>
      </c>
      <c r="AJ59" s="100">
        <v>17</v>
      </c>
      <c r="AK59" s="100">
        <v>5161.2</v>
      </c>
      <c r="AL59" s="100">
        <v>12</v>
      </c>
      <c r="AM59" s="100">
        <v>3643.2</v>
      </c>
      <c r="AN59" s="100">
        <v>12</v>
      </c>
      <c r="AO59" s="100">
        <v>3643.2</v>
      </c>
      <c r="AP59" s="100">
        <v>13</v>
      </c>
      <c r="AQ59" s="100">
        <v>3946.7999999999997</v>
      </c>
      <c r="AR59" s="100">
        <v>10</v>
      </c>
      <c r="AS59" s="100">
        <v>3035.9999999999995</v>
      </c>
      <c r="AT59" s="100">
        <v>15</v>
      </c>
      <c r="AU59" s="100">
        <v>4553.9999999999991</v>
      </c>
      <c r="AV59" s="100">
        <v>15.911443197497633</v>
      </c>
      <c r="AW59" s="100">
        <v>4830.7141547602805</v>
      </c>
      <c r="AX59" s="100">
        <v>11.743350294487596</v>
      </c>
      <c r="AY59" s="100">
        <v>3565.281149406434</v>
      </c>
      <c r="AZ59" s="100">
        <v>13</v>
      </c>
      <c r="BA59" s="100">
        <v>3946.7999999999997</v>
      </c>
      <c r="BB59" s="100">
        <v>13.947358479711449</v>
      </c>
      <c r="BC59" s="100">
        <v>4234.4180344403958</v>
      </c>
      <c r="BD59" s="100">
        <v>13</v>
      </c>
      <c r="BE59" s="100">
        <v>3946.7999999999997</v>
      </c>
      <c r="BF59" s="100">
        <v>13</v>
      </c>
      <c r="BG59" s="100">
        <v>3946.7999999999997</v>
      </c>
      <c r="BH59" s="100">
        <v>10</v>
      </c>
      <c r="BI59" s="100">
        <v>3035.9999999999995</v>
      </c>
      <c r="BJ59" s="100">
        <v>9</v>
      </c>
      <c r="BK59" s="100">
        <v>2732.3999999999996</v>
      </c>
      <c r="BL59" s="100">
        <v>10</v>
      </c>
      <c r="BM59" s="100">
        <v>3035.9999999999995</v>
      </c>
      <c r="BN59" s="100">
        <v>11.312691379898776</v>
      </c>
      <c r="BO59" s="100">
        <v>3434.5331029372683</v>
      </c>
      <c r="BP59" s="100">
        <v>14</v>
      </c>
      <c r="BQ59" s="100">
        <v>4250.3999999999996</v>
      </c>
      <c r="BR59" s="100">
        <v>11</v>
      </c>
      <c r="BS59" s="100">
        <v>3339.5999999999995</v>
      </c>
      <c r="BT59" s="100">
        <v>17</v>
      </c>
      <c r="BU59" s="100">
        <v>5161.2</v>
      </c>
      <c r="BV59" s="100">
        <v>13.854932677980438</v>
      </c>
      <c r="BW59" s="100">
        <v>4206.3575610348607</v>
      </c>
      <c r="BX59" s="100">
        <v>13</v>
      </c>
      <c r="BY59" s="100">
        <v>3946.7999999999997</v>
      </c>
      <c r="BZ59" s="100">
        <v>15</v>
      </c>
      <c r="CA59" s="100">
        <v>4553.9999999999991</v>
      </c>
      <c r="CB59" s="100">
        <v>16</v>
      </c>
      <c r="CC59" s="100">
        <v>4857.5999999999995</v>
      </c>
      <c r="CD59" s="100">
        <v>11</v>
      </c>
      <c r="CE59" s="100">
        <v>3339.5999999999995</v>
      </c>
      <c r="CF59" s="100">
        <v>12</v>
      </c>
      <c r="CG59" s="100">
        <v>3643.2</v>
      </c>
      <c r="CH59" s="100">
        <v>14.440451577653315</v>
      </c>
      <c r="CI59" s="100">
        <v>4384.1210989755455</v>
      </c>
      <c r="CJ59" s="100">
        <v>14.386576501751465</v>
      </c>
      <c r="CK59" s="100">
        <v>4367.7646259317444</v>
      </c>
      <c r="CL59" s="100">
        <v>12.26141322887093</v>
      </c>
      <c r="CM59" s="100">
        <v>3722.5650562852138</v>
      </c>
      <c r="CN59" s="100">
        <v>12</v>
      </c>
      <c r="CO59" s="100">
        <v>3643.2</v>
      </c>
      <c r="CP59" s="100">
        <v>11</v>
      </c>
      <c r="CQ59" s="100">
        <v>3339.5999999999995</v>
      </c>
      <c r="CR59" s="100">
        <v>17</v>
      </c>
      <c r="CS59" s="100">
        <v>5161.2</v>
      </c>
      <c r="CT59" s="100">
        <v>9</v>
      </c>
      <c r="CU59" s="100">
        <v>2732.3999999999996</v>
      </c>
    </row>
    <row r="60" spans="2:99">
      <c r="C60" s="99" t="s">
        <v>226</v>
      </c>
      <c r="D60" s="100">
        <v>16</v>
      </c>
      <c r="E60" s="100">
        <v>10425.6</v>
      </c>
      <c r="F60" s="100">
        <v>15</v>
      </c>
      <c r="G60" s="100">
        <v>9774</v>
      </c>
      <c r="H60" s="100">
        <v>11</v>
      </c>
      <c r="I60" s="100">
        <v>7167.6</v>
      </c>
      <c r="J60" s="100">
        <v>15</v>
      </c>
      <c r="K60" s="100">
        <v>9774</v>
      </c>
      <c r="L60" s="100">
        <v>13</v>
      </c>
      <c r="M60" s="100">
        <v>8470.8000000000011</v>
      </c>
      <c r="N60" s="100">
        <v>18</v>
      </c>
      <c r="O60" s="100">
        <v>11728.800000000001</v>
      </c>
      <c r="P60" s="100">
        <v>15.217606700136088</v>
      </c>
      <c r="Q60" s="100">
        <v>9915.7925258086743</v>
      </c>
      <c r="R60" s="100">
        <v>11</v>
      </c>
      <c r="S60" s="100">
        <v>7167.6</v>
      </c>
      <c r="T60" s="100">
        <v>18</v>
      </c>
      <c r="U60" s="100">
        <v>11728.800000000001</v>
      </c>
      <c r="V60" s="100">
        <v>8.9441873061495158</v>
      </c>
      <c r="W60" s="100">
        <v>5828.032448687025</v>
      </c>
      <c r="X60" s="100">
        <v>7.8729344025416932</v>
      </c>
      <c r="Y60" s="100">
        <v>5130.004056696167</v>
      </c>
      <c r="Z60" s="100">
        <v>9.9393317948460869</v>
      </c>
      <c r="AA60" s="100">
        <v>6476.4685975217108</v>
      </c>
      <c r="AB60" s="100">
        <v>9</v>
      </c>
      <c r="AC60" s="100">
        <v>5864.4000000000005</v>
      </c>
      <c r="AD60" s="100">
        <v>15.978615424316512</v>
      </c>
      <c r="AE60" s="100">
        <v>10411.665810484639</v>
      </c>
      <c r="AF60" s="100">
        <v>11</v>
      </c>
      <c r="AG60" s="100">
        <v>7167.6</v>
      </c>
      <c r="AH60" s="100">
        <v>12</v>
      </c>
      <c r="AI60" s="100">
        <v>7819.2000000000007</v>
      </c>
      <c r="AJ60" s="100">
        <v>16</v>
      </c>
      <c r="AK60" s="100">
        <v>10425.6</v>
      </c>
      <c r="AL60" s="100">
        <v>12</v>
      </c>
      <c r="AM60" s="100">
        <v>7819.2000000000007</v>
      </c>
      <c r="AN60" s="100">
        <v>13</v>
      </c>
      <c r="AO60" s="100">
        <v>8470.8000000000011</v>
      </c>
      <c r="AP60" s="100">
        <v>13</v>
      </c>
      <c r="AQ60" s="100">
        <v>8470.8000000000011</v>
      </c>
      <c r="AR60" s="100">
        <v>10</v>
      </c>
      <c r="AS60" s="100">
        <v>6516</v>
      </c>
      <c r="AT60" s="100">
        <v>14</v>
      </c>
      <c r="AU60" s="100">
        <v>9122.4</v>
      </c>
      <c r="AV60" s="100">
        <v>15.911443197497633</v>
      </c>
      <c r="AW60" s="100">
        <v>10367.896387489458</v>
      </c>
      <c r="AX60" s="100">
        <v>13.550019570562613</v>
      </c>
      <c r="AY60" s="100">
        <v>8829.1927521785983</v>
      </c>
      <c r="AZ60" s="100">
        <v>11</v>
      </c>
      <c r="BA60" s="100">
        <v>7167.6</v>
      </c>
      <c r="BB60" s="100">
        <v>11.954878696895527</v>
      </c>
      <c r="BC60" s="100">
        <v>7789.7989588971259</v>
      </c>
      <c r="BD60" s="100">
        <v>13</v>
      </c>
      <c r="BE60" s="100">
        <v>8470.8000000000011</v>
      </c>
      <c r="BF60" s="100">
        <v>12</v>
      </c>
      <c r="BG60" s="100">
        <v>7819.2000000000007</v>
      </c>
      <c r="BH60" s="100">
        <v>11</v>
      </c>
      <c r="BI60" s="100">
        <v>7167.6</v>
      </c>
      <c r="BJ60" s="100">
        <v>9</v>
      </c>
      <c r="BK60" s="100">
        <v>5864.4000000000005</v>
      </c>
      <c r="BL60" s="100">
        <v>9</v>
      </c>
      <c r="BM60" s="100">
        <v>5864.4000000000005</v>
      </c>
      <c r="BN60" s="100">
        <v>11.312691379898776</v>
      </c>
      <c r="BO60" s="100">
        <v>7371.3497031420429</v>
      </c>
      <c r="BP60" s="100">
        <v>13</v>
      </c>
      <c r="BQ60" s="100">
        <v>8470.8000000000011</v>
      </c>
      <c r="BR60" s="100">
        <v>12</v>
      </c>
      <c r="BS60" s="100">
        <v>7819.2000000000007</v>
      </c>
      <c r="BT60" s="100">
        <v>17</v>
      </c>
      <c r="BU60" s="100">
        <v>11077.2</v>
      </c>
      <c r="BV60" s="100">
        <v>15.586799262727991</v>
      </c>
      <c r="BW60" s="100">
        <v>10156.358399593559</v>
      </c>
      <c r="BX60" s="100">
        <v>13</v>
      </c>
      <c r="BY60" s="100">
        <v>8470.8000000000011</v>
      </c>
      <c r="BZ60" s="100">
        <v>13</v>
      </c>
      <c r="CA60" s="100">
        <v>8470.8000000000011</v>
      </c>
      <c r="CB60" s="100">
        <v>13</v>
      </c>
      <c r="CC60" s="100">
        <v>8470.8000000000011</v>
      </c>
      <c r="CD60" s="100">
        <v>12</v>
      </c>
      <c r="CE60" s="100">
        <v>7819.2000000000007</v>
      </c>
      <c r="CF60" s="100">
        <v>13</v>
      </c>
      <c r="CG60" s="100">
        <v>8470.8000000000011</v>
      </c>
      <c r="CH60" s="100">
        <v>13.477754805809761</v>
      </c>
      <c r="CI60" s="100">
        <v>8782.1050314656404</v>
      </c>
      <c r="CJ60" s="100">
        <v>12.468366301517937</v>
      </c>
      <c r="CK60" s="100">
        <v>8124.387482069088</v>
      </c>
      <c r="CL60" s="100">
        <v>12.26141322887093</v>
      </c>
      <c r="CM60" s="100">
        <v>7989.5368599322983</v>
      </c>
      <c r="CN60" s="100">
        <v>11</v>
      </c>
      <c r="CO60" s="100">
        <v>7167.6</v>
      </c>
      <c r="CP60" s="100">
        <v>10</v>
      </c>
      <c r="CQ60" s="100">
        <v>6516</v>
      </c>
      <c r="CR60" s="100">
        <v>15</v>
      </c>
      <c r="CS60" s="100">
        <v>9774</v>
      </c>
      <c r="CT60" s="100">
        <v>9</v>
      </c>
      <c r="CU60" s="100">
        <v>5864.4000000000005</v>
      </c>
    </row>
    <row r="61" spans="2:99">
      <c r="C61" s="99" t="s">
        <v>227</v>
      </c>
      <c r="D61" s="100">
        <v>15</v>
      </c>
      <c r="E61" s="100">
        <v>14273.999999999998</v>
      </c>
      <c r="F61" s="100">
        <v>17</v>
      </c>
      <c r="G61" s="100">
        <v>16177.199999999999</v>
      </c>
      <c r="H61" s="100">
        <v>11</v>
      </c>
      <c r="I61" s="100">
        <v>10467.599999999999</v>
      </c>
      <c r="J61" s="100">
        <v>14</v>
      </c>
      <c r="K61" s="100">
        <v>13322.399999999998</v>
      </c>
      <c r="L61" s="100">
        <v>14</v>
      </c>
      <c r="M61" s="100">
        <v>13322.399999999998</v>
      </c>
      <c r="N61" s="100">
        <v>17</v>
      </c>
      <c r="O61" s="100">
        <v>16177.199999999999</v>
      </c>
      <c r="P61" s="100">
        <v>15.217606700136088</v>
      </c>
      <c r="Q61" s="100">
        <v>14481.074535849501</v>
      </c>
      <c r="R61" s="100">
        <v>10</v>
      </c>
      <c r="S61" s="100">
        <v>9516</v>
      </c>
      <c r="T61" s="100">
        <v>16</v>
      </c>
      <c r="U61" s="100">
        <v>15225.599999999999</v>
      </c>
      <c r="V61" s="100">
        <v>8.9441873061495158</v>
      </c>
      <c r="W61" s="100">
        <v>8511.2886405318786</v>
      </c>
      <c r="X61" s="100">
        <v>8.6602278427958623</v>
      </c>
      <c r="Y61" s="100">
        <v>8241.0728152045413</v>
      </c>
      <c r="Z61" s="100">
        <v>10.649284065906523</v>
      </c>
      <c r="AA61" s="100">
        <v>10133.858717116645</v>
      </c>
      <c r="AB61" s="100">
        <v>9</v>
      </c>
      <c r="AC61" s="100">
        <v>8564.4</v>
      </c>
      <c r="AD61" s="100">
        <v>15.038696869944953</v>
      </c>
      <c r="AE61" s="100">
        <v>14310.823941439616</v>
      </c>
      <c r="AF61" s="100">
        <v>12</v>
      </c>
      <c r="AG61" s="100">
        <v>11419.199999999999</v>
      </c>
      <c r="AH61" s="100">
        <v>13</v>
      </c>
      <c r="AI61" s="100">
        <v>12370.8</v>
      </c>
      <c r="AJ61" s="100">
        <v>17</v>
      </c>
      <c r="AK61" s="100">
        <v>16177.199999999999</v>
      </c>
      <c r="AL61" s="100">
        <v>10</v>
      </c>
      <c r="AM61" s="100">
        <v>9516</v>
      </c>
      <c r="AN61" s="100">
        <v>12</v>
      </c>
      <c r="AO61" s="100">
        <v>11419.199999999999</v>
      </c>
      <c r="AP61" s="100">
        <v>14</v>
      </c>
      <c r="AQ61" s="100">
        <v>13322.399999999998</v>
      </c>
      <c r="AR61" s="100">
        <v>10</v>
      </c>
      <c r="AS61" s="100">
        <v>9516</v>
      </c>
      <c r="AT61" s="100">
        <v>12</v>
      </c>
      <c r="AU61" s="100">
        <v>11419.199999999999</v>
      </c>
      <c r="AV61" s="100">
        <v>14.975475950586008</v>
      </c>
      <c r="AW61" s="100">
        <v>14250.662914577644</v>
      </c>
      <c r="AX61" s="100">
        <v>12.646684932525105</v>
      </c>
      <c r="AY61" s="100">
        <v>12034.585381790888</v>
      </c>
      <c r="AZ61" s="100">
        <v>11</v>
      </c>
      <c r="BA61" s="100">
        <v>10467.599999999999</v>
      </c>
      <c r="BB61" s="100">
        <v>12.951118588303487</v>
      </c>
      <c r="BC61" s="100">
        <v>12324.284448629596</v>
      </c>
      <c r="BD61" s="100">
        <v>14</v>
      </c>
      <c r="BE61" s="100">
        <v>13322.399999999998</v>
      </c>
      <c r="BF61" s="100">
        <v>12</v>
      </c>
      <c r="BG61" s="100">
        <v>11419.199999999999</v>
      </c>
      <c r="BH61" s="100">
        <v>11</v>
      </c>
      <c r="BI61" s="100">
        <v>10467.599999999999</v>
      </c>
      <c r="BJ61" s="100">
        <v>8</v>
      </c>
      <c r="BK61" s="100">
        <v>7612.7999999999993</v>
      </c>
      <c r="BL61" s="100">
        <v>10</v>
      </c>
      <c r="BM61" s="100">
        <v>9516</v>
      </c>
      <c r="BN61" s="100">
        <v>9.572277321452809</v>
      </c>
      <c r="BO61" s="100">
        <v>9108.979099094493</v>
      </c>
      <c r="BP61" s="100">
        <v>15</v>
      </c>
      <c r="BQ61" s="100">
        <v>14273.999999999998</v>
      </c>
      <c r="BR61" s="100">
        <v>11</v>
      </c>
      <c r="BS61" s="100">
        <v>10467.599999999999</v>
      </c>
      <c r="BT61" s="100">
        <v>16</v>
      </c>
      <c r="BU61" s="100">
        <v>15225.599999999999</v>
      </c>
      <c r="BV61" s="100">
        <v>15.586799262727991</v>
      </c>
      <c r="BW61" s="100">
        <v>14832.398178411955</v>
      </c>
      <c r="BX61" s="100">
        <v>11</v>
      </c>
      <c r="BY61" s="100">
        <v>10467.599999999999</v>
      </c>
      <c r="BZ61" s="100">
        <v>14</v>
      </c>
      <c r="CA61" s="100">
        <v>13322.399999999998</v>
      </c>
      <c r="CB61" s="100">
        <v>14</v>
      </c>
      <c r="CC61" s="100">
        <v>13322.399999999998</v>
      </c>
      <c r="CD61" s="100">
        <v>12</v>
      </c>
      <c r="CE61" s="100">
        <v>11419.199999999999</v>
      </c>
      <c r="CF61" s="100">
        <v>11</v>
      </c>
      <c r="CG61" s="100">
        <v>10467.599999999999</v>
      </c>
      <c r="CH61" s="100">
        <v>12.515058033966206</v>
      </c>
      <c r="CI61" s="100">
        <v>11909.329225122241</v>
      </c>
      <c r="CJ61" s="100">
        <v>11.509261201401172</v>
      </c>
      <c r="CK61" s="100">
        <v>10952.212959253355</v>
      </c>
      <c r="CL61" s="100">
        <v>13.078840777462327</v>
      </c>
      <c r="CM61" s="100">
        <v>12445.824883833149</v>
      </c>
      <c r="CN61" s="100">
        <v>11</v>
      </c>
      <c r="CO61" s="100">
        <v>10467.599999999999</v>
      </c>
      <c r="CP61" s="100">
        <v>9</v>
      </c>
      <c r="CQ61" s="100">
        <v>8564.4</v>
      </c>
      <c r="CR61" s="100">
        <v>16</v>
      </c>
      <c r="CS61" s="100">
        <v>15225.599999999999</v>
      </c>
      <c r="CT61" s="100">
        <v>9</v>
      </c>
      <c r="CU61" s="100">
        <v>8564.4</v>
      </c>
    </row>
    <row r="62" spans="2:99">
      <c r="C62" s="99" t="s">
        <v>228</v>
      </c>
      <c r="D62" s="100">
        <v>15</v>
      </c>
      <c r="E62" s="100">
        <v>25038</v>
      </c>
      <c r="F62" s="100">
        <v>15</v>
      </c>
      <c r="G62" s="100">
        <v>25038</v>
      </c>
      <c r="H62" s="100">
        <v>10</v>
      </c>
      <c r="I62" s="100">
        <v>16692</v>
      </c>
      <c r="J62" s="100">
        <v>14</v>
      </c>
      <c r="K62" s="100">
        <v>23368.799999999999</v>
      </c>
      <c r="L62" s="100">
        <v>12</v>
      </c>
      <c r="M62" s="100">
        <v>20030.400000000001</v>
      </c>
      <c r="N62" s="100">
        <v>10.851063829787226</v>
      </c>
      <c r="O62" s="100">
        <v>18112.595744680839</v>
      </c>
      <c r="P62" s="100">
        <v>11.483253588516746</v>
      </c>
      <c r="Q62" s="100">
        <v>19167.846889952154</v>
      </c>
      <c r="R62" s="100">
        <v>8.5561497326203213</v>
      </c>
      <c r="S62" s="100">
        <v>14281.925133689841</v>
      </c>
      <c r="T62" s="100">
        <v>15</v>
      </c>
      <c r="U62" s="100">
        <v>25038</v>
      </c>
      <c r="V62" s="100">
        <v>10</v>
      </c>
      <c r="W62" s="100">
        <v>16692</v>
      </c>
      <c r="X62" s="100">
        <v>9</v>
      </c>
      <c r="Y62" s="100">
        <v>15022.800000000001</v>
      </c>
      <c r="Z62" s="100">
        <v>12</v>
      </c>
      <c r="AA62" s="100">
        <v>20030.400000000001</v>
      </c>
      <c r="AB62" s="100">
        <v>8</v>
      </c>
      <c r="AC62" s="100">
        <v>13353.6</v>
      </c>
      <c r="AD62" s="100">
        <v>14</v>
      </c>
      <c r="AE62" s="100">
        <v>23368.799999999999</v>
      </c>
      <c r="AF62" s="100">
        <v>11</v>
      </c>
      <c r="AG62" s="100">
        <v>18361.2</v>
      </c>
      <c r="AH62" s="100">
        <v>11</v>
      </c>
      <c r="AI62" s="100">
        <v>18361.2</v>
      </c>
      <c r="AJ62" s="100">
        <v>15</v>
      </c>
      <c r="AK62" s="100">
        <v>25038</v>
      </c>
      <c r="AL62" s="100">
        <v>9</v>
      </c>
      <c r="AM62" s="100">
        <v>15022.800000000001</v>
      </c>
      <c r="AN62" s="100">
        <v>11</v>
      </c>
      <c r="AO62" s="100">
        <v>18361.2</v>
      </c>
      <c r="AP62" s="100">
        <v>12</v>
      </c>
      <c r="AQ62" s="100">
        <v>20030.400000000001</v>
      </c>
      <c r="AR62" s="100">
        <v>9</v>
      </c>
      <c r="AS62" s="100">
        <v>15022.800000000001</v>
      </c>
      <c r="AT62" s="100">
        <v>8.7241379310344627</v>
      </c>
      <c r="AU62" s="100">
        <v>14562.331034482726</v>
      </c>
      <c r="AV62" s="100">
        <v>5.5966409835966054E-21</v>
      </c>
      <c r="AW62" s="100">
        <v>9.3419131298194535E-18</v>
      </c>
      <c r="AX62" s="100">
        <v>2.1185025192145342E-21</v>
      </c>
      <c r="AY62" s="100">
        <v>3.5362044050729004E-18</v>
      </c>
      <c r="AZ62" s="100">
        <v>4.744054542170991</v>
      </c>
      <c r="BA62" s="100">
        <v>7918.7758417918185</v>
      </c>
      <c r="BB62" s="100">
        <v>11.214953271028035</v>
      </c>
      <c r="BC62" s="100">
        <v>18719.999999999996</v>
      </c>
      <c r="BD62" s="100">
        <v>10.572687224669602</v>
      </c>
      <c r="BE62" s="100">
        <v>17647.929515418502</v>
      </c>
      <c r="BF62" s="100">
        <v>11</v>
      </c>
      <c r="BG62" s="100">
        <v>18361.2</v>
      </c>
      <c r="BH62" s="100">
        <v>10</v>
      </c>
      <c r="BI62" s="100">
        <v>16692</v>
      </c>
      <c r="BJ62" s="100">
        <v>8</v>
      </c>
      <c r="BK62" s="100">
        <v>13353.6</v>
      </c>
      <c r="BL62" s="100">
        <v>8</v>
      </c>
      <c r="BM62" s="100">
        <v>13353.6</v>
      </c>
      <c r="BN62" s="100">
        <v>10</v>
      </c>
      <c r="BO62" s="100">
        <v>16692</v>
      </c>
      <c r="BP62" s="100">
        <v>13</v>
      </c>
      <c r="BQ62" s="100">
        <v>21699.600000000002</v>
      </c>
      <c r="BR62" s="100">
        <v>10</v>
      </c>
      <c r="BS62" s="100">
        <v>16692</v>
      </c>
      <c r="BT62" s="100">
        <v>15.86497890295357</v>
      </c>
      <c r="BU62" s="100">
        <v>26481.822784810101</v>
      </c>
      <c r="BV62" s="100">
        <v>14.782608695652172</v>
      </c>
      <c r="BW62" s="100">
        <v>24675.130434782608</v>
      </c>
      <c r="BX62" s="100">
        <v>11</v>
      </c>
      <c r="BY62" s="100">
        <v>18361.2</v>
      </c>
      <c r="BZ62" s="100">
        <v>13</v>
      </c>
      <c r="CA62" s="100">
        <v>21699.600000000002</v>
      </c>
      <c r="CB62" s="100">
        <v>13</v>
      </c>
      <c r="CC62" s="100">
        <v>21699.600000000002</v>
      </c>
      <c r="CD62" s="100">
        <v>11</v>
      </c>
      <c r="CE62" s="100">
        <v>18361.2</v>
      </c>
      <c r="CF62" s="100">
        <v>12</v>
      </c>
      <c r="CG62" s="100">
        <v>20030.400000000001</v>
      </c>
      <c r="CH62" s="100">
        <v>12</v>
      </c>
      <c r="CI62" s="100">
        <v>20030.400000000001</v>
      </c>
      <c r="CJ62" s="100">
        <v>12</v>
      </c>
      <c r="CK62" s="100">
        <v>20030.400000000001</v>
      </c>
      <c r="CL62" s="100">
        <v>13</v>
      </c>
      <c r="CM62" s="100">
        <v>21699.600000000002</v>
      </c>
      <c r="CN62" s="100">
        <v>10</v>
      </c>
      <c r="CO62" s="100">
        <v>16692</v>
      </c>
      <c r="CP62" s="100">
        <v>9</v>
      </c>
      <c r="CQ62" s="100">
        <v>15022.800000000001</v>
      </c>
      <c r="CR62" s="100">
        <v>15</v>
      </c>
      <c r="CS62" s="100">
        <v>25038</v>
      </c>
      <c r="CT62" s="100">
        <v>8</v>
      </c>
      <c r="CU62" s="100">
        <v>13353.6</v>
      </c>
    </row>
    <row r="63" spans="2:99">
      <c r="C63" s="99" t="s">
        <v>229</v>
      </c>
      <c r="D63" s="100">
        <v>17</v>
      </c>
      <c r="E63" s="100">
        <v>13525.2</v>
      </c>
      <c r="F63" s="100">
        <v>15</v>
      </c>
      <c r="G63" s="100">
        <v>11934</v>
      </c>
      <c r="H63" s="100">
        <v>11</v>
      </c>
      <c r="I63" s="100">
        <v>8751.6</v>
      </c>
      <c r="J63" s="100">
        <v>15</v>
      </c>
      <c r="K63" s="100">
        <v>11934</v>
      </c>
      <c r="L63" s="100">
        <v>15</v>
      </c>
      <c r="M63" s="100">
        <v>11934</v>
      </c>
      <c r="N63" s="100">
        <v>15</v>
      </c>
      <c r="O63" s="100">
        <v>11934</v>
      </c>
      <c r="P63" s="100">
        <v>16.168707118894595</v>
      </c>
      <c r="Q63" s="100">
        <v>12863.82338379254</v>
      </c>
      <c r="R63" s="100">
        <v>11</v>
      </c>
      <c r="S63" s="100">
        <v>8751.6</v>
      </c>
      <c r="T63" s="100">
        <v>16</v>
      </c>
      <c r="U63" s="100">
        <v>12729.6</v>
      </c>
      <c r="V63" s="100">
        <v>8.9441873061495158</v>
      </c>
      <c r="W63" s="100">
        <v>7115.995420772555</v>
      </c>
      <c r="X63" s="100">
        <v>8.6602278427958623</v>
      </c>
      <c r="Y63" s="100">
        <v>6890.077271728388</v>
      </c>
      <c r="Z63" s="100">
        <v>9.2293795237856529</v>
      </c>
      <c r="AA63" s="100">
        <v>7342.894349123866</v>
      </c>
      <c r="AB63" s="100">
        <v>8</v>
      </c>
      <c r="AC63" s="100">
        <v>6364.8</v>
      </c>
      <c r="AD63" s="100">
        <v>15.038696869944953</v>
      </c>
      <c r="AE63" s="100">
        <v>11964.787229728205</v>
      </c>
      <c r="AF63" s="100">
        <v>11</v>
      </c>
      <c r="AG63" s="100">
        <v>8751.6</v>
      </c>
      <c r="AH63" s="100">
        <v>13</v>
      </c>
      <c r="AI63" s="100">
        <v>10342.800000000001</v>
      </c>
      <c r="AJ63" s="100">
        <v>17</v>
      </c>
      <c r="AK63" s="100">
        <v>13525.2</v>
      </c>
      <c r="AL63" s="100">
        <v>11</v>
      </c>
      <c r="AM63" s="100">
        <v>8751.6</v>
      </c>
      <c r="AN63" s="100">
        <v>12</v>
      </c>
      <c r="AO63" s="100">
        <v>9547.2000000000007</v>
      </c>
      <c r="AP63" s="100">
        <v>12</v>
      </c>
      <c r="AQ63" s="100">
        <v>9547.2000000000007</v>
      </c>
      <c r="AR63" s="100">
        <v>11</v>
      </c>
      <c r="AS63" s="100">
        <v>8751.6</v>
      </c>
      <c r="AT63" s="100">
        <v>12</v>
      </c>
      <c r="AU63" s="100">
        <v>9547.2000000000007</v>
      </c>
      <c r="AV63" s="100">
        <v>14.039508703674382</v>
      </c>
      <c r="AW63" s="100">
        <v>11169.833124643339</v>
      </c>
      <c r="AX63" s="100">
        <v>11.743350294487596</v>
      </c>
      <c r="AY63" s="100">
        <v>9343.0094942943324</v>
      </c>
      <c r="AZ63" s="100">
        <v>11</v>
      </c>
      <c r="BA63" s="100">
        <v>8751.6</v>
      </c>
      <c r="BB63" s="100">
        <v>11.954878696895527</v>
      </c>
      <c r="BC63" s="100">
        <v>9511.3014912500821</v>
      </c>
      <c r="BD63" s="100">
        <v>15</v>
      </c>
      <c r="BE63" s="100">
        <v>11934</v>
      </c>
      <c r="BF63" s="100">
        <v>12</v>
      </c>
      <c r="BG63" s="100">
        <v>9547.2000000000007</v>
      </c>
      <c r="BH63" s="100">
        <v>11</v>
      </c>
      <c r="BI63" s="100">
        <v>8751.6</v>
      </c>
      <c r="BJ63" s="100">
        <v>9</v>
      </c>
      <c r="BK63" s="100">
        <v>7160.4000000000005</v>
      </c>
      <c r="BL63" s="100">
        <v>10</v>
      </c>
      <c r="BM63" s="100">
        <v>7956</v>
      </c>
      <c r="BN63" s="100">
        <v>11.312691379898776</v>
      </c>
      <c r="BO63" s="100">
        <v>9000.3772618474668</v>
      </c>
      <c r="BP63" s="100">
        <v>13</v>
      </c>
      <c r="BQ63" s="100">
        <v>10342.800000000001</v>
      </c>
      <c r="BR63" s="100">
        <v>10</v>
      </c>
      <c r="BS63" s="100">
        <v>7956</v>
      </c>
      <c r="BT63" s="100">
        <v>18</v>
      </c>
      <c r="BU63" s="100">
        <v>14320.800000000001</v>
      </c>
      <c r="BV63" s="100">
        <v>13.854932677980438</v>
      </c>
      <c r="BW63" s="100">
        <v>11022.984438601237</v>
      </c>
      <c r="BX63" s="100">
        <v>13</v>
      </c>
      <c r="BY63" s="100">
        <v>10342.800000000001</v>
      </c>
      <c r="BZ63" s="100">
        <v>15</v>
      </c>
      <c r="CA63" s="100">
        <v>11934</v>
      </c>
      <c r="CB63" s="100">
        <v>14</v>
      </c>
      <c r="CC63" s="100">
        <v>11138.4</v>
      </c>
      <c r="CD63" s="100">
        <v>11</v>
      </c>
      <c r="CE63" s="100">
        <v>8751.6</v>
      </c>
      <c r="CF63" s="100">
        <v>12</v>
      </c>
      <c r="CG63" s="100">
        <v>9547.2000000000007</v>
      </c>
      <c r="CH63" s="100">
        <v>13.477754805809761</v>
      </c>
      <c r="CI63" s="100">
        <v>10722.901723502246</v>
      </c>
      <c r="CJ63" s="100">
        <v>13.427471401634701</v>
      </c>
      <c r="CK63" s="100">
        <v>10682.896247140568</v>
      </c>
      <c r="CL63" s="100">
        <v>13.896268326053722</v>
      </c>
      <c r="CM63" s="100">
        <v>11055.871080208341</v>
      </c>
      <c r="CN63" s="100">
        <v>11</v>
      </c>
      <c r="CO63" s="100">
        <v>8751.6</v>
      </c>
      <c r="CP63" s="100">
        <v>11</v>
      </c>
      <c r="CQ63" s="100">
        <v>8751.6</v>
      </c>
      <c r="CR63" s="100">
        <v>15</v>
      </c>
      <c r="CS63" s="100">
        <v>11934</v>
      </c>
      <c r="CT63" s="100">
        <v>9</v>
      </c>
      <c r="CU63" s="100">
        <v>7160.4000000000005</v>
      </c>
    </row>
    <row r="64" spans="2:99">
      <c r="C64" s="99" t="s">
        <v>230</v>
      </c>
      <c r="D64" s="100">
        <v>17</v>
      </c>
      <c r="E64" s="100">
        <v>17156.399999999998</v>
      </c>
      <c r="F64" s="100">
        <v>17</v>
      </c>
      <c r="G64" s="100">
        <v>17156.399999999998</v>
      </c>
      <c r="H64" s="100">
        <v>12</v>
      </c>
      <c r="I64" s="100">
        <v>12110.399999999998</v>
      </c>
      <c r="J64" s="100">
        <v>14</v>
      </c>
      <c r="K64" s="100">
        <v>14128.799999999997</v>
      </c>
      <c r="L64" s="100">
        <v>13</v>
      </c>
      <c r="M64" s="100">
        <v>13119.599999999999</v>
      </c>
      <c r="N64" s="100">
        <v>17</v>
      </c>
      <c r="O64" s="100">
        <v>17156.399999999998</v>
      </c>
      <c r="P64" s="100">
        <v>17.119807537653099</v>
      </c>
      <c r="Q64" s="100">
        <v>17277.309766999504</v>
      </c>
      <c r="R64" s="100">
        <v>11</v>
      </c>
      <c r="S64" s="100">
        <v>11101.199999999997</v>
      </c>
      <c r="T64" s="100">
        <v>17</v>
      </c>
      <c r="U64" s="100">
        <v>17156.399999999998</v>
      </c>
      <c r="V64" s="100">
        <v>8.0497685755345643</v>
      </c>
      <c r="W64" s="100">
        <v>8123.8264464294807</v>
      </c>
      <c r="X64" s="100">
        <v>7.085640962287524</v>
      </c>
      <c r="Y64" s="100">
        <v>7150.8288591405681</v>
      </c>
      <c r="Z64" s="100">
        <v>9.2293795237856529</v>
      </c>
      <c r="AA64" s="100">
        <v>9314.2898154044797</v>
      </c>
      <c r="AB64" s="100">
        <v>9</v>
      </c>
      <c r="AC64" s="100">
        <v>9082.7999999999993</v>
      </c>
      <c r="AD64" s="100">
        <v>15.038696869944953</v>
      </c>
      <c r="AE64" s="100">
        <v>15177.052881148444</v>
      </c>
      <c r="AF64" s="100">
        <v>11</v>
      </c>
      <c r="AG64" s="100">
        <v>11101.199999999997</v>
      </c>
      <c r="AH64" s="100">
        <v>11</v>
      </c>
      <c r="AI64" s="100">
        <v>11101.199999999997</v>
      </c>
      <c r="AJ64" s="100">
        <v>15</v>
      </c>
      <c r="AK64" s="100">
        <v>15137.999999999996</v>
      </c>
      <c r="AL64" s="100">
        <v>10</v>
      </c>
      <c r="AM64" s="100">
        <v>10091.999999999998</v>
      </c>
      <c r="AN64" s="100">
        <v>11</v>
      </c>
      <c r="AO64" s="100">
        <v>11101.199999999997</v>
      </c>
      <c r="AP64" s="100">
        <v>13</v>
      </c>
      <c r="AQ64" s="100">
        <v>13119.599999999999</v>
      </c>
      <c r="AR64" s="100">
        <v>10</v>
      </c>
      <c r="AS64" s="100">
        <v>10091.999999999998</v>
      </c>
      <c r="AT64" s="100">
        <v>12</v>
      </c>
      <c r="AU64" s="100">
        <v>12110.399999999998</v>
      </c>
      <c r="AV64" s="100">
        <v>14.039508703674382</v>
      </c>
      <c r="AW64" s="100">
        <v>14168.672183748184</v>
      </c>
      <c r="AX64" s="100">
        <v>11.743350294487596</v>
      </c>
      <c r="AY64" s="100">
        <v>11851.389117196881</v>
      </c>
      <c r="AZ64" s="100">
        <v>12</v>
      </c>
      <c r="BA64" s="100">
        <v>12110.399999999998</v>
      </c>
      <c r="BB64" s="100">
        <v>10.958638805487565</v>
      </c>
      <c r="BC64" s="100">
        <v>11059.458282498048</v>
      </c>
      <c r="BD64" s="100">
        <v>14</v>
      </c>
      <c r="BE64" s="100">
        <v>14128.799999999997</v>
      </c>
      <c r="BF64" s="100">
        <v>12</v>
      </c>
      <c r="BG64" s="100">
        <v>12110.399999999998</v>
      </c>
      <c r="BH64" s="100">
        <v>11</v>
      </c>
      <c r="BI64" s="100">
        <v>11101.199999999997</v>
      </c>
      <c r="BJ64" s="100">
        <v>9</v>
      </c>
      <c r="BK64" s="100">
        <v>9082.7999999999993</v>
      </c>
      <c r="BL64" s="100">
        <v>9</v>
      </c>
      <c r="BM64" s="100">
        <v>9082.7999999999993</v>
      </c>
      <c r="BN64" s="100">
        <v>9.572277321452809</v>
      </c>
      <c r="BO64" s="100">
        <v>9660.3422728101723</v>
      </c>
      <c r="BP64" s="100">
        <v>14</v>
      </c>
      <c r="BQ64" s="100">
        <v>14128.799999999997</v>
      </c>
      <c r="BR64" s="100">
        <v>11</v>
      </c>
      <c r="BS64" s="100">
        <v>11101.199999999997</v>
      </c>
      <c r="BT64" s="100">
        <v>15</v>
      </c>
      <c r="BU64" s="100">
        <v>15137.999999999996</v>
      </c>
      <c r="BV64" s="100">
        <v>15.586799262727991</v>
      </c>
      <c r="BW64" s="100">
        <v>15730.197815945086</v>
      </c>
      <c r="BX64" s="100">
        <v>12</v>
      </c>
      <c r="BY64" s="100">
        <v>12110.399999999998</v>
      </c>
      <c r="BZ64" s="100">
        <v>13</v>
      </c>
      <c r="CA64" s="100">
        <v>13119.599999999999</v>
      </c>
      <c r="CB64" s="100">
        <v>13</v>
      </c>
      <c r="CC64" s="100">
        <v>13119.599999999999</v>
      </c>
      <c r="CD64" s="100">
        <v>12</v>
      </c>
      <c r="CE64" s="100">
        <v>12110.399999999998</v>
      </c>
      <c r="CF64" s="100">
        <v>11</v>
      </c>
      <c r="CG64" s="100">
        <v>11101.199999999997</v>
      </c>
      <c r="CH64" s="100">
        <v>11.552361262122652</v>
      </c>
      <c r="CI64" s="100">
        <v>11658.642985734179</v>
      </c>
      <c r="CJ64" s="100">
        <v>13.427471401634701</v>
      </c>
      <c r="CK64" s="100">
        <v>13551.004138529737</v>
      </c>
      <c r="CL64" s="100">
        <v>11.443985680279535</v>
      </c>
      <c r="CM64" s="100">
        <v>11549.270348538104</v>
      </c>
      <c r="CN64" s="100">
        <v>11</v>
      </c>
      <c r="CO64" s="100">
        <v>11101.199999999997</v>
      </c>
      <c r="CP64" s="100">
        <v>10</v>
      </c>
      <c r="CQ64" s="100">
        <v>10091.999999999998</v>
      </c>
      <c r="CR64" s="100">
        <v>17</v>
      </c>
      <c r="CS64" s="100">
        <v>17156.399999999998</v>
      </c>
      <c r="CT64" s="100">
        <v>9</v>
      </c>
      <c r="CU64" s="100">
        <v>9082.7999999999993</v>
      </c>
    </row>
    <row r="65" spans="2:99">
      <c r="C65" s="99" t="s">
        <v>231</v>
      </c>
      <c r="D65" s="100">
        <v>17</v>
      </c>
      <c r="E65" s="100">
        <v>17442</v>
      </c>
      <c r="F65" s="100">
        <v>15</v>
      </c>
      <c r="G65" s="100">
        <v>15390</v>
      </c>
      <c r="H65" s="100">
        <v>12</v>
      </c>
      <c r="I65" s="100">
        <v>12312</v>
      </c>
      <c r="J65" s="100">
        <v>15</v>
      </c>
      <c r="K65" s="100">
        <v>15390</v>
      </c>
      <c r="L65" s="100">
        <v>14</v>
      </c>
      <c r="M65" s="100">
        <v>14364</v>
      </c>
      <c r="N65" s="100">
        <v>15</v>
      </c>
      <c r="O65" s="100">
        <v>15390</v>
      </c>
      <c r="P65" s="100">
        <v>17.119807537653099</v>
      </c>
      <c r="Q65" s="100">
        <v>17564.922533632078</v>
      </c>
      <c r="R65" s="100">
        <v>10</v>
      </c>
      <c r="S65" s="100">
        <v>10260</v>
      </c>
      <c r="T65" s="100">
        <v>15</v>
      </c>
      <c r="U65" s="100">
        <v>15390</v>
      </c>
      <c r="V65" s="100">
        <v>8.0497685755345643</v>
      </c>
      <c r="W65" s="100">
        <v>8259.0625584984627</v>
      </c>
      <c r="X65" s="100">
        <v>7.8729344025416932</v>
      </c>
      <c r="Y65" s="100">
        <v>8077.6306970077776</v>
      </c>
      <c r="Z65" s="100">
        <v>9.2293795237856529</v>
      </c>
      <c r="AA65" s="100">
        <v>9469.3433914040797</v>
      </c>
      <c r="AB65" s="100">
        <v>9</v>
      </c>
      <c r="AC65" s="100">
        <v>9234</v>
      </c>
      <c r="AD65" s="100">
        <v>13.158859761201834</v>
      </c>
      <c r="AE65" s="100">
        <v>13500.990114993081</v>
      </c>
      <c r="AF65" s="100">
        <v>11</v>
      </c>
      <c r="AG65" s="100">
        <v>11286</v>
      </c>
      <c r="AH65" s="100">
        <v>11</v>
      </c>
      <c r="AI65" s="100">
        <v>11286</v>
      </c>
      <c r="AJ65" s="100">
        <v>15</v>
      </c>
      <c r="AK65" s="100">
        <v>15390</v>
      </c>
      <c r="AL65" s="100">
        <v>10</v>
      </c>
      <c r="AM65" s="100">
        <v>10260</v>
      </c>
      <c r="AN65" s="100">
        <v>11</v>
      </c>
      <c r="AO65" s="100">
        <v>11286</v>
      </c>
      <c r="AP65" s="100">
        <v>12</v>
      </c>
      <c r="AQ65" s="100">
        <v>12312</v>
      </c>
      <c r="AR65" s="100">
        <v>10</v>
      </c>
      <c r="AS65" s="100">
        <v>10260</v>
      </c>
      <c r="AT65" s="100">
        <v>13</v>
      </c>
      <c r="AU65" s="100">
        <v>13338</v>
      </c>
      <c r="AV65" s="100">
        <v>15.911443197497633</v>
      </c>
      <c r="AW65" s="100">
        <v>16325.140720632571</v>
      </c>
      <c r="AX65" s="100">
        <v>12.646684932525105</v>
      </c>
      <c r="AY65" s="100">
        <v>12975.498740770758</v>
      </c>
      <c r="AZ65" s="100">
        <v>11</v>
      </c>
      <c r="BA65" s="100">
        <v>11286</v>
      </c>
      <c r="BB65" s="100">
        <v>11.954878696895527</v>
      </c>
      <c r="BC65" s="100">
        <v>12265.70554301481</v>
      </c>
      <c r="BD65" s="100">
        <v>12</v>
      </c>
      <c r="BE65" s="100">
        <v>12312</v>
      </c>
      <c r="BF65" s="100">
        <v>12</v>
      </c>
      <c r="BG65" s="100">
        <v>12312</v>
      </c>
      <c r="BH65" s="100">
        <v>11</v>
      </c>
      <c r="BI65" s="100">
        <v>11286</v>
      </c>
      <c r="BJ65" s="100">
        <v>9</v>
      </c>
      <c r="BK65" s="100">
        <v>9234</v>
      </c>
      <c r="BL65" s="100">
        <v>8</v>
      </c>
      <c r="BM65" s="100">
        <v>8208</v>
      </c>
      <c r="BN65" s="100">
        <v>10.442484350675791</v>
      </c>
      <c r="BO65" s="100">
        <v>10713.988943793362</v>
      </c>
      <c r="BP65" s="100">
        <v>13</v>
      </c>
      <c r="BQ65" s="100">
        <v>13338</v>
      </c>
      <c r="BR65" s="100">
        <v>10</v>
      </c>
      <c r="BS65" s="100">
        <v>10260</v>
      </c>
      <c r="BT65" s="100">
        <v>16</v>
      </c>
      <c r="BU65" s="100">
        <v>16416</v>
      </c>
      <c r="BV65" s="100">
        <v>15.586799262727991</v>
      </c>
      <c r="BW65" s="100">
        <v>15992.05604355892</v>
      </c>
      <c r="BX65" s="100">
        <v>11</v>
      </c>
      <c r="BY65" s="100">
        <v>11286</v>
      </c>
      <c r="BZ65" s="100">
        <v>14</v>
      </c>
      <c r="CA65" s="100">
        <v>14364</v>
      </c>
      <c r="CB65" s="100">
        <v>15</v>
      </c>
      <c r="CC65" s="100">
        <v>15390</v>
      </c>
      <c r="CD65" s="100">
        <v>11</v>
      </c>
      <c r="CE65" s="100">
        <v>11286</v>
      </c>
      <c r="CF65" s="100">
        <v>12</v>
      </c>
      <c r="CG65" s="100">
        <v>12312</v>
      </c>
      <c r="CH65" s="100">
        <v>13.477754805809761</v>
      </c>
      <c r="CI65" s="100">
        <v>13828.176430760815</v>
      </c>
      <c r="CJ65" s="100">
        <v>11.509261201401172</v>
      </c>
      <c r="CK65" s="100">
        <v>11808.501992637603</v>
      </c>
      <c r="CL65" s="100">
        <v>13.078840777462327</v>
      </c>
      <c r="CM65" s="100">
        <v>13418.890637676348</v>
      </c>
      <c r="CN65" s="100">
        <v>10</v>
      </c>
      <c r="CO65" s="100">
        <v>10260</v>
      </c>
      <c r="CP65" s="100">
        <v>9</v>
      </c>
      <c r="CQ65" s="100">
        <v>9234</v>
      </c>
      <c r="CR65" s="100">
        <v>15</v>
      </c>
      <c r="CS65" s="100">
        <v>15390</v>
      </c>
      <c r="CT65" s="100">
        <v>9</v>
      </c>
      <c r="CU65" s="100">
        <v>9234</v>
      </c>
    </row>
    <row r="66" spans="2:99">
      <c r="C66" s="99" t="s">
        <v>232</v>
      </c>
      <c r="D66" s="100">
        <v>15</v>
      </c>
      <c r="E66" s="100">
        <v>17855.999999999996</v>
      </c>
      <c r="F66" s="100">
        <v>15</v>
      </c>
      <c r="G66" s="100">
        <v>17855.999999999996</v>
      </c>
      <c r="H66" s="100">
        <v>12</v>
      </c>
      <c r="I66" s="100">
        <v>14284.8</v>
      </c>
      <c r="J66" s="100">
        <v>13</v>
      </c>
      <c r="K66" s="100">
        <v>15475.199999999999</v>
      </c>
      <c r="L66" s="100">
        <v>13</v>
      </c>
      <c r="M66" s="100">
        <v>15475.199999999999</v>
      </c>
      <c r="N66" s="100">
        <v>15</v>
      </c>
      <c r="O66" s="100">
        <v>17855.999999999996</v>
      </c>
      <c r="P66" s="100">
        <v>15.217606700136088</v>
      </c>
      <c r="Q66" s="100">
        <v>18115.039015841998</v>
      </c>
      <c r="R66" s="100">
        <v>11</v>
      </c>
      <c r="S66" s="100">
        <v>13094.399999999998</v>
      </c>
      <c r="T66" s="100">
        <v>16</v>
      </c>
      <c r="U66" s="100">
        <v>19046.399999999998</v>
      </c>
      <c r="V66" s="100">
        <v>8.9441873061495158</v>
      </c>
      <c r="W66" s="100">
        <v>10647.160569240383</v>
      </c>
      <c r="X66" s="100">
        <v>7.8729344025416932</v>
      </c>
      <c r="Y66" s="100">
        <v>9371.941112785631</v>
      </c>
      <c r="Z66" s="100">
        <v>9.9393317948460869</v>
      </c>
      <c r="AA66" s="100">
        <v>11831.78056858478</v>
      </c>
      <c r="AB66" s="100">
        <v>8</v>
      </c>
      <c r="AC66" s="100">
        <v>9523.1999999999989</v>
      </c>
      <c r="AD66" s="100">
        <v>14.098778315573393</v>
      </c>
      <c r="AE66" s="100">
        <v>16783.185706858563</v>
      </c>
      <c r="AF66" s="100">
        <v>9</v>
      </c>
      <c r="AG66" s="100">
        <v>10713.599999999999</v>
      </c>
      <c r="AH66" s="100">
        <v>12</v>
      </c>
      <c r="AI66" s="100">
        <v>14284.8</v>
      </c>
      <c r="AJ66" s="100">
        <v>16</v>
      </c>
      <c r="AK66" s="100">
        <v>19046.399999999998</v>
      </c>
      <c r="AL66" s="100">
        <v>11</v>
      </c>
      <c r="AM66" s="100">
        <v>13094.399999999998</v>
      </c>
      <c r="AN66" s="100">
        <v>10</v>
      </c>
      <c r="AO66" s="100">
        <v>11903.999999999998</v>
      </c>
      <c r="AP66" s="100">
        <v>12</v>
      </c>
      <c r="AQ66" s="100">
        <v>14284.8</v>
      </c>
      <c r="AR66" s="100">
        <v>10</v>
      </c>
      <c r="AS66" s="100">
        <v>11903.999999999998</v>
      </c>
      <c r="AT66" s="100">
        <v>14</v>
      </c>
      <c r="AU66" s="100">
        <v>16665.599999999999</v>
      </c>
      <c r="AV66" s="100">
        <v>14.039508703674382</v>
      </c>
      <c r="AW66" s="100">
        <v>16712.631160853984</v>
      </c>
      <c r="AX66" s="100">
        <v>11.743350294487596</v>
      </c>
      <c r="AY66" s="100">
        <v>13979.284190558034</v>
      </c>
      <c r="AZ66" s="100">
        <v>11</v>
      </c>
      <c r="BA66" s="100">
        <v>13094.399999999998</v>
      </c>
      <c r="BB66" s="100">
        <v>12.951118588303487</v>
      </c>
      <c r="BC66" s="100">
        <v>15417.011567516469</v>
      </c>
      <c r="BD66" s="100">
        <v>12</v>
      </c>
      <c r="BE66" s="100">
        <v>14284.8</v>
      </c>
      <c r="BF66" s="100">
        <v>11</v>
      </c>
      <c r="BG66" s="100">
        <v>13094.399999999998</v>
      </c>
      <c r="BH66" s="100">
        <v>11</v>
      </c>
      <c r="BI66" s="100">
        <v>13094.399999999998</v>
      </c>
      <c r="BJ66" s="100">
        <v>8</v>
      </c>
      <c r="BK66" s="100">
        <v>9523.1999999999989</v>
      </c>
      <c r="BL66" s="100">
        <v>9</v>
      </c>
      <c r="BM66" s="100">
        <v>10713.599999999999</v>
      </c>
      <c r="BN66" s="100">
        <v>9.572277321452809</v>
      </c>
      <c r="BO66" s="100">
        <v>11394.838923457422</v>
      </c>
      <c r="BP66" s="100">
        <v>14</v>
      </c>
      <c r="BQ66" s="100">
        <v>16665.599999999999</v>
      </c>
      <c r="BR66" s="100">
        <v>10</v>
      </c>
      <c r="BS66" s="100">
        <v>11903.999999999998</v>
      </c>
      <c r="BT66" s="100">
        <v>15</v>
      </c>
      <c r="BU66" s="100">
        <v>17855.999999999996</v>
      </c>
      <c r="BV66" s="100">
        <v>13.854932677980438</v>
      </c>
      <c r="BW66" s="100">
        <v>16492.911859867912</v>
      </c>
      <c r="BX66" s="100">
        <v>13</v>
      </c>
      <c r="BY66" s="100">
        <v>15475.199999999999</v>
      </c>
      <c r="BZ66" s="100">
        <v>13</v>
      </c>
      <c r="CA66" s="100">
        <v>15475.199999999999</v>
      </c>
      <c r="CB66" s="100">
        <v>14</v>
      </c>
      <c r="CC66" s="100">
        <v>16665.599999999999</v>
      </c>
      <c r="CD66" s="100">
        <v>11</v>
      </c>
      <c r="CE66" s="100">
        <v>13094.399999999998</v>
      </c>
      <c r="CF66" s="100">
        <v>13</v>
      </c>
      <c r="CG66" s="100">
        <v>15475.199999999999</v>
      </c>
      <c r="CH66" s="100">
        <v>13.477754805809761</v>
      </c>
      <c r="CI66" s="100">
        <v>16043.919320835937</v>
      </c>
      <c r="CJ66" s="100">
        <v>12.468366301517937</v>
      </c>
      <c r="CK66" s="100">
        <v>14842.343245326951</v>
      </c>
      <c r="CL66" s="100">
        <v>13.078840777462327</v>
      </c>
      <c r="CM66" s="100">
        <v>15569.052061491153</v>
      </c>
      <c r="CN66" s="100">
        <v>9</v>
      </c>
      <c r="CO66" s="100">
        <v>10713.599999999999</v>
      </c>
      <c r="CP66" s="100">
        <v>9</v>
      </c>
      <c r="CQ66" s="100">
        <v>10713.599999999999</v>
      </c>
      <c r="CR66" s="100">
        <v>16</v>
      </c>
      <c r="CS66" s="100">
        <v>19046.399999999998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17</v>
      </c>
      <c r="E67" s="100">
        <v>19094.400000000001</v>
      </c>
      <c r="F67" s="100">
        <v>17</v>
      </c>
      <c r="G67" s="100">
        <v>19094.400000000001</v>
      </c>
      <c r="H67" s="100">
        <v>12</v>
      </c>
      <c r="I67" s="100">
        <v>13478.400000000001</v>
      </c>
      <c r="J67" s="100">
        <v>12</v>
      </c>
      <c r="K67" s="100">
        <v>13478.400000000001</v>
      </c>
      <c r="L67" s="100">
        <v>13</v>
      </c>
      <c r="M67" s="100">
        <v>14601.6</v>
      </c>
      <c r="N67" s="100">
        <v>15</v>
      </c>
      <c r="O67" s="100">
        <v>16848</v>
      </c>
      <c r="P67" s="100">
        <v>16.168707118894595</v>
      </c>
      <c r="Q67" s="100">
        <v>18160.691835942409</v>
      </c>
      <c r="R67" s="100">
        <v>9</v>
      </c>
      <c r="S67" s="100">
        <v>10108.800000000001</v>
      </c>
      <c r="T67" s="100">
        <v>17</v>
      </c>
      <c r="U67" s="100">
        <v>19094.400000000001</v>
      </c>
      <c r="V67" s="100">
        <v>8.9441873061495158</v>
      </c>
      <c r="W67" s="100">
        <v>10046.111182267137</v>
      </c>
      <c r="X67" s="100">
        <v>8.6602278427958623</v>
      </c>
      <c r="Y67" s="100">
        <v>9727.1679130283137</v>
      </c>
      <c r="Z67" s="100">
        <v>9.2293795237856529</v>
      </c>
      <c r="AA67" s="100">
        <v>10366.439081116047</v>
      </c>
      <c r="AB67" s="100">
        <v>8</v>
      </c>
      <c r="AC67" s="100">
        <v>8985.6</v>
      </c>
      <c r="AD67" s="100">
        <v>14.098778315573393</v>
      </c>
      <c r="AE67" s="100">
        <v>15835.747804052035</v>
      </c>
      <c r="AF67" s="100">
        <v>10</v>
      </c>
      <c r="AG67" s="100">
        <v>11232</v>
      </c>
      <c r="AH67" s="100">
        <v>13</v>
      </c>
      <c r="AI67" s="100">
        <v>14601.6</v>
      </c>
      <c r="AJ67" s="100">
        <v>15</v>
      </c>
      <c r="AK67" s="100">
        <v>16848</v>
      </c>
      <c r="AL67" s="100">
        <v>11</v>
      </c>
      <c r="AM67" s="100">
        <v>12355.2</v>
      </c>
      <c r="AN67" s="100">
        <v>10</v>
      </c>
      <c r="AO67" s="100">
        <v>11232</v>
      </c>
      <c r="AP67" s="100">
        <v>14</v>
      </c>
      <c r="AQ67" s="100">
        <v>15724.800000000001</v>
      </c>
      <c r="AR67" s="100">
        <v>9</v>
      </c>
      <c r="AS67" s="100">
        <v>10108.800000000001</v>
      </c>
      <c r="AT67" s="100">
        <v>13</v>
      </c>
      <c r="AU67" s="100">
        <v>14601.6</v>
      </c>
      <c r="AV67" s="100">
        <v>14.975475950586008</v>
      </c>
      <c r="AW67" s="100">
        <v>16820.454587698205</v>
      </c>
      <c r="AX67" s="100">
        <v>12.646684932525105</v>
      </c>
      <c r="AY67" s="100">
        <v>14204.756516212197</v>
      </c>
      <c r="AZ67" s="100">
        <v>11</v>
      </c>
      <c r="BA67" s="100">
        <v>12355.2</v>
      </c>
      <c r="BB67" s="100">
        <v>12.951118588303487</v>
      </c>
      <c r="BC67" s="100">
        <v>14546.696398382477</v>
      </c>
      <c r="BD67" s="100">
        <v>14</v>
      </c>
      <c r="BE67" s="100">
        <v>15724.800000000001</v>
      </c>
      <c r="BF67" s="100">
        <v>12</v>
      </c>
      <c r="BG67" s="100">
        <v>13478.400000000001</v>
      </c>
      <c r="BH67" s="100">
        <v>10</v>
      </c>
      <c r="BI67" s="100">
        <v>11232</v>
      </c>
      <c r="BJ67" s="100">
        <v>8</v>
      </c>
      <c r="BK67" s="100">
        <v>8985.6</v>
      </c>
      <c r="BL67" s="100">
        <v>8</v>
      </c>
      <c r="BM67" s="100">
        <v>8985.6</v>
      </c>
      <c r="BN67" s="100">
        <v>9.572277321452809</v>
      </c>
      <c r="BO67" s="100">
        <v>10751.581887455795</v>
      </c>
      <c r="BP67" s="100">
        <v>14</v>
      </c>
      <c r="BQ67" s="100">
        <v>15724.800000000001</v>
      </c>
      <c r="BR67" s="100">
        <v>10</v>
      </c>
      <c r="BS67" s="100">
        <v>11232</v>
      </c>
      <c r="BT67" s="100">
        <v>15</v>
      </c>
      <c r="BU67" s="100">
        <v>16848</v>
      </c>
      <c r="BV67" s="100">
        <v>12.988999385606659</v>
      </c>
      <c r="BW67" s="100">
        <v>14589.244109913399</v>
      </c>
      <c r="BX67" s="100">
        <v>12</v>
      </c>
      <c r="BY67" s="100">
        <v>13478.400000000001</v>
      </c>
      <c r="BZ67" s="100">
        <v>12</v>
      </c>
      <c r="CA67" s="100">
        <v>13478.400000000001</v>
      </c>
      <c r="CB67" s="100">
        <v>13</v>
      </c>
      <c r="CC67" s="100">
        <v>14601.6</v>
      </c>
      <c r="CD67" s="100">
        <v>11</v>
      </c>
      <c r="CE67" s="100">
        <v>12355.2</v>
      </c>
      <c r="CF67" s="100">
        <v>12</v>
      </c>
      <c r="CG67" s="100">
        <v>13478.400000000001</v>
      </c>
      <c r="CH67" s="100">
        <v>12.515058033966206</v>
      </c>
      <c r="CI67" s="100">
        <v>14056.913183750843</v>
      </c>
      <c r="CJ67" s="100">
        <v>11.509261201401172</v>
      </c>
      <c r="CK67" s="100">
        <v>12927.202181413797</v>
      </c>
      <c r="CL67" s="100">
        <v>13.078840777462327</v>
      </c>
      <c r="CM67" s="100">
        <v>14690.153961245685</v>
      </c>
      <c r="CN67" s="100">
        <v>11</v>
      </c>
      <c r="CO67" s="100">
        <v>12355.2</v>
      </c>
      <c r="CP67" s="100">
        <v>9</v>
      </c>
      <c r="CQ67" s="100">
        <v>10108.800000000001</v>
      </c>
      <c r="CR67" s="100">
        <v>15</v>
      </c>
      <c r="CS67" s="100">
        <v>16848</v>
      </c>
      <c r="CT67" s="100">
        <v>9</v>
      </c>
      <c r="CU67" s="100">
        <v>10108.800000000001</v>
      </c>
    </row>
    <row r="68" spans="2:99">
      <c r="C68" s="99" t="s">
        <v>234</v>
      </c>
      <c r="D68" s="100">
        <v>17</v>
      </c>
      <c r="E68" s="100">
        <v>17564.400000000001</v>
      </c>
      <c r="F68" s="100">
        <v>16</v>
      </c>
      <c r="G68" s="100">
        <v>16531.2</v>
      </c>
      <c r="H68" s="100">
        <v>11</v>
      </c>
      <c r="I68" s="100">
        <v>11365.2</v>
      </c>
      <c r="J68" s="100">
        <v>13</v>
      </c>
      <c r="K68" s="100">
        <v>13431.6</v>
      </c>
      <c r="L68" s="100">
        <v>13</v>
      </c>
      <c r="M68" s="100">
        <v>13431.6</v>
      </c>
      <c r="N68" s="100">
        <v>16</v>
      </c>
      <c r="O68" s="100">
        <v>16531.2</v>
      </c>
      <c r="P68" s="100">
        <v>14.266506281377584</v>
      </c>
      <c r="Q68" s="100">
        <v>14740.154289919321</v>
      </c>
      <c r="R68" s="100">
        <v>10</v>
      </c>
      <c r="S68" s="100">
        <v>10332</v>
      </c>
      <c r="T68" s="100">
        <v>15</v>
      </c>
      <c r="U68" s="100">
        <v>15498</v>
      </c>
      <c r="V68" s="100">
        <v>8.9441873061495158</v>
      </c>
      <c r="W68" s="100">
        <v>9241.1343247136811</v>
      </c>
      <c r="X68" s="100">
        <v>8.6602278427958623</v>
      </c>
      <c r="Y68" s="100">
        <v>8947.7474071766846</v>
      </c>
      <c r="Z68" s="100">
        <v>10.649284065906523</v>
      </c>
      <c r="AA68" s="100">
        <v>11002.840296894619</v>
      </c>
      <c r="AB68" s="100">
        <v>8</v>
      </c>
      <c r="AC68" s="100">
        <v>8265.6</v>
      </c>
      <c r="AD68" s="100">
        <v>13.158859761201834</v>
      </c>
      <c r="AE68" s="100">
        <v>13595.733905273735</v>
      </c>
      <c r="AF68" s="100">
        <v>10</v>
      </c>
      <c r="AG68" s="100">
        <v>10332</v>
      </c>
      <c r="AH68" s="100">
        <v>14</v>
      </c>
      <c r="AI68" s="100">
        <v>14464.800000000001</v>
      </c>
      <c r="AJ68" s="100">
        <v>16</v>
      </c>
      <c r="AK68" s="100">
        <v>16531.2</v>
      </c>
      <c r="AL68" s="100">
        <v>10</v>
      </c>
      <c r="AM68" s="100">
        <v>10332</v>
      </c>
      <c r="AN68" s="100">
        <v>12</v>
      </c>
      <c r="AO68" s="100">
        <v>12398.400000000001</v>
      </c>
      <c r="AP68" s="100">
        <v>14</v>
      </c>
      <c r="AQ68" s="100">
        <v>14464.800000000001</v>
      </c>
      <c r="AR68" s="100">
        <v>10</v>
      </c>
      <c r="AS68" s="100">
        <v>10332</v>
      </c>
      <c r="AT68" s="100">
        <v>12</v>
      </c>
      <c r="AU68" s="100">
        <v>12398.400000000001</v>
      </c>
      <c r="AV68" s="100">
        <v>14.975475950586008</v>
      </c>
      <c r="AW68" s="100">
        <v>15472.661752145465</v>
      </c>
      <c r="AX68" s="100">
        <v>12.646684932525105</v>
      </c>
      <c r="AY68" s="100">
        <v>13066.554872284938</v>
      </c>
      <c r="AZ68" s="100">
        <v>11</v>
      </c>
      <c r="BA68" s="100">
        <v>11365.2</v>
      </c>
      <c r="BB68" s="100">
        <v>12.951118588303487</v>
      </c>
      <c r="BC68" s="100">
        <v>13381.095725435163</v>
      </c>
      <c r="BD68" s="100">
        <v>14</v>
      </c>
      <c r="BE68" s="100">
        <v>14464.800000000001</v>
      </c>
      <c r="BF68" s="100">
        <v>11</v>
      </c>
      <c r="BG68" s="100">
        <v>11365.2</v>
      </c>
      <c r="BH68" s="100">
        <v>10</v>
      </c>
      <c r="BI68" s="100">
        <v>10332</v>
      </c>
      <c r="BJ68" s="100">
        <v>8</v>
      </c>
      <c r="BK68" s="100">
        <v>8265.6</v>
      </c>
      <c r="BL68" s="100">
        <v>8</v>
      </c>
      <c r="BM68" s="100">
        <v>8265.6</v>
      </c>
      <c r="BN68" s="100">
        <v>11.312691379898776</v>
      </c>
      <c r="BO68" s="100">
        <v>11688.272733711416</v>
      </c>
      <c r="BP68" s="100">
        <v>13</v>
      </c>
      <c r="BQ68" s="100">
        <v>13431.6</v>
      </c>
      <c r="BR68" s="100">
        <v>11</v>
      </c>
      <c r="BS68" s="100">
        <v>11365.2</v>
      </c>
      <c r="BT68" s="100">
        <v>16</v>
      </c>
      <c r="BU68" s="100">
        <v>16531.2</v>
      </c>
      <c r="BV68" s="100">
        <v>15.586799262727991</v>
      </c>
      <c r="BW68" s="100">
        <v>16104.280998250562</v>
      </c>
      <c r="BX68" s="100">
        <v>13</v>
      </c>
      <c r="BY68" s="100">
        <v>13431.6</v>
      </c>
      <c r="BZ68" s="100">
        <v>14</v>
      </c>
      <c r="CA68" s="100">
        <v>14464.800000000001</v>
      </c>
      <c r="CB68" s="100">
        <v>13</v>
      </c>
      <c r="CC68" s="100">
        <v>13431.6</v>
      </c>
      <c r="CD68" s="100">
        <v>11</v>
      </c>
      <c r="CE68" s="100">
        <v>11365.2</v>
      </c>
      <c r="CF68" s="100">
        <v>13</v>
      </c>
      <c r="CG68" s="100">
        <v>13431.6</v>
      </c>
      <c r="CH68" s="100">
        <v>13.477754805809761</v>
      </c>
      <c r="CI68" s="100">
        <v>13925.216265362646</v>
      </c>
      <c r="CJ68" s="100">
        <v>11.509261201401172</v>
      </c>
      <c r="CK68" s="100">
        <v>11891.36867328769</v>
      </c>
      <c r="CL68" s="100">
        <v>12.26141322887093</v>
      </c>
      <c r="CM68" s="100">
        <v>12668.492148069447</v>
      </c>
      <c r="CN68" s="100">
        <v>11</v>
      </c>
      <c r="CO68" s="100">
        <v>11365.2</v>
      </c>
      <c r="CP68" s="100">
        <v>9</v>
      </c>
      <c r="CQ68" s="100">
        <v>9298.8000000000011</v>
      </c>
      <c r="CR68" s="100">
        <v>17</v>
      </c>
      <c r="CS68" s="100">
        <v>17564.400000000001</v>
      </c>
      <c r="CT68" s="100">
        <v>9</v>
      </c>
      <c r="CU68" s="100">
        <v>9298.8000000000011</v>
      </c>
    </row>
    <row r="69" spans="2:99">
      <c r="C69" s="99" t="s">
        <v>235</v>
      </c>
      <c r="D69" s="100">
        <v>17</v>
      </c>
      <c r="E69" s="100">
        <v>12892.8</v>
      </c>
      <c r="F69" s="100">
        <v>17</v>
      </c>
      <c r="G69" s="100">
        <v>12892.8</v>
      </c>
      <c r="H69" s="100">
        <v>13</v>
      </c>
      <c r="I69" s="100">
        <v>9859.1999999999989</v>
      </c>
      <c r="J69" s="100">
        <v>13</v>
      </c>
      <c r="K69" s="100">
        <v>9859.1999999999989</v>
      </c>
      <c r="L69" s="100">
        <v>15</v>
      </c>
      <c r="M69" s="100">
        <v>11376</v>
      </c>
      <c r="N69" s="100">
        <v>16</v>
      </c>
      <c r="O69" s="100">
        <v>12134.4</v>
      </c>
      <c r="P69" s="100">
        <v>14.266506281377584</v>
      </c>
      <c r="Q69" s="100">
        <v>10819.718363796759</v>
      </c>
      <c r="R69" s="100">
        <v>11</v>
      </c>
      <c r="S69" s="100">
        <v>8342.4</v>
      </c>
      <c r="T69" s="100">
        <v>16</v>
      </c>
      <c r="U69" s="100">
        <v>12134.4</v>
      </c>
      <c r="V69" s="100">
        <v>8.9441873061495158</v>
      </c>
      <c r="W69" s="100">
        <v>6783.2716529837926</v>
      </c>
      <c r="X69" s="100">
        <v>7.8729344025416932</v>
      </c>
      <c r="Y69" s="100">
        <v>5970.8334508876196</v>
      </c>
      <c r="Z69" s="100">
        <v>9.2293795237856529</v>
      </c>
      <c r="AA69" s="100">
        <v>6999.5614308390386</v>
      </c>
      <c r="AB69" s="100">
        <v>9</v>
      </c>
      <c r="AC69" s="100">
        <v>6825.5999999999995</v>
      </c>
      <c r="AD69" s="100">
        <v>15.038696869944953</v>
      </c>
      <c r="AE69" s="100">
        <v>11405.347706166252</v>
      </c>
      <c r="AF69" s="100">
        <v>11</v>
      </c>
      <c r="AG69" s="100">
        <v>8342.4</v>
      </c>
      <c r="AH69" s="100">
        <v>12</v>
      </c>
      <c r="AI69" s="100">
        <v>9100.7999999999993</v>
      </c>
      <c r="AJ69" s="100">
        <v>15</v>
      </c>
      <c r="AK69" s="100">
        <v>11376</v>
      </c>
      <c r="AL69" s="100">
        <v>10</v>
      </c>
      <c r="AM69" s="100">
        <v>7584</v>
      </c>
      <c r="AN69" s="100">
        <v>12</v>
      </c>
      <c r="AO69" s="100">
        <v>9100.7999999999993</v>
      </c>
      <c r="AP69" s="100">
        <v>13</v>
      </c>
      <c r="AQ69" s="100">
        <v>9859.1999999999989</v>
      </c>
      <c r="AR69" s="100">
        <v>10</v>
      </c>
      <c r="AS69" s="100">
        <v>7584</v>
      </c>
      <c r="AT69" s="100">
        <v>13</v>
      </c>
      <c r="AU69" s="100">
        <v>9859.1999999999989</v>
      </c>
      <c r="AV69" s="100">
        <v>14.975475950586008</v>
      </c>
      <c r="AW69" s="100">
        <v>11357.400960924428</v>
      </c>
      <c r="AX69" s="100">
        <v>12.646684932525105</v>
      </c>
      <c r="AY69" s="100">
        <v>9591.2458528270399</v>
      </c>
      <c r="AZ69" s="100">
        <v>13</v>
      </c>
      <c r="BA69" s="100">
        <v>9859.1999999999989</v>
      </c>
      <c r="BB69" s="100">
        <v>12.951118588303487</v>
      </c>
      <c r="BC69" s="100">
        <v>9822.1283373693641</v>
      </c>
      <c r="BD69" s="100">
        <v>13</v>
      </c>
      <c r="BE69" s="100">
        <v>9859.1999999999989</v>
      </c>
      <c r="BF69" s="100">
        <v>12</v>
      </c>
      <c r="BG69" s="100">
        <v>9100.7999999999993</v>
      </c>
      <c r="BH69" s="100">
        <v>10</v>
      </c>
      <c r="BI69" s="100">
        <v>7584</v>
      </c>
      <c r="BJ69" s="100">
        <v>8</v>
      </c>
      <c r="BK69" s="100">
        <v>6067.2</v>
      </c>
      <c r="BL69" s="100">
        <v>9</v>
      </c>
      <c r="BM69" s="100">
        <v>6825.5999999999995</v>
      </c>
      <c r="BN69" s="100">
        <v>11.312691379898776</v>
      </c>
      <c r="BO69" s="100">
        <v>8579.5451425152314</v>
      </c>
      <c r="BP69" s="100">
        <v>13</v>
      </c>
      <c r="BQ69" s="100">
        <v>9859.1999999999989</v>
      </c>
      <c r="BR69" s="100">
        <v>10</v>
      </c>
      <c r="BS69" s="100">
        <v>7584</v>
      </c>
      <c r="BT69" s="100">
        <v>17</v>
      </c>
      <c r="BU69" s="100">
        <v>12892.8</v>
      </c>
      <c r="BV69" s="100">
        <v>15.586799262727991</v>
      </c>
      <c r="BW69" s="100">
        <v>11821.028560852908</v>
      </c>
      <c r="BX69" s="100">
        <v>13</v>
      </c>
      <c r="BY69" s="100">
        <v>9859.1999999999989</v>
      </c>
      <c r="BZ69" s="100">
        <v>14</v>
      </c>
      <c r="CA69" s="100">
        <v>10617.6</v>
      </c>
      <c r="CB69" s="100">
        <v>15</v>
      </c>
      <c r="CC69" s="100">
        <v>11376</v>
      </c>
      <c r="CD69" s="100">
        <v>12</v>
      </c>
      <c r="CE69" s="100">
        <v>9100.7999999999993</v>
      </c>
      <c r="CF69" s="100">
        <v>12</v>
      </c>
      <c r="CG69" s="100">
        <v>9100.7999999999993</v>
      </c>
      <c r="CH69" s="100">
        <v>13.477754805809761</v>
      </c>
      <c r="CI69" s="100">
        <v>10221.529244726122</v>
      </c>
      <c r="CJ69" s="100">
        <v>12.468366301517937</v>
      </c>
      <c r="CK69" s="100">
        <v>9456.0090030712036</v>
      </c>
      <c r="CL69" s="100">
        <v>12.26141322887093</v>
      </c>
      <c r="CM69" s="100">
        <v>9299.0557927757127</v>
      </c>
      <c r="CN69" s="100">
        <v>11</v>
      </c>
      <c r="CO69" s="100">
        <v>8342.4</v>
      </c>
      <c r="CP69" s="100">
        <v>9</v>
      </c>
      <c r="CQ69" s="100">
        <v>6825.5999999999995</v>
      </c>
      <c r="CR69" s="100">
        <v>16</v>
      </c>
      <c r="CS69" s="100">
        <v>12134.4</v>
      </c>
      <c r="CT69" s="100">
        <v>9</v>
      </c>
      <c r="CU69" s="100">
        <v>6825.5999999999995</v>
      </c>
    </row>
    <row r="70" spans="2:99">
      <c r="C70" s="99" t="s">
        <v>236</v>
      </c>
      <c r="D70" s="100">
        <v>18</v>
      </c>
      <c r="E70" s="100">
        <v>9633.5999999999985</v>
      </c>
      <c r="F70" s="100">
        <v>18</v>
      </c>
      <c r="G70" s="100">
        <v>9633.5999999999985</v>
      </c>
      <c r="H70" s="100">
        <v>13</v>
      </c>
      <c r="I70" s="100">
        <v>6957.5999999999995</v>
      </c>
      <c r="J70" s="100">
        <v>15</v>
      </c>
      <c r="K70" s="100">
        <v>8027.9999999999991</v>
      </c>
      <c r="L70" s="100">
        <v>14</v>
      </c>
      <c r="M70" s="100">
        <v>7492.7999999999993</v>
      </c>
      <c r="N70" s="100">
        <v>15</v>
      </c>
      <c r="O70" s="100">
        <v>8027.9999999999991</v>
      </c>
      <c r="P70" s="100">
        <v>18.070907956411606</v>
      </c>
      <c r="Q70" s="100">
        <v>9671.5499382714897</v>
      </c>
      <c r="R70" s="100">
        <v>10</v>
      </c>
      <c r="S70" s="100">
        <v>5351.9999999999991</v>
      </c>
      <c r="T70" s="100">
        <v>15</v>
      </c>
      <c r="U70" s="100">
        <v>8027.9999999999991</v>
      </c>
      <c r="V70" s="100">
        <v>9.8386060367644674</v>
      </c>
      <c r="W70" s="100">
        <v>5265.6219508763425</v>
      </c>
      <c r="X70" s="100">
        <v>7.8729344025416932</v>
      </c>
      <c r="Y70" s="100">
        <v>4213.5944922403132</v>
      </c>
      <c r="Z70" s="100">
        <v>10.649284065906523</v>
      </c>
      <c r="AA70" s="100">
        <v>5699.4968320731705</v>
      </c>
      <c r="AB70" s="100">
        <v>10</v>
      </c>
      <c r="AC70" s="100">
        <v>5351.9999999999991</v>
      </c>
      <c r="AD70" s="100">
        <v>15.978615424316512</v>
      </c>
      <c r="AE70" s="100">
        <v>8551.7549750941962</v>
      </c>
      <c r="AF70" s="100">
        <v>10</v>
      </c>
      <c r="AG70" s="100">
        <v>5351.9999999999991</v>
      </c>
      <c r="AH70" s="100">
        <v>14</v>
      </c>
      <c r="AI70" s="100">
        <v>7492.7999999999993</v>
      </c>
      <c r="AJ70" s="100">
        <v>17</v>
      </c>
      <c r="AK70" s="100">
        <v>9098.4</v>
      </c>
      <c r="AL70" s="100">
        <v>12</v>
      </c>
      <c r="AM70" s="100">
        <v>6422.4</v>
      </c>
      <c r="AN70" s="100">
        <v>13</v>
      </c>
      <c r="AO70" s="100">
        <v>6957.5999999999995</v>
      </c>
      <c r="AP70" s="100">
        <v>13</v>
      </c>
      <c r="AQ70" s="100">
        <v>6957.5999999999995</v>
      </c>
      <c r="AR70" s="100">
        <v>10</v>
      </c>
      <c r="AS70" s="100">
        <v>5351.9999999999991</v>
      </c>
      <c r="AT70" s="100">
        <v>13</v>
      </c>
      <c r="AU70" s="100">
        <v>6957.5999999999995</v>
      </c>
      <c r="AV70" s="100">
        <v>14.975475950586008</v>
      </c>
      <c r="AW70" s="100">
        <v>8014.8747287536298</v>
      </c>
      <c r="AX70" s="100">
        <v>11.743350294487596</v>
      </c>
      <c r="AY70" s="100">
        <v>6285.0410776097606</v>
      </c>
      <c r="AZ70" s="100">
        <v>13</v>
      </c>
      <c r="BA70" s="100">
        <v>6957.5999999999995</v>
      </c>
      <c r="BB70" s="100">
        <v>12.951118588303487</v>
      </c>
      <c r="BC70" s="100">
        <v>6931.4386684600249</v>
      </c>
      <c r="BD70" s="100">
        <v>14</v>
      </c>
      <c r="BE70" s="100">
        <v>7492.7999999999993</v>
      </c>
      <c r="BF70" s="100">
        <v>11</v>
      </c>
      <c r="BG70" s="100">
        <v>5887.1999999999989</v>
      </c>
      <c r="BH70" s="100">
        <v>12</v>
      </c>
      <c r="BI70" s="100">
        <v>6422.4</v>
      </c>
      <c r="BJ70" s="100">
        <v>8</v>
      </c>
      <c r="BK70" s="100">
        <v>4281.5999999999995</v>
      </c>
      <c r="BL70" s="100">
        <v>9</v>
      </c>
      <c r="BM70" s="100">
        <v>4816.7999999999993</v>
      </c>
      <c r="BN70" s="100">
        <v>11.312691379898776</v>
      </c>
      <c r="BO70" s="100">
        <v>6054.5524265218246</v>
      </c>
      <c r="BP70" s="100">
        <v>14</v>
      </c>
      <c r="BQ70" s="100">
        <v>7492.7999999999993</v>
      </c>
      <c r="BR70" s="100">
        <v>10</v>
      </c>
      <c r="BS70" s="100">
        <v>5351.9999999999991</v>
      </c>
      <c r="BT70" s="100">
        <v>18</v>
      </c>
      <c r="BU70" s="100">
        <v>9633.5999999999985</v>
      </c>
      <c r="BV70" s="100">
        <v>14.720865970354215</v>
      </c>
      <c r="BW70" s="100">
        <v>7878.6074673335743</v>
      </c>
      <c r="BX70" s="100">
        <v>13</v>
      </c>
      <c r="BY70" s="100">
        <v>6957.5999999999995</v>
      </c>
      <c r="BZ70" s="100">
        <v>13</v>
      </c>
      <c r="CA70" s="100">
        <v>6957.5999999999995</v>
      </c>
      <c r="CB70" s="100">
        <v>14</v>
      </c>
      <c r="CC70" s="100">
        <v>7492.7999999999993</v>
      </c>
      <c r="CD70" s="100">
        <v>11</v>
      </c>
      <c r="CE70" s="100">
        <v>5887.1999999999989</v>
      </c>
      <c r="CF70" s="100">
        <v>14</v>
      </c>
      <c r="CG70" s="100">
        <v>7492.7999999999993</v>
      </c>
      <c r="CH70" s="100">
        <v>13.477754805809761</v>
      </c>
      <c r="CI70" s="100">
        <v>7213.2943720693829</v>
      </c>
      <c r="CJ70" s="100">
        <v>14.386576501751465</v>
      </c>
      <c r="CK70" s="100">
        <v>7699.6957437373831</v>
      </c>
      <c r="CL70" s="100">
        <v>12.26141322887093</v>
      </c>
      <c r="CM70" s="100">
        <v>6562.3083600917207</v>
      </c>
      <c r="CN70" s="100">
        <v>11</v>
      </c>
      <c r="CO70" s="100">
        <v>5887.1999999999989</v>
      </c>
      <c r="CP70" s="100">
        <v>10</v>
      </c>
      <c r="CQ70" s="100">
        <v>5351.9999999999991</v>
      </c>
      <c r="CR70" s="100">
        <v>15</v>
      </c>
      <c r="CS70" s="100">
        <v>8027.9999999999991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6.7666666666666666</v>
      </c>
      <c r="G71" s="100">
        <v>3816.4</v>
      </c>
      <c r="H71" s="100">
        <v>7.6829268292682924</v>
      </c>
      <c r="I71" s="100">
        <v>4333.1707317073169</v>
      </c>
      <c r="J71" s="100">
        <v>6.5333333333333332</v>
      </c>
      <c r="K71" s="100">
        <v>3684.7999999999997</v>
      </c>
      <c r="L71" s="100">
        <v>8.3333333333333321</v>
      </c>
      <c r="M71" s="100">
        <v>4699.9999999999991</v>
      </c>
      <c r="N71" s="100">
        <v>5</v>
      </c>
      <c r="O71" s="100">
        <v>2820</v>
      </c>
      <c r="P71" s="100">
        <v>5</v>
      </c>
      <c r="Q71" s="100">
        <v>2820</v>
      </c>
      <c r="R71" s="100">
        <v>5</v>
      </c>
      <c r="S71" s="100">
        <v>2820</v>
      </c>
      <c r="T71" s="100">
        <v>6</v>
      </c>
      <c r="U71" s="100">
        <v>3384</v>
      </c>
      <c r="V71" s="100">
        <v>8</v>
      </c>
      <c r="W71" s="100">
        <v>4512</v>
      </c>
      <c r="X71" s="100">
        <v>7</v>
      </c>
      <c r="Y71" s="100">
        <v>3948</v>
      </c>
      <c r="Z71" s="100">
        <v>9</v>
      </c>
      <c r="AA71" s="100">
        <v>5076</v>
      </c>
      <c r="AB71" s="100">
        <v>2.4855072463768115</v>
      </c>
      <c r="AC71" s="100">
        <v>1401.8260869565217</v>
      </c>
      <c r="AD71" s="100">
        <v>2.0120136286305993E-22</v>
      </c>
      <c r="AE71" s="100">
        <v>1.1347756865476579E-19</v>
      </c>
      <c r="AF71" s="100">
        <v>1.3249845847079557E-22</v>
      </c>
      <c r="AG71" s="100">
        <v>7.4729130577528698E-20</v>
      </c>
      <c r="AH71" s="100">
        <v>1.3011824664197887E-22</v>
      </c>
      <c r="AI71" s="100">
        <v>7.3386691106076084E-20</v>
      </c>
      <c r="AJ71" s="100">
        <v>6.6272189349112427</v>
      </c>
      <c r="AK71" s="100">
        <v>3737.751479289941</v>
      </c>
      <c r="AL71" s="100">
        <v>5</v>
      </c>
      <c r="AM71" s="100">
        <v>2820</v>
      </c>
      <c r="AN71" s="100">
        <v>6</v>
      </c>
      <c r="AO71" s="100">
        <v>3384</v>
      </c>
      <c r="AP71" s="100">
        <v>7</v>
      </c>
      <c r="AQ71" s="100">
        <v>3948</v>
      </c>
      <c r="AR71" s="100">
        <v>9</v>
      </c>
      <c r="AS71" s="100">
        <v>5076</v>
      </c>
      <c r="AT71" s="100">
        <v>6</v>
      </c>
      <c r="AU71" s="100">
        <v>3384</v>
      </c>
      <c r="AV71" s="100">
        <v>6</v>
      </c>
      <c r="AW71" s="100">
        <v>3384</v>
      </c>
      <c r="AX71" s="100">
        <v>9</v>
      </c>
      <c r="AY71" s="100">
        <v>5076</v>
      </c>
      <c r="AZ71" s="100">
        <v>5.6046903285496175</v>
      </c>
      <c r="BA71" s="100">
        <v>3161.0453453019841</v>
      </c>
      <c r="BB71" s="100">
        <v>1.7731192598622172E-22</v>
      </c>
      <c r="BC71" s="100">
        <v>1.0000392625622905E-19</v>
      </c>
      <c r="BD71" s="100">
        <v>1.129551510810161E-22</v>
      </c>
      <c r="BE71" s="100">
        <v>6.3706705209693086E-20</v>
      </c>
      <c r="BF71" s="100">
        <v>1.3339316874899001E-22</v>
      </c>
      <c r="BG71" s="100">
        <v>7.5233747174430365E-20</v>
      </c>
      <c r="BH71" s="100">
        <v>5</v>
      </c>
      <c r="BI71" s="100">
        <v>2820</v>
      </c>
      <c r="BJ71" s="100">
        <v>6.1824817518248176</v>
      </c>
      <c r="BK71" s="100">
        <v>3486.919708029197</v>
      </c>
      <c r="BL71" s="100">
        <v>5</v>
      </c>
      <c r="BM71" s="100">
        <v>2820</v>
      </c>
      <c r="BN71" s="100">
        <v>6.8010752688172049</v>
      </c>
      <c r="BO71" s="100">
        <v>3835.8064516129034</v>
      </c>
      <c r="BP71" s="100">
        <v>7.7777777777777777</v>
      </c>
      <c r="BQ71" s="100">
        <v>4386.666666666667</v>
      </c>
      <c r="BR71" s="100">
        <v>7.9545454545454541</v>
      </c>
      <c r="BS71" s="100">
        <v>4486.363636363636</v>
      </c>
      <c r="BT71" s="100">
        <v>6.4</v>
      </c>
      <c r="BU71" s="100">
        <v>3609.6000000000004</v>
      </c>
      <c r="BV71" s="100">
        <v>6</v>
      </c>
      <c r="BW71" s="100">
        <v>3384</v>
      </c>
      <c r="BX71" s="100">
        <v>8</v>
      </c>
      <c r="BY71" s="100">
        <v>4512</v>
      </c>
      <c r="BZ71" s="100">
        <v>6</v>
      </c>
      <c r="CA71" s="100">
        <v>3384</v>
      </c>
      <c r="CB71" s="100">
        <v>7.6736842105263161</v>
      </c>
      <c r="CC71" s="100">
        <v>4327.9578947368427</v>
      </c>
      <c r="CD71" s="100">
        <v>5</v>
      </c>
      <c r="CE71" s="100">
        <v>2820</v>
      </c>
      <c r="CF71" s="100">
        <v>5</v>
      </c>
      <c r="CG71" s="100">
        <v>2820</v>
      </c>
      <c r="CH71" s="100">
        <v>7</v>
      </c>
      <c r="CI71" s="100">
        <v>3948</v>
      </c>
      <c r="CJ71" s="100">
        <v>9</v>
      </c>
      <c r="CK71" s="100">
        <v>5076</v>
      </c>
      <c r="CL71" s="100">
        <v>11</v>
      </c>
      <c r="CM71" s="100">
        <v>6204</v>
      </c>
      <c r="CN71" s="100">
        <v>9</v>
      </c>
      <c r="CO71" s="100">
        <v>5076</v>
      </c>
      <c r="CP71" s="100">
        <v>11</v>
      </c>
      <c r="CQ71" s="100">
        <v>6204</v>
      </c>
      <c r="CR71" s="100">
        <v>10</v>
      </c>
      <c r="CS71" s="100">
        <v>5640</v>
      </c>
      <c r="CT71" s="100">
        <v>8</v>
      </c>
      <c r="CU71" s="100">
        <v>4512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7.7333333333333334</v>
      </c>
      <c r="G72" s="100">
        <v>575.3599999999999</v>
      </c>
      <c r="H72" s="100">
        <v>7.6829268292682924</v>
      </c>
      <c r="I72" s="100">
        <v>571.60975609756088</v>
      </c>
      <c r="J72" s="100">
        <v>7.4666666666666668</v>
      </c>
      <c r="K72" s="100">
        <v>555.52</v>
      </c>
      <c r="L72" s="100">
        <v>7.5</v>
      </c>
      <c r="M72" s="100">
        <v>557.99999999999989</v>
      </c>
      <c r="N72" s="100">
        <v>6</v>
      </c>
      <c r="O72" s="100">
        <v>446.4</v>
      </c>
      <c r="P72" s="100">
        <v>6</v>
      </c>
      <c r="Q72" s="100">
        <v>446.4</v>
      </c>
      <c r="R72" s="100">
        <v>6</v>
      </c>
      <c r="S72" s="100">
        <v>446.4</v>
      </c>
      <c r="T72" s="100">
        <v>6</v>
      </c>
      <c r="U72" s="100">
        <v>446.4</v>
      </c>
      <c r="V72" s="100">
        <v>10</v>
      </c>
      <c r="W72" s="100">
        <v>743.99999999999989</v>
      </c>
      <c r="X72" s="100">
        <v>7</v>
      </c>
      <c r="Y72" s="100">
        <v>520.79999999999995</v>
      </c>
      <c r="Z72" s="100">
        <v>10</v>
      </c>
      <c r="AA72" s="100">
        <v>743.99999999999989</v>
      </c>
      <c r="AB72" s="100">
        <v>3.1956521739130435</v>
      </c>
      <c r="AC72" s="100">
        <v>237.75652173913042</v>
      </c>
      <c r="AD72" s="100">
        <v>2.347349233402366E-22</v>
      </c>
      <c r="AE72" s="100">
        <v>1.7464278296513602E-20</v>
      </c>
      <c r="AF72" s="100">
        <v>1.4722050941199506E-22</v>
      </c>
      <c r="AG72" s="100">
        <v>1.0953205900252431E-20</v>
      </c>
      <c r="AH72" s="100">
        <v>1.15660663681759E-22</v>
      </c>
      <c r="AI72" s="100">
        <v>8.6051533779228676E-21</v>
      </c>
      <c r="AJ72" s="100">
        <v>7.4556213017751478</v>
      </c>
      <c r="AK72" s="100">
        <v>554.69822485207089</v>
      </c>
      <c r="AL72" s="100">
        <v>5</v>
      </c>
      <c r="AM72" s="100">
        <v>371.99999999999994</v>
      </c>
      <c r="AN72" s="100">
        <v>7</v>
      </c>
      <c r="AO72" s="100">
        <v>520.79999999999995</v>
      </c>
      <c r="AP72" s="100">
        <v>7</v>
      </c>
      <c r="AQ72" s="100">
        <v>520.79999999999995</v>
      </c>
      <c r="AR72" s="100">
        <v>9</v>
      </c>
      <c r="AS72" s="100">
        <v>669.59999999999991</v>
      </c>
      <c r="AT72" s="100">
        <v>7</v>
      </c>
      <c r="AU72" s="100">
        <v>520.79999999999995</v>
      </c>
      <c r="AV72" s="100">
        <v>6</v>
      </c>
      <c r="AW72" s="100">
        <v>446.4</v>
      </c>
      <c r="AX72" s="100">
        <v>10</v>
      </c>
      <c r="AY72" s="100">
        <v>743.99999999999989</v>
      </c>
      <c r="AZ72" s="100">
        <v>5.6046903285496175</v>
      </c>
      <c r="BA72" s="100">
        <v>416.9889604440915</v>
      </c>
      <c r="BB72" s="100">
        <v>1.9701325109580191E-22</v>
      </c>
      <c r="BC72" s="100">
        <v>1.465778588152766E-20</v>
      </c>
      <c r="BD72" s="100">
        <v>1.270745449661431E-22</v>
      </c>
      <c r="BE72" s="100">
        <v>9.4543461454810449E-21</v>
      </c>
      <c r="BF72" s="100">
        <v>1.3339316874899001E-22</v>
      </c>
      <c r="BG72" s="100">
        <v>9.9244517549248549E-21</v>
      </c>
      <c r="BH72" s="100">
        <v>5</v>
      </c>
      <c r="BI72" s="100">
        <v>371.99999999999994</v>
      </c>
      <c r="BJ72" s="100">
        <v>6.1824817518248176</v>
      </c>
      <c r="BK72" s="100">
        <v>459.97664233576637</v>
      </c>
      <c r="BL72" s="100">
        <v>6</v>
      </c>
      <c r="BM72" s="100">
        <v>446.4</v>
      </c>
      <c r="BN72" s="100">
        <v>6.182795698924731</v>
      </c>
      <c r="BO72" s="100">
        <v>459.99999999999994</v>
      </c>
      <c r="BP72" s="100">
        <v>8.4848484848484844</v>
      </c>
      <c r="BQ72" s="100">
        <v>631.27272727272714</v>
      </c>
      <c r="BR72" s="100">
        <v>7.9545454545454541</v>
      </c>
      <c r="BS72" s="100">
        <v>591.81818181818176</v>
      </c>
      <c r="BT72" s="100">
        <v>7.2</v>
      </c>
      <c r="BU72" s="100">
        <v>535.67999999999995</v>
      </c>
      <c r="BV72" s="100">
        <v>6</v>
      </c>
      <c r="BW72" s="100">
        <v>446.4</v>
      </c>
      <c r="BX72" s="100">
        <v>7</v>
      </c>
      <c r="BY72" s="100">
        <v>520.79999999999995</v>
      </c>
      <c r="BZ72" s="100">
        <v>6</v>
      </c>
      <c r="CA72" s="100">
        <v>446.4</v>
      </c>
      <c r="CB72" s="100">
        <v>9.378947368421052</v>
      </c>
      <c r="CC72" s="100">
        <v>697.79368421052618</v>
      </c>
      <c r="CD72" s="100">
        <v>5</v>
      </c>
      <c r="CE72" s="100">
        <v>371.99999999999994</v>
      </c>
      <c r="CF72" s="100">
        <v>6</v>
      </c>
      <c r="CG72" s="100">
        <v>446.4</v>
      </c>
      <c r="CH72" s="100">
        <v>7</v>
      </c>
      <c r="CI72" s="100">
        <v>520.79999999999995</v>
      </c>
      <c r="CJ72" s="100">
        <v>8</v>
      </c>
      <c r="CK72" s="100">
        <v>595.19999999999993</v>
      </c>
      <c r="CL72" s="100">
        <v>10</v>
      </c>
      <c r="CM72" s="100">
        <v>743.99999999999989</v>
      </c>
      <c r="CN72" s="100">
        <v>10</v>
      </c>
      <c r="CO72" s="100">
        <v>743.99999999999989</v>
      </c>
      <c r="CP72" s="100">
        <v>11</v>
      </c>
      <c r="CQ72" s="100">
        <v>818.39999999999986</v>
      </c>
      <c r="CR72" s="100">
        <v>12</v>
      </c>
      <c r="CS72" s="100">
        <v>892.8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7.7333333333333334</v>
      </c>
      <c r="G73" s="100">
        <v>4324.4799999999996</v>
      </c>
      <c r="H73" s="100">
        <v>7.6829268292682924</v>
      </c>
      <c r="I73" s="100">
        <v>4296.292682926829</v>
      </c>
      <c r="J73" s="100">
        <v>7.4666666666666668</v>
      </c>
      <c r="K73" s="100">
        <v>4175.3599999999997</v>
      </c>
      <c r="L73" s="100">
        <v>7.5</v>
      </c>
      <c r="M73" s="100">
        <v>4193.9999999999991</v>
      </c>
      <c r="N73" s="100">
        <v>6</v>
      </c>
      <c r="O73" s="100">
        <v>3355.2</v>
      </c>
      <c r="P73" s="100">
        <v>6</v>
      </c>
      <c r="Q73" s="100">
        <v>3355.2</v>
      </c>
      <c r="R73" s="100">
        <v>5</v>
      </c>
      <c r="S73" s="100">
        <v>2795.9999999999995</v>
      </c>
      <c r="T73" s="100">
        <v>6</v>
      </c>
      <c r="U73" s="100">
        <v>3355.2</v>
      </c>
      <c r="V73" s="100">
        <v>8</v>
      </c>
      <c r="W73" s="100">
        <v>4473.5999999999995</v>
      </c>
      <c r="X73" s="100">
        <v>7</v>
      </c>
      <c r="Y73" s="100">
        <v>3914.3999999999996</v>
      </c>
      <c r="Z73" s="100">
        <v>8</v>
      </c>
      <c r="AA73" s="100">
        <v>4473.5999999999995</v>
      </c>
      <c r="AB73" s="100">
        <v>2.4855072463768115</v>
      </c>
      <c r="AC73" s="100">
        <v>1389.8956521739128</v>
      </c>
      <c r="AD73" s="100">
        <v>2.6826848381741322E-22</v>
      </c>
      <c r="AE73" s="100">
        <v>1.5001573615069746E-19</v>
      </c>
      <c r="AF73" s="100">
        <v>1.4722050941199506E-22</v>
      </c>
      <c r="AG73" s="100">
        <v>8.2325708863187628E-20</v>
      </c>
      <c r="AH73" s="100">
        <v>1.3011824664197887E-22</v>
      </c>
      <c r="AI73" s="100">
        <v>7.2762123522194579E-20</v>
      </c>
      <c r="AJ73" s="100">
        <v>7.4556213017751478</v>
      </c>
      <c r="AK73" s="100">
        <v>4169.1834319526624</v>
      </c>
      <c r="AL73" s="100">
        <v>6</v>
      </c>
      <c r="AM73" s="100">
        <v>3355.2</v>
      </c>
      <c r="AN73" s="100">
        <v>6</v>
      </c>
      <c r="AO73" s="100">
        <v>3355.2</v>
      </c>
      <c r="AP73" s="100">
        <v>7</v>
      </c>
      <c r="AQ73" s="100">
        <v>3914.3999999999996</v>
      </c>
      <c r="AR73" s="100">
        <v>10</v>
      </c>
      <c r="AS73" s="100">
        <v>5591.9999999999991</v>
      </c>
      <c r="AT73" s="100">
        <v>6</v>
      </c>
      <c r="AU73" s="100">
        <v>3355.2</v>
      </c>
      <c r="AV73" s="100">
        <v>7</v>
      </c>
      <c r="AW73" s="100">
        <v>3914.3999999999996</v>
      </c>
      <c r="AX73" s="100">
        <v>11</v>
      </c>
      <c r="AY73" s="100">
        <v>6151.1999999999989</v>
      </c>
      <c r="AZ73" s="100">
        <v>4.483752262839694</v>
      </c>
      <c r="BA73" s="100">
        <v>2507.3142653799564</v>
      </c>
      <c r="BB73" s="100">
        <v>1.9701325109580191E-22</v>
      </c>
      <c r="BC73" s="100">
        <v>1.1016981001277241E-19</v>
      </c>
      <c r="BD73" s="100">
        <v>1.270745449661431E-22</v>
      </c>
      <c r="BE73" s="100">
        <v>7.1060085545067217E-20</v>
      </c>
      <c r="BF73" s="100">
        <v>1.3339316874899001E-22</v>
      </c>
      <c r="BG73" s="100">
        <v>7.4593459964435198E-20</v>
      </c>
      <c r="BH73" s="100">
        <v>5</v>
      </c>
      <c r="BI73" s="100">
        <v>2795.9999999999995</v>
      </c>
      <c r="BJ73" s="100">
        <v>7.0656934306569337</v>
      </c>
      <c r="BK73" s="100">
        <v>3951.1357664233569</v>
      </c>
      <c r="BL73" s="100">
        <v>6</v>
      </c>
      <c r="BM73" s="100">
        <v>3355.2</v>
      </c>
      <c r="BN73" s="100">
        <v>6.182795698924731</v>
      </c>
      <c r="BO73" s="100">
        <v>3457.4193548387093</v>
      </c>
      <c r="BP73" s="100">
        <v>7.7777777777777777</v>
      </c>
      <c r="BQ73" s="100">
        <v>4349.333333333333</v>
      </c>
      <c r="BR73" s="100">
        <v>7.9545454545454541</v>
      </c>
      <c r="BS73" s="100">
        <v>4448.1818181818171</v>
      </c>
      <c r="BT73" s="100">
        <v>7.2</v>
      </c>
      <c r="BU73" s="100">
        <v>4026.24</v>
      </c>
      <c r="BV73" s="100">
        <v>6</v>
      </c>
      <c r="BW73" s="100">
        <v>3355.2</v>
      </c>
      <c r="BX73" s="100">
        <v>8</v>
      </c>
      <c r="BY73" s="100">
        <v>4473.5999999999995</v>
      </c>
      <c r="BZ73" s="100">
        <v>6</v>
      </c>
      <c r="CA73" s="100">
        <v>3355.2</v>
      </c>
      <c r="CB73" s="100">
        <v>9.378947368421052</v>
      </c>
      <c r="CC73" s="100">
        <v>5244.7073684210518</v>
      </c>
      <c r="CD73" s="100">
        <v>5</v>
      </c>
      <c r="CE73" s="100">
        <v>2795.9999999999995</v>
      </c>
      <c r="CF73" s="100">
        <v>6</v>
      </c>
      <c r="CG73" s="100">
        <v>3355.2</v>
      </c>
      <c r="CH73" s="100">
        <v>7</v>
      </c>
      <c r="CI73" s="100">
        <v>3914.3999999999996</v>
      </c>
      <c r="CJ73" s="100">
        <v>9</v>
      </c>
      <c r="CK73" s="100">
        <v>5032.7999999999993</v>
      </c>
      <c r="CL73" s="100">
        <v>12</v>
      </c>
      <c r="CM73" s="100">
        <v>6710.4</v>
      </c>
      <c r="CN73" s="100">
        <v>9</v>
      </c>
      <c r="CO73" s="100">
        <v>5032.7999999999993</v>
      </c>
      <c r="CP73" s="100">
        <v>11</v>
      </c>
      <c r="CQ73" s="100">
        <v>6151.1999999999989</v>
      </c>
      <c r="CR73" s="100">
        <v>10</v>
      </c>
      <c r="CS73" s="100">
        <v>5591.9999999999991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8</v>
      </c>
      <c r="E74" s="100">
        <v>3225.6</v>
      </c>
      <c r="F74" s="100">
        <v>6.7666666666666666</v>
      </c>
      <c r="G74" s="100">
        <v>2728.3199999999997</v>
      </c>
      <c r="H74" s="100">
        <v>7.6829268292682924</v>
      </c>
      <c r="I74" s="100">
        <v>3097.7560975609754</v>
      </c>
      <c r="J74" s="100">
        <v>7.4666666666666668</v>
      </c>
      <c r="K74" s="100">
        <v>3010.56</v>
      </c>
      <c r="L74" s="100">
        <v>7.5</v>
      </c>
      <c r="M74" s="100">
        <v>3024</v>
      </c>
      <c r="N74" s="100">
        <v>5</v>
      </c>
      <c r="O74" s="100">
        <v>2016</v>
      </c>
      <c r="P74" s="100">
        <v>5</v>
      </c>
      <c r="Q74" s="100">
        <v>2016</v>
      </c>
      <c r="R74" s="100">
        <v>6</v>
      </c>
      <c r="S74" s="100">
        <v>2419.1999999999998</v>
      </c>
      <c r="T74" s="100">
        <v>7</v>
      </c>
      <c r="U74" s="100">
        <v>2822.4</v>
      </c>
      <c r="V74" s="100">
        <v>9</v>
      </c>
      <c r="W74" s="100">
        <v>3628.7999999999997</v>
      </c>
      <c r="X74" s="100">
        <v>7</v>
      </c>
      <c r="Y74" s="100">
        <v>2822.4</v>
      </c>
      <c r="Z74" s="100">
        <v>9</v>
      </c>
      <c r="AA74" s="100">
        <v>3628.7999999999997</v>
      </c>
      <c r="AB74" s="100">
        <v>2.8405797101449277</v>
      </c>
      <c r="AC74" s="100">
        <v>1145.3217391304349</v>
      </c>
      <c r="AD74" s="100">
        <v>2.347349233402366E-22</v>
      </c>
      <c r="AE74" s="100">
        <v>9.4645121090783399E-20</v>
      </c>
      <c r="AF74" s="100">
        <v>1.1777640752959605E-22</v>
      </c>
      <c r="AG74" s="100">
        <v>4.748744751593313E-20</v>
      </c>
      <c r="AH74" s="100">
        <v>1.3011824664197887E-22</v>
      </c>
      <c r="AI74" s="100">
        <v>5.2463677046045883E-20</v>
      </c>
      <c r="AJ74" s="100">
        <v>6.6272189349112427</v>
      </c>
      <c r="AK74" s="100">
        <v>2672.0946745562128</v>
      </c>
      <c r="AL74" s="100">
        <v>5</v>
      </c>
      <c r="AM74" s="100">
        <v>2016</v>
      </c>
      <c r="AN74" s="100">
        <v>6</v>
      </c>
      <c r="AO74" s="100">
        <v>2419.1999999999998</v>
      </c>
      <c r="AP74" s="100">
        <v>7</v>
      </c>
      <c r="AQ74" s="100">
        <v>2822.4</v>
      </c>
      <c r="AR74" s="100">
        <v>9</v>
      </c>
      <c r="AS74" s="100">
        <v>3628.7999999999997</v>
      </c>
      <c r="AT74" s="100">
        <v>5</v>
      </c>
      <c r="AU74" s="100">
        <v>2016</v>
      </c>
      <c r="AV74" s="100">
        <v>6</v>
      </c>
      <c r="AW74" s="100">
        <v>2419.1999999999998</v>
      </c>
      <c r="AX74" s="100">
        <v>11</v>
      </c>
      <c r="AY74" s="100">
        <v>4435.2</v>
      </c>
      <c r="AZ74" s="100">
        <v>5.6046903285496175</v>
      </c>
      <c r="BA74" s="100">
        <v>2259.8111404712058</v>
      </c>
      <c r="BB74" s="100">
        <v>1.7731192598622172E-22</v>
      </c>
      <c r="BC74" s="100">
        <v>7.14921685576446E-20</v>
      </c>
      <c r="BD74" s="100">
        <v>1.129551510810161E-22</v>
      </c>
      <c r="BE74" s="100">
        <v>4.5543516915865693E-20</v>
      </c>
      <c r="BF74" s="100">
        <v>1.3339316874899001E-22</v>
      </c>
      <c r="BG74" s="100">
        <v>5.3784125639592767E-20</v>
      </c>
      <c r="BH74" s="100">
        <v>5</v>
      </c>
      <c r="BI74" s="100">
        <v>2016</v>
      </c>
      <c r="BJ74" s="100">
        <v>7.0656934306569337</v>
      </c>
      <c r="BK74" s="100">
        <v>2848.8875912408757</v>
      </c>
      <c r="BL74" s="100">
        <v>6</v>
      </c>
      <c r="BM74" s="100">
        <v>2419.1999999999998</v>
      </c>
      <c r="BN74" s="100">
        <v>6.182795698924731</v>
      </c>
      <c r="BO74" s="100">
        <v>2492.9032258064517</v>
      </c>
      <c r="BP74" s="100">
        <v>7.7777777777777777</v>
      </c>
      <c r="BQ74" s="100">
        <v>3136</v>
      </c>
      <c r="BR74" s="100">
        <v>7.1590909090909092</v>
      </c>
      <c r="BS74" s="100">
        <v>2886.5454545454545</v>
      </c>
      <c r="BT74" s="100">
        <v>7.2</v>
      </c>
      <c r="BU74" s="100">
        <v>2903.04</v>
      </c>
      <c r="BV74" s="100">
        <v>7</v>
      </c>
      <c r="BW74" s="100">
        <v>2822.4</v>
      </c>
      <c r="BX74" s="100">
        <v>7</v>
      </c>
      <c r="BY74" s="100">
        <v>2822.4</v>
      </c>
      <c r="BZ74" s="100">
        <v>6</v>
      </c>
      <c r="CA74" s="100">
        <v>2419.1999999999998</v>
      </c>
      <c r="CB74" s="100">
        <v>7.6736842105263161</v>
      </c>
      <c r="CC74" s="100">
        <v>3094.0294736842106</v>
      </c>
      <c r="CD74" s="100">
        <v>6</v>
      </c>
      <c r="CE74" s="100">
        <v>2419.1999999999998</v>
      </c>
      <c r="CF74" s="100">
        <v>5</v>
      </c>
      <c r="CG74" s="100">
        <v>2016</v>
      </c>
      <c r="CH74" s="100">
        <v>7</v>
      </c>
      <c r="CI74" s="100">
        <v>2822.4</v>
      </c>
      <c r="CJ74" s="100">
        <v>8</v>
      </c>
      <c r="CK74" s="100">
        <v>3225.6</v>
      </c>
      <c r="CL74" s="100">
        <v>11</v>
      </c>
      <c r="CM74" s="100">
        <v>4435.2</v>
      </c>
      <c r="CN74" s="100">
        <v>10</v>
      </c>
      <c r="CO74" s="100">
        <v>4032</v>
      </c>
      <c r="CP74" s="100">
        <v>11</v>
      </c>
      <c r="CQ74" s="100">
        <v>4435.2</v>
      </c>
      <c r="CR74" s="100">
        <v>11</v>
      </c>
      <c r="CS74" s="100">
        <v>4435.2</v>
      </c>
      <c r="CT74" s="100">
        <v>7</v>
      </c>
      <c r="CU74" s="100">
        <v>2822.4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7.7333333333333334</v>
      </c>
      <c r="G75" s="100">
        <v>4974.08</v>
      </c>
      <c r="H75" s="100">
        <v>7.6829268292682924</v>
      </c>
      <c r="I75" s="100">
        <v>4941.6585365853653</v>
      </c>
      <c r="J75" s="100">
        <v>7.4666666666666668</v>
      </c>
      <c r="K75" s="100">
        <v>4802.5599999999995</v>
      </c>
      <c r="L75" s="100">
        <v>6.6666666666666661</v>
      </c>
      <c r="M75" s="100">
        <v>4287.9999999999991</v>
      </c>
      <c r="N75" s="100">
        <v>5</v>
      </c>
      <c r="O75" s="100">
        <v>3215.9999999999995</v>
      </c>
      <c r="P75" s="100">
        <v>6</v>
      </c>
      <c r="Q75" s="100">
        <v>3859.2</v>
      </c>
      <c r="R75" s="100">
        <v>5</v>
      </c>
      <c r="S75" s="100">
        <v>3215.9999999999995</v>
      </c>
      <c r="T75" s="100">
        <v>6</v>
      </c>
      <c r="U75" s="100">
        <v>3859.2</v>
      </c>
      <c r="V75" s="100">
        <v>9</v>
      </c>
      <c r="W75" s="100">
        <v>5788.7999999999993</v>
      </c>
      <c r="X75" s="100">
        <v>7</v>
      </c>
      <c r="Y75" s="100">
        <v>4502.3999999999996</v>
      </c>
      <c r="Z75" s="100">
        <v>9</v>
      </c>
      <c r="AA75" s="100">
        <v>5788.7999999999993</v>
      </c>
      <c r="AB75" s="100">
        <v>2.4855072463768115</v>
      </c>
      <c r="AC75" s="100">
        <v>1598.6782608695651</v>
      </c>
      <c r="AD75" s="100">
        <v>2.6826848381741322E-22</v>
      </c>
      <c r="AE75" s="100">
        <v>1.7255028879136016E-19</v>
      </c>
      <c r="AF75" s="100">
        <v>1.4722050941199506E-22</v>
      </c>
      <c r="AG75" s="100">
        <v>9.4692231653795215E-20</v>
      </c>
      <c r="AH75" s="100">
        <v>1.4457582960219875E-22</v>
      </c>
      <c r="AI75" s="100">
        <v>9.2991173600134228E-20</v>
      </c>
      <c r="AJ75" s="100">
        <v>6.6272189349112427</v>
      </c>
      <c r="AK75" s="100">
        <v>4262.6272189349111</v>
      </c>
      <c r="AL75" s="100">
        <v>5</v>
      </c>
      <c r="AM75" s="100">
        <v>3215.9999999999995</v>
      </c>
      <c r="AN75" s="100">
        <v>5</v>
      </c>
      <c r="AO75" s="100">
        <v>3215.9999999999995</v>
      </c>
      <c r="AP75" s="100">
        <v>7</v>
      </c>
      <c r="AQ75" s="100">
        <v>4502.3999999999996</v>
      </c>
      <c r="AR75" s="100">
        <v>10</v>
      </c>
      <c r="AS75" s="100">
        <v>6431.9999999999991</v>
      </c>
      <c r="AT75" s="100">
        <v>5</v>
      </c>
      <c r="AU75" s="100">
        <v>3215.9999999999995</v>
      </c>
      <c r="AV75" s="100">
        <v>6</v>
      </c>
      <c r="AW75" s="100">
        <v>3859.2</v>
      </c>
      <c r="AX75" s="100">
        <v>9</v>
      </c>
      <c r="AY75" s="100">
        <v>5788.7999999999993</v>
      </c>
      <c r="AZ75" s="100">
        <v>5.0442212956946557</v>
      </c>
      <c r="BA75" s="100">
        <v>3244.4431373908023</v>
      </c>
      <c r="BB75" s="100">
        <v>1.9701325109580191E-22</v>
      </c>
      <c r="BC75" s="100">
        <v>1.2671892310481978E-19</v>
      </c>
      <c r="BD75" s="100">
        <v>1.270745449661431E-22</v>
      </c>
      <c r="BE75" s="100">
        <v>8.1734347322223232E-20</v>
      </c>
      <c r="BF75" s="100">
        <v>1.4673248562388901E-22</v>
      </c>
      <c r="BG75" s="100">
        <v>9.4378334753285399E-20</v>
      </c>
      <c r="BH75" s="100">
        <v>5</v>
      </c>
      <c r="BI75" s="100">
        <v>3215.9999999999995</v>
      </c>
      <c r="BJ75" s="100">
        <v>7.0656934306569337</v>
      </c>
      <c r="BK75" s="100">
        <v>4544.6540145985391</v>
      </c>
      <c r="BL75" s="100">
        <v>6</v>
      </c>
      <c r="BM75" s="100">
        <v>3859.2</v>
      </c>
      <c r="BN75" s="100">
        <v>6.182795698924731</v>
      </c>
      <c r="BO75" s="100">
        <v>3976.7741935483864</v>
      </c>
      <c r="BP75" s="100">
        <v>7.7777777777777777</v>
      </c>
      <c r="BQ75" s="100">
        <v>5002.6666666666661</v>
      </c>
      <c r="BR75" s="100">
        <v>7.1590909090909092</v>
      </c>
      <c r="BS75" s="100">
        <v>4604.7272727272721</v>
      </c>
      <c r="BT75" s="100">
        <v>6.4</v>
      </c>
      <c r="BU75" s="100">
        <v>4116.4799999999996</v>
      </c>
      <c r="BV75" s="100">
        <v>6</v>
      </c>
      <c r="BW75" s="100">
        <v>3859.2</v>
      </c>
      <c r="BX75" s="100">
        <v>7</v>
      </c>
      <c r="BY75" s="100">
        <v>4502.3999999999996</v>
      </c>
      <c r="BZ75" s="100">
        <v>6</v>
      </c>
      <c r="CA75" s="100">
        <v>3859.2</v>
      </c>
      <c r="CB75" s="100">
        <v>9.378947368421052</v>
      </c>
      <c r="CC75" s="100">
        <v>6032.5389473684199</v>
      </c>
      <c r="CD75" s="100">
        <v>5</v>
      </c>
      <c r="CE75" s="100">
        <v>3215.9999999999995</v>
      </c>
      <c r="CF75" s="100">
        <v>6</v>
      </c>
      <c r="CG75" s="100">
        <v>3859.2</v>
      </c>
      <c r="CH75" s="100">
        <v>8</v>
      </c>
      <c r="CI75" s="100">
        <v>5145.5999999999995</v>
      </c>
      <c r="CJ75" s="100">
        <v>8</v>
      </c>
      <c r="CK75" s="100">
        <v>5145.5999999999995</v>
      </c>
      <c r="CL75" s="100">
        <v>11</v>
      </c>
      <c r="CM75" s="100">
        <v>7075.1999999999989</v>
      </c>
      <c r="CN75" s="100">
        <v>10</v>
      </c>
      <c r="CO75" s="100">
        <v>6431.9999999999991</v>
      </c>
      <c r="CP75" s="100">
        <v>11</v>
      </c>
      <c r="CQ75" s="100">
        <v>7075.1999999999989</v>
      </c>
      <c r="CR75" s="100">
        <v>11</v>
      </c>
      <c r="CS75" s="100">
        <v>7075.1999999999989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8</v>
      </c>
      <c r="E76" s="100">
        <v>6230.4</v>
      </c>
      <c r="F76" s="100">
        <v>6.7666666666666666</v>
      </c>
      <c r="G76" s="100">
        <v>5269.8799999999992</v>
      </c>
      <c r="H76" s="100">
        <v>7.6829268292682924</v>
      </c>
      <c r="I76" s="100">
        <v>5983.4634146341459</v>
      </c>
      <c r="J76" s="100">
        <v>7.4666666666666668</v>
      </c>
      <c r="K76" s="100">
        <v>5815.04</v>
      </c>
      <c r="L76" s="100">
        <v>6.6666666666666661</v>
      </c>
      <c r="M76" s="100">
        <v>5191.9999999999991</v>
      </c>
      <c r="N76" s="100">
        <v>5</v>
      </c>
      <c r="O76" s="100">
        <v>3894</v>
      </c>
      <c r="P76" s="100">
        <v>6</v>
      </c>
      <c r="Q76" s="100">
        <v>4672.7999999999993</v>
      </c>
      <c r="R76" s="100">
        <v>5</v>
      </c>
      <c r="S76" s="100">
        <v>3894</v>
      </c>
      <c r="T76" s="100">
        <v>6</v>
      </c>
      <c r="U76" s="100">
        <v>4672.7999999999993</v>
      </c>
      <c r="V76" s="100">
        <v>9</v>
      </c>
      <c r="W76" s="100">
        <v>7009.2</v>
      </c>
      <c r="X76" s="100">
        <v>6</v>
      </c>
      <c r="Y76" s="100">
        <v>4672.7999999999993</v>
      </c>
      <c r="Z76" s="100">
        <v>9</v>
      </c>
      <c r="AA76" s="100">
        <v>7009.2</v>
      </c>
      <c r="AB76" s="100">
        <v>2.8405797101449277</v>
      </c>
      <c r="AC76" s="100">
        <v>2212.2434782608698</v>
      </c>
      <c r="AD76" s="100">
        <v>2.347349233402366E-22</v>
      </c>
      <c r="AE76" s="100">
        <v>1.8281155829737626E-19</v>
      </c>
      <c r="AF76" s="100">
        <v>1.3249845847079557E-22</v>
      </c>
      <c r="AG76" s="100">
        <v>1.0318979945705558E-19</v>
      </c>
      <c r="AH76" s="100">
        <v>1.3011824664197887E-22</v>
      </c>
      <c r="AI76" s="100">
        <v>1.0133609048477314E-19</v>
      </c>
      <c r="AJ76" s="100">
        <v>6.6272189349112427</v>
      </c>
      <c r="AK76" s="100">
        <v>5161.2781065088757</v>
      </c>
      <c r="AL76" s="100">
        <v>5</v>
      </c>
      <c r="AM76" s="100">
        <v>3894</v>
      </c>
      <c r="AN76" s="100">
        <v>5</v>
      </c>
      <c r="AO76" s="100">
        <v>3894</v>
      </c>
      <c r="AP76" s="100">
        <v>7</v>
      </c>
      <c r="AQ76" s="100">
        <v>5451.5999999999995</v>
      </c>
      <c r="AR76" s="100">
        <v>8</v>
      </c>
      <c r="AS76" s="100">
        <v>6230.4</v>
      </c>
      <c r="AT76" s="100">
        <v>6</v>
      </c>
      <c r="AU76" s="100">
        <v>4672.7999999999993</v>
      </c>
      <c r="AV76" s="100">
        <v>6</v>
      </c>
      <c r="AW76" s="100">
        <v>4672.7999999999993</v>
      </c>
      <c r="AX76" s="100">
        <v>10</v>
      </c>
      <c r="AY76" s="100">
        <v>7788</v>
      </c>
      <c r="AZ76" s="100">
        <v>4.483752262839694</v>
      </c>
      <c r="BA76" s="100">
        <v>3491.9462622995534</v>
      </c>
      <c r="BB76" s="100">
        <v>1.5761060087664151E-22</v>
      </c>
      <c r="BC76" s="100">
        <v>1.2274713596272839E-19</v>
      </c>
      <c r="BD76" s="100">
        <v>1.4119393885127012E-22</v>
      </c>
      <c r="BE76" s="100">
        <v>1.0996183957736917E-19</v>
      </c>
      <c r="BF76" s="100">
        <v>1.2005385187409101E-22</v>
      </c>
      <c r="BG76" s="100">
        <v>9.3497939839542076E-20</v>
      </c>
      <c r="BH76" s="100">
        <v>5</v>
      </c>
      <c r="BI76" s="100">
        <v>3894</v>
      </c>
      <c r="BJ76" s="100">
        <v>6.1824817518248176</v>
      </c>
      <c r="BK76" s="100">
        <v>4814.9167883211676</v>
      </c>
      <c r="BL76" s="100">
        <v>6</v>
      </c>
      <c r="BM76" s="100">
        <v>4672.7999999999993</v>
      </c>
      <c r="BN76" s="100">
        <v>6.182795698924731</v>
      </c>
      <c r="BO76" s="100">
        <v>4815.1612903225805</v>
      </c>
      <c r="BP76" s="100">
        <v>7.7777777777777777</v>
      </c>
      <c r="BQ76" s="100">
        <v>6057.333333333333</v>
      </c>
      <c r="BR76" s="100">
        <v>7.1590909090909092</v>
      </c>
      <c r="BS76" s="100">
        <v>5575.5</v>
      </c>
      <c r="BT76" s="100">
        <v>7.2</v>
      </c>
      <c r="BU76" s="100">
        <v>5607.36</v>
      </c>
      <c r="BV76" s="100">
        <v>6</v>
      </c>
      <c r="BW76" s="100">
        <v>4672.7999999999993</v>
      </c>
      <c r="BX76" s="100">
        <v>7</v>
      </c>
      <c r="BY76" s="100">
        <v>5451.5999999999995</v>
      </c>
      <c r="BZ76" s="100">
        <v>6</v>
      </c>
      <c r="CA76" s="100">
        <v>4672.7999999999993</v>
      </c>
      <c r="CB76" s="100">
        <v>9.378947368421052</v>
      </c>
      <c r="CC76" s="100">
        <v>7304.3242105263153</v>
      </c>
      <c r="CD76" s="100">
        <v>6</v>
      </c>
      <c r="CE76" s="100">
        <v>4672.7999999999993</v>
      </c>
      <c r="CF76" s="100">
        <v>6</v>
      </c>
      <c r="CG76" s="100">
        <v>4672.7999999999993</v>
      </c>
      <c r="CH76" s="100">
        <v>7</v>
      </c>
      <c r="CI76" s="100">
        <v>5451.5999999999995</v>
      </c>
      <c r="CJ76" s="100">
        <v>9</v>
      </c>
      <c r="CK76" s="100">
        <v>7009.2</v>
      </c>
      <c r="CL76" s="100">
        <v>11</v>
      </c>
      <c r="CM76" s="100">
        <v>8566.7999999999993</v>
      </c>
      <c r="CN76" s="100">
        <v>8</v>
      </c>
      <c r="CO76" s="100">
        <v>6230.4</v>
      </c>
      <c r="CP76" s="100">
        <v>11</v>
      </c>
      <c r="CQ76" s="100">
        <v>8566.7999999999993</v>
      </c>
      <c r="CR76" s="100">
        <v>10</v>
      </c>
      <c r="CS76" s="100">
        <v>7788</v>
      </c>
      <c r="CT76" s="100">
        <v>8</v>
      </c>
      <c r="CU76" s="100">
        <v>6230.4</v>
      </c>
    </row>
    <row r="77" spans="2:99">
      <c r="C77" s="99" t="s">
        <v>243</v>
      </c>
      <c r="D77" s="100">
        <v>9</v>
      </c>
      <c r="E77" s="100">
        <v>2505.6</v>
      </c>
      <c r="F77" s="100">
        <v>6.7666666666666666</v>
      </c>
      <c r="G77" s="100">
        <v>1883.84</v>
      </c>
      <c r="H77" s="100">
        <v>7.6829268292682924</v>
      </c>
      <c r="I77" s="100">
        <v>2138.9268292682923</v>
      </c>
      <c r="J77" s="100">
        <v>6.5333333333333332</v>
      </c>
      <c r="K77" s="100">
        <v>1818.8799999999999</v>
      </c>
      <c r="L77" s="100">
        <v>7.5</v>
      </c>
      <c r="M77" s="100">
        <v>2088</v>
      </c>
      <c r="N77" s="100">
        <v>5</v>
      </c>
      <c r="O77" s="100">
        <v>1392</v>
      </c>
      <c r="P77" s="100">
        <v>5</v>
      </c>
      <c r="Q77" s="100">
        <v>1392</v>
      </c>
      <c r="R77" s="100">
        <v>6</v>
      </c>
      <c r="S77" s="100">
        <v>1670.3999999999999</v>
      </c>
      <c r="T77" s="100">
        <v>6</v>
      </c>
      <c r="U77" s="100">
        <v>1670.3999999999999</v>
      </c>
      <c r="V77" s="100">
        <v>8</v>
      </c>
      <c r="W77" s="100">
        <v>2227.1999999999998</v>
      </c>
      <c r="X77" s="100">
        <v>7</v>
      </c>
      <c r="Y77" s="100">
        <v>1948.7999999999997</v>
      </c>
      <c r="Z77" s="100">
        <v>9</v>
      </c>
      <c r="AA77" s="100">
        <v>2505.6</v>
      </c>
      <c r="AB77" s="100">
        <v>2.4855072463768115</v>
      </c>
      <c r="AC77" s="100">
        <v>691.96521739130424</v>
      </c>
      <c r="AD77" s="100">
        <v>2.6826848381741322E-22</v>
      </c>
      <c r="AE77" s="100">
        <v>7.4685945894767833E-20</v>
      </c>
      <c r="AF77" s="100">
        <v>1.3249845847079557E-22</v>
      </c>
      <c r="AG77" s="100">
        <v>3.6887570838269484E-20</v>
      </c>
      <c r="AH77" s="100">
        <v>1.4457582960219875E-22</v>
      </c>
      <c r="AI77" s="100">
        <v>4.0249910961252126E-20</v>
      </c>
      <c r="AJ77" s="100">
        <v>6.6272189349112427</v>
      </c>
      <c r="AK77" s="100">
        <v>1845.0177514792899</v>
      </c>
      <c r="AL77" s="100">
        <v>5</v>
      </c>
      <c r="AM77" s="100">
        <v>1392</v>
      </c>
      <c r="AN77" s="100">
        <v>6</v>
      </c>
      <c r="AO77" s="100">
        <v>1670.3999999999999</v>
      </c>
      <c r="AP77" s="100">
        <v>8</v>
      </c>
      <c r="AQ77" s="100">
        <v>2227.1999999999998</v>
      </c>
      <c r="AR77" s="100">
        <v>10</v>
      </c>
      <c r="AS77" s="100">
        <v>2784</v>
      </c>
      <c r="AT77" s="100">
        <v>6</v>
      </c>
      <c r="AU77" s="100">
        <v>1670.3999999999999</v>
      </c>
      <c r="AV77" s="100">
        <v>6</v>
      </c>
      <c r="AW77" s="100">
        <v>1670.3999999999999</v>
      </c>
      <c r="AX77" s="100">
        <v>11</v>
      </c>
      <c r="AY77" s="100">
        <v>3062.3999999999996</v>
      </c>
      <c r="AZ77" s="100">
        <v>5.0442212956946557</v>
      </c>
      <c r="BA77" s="100">
        <v>1404.3112087213919</v>
      </c>
      <c r="BB77" s="100">
        <v>1.9701325109580191E-22</v>
      </c>
      <c r="BC77" s="100">
        <v>5.4848489105071253E-20</v>
      </c>
      <c r="BD77" s="100">
        <v>1.4119393885127012E-22</v>
      </c>
      <c r="BE77" s="100">
        <v>3.9308392576193596E-20</v>
      </c>
      <c r="BF77" s="100">
        <v>1.4673248562388901E-22</v>
      </c>
      <c r="BG77" s="100">
        <v>4.0850323997690696E-20</v>
      </c>
      <c r="BH77" s="100">
        <v>6</v>
      </c>
      <c r="BI77" s="100">
        <v>1670.3999999999999</v>
      </c>
      <c r="BJ77" s="100">
        <v>7.0656934306569337</v>
      </c>
      <c r="BK77" s="100">
        <v>1967.0890510948902</v>
      </c>
      <c r="BL77" s="100">
        <v>6</v>
      </c>
      <c r="BM77" s="100">
        <v>1670.3999999999999</v>
      </c>
      <c r="BN77" s="100">
        <v>6.182795698924731</v>
      </c>
      <c r="BO77" s="100">
        <v>1721.2903225806449</v>
      </c>
      <c r="BP77" s="100">
        <v>7.0707070707070709</v>
      </c>
      <c r="BQ77" s="100">
        <v>1968.4848484848485</v>
      </c>
      <c r="BR77" s="100">
        <v>8.75</v>
      </c>
      <c r="BS77" s="100">
        <v>2436</v>
      </c>
      <c r="BT77" s="100">
        <v>7.2</v>
      </c>
      <c r="BU77" s="100">
        <v>2004.4799999999998</v>
      </c>
      <c r="BV77" s="100">
        <v>7</v>
      </c>
      <c r="BW77" s="100">
        <v>1948.7999999999997</v>
      </c>
      <c r="BX77" s="100">
        <v>7</v>
      </c>
      <c r="BY77" s="100">
        <v>1948.7999999999997</v>
      </c>
      <c r="BZ77" s="100">
        <v>7</v>
      </c>
      <c r="CA77" s="100">
        <v>1948.7999999999997</v>
      </c>
      <c r="CB77" s="100">
        <v>8.5263157894736832</v>
      </c>
      <c r="CC77" s="100">
        <v>2373.7263157894731</v>
      </c>
      <c r="CD77" s="100">
        <v>6</v>
      </c>
      <c r="CE77" s="100">
        <v>1670.3999999999999</v>
      </c>
      <c r="CF77" s="100">
        <v>6</v>
      </c>
      <c r="CG77" s="100">
        <v>1670.3999999999999</v>
      </c>
      <c r="CH77" s="100">
        <v>7</v>
      </c>
      <c r="CI77" s="100">
        <v>1948.7999999999997</v>
      </c>
      <c r="CJ77" s="100">
        <v>8</v>
      </c>
      <c r="CK77" s="100">
        <v>2227.1999999999998</v>
      </c>
      <c r="CL77" s="100">
        <v>10</v>
      </c>
      <c r="CM77" s="100">
        <v>2784</v>
      </c>
      <c r="CN77" s="100">
        <v>10</v>
      </c>
      <c r="CO77" s="100">
        <v>2784</v>
      </c>
      <c r="CP77" s="100">
        <v>11</v>
      </c>
      <c r="CQ77" s="100">
        <v>3062.3999999999996</v>
      </c>
      <c r="CR77" s="100">
        <v>11</v>
      </c>
      <c r="CS77" s="100">
        <v>3062.3999999999996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9</v>
      </c>
      <c r="E78" s="100">
        <v>4968</v>
      </c>
      <c r="F78" s="100">
        <v>7.7333333333333334</v>
      </c>
      <c r="G78" s="100">
        <v>4268.8</v>
      </c>
      <c r="H78" s="100">
        <v>6.8292682926829267</v>
      </c>
      <c r="I78" s="100">
        <v>3769.7560975609754</v>
      </c>
      <c r="J78" s="100">
        <v>6.5333333333333332</v>
      </c>
      <c r="K78" s="100">
        <v>3606.4</v>
      </c>
      <c r="L78" s="100">
        <v>6.6666666666666661</v>
      </c>
      <c r="M78" s="100">
        <v>3679.9999999999995</v>
      </c>
      <c r="N78" s="100">
        <v>5</v>
      </c>
      <c r="O78" s="100">
        <v>2760</v>
      </c>
      <c r="P78" s="100">
        <v>5</v>
      </c>
      <c r="Q78" s="100">
        <v>2760</v>
      </c>
      <c r="R78" s="100">
        <v>6</v>
      </c>
      <c r="S78" s="100">
        <v>3312</v>
      </c>
      <c r="T78" s="100">
        <v>7</v>
      </c>
      <c r="U78" s="100">
        <v>3864</v>
      </c>
      <c r="V78" s="100">
        <v>9</v>
      </c>
      <c r="W78" s="100">
        <v>4968</v>
      </c>
      <c r="X78" s="100">
        <v>7</v>
      </c>
      <c r="Y78" s="100">
        <v>3864</v>
      </c>
      <c r="Z78" s="100">
        <v>8</v>
      </c>
      <c r="AA78" s="100">
        <v>4416</v>
      </c>
      <c r="AB78" s="100">
        <v>2.4855072463768115</v>
      </c>
      <c r="AC78" s="100">
        <v>1372</v>
      </c>
      <c r="AD78" s="100">
        <v>2.347349233402366E-22</v>
      </c>
      <c r="AE78" s="100">
        <v>1.2957367768381061E-19</v>
      </c>
      <c r="AF78" s="100">
        <v>1.1777640752959605E-22</v>
      </c>
      <c r="AG78" s="100">
        <v>6.5012576956337021E-20</v>
      </c>
      <c r="AH78" s="100">
        <v>1.3011824664197887E-22</v>
      </c>
      <c r="AI78" s="100">
        <v>7.1825272146372334E-20</v>
      </c>
      <c r="AJ78" s="100">
        <v>6.6272189349112427</v>
      </c>
      <c r="AK78" s="100">
        <v>3658.2248520710059</v>
      </c>
      <c r="AL78" s="100">
        <v>5</v>
      </c>
      <c r="AM78" s="100">
        <v>2760</v>
      </c>
      <c r="AN78" s="100">
        <v>5</v>
      </c>
      <c r="AO78" s="100">
        <v>2760</v>
      </c>
      <c r="AP78" s="100">
        <v>8</v>
      </c>
      <c r="AQ78" s="100">
        <v>4416</v>
      </c>
      <c r="AR78" s="100">
        <v>9</v>
      </c>
      <c r="AS78" s="100">
        <v>4968</v>
      </c>
      <c r="AT78" s="100">
        <v>5</v>
      </c>
      <c r="AU78" s="100">
        <v>2760</v>
      </c>
      <c r="AV78" s="100">
        <v>6</v>
      </c>
      <c r="AW78" s="100">
        <v>3312</v>
      </c>
      <c r="AX78" s="100">
        <v>10</v>
      </c>
      <c r="AY78" s="100">
        <v>5520</v>
      </c>
      <c r="AZ78" s="100">
        <v>5.0442212956946557</v>
      </c>
      <c r="BA78" s="100">
        <v>2784.4101552234501</v>
      </c>
      <c r="BB78" s="100">
        <v>1.9701325109580191E-22</v>
      </c>
      <c r="BC78" s="100">
        <v>1.0875131460488264E-19</v>
      </c>
      <c r="BD78" s="100">
        <v>1.270745449661431E-22</v>
      </c>
      <c r="BE78" s="100">
        <v>7.0145148821310986E-20</v>
      </c>
      <c r="BF78" s="100">
        <v>1.3339316874899001E-22</v>
      </c>
      <c r="BG78" s="100">
        <v>7.3633029149442489E-20</v>
      </c>
      <c r="BH78" s="100">
        <v>5</v>
      </c>
      <c r="BI78" s="100">
        <v>2760</v>
      </c>
      <c r="BJ78" s="100">
        <v>6.1824817518248176</v>
      </c>
      <c r="BK78" s="100">
        <v>3412.7299270072995</v>
      </c>
      <c r="BL78" s="100">
        <v>6</v>
      </c>
      <c r="BM78" s="100">
        <v>3312</v>
      </c>
      <c r="BN78" s="100">
        <v>6.182795698924731</v>
      </c>
      <c r="BO78" s="100">
        <v>3412.9032258064517</v>
      </c>
      <c r="BP78" s="100">
        <v>7.0707070707070709</v>
      </c>
      <c r="BQ78" s="100">
        <v>3903.030303030303</v>
      </c>
      <c r="BR78" s="100">
        <v>7.9545454545454541</v>
      </c>
      <c r="BS78" s="100">
        <v>4390.909090909091</v>
      </c>
      <c r="BT78" s="100">
        <v>8</v>
      </c>
      <c r="BU78" s="100">
        <v>4416</v>
      </c>
      <c r="BV78" s="100">
        <v>7</v>
      </c>
      <c r="BW78" s="100">
        <v>3864</v>
      </c>
      <c r="BX78" s="100">
        <v>8</v>
      </c>
      <c r="BY78" s="100">
        <v>4416</v>
      </c>
      <c r="BZ78" s="100">
        <v>7</v>
      </c>
      <c r="CA78" s="100">
        <v>3864</v>
      </c>
      <c r="CB78" s="100">
        <v>8.5263157894736832</v>
      </c>
      <c r="CC78" s="100">
        <v>4706.5263157894733</v>
      </c>
      <c r="CD78" s="100">
        <v>5</v>
      </c>
      <c r="CE78" s="100">
        <v>2760</v>
      </c>
      <c r="CF78" s="100">
        <v>6</v>
      </c>
      <c r="CG78" s="100">
        <v>3312</v>
      </c>
      <c r="CH78" s="100">
        <v>7</v>
      </c>
      <c r="CI78" s="100">
        <v>3864</v>
      </c>
      <c r="CJ78" s="100">
        <v>9</v>
      </c>
      <c r="CK78" s="100">
        <v>4968</v>
      </c>
      <c r="CL78" s="100">
        <v>10</v>
      </c>
      <c r="CM78" s="100">
        <v>5520</v>
      </c>
      <c r="CN78" s="100">
        <v>9</v>
      </c>
      <c r="CO78" s="100">
        <v>4968</v>
      </c>
      <c r="CP78" s="100">
        <v>9</v>
      </c>
      <c r="CQ78" s="100">
        <v>4968</v>
      </c>
      <c r="CR78" s="100">
        <v>10</v>
      </c>
      <c r="CS78" s="100">
        <v>5520</v>
      </c>
      <c r="CT78" s="100">
        <v>7</v>
      </c>
      <c r="CU78" s="100">
        <v>3864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6.7666666666666666</v>
      </c>
      <c r="G79" s="100">
        <v>5123.7199999999993</v>
      </c>
      <c r="H79" s="100">
        <v>7.6829268292682924</v>
      </c>
      <c r="I79" s="100">
        <v>5817.5121951219508</v>
      </c>
      <c r="J79" s="100">
        <v>7.4666666666666668</v>
      </c>
      <c r="K79" s="100">
        <v>5653.7599999999993</v>
      </c>
      <c r="L79" s="100">
        <v>6.6666666666666661</v>
      </c>
      <c r="M79" s="100">
        <v>5047.9999999999991</v>
      </c>
      <c r="N79" s="100">
        <v>5</v>
      </c>
      <c r="O79" s="100">
        <v>3785.9999999999995</v>
      </c>
      <c r="P79" s="100">
        <v>5</v>
      </c>
      <c r="Q79" s="100">
        <v>3785.9999999999995</v>
      </c>
      <c r="R79" s="100">
        <v>6</v>
      </c>
      <c r="S79" s="100">
        <v>4543.2</v>
      </c>
      <c r="T79" s="100">
        <v>6</v>
      </c>
      <c r="U79" s="100">
        <v>4543.2</v>
      </c>
      <c r="V79" s="100">
        <v>8</v>
      </c>
      <c r="W79" s="100">
        <v>6057.5999999999995</v>
      </c>
      <c r="X79" s="100">
        <v>7</v>
      </c>
      <c r="Y79" s="100">
        <v>5300.4</v>
      </c>
      <c r="Z79" s="100">
        <v>9</v>
      </c>
      <c r="AA79" s="100">
        <v>6814.7999999999993</v>
      </c>
      <c r="AB79" s="100">
        <v>2.4855072463768115</v>
      </c>
      <c r="AC79" s="100">
        <v>1882.0260869565216</v>
      </c>
      <c r="AD79" s="100">
        <v>2.347349233402366E-22</v>
      </c>
      <c r="AE79" s="100">
        <v>1.7774128395322713E-19</v>
      </c>
      <c r="AF79" s="100">
        <v>1.3249845847079557E-22</v>
      </c>
      <c r="AG79" s="100">
        <v>1.003278327540864E-19</v>
      </c>
      <c r="AH79" s="100">
        <v>1.15660663681759E-22</v>
      </c>
      <c r="AI79" s="100">
        <v>8.7578254539827905E-20</v>
      </c>
      <c r="AJ79" s="100">
        <v>7.4556213017751478</v>
      </c>
      <c r="AK79" s="100">
        <v>5645.3964497041416</v>
      </c>
      <c r="AL79" s="100">
        <v>5</v>
      </c>
      <c r="AM79" s="100">
        <v>3785.9999999999995</v>
      </c>
      <c r="AN79" s="100">
        <v>5</v>
      </c>
      <c r="AO79" s="100">
        <v>3785.9999999999995</v>
      </c>
      <c r="AP79" s="100">
        <v>7</v>
      </c>
      <c r="AQ79" s="100">
        <v>5300.4</v>
      </c>
      <c r="AR79" s="100">
        <v>8</v>
      </c>
      <c r="AS79" s="100">
        <v>6057.5999999999995</v>
      </c>
      <c r="AT79" s="100">
        <v>6</v>
      </c>
      <c r="AU79" s="100">
        <v>4543.2</v>
      </c>
      <c r="AV79" s="100">
        <v>7</v>
      </c>
      <c r="AW79" s="100">
        <v>5300.4</v>
      </c>
      <c r="AX79" s="100">
        <v>9</v>
      </c>
      <c r="AY79" s="100">
        <v>6814.7999999999993</v>
      </c>
      <c r="AZ79" s="100">
        <v>5.0442212956946557</v>
      </c>
      <c r="BA79" s="100">
        <v>3819.4843650999928</v>
      </c>
      <c r="BB79" s="100">
        <v>1.7731192598622172E-22</v>
      </c>
      <c r="BC79" s="100">
        <v>1.3426059035676709E-19</v>
      </c>
      <c r="BD79" s="100">
        <v>1.270745449661431E-22</v>
      </c>
      <c r="BE79" s="100">
        <v>9.6220845448363542E-20</v>
      </c>
      <c r="BF79" s="100">
        <v>1.2005385187409101E-22</v>
      </c>
      <c r="BG79" s="100">
        <v>9.09047766390617E-20</v>
      </c>
      <c r="BH79" s="100">
        <v>5</v>
      </c>
      <c r="BI79" s="100">
        <v>3785.9999999999995</v>
      </c>
      <c r="BJ79" s="100">
        <v>6.1824817518248176</v>
      </c>
      <c r="BK79" s="100">
        <v>4681.3751824817518</v>
      </c>
      <c r="BL79" s="100">
        <v>6</v>
      </c>
      <c r="BM79" s="100">
        <v>4543.2</v>
      </c>
      <c r="BN79" s="100">
        <v>5.564516129032258</v>
      </c>
      <c r="BO79" s="100">
        <v>4213.4516129032254</v>
      </c>
      <c r="BP79" s="100">
        <v>7.0707070707070709</v>
      </c>
      <c r="BQ79" s="100">
        <v>5353.939393939394</v>
      </c>
      <c r="BR79" s="100">
        <v>7.1590909090909092</v>
      </c>
      <c r="BS79" s="100">
        <v>5420.863636363636</v>
      </c>
      <c r="BT79" s="100">
        <v>6.4</v>
      </c>
      <c r="BU79" s="100">
        <v>4846.08</v>
      </c>
      <c r="BV79" s="100">
        <v>6</v>
      </c>
      <c r="BW79" s="100">
        <v>4543.2</v>
      </c>
      <c r="BX79" s="100">
        <v>7</v>
      </c>
      <c r="BY79" s="100">
        <v>5300.4</v>
      </c>
      <c r="BZ79" s="100">
        <v>6</v>
      </c>
      <c r="CA79" s="100">
        <v>4543.2</v>
      </c>
      <c r="CB79" s="100">
        <v>7.6736842105263161</v>
      </c>
      <c r="CC79" s="100">
        <v>5810.5136842105258</v>
      </c>
      <c r="CD79" s="100">
        <v>6</v>
      </c>
      <c r="CE79" s="100">
        <v>4543.2</v>
      </c>
      <c r="CF79" s="100">
        <v>6</v>
      </c>
      <c r="CG79" s="100">
        <v>4543.2</v>
      </c>
      <c r="CH79" s="100">
        <v>7</v>
      </c>
      <c r="CI79" s="100">
        <v>5300.4</v>
      </c>
      <c r="CJ79" s="100">
        <v>8</v>
      </c>
      <c r="CK79" s="100">
        <v>6057.5999999999995</v>
      </c>
      <c r="CL79" s="100">
        <v>9</v>
      </c>
      <c r="CM79" s="100">
        <v>6814.7999999999993</v>
      </c>
      <c r="CN79" s="100">
        <v>8</v>
      </c>
      <c r="CO79" s="100">
        <v>6057.5999999999995</v>
      </c>
      <c r="CP79" s="100">
        <v>10</v>
      </c>
      <c r="CQ79" s="100">
        <v>7571.9999999999991</v>
      </c>
      <c r="CR79" s="100">
        <v>10</v>
      </c>
      <c r="CS79" s="100">
        <v>7571.9999999999991</v>
      </c>
      <c r="CT79" s="100">
        <v>7</v>
      </c>
      <c r="CU79" s="100">
        <v>5300.4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7.7333333333333334</v>
      </c>
      <c r="G80" s="100">
        <v>6226.8799999999992</v>
      </c>
      <c r="H80" s="100">
        <v>7.6829268292682924</v>
      </c>
      <c r="I80" s="100">
        <v>6186.2926829268281</v>
      </c>
      <c r="J80" s="100">
        <v>7.4666666666666668</v>
      </c>
      <c r="K80" s="100">
        <v>6012.16</v>
      </c>
      <c r="L80" s="100">
        <v>8.3333333333333321</v>
      </c>
      <c r="M80" s="100">
        <v>6709.9999999999982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6</v>
      </c>
      <c r="S80" s="100">
        <v>4831.2</v>
      </c>
      <c r="T80" s="100">
        <v>6</v>
      </c>
      <c r="U80" s="100">
        <v>4831.2</v>
      </c>
      <c r="V80" s="100">
        <v>9</v>
      </c>
      <c r="W80" s="100">
        <v>7246.7999999999993</v>
      </c>
      <c r="X80" s="100">
        <v>6</v>
      </c>
      <c r="Y80" s="100">
        <v>4831.2</v>
      </c>
      <c r="Z80" s="100">
        <v>8</v>
      </c>
      <c r="AA80" s="100">
        <v>6441.5999999999995</v>
      </c>
      <c r="AB80" s="100">
        <v>2.8405797101449277</v>
      </c>
      <c r="AC80" s="100">
        <v>2287.2347826086957</v>
      </c>
      <c r="AD80" s="100">
        <v>2.347349233402366E-22</v>
      </c>
      <c r="AE80" s="100">
        <v>1.8900856027355849E-19</v>
      </c>
      <c r="AF80" s="100">
        <v>1.3249845847079557E-22</v>
      </c>
      <c r="AG80" s="100">
        <v>1.0668775876068458E-19</v>
      </c>
      <c r="AH80" s="100">
        <v>1.15660663681759E-22</v>
      </c>
      <c r="AI80" s="100">
        <v>9.3129966396552335E-20</v>
      </c>
      <c r="AJ80" s="100">
        <v>6.6272189349112427</v>
      </c>
      <c r="AK80" s="100">
        <v>5336.2366863905318</v>
      </c>
      <c r="AL80" s="100">
        <v>5</v>
      </c>
      <c r="AM80" s="100">
        <v>4025.9999999999995</v>
      </c>
      <c r="AN80" s="100">
        <v>5</v>
      </c>
      <c r="AO80" s="100">
        <v>4025.9999999999995</v>
      </c>
      <c r="AP80" s="100">
        <v>7</v>
      </c>
      <c r="AQ80" s="100">
        <v>5636.4</v>
      </c>
      <c r="AR80" s="100">
        <v>8</v>
      </c>
      <c r="AS80" s="100">
        <v>6441.5999999999995</v>
      </c>
      <c r="AT80" s="100">
        <v>6</v>
      </c>
      <c r="AU80" s="100">
        <v>4831.2</v>
      </c>
      <c r="AV80" s="100">
        <v>6</v>
      </c>
      <c r="AW80" s="100">
        <v>4831.2</v>
      </c>
      <c r="AX80" s="100">
        <v>10</v>
      </c>
      <c r="AY80" s="100">
        <v>8051.9999999999991</v>
      </c>
      <c r="AZ80" s="100">
        <v>4.483752262839694</v>
      </c>
      <c r="BA80" s="100">
        <v>3610.3173220385211</v>
      </c>
      <c r="BB80" s="100">
        <v>1.9701325109580191E-22</v>
      </c>
      <c r="BC80" s="100">
        <v>1.5863506978233968E-19</v>
      </c>
      <c r="BD80" s="100">
        <v>1.270745449661431E-22</v>
      </c>
      <c r="BE80" s="100">
        <v>1.0232042360673841E-19</v>
      </c>
      <c r="BF80" s="100">
        <v>1.3339316874899001E-22</v>
      </c>
      <c r="BG80" s="100">
        <v>1.0740817947668675E-19</v>
      </c>
      <c r="BH80" s="100">
        <v>6</v>
      </c>
      <c r="BI80" s="100">
        <v>4831.2</v>
      </c>
      <c r="BJ80" s="100">
        <v>6.1824817518248176</v>
      </c>
      <c r="BK80" s="100">
        <v>4978.1343065693427</v>
      </c>
      <c r="BL80" s="100">
        <v>6</v>
      </c>
      <c r="BM80" s="100">
        <v>4831.2</v>
      </c>
      <c r="BN80" s="100">
        <v>6.182795698924731</v>
      </c>
      <c r="BO80" s="100">
        <v>4978.3870967741932</v>
      </c>
      <c r="BP80" s="100">
        <v>7.7777777777777777</v>
      </c>
      <c r="BQ80" s="100">
        <v>6262.6666666666661</v>
      </c>
      <c r="BR80" s="100">
        <v>7.9545454545454541</v>
      </c>
      <c r="BS80" s="100">
        <v>6404.9999999999991</v>
      </c>
      <c r="BT80" s="100">
        <v>7.2</v>
      </c>
      <c r="BU80" s="100">
        <v>5797.44</v>
      </c>
      <c r="BV80" s="100">
        <v>6</v>
      </c>
      <c r="BW80" s="100">
        <v>4831.2</v>
      </c>
      <c r="BX80" s="100">
        <v>7</v>
      </c>
      <c r="BY80" s="100">
        <v>5636.4</v>
      </c>
      <c r="BZ80" s="100">
        <v>7</v>
      </c>
      <c r="CA80" s="100">
        <v>5636.4</v>
      </c>
      <c r="CB80" s="100">
        <v>8.5263157894736832</v>
      </c>
      <c r="CC80" s="100">
        <v>6865.3894736842094</v>
      </c>
      <c r="CD80" s="100">
        <v>5</v>
      </c>
      <c r="CE80" s="100">
        <v>4025.9999999999995</v>
      </c>
      <c r="CF80" s="100">
        <v>6</v>
      </c>
      <c r="CG80" s="100">
        <v>4831.2</v>
      </c>
      <c r="CH80" s="100">
        <v>7</v>
      </c>
      <c r="CI80" s="100">
        <v>5636.4</v>
      </c>
      <c r="CJ80" s="100">
        <v>8</v>
      </c>
      <c r="CK80" s="100">
        <v>6441.5999999999995</v>
      </c>
      <c r="CL80" s="100">
        <v>10</v>
      </c>
      <c r="CM80" s="100">
        <v>8051.9999999999991</v>
      </c>
      <c r="CN80" s="100">
        <v>9</v>
      </c>
      <c r="CO80" s="100">
        <v>7246.7999999999993</v>
      </c>
      <c r="CP80" s="100">
        <v>10</v>
      </c>
      <c r="CQ80" s="100">
        <v>8051.9999999999991</v>
      </c>
      <c r="CR80" s="100">
        <v>10</v>
      </c>
      <c r="CS80" s="100">
        <v>8051.9999999999991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9</v>
      </c>
      <c r="E81" s="100">
        <v>6782.4000000000005</v>
      </c>
      <c r="F81" s="100">
        <v>6.7666666666666666</v>
      </c>
      <c r="G81" s="100">
        <v>5099.3599999999997</v>
      </c>
      <c r="H81" s="100">
        <v>7.6829268292682924</v>
      </c>
      <c r="I81" s="100">
        <v>5789.8536585365855</v>
      </c>
      <c r="J81" s="100">
        <v>6.5333333333333332</v>
      </c>
      <c r="K81" s="100">
        <v>4923.5200000000004</v>
      </c>
      <c r="L81" s="100">
        <v>6.6666666666666661</v>
      </c>
      <c r="M81" s="100">
        <v>5024</v>
      </c>
      <c r="N81" s="100">
        <v>5</v>
      </c>
      <c r="O81" s="100">
        <v>3768</v>
      </c>
      <c r="P81" s="100">
        <v>5</v>
      </c>
      <c r="Q81" s="100">
        <v>3768</v>
      </c>
      <c r="R81" s="100">
        <v>5</v>
      </c>
      <c r="S81" s="100">
        <v>3768</v>
      </c>
      <c r="T81" s="100">
        <v>6</v>
      </c>
      <c r="U81" s="100">
        <v>4521.6000000000004</v>
      </c>
      <c r="V81" s="100">
        <v>8</v>
      </c>
      <c r="W81" s="100">
        <v>6028.8</v>
      </c>
      <c r="X81" s="100">
        <v>8</v>
      </c>
      <c r="Y81" s="100">
        <v>6028.8</v>
      </c>
      <c r="Z81" s="100">
        <v>9</v>
      </c>
      <c r="AA81" s="100">
        <v>6782.4000000000005</v>
      </c>
      <c r="AB81" s="100">
        <v>2.8405797101449277</v>
      </c>
      <c r="AC81" s="100">
        <v>2140.6608695652176</v>
      </c>
      <c r="AD81" s="100">
        <v>2.347349233402366E-22</v>
      </c>
      <c r="AE81" s="100">
        <v>1.7689623822920231E-19</v>
      </c>
      <c r="AF81" s="100">
        <v>1.1777640752959605E-22</v>
      </c>
      <c r="AG81" s="100">
        <v>8.8756300714303588E-20</v>
      </c>
      <c r="AH81" s="100">
        <v>1.3011824664197887E-22</v>
      </c>
      <c r="AI81" s="100">
        <v>9.8057110669395284E-20</v>
      </c>
      <c r="AJ81" s="100">
        <v>6.6272189349112427</v>
      </c>
      <c r="AK81" s="100">
        <v>4994.2721893491125</v>
      </c>
      <c r="AL81" s="100">
        <v>5</v>
      </c>
      <c r="AM81" s="100">
        <v>3768</v>
      </c>
      <c r="AN81" s="100">
        <v>5</v>
      </c>
      <c r="AO81" s="100">
        <v>3768</v>
      </c>
      <c r="AP81" s="100">
        <v>7</v>
      </c>
      <c r="AQ81" s="100">
        <v>5275.2</v>
      </c>
      <c r="AR81" s="100">
        <v>10</v>
      </c>
      <c r="AS81" s="100">
        <v>7536</v>
      </c>
      <c r="AT81" s="100">
        <v>5</v>
      </c>
      <c r="AU81" s="100">
        <v>3768</v>
      </c>
      <c r="AV81" s="100">
        <v>6</v>
      </c>
      <c r="AW81" s="100">
        <v>4521.6000000000004</v>
      </c>
      <c r="AX81" s="100">
        <v>10</v>
      </c>
      <c r="AY81" s="100">
        <v>7536</v>
      </c>
      <c r="AZ81" s="100">
        <v>4.483752262839694</v>
      </c>
      <c r="BA81" s="100">
        <v>3378.9557052759933</v>
      </c>
      <c r="BB81" s="100">
        <v>1.9701325109580191E-22</v>
      </c>
      <c r="BC81" s="100">
        <v>1.4846918602579634E-19</v>
      </c>
      <c r="BD81" s="100">
        <v>1.270745449661431E-22</v>
      </c>
      <c r="BE81" s="100">
        <v>9.5763377086485439E-20</v>
      </c>
      <c r="BF81" s="100">
        <v>1.3339316874899001E-22</v>
      </c>
      <c r="BG81" s="100">
        <v>1.0052509196923887E-19</v>
      </c>
      <c r="BH81" s="100">
        <v>6</v>
      </c>
      <c r="BI81" s="100">
        <v>4521.6000000000004</v>
      </c>
      <c r="BJ81" s="100">
        <v>6.1824817518248176</v>
      </c>
      <c r="BK81" s="100">
        <v>4659.118248175183</v>
      </c>
      <c r="BL81" s="100">
        <v>6</v>
      </c>
      <c r="BM81" s="100">
        <v>4521.6000000000004</v>
      </c>
      <c r="BN81" s="100">
        <v>6.182795698924731</v>
      </c>
      <c r="BO81" s="100">
        <v>4659.3548387096771</v>
      </c>
      <c r="BP81" s="100">
        <v>7.0707070707070709</v>
      </c>
      <c r="BQ81" s="100">
        <v>5328.484848484849</v>
      </c>
      <c r="BR81" s="100">
        <v>7.9545454545454541</v>
      </c>
      <c r="BS81" s="100">
        <v>5994.545454545454</v>
      </c>
      <c r="BT81" s="100">
        <v>6.4</v>
      </c>
      <c r="BU81" s="100">
        <v>4823.04</v>
      </c>
      <c r="BV81" s="100">
        <v>6</v>
      </c>
      <c r="BW81" s="100">
        <v>4521.6000000000004</v>
      </c>
      <c r="BX81" s="100">
        <v>7</v>
      </c>
      <c r="BY81" s="100">
        <v>5275.2</v>
      </c>
      <c r="BZ81" s="100">
        <v>6</v>
      </c>
      <c r="CA81" s="100">
        <v>4521.6000000000004</v>
      </c>
      <c r="CB81" s="100">
        <v>9.378947368421052</v>
      </c>
      <c r="CC81" s="100">
        <v>7067.9747368421049</v>
      </c>
      <c r="CD81" s="100">
        <v>5</v>
      </c>
      <c r="CE81" s="100">
        <v>3768</v>
      </c>
      <c r="CF81" s="100">
        <v>6</v>
      </c>
      <c r="CG81" s="100">
        <v>4521.6000000000004</v>
      </c>
      <c r="CH81" s="100">
        <v>8</v>
      </c>
      <c r="CI81" s="100">
        <v>6028.8</v>
      </c>
      <c r="CJ81" s="100">
        <v>8</v>
      </c>
      <c r="CK81" s="100">
        <v>6028.8</v>
      </c>
      <c r="CL81" s="100">
        <v>10</v>
      </c>
      <c r="CM81" s="100">
        <v>7536</v>
      </c>
      <c r="CN81" s="100">
        <v>9</v>
      </c>
      <c r="CO81" s="100">
        <v>6782.4000000000005</v>
      </c>
      <c r="CP81" s="100">
        <v>11</v>
      </c>
      <c r="CQ81" s="100">
        <v>8289.6</v>
      </c>
      <c r="CR81" s="100">
        <v>10</v>
      </c>
      <c r="CS81" s="100">
        <v>7536</v>
      </c>
      <c r="CT81" s="100">
        <v>8</v>
      </c>
      <c r="CU81" s="100">
        <v>6028.8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6.7666666666666666</v>
      </c>
      <c r="G82" s="100">
        <v>3442.8799999999992</v>
      </c>
      <c r="H82" s="100">
        <v>7.6829268292682924</v>
      </c>
      <c r="I82" s="100">
        <v>3909.0731707317063</v>
      </c>
      <c r="J82" s="100">
        <v>7.4666666666666668</v>
      </c>
      <c r="K82" s="100">
        <v>3799.0399999999995</v>
      </c>
      <c r="L82" s="100">
        <v>8.3333333333333321</v>
      </c>
      <c r="M82" s="100">
        <v>4239.9999999999982</v>
      </c>
      <c r="N82" s="100">
        <v>5</v>
      </c>
      <c r="O82" s="100">
        <v>2543.9999999999995</v>
      </c>
      <c r="P82" s="100">
        <v>6</v>
      </c>
      <c r="Q82" s="100">
        <v>3052.7999999999993</v>
      </c>
      <c r="R82" s="100">
        <v>6</v>
      </c>
      <c r="S82" s="100">
        <v>3052.7999999999993</v>
      </c>
      <c r="T82" s="100">
        <v>6</v>
      </c>
      <c r="U82" s="100">
        <v>3052.7999999999993</v>
      </c>
      <c r="V82" s="100">
        <v>10</v>
      </c>
      <c r="W82" s="100">
        <v>5087.9999999999991</v>
      </c>
      <c r="X82" s="100">
        <v>7</v>
      </c>
      <c r="Y82" s="100">
        <v>3561.5999999999995</v>
      </c>
      <c r="Z82" s="100">
        <v>9</v>
      </c>
      <c r="AA82" s="100">
        <v>4579.1999999999989</v>
      </c>
      <c r="AB82" s="100">
        <v>2.8405797101449277</v>
      </c>
      <c r="AC82" s="100">
        <v>1445.2869565217388</v>
      </c>
      <c r="AD82" s="100">
        <v>2.347349233402366E-22</v>
      </c>
      <c r="AE82" s="100">
        <v>1.1943312899551235E-19</v>
      </c>
      <c r="AF82" s="100">
        <v>1.3249845847079557E-22</v>
      </c>
      <c r="AG82" s="100">
        <v>6.7415215669940776E-20</v>
      </c>
      <c r="AH82" s="100">
        <v>1.3011824664197887E-22</v>
      </c>
      <c r="AI82" s="100">
        <v>6.6204163891438838E-20</v>
      </c>
      <c r="AJ82" s="100">
        <v>7.4556213017751478</v>
      </c>
      <c r="AK82" s="100">
        <v>3793.4201183431946</v>
      </c>
      <c r="AL82" s="100">
        <v>5</v>
      </c>
      <c r="AM82" s="100">
        <v>2543.9999999999995</v>
      </c>
      <c r="AN82" s="100">
        <v>6</v>
      </c>
      <c r="AO82" s="100">
        <v>3052.7999999999993</v>
      </c>
      <c r="AP82" s="100">
        <v>7</v>
      </c>
      <c r="AQ82" s="100">
        <v>3561.5999999999995</v>
      </c>
      <c r="AR82" s="100">
        <v>10</v>
      </c>
      <c r="AS82" s="100">
        <v>5087.9999999999991</v>
      </c>
      <c r="AT82" s="100">
        <v>6</v>
      </c>
      <c r="AU82" s="100">
        <v>3052.7999999999993</v>
      </c>
      <c r="AV82" s="100">
        <v>6</v>
      </c>
      <c r="AW82" s="100">
        <v>3052.7999999999993</v>
      </c>
      <c r="AX82" s="100">
        <v>10</v>
      </c>
      <c r="AY82" s="100">
        <v>5087.9999999999991</v>
      </c>
      <c r="AZ82" s="100">
        <v>4.483752262839694</v>
      </c>
      <c r="BA82" s="100">
        <v>2281.3331513328358</v>
      </c>
      <c r="BB82" s="100">
        <v>1.7731192598622172E-22</v>
      </c>
      <c r="BC82" s="100">
        <v>9.0216307941789598E-20</v>
      </c>
      <c r="BD82" s="100">
        <v>1.270745449661431E-22</v>
      </c>
      <c r="BE82" s="100">
        <v>6.4655528478773601E-20</v>
      </c>
      <c r="BF82" s="100">
        <v>1.3339316874899001E-22</v>
      </c>
      <c r="BG82" s="100">
        <v>6.7870444259486102E-20</v>
      </c>
      <c r="BH82" s="100">
        <v>5</v>
      </c>
      <c r="BI82" s="100">
        <v>2543.9999999999995</v>
      </c>
      <c r="BJ82" s="100">
        <v>7.0656934306569337</v>
      </c>
      <c r="BK82" s="100">
        <v>3595.0248175182473</v>
      </c>
      <c r="BL82" s="100">
        <v>5</v>
      </c>
      <c r="BM82" s="100">
        <v>2543.9999999999995</v>
      </c>
      <c r="BN82" s="100">
        <v>6.182795698924731</v>
      </c>
      <c r="BO82" s="100">
        <v>3145.8064516129025</v>
      </c>
      <c r="BP82" s="100">
        <v>7.0707070707070709</v>
      </c>
      <c r="BQ82" s="100">
        <v>3597.5757575757571</v>
      </c>
      <c r="BR82" s="100">
        <v>7.9545454545454541</v>
      </c>
      <c r="BS82" s="100">
        <v>4047.2727272727261</v>
      </c>
      <c r="BT82" s="100">
        <v>7.2</v>
      </c>
      <c r="BU82" s="100">
        <v>3663.3599999999992</v>
      </c>
      <c r="BV82" s="100">
        <v>6</v>
      </c>
      <c r="BW82" s="100">
        <v>3052.7999999999993</v>
      </c>
      <c r="BX82" s="100">
        <v>7</v>
      </c>
      <c r="BY82" s="100">
        <v>3561.5999999999995</v>
      </c>
      <c r="BZ82" s="100">
        <v>6</v>
      </c>
      <c r="CA82" s="100">
        <v>3052.7999999999993</v>
      </c>
      <c r="CB82" s="100">
        <v>8.5263157894736832</v>
      </c>
      <c r="CC82" s="100">
        <v>4338.1894736842087</v>
      </c>
      <c r="CD82" s="100">
        <v>5</v>
      </c>
      <c r="CE82" s="100">
        <v>2543.9999999999995</v>
      </c>
      <c r="CF82" s="100">
        <v>5</v>
      </c>
      <c r="CG82" s="100">
        <v>2543.9999999999995</v>
      </c>
      <c r="CH82" s="100">
        <v>7</v>
      </c>
      <c r="CI82" s="100">
        <v>3561.5999999999995</v>
      </c>
      <c r="CJ82" s="100">
        <v>9</v>
      </c>
      <c r="CK82" s="100">
        <v>4579.1999999999989</v>
      </c>
      <c r="CL82" s="100">
        <v>10</v>
      </c>
      <c r="CM82" s="100">
        <v>5087.9999999999991</v>
      </c>
      <c r="CN82" s="100">
        <v>10</v>
      </c>
      <c r="CO82" s="100">
        <v>5087.9999999999991</v>
      </c>
      <c r="CP82" s="100">
        <v>10</v>
      </c>
      <c r="CQ82" s="100">
        <v>5087.9999999999991</v>
      </c>
      <c r="CR82" s="100">
        <v>10</v>
      </c>
      <c r="CS82" s="100">
        <v>5087.9999999999991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8</v>
      </c>
      <c r="E83" s="100">
        <v>6883.2</v>
      </c>
      <c r="F83" s="100">
        <v>7.7333333333333334</v>
      </c>
      <c r="G83" s="100">
        <v>6653.76</v>
      </c>
      <c r="H83" s="100">
        <v>6.8292682926829267</v>
      </c>
      <c r="I83" s="100">
        <v>5875.9024390243903</v>
      </c>
      <c r="J83" s="100">
        <v>6.5333333333333332</v>
      </c>
      <c r="K83" s="100">
        <v>5621.28</v>
      </c>
      <c r="L83" s="100">
        <v>6.6666666666666661</v>
      </c>
      <c r="M83" s="100">
        <v>5735.9999999999991</v>
      </c>
      <c r="N83" s="100">
        <v>5</v>
      </c>
      <c r="O83" s="100">
        <v>4302</v>
      </c>
      <c r="P83" s="100">
        <v>5</v>
      </c>
      <c r="Q83" s="100">
        <v>4302</v>
      </c>
      <c r="R83" s="100">
        <v>6</v>
      </c>
      <c r="S83" s="100">
        <v>5162.3999999999996</v>
      </c>
      <c r="T83" s="100">
        <v>6</v>
      </c>
      <c r="U83" s="100">
        <v>5162.3999999999996</v>
      </c>
      <c r="V83" s="100">
        <v>9</v>
      </c>
      <c r="W83" s="100">
        <v>7743.5999999999995</v>
      </c>
      <c r="X83" s="100">
        <v>7</v>
      </c>
      <c r="Y83" s="100">
        <v>6022.8</v>
      </c>
      <c r="Z83" s="100">
        <v>8</v>
      </c>
      <c r="AA83" s="100">
        <v>6883.2</v>
      </c>
      <c r="AB83" s="100">
        <v>2.4855072463768115</v>
      </c>
      <c r="AC83" s="100">
        <v>2138.5304347826086</v>
      </c>
      <c r="AD83" s="100">
        <v>2.347349233402366E-22</v>
      </c>
      <c r="AE83" s="100">
        <v>2.0196592804193957E-19</v>
      </c>
      <c r="AF83" s="100">
        <v>1.1777640752959605E-22</v>
      </c>
      <c r="AG83" s="100">
        <v>1.0133482103846444E-19</v>
      </c>
      <c r="AH83" s="100">
        <v>1.3011824664197887E-22</v>
      </c>
      <c r="AI83" s="100">
        <v>1.1195373941075863E-19</v>
      </c>
      <c r="AJ83" s="100">
        <v>6.6272189349112427</v>
      </c>
      <c r="AK83" s="100">
        <v>5702.0591715976334</v>
      </c>
      <c r="AL83" s="100">
        <v>5</v>
      </c>
      <c r="AM83" s="100">
        <v>4302</v>
      </c>
      <c r="AN83" s="100">
        <v>5</v>
      </c>
      <c r="AO83" s="100">
        <v>4302</v>
      </c>
      <c r="AP83" s="100">
        <v>6</v>
      </c>
      <c r="AQ83" s="100">
        <v>5162.3999999999996</v>
      </c>
      <c r="AR83" s="100">
        <v>8</v>
      </c>
      <c r="AS83" s="100">
        <v>6883.2</v>
      </c>
      <c r="AT83" s="100">
        <v>6</v>
      </c>
      <c r="AU83" s="100">
        <v>5162.3999999999996</v>
      </c>
      <c r="AV83" s="100">
        <v>6</v>
      </c>
      <c r="AW83" s="100">
        <v>5162.3999999999996</v>
      </c>
      <c r="AX83" s="100">
        <v>9</v>
      </c>
      <c r="AY83" s="100">
        <v>7743.5999999999995</v>
      </c>
      <c r="AZ83" s="100">
        <v>5.0442212956946557</v>
      </c>
      <c r="BA83" s="100">
        <v>4340.0480028156817</v>
      </c>
      <c r="BB83" s="100">
        <v>1.5761060087664151E-22</v>
      </c>
      <c r="BC83" s="100">
        <v>1.3560816099426234E-19</v>
      </c>
      <c r="BD83" s="100">
        <v>1.129551510810161E-22</v>
      </c>
      <c r="BE83" s="100">
        <v>9.7186611990106246E-20</v>
      </c>
      <c r="BF83" s="100">
        <v>1.3339316874899001E-22</v>
      </c>
      <c r="BG83" s="100">
        <v>1.1477148239163099E-19</v>
      </c>
      <c r="BH83" s="100">
        <v>6</v>
      </c>
      <c r="BI83" s="100">
        <v>5162.3999999999996</v>
      </c>
      <c r="BJ83" s="100">
        <v>7.0656934306569337</v>
      </c>
      <c r="BK83" s="100">
        <v>6079.322627737226</v>
      </c>
      <c r="BL83" s="100">
        <v>5</v>
      </c>
      <c r="BM83" s="100">
        <v>4302</v>
      </c>
      <c r="BN83" s="100">
        <v>6.8010752688172049</v>
      </c>
      <c r="BO83" s="100">
        <v>5851.6451612903229</v>
      </c>
      <c r="BP83" s="100">
        <v>7.0707070707070709</v>
      </c>
      <c r="BQ83" s="100">
        <v>6083.636363636364</v>
      </c>
      <c r="BR83" s="100">
        <v>7.9545454545454541</v>
      </c>
      <c r="BS83" s="100">
        <v>6844.090909090909</v>
      </c>
      <c r="BT83" s="100">
        <v>6.4</v>
      </c>
      <c r="BU83" s="100">
        <v>5506.56</v>
      </c>
      <c r="BV83" s="100">
        <v>6</v>
      </c>
      <c r="BW83" s="100">
        <v>5162.3999999999996</v>
      </c>
      <c r="BX83" s="100">
        <v>6</v>
      </c>
      <c r="BY83" s="100">
        <v>5162.3999999999996</v>
      </c>
      <c r="BZ83" s="100">
        <v>6</v>
      </c>
      <c r="CA83" s="100">
        <v>5162.3999999999996</v>
      </c>
      <c r="CB83" s="100">
        <v>8.5263157894736832</v>
      </c>
      <c r="CC83" s="100">
        <v>7336.0421052631564</v>
      </c>
      <c r="CD83" s="100">
        <v>6</v>
      </c>
      <c r="CE83" s="100">
        <v>5162.3999999999996</v>
      </c>
      <c r="CF83" s="100">
        <v>5</v>
      </c>
      <c r="CG83" s="100">
        <v>4302</v>
      </c>
      <c r="CH83" s="100">
        <v>7</v>
      </c>
      <c r="CI83" s="100">
        <v>6022.8</v>
      </c>
      <c r="CJ83" s="100">
        <v>8</v>
      </c>
      <c r="CK83" s="100">
        <v>6883.2</v>
      </c>
      <c r="CL83" s="100">
        <v>10</v>
      </c>
      <c r="CM83" s="100">
        <v>8604</v>
      </c>
      <c r="CN83" s="100">
        <v>10</v>
      </c>
      <c r="CO83" s="100">
        <v>8604</v>
      </c>
      <c r="CP83" s="100">
        <v>10</v>
      </c>
      <c r="CQ83" s="100">
        <v>8604</v>
      </c>
      <c r="CR83" s="100">
        <v>9</v>
      </c>
      <c r="CS83" s="100">
        <v>7743.5999999999995</v>
      </c>
      <c r="CT83" s="100">
        <v>7</v>
      </c>
      <c r="CU83" s="100">
        <v>6022.8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6.7666666666666666</v>
      </c>
      <c r="G84" s="100">
        <v>5286.12</v>
      </c>
      <c r="H84" s="100">
        <v>7.6829268292682924</v>
      </c>
      <c r="I84" s="100">
        <v>6001.9024390243894</v>
      </c>
      <c r="J84" s="100">
        <v>7.4666666666666668</v>
      </c>
      <c r="K84" s="100">
        <v>5832.96</v>
      </c>
      <c r="L84" s="100">
        <v>7.5</v>
      </c>
      <c r="M84" s="100">
        <v>5858.9999999999991</v>
      </c>
      <c r="N84" s="100">
        <v>5</v>
      </c>
      <c r="O84" s="100">
        <v>3905.9999999999995</v>
      </c>
      <c r="P84" s="100">
        <v>5</v>
      </c>
      <c r="Q84" s="100">
        <v>3905.9999999999995</v>
      </c>
      <c r="R84" s="100">
        <v>5</v>
      </c>
      <c r="S84" s="100">
        <v>3905.9999999999995</v>
      </c>
      <c r="T84" s="100">
        <v>6</v>
      </c>
      <c r="U84" s="100">
        <v>4687.2</v>
      </c>
      <c r="V84" s="100">
        <v>8</v>
      </c>
      <c r="W84" s="100">
        <v>6249.5999999999995</v>
      </c>
      <c r="X84" s="100">
        <v>7</v>
      </c>
      <c r="Y84" s="100">
        <v>5468.4</v>
      </c>
      <c r="Z84" s="100">
        <v>8</v>
      </c>
      <c r="AA84" s="100">
        <v>6249.5999999999995</v>
      </c>
      <c r="AB84" s="100">
        <v>2.4855072463768115</v>
      </c>
      <c r="AC84" s="100">
        <v>1941.6782608695651</v>
      </c>
      <c r="AD84" s="100">
        <v>2.347349233402366E-22</v>
      </c>
      <c r="AE84" s="100">
        <v>1.8337492211339282E-19</v>
      </c>
      <c r="AF84" s="100">
        <v>1.3249845847079557E-22</v>
      </c>
      <c r="AG84" s="100">
        <v>1.0350779575738549E-19</v>
      </c>
      <c r="AH84" s="100">
        <v>1.3011824664197887E-22</v>
      </c>
      <c r="AI84" s="100">
        <v>1.0164837427671388E-19</v>
      </c>
      <c r="AJ84" s="100">
        <v>7.4556213017751478</v>
      </c>
      <c r="AK84" s="100">
        <v>5824.331360946745</v>
      </c>
      <c r="AL84" s="100">
        <v>5</v>
      </c>
      <c r="AM84" s="100">
        <v>3905.9999999999995</v>
      </c>
      <c r="AN84" s="100">
        <v>5</v>
      </c>
      <c r="AO84" s="100">
        <v>3905.9999999999995</v>
      </c>
      <c r="AP84" s="100">
        <v>7</v>
      </c>
      <c r="AQ84" s="100">
        <v>5468.4</v>
      </c>
      <c r="AR84" s="100">
        <v>8</v>
      </c>
      <c r="AS84" s="100">
        <v>6249.5999999999995</v>
      </c>
      <c r="AT84" s="100">
        <v>6</v>
      </c>
      <c r="AU84" s="100">
        <v>4687.2</v>
      </c>
      <c r="AV84" s="100">
        <v>6</v>
      </c>
      <c r="AW84" s="100">
        <v>4687.2</v>
      </c>
      <c r="AX84" s="100">
        <v>9</v>
      </c>
      <c r="AY84" s="100">
        <v>7030.7999999999993</v>
      </c>
      <c r="AZ84" s="100">
        <v>5.0442212956946557</v>
      </c>
      <c r="BA84" s="100">
        <v>3940.5456761966648</v>
      </c>
      <c r="BB84" s="100">
        <v>1.5761060087664151E-22</v>
      </c>
      <c r="BC84" s="100">
        <v>1.2312540140483234E-19</v>
      </c>
      <c r="BD84" s="100">
        <v>1.270745449661431E-22</v>
      </c>
      <c r="BE84" s="100">
        <v>9.9270634527550978E-20</v>
      </c>
      <c r="BF84" s="100">
        <v>1.3339316874899001E-22</v>
      </c>
      <c r="BG84" s="100">
        <v>1.0420674342671099E-19</v>
      </c>
      <c r="BH84" s="100">
        <v>5</v>
      </c>
      <c r="BI84" s="100">
        <v>3905.9999999999995</v>
      </c>
      <c r="BJ84" s="100">
        <v>6.1824817518248176</v>
      </c>
      <c r="BK84" s="100">
        <v>4829.7547445255468</v>
      </c>
      <c r="BL84" s="100">
        <v>5</v>
      </c>
      <c r="BM84" s="100">
        <v>3905.9999999999995</v>
      </c>
      <c r="BN84" s="100">
        <v>6.8010752688172049</v>
      </c>
      <c r="BO84" s="100">
        <v>5313</v>
      </c>
      <c r="BP84" s="100">
        <v>6.3636363636363642</v>
      </c>
      <c r="BQ84" s="100">
        <v>4971.272727272727</v>
      </c>
      <c r="BR84" s="100">
        <v>7.9545454545454541</v>
      </c>
      <c r="BS84" s="100">
        <v>6214.0909090909081</v>
      </c>
      <c r="BT84" s="100">
        <v>7.2</v>
      </c>
      <c r="BU84" s="100">
        <v>5624.6399999999994</v>
      </c>
      <c r="BV84" s="100">
        <v>7</v>
      </c>
      <c r="BW84" s="100">
        <v>5468.4</v>
      </c>
      <c r="BX84" s="100">
        <v>7</v>
      </c>
      <c r="BY84" s="100">
        <v>5468.4</v>
      </c>
      <c r="BZ84" s="100">
        <v>7</v>
      </c>
      <c r="CA84" s="100">
        <v>5468.4</v>
      </c>
      <c r="CB84" s="100">
        <v>8.5263157894736832</v>
      </c>
      <c r="CC84" s="100">
        <v>6660.7578947368411</v>
      </c>
      <c r="CD84" s="100">
        <v>6</v>
      </c>
      <c r="CE84" s="100">
        <v>4687.2</v>
      </c>
      <c r="CF84" s="100">
        <v>5</v>
      </c>
      <c r="CG84" s="100">
        <v>3905.9999999999995</v>
      </c>
      <c r="CH84" s="100">
        <v>7</v>
      </c>
      <c r="CI84" s="100">
        <v>5468.4</v>
      </c>
      <c r="CJ84" s="100">
        <v>7</v>
      </c>
      <c r="CK84" s="100">
        <v>5468.4</v>
      </c>
      <c r="CL84" s="100">
        <v>11</v>
      </c>
      <c r="CM84" s="100">
        <v>8593.1999999999989</v>
      </c>
      <c r="CN84" s="100">
        <v>10</v>
      </c>
      <c r="CO84" s="100">
        <v>7811.9999999999991</v>
      </c>
      <c r="CP84" s="100">
        <v>11</v>
      </c>
      <c r="CQ84" s="100">
        <v>8593.1999999999989</v>
      </c>
      <c r="CR84" s="100">
        <v>10</v>
      </c>
      <c r="CS84" s="100">
        <v>7811.9999999999991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8</v>
      </c>
      <c r="E85" s="100">
        <v>1200</v>
      </c>
      <c r="F85" s="100">
        <v>7.7333333333333334</v>
      </c>
      <c r="G85" s="100">
        <v>1160</v>
      </c>
      <c r="H85" s="100">
        <v>7.6829268292682924</v>
      </c>
      <c r="I85" s="100">
        <v>1152.439024390244</v>
      </c>
      <c r="J85" s="100">
        <v>7.4666666666666668</v>
      </c>
      <c r="K85" s="100">
        <v>1120</v>
      </c>
      <c r="L85" s="100">
        <v>7.5</v>
      </c>
      <c r="M85" s="100">
        <v>1125</v>
      </c>
      <c r="N85" s="100">
        <v>5</v>
      </c>
      <c r="O85" s="100">
        <v>750</v>
      </c>
      <c r="P85" s="100">
        <v>6</v>
      </c>
      <c r="Q85" s="100">
        <v>900</v>
      </c>
      <c r="R85" s="100">
        <v>6</v>
      </c>
      <c r="S85" s="100">
        <v>900</v>
      </c>
      <c r="T85" s="100">
        <v>7</v>
      </c>
      <c r="U85" s="100">
        <v>1050</v>
      </c>
      <c r="V85" s="100">
        <v>8</v>
      </c>
      <c r="W85" s="100">
        <v>1200</v>
      </c>
      <c r="X85" s="100">
        <v>8</v>
      </c>
      <c r="Y85" s="100">
        <v>1200</v>
      </c>
      <c r="Z85" s="100">
        <v>9</v>
      </c>
      <c r="AA85" s="100">
        <v>1350</v>
      </c>
      <c r="AB85" s="100">
        <v>2.8405797101449277</v>
      </c>
      <c r="AC85" s="100">
        <v>426.08695652173918</v>
      </c>
      <c r="AD85" s="100">
        <v>2.6826848381741322E-22</v>
      </c>
      <c r="AE85" s="100">
        <v>4.0240272572611981E-20</v>
      </c>
      <c r="AF85" s="100">
        <v>1.3249845847079557E-22</v>
      </c>
      <c r="AG85" s="100">
        <v>1.9874768770619336E-20</v>
      </c>
      <c r="AH85" s="100">
        <v>1.15660663681759E-22</v>
      </c>
      <c r="AI85" s="100">
        <v>1.7349099552263848E-20</v>
      </c>
      <c r="AJ85" s="100">
        <v>7.4556213017751478</v>
      </c>
      <c r="AK85" s="100">
        <v>1118.3431952662722</v>
      </c>
      <c r="AL85" s="100">
        <v>5</v>
      </c>
      <c r="AM85" s="100">
        <v>750</v>
      </c>
      <c r="AN85" s="100">
        <v>7</v>
      </c>
      <c r="AO85" s="100">
        <v>1050</v>
      </c>
      <c r="AP85" s="100">
        <v>8</v>
      </c>
      <c r="AQ85" s="100">
        <v>1200</v>
      </c>
      <c r="AR85" s="100">
        <v>10</v>
      </c>
      <c r="AS85" s="100">
        <v>1500</v>
      </c>
      <c r="AT85" s="100">
        <v>6</v>
      </c>
      <c r="AU85" s="100">
        <v>900</v>
      </c>
      <c r="AV85" s="100">
        <v>6</v>
      </c>
      <c r="AW85" s="100">
        <v>900</v>
      </c>
      <c r="AX85" s="100">
        <v>10</v>
      </c>
      <c r="AY85" s="100">
        <v>1500</v>
      </c>
      <c r="AZ85" s="100">
        <v>5.0442212956946557</v>
      </c>
      <c r="BA85" s="100">
        <v>756.63319435419839</v>
      </c>
      <c r="BB85" s="100">
        <v>1.7731192598622172E-22</v>
      </c>
      <c r="BC85" s="100">
        <v>2.659678889793326E-20</v>
      </c>
      <c r="BD85" s="100">
        <v>1.270745449661431E-22</v>
      </c>
      <c r="BE85" s="100">
        <v>1.9061181744921465E-20</v>
      </c>
      <c r="BF85" s="100">
        <v>1.3339316874899001E-22</v>
      </c>
      <c r="BG85" s="100">
        <v>2.0008975312348502E-20</v>
      </c>
      <c r="BH85" s="100">
        <v>5</v>
      </c>
      <c r="BI85" s="100">
        <v>750</v>
      </c>
      <c r="BJ85" s="100">
        <v>7.0656934306569337</v>
      </c>
      <c r="BK85" s="100">
        <v>1059.8540145985401</v>
      </c>
      <c r="BL85" s="100">
        <v>6</v>
      </c>
      <c r="BM85" s="100">
        <v>900</v>
      </c>
      <c r="BN85" s="100">
        <v>6.182795698924731</v>
      </c>
      <c r="BO85" s="100">
        <v>927.41935483870964</v>
      </c>
      <c r="BP85" s="100">
        <v>7.7777777777777777</v>
      </c>
      <c r="BQ85" s="100">
        <v>1166.6666666666667</v>
      </c>
      <c r="BR85" s="100">
        <v>7.9545454545454541</v>
      </c>
      <c r="BS85" s="100">
        <v>1193.181818181818</v>
      </c>
      <c r="BT85" s="100">
        <v>8</v>
      </c>
      <c r="BU85" s="100">
        <v>1200</v>
      </c>
      <c r="BV85" s="100">
        <v>6</v>
      </c>
      <c r="BW85" s="100">
        <v>900</v>
      </c>
      <c r="BX85" s="100">
        <v>8</v>
      </c>
      <c r="BY85" s="100">
        <v>1200</v>
      </c>
      <c r="BZ85" s="100">
        <v>7</v>
      </c>
      <c r="CA85" s="100">
        <v>1050</v>
      </c>
      <c r="CB85" s="100">
        <v>9.378947368421052</v>
      </c>
      <c r="CC85" s="100">
        <v>1406.8421052631579</v>
      </c>
      <c r="CD85" s="100">
        <v>6</v>
      </c>
      <c r="CE85" s="100">
        <v>900</v>
      </c>
      <c r="CF85" s="100">
        <v>6</v>
      </c>
      <c r="CG85" s="100">
        <v>900</v>
      </c>
      <c r="CH85" s="100">
        <v>8</v>
      </c>
      <c r="CI85" s="100">
        <v>1200</v>
      </c>
      <c r="CJ85" s="100">
        <v>9</v>
      </c>
      <c r="CK85" s="100">
        <v>1350</v>
      </c>
      <c r="CL85" s="100">
        <v>11</v>
      </c>
      <c r="CM85" s="100">
        <v>1650</v>
      </c>
      <c r="CN85" s="100">
        <v>9</v>
      </c>
      <c r="CO85" s="100">
        <v>1350</v>
      </c>
      <c r="CP85" s="100">
        <v>10</v>
      </c>
      <c r="CQ85" s="100">
        <v>1500</v>
      </c>
      <c r="CR85" s="100">
        <v>12</v>
      </c>
      <c r="CS85" s="100">
        <v>1800</v>
      </c>
      <c r="CT85" s="100">
        <v>9</v>
      </c>
      <c r="CU85" s="100">
        <v>1350</v>
      </c>
    </row>
    <row r="86" spans="2:99">
      <c r="C86" s="99" t="s">
        <v>252</v>
      </c>
      <c r="D86" s="100">
        <v>8</v>
      </c>
      <c r="E86" s="100">
        <v>4320</v>
      </c>
      <c r="F86" s="100">
        <v>6.7666666666666666</v>
      </c>
      <c r="G86" s="100">
        <v>3654</v>
      </c>
      <c r="H86" s="100">
        <v>6.8292682926829267</v>
      </c>
      <c r="I86" s="100">
        <v>3687.8048780487802</v>
      </c>
      <c r="J86" s="100">
        <v>6.5333333333333332</v>
      </c>
      <c r="K86" s="100">
        <v>3528</v>
      </c>
      <c r="L86" s="100">
        <v>7.5</v>
      </c>
      <c r="M86" s="100">
        <v>4050</v>
      </c>
      <c r="N86" s="100">
        <v>6</v>
      </c>
      <c r="O86" s="100">
        <v>3240</v>
      </c>
      <c r="P86" s="100">
        <v>6</v>
      </c>
      <c r="Q86" s="100">
        <v>3240</v>
      </c>
      <c r="R86" s="100">
        <v>5</v>
      </c>
      <c r="S86" s="100">
        <v>2700</v>
      </c>
      <c r="T86" s="100">
        <v>6</v>
      </c>
      <c r="U86" s="100">
        <v>3240</v>
      </c>
      <c r="V86" s="100">
        <v>9</v>
      </c>
      <c r="W86" s="100">
        <v>4860</v>
      </c>
      <c r="X86" s="100">
        <v>8</v>
      </c>
      <c r="Y86" s="100">
        <v>4320</v>
      </c>
      <c r="Z86" s="100">
        <v>8</v>
      </c>
      <c r="AA86" s="100">
        <v>4320</v>
      </c>
      <c r="AB86" s="100">
        <v>2.8405797101449277</v>
      </c>
      <c r="AC86" s="100">
        <v>1533.913043478261</v>
      </c>
      <c r="AD86" s="100">
        <v>2.347349233402366E-22</v>
      </c>
      <c r="AE86" s="100">
        <v>1.2675685860372776E-19</v>
      </c>
      <c r="AF86" s="100">
        <v>1.4722050941199506E-22</v>
      </c>
      <c r="AG86" s="100">
        <v>7.9499075082477331E-20</v>
      </c>
      <c r="AH86" s="100">
        <v>1.3011824664197887E-22</v>
      </c>
      <c r="AI86" s="100">
        <v>7.0263853186668596E-20</v>
      </c>
      <c r="AJ86" s="100">
        <v>7.4556213017751478</v>
      </c>
      <c r="AK86" s="100">
        <v>4026.0355029585799</v>
      </c>
      <c r="AL86" s="100">
        <v>5</v>
      </c>
      <c r="AM86" s="100">
        <v>2700</v>
      </c>
      <c r="AN86" s="100">
        <v>5</v>
      </c>
      <c r="AO86" s="100">
        <v>2700</v>
      </c>
      <c r="AP86" s="100">
        <v>7</v>
      </c>
      <c r="AQ86" s="100">
        <v>3780</v>
      </c>
      <c r="AR86" s="100">
        <v>9</v>
      </c>
      <c r="AS86" s="100">
        <v>4860</v>
      </c>
      <c r="AT86" s="100">
        <v>6</v>
      </c>
      <c r="AU86" s="100">
        <v>3240</v>
      </c>
      <c r="AV86" s="100">
        <v>6</v>
      </c>
      <c r="AW86" s="100">
        <v>3240</v>
      </c>
      <c r="AX86" s="100">
        <v>10</v>
      </c>
      <c r="AY86" s="100">
        <v>5400</v>
      </c>
      <c r="AZ86" s="100">
        <v>5.0442212956946557</v>
      </c>
      <c r="BA86" s="100">
        <v>2723.8794996751139</v>
      </c>
      <c r="BB86" s="100">
        <v>1.7731192598622172E-22</v>
      </c>
      <c r="BC86" s="100">
        <v>9.5748440032559725E-20</v>
      </c>
      <c r="BD86" s="100">
        <v>1.4119393885127012E-22</v>
      </c>
      <c r="BE86" s="100">
        <v>7.6244726979685871E-20</v>
      </c>
      <c r="BF86" s="100">
        <v>1.3339316874899001E-22</v>
      </c>
      <c r="BG86" s="100">
        <v>7.20323111244546E-20</v>
      </c>
      <c r="BH86" s="100">
        <v>5</v>
      </c>
      <c r="BI86" s="100">
        <v>2700</v>
      </c>
      <c r="BJ86" s="100">
        <v>7.0656934306569337</v>
      </c>
      <c r="BK86" s="100">
        <v>3815.4744525547444</v>
      </c>
      <c r="BL86" s="100">
        <v>6</v>
      </c>
      <c r="BM86" s="100">
        <v>3240</v>
      </c>
      <c r="BN86" s="100">
        <v>6.182795698924731</v>
      </c>
      <c r="BO86" s="100">
        <v>3338.7096774193546</v>
      </c>
      <c r="BP86" s="100">
        <v>7.7777777777777777</v>
      </c>
      <c r="BQ86" s="100">
        <v>4200</v>
      </c>
      <c r="BR86" s="100">
        <v>7.1590909090909092</v>
      </c>
      <c r="BS86" s="100">
        <v>3865.909090909091</v>
      </c>
      <c r="BT86" s="100">
        <v>8</v>
      </c>
      <c r="BU86" s="100">
        <v>4320</v>
      </c>
      <c r="BV86" s="100">
        <v>6</v>
      </c>
      <c r="BW86" s="100">
        <v>3240</v>
      </c>
      <c r="BX86" s="100">
        <v>7</v>
      </c>
      <c r="BY86" s="100">
        <v>3780</v>
      </c>
      <c r="BZ86" s="100">
        <v>7</v>
      </c>
      <c r="CA86" s="100">
        <v>3780</v>
      </c>
      <c r="CB86" s="100">
        <v>8.5263157894736832</v>
      </c>
      <c r="CC86" s="100">
        <v>4604.2105263157891</v>
      </c>
      <c r="CD86" s="100">
        <v>6</v>
      </c>
      <c r="CE86" s="100">
        <v>3240</v>
      </c>
      <c r="CF86" s="100">
        <v>6</v>
      </c>
      <c r="CG86" s="100">
        <v>3240</v>
      </c>
      <c r="CH86" s="100">
        <v>7</v>
      </c>
      <c r="CI86" s="100">
        <v>3780</v>
      </c>
      <c r="CJ86" s="100">
        <v>8</v>
      </c>
      <c r="CK86" s="100">
        <v>4320</v>
      </c>
      <c r="CL86" s="100">
        <v>11</v>
      </c>
      <c r="CM86" s="100">
        <v>5940</v>
      </c>
      <c r="CN86" s="100">
        <v>10</v>
      </c>
      <c r="CO86" s="100">
        <v>5400</v>
      </c>
      <c r="CP86" s="100">
        <v>10</v>
      </c>
      <c r="CQ86" s="100">
        <v>5400</v>
      </c>
      <c r="CR86" s="100">
        <v>9</v>
      </c>
      <c r="CS86" s="100">
        <v>4860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9</v>
      </c>
      <c r="G87" s="100">
        <v>9666</v>
      </c>
      <c r="H87" s="100">
        <v>10</v>
      </c>
      <c r="I87" s="100">
        <v>10740</v>
      </c>
      <c r="J87" s="100">
        <v>8</v>
      </c>
      <c r="K87" s="100">
        <v>8592</v>
      </c>
      <c r="L87" s="100">
        <v>9</v>
      </c>
      <c r="M87" s="100">
        <v>9666</v>
      </c>
      <c r="N87" s="100">
        <v>7.2340425531914843</v>
      </c>
      <c r="O87" s="100">
        <v>7769.3617021276541</v>
      </c>
      <c r="P87" s="100">
        <v>7.6555023923444976</v>
      </c>
      <c r="Q87" s="100">
        <v>8222.0095693779913</v>
      </c>
      <c r="R87" s="100">
        <v>9.4117647058823533</v>
      </c>
      <c r="S87" s="100">
        <v>10108.235294117647</v>
      </c>
      <c r="T87" s="100">
        <v>8</v>
      </c>
      <c r="U87" s="100">
        <v>8592</v>
      </c>
      <c r="V87" s="100">
        <v>8</v>
      </c>
      <c r="W87" s="100">
        <v>8592</v>
      </c>
      <c r="X87" s="100">
        <v>8</v>
      </c>
      <c r="Y87" s="100">
        <v>8592</v>
      </c>
      <c r="Z87" s="100">
        <v>6</v>
      </c>
      <c r="AA87" s="100">
        <v>6444</v>
      </c>
      <c r="AB87" s="100">
        <v>7</v>
      </c>
      <c r="AC87" s="100">
        <v>7518</v>
      </c>
      <c r="AD87" s="100">
        <v>6</v>
      </c>
      <c r="AE87" s="100">
        <v>6444</v>
      </c>
      <c r="AF87" s="100">
        <v>11</v>
      </c>
      <c r="AG87" s="100">
        <v>11814</v>
      </c>
      <c r="AH87" s="100">
        <v>10</v>
      </c>
      <c r="AI87" s="100">
        <v>10740</v>
      </c>
      <c r="AJ87" s="100">
        <v>7</v>
      </c>
      <c r="AK87" s="100">
        <v>7518</v>
      </c>
      <c r="AL87" s="100">
        <v>8</v>
      </c>
      <c r="AM87" s="100">
        <v>8592</v>
      </c>
      <c r="AN87" s="100">
        <v>8</v>
      </c>
      <c r="AO87" s="100">
        <v>8592</v>
      </c>
      <c r="AP87" s="100">
        <v>12</v>
      </c>
      <c r="AQ87" s="100">
        <v>12888</v>
      </c>
      <c r="AR87" s="100">
        <v>7</v>
      </c>
      <c r="AS87" s="100">
        <v>7518</v>
      </c>
      <c r="AT87" s="100">
        <v>5.5517241379310205</v>
      </c>
      <c r="AU87" s="100">
        <v>5962.5517241379157</v>
      </c>
      <c r="AV87" s="100">
        <v>5.1968809133397049E-21</v>
      </c>
      <c r="AW87" s="100">
        <v>5.5814501009268431E-18</v>
      </c>
      <c r="AX87" s="100">
        <v>1.5132160851532386E-21</v>
      </c>
      <c r="AY87" s="100">
        <v>1.6251940754545784E-18</v>
      </c>
      <c r="AZ87" s="100">
        <v>2.7673651495997449</v>
      </c>
      <c r="BA87" s="100">
        <v>2972.150170670126</v>
      </c>
      <c r="BB87" s="100">
        <v>8.4112149532710259</v>
      </c>
      <c r="BC87" s="100">
        <v>9033.644859813081</v>
      </c>
      <c r="BD87" s="100">
        <v>11.453744493392069</v>
      </c>
      <c r="BE87" s="100">
        <v>12301.321585903082</v>
      </c>
      <c r="BF87" s="100">
        <v>7</v>
      </c>
      <c r="BG87" s="100">
        <v>7518</v>
      </c>
      <c r="BH87" s="100">
        <v>6</v>
      </c>
      <c r="BI87" s="100">
        <v>6444</v>
      </c>
      <c r="BJ87" s="100">
        <v>9</v>
      </c>
      <c r="BK87" s="100">
        <v>9666</v>
      </c>
      <c r="BL87" s="100">
        <v>8</v>
      </c>
      <c r="BM87" s="100">
        <v>8592</v>
      </c>
      <c r="BN87" s="100">
        <v>7</v>
      </c>
      <c r="BO87" s="100">
        <v>7518</v>
      </c>
      <c r="BP87" s="100">
        <v>13</v>
      </c>
      <c r="BQ87" s="100">
        <v>13962</v>
      </c>
      <c r="BR87" s="100">
        <v>12</v>
      </c>
      <c r="BS87" s="100">
        <v>12888</v>
      </c>
      <c r="BT87" s="100">
        <v>12.890295358649777</v>
      </c>
      <c r="BU87" s="100">
        <v>13844.17721518986</v>
      </c>
      <c r="BV87" s="100">
        <v>7.8260869565217384</v>
      </c>
      <c r="BW87" s="100">
        <v>8405.2173913043462</v>
      </c>
      <c r="BX87" s="100">
        <v>7</v>
      </c>
      <c r="BY87" s="100">
        <v>7518</v>
      </c>
      <c r="BZ87" s="100">
        <v>10</v>
      </c>
      <c r="CA87" s="100">
        <v>10740</v>
      </c>
      <c r="CB87" s="100">
        <v>6</v>
      </c>
      <c r="CC87" s="100">
        <v>6444</v>
      </c>
      <c r="CD87" s="100">
        <v>9</v>
      </c>
      <c r="CE87" s="100">
        <v>9666</v>
      </c>
      <c r="CF87" s="100">
        <v>7</v>
      </c>
      <c r="CG87" s="100">
        <v>7518</v>
      </c>
      <c r="CH87" s="100">
        <v>9</v>
      </c>
      <c r="CI87" s="100">
        <v>9666</v>
      </c>
      <c r="CJ87" s="100">
        <v>11</v>
      </c>
      <c r="CK87" s="100">
        <v>11814</v>
      </c>
      <c r="CL87" s="100">
        <v>12</v>
      </c>
      <c r="CM87" s="100">
        <v>12888</v>
      </c>
      <c r="CN87" s="100">
        <v>10</v>
      </c>
      <c r="CO87" s="100">
        <v>10740</v>
      </c>
      <c r="CP87" s="100">
        <v>12</v>
      </c>
      <c r="CQ87" s="100">
        <v>12888</v>
      </c>
      <c r="CR87" s="100">
        <v>11</v>
      </c>
      <c r="CS87" s="100">
        <v>11814</v>
      </c>
      <c r="CT87" s="100">
        <v>9</v>
      </c>
      <c r="CU87" s="100">
        <v>9666</v>
      </c>
    </row>
    <row r="88" spans="2:99">
      <c r="C88" s="99" t="s">
        <v>254</v>
      </c>
      <c r="D88" s="100">
        <v>11</v>
      </c>
      <c r="E88" s="100">
        <v>10916.4</v>
      </c>
      <c r="F88" s="100">
        <v>9</v>
      </c>
      <c r="G88" s="100">
        <v>8931.6</v>
      </c>
      <c r="H88" s="100">
        <v>10</v>
      </c>
      <c r="I88" s="100">
        <v>9924</v>
      </c>
      <c r="J88" s="100">
        <v>7</v>
      </c>
      <c r="K88" s="100">
        <v>6946.8</v>
      </c>
      <c r="L88" s="100">
        <v>9</v>
      </c>
      <c r="M88" s="100">
        <v>8931.6</v>
      </c>
      <c r="N88" s="100">
        <v>8.6808510638297811</v>
      </c>
      <c r="O88" s="100">
        <v>8614.876595744674</v>
      </c>
      <c r="P88" s="100">
        <v>7.6555023923444976</v>
      </c>
      <c r="Q88" s="100">
        <v>7597.3205741626789</v>
      </c>
      <c r="R88" s="100">
        <v>8.5561497326203213</v>
      </c>
      <c r="S88" s="100">
        <v>8491.1229946524072</v>
      </c>
      <c r="T88" s="100">
        <v>8</v>
      </c>
      <c r="U88" s="100">
        <v>7939.2</v>
      </c>
      <c r="V88" s="100">
        <v>9</v>
      </c>
      <c r="W88" s="100">
        <v>8931.6</v>
      </c>
      <c r="X88" s="100">
        <v>8</v>
      </c>
      <c r="Y88" s="100">
        <v>7939.2</v>
      </c>
      <c r="Z88" s="100">
        <v>7</v>
      </c>
      <c r="AA88" s="100">
        <v>6946.8</v>
      </c>
      <c r="AB88" s="100">
        <v>8</v>
      </c>
      <c r="AC88" s="100">
        <v>7939.2</v>
      </c>
      <c r="AD88" s="100">
        <v>6</v>
      </c>
      <c r="AE88" s="100">
        <v>5954.4</v>
      </c>
      <c r="AF88" s="100">
        <v>11</v>
      </c>
      <c r="AG88" s="100">
        <v>10916.4</v>
      </c>
      <c r="AH88" s="100">
        <v>9</v>
      </c>
      <c r="AI88" s="100">
        <v>8931.6</v>
      </c>
      <c r="AJ88" s="100">
        <v>7</v>
      </c>
      <c r="AK88" s="100">
        <v>6946.8</v>
      </c>
      <c r="AL88" s="100">
        <v>9</v>
      </c>
      <c r="AM88" s="100">
        <v>8931.6</v>
      </c>
      <c r="AN88" s="100">
        <v>9</v>
      </c>
      <c r="AO88" s="100">
        <v>8931.6</v>
      </c>
      <c r="AP88" s="100">
        <v>11</v>
      </c>
      <c r="AQ88" s="100">
        <v>10916.4</v>
      </c>
      <c r="AR88" s="100">
        <v>7</v>
      </c>
      <c r="AS88" s="100">
        <v>6946.8</v>
      </c>
      <c r="AT88" s="100">
        <v>5.5517241379310205</v>
      </c>
      <c r="AU88" s="100">
        <v>5509.5310344827449</v>
      </c>
      <c r="AV88" s="100">
        <v>4.7971208430828044E-21</v>
      </c>
      <c r="AW88" s="100">
        <v>4.7606627246753753E-18</v>
      </c>
      <c r="AX88" s="100">
        <v>1.5132160851532386E-21</v>
      </c>
      <c r="AY88" s="100">
        <v>1.501715642906074E-18</v>
      </c>
      <c r="AZ88" s="100">
        <v>2.7673651495997449</v>
      </c>
      <c r="BA88" s="100">
        <v>2746.3331744627867</v>
      </c>
      <c r="BB88" s="100">
        <v>10.2803738317757</v>
      </c>
      <c r="BC88" s="100">
        <v>10202.242990654204</v>
      </c>
      <c r="BD88" s="100">
        <v>10.572687224669602</v>
      </c>
      <c r="BE88" s="100">
        <v>10492.334801762114</v>
      </c>
      <c r="BF88" s="100">
        <v>8</v>
      </c>
      <c r="BG88" s="100">
        <v>7939.2</v>
      </c>
      <c r="BH88" s="100">
        <v>7</v>
      </c>
      <c r="BI88" s="100">
        <v>6946.8</v>
      </c>
      <c r="BJ88" s="100">
        <v>10</v>
      </c>
      <c r="BK88" s="100">
        <v>9924</v>
      </c>
      <c r="BL88" s="100">
        <v>7</v>
      </c>
      <c r="BM88" s="100">
        <v>6946.8</v>
      </c>
      <c r="BN88" s="100">
        <v>7</v>
      </c>
      <c r="BO88" s="100">
        <v>6946.8</v>
      </c>
      <c r="BP88" s="100">
        <v>12</v>
      </c>
      <c r="BQ88" s="100">
        <v>11908.8</v>
      </c>
      <c r="BR88" s="100">
        <v>11</v>
      </c>
      <c r="BS88" s="100">
        <v>10916.4</v>
      </c>
      <c r="BT88" s="100">
        <v>10.907172995780581</v>
      </c>
      <c r="BU88" s="100">
        <v>10824.278481012649</v>
      </c>
      <c r="BV88" s="100">
        <v>9.5652173913043459</v>
      </c>
      <c r="BW88" s="100">
        <v>9492.5217391304323</v>
      </c>
      <c r="BX88" s="100">
        <v>7</v>
      </c>
      <c r="BY88" s="100">
        <v>6946.8</v>
      </c>
      <c r="BZ88" s="100">
        <v>11</v>
      </c>
      <c r="CA88" s="100">
        <v>10916.4</v>
      </c>
      <c r="CB88" s="100">
        <v>6</v>
      </c>
      <c r="CC88" s="100">
        <v>5954.4</v>
      </c>
      <c r="CD88" s="100">
        <v>10</v>
      </c>
      <c r="CE88" s="100">
        <v>9924</v>
      </c>
      <c r="CF88" s="100">
        <v>7</v>
      </c>
      <c r="CG88" s="100">
        <v>6946.8</v>
      </c>
      <c r="CH88" s="100">
        <v>9</v>
      </c>
      <c r="CI88" s="100">
        <v>8931.6</v>
      </c>
      <c r="CJ88" s="100">
        <v>11</v>
      </c>
      <c r="CK88" s="100">
        <v>10916.4</v>
      </c>
      <c r="CL88" s="100">
        <v>12</v>
      </c>
      <c r="CM88" s="100">
        <v>11908.8</v>
      </c>
      <c r="CN88" s="100">
        <v>9</v>
      </c>
      <c r="CO88" s="100">
        <v>8931.6</v>
      </c>
      <c r="CP88" s="100">
        <v>12</v>
      </c>
      <c r="CQ88" s="100">
        <v>11908.8</v>
      </c>
      <c r="CR88" s="100">
        <v>12</v>
      </c>
      <c r="CS88" s="100">
        <v>11908.8</v>
      </c>
      <c r="CT88" s="100">
        <v>8</v>
      </c>
      <c r="CU88" s="100">
        <v>7939.2</v>
      </c>
    </row>
    <row r="89" spans="2:99">
      <c r="C89" s="99" t="s">
        <v>255</v>
      </c>
      <c r="D89" s="100">
        <v>11</v>
      </c>
      <c r="E89" s="100">
        <v>11682</v>
      </c>
      <c r="F89" s="100">
        <v>9</v>
      </c>
      <c r="G89" s="100">
        <v>9558</v>
      </c>
      <c r="H89" s="100">
        <v>10</v>
      </c>
      <c r="I89" s="100">
        <v>10620</v>
      </c>
      <c r="J89" s="100">
        <v>8</v>
      </c>
      <c r="K89" s="100">
        <v>8496</v>
      </c>
      <c r="L89" s="100">
        <v>9</v>
      </c>
      <c r="M89" s="100">
        <v>9558</v>
      </c>
      <c r="N89" s="100">
        <v>7.2340425531914843</v>
      </c>
      <c r="O89" s="100">
        <v>7682.5531914893563</v>
      </c>
      <c r="P89" s="100">
        <v>7.6555023923444976</v>
      </c>
      <c r="Q89" s="100">
        <v>8130.1435406698565</v>
      </c>
      <c r="R89" s="100">
        <v>9.4117647058823533</v>
      </c>
      <c r="S89" s="100">
        <v>9995.2941176470595</v>
      </c>
      <c r="T89" s="100">
        <v>8</v>
      </c>
      <c r="U89" s="100">
        <v>8496</v>
      </c>
      <c r="V89" s="100">
        <v>9</v>
      </c>
      <c r="W89" s="100">
        <v>9558</v>
      </c>
      <c r="X89" s="100">
        <v>7</v>
      </c>
      <c r="Y89" s="100">
        <v>7434</v>
      </c>
      <c r="Z89" s="100">
        <v>6</v>
      </c>
      <c r="AA89" s="100">
        <v>6372</v>
      </c>
      <c r="AB89" s="100">
        <v>7</v>
      </c>
      <c r="AC89" s="100">
        <v>7434</v>
      </c>
      <c r="AD89" s="100">
        <v>5</v>
      </c>
      <c r="AE89" s="100">
        <v>5310</v>
      </c>
      <c r="AF89" s="100">
        <v>12</v>
      </c>
      <c r="AG89" s="100">
        <v>12744</v>
      </c>
      <c r="AH89" s="100">
        <v>9</v>
      </c>
      <c r="AI89" s="100">
        <v>9558</v>
      </c>
      <c r="AJ89" s="100">
        <v>7</v>
      </c>
      <c r="AK89" s="100">
        <v>7434</v>
      </c>
      <c r="AL89" s="100">
        <v>9</v>
      </c>
      <c r="AM89" s="100">
        <v>9558</v>
      </c>
      <c r="AN89" s="100">
        <v>8</v>
      </c>
      <c r="AO89" s="100">
        <v>8496</v>
      </c>
      <c r="AP89" s="100">
        <v>11</v>
      </c>
      <c r="AQ89" s="100">
        <v>11682</v>
      </c>
      <c r="AR89" s="100">
        <v>7</v>
      </c>
      <c r="AS89" s="100">
        <v>7434</v>
      </c>
      <c r="AT89" s="100">
        <v>5.5517241379310205</v>
      </c>
      <c r="AU89" s="100">
        <v>5895.9310344827436</v>
      </c>
      <c r="AV89" s="100">
        <v>5.1968809133397049E-21</v>
      </c>
      <c r="AW89" s="100">
        <v>5.5190875299667667E-18</v>
      </c>
      <c r="AX89" s="100">
        <v>1.3618944766379149E-21</v>
      </c>
      <c r="AY89" s="100">
        <v>1.4463319341894655E-18</v>
      </c>
      <c r="AZ89" s="100">
        <v>3.1627030281139943</v>
      </c>
      <c r="BA89" s="100">
        <v>3358.7906158570618</v>
      </c>
      <c r="BB89" s="100">
        <v>8.4112149532710259</v>
      </c>
      <c r="BC89" s="100">
        <v>8932.7102803738289</v>
      </c>
      <c r="BD89" s="100">
        <v>11.453744493392069</v>
      </c>
      <c r="BE89" s="100">
        <v>12163.876651982377</v>
      </c>
      <c r="BF89" s="100">
        <v>7</v>
      </c>
      <c r="BG89" s="100">
        <v>7434</v>
      </c>
      <c r="BH89" s="100">
        <v>6</v>
      </c>
      <c r="BI89" s="100">
        <v>6372</v>
      </c>
      <c r="BJ89" s="100">
        <v>10</v>
      </c>
      <c r="BK89" s="100">
        <v>10620</v>
      </c>
      <c r="BL89" s="100">
        <v>8</v>
      </c>
      <c r="BM89" s="100">
        <v>8496</v>
      </c>
      <c r="BN89" s="100">
        <v>7</v>
      </c>
      <c r="BO89" s="100">
        <v>7434</v>
      </c>
      <c r="BP89" s="100">
        <v>12</v>
      </c>
      <c r="BQ89" s="100">
        <v>12744</v>
      </c>
      <c r="BR89" s="100">
        <v>12</v>
      </c>
      <c r="BS89" s="100">
        <v>12744</v>
      </c>
      <c r="BT89" s="100">
        <v>11.898734177215179</v>
      </c>
      <c r="BU89" s="100">
        <v>12636.45569620252</v>
      </c>
      <c r="BV89" s="100">
        <v>7.8260869565217384</v>
      </c>
      <c r="BW89" s="100">
        <v>8311.3043478260861</v>
      </c>
      <c r="BX89" s="100">
        <v>7</v>
      </c>
      <c r="BY89" s="100">
        <v>7434</v>
      </c>
      <c r="BZ89" s="100">
        <v>10</v>
      </c>
      <c r="CA89" s="100">
        <v>10620</v>
      </c>
      <c r="CB89" s="100">
        <v>7</v>
      </c>
      <c r="CC89" s="100">
        <v>7434</v>
      </c>
      <c r="CD89" s="100">
        <v>9</v>
      </c>
      <c r="CE89" s="100">
        <v>9558</v>
      </c>
      <c r="CF89" s="100">
        <v>7</v>
      </c>
      <c r="CG89" s="100">
        <v>7434</v>
      </c>
      <c r="CH89" s="100">
        <v>9</v>
      </c>
      <c r="CI89" s="100">
        <v>9558</v>
      </c>
      <c r="CJ89" s="100">
        <v>11</v>
      </c>
      <c r="CK89" s="100">
        <v>11682</v>
      </c>
      <c r="CL89" s="100">
        <v>13</v>
      </c>
      <c r="CM89" s="100">
        <v>13806</v>
      </c>
      <c r="CN89" s="100">
        <v>9</v>
      </c>
      <c r="CO89" s="100">
        <v>9558</v>
      </c>
      <c r="CP89" s="100">
        <v>12</v>
      </c>
      <c r="CQ89" s="100">
        <v>12744</v>
      </c>
      <c r="CR89" s="100">
        <v>10</v>
      </c>
      <c r="CS89" s="100">
        <v>10620</v>
      </c>
      <c r="CT89" s="100">
        <v>9</v>
      </c>
      <c r="CU89" s="100">
        <v>9558</v>
      </c>
    </row>
    <row r="90" spans="2:99">
      <c r="C90" s="99" t="s">
        <v>256</v>
      </c>
      <c r="D90" s="100">
        <v>10</v>
      </c>
      <c r="E90" s="100">
        <v>11088</v>
      </c>
      <c r="F90" s="100">
        <v>9</v>
      </c>
      <c r="G90" s="100">
        <v>9979.1999999999989</v>
      </c>
      <c r="H90" s="100">
        <v>9</v>
      </c>
      <c r="I90" s="100">
        <v>9979.1999999999989</v>
      </c>
      <c r="J90" s="100">
        <v>8</v>
      </c>
      <c r="K90" s="100">
        <v>8870.4</v>
      </c>
      <c r="L90" s="100">
        <v>9</v>
      </c>
      <c r="M90" s="100">
        <v>9979.1999999999989</v>
      </c>
      <c r="N90" s="100">
        <v>8.6808510638297811</v>
      </c>
      <c r="O90" s="100">
        <v>9625.327659574461</v>
      </c>
      <c r="P90" s="100">
        <v>6.8899521531100483</v>
      </c>
      <c r="Q90" s="100">
        <v>7639.5789473684208</v>
      </c>
      <c r="R90" s="100">
        <v>9.4117647058823533</v>
      </c>
      <c r="S90" s="100">
        <v>10435.764705882353</v>
      </c>
      <c r="T90" s="100">
        <v>7</v>
      </c>
      <c r="U90" s="100">
        <v>7761.5999999999995</v>
      </c>
      <c r="V90" s="100">
        <v>7</v>
      </c>
      <c r="W90" s="100">
        <v>7761.5999999999995</v>
      </c>
      <c r="X90" s="100">
        <v>9</v>
      </c>
      <c r="Y90" s="100">
        <v>9979.1999999999989</v>
      </c>
      <c r="Z90" s="100">
        <v>6</v>
      </c>
      <c r="AA90" s="100">
        <v>6652.7999999999993</v>
      </c>
      <c r="AB90" s="100">
        <v>8</v>
      </c>
      <c r="AC90" s="100">
        <v>8870.4</v>
      </c>
      <c r="AD90" s="100">
        <v>6</v>
      </c>
      <c r="AE90" s="100">
        <v>6652.7999999999993</v>
      </c>
      <c r="AF90" s="100">
        <v>11</v>
      </c>
      <c r="AG90" s="100">
        <v>12196.8</v>
      </c>
      <c r="AH90" s="100">
        <v>9</v>
      </c>
      <c r="AI90" s="100">
        <v>9979.1999999999989</v>
      </c>
      <c r="AJ90" s="100">
        <v>6</v>
      </c>
      <c r="AK90" s="100">
        <v>6652.7999999999993</v>
      </c>
      <c r="AL90" s="100">
        <v>8</v>
      </c>
      <c r="AM90" s="100">
        <v>8870.4</v>
      </c>
      <c r="AN90" s="100">
        <v>8</v>
      </c>
      <c r="AO90" s="100">
        <v>8870.4</v>
      </c>
      <c r="AP90" s="100">
        <v>10</v>
      </c>
      <c r="AQ90" s="100">
        <v>11088</v>
      </c>
      <c r="AR90" s="100">
        <v>6</v>
      </c>
      <c r="AS90" s="100">
        <v>6652.7999999999993</v>
      </c>
      <c r="AT90" s="100">
        <v>4.7586206896551602</v>
      </c>
      <c r="AU90" s="100">
        <v>5276.3586206896416</v>
      </c>
      <c r="AV90" s="100">
        <v>4.3973607728259047E-21</v>
      </c>
      <c r="AW90" s="100">
        <v>4.8757936249093628E-18</v>
      </c>
      <c r="AX90" s="100">
        <v>1.5132160851532386E-21</v>
      </c>
      <c r="AY90" s="100">
        <v>1.677853995217911E-18</v>
      </c>
      <c r="AZ90" s="100">
        <v>2.7673651495997449</v>
      </c>
      <c r="BA90" s="100">
        <v>3068.454477876197</v>
      </c>
      <c r="BB90" s="100">
        <v>9.3457943925233629</v>
      </c>
      <c r="BC90" s="100">
        <v>10362.616822429904</v>
      </c>
      <c r="BD90" s="100">
        <v>11.453744493392069</v>
      </c>
      <c r="BE90" s="100">
        <v>12699.911894273126</v>
      </c>
      <c r="BF90" s="100">
        <v>8</v>
      </c>
      <c r="BG90" s="100">
        <v>8870.4</v>
      </c>
      <c r="BH90" s="100">
        <v>7</v>
      </c>
      <c r="BI90" s="100">
        <v>7761.5999999999995</v>
      </c>
      <c r="BJ90" s="100">
        <v>11</v>
      </c>
      <c r="BK90" s="100">
        <v>12196.8</v>
      </c>
      <c r="BL90" s="100">
        <v>7</v>
      </c>
      <c r="BM90" s="100">
        <v>7761.5999999999995</v>
      </c>
      <c r="BN90" s="100">
        <v>7</v>
      </c>
      <c r="BO90" s="100">
        <v>7761.5999999999995</v>
      </c>
      <c r="BP90" s="100">
        <v>12</v>
      </c>
      <c r="BQ90" s="100">
        <v>13305.599999999999</v>
      </c>
      <c r="BR90" s="100">
        <v>12</v>
      </c>
      <c r="BS90" s="100">
        <v>13305.599999999999</v>
      </c>
      <c r="BT90" s="100">
        <v>11.898734177215179</v>
      </c>
      <c r="BU90" s="100">
        <v>13193.316455696189</v>
      </c>
      <c r="BV90" s="100">
        <v>7.8260869565217384</v>
      </c>
      <c r="BW90" s="100">
        <v>8677.565217391304</v>
      </c>
      <c r="BX90" s="100">
        <v>7</v>
      </c>
      <c r="BY90" s="100">
        <v>7761.5999999999995</v>
      </c>
      <c r="BZ90" s="100">
        <v>11</v>
      </c>
      <c r="CA90" s="100">
        <v>12196.8</v>
      </c>
      <c r="CB90" s="100">
        <v>6</v>
      </c>
      <c r="CC90" s="100">
        <v>6652.7999999999993</v>
      </c>
      <c r="CD90" s="100">
        <v>10</v>
      </c>
      <c r="CE90" s="100">
        <v>11088</v>
      </c>
      <c r="CF90" s="100">
        <v>7</v>
      </c>
      <c r="CG90" s="100">
        <v>7761.5999999999995</v>
      </c>
      <c r="CH90" s="100">
        <v>9</v>
      </c>
      <c r="CI90" s="100">
        <v>9979.1999999999989</v>
      </c>
      <c r="CJ90" s="100">
        <v>10</v>
      </c>
      <c r="CK90" s="100">
        <v>11088</v>
      </c>
      <c r="CL90" s="100">
        <v>11</v>
      </c>
      <c r="CM90" s="100">
        <v>12196.8</v>
      </c>
      <c r="CN90" s="100">
        <v>10</v>
      </c>
      <c r="CO90" s="100">
        <v>11088</v>
      </c>
      <c r="CP90" s="100">
        <v>13</v>
      </c>
      <c r="CQ90" s="100">
        <v>14414.4</v>
      </c>
      <c r="CR90" s="100">
        <v>11</v>
      </c>
      <c r="CS90" s="100">
        <v>12196.8</v>
      </c>
      <c r="CT90" s="100">
        <v>8</v>
      </c>
      <c r="CU90" s="100">
        <v>8870.4</v>
      </c>
    </row>
    <row r="91" spans="2:99">
      <c r="C91" s="99" t="s">
        <v>257</v>
      </c>
      <c r="D91" s="100">
        <v>10</v>
      </c>
      <c r="E91" s="100">
        <v>11363.999999999998</v>
      </c>
      <c r="F91" s="100">
        <v>9</v>
      </c>
      <c r="G91" s="100">
        <v>10227.599999999999</v>
      </c>
      <c r="H91" s="100">
        <v>10</v>
      </c>
      <c r="I91" s="100">
        <v>11363.999999999998</v>
      </c>
      <c r="J91" s="100">
        <v>8</v>
      </c>
      <c r="K91" s="100">
        <v>9091.1999999999989</v>
      </c>
      <c r="L91" s="100">
        <v>9</v>
      </c>
      <c r="M91" s="100">
        <v>10227.599999999999</v>
      </c>
      <c r="N91" s="100">
        <v>7.9574468085106327</v>
      </c>
      <c r="O91" s="100">
        <v>9042.8425531914818</v>
      </c>
      <c r="P91" s="100">
        <v>6.1244019138755981</v>
      </c>
      <c r="Q91" s="100">
        <v>6959.7703349282292</v>
      </c>
      <c r="R91" s="100">
        <v>9.4117647058823533</v>
      </c>
      <c r="S91" s="100">
        <v>10695.529411764704</v>
      </c>
      <c r="T91" s="100">
        <v>7</v>
      </c>
      <c r="U91" s="100">
        <v>7954.7999999999993</v>
      </c>
      <c r="V91" s="100">
        <v>7</v>
      </c>
      <c r="W91" s="100">
        <v>7954.7999999999993</v>
      </c>
      <c r="X91" s="100">
        <v>7</v>
      </c>
      <c r="Y91" s="100">
        <v>7954.7999999999993</v>
      </c>
      <c r="Z91" s="100">
        <v>7</v>
      </c>
      <c r="AA91" s="100">
        <v>7954.7999999999993</v>
      </c>
      <c r="AB91" s="100">
        <v>8</v>
      </c>
      <c r="AC91" s="100">
        <v>9091.1999999999989</v>
      </c>
      <c r="AD91" s="100">
        <v>6</v>
      </c>
      <c r="AE91" s="100">
        <v>6818.4</v>
      </c>
      <c r="AF91" s="100">
        <v>11</v>
      </c>
      <c r="AG91" s="100">
        <v>12500.399999999998</v>
      </c>
      <c r="AH91" s="100">
        <v>10</v>
      </c>
      <c r="AI91" s="100">
        <v>11363.999999999998</v>
      </c>
      <c r="AJ91" s="100">
        <v>7</v>
      </c>
      <c r="AK91" s="100">
        <v>7954.7999999999993</v>
      </c>
      <c r="AL91" s="100">
        <v>9</v>
      </c>
      <c r="AM91" s="100">
        <v>10227.599999999999</v>
      </c>
      <c r="AN91" s="100">
        <v>9</v>
      </c>
      <c r="AO91" s="100">
        <v>10227.599999999999</v>
      </c>
      <c r="AP91" s="100">
        <v>12</v>
      </c>
      <c r="AQ91" s="100">
        <v>13636.8</v>
      </c>
      <c r="AR91" s="100">
        <v>6</v>
      </c>
      <c r="AS91" s="100">
        <v>6818.4</v>
      </c>
      <c r="AT91" s="100">
        <v>4.7586206896551602</v>
      </c>
      <c r="AU91" s="100">
        <v>5407.6965517241233</v>
      </c>
      <c r="AV91" s="100">
        <v>4.7971208430828044E-21</v>
      </c>
      <c r="AW91" s="100">
        <v>5.451448126079298E-18</v>
      </c>
      <c r="AX91" s="100">
        <v>1.5132160851532386E-21</v>
      </c>
      <c r="AY91" s="100">
        <v>1.7196187591681403E-18</v>
      </c>
      <c r="AZ91" s="100">
        <v>2.3720272710854955</v>
      </c>
      <c r="BA91" s="100">
        <v>2695.5717908615566</v>
      </c>
      <c r="BB91" s="100">
        <v>9.3457943925233629</v>
      </c>
      <c r="BC91" s="100">
        <v>10620.560747663549</v>
      </c>
      <c r="BD91" s="100">
        <v>9.6916299559471355</v>
      </c>
      <c r="BE91" s="100">
        <v>11013.568281938324</v>
      </c>
      <c r="BF91" s="100">
        <v>8</v>
      </c>
      <c r="BG91" s="100">
        <v>9091.1999999999989</v>
      </c>
      <c r="BH91" s="100">
        <v>6</v>
      </c>
      <c r="BI91" s="100">
        <v>6818.4</v>
      </c>
      <c r="BJ91" s="100">
        <v>10</v>
      </c>
      <c r="BK91" s="100">
        <v>11363.999999999998</v>
      </c>
      <c r="BL91" s="100">
        <v>7</v>
      </c>
      <c r="BM91" s="100">
        <v>7954.7999999999993</v>
      </c>
      <c r="BN91" s="100">
        <v>7</v>
      </c>
      <c r="BO91" s="100">
        <v>7954.7999999999993</v>
      </c>
      <c r="BP91" s="100">
        <v>12</v>
      </c>
      <c r="BQ91" s="100">
        <v>13636.8</v>
      </c>
      <c r="BR91" s="100">
        <v>10</v>
      </c>
      <c r="BS91" s="100">
        <v>11363.999999999998</v>
      </c>
      <c r="BT91" s="100">
        <v>12.890295358649777</v>
      </c>
      <c r="BU91" s="100">
        <v>14648.531645569605</v>
      </c>
      <c r="BV91" s="100">
        <v>8.6956521739130412</v>
      </c>
      <c r="BW91" s="100">
        <v>9881.7391304347784</v>
      </c>
      <c r="BX91" s="100">
        <v>7</v>
      </c>
      <c r="BY91" s="100">
        <v>7954.7999999999993</v>
      </c>
      <c r="BZ91" s="100">
        <v>10</v>
      </c>
      <c r="CA91" s="100">
        <v>11363.999999999998</v>
      </c>
      <c r="CB91" s="100">
        <v>7</v>
      </c>
      <c r="CC91" s="100">
        <v>7954.7999999999993</v>
      </c>
      <c r="CD91" s="100">
        <v>10</v>
      </c>
      <c r="CE91" s="100">
        <v>11363.999999999998</v>
      </c>
      <c r="CF91" s="100">
        <v>6</v>
      </c>
      <c r="CG91" s="100">
        <v>6818.4</v>
      </c>
      <c r="CH91" s="100">
        <v>9</v>
      </c>
      <c r="CI91" s="100">
        <v>10227.599999999999</v>
      </c>
      <c r="CJ91" s="100">
        <v>12</v>
      </c>
      <c r="CK91" s="100">
        <v>13636.8</v>
      </c>
      <c r="CL91" s="100">
        <v>12</v>
      </c>
      <c r="CM91" s="100">
        <v>13636.8</v>
      </c>
      <c r="CN91" s="100">
        <v>10</v>
      </c>
      <c r="CO91" s="100">
        <v>11363.999999999998</v>
      </c>
      <c r="CP91" s="100">
        <v>13</v>
      </c>
      <c r="CQ91" s="100">
        <v>14773.199999999999</v>
      </c>
      <c r="CR91" s="100">
        <v>10</v>
      </c>
      <c r="CS91" s="100">
        <v>11363.999999999998</v>
      </c>
      <c r="CT91" s="100">
        <v>8</v>
      </c>
      <c r="CU91" s="100">
        <v>9091.1999999999989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10</v>
      </c>
      <c r="G92" s="100">
        <v>7848</v>
      </c>
      <c r="H92" s="100">
        <v>10</v>
      </c>
      <c r="I92" s="100">
        <v>7848</v>
      </c>
      <c r="J92" s="100">
        <v>8</v>
      </c>
      <c r="K92" s="100">
        <v>6278.4</v>
      </c>
      <c r="L92" s="100">
        <v>9</v>
      </c>
      <c r="M92" s="100">
        <v>7063.2</v>
      </c>
      <c r="N92" s="100">
        <v>7.9574468085106327</v>
      </c>
      <c r="O92" s="100">
        <v>6245.0042553191442</v>
      </c>
      <c r="P92" s="100">
        <v>6.1244019138755981</v>
      </c>
      <c r="Q92" s="100">
        <v>4806.4306220095687</v>
      </c>
      <c r="R92" s="100">
        <v>9.4117647058823533</v>
      </c>
      <c r="S92" s="100">
        <v>7386.3529411764703</v>
      </c>
      <c r="T92" s="100">
        <v>8</v>
      </c>
      <c r="U92" s="100">
        <v>6278.4</v>
      </c>
      <c r="V92" s="100">
        <v>8</v>
      </c>
      <c r="W92" s="100">
        <v>6278.4</v>
      </c>
      <c r="X92" s="100">
        <v>9</v>
      </c>
      <c r="Y92" s="100">
        <v>7063.2</v>
      </c>
      <c r="Z92" s="100">
        <v>7</v>
      </c>
      <c r="AA92" s="100">
        <v>5493.5999999999995</v>
      </c>
      <c r="AB92" s="100">
        <v>8</v>
      </c>
      <c r="AC92" s="100">
        <v>6278.4</v>
      </c>
      <c r="AD92" s="100">
        <v>6</v>
      </c>
      <c r="AE92" s="100">
        <v>4708.7999999999993</v>
      </c>
      <c r="AF92" s="100">
        <v>10</v>
      </c>
      <c r="AG92" s="100">
        <v>7848</v>
      </c>
      <c r="AH92" s="100">
        <v>11</v>
      </c>
      <c r="AI92" s="100">
        <v>8632.7999999999993</v>
      </c>
      <c r="AJ92" s="100">
        <v>7</v>
      </c>
      <c r="AK92" s="100">
        <v>5493.5999999999995</v>
      </c>
      <c r="AL92" s="100">
        <v>8</v>
      </c>
      <c r="AM92" s="100">
        <v>6278.4</v>
      </c>
      <c r="AN92" s="100">
        <v>8</v>
      </c>
      <c r="AO92" s="100">
        <v>6278.4</v>
      </c>
      <c r="AP92" s="100">
        <v>11</v>
      </c>
      <c r="AQ92" s="100">
        <v>8632.7999999999993</v>
      </c>
      <c r="AR92" s="100">
        <v>7</v>
      </c>
      <c r="AS92" s="100">
        <v>5493.5999999999995</v>
      </c>
      <c r="AT92" s="100">
        <v>5.5517241379310205</v>
      </c>
      <c r="AU92" s="100">
        <v>4356.9931034482643</v>
      </c>
      <c r="AV92" s="100">
        <v>5.1968809133397049E-21</v>
      </c>
      <c r="AW92" s="100">
        <v>4.0785121407890001E-18</v>
      </c>
      <c r="AX92" s="100">
        <v>1.5132160851532386E-21</v>
      </c>
      <c r="AY92" s="100">
        <v>1.1875719836282617E-18</v>
      </c>
      <c r="AZ92" s="100">
        <v>3.1627030281139943</v>
      </c>
      <c r="BA92" s="100">
        <v>2482.0893364638628</v>
      </c>
      <c r="BB92" s="100">
        <v>10.2803738317757</v>
      </c>
      <c r="BC92" s="100">
        <v>8068.0373831775687</v>
      </c>
      <c r="BD92" s="100">
        <v>11.453744493392069</v>
      </c>
      <c r="BE92" s="100">
        <v>8988.8986784140943</v>
      </c>
      <c r="BF92" s="100">
        <v>7</v>
      </c>
      <c r="BG92" s="100">
        <v>5493.5999999999995</v>
      </c>
      <c r="BH92" s="100">
        <v>7</v>
      </c>
      <c r="BI92" s="100">
        <v>5493.5999999999995</v>
      </c>
      <c r="BJ92" s="100">
        <v>10</v>
      </c>
      <c r="BK92" s="100">
        <v>7848</v>
      </c>
      <c r="BL92" s="100">
        <v>8</v>
      </c>
      <c r="BM92" s="100">
        <v>6278.4</v>
      </c>
      <c r="BN92" s="100">
        <v>8</v>
      </c>
      <c r="BO92" s="100">
        <v>6278.4</v>
      </c>
      <c r="BP92" s="100">
        <v>14</v>
      </c>
      <c r="BQ92" s="100">
        <v>10987.199999999999</v>
      </c>
      <c r="BR92" s="100">
        <v>11</v>
      </c>
      <c r="BS92" s="100">
        <v>8632.7999999999993</v>
      </c>
      <c r="BT92" s="100">
        <v>11.898734177215179</v>
      </c>
      <c r="BU92" s="100">
        <v>9338.1265822784717</v>
      </c>
      <c r="BV92" s="100">
        <v>9.5652173913043459</v>
      </c>
      <c r="BW92" s="100">
        <v>7506.7826086956502</v>
      </c>
      <c r="BX92" s="100">
        <v>8</v>
      </c>
      <c r="BY92" s="100">
        <v>6278.4</v>
      </c>
      <c r="BZ92" s="100">
        <v>11</v>
      </c>
      <c r="CA92" s="100">
        <v>8632.7999999999993</v>
      </c>
      <c r="CB92" s="100">
        <v>8</v>
      </c>
      <c r="CC92" s="100">
        <v>6278.4</v>
      </c>
      <c r="CD92" s="100">
        <v>10</v>
      </c>
      <c r="CE92" s="100">
        <v>7848</v>
      </c>
      <c r="CF92" s="100">
        <v>6</v>
      </c>
      <c r="CG92" s="100">
        <v>4708.7999999999993</v>
      </c>
      <c r="CH92" s="100">
        <v>8</v>
      </c>
      <c r="CI92" s="100">
        <v>6278.4</v>
      </c>
      <c r="CJ92" s="100">
        <v>12</v>
      </c>
      <c r="CK92" s="100">
        <v>9417.5999999999985</v>
      </c>
      <c r="CL92" s="100">
        <v>12</v>
      </c>
      <c r="CM92" s="100">
        <v>9417.5999999999985</v>
      </c>
      <c r="CN92" s="100">
        <v>10</v>
      </c>
      <c r="CO92" s="100">
        <v>7848</v>
      </c>
      <c r="CP92" s="100">
        <v>11</v>
      </c>
      <c r="CQ92" s="100">
        <v>8632.7999999999993</v>
      </c>
      <c r="CR92" s="100">
        <v>10</v>
      </c>
      <c r="CS92" s="100">
        <v>7848</v>
      </c>
      <c r="CT92" s="100">
        <v>9</v>
      </c>
      <c r="CU92" s="100">
        <v>7063.2</v>
      </c>
    </row>
    <row r="93" spans="2:99">
      <c r="C93" s="99" t="s">
        <v>259</v>
      </c>
      <c r="D93" s="100">
        <v>10</v>
      </c>
      <c r="E93" s="100">
        <v>6936</v>
      </c>
      <c r="F93" s="100">
        <v>8</v>
      </c>
      <c r="G93" s="100">
        <v>5548.8</v>
      </c>
      <c r="H93" s="100">
        <v>10</v>
      </c>
      <c r="I93" s="100">
        <v>6936</v>
      </c>
      <c r="J93" s="100">
        <v>8</v>
      </c>
      <c r="K93" s="100">
        <v>5548.8</v>
      </c>
      <c r="L93" s="100">
        <v>10</v>
      </c>
      <c r="M93" s="100">
        <v>6936</v>
      </c>
      <c r="N93" s="100">
        <v>7.9574468085106327</v>
      </c>
      <c r="O93" s="100">
        <v>5519.2851063829748</v>
      </c>
      <c r="P93" s="100">
        <v>6.8899521531100483</v>
      </c>
      <c r="Q93" s="100">
        <v>4778.8708133971295</v>
      </c>
      <c r="R93" s="100">
        <v>9.4117647058823533</v>
      </c>
      <c r="S93" s="100">
        <v>6528</v>
      </c>
      <c r="T93" s="100">
        <v>8</v>
      </c>
      <c r="U93" s="100">
        <v>5548.8</v>
      </c>
      <c r="V93" s="100">
        <v>8</v>
      </c>
      <c r="W93" s="100">
        <v>5548.8</v>
      </c>
      <c r="X93" s="100">
        <v>8</v>
      </c>
      <c r="Y93" s="100">
        <v>5548.8</v>
      </c>
      <c r="Z93" s="100">
        <v>7</v>
      </c>
      <c r="AA93" s="100">
        <v>4855.2</v>
      </c>
      <c r="AB93" s="100">
        <v>8</v>
      </c>
      <c r="AC93" s="100">
        <v>5548.8</v>
      </c>
      <c r="AD93" s="100">
        <v>7</v>
      </c>
      <c r="AE93" s="100">
        <v>4855.2</v>
      </c>
      <c r="AF93" s="100">
        <v>11</v>
      </c>
      <c r="AG93" s="100">
        <v>7629.6</v>
      </c>
      <c r="AH93" s="100">
        <v>10</v>
      </c>
      <c r="AI93" s="100">
        <v>6936</v>
      </c>
      <c r="AJ93" s="100">
        <v>7</v>
      </c>
      <c r="AK93" s="100">
        <v>4855.2</v>
      </c>
      <c r="AL93" s="100">
        <v>8</v>
      </c>
      <c r="AM93" s="100">
        <v>5548.8</v>
      </c>
      <c r="AN93" s="100">
        <v>8</v>
      </c>
      <c r="AO93" s="100">
        <v>5548.8</v>
      </c>
      <c r="AP93" s="100">
        <v>12</v>
      </c>
      <c r="AQ93" s="100">
        <v>8323.2000000000007</v>
      </c>
      <c r="AR93" s="100">
        <v>7</v>
      </c>
      <c r="AS93" s="100">
        <v>4855.2</v>
      </c>
      <c r="AT93" s="100">
        <v>5.5517241379310205</v>
      </c>
      <c r="AU93" s="100">
        <v>3850.6758620689561</v>
      </c>
      <c r="AV93" s="100">
        <v>4.7971208430828044E-21</v>
      </c>
      <c r="AW93" s="100">
        <v>3.3272830167622333E-18</v>
      </c>
      <c r="AX93" s="100">
        <v>1.3618944766379149E-21</v>
      </c>
      <c r="AY93" s="100">
        <v>9.4461000899605777E-19</v>
      </c>
      <c r="AZ93" s="100">
        <v>3.1627030281139943</v>
      </c>
      <c r="BA93" s="100">
        <v>2193.6508202998666</v>
      </c>
      <c r="BB93" s="100">
        <v>9.3457943925233629</v>
      </c>
      <c r="BC93" s="100">
        <v>6482.2429906542047</v>
      </c>
      <c r="BD93" s="100">
        <v>11.453744493392069</v>
      </c>
      <c r="BE93" s="100">
        <v>7944.3171806167393</v>
      </c>
      <c r="BF93" s="100">
        <v>8</v>
      </c>
      <c r="BG93" s="100">
        <v>5548.8</v>
      </c>
      <c r="BH93" s="100">
        <v>7</v>
      </c>
      <c r="BI93" s="100">
        <v>4855.2</v>
      </c>
      <c r="BJ93" s="100">
        <v>11</v>
      </c>
      <c r="BK93" s="100">
        <v>7629.6</v>
      </c>
      <c r="BL93" s="100">
        <v>7</v>
      </c>
      <c r="BM93" s="100">
        <v>4855.2</v>
      </c>
      <c r="BN93" s="100">
        <v>7</v>
      </c>
      <c r="BO93" s="100">
        <v>4855.2</v>
      </c>
      <c r="BP93" s="100">
        <v>12</v>
      </c>
      <c r="BQ93" s="100">
        <v>8323.2000000000007</v>
      </c>
      <c r="BR93" s="100">
        <v>11</v>
      </c>
      <c r="BS93" s="100">
        <v>7629.6</v>
      </c>
      <c r="BT93" s="100">
        <v>11.898734177215179</v>
      </c>
      <c r="BU93" s="100">
        <v>8252.9620253164485</v>
      </c>
      <c r="BV93" s="100">
        <v>7.8260869565217384</v>
      </c>
      <c r="BW93" s="100">
        <v>5428.173913043478</v>
      </c>
      <c r="BX93" s="100">
        <v>8</v>
      </c>
      <c r="BY93" s="100">
        <v>5548.8</v>
      </c>
      <c r="BZ93" s="100">
        <v>10</v>
      </c>
      <c r="CA93" s="100">
        <v>6936</v>
      </c>
      <c r="CB93" s="100">
        <v>8</v>
      </c>
      <c r="CC93" s="100">
        <v>5548.8</v>
      </c>
      <c r="CD93" s="100">
        <v>10</v>
      </c>
      <c r="CE93" s="100">
        <v>6936</v>
      </c>
      <c r="CF93" s="100">
        <v>7</v>
      </c>
      <c r="CG93" s="100">
        <v>4855.2</v>
      </c>
      <c r="CH93" s="100">
        <v>8</v>
      </c>
      <c r="CI93" s="100">
        <v>5548.8</v>
      </c>
      <c r="CJ93" s="100">
        <v>11</v>
      </c>
      <c r="CK93" s="100">
        <v>7629.6</v>
      </c>
      <c r="CL93" s="100">
        <v>13</v>
      </c>
      <c r="CM93" s="100">
        <v>9016.8000000000011</v>
      </c>
      <c r="CN93" s="100">
        <v>10</v>
      </c>
      <c r="CO93" s="100">
        <v>6936</v>
      </c>
      <c r="CP93" s="100">
        <v>11</v>
      </c>
      <c r="CQ93" s="100">
        <v>7629.6</v>
      </c>
      <c r="CR93" s="100">
        <v>12</v>
      </c>
      <c r="CS93" s="100">
        <v>8323.2000000000007</v>
      </c>
      <c r="CT93" s="100">
        <v>9</v>
      </c>
      <c r="CU93" s="100">
        <v>6242.4000000000005</v>
      </c>
    </row>
    <row r="94" spans="2:99">
      <c r="C94" s="99" t="s">
        <v>260</v>
      </c>
      <c r="D94" s="100">
        <v>10</v>
      </c>
      <c r="E94" s="100">
        <v>11928</v>
      </c>
      <c r="F94" s="100">
        <v>8</v>
      </c>
      <c r="G94" s="100">
        <v>9542.4</v>
      </c>
      <c r="H94" s="100">
        <v>10</v>
      </c>
      <c r="I94" s="100">
        <v>11928</v>
      </c>
      <c r="J94" s="100">
        <v>8</v>
      </c>
      <c r="K94" s="100">
        <v>9542.4</v>
      </c>
      <c r="L94" s="100">
        <v>9</v>
      </c>
      <c r="M94" s="100">
        <v>10735.199999999999</v>
      </c>
      <c r="N94" s="100">
        <v>7.9574468085106327</v>
      </c>
      <c r="O94" s="100">
        <v>9491.6425531914829</v>
      </c>
      <c r="P94" s="100">
        <v>6.8899521531100483</v>
      </c>
      <c r="Q94" s="100">
        <v>8218.3349282296658</v>
      </c>
      <c r="R94" s="100">
        <v>8.5561497326203213</v>
      </c>
      <c r="S94" s="100">
        <v>10205.775401069519</v>
      </c>
      <c r="T94" s="100">
        <v>7</v>
      </c>
      <c r="U94" s="100">
        <v>8349.6</v>
      </c>
      <c r="V94" s="100">
        <v>7</v>
      </c>
      <c r="W94" s="100">
        <v>8349.6</v>
      </c>
      <c r="X94" s="100">
        <v>8</v>
      </c>
      <c r="Y94" s="100">
        <v>9542.4</v>
      </c>
      <c r="Z94" s="100">
        <v>6</v>
      </c>
      <c r="AA94" s="100">
        <v>7156.7999999999993</v>
      </c>
      <c r="AB94" s="100">
        <v>8</v>
      </c>
      <c r="AC94" s="100">
        <v>9542.4</v>
      </c>
      <c r="AD94" s="100">
        <v>6</v>
      </c>
      <c r="AE94" s="100">
        <v>7156.7999999999993</v>
      </c>
      <c r="AF94" s="100">
        <v>11</v>
      </c>
      <c r="AG94" s="100">
        <v>13120.8</v>
      </c>
      <c r="AH94" s="100">
        <v>9</v>
      </c>
      <c r="AI94" s="100">
        <v>10735.199999999999</v>
      </c>
      <c r="AJ94" s="100">
        <v>7</v>
      </c>
      <c r="AK94" s="100">
        <v>8349.6</v>
      </c>
      <c r="AL94" s="100">
        <v>8</v>
      </c>
      <c r="AM94" s="100">
        <v>9542.4</v>
      </c>
      <c r="AN94" s="100">
        <v>8</v>
      </c>
      <c r="AO94" s="100">
        <v>9542.4</v>
      </c>
      <c r="AP94" s="100">
        <v>11</v>
      </c>
      <c r="AQ94" s="100">
        <v>13120.8</v>
      </c>
      <c r="AR94" s="100">
        <v>6</v>
      </c>
      <c r="AS94" s="100">
        <v>7156.7999999999993</v>
      </c>
      <c r="AT94" s="100">
        <v>5.5517241379310205</v>
      </c>
      <c r="AU94" s="100">
        <v>6622.0965517241211</v>
      </c>
      <c r="AV94" s="100">
        <v>5.1968809133397049E-21</v>
      </c>
      <c r="AW94" s="100">
        <v>6.1988395534315995E-18</v>
      </c>
      <c r="AX94" s="100">
        <v>1.3618944766379149E-21</v>
      </c>
      <c r="AY94" s="100">
        <v>1.6244677317337047E-18</v>
      </c>
      <c r="AZ94" s="100">
        <v>2.7673651495997449</v>
      </c>
      <c r="BA94" s="100">
        <v>3300.9131504425754</v>
      </c>
      <c r="BB94" s="100">
        <v>9.3457943925233629</v>
      </c>
      <c r="BC94" s="100">
        <v>11147.663551401867</v>
      </c>
      <c r="BD94" s="100">
        <v>11.453744493392069</v>
      </c>
      <c r="BE94" s="100">
        <v>13662.026431718059</v>
      </c>
      <c r="BF94" s="100">
        <v>8</v>
      </c>
      <c r="BG94" s="100">
        <v>9542.4</v>
      </c>
      <c r="BH94" s="100">
        <v>7</v>
      </c>
      <c r="BI94" s="100">
        <v>8349.6</v>
      </c>
      <c r="BJ94" s="100">
        <v>11</v>
      </c>
      <c r="BK94" s="100">
        <v>13120.8</v>
      </c>
      <c r="BL94" s="100">
        <v>7</v>
      </c>
      <c r="BM94" s="100">
        <v>8349.6</v>
      </c>
      <c r="BN94" s="100">
        <v>7</v>
      </c>
      <c r="BO94" s="100">
        <v>8349.6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12.890295358649777</v>
      </c>
      <c r="BU94" s="100">
        <v>15375.544303797453</v>
      </c>
      <c r="BV94" s="100">
        <v>7.8260869565217384</v>
      </c>
      <c r="BW94" s="100">
        <v>9334.95652173913</v>
      </c>
      <c r="BX94" s="100">
        <v>7</v>
      </c>
      <c r="BY94" s="100">
        <v>8349.6</v>
      </c>
      <c r="BZ94" s="100">
        <v>11</v>
      </c>
      <c r="CA94" s="100">
        <v>13120.8</v>
      </c>
      <c r="CB94" s="100">
        <v>6</v>
      </c>
      <c r="CC94" s="100">
        <v>7156.7999999999993</v>
      </c>
      <c r="CD94" s="100">
        <v>9</v>
      </c>
      <c r="CE94" s="100">
        <v>10735.199999999999</v>
      </c>
      <c r="CF94" s="100">
        <v>6</v>
      </c>
      <c r="CG94" s="100">
        <v>7156.7999999999993</v>
      </c>
      <c r="CH94" s="100">
        <v>9</v>
      </c>
      <c r="CI94" s="100">
        <v>10735.199999999999</v>
      </c>
      <c r="CJ94" s="100">
        <v>12</v>
      </c>
      <c r="CK94" s="100">
        <v>14313.599999999999</v>
      </c>
      <c r="CL94" s="100">
        <v>12</v>
      </c>
      <c r="CM94" s="100">
        <v>14313.599999999999</v>
      </c>
      <c r="CN94" s="100">
        <v>10</v>
      </c>
      <c r="CO94" s="100">
        <v>11928</v>
      </c>
      <c r="CP94" s="100">
        <v>13</v>
      </c>
      <c r="CQ94" s="100">
        <v>15506.4</v>
      </c>
      <c r="CR94" s="100">
        <v>12</v>
      </c>
      <c r="CS94" s="100">
        <v>14313.599999999999</v>
      </c>
      <c r="CT94" s="100">
        <v>8</v>
      </c>
      <c r="CU94" s="100">
        <v>9542.4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6</v>
      </c>
      <c r="G95" s="100">
        <v>1972.8000000000002</v>
      </c>
      <c r="H95" s="100">
        <v>12</v>
      </c>
      <c r="I95" s="100">
        <v>3945.6000000000004</v>
      </c>
      <c r="J95" s="100">
        <v>7</v>
      </c>
      <c r="K95" s="100">
        <v>2301.6</v>
      </c>
      <c r="L95" s="100">
        <v>9</v>
      </c>
      <c r="M95" s="100">
        <v>2959.2000000000003</v>
      </c>
      <c r="N95" s="100">
        <v>7.2340425531914843</v>
      </c>
      <c r="O95" s="100">
        <v>2378.55319148936</v>
      </c>
      <c r="P95" s="100">
        <v>7.6555023923444976</v>
      </c>
      <c r="Q95" s="100">
        <v>2517.129186602871</v>
      </c>
      <c r="R95" s="100">
        <v>6.8449197860962565</v>
      </c>
      <c r="S95" s="100">
        <v>2250.6096256684491</v>
      </c>
      <c r="T95" s="100">
        <v>6</v>
      </c>
      <c r="U95" s="100">
        <v>1972.8000000000002</v>
      </c>
      <c r="V95" s="100">
        <v>9</v>
      </c>
      <c r="W95" s="100">
        <v>2959.2000000000003</v>
      </c>
      <c r="X95" s="100">
        <v>8</v>
      </c>
      <c r="Y95" s="100">
        <v>2630.4</v>
      </c>
      <c r="Z95" s="100">
        <v>9</v>
      </c>
      <c r="AA95" s="100">
        <v>2959.2000000000003</v>
      </c>
      <c r="AB95" s="100">
        <v>7</v>
      </c>
      <c r="AC95" s="100">
        <v>2301.6</v>
      </c>
      <c r="AD95" s="100">
        <v>6</v>
      </c>
      <c r="AE95" s="100">
        <v>1972.8000000000002</v>
      </c>
      <c r="AF95" s="100">
        <v>9</v>
      </c>
      <c r="AG95" s="100">
        <v>2959.2000000000003</v>
      </c>
      <c r="AH95" s="100">
        <v>7</v>
      </c>
      <c r="AI95" s="100">
        <v>2301.6</v>
      </c>
      <c r="AJ95" s="100">
        <v>8</v>
      </c>
      <c r="AK95" s="100">
        <v>2630.4</v>
      </c>
      <c r="AL95" s="100">
        <v>9</v>
      </c>
      <c r="AM95" s="100">
        <v>2959.2000000000003</v>
      </c>
      <c r="AN95" s="100">
        <v>8</v>
      </c>
      <c r="AO95" s="100">
        <v>2630.4</v>
      </c>
      <c r="AP95" s="100">
        <v>7</v>
      </c>
      <c r="AQ95" s="100">
        <v>2301.6</v>
      </c>
      <c r="AR95" s="100">
        <v>8</v>
      </c>
      <c r="AS95" s="100">
        <v>2630.4</v>
      </c>
      <c r="AT95" s="100">
        <v>7.1379310344827411</v>
      </c>
      <c r="AU95" s="100">
        <v>2346.9517241379253</v>
      </c>
      <c r="AV95" s="100">
        <v>2.7983204917983027E-21</v>
      </c>
      <c r="AW95" s="100">
        <v>9.2008777770328201E-19</v>
      </c>
      <c r="AX95" s="100">
        <v>1.0592512596072671E-21</v>
      </c>
      <c r="AY95" s="100">
        <v>3.4828181415886945E-19</v>
      </c>
      <c r="AZ95" s="100">
        <v>3.9533787851424926</v>
      </c>
      <c r="BA95" s="100">
        <v>1299.8709445548516</v>
      </c>
      <c r="BB95" s="100">
        <v>9.3457943925233629</v>
      </c>
      <c r="BC95" s="100">
        <v>3072.897196261682</v>
      </c>
      <c r="BD95" s="100">
        <v>8.8105726872246688</v>
      </c>
      <c r="BE95" s="100">
        <v>2896.9162995594711</v>
      </c>
      <c r="BF95" s="100">
        <v>10</v>
      </c>
      <c r="BG95" s="100">
        <v>3288</v>
      </c>
      <c r="BH95" s="100">
        <v>11</v>
      </c>
      <c r="BI95" s="100">
        <v>3616.8</v>
      </c>
      <c r="BJ95" s="100">
        <v>11</v>
      </c>
      <c r="BK95" s="100">
        <v>3616.8</v>
      </c>
      <c r="BL95" s="100">
        <v>10</v>
      </c>
      <c r="BM95" s="100">
        <v>3288</v>
      </c>
      <c r="BN95" s="100">
        <v>8</v>
      </c>
      <c r="BO95" s="100">
        <v>2630.4</v>
      </c>
      <c r="BP95" s="100">
        <v>9</v>
      </c>
      <c r="BQ95" s="100">
        <v>2959.2000000000003</v>
      </c>
      <c r="BR95" s="100">
        <v>9</v>
      </c>
      <c r="BS95" s="100">
        <v>2959.2000000000003</v>
      </c>
      <c r="BT95" s="100">
        <v>9.915611814345981</v>
      </c>
      <c r="BU95" s="100">
        <v>3260.2531645569588</v>
      </c>
      <c r="BV95" s="100">
        <v>9.5652173913043459</v>
      </c>
      <c r="BW95" s="100">
        <v>3145.0434782608691</v>
      </c>
      <c r="BX95" s="100">
        <v>9</v>
      </c>
      <c r="BY95" s="100">
        <v>2959.2000000000003</v>
      </c>
      <c r="BZ95" s="100">
        <v>9</v>
      </c>
      <c r="CA95" s="100">
        <v>2959.2000000000003</v>
      </c>
      <c r="CB95" s="100">
        <v>8</v>
      </c>
      <c r="CC95" s="100">
        <v>2630.4</v>
      </c>
      <c r="CD95" s="100">
        <v>6</v>
      </c>
      <c r="CE95" s="100">
        <v>1972.8000000000002</v>
      </c>
      <c r="CF95" s="100">
        <v>7</v>
      </c>
      <c r="CG95" s="100">
        <v>2301.6</v>
      </c>
      <c r="CH95" s="100">
        <v>10</v>
      </c>
      <c r="CI95" s="100">
        <v>3288</v>
      </c>
      <c r="CJ95" s="100">
        <v>8</v>
      </c>
      <c r="CK95" s="100">
        <v>2630.4</v>
      </c>
      <c r="CL95" s="100">
        <v>13</v>
      </c>
      <c r="CM95" s="100">
        <v>4274.4000000000005</v>
      </c>
      <c r="CN95" s="100">
        <v>13</v>
      </c>
      <c r="CO95" s="100">
        <v>4274.4000000000005</v>
      </c>
      <c r="CP95" s="100">
        <v>7</v>
      </c>
      <c r="CQ95" s="100">
        <v>2301.6</v>
      </c>
      <c r="CR95" s="100">
        <v>8</v>
      </c>
      <c r="CS95" s="100">
        <v>2630.4</v>
      </c>
      <c r="CT95" s="100">
        <v>11</v>
      </c>
      <c r="CU95" s="100">
        <v>3616.8</v>
      </c>
    </row>
    <row r="96" spans="2:99">
      <c r="C96" s="99" t="s">
        <v>262</v>
      </c>
      <c r="D96" s="100">
        <v>8</v>
      </c>
      <c r="E96" s="100">
        <v>5558.4</v>
      </c>
      <c r="F96" s="100">
        <v>5</v>
      </c>
      <c r="G96" s="100">
        <v>3474</v>
      </c>
      <c r="H96" s="100">
        <v>12</v>
      </c>
      <c r="I96" s="100">
        <v>8337.5999999999985</v>
      </c>
      <c r="J96" s="100">
        <v>8</v>
      </c>
      <c r="K96" s="100">
        <v>5558.4</v>
      </c>
      <c r="L96" s="100">
        <v>9</v>
      </c>
      <c r="M96" s="100">
        <v>6253.2</v>
      </c>
      <c r="N96" s="100">
        <v>7.9574468085106327</v>
      </c>
      <c r="O96" s="100">
        <v>5528.8340425531869</v>
      </c>
      <c r="P96" s="100">
        <v>6.8899521531100483</v>
      </c>
      <c r="Q96" s="100">
        <v>4787.1387559808609</v>
      </c>
      <c r="R96" s="100">
        <v>5.9893048128342237</v>
      </c>
      <c r="S96" s="100">
        <v>4161.368983957218</v>
      </c>
      <c r="T96" s="100">
        <v>6</v>
      </c>
      <c r="U96" s="100">
        <v>4168.7999999999993</v>
      </c>
      <c r="V96" s="100">
        <v>10</v>
      </c>
      <c r="W96" s="100">
        <v>6948</v>
      </c>
      <c r="X96" s="100">
        <v>8</v>
      </c>
      <c r="Y96" s="100">
        <v>5558.4</v>
      </c>
      <c r="Z96" s="100">
        <v>8</v>
      </c>
      <c r="AA96" s="100">
        <v>5558.4</v>
      </c>
      <c r="AB96" s="100">
        <v>7</v>
      </c>
      <c r="AC96" s="100">
        <v>4863.5999999999995</v>
      </c>
      <c r="AD96" s="100">
        <v>6</v>
      </c>
      <c r="AE96" s="100">
        <v>4168.7999999999993</v>
      </c>
      <c r="AF96" s="100">
        <v>10</v>
      </c>
      <c r="AG96" s="100">
        <v>6948</v>
      </c>
      <c r="AH96" s="100">
        <v>7</v>
      </c>
      <c r="AI96" s="100">
        <v>4863.5999999999995</v>
      </c>
      <c r="AJ96" s="100">
        <v>7</v>
      </c>
      <c r="AK96" s="100">
        <v>4863.5999999999995</v>
      </c>
      <c r="AL96" s="100">
        <v>10</v>
      </c>
      <c r="AM96" s="100">
        <v>6948</v>
      </c>
      <c r="AN96" s="100">
        <v>8</v>
      </c>
      <c r="AO96" s="100">
        <v>5558.4</v>
      </c>
      <c r="AP96" s="100">
        <v>8</v>
      </c>
      <c r="AQ96" s="100">
        <v>5558.4</v>
      </c>
      <c r="AR96" s="100">
        <v>9</v>
      </c>
      <c r="AS96" s="100">
        <v>6253.2</v>
      </c>
      <c r="AT96" s="100">
        <v>7.9310344827586006</v>
      </c>
      <c r="AU96" s="100">
        <v>5510.4827586206757</v>
      </c>
      <c r="AV96" s="100">
        <v>2.3985604215414022E-21</v>
      </c>
      <c r="AW96" s="100">
        <v>1.6665197808869662E-18</v>
      </c>
      <c r="AX96" s="100">
        <v>9.0792965109194311E-22</v>
      </c>
      <c r="AY96" s="100">
        <v>6.3082952157868204E-19</v>
      </c>
      <c r="AZ96" s="100">
        <v>4.3487166636567416</v>
      </c>
      <c r="BA96" s="100">
        <v>3021.4883379087037</v>
      </c>
      <c r="BB96" s="100">
        <v>10.2803738317757</v>
      </c>
      <c r="BC96" s="100">
        <v>7142.8037383177561</v>
      </c>
      <c r="BD96" s="100">
        <v>7.9295154185022021</v>
      </c>
      <c r="BE96" s="100">
        <v>5509.4273127753295</v>
      </c>
      <c r="BF96" s="100">
        <v>9</v>
      </c>
      <c r="BG96" s="100">
        <v>6253.2</v>
      </c>
      <c r="BH96" s="100">
        <v>11</v>
      </c>
      <c r="BI96" s="100">
        <v>7642.7999999999993</v>
      </c>
      <c r="BJ96" s="100">
        <v>11</v>
      </c>
      <c r="BK96" s="100">
        <v>7642.7999999999993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8</v>
      </c>
      <c r="BQ96" s="100">
        <v>5558.4</v>
      </c>
      <c r="BR96" s="100">
        <v>9</v>
      </c>
      <c r="BS96" s="100">
        <v>6253.2</v>
      </c>
      <c r="BT96" s="100">
        <v>9.915611814345981</v>
      </c>
      <c r="BU96" s="100">
        <v>6889.367088607587</v>
      </c>
      <c r="BV96" s="100">
        <v>8.6956521739130412</v>
      </c>
      <c r="BW96" s="100">
        <v>6041.7391304347802</v>
      </c>
      <c r="BX96" s="100">
        <v>9</v>
      </c>
      <c r="BY96" s="100">
        <v>6253.2</v>
      </c>
      <c r="BZ96" s="100">
        <v>9</v>
      </c>
      <c r="CA96" s="100">
        <v>6253.2</v>
      </c>
      <c r="CB96" s="100">
        <v>8</v>
      </c>
      <c r="CC96" s="100">
        <v>5558.4</v>
      </c>
      <c r="CD96" s="100">
        <v>5</v>
      </c>
      <c r="CE96" s="100">
        <v>3474</v>
      </c>
      <c r="CF96" s="100">
        <v>7</v>
      </c>
      <c r="CG96" s="100">
        <v>4863.5999999999995</v>
      </c>
      <c r="CH96" s="100">
        <v>10</v>
      </c>
      <c r="CI96" s="100">
        <v>6948</v>
      </c>
      <c r="CJ96" s="100">
        <v>7</v>
      </c>
      <c r="CK96" s="100">
        <v>4863.5999999999995</v>
      </c>
      <c r="CL96" s="100">
        <v>11</v>
      </c>
      <c r="CM96" s="100">
        <v>7642.7999999999993</v>
      </c>
      <c r="CN96" s="100">
        <v>11</v>
      </c>
      <c r="CO96" s="100">
        <v>7642.7999999999993</v>
      </c>
      <c r="CP96" s="100">
        <v>8</v>
      </c>
      <c r="CQ96" s="100">
        <v>5558.4</v>
      </c>
      <c r="CR96" s="100">
        <v>8</v>
      </c>
      <c r="CS96" s="100">
        <v>5558.4</v>
      </c>
      <c r="CT96" s="100">
        <v>11</v>
      </c>
      <c r="CU96" s="100">
        <v>7642.7999999999993</v>
      </c>
    </row>
    <row r="97" spans="2:99">
      <c r="C97" s="99" t="s">
        <v>263</v>
      </c>
      <c r="D97" s="100">
        <v>8</v>
      </c>
      <c r="E97" s="100">
        <v>3139.2</v>
      </c>
      <c r="F97" s="100">
        <v>6</v>
      </c>
      <c r="G97" s="100">
        <v>2354.3999999999996</v>
      </c>
      <c r="H97" s="100">
        <v>12</v>
      </c>
      <c r="I97" s="100">
        <v>4708.7999999999993</v>
      </c>
      <c r="J97" s="100">
        <v>8</v>
      </c>
      <c r="K97" s="100">
        <v>3139.2</v>
      </c>
      <c r="L97" s="100">
        <v>10</v>
      </c>
      <c r="M97" s="100">
        <v>3924</v>
      </c>
      <c r="N97" s="100">
        <v>7.2340425531914843</v>
      </c>
      <c r="O97" s="100">
        <v>2838.6382978723382</v>
      </c>
      <c r="P97" s="100">
        <v>6.8899521531100483</v>
      </c>
      <c r="Q97" s="100">
        <v>2703.6172248803828</v>
      </c>
      <c r="R97" s="100">
        <v>6.8449197860962565</v>
      </c>
      <c r="S97" s="100">
        <v>2685.9465240641707</v>
      </c>
      <c r="T97" s="100">
        <v>6</v>
      </c>
      <c r="U97" s="100">
        <v>2354.3999999999996</v>
      </c>
      <c r="V97" s="100">
        <v>10</v>
      </c>
      <c r="W97" s="100">
        <v>3924</v>
      </c>
      <c r="X97" s="100">
        <v>8</v>
      </c>
      <c r="Y97" s="100">
        <v>3139.2</v>
      </c>
      <c r="Z97" s="100">
        <v>8</v>
      </c>
      <c r="AA97" s="100">
        <v>3139.2</v>
      </c>
      <c r="AB97" s="100">
        <v>7</v>
      </c>
      <c r="AC97" s="100">
        <v>2746.7999999999997</v>
      </c>
      <c r="AD97" s="100">
        <v>6</v>
      </c>
      <c r="AE97" s="100">
        <v>2354.3999999999996</v>
      </c>
      <c r="AF97" s="100">
        <v>10</v>
      </c>
      <c r="AG97" s="100">
        <v>3924</v>
      </c>
      <c r="AH97" s="100">
        <v>8</v>
      </c>
      <c r="AI97" s="100">
        <v>3139.2</v>
      </c>
      <c r="AJ97" s="100">
        <v>6</v>
      </c>
      <c r="AK97" s="100">
        <v>2354.3999999999996</v>
      </c>
      <c r="AL97" s="100">
        <v>10</v>
      </c>
      <c r="AM97" s="100">
        <v>3924</v>
      </c>
      <c r="AN97" s="100">
        <v>9</v>
      </c>
      <c r="AO97" s="100">
        <v>3531.6</v>
      </c>
      <c r="AP97" s="100">
        <v>8</v>
      </c>
      <c r="AQ97" s="100">
        <v>3139.2</v>
      </c>
      <c r="AR97" s="100">
        <v>10</v>
      </c>
      <c r="AS97" s="100">
        <v>3924</v>
      </c>
      <c r="AT97" s="100">
        <v>7.1379310344827411</v>
      </c>
      <c r="AU97" s="100">
        <v>2800.9241379310274</v>
      </c>
      <c r="AV97" s="100">
        <v>2.3985604215414022E-21</v>
      </c>
      <c r="AW97" s="100">
        <v>9.4119510941284626E-19</v>
      </c>
      <c r="AX97" s="100">
        <v>9.0792965109194311E-22</v>
      </c>
      <c r="AY97" s="100">
        <v>3.5627159508847844E-19</v>
      </c>
      <c r="AZ97" s="100">
        <v>4.744054542170991</v>
      </c>
      <c r="BA97" s="100">
        <v>1861.5670023478967</v>
      </c>
      <c r="BB97" s="100">
        <v>8.4112149532710259</v>
      </c>
      <c r="BC97" s="100">
        <v>3300.5607476635505</v>
      </c>
      <c r="BD97" s="100">
        <v>7.9295154185022021</v>
      </c>
      <c r="BE97" s="100">
        <v>3111.5418502202638</v>
      </c>
      <c r="BF97" s="100">
        <v>8</v>
      </c>
      <c r="BG97" s="100">
        <v>3139.2</v>
      </c>
      <c r="BH97" s="100">
        <v>10</v>
      </c>
      <c r="BI97" s="100">
        <v>3924</v>
      </c>
      <c r="BJ97" s="100">
        <v>11</v>
      </c>
      <c r="BK97" s="100">
        <v>4316.3999999999996</v>
      </c>
      <c r="BL97" s="100">
        <v>12</v>
      </c>
      <c r="BM97" s="100">
        <v>4708.7999999999993</v>
      </c>
      <c r="BN97" s="100">
        <v>8</v>
      </c>
      <c r="BO97" s="100">
        <v>3139.2</v>
      </c>
      <c r="BP97" s="100">
        <v>8</v>
      </c>
      <c r="BQ97" s="100">
        <v>3139.2</v>
      </c>
      <c r="BR97" s="100">
        <v>8</v>
      </c>
      <c r="BS97" s="100">
        <v>3139.2</v>
      </c>
      <c r="BT97" s="100">
        <v>10.907172995780581</v>
      </c>
      <c r="BU97" s="100">
        <v>4279.9746835442993</v>
      </c>
      <c r="BV97" s="100">
        <v>11.304347826086955</v>
      </c>
      <c r="BW97" s="100">
        <v>4435.8260869565211</v>
      </c>
      <c r="BX97" s="100">
        <v>9</v>
      </c>
      <c r="BY97" s="100">
        <v>3531.6</v>
      </c>
      <c r="BZ97" s="100">
        <v>9</v>
      </c>
      <c r="CA97" s="100">
        <v>3531.6</v>
      </c>
      <c r="CB97" s="100">
        <v>9</v>
      </c>
      <c r="CC97" s="100">
        <v>3531.6</v>
      </c>
      <c r="CD97" s="100">
        <v>6</v>
      </c>
      <c r="CE97" s="100">
        <v>2354.3999999999996</v>
      </c>
      <c r="CF97" s="100">
        <v>7</v>
      </c>
      <c r="CG97" s="100">
        <v>2746.7999999999997</v>
      </c>
      <c r="CH97" s="100">
        <v>9</v>
      </c>
      <c r="CI97" s="100">
        <v>3531.6</v>
      </c>
      <c r="CJ97" s="100">
        <v>7</v>
      </c>
      <c r="CK97" s="100">
        <v>2746.7999999999997</v>
      </c>
      <c r="CL97" s="100">
        <v>12</v>
      </c>
      <c r="CM97" s="100">
        <v>4708.7999999999993</v>
      </c>
      <c r="CN97" s="100">
        <v>11</v>
      </c>
      <c r="CO97" s="100">
        <v>4316.3999999999996</v>
      </c>
      <c r="CP97" s="100">
        <v>8</v>
      </c>
      <c r="CQ97" s="100">
        <v>3139.2</v>
      </c>
      <c r="CR97" s="100">
        <v>8</v>
      </c>
      <c r="CS97" s="100">
        <v>3139.2</v>
      </c>
      <c r="CT97" s="100">
        <v>11</v>
      </c>
      <c r="CU97" s="100">
        <v>4316.3999999999996</v>
      </c>
    </row>
    <row r="98" spans="2:99">
      <c r="C98" s="99" t="s">
        <v>264</v>
      </c>
      <c r="D98" s="100">
        <v>7</v>
      </c>
      <c r="E98" s="100">
        <v>3679.2000000000003</v>
      </c>
      <c r="F98" s="100">
        <v>5</v>
      </c>
      <c r="G98" s="100">
        <v>2628</v>
      </c>
      <c r="H98" s="100">
        <v>12</v>
      </c>
      <c r="I98" s="100">
        <v>6307.2000000000007</v>
      </c>
      <c r="J98" s="100">
        <v>8</v>
      </c>
      <c r="K98" s="100">
        <v>4204.8</v>
      </c>
      <c r="L98" s="100">
        <v>9</v>
      </c>
      <c r="M98" s="100">
        <v>4730.4000000000005</v>
      </c>
      <c r="N98" s="100">
        <v>7.2340425531914843</v>
      </c>
      <c r="O98" s="100">
        <v>3802.2127659574444</v>
      </c>
      <c r="P98" s="100">
        <v>7.6555023923444976</v>
      </c>
      <c r="Q98" s="100">
        <v>4023.7320574162682</v>
      </c>
      <c r="R98" s="100">
        <v>5.9893048128342237</v>
      </c>
      <c r="S98" s="100">
        <v>3147.978609625668</v>
      </c>
      <c r="T98" s="100">
        <v>6</v>
      </c>
      <c r="U98" s="100">
        <v>3153.6000000000004</v>
      </c>
      <c r="V98" s="100">
        <v>9</v>
      </c>
      <c r="W98" s="100">
        <v>4730.4000000000005</v>
      </c>
      <c r="X98" s="100">
        <v>8</v>
      </c>
      <c r="Y98" s="100">
        <v>4204.8</v>
      </c>
      <c r="Z98" s="100">
        <v>8</v>
      </c>
      <c r="AA98" s="100">
        <v>4204.8</v>
      </c>
      <c r="AB98" s="100">
        <v>7</v>
      </c>
      <c r="AC98" s="100">
        <v>3679.2000000000003</v>
      </c>
      <c r="AD98" s="100">
        <v>6</v>
      </c>
      <c r="AE98" s="100">
        <v>3153.6000000000004</v>
      </c>
      <c r="AF98" s="100">
        <v>11</v>
      </c>
      <c r="AG98" s="100">
        <v>5781.6</v>
      </c>
      <c r="AH98" s="100">
        <v>7</v>
      </c>
      <c r="AI98" s="100">
        <v>3679.2000000000003</v>
      </c>
      <c r="AJ98" s="100">
        <v>6</v>
      </c>
      <c r="AK98" s="100">
        <v>3153.6000000000004</v>
      </c>
      <c r="AL98" s="100">
        <v>10</v>
      </c>
      <c r="AM98" s="100">
        <v>5256</v>
      </c>
      <c r="AN98" s="100">
        <v>8</v>
      </c>
      <c r="AO98" s="100">
        <v>4204.8</v>
      </c>
      <c r="AP98" s="100">
        <v>7</v>
      </c>
      <c r="AQ98" s="100">
        <v>3679.2000000000003</v>
      </c>
      <c r="AR98" s="100">
        <v>9</v>
      </c>
      <c r="AS98" s="100">
        <v>4730.4000000000005</v>
      </c>
      <c r="AT98" s="100">
        <v>7.1379310344827411</v>
      </c>
      <c r="AU98" s="100">
        <v>3751.6965517241288</v>
      </c>
      <c r="AV98" s="100">
        <v>2.7983204917983027E-21</v>
      </c>
      <c r="AW98" s="100">
        <v>1.470797250489188E-18</v>
      </c>
      <c r="AX98" s="100">
        <v>1.0592512596072671E-21</v>
      </c>
      <c r="AY98" s="100">
        <v>5.5674246204957957E-19</v>
      </c>
      <c r="AZ98" s="100">
        <v>4.744054542170991</v>
      </c>
      <c r="BA98" s="100">
        <v>2493.4750673650728</v>
      </c>
      <c r="BB98" s="100">
        <v>9.3457943925233629</v>
      </c>
      <c r="BC98" s="100">
        <v>4912.1495327102793</v>
      </c>
      <c r="BD98" s="100">
        <v>8.8105726872246688</v>
      </c>
      <c r="BE98" s="100">
        <v>4630.8370044052863</v>
      </c>
      <c r="BF98" s="100">
        <v>9</v>
      </c>
      <c r="BG98" s="100">
        <v>4730.4000000000005</v>
      </c>
      <c r="BH98" s="100">
        <v>10</v>
      </c>
      <c r="BI98" s="100">
        <v>5256</v>
      </c>
      <c r="BJ98" s="100">
        <v>11</v>
      </c>
      <c r="BK98" s="100">
        <v>5781.6</v>
      </c>
      <c r="BL98" s="100">
        <v>11</v>
      </c>
      <c r="BM98" s="100">
        <v>5781.6</v>
      </c>
      <c r="BN98" s="100">
        <v>8</v>
      </c>
      <c r="BO98" s="100">
        <v>4204.8</v>
      </c>
      <c r="BP98" s="100">
        <v>9</v>
      </c>
      <c r="BQ98" s="100">
        <v>4730.4000000000005</v>
      </c>
      <c r="BR98" s="100">
        <v>8</v>
      </c>
      <c r="BS98" s="100">
        <v>4204.8</v>
      </c>
      <c r="BT98" s="100">
        <v>9.915611814345981</v>
      </c>
      <c r="BU98" s="100">
        <v>5211.6455696202474</v>
      </c>
      <c r="BV98" s="100">
        <v>9.5652173913043459</v>
      </c>
      <c r="BW98" s="100">
        <v>5027.4782608695641</v>
      </c>
      <c r="BX98" s="100">
        <v>8</v>
      </c>
      <c r="BY98" s="100">
        <v>4204.8</v>
      </c>
      <c r="BZ98" s="100">
        <v>9</v>
      </c>
      <c r="CA98" s="100">
        <v>4730.4000000000005</v>
      </c>
      <c r="CB98" s="100">
        <v>8</v>
      </c>
      <c r="CC98" s="100">
        <v>4204.8</v>
      </c>
      <c r="CD98" s="100">
        <v>6</v>
      </c>
      <c r="CE98" s="100">
        <v>3153.6000000000004</v>
      </c>
      <c r="CF98" s="100">
        <v>8</v>
      </c>
      <c r="CG98" s="100">
        <v>4204.8</v>
      </c>
      <c r="CH98" s="100">
        <v>9</v>
      </c>
      <c r="CI98" s="100">
        <v>4730.4000000000005</v>
      </c>
      <c r="CJ98" s="100">
        <v>8</v>
      </c>
      <c r="CK98" s="100">
        <v>4204.8</v>
      </c>
      <c r="CL98" s="100">
        <v>11</v>
      </c>
      <c r="CM98" s="100">
        <v>5781.6</v>
      </c>
      <c r="CN98" s="100">
        <v>11</v>
      </c>
      <c r="CO98" s="100">
        <v>5781.6</v>
      </c>
      <c r="CP98" s="100">
        <v>8</v>
      </c>
      <c r="CQ98" s="100">
        <v>4204.8</v>
      </c>
      <c r="CR98" s="100">
        <v>8</v>
      </c>
      <c r="CS98" s="100">
        <v>4204.8</v>
      </c>
      <c r="CT98" s="100">
        <v>12</v>
      </c>
      <c r="CU98" s="100">
        <v>6307.2000000000007</v>
      </c>
    </row>
    <row r="99" spans="2:99">
      <c r="C99" s="99" t="s">
        <v>265</v>
      </c>
      <c r="D99" s="100">
        <v>5</v>
      </c>
      <c r="E99" s="100">
        <v>21042</v>
      </c>
      <c r="F99" s="100">
        <v>4</v>
      </c>
      <c r="G99" s="100">
        <v>16833.599999999999</v>
      </c>
      <c r="H99" s="100">
        <v>9</v>
      </c>
      <c r="I99" s="100">
        <v>37875.599999999999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5.7872340425531874</v>
      </c>
      <c r="O99" s="100">
        <v>24354.995744680833</v>
      </c>
      <c r="P99" s="100">
        <v>5.3588516746411488</v>
      </c>
      <c r="Q99" s="100">
        <v>22552.191387559807</v>
      </c>
      <c r="R99" s="100">
        <v>5.1336898395721935</v>
      </c>
      <c r="S99" s="100">
        <v>21604.620320855618</v>
      </c>
      <c r="T99" s="100">
        <v>5</v>
      </c>
      <c r="U99" s="100">
        <v>21042</v>
      </c>
      <c r="V99" s="100">
        <v>7</v>
      </c>
      <c r="W99" s="100">
        <v>29458.799999999996</v>
      </c>
      <c r="X99" s="100">
        <v>7</v>
      </c>
      <c r="Y99" s="100">
        <v>29458.799999999996</v>
      </c>
      <c r="Z99" s="100">
        <v>7</v>
      </c>
      <c r="AA99" s="100">
        <v>29458.799999999996</v>
      </c>
      <c r="AB99" s="100">
        <v>5</v>
      </c>
      <c r="AC99" s="100">
        <v>21042</v>
      </c>
      <c r="AD99" s="100">
        <v>4</v>
      </c>
      <c r="AE99" s="100">
        <v>16833.599999999999</v>
      </c>
      <c r="AF99" s="100">
        <v>7</v>
      </c>
      <c r="AG99" s="100">
        <v>29458.799999999996</v>
      </c>
      <c r="AH99" s="100">
        <v>6</v>
      </c>
      <c r="AI99" s="100">
        <v>25250.399999999998</v>
      </c>
      <c r="AJ99" s="100">
        <v>5</v>
      </c>
      <c r="AK99" s="100">
        <v>21042</v>
      </c>
      <c r="AL99" s="100">
        <v>7</v>
      </c>
      <c r="AM99" s="100">
        <v>29458.799999999996</v>
      </c>
      <c r="AN99" s="100">
        <v>7</v>
      </c>
      <c r="AO99" s="100">
        <v>29458.799999999996</v>
      </c>
      <c r="AP99" s="100">
        <v>6</v>
      </c>
      <c r="AQ99" s="100">
        <v>25250.399999999998</v>
      </c>
      <c r="AR99" s="100">
        <v>7</v>
      </c>
      <c r="AS99" s="100">
        <v>29458.799999999996</v>
      </c>
      <c r="AT99" s="100">
        <v>5.5517241379310205</v>
      </c>
      <c r="AU99" s="100">
        <v>23363.875862068904</v>
      </c>
      <c r="AV99" s="100">
        <v>1.9988003512845021E-21</v>
      </c>
      <c r="AW99" s="100">
        <v>8.4117513983456982E-18</v>
      </c>
      <c r="AX99" s="100">
        <v>7.5660804257661932E-22</v>
      </c>
      <c r="AY99" s="100">
        <v>3.1841092863794446E-18</v>
      </c>
      <c r="AZ99" s="100">
        <v>3.1627030281139943</v>
      </c>
      <c r="BA99" s="100">
        <v>13309.919423514932</v>
      </c>
      <c r="BB99" s="100">
        <v>6.5420560747663536</v>
      </c>
      <c r="BC99" s="100">
        <v>27531.588785046719</v>
      </c>
      <c r="BD99" s="100">
        <v>6.1674008810572678</v>
      </c>
      <c r="BE99" s="100">
        <v>25954.889867841404</v>
      </c>
      <c r="BF99" s="100">
        <v>7</v>
      </c>
      <c r="BG99" s="100">
        <v>29458.799999999996</v>
      </c>
      <c r="BH99" s="100">
        <v>8</v>
      </c>
      <c r="BI99" s="100">
        <v>33667.199999999997</v>
      </c>
      <c r="BJ99" s="100">
        <v>8</v>
      </c>
      <c r="BK99" s="100">
        <v>33667.199999999997</v>
      </c>
      <c r="BL99" s="100">
        <v>9</v>
      </c>
      <c r="BM99" s="100">
        <v>37875.599999999999</v>
      </c>
      <c r="BN99" s="100">
        <v>6</v>
      </c>
      <c r="BO99" s="100">
        <v>25250.399999999998</v>
      </c>
      <c r="BP99" s="100">
        <v>6</v>
      </c>
      <c r="BQ99" s="100">
        <v>25250.399999999998</v>
      </c>
      <c r="BR99" s="100">
        <v>7</v>
      </c>
      <c r="BS99" s="100">
        <v>29458.799999999996</v>
      </c>
      <c r="BT99" s="100">
        <v>7.9324894514767852</v>
      </c>
      <c r="BU99" s="100">
        <v>33383.088607594902</v>
      </c>
      <c r="BV99" s="100">
        <v>6.9565217391304337</v>
      </c>
      <c r="BW99" s="100">
        <v>29275.826086956513</v>
      </c>
      <c r="BX99" s="100">
        <v>7</v>
      </c>
      <c r="BY99" s="100">
        <v>29458.799999999996</v>
      </c>
      <c r="BZ99" s="100">
        <v>6</v>
      </c>
      <c r="CA99" s="100">
        <v>25250.399999999998</v>
      </c>
      <c r="CB99" s="100">
        <v>7</v>
      </c>
      <c r="CC99" s="100">
        <v>29458.799999999996</v>
      </c>
      <c r="CD99" s="100">
        <v>5</v>
      </c>
      <c r="CE99" s="100">
        <v>21042</v>
      </c>
      <c r="CF99" s="100">
        <v>6</v>
      </c>
      <c r="CG99" s="100">
        <v>25250.399999999998</v>
      </c>
      <c r="CH99" s="100">
        <v>7</v>
      </c>
      <c r="CI99" s="100">
        <v>29458.799999999996</v>
      </c>
      <c r="CJ99" s="100">
        <v>6</v>
      </c>
      <c r="CK99" s="100">
        <v>25250.399999999998</v>
      </c>
      <c r="CL99" s="100">
        <v>8</v>
      </c>
      <c r="CM99" s="100">
        <v>33667.199999999997</v>
      </c>
      <c r="CN99" s="100">
        <v>10</v>
      </c>
      <c r="CO99" s="100">
        <v>42084</v>
      </c>
      <c r="CP99" s="100">
        <v>6</v>
      </c>
      <c r="CQ99" s="100">
        <v>25250.399999999998</v>
      </c>
      <c r="CR99" s="100">
        <v>6</v>
      </c>
      <c r="CS99" s="100">
        <v>25250.399999999998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7</v>
      </c>
      <c r="E100" s="100">
        <v>2268</v>
      </c>
      <c r="F100" s="100">
        <v>6</v>
      </c>
      <c r="G100" s="100">
        <v>1944</v>
      </c>
      <c r="H100" s="100">
        <v>11</v>
      </c>
      <c r="I100" s="100">
        <v>3564</v>
      </c>
      <c r="J100" s="100">
        <v>8</v>
      </c>
      <c r="K100" s="100">
        <v>2592</v>
      </c>
      <c r="L100" s="100">
        <v>8</v>
      </c>
      <c r="M100" s="100">
        <v>2592</v>
      </c>
      <c r="N100" s="100">
        <v>7.9574468085106327</v>
      </c>
      <c r="O100" s="100">
        <v>2578.2127659574448</v>
      </c>
      <c r="P100" s="100">
        <v>8.4210526315789469</v>
      </c>
      <c r="Q100" s="100">
        <v>2728.4210526315787</v>
      </c>
      <c r="R100" s="100">
        <v>6.8449197860962565</v>
      </c>
      <c r="S100" s="100">
        <v>2217.7540106951869</v>
      </c>
      <c r="T100" s="100">
        <v>6</v>
      </c>
      <c r="U100" s="100">
        <v>1944</v>
      </c>
      <c r="V100" s="100">
        <v>11</v>
      </c>
      <c r="W100" s="100">
        <v>3564</v>
      </c>
      <c r="X100" s="100">
        <v>9</v>
      </c>
      <c r="Y100" s="100">
        <v>2916</v>
      </c>
      <c r="Z100" s="100">
        <v>9</v>
      </c>
      <c r="AA100" s="100">
        <v>2916</v>
      </c>
      <c r="AB100" s="100">
        <v>8</v>
      </c>
      <c r="AC100" s="100">
        <v>2592</v>
      </c>
      <c r="AD100" s="100">
        <v>6</v>
      </c>
      <c r="AE100" s="100">
        <v>1944</v>
      </c>
      <c r="AF100" s="100">
        <v>9</v>
      </c>
      <c r="AG100" s="100">
        <v>2916</v>
      </c>
      <c r="AH100" s="100">
        <v>7</v>
      </c>
      <c r="AI100" s="100">
        <v>2268</v>
      </c>
      <c r="AJ100" s="100">
        <v>7</v>
      </c>
      <c r="AK100" s="100">
        <v>2268</v>
      </c>
      <c r="AL100" s="100">
        <v>9</v>
      </c>
      <c r="AM100" s="100">
        <v>2916</v>
      </c>
      <c r="AN100" s="100">
        <v>9</v>
      </c>
      <c r="AO100" s="100">
        <v>2916</v>
      </c>
      <c r="AP100" s="100">
        <v>8</v>
      </c>
      <c r="AQ100" s="100">
        <v>2592</v>
      </c>
      <c r="AR100" s="100">
        <v>9</v>
      </c>
      <c r="AS100" s="100">
        <v>2916</v>
      </c>
      <c r="AT100" s="100">
        <v>7.9310344827586006</v>
      </c>
      <c r="AU100" s="100">
        <v>2569.6551724137867</v>
      </c>
      <c r="AV100" s="100">
        <v>2.7983204917983027E-21</v>
      </c>
      <c r="AW100" s="100">
        <v>9.0665583934265001E-19</v>
      </c>
      <c r="AX100" s="100">
        <v>1.0592512596072671E-21</v>
      </c>
      <c r="AY100" s="100">
        <v>3.4319740811275453E-19</v>
      </c>
      <c r="AZ100" s="100">
        <v>4.744054542170991</v>
      </c>
      <c r="BA100" s="100">
        <v>1537.073671663401</v>
      </c>
      <c r="BB100" s="100">
        <v>9.3457943925233629</v>
      </c>
      <c r="BC100" s="100">
        <v>3028.0373831775696</v>
      </c>
      <c r="BD100" s="100">
        <v>7.9295154185022021</v>
      </c>
      <c r="BE100" s="100">
        <v>2569.1629955947133</v>
      </c>
      <c r="BF100" s="100">
        <v>9</v>
      </c>
      <c r="BG100" s="100">
        <v>2916</v>
      </c>
      <c r="BH100" s="100">
        <v>12</v>
      </c>
      <c r="BI100" s="100">
        <v>3888</v>
      </c>
      <c r="BJ100" s="100">
        <v>11</v>
      </c>
      <c r="BK100" s="100">
        <v>3564</v>
      </c>
      <c r="BL100" s="100">
        <v>10</v>
      </c>
      <c r="BM100" s="100">
        <v>3240</v>
      </c>
      <c r="BN100" s="100">
        <v>9</v>
      </c>
      <c r="BO100" s="100">
        <v>2916</v>
      </c>
      <c r="BP100" s="100">
        <v>9</v>
      </c>
      <c r="BQ100" s="100">
        <v>2916</v>
      </c>
      <c r="BR100" s="100">
        <v>9</v>
      </c>
      <c r="BS100" s="100">
        <v>2916</v>
      </c>
      <c r="BT100" s="100">
        <v>9.915611814345981</v>
      </c>
      <c r="BU100" s="100">
        <v>3212.6582278480978</v>
      </c>
      <c r="BV100" s="100">
        <v>9.5652173913043459</v>
      </c>
      <c r="BW100" s="100">
        <v>3099.1304347826081</v>
      </c>
      <c r="BX100" s="100">
        <v>9</v>
      </c>
      <c r="BY100" s="100">
        <v>2916</v>
      </c>
      <c r="BZ100" s="100">
        <v>8</v>
      </c>
      <c r="CA100" s="100">
        <v>2592</v>
      </c>
      <c r="CB100" s="100">
        <v>8</v>
      </c>
      <c r="CC100" s="100">
        <v>2592</v>
      </c>
      <c r="CD100" s="100">
        <v>6</v>
      </c>
      <c r="CE100" s="100">
        <v>1944</v>
      </c>
      <c r="CF100" s="100">
        <v>8</v>
      </c>
      <c r="CG100" s="100">
        <v>2592</v>
      </c>
      <c r="CH100" s="100">
        <v>9</v>
      </c>
      <c r="CI100" s="100">
        <v>2916</v>
      </c>
      <c r="CJ100" s="100">
        <v>9</v>
      </c>
      <c r="CK100" s="100">
        <v>2916</v>
      </c>
      <c r="CL100" s="100">
        <v>12</v>
      </c>
      <c r="CM100" s="100">
        <v>3888</v>
      </c>
      <c r="CN100" s="100">
        <v>12</v>
      </c>
      <c r="CO100" s="100">
        <v>3888</v>
      </c>
      <c r="CP100" s="100">
        <v>8</v>
      </c>
      <c r="CQ100" s="100">
        <v>2592</v>
      </c>
      <c r="CR100" s="100">
        <v>8</v>
      </c>
      <c r="CS100" s="100">
        <v>2592</v>
      </c>
      <c r="CT100" s="100">
        <v>11</v>
      </c>
      <c r="CU100" s="100">
        <v>3564</v>
      </c>
    </row>
    <row r="101" spans="2:99">
      <c r="C101" s="99" t="s">
        <v>267</v>
      </c>
      <c r="D101" s="100">
        <v>7</v>
      </c>
      <c r="E101" s="100">
        <v>5065.2</v>
      </c>
      <c r="F101" s="100">
        <v>5</v>
      </c>
      <c r="G101" s="100">
        <v>3618</v>
      </c>
      <c r="H101" s="100">
        <v>12</v>
      </c>
      <c r="I101" s="100">
        <v>8683.2000000000007</v>
      </c>
      <c r="J101" s="100">
        <v>7</v>
      </c>
      <c r="K101" s="100">
        <v>5065.2</v>
      </c>
      <c r="L101" s="100">
        <v>10</v>
      </c>
      <c r="M101" s="100">
        <v>7236</v>
      </c>
      <c r="N101" s="100">
        <v>7.9574468085106327</v>
      </c>
      <c r="O101" s="100">
        <v>5758.008510638294</v>
      </c>
      <c r="P101" s="100">
        <v>6.8899521531100483</v>
      </c>
      <c r="Q101" s="100">
        <v>4985.5693779904313</v>
      </c>
      <c r="R101" s="100">
        <v>5.9893048128342237</v>
      </c>
      <c r="S101" s="100">
        <v>4333.8609625668441</v>
      </c>
      <c r="T101" s="100">
        <v>6</v>
      </c>
      <c r="U101" s="100">
        <v>4341.6000000000004</v>
      </c>
      <c r="V101" s="100">
        <v>9</v>
      </c>
      <c r="W101" s="100">
        <v>6512.4000000000005</v>
      </c>
      <c r="X101" s="100">
        <v>8</v>
      </c>
      <c r="Y101" s="100">
        <v>5788.8</v>
      </c>
      <c r="Z101" s="100">
        <v>9</v>
      </c>
      <c r="AA101" s="100">
        <v>6512.4000000000005</v>
      </c>
      <c r="AB101" s="100">
        <v>7</v>
      </c>
      <c r="AC101" s="100">
        <v>5065.2</v>
      </c>
      <c r="AD101" s="100">
        <v>6</v>
      </c>
      <c r="AE101" s="100">
        <v>4341.6000000000004</v>
      </c>
      <c r="AF101" s="100">
        <v>10</v>
      </c>
      <c r="AG101" s="100">
        <v>7236</v>
      </c>
      <c r="AH101" s="100">
        <v>8</v>
      </c>
      <c r="AI101" s="100">
        <v>5788.8</v>
      </c>
      <c r="AJ101" s="100">
        <v>6</v>
      </c>
      <c r="AK101" s="100">
        <v>4341.6000000000004</v>
      </c>
      <c r="AL101" s="100">
        <v>9</v>
      </c>
      <c r="AM101" s="100">
        <v>6512.4000000000005</v>
      </c>
      <c r="AN101" s="100">
        <v>8</v>
      </c>
      <c r="AO101" s="100">
        <v>5788.8</v>
      </c>
      <c r="AP101" s="100">
        <v>8</v>
      </c>
      <c r="AQ101" s="100">
        <v>5788.8</v>
      </c>
      <c r="AR101" s="100">
        <v>8</v>
      </c>
      <c r="AS101" s="100">
        <v>5788.8</v>
      </c>
      <c r="AT101" s="100">
        <v>6.3448275862068808</v>
      </c>
      <c r="AU101" s="100">
        <v>4591.1172413792992</v>
      </c>
      <c r="AV101" s="100">
        <v>2.3985604215414022E-21</v>
      </c>
      <c r="AW101" s="100">
        <v>1.7355983210273587E-18</v>
      </c>
      <c r="AX101" s="100">
        <v>9.0792965109194311E-22</v>
      </c>
      <c r="AY101" s="100">
        <v>6.5697789553013006E-19</v>
      </c>
      <c r="AZ101" s="100">
        <v>3.9533787851424926</v>
      </c>
      <c r="BA101" s="100">
        <v>2860.6648889291077</v>
      </c>
      <c r="BB101" s="100">
        <v>9.3457943925233629</v>
      </c>
      <c r="BC101" s="100">
        <v>6762.6168224299054</v>
      </c>
      <c r="BD101" s="100">
        <v>8.8105726872246688</v>
      </c>
      <c r="BE101" s="100">
        <v>6375.3303964757706</v>
      </c>
      <c r="BF101" s="100">
        <v>8</v>
      </c>
      <c r="BG101" s="100">
        <v>5788.8</v>
      </c>
      <c r="BH101" s="100">
        <v>11</v>
      </c>
      <c r="BI101" s="100">
        <v>7959.6</v>
      </c>
      <c r="BJ101" s="100">
        <v>11</v>
      </c>
      <c r="BK101" s="100">
        <v>7959.6</v>
      </c>
      <c r="BL101" s="100">
        <v>10</v>
      </c>
      <c r="BM101" s="100">
        <v>7236</v>
      </c>
      <c r="BN101" s="100">
        <v>9</v>
      </c>
      <c r="BO101" s="100">
        <v>6512.4000000000005</v>
      </c>
      <c r="BP101" s="100">
        <v>9</v>
      </c>
      <c r="BQ101" s="100">
        <v>6512.4000000000005</v>
      </c>
      <c r="BR101" s="100">
        <v>9</v>
      </c>
      <c r="BS101" s="100">
        <v>6512.4000000000005</v>
      </c>
      <c r="BT101" s="100">
        <v>9.915611814345981</v>
      </c>
      <c r="BU101" s="100">
        <v>7174.9367088607523</v>
      </c>
      <c r="BV101" s="100">
        <v>9.5652173913043459</v>
      </c>
      <c r="BW101" s="100">
        <v>6921.3913043478251</v>
      </c>
      <c r="BX101" s="100">
        <v>9</v>
      </c>
      <c r="BY101" s="100">
        <v>6512.4000000000005</v>
      </c>
      <c r="BZ101" s="100">
        <v>9</v>
      </c>
      <c r="CA101" s="100">
        <v>6512.4000000000005</v>
      </c>
      <c r="CB101" s="100">
        <v>8</v>
      </c>
      <c r="CC101" s="100">
        <v>5788.8</v>
      </c>
      <c r="CD101" s="100">
        <v>5</v>
      </c>
      <c r="CE101" s="100">
        <v>3618</v>
      </c>
      <c r="CF101" s="100">
        <v>8</v>
      </c>
      <c r="CG101" s="100">
        <v>5788.8</v>
      </c>
      <c r="CH101" s="100">
        <v>10</v>
      </c>
      <c r="CI101" s="100">
        <v>7236</v>
      </c>
      <c r="CJ101" s="100">
        <v>8</v>
      </c>
      <c r="CK101" s="100">
        <v>5788.8</v>
      </c>
      <c r="CL101" s="100">
        <v>12</v>
      </c>
      <c r="CM101" s="100">
        <v>8683.2000000000007</v>
      </c>
      <c r="CN101" s="100">
        <v>11</v>
      </c>
      <c r="CO101" s="100">
        <v>7959.6</v>
      </c>
      <c r="CP101" s="100">
        <v>8</v>
      </c>
      <c r="CQ101" s="100">
        <v>5788.8</v>
      </c>
      <c r="CR101" s="100">
        <v>9</v>
      </c>
      <c r="CS101" s="100">
        <v>6512.4000000000005</v>
      </c>
      <c r="CT101" s="100">
        <v>10</v>
      </c>
      <c r="CU101" s="100">
        <v>7236</v>
      </c>
    </row>
    <row r="102" spans="2:99">
      <c r="C102" s="99" t="s">
        <v>268</v>
      </c>
      <c r="D102" s="100">
        <v>8</v>
      </c>
      <c r="E102" s="100">
        <v>4252.8</v>
      </c>
      <c r="F102" s="100">
        <v>6</v>
      </c>
      <c r="G102" s="100">
        <v>3189.6000000000004</v>
      </c>
      <c r="H102" s="100">
        <v>12</v>
      </c>
      <c r="I102" s="100">
        <v>6379.2000000000007</v>
      </c>
      <c r="J102" s="100">
        <v>7</v>
      </c>
      <c r="K102" s="100">
        <v>3721.2000000000003</v>
      </c>
      <c r="L102" s="100">
        <v>10</v>
      </c>
      <c r="M102" s="100">
        <v>5316</v>
      </c>
      <c r="N102" s="100">
        <v>7.9574468085106327</v>
      </c>
      <c r="O102" s="100">
        <v>4230.1787234042522</v>
      </c>
      <c r="P102" s="100">
        <v>6.8899521531100483</v>
      </c>
      <c r="Q102" s="100">
        <v>3662.6985645933019</v>
      </c>
      <c r="R102" s="100">
        <v>6.8449197860962565</v>
      </c>
      <c r="S102" s="100">
        <v>3638.7593582887703</v>
      </c>
      <c r="T102" s="100">
        <v>7</v>
      </c>
      <c r="U102" s="100">
        <v>3721.2000000000003</v>
      </c>
      <c r="V102" s="100">
        <v>9</v>
      </c>
      <c r="W102" s="100">
        <v>4784.4000000000005</v>
      </c>
      <c r="X102" s="100">
        <v>9</v>
      </c>
      <c r="Y102" s="100">
        <v>4784.4000000000005</v>
      </c>
      <c r="Z102" s="100">
        <v>9</v>
      </c>
      <c r="AA102" s="100">
        <v>4784.4000000000005</v>
      </c>
      <c r="AB102" s="100">
        <v>7</v>
      </c>
      <c r="AC102" s="100">
        <v>3721.2000000000003</v>
      </c>
      <c r="AD102" s="100">
        <v>6</v>
      </c>
      <c r="AE102" s="100">
        <v>3189.6000000000004</v>
      </c>
      <c r="AF102" s="100">
        <v>10</v>
      </c>
      <c r="AG102" s="100">
        <v>5316</v>
      </c>
      <c r="AH102" s="100">
        <v>7</v>
      </c>
      <c r="AI102" s="100">
        <v>3721.2000000000003</v>
      </c>
      <c r="AJ102" s="100">
        <v>7</v>
      </c>
      <c r="AK102" s="100">
        <v>3721.2000000000003</v>
      </c>
      <c r="AL102" s="100">
        <v>9</v>
      </c>
      <c r="AM102" s="100">
        <v>4784.4000000000005</v>
      </c>
      <c r="AN102" s="100">
        <v>8</v>
      </c>
      <c r="AO102" s="100">
        <v>4252.8</v>
      </c>
      <c r="AP102" s="100">
        <v>8</v>
      </c>
      <c r="AQ102" s="100">
        <v>4252.8</v>
      </c>
      <c r="AR102" s="100">
        <v>8</v>
      </c>
      <c r="AS102" s="100">
        <v>4252.8</v>
      </c>
      <c r="AT102" s="100">
        <v>6.3448275862068808</v>
      </c>
      <c r="AU102" s="100">
        <v>3372.9103448275778</v>
      </c>
      <c r="AV102" s="100">
        <v>2.7983204917983027E-21</v>
      </c>
      <c r="AW102" s="100">
        <v>1.4875871734399777E-18</v>
      </c>
      <c r="AX102" s="100">
        <v>9.0792965109194311E-22</v>
      </c>
      <c r="AY102" s="100">
        <v>4.8265540252047701E-19</v>
      </c>
      <c r="AZ102" s="100">
        <v>4.3487166636567416</v>
      </c>
      <c r="BA102" s="100">
        <v>2311.777778399924</v>
      </c>
      <c r="BB102" s="100">
        <v>9.3457943925233629</v>
      </c>
      <c r="BC102" s="100">
        <v>4968.2242990654195</v>
      </c>
      <c r="BD102" s="100">
        <v>7.9295154185022021</v>
      </c>
      <c r="BE102" s="100">
        <v>4215.3303964757706</v>
      </c>
      <c r="BF102" s="100">
        <v>8</v>
      </c>
      <c r="BG102" s="100">
        <v>4252.8</v>
      </c>
      <c r="BH102" s="100">
        <v>10</v>
      </c>
      <c r="BI102" s="100">
        <v>5316</v>
      </c>
      <c r="BJ102" s="100">
        <v>11</v>
      </c>
      <c r="BK102" s="100">
        <v>5847.6</v>
      </c>
      <c r="BL102" s="100">
        <v>11</v>
      </c>
      <c r="BM102" s="100">
        <v>5847.6</v>
      </c>
      <c r="BN102" s="100">
        <v>9</v>
      </c>
      <c r="BO102" s="100">
        <v>4784.4000000000005</v>
      </c>
      <c r="BP102" s="100">
        <v>9</v>
      </c>
      <c r="BQ102" s="100">
        <v>4784.4000000000005</v>
      </c>
      <c r="BR102" s="100">
        <v>8</v>
      </c>
      <c r="BS102" s="100">
        <v>4252.8</v>
      </c>
      <c r="BT102" s="100">
        <v>10.907172995780581</v>
      </c>
      <c r="BU102" s="100">
        <v>5798.253164556957</v>
      </c>
      <c r="BV102" s="100">
        <v>9.5652173913043459</v>
      </c>
      <c r="BW102" s="100">
        <v>5084.8695652173901</v>
      </c>
      <c r="BX102" s="100">
        <v>9</v>
      </c>
      <c r="BY102" s="100">
        <v>4784.4000000000005</v>
      </c>
      <c r="BZ102" s="100">
        <v>8</v>
      </c>
      <c r="CA102" s="100">
        <v>4252.8</v>
      </c>
      <c r="CB102" s="100">
        <v>8</v>
      </c>
      <c r="CC102" s="100">
        <v>4252.8</v>
      </c>
      <c r="CD102" s="100">
        <v>6</v>
      </c>
      <c r="CE102" s="100">
        <v>3189.6000000000004</v>
      </c>
      <c r="CF102" s="100">
        <v>8</v>
      </c>
      <c r="CG102" s="100">
        <v>4252.8</v>
      </c>
      <c r="CH102" s="100">
        <v>10</v>
      </c>
      <c r="CI102" s="100">
        <v>5316</v>
      </c>
      <c r="CJ102" s="100">
        <v>7</v>
      </c>
      <c r="CK102" s="100">
        <v>3721.2000000000003</v>
      </c>
      <c r="CL102" s="100">
        <v>11</v>
      </c>
      <c r="CM102" s="100">
        <v>5847.6</v>
      </c>
      <c r="CN102" s="100">
        <v>12</v>
      </c>
      <c r="CO102" s="100">
        <v>6379.2000000000007</v>
      </c>
      <c r="CP102" s="100">
        <v>7</v>
      </c>
      <c r="CQ102" s="100">
        <v>3721.2000000000003</v>
      </c>
      <c r="CR102" s="100">
        <v>8</v>
      </c>
      <c r="CS102" s="100">
        <v>4252.8</v>
      </c>
      <c r="CT102" s="100">
        <v>11</v>
      </c>
      <c r="CU102" s="100">
        <v>5847.6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6</v>
      </c>
      <c r="G103" s="100">
        <v>3535.2</v>
      </c>
      <c r="H103" s="100">
        <v>10</v>
      </c>
      <c r="I103" s="100">
        <v>5891.9999999999991</v>
      </c>
      <c r="J103" s="100">
        <v>7</v>
      </c>
      <c r="K103" s="100">
        <v>4124.3999999999996</v>
      </c>
      <c r="L103" s="100">
        <v>9</v>
      </c>
      <c r="M103" s="100">
        <v>5302.7999999999993</v>
      </c>
      <c r="N103" s="100">
        <v>7.9574468085106327</v>
      </c>
      <c r="O103" s="100">
        <v>4688.5276595744645</v>
      </c>
      <c r="P103" s="100">
        <v>7.6555023923444976</v>
      </c>
      <c r="Q103" s="100">
        <v>4510.622009569377</v>
      </c>
      <c r="R103" s="100">
        <v>6.8449197860962565</v>
      </c>
      <c r="S103" s="100">
        <v>4033.026737967914</v>
      </c>
      <c r="T103" s="100">
        <v>6</v>
      </c>
      <c r="U103" s="100">
        <v>3535.2</v>
      </c>
      <c r="V103" s="100">
        <v>9</v>
      </c>
      <c r="W103" s="100">
        <v>5302.7999999999993</v>
      </c>
      <c r="X103" s="100">
        <v>8</v>
      </c>
      <c r="Y103" s="100">
        <v>4713.5999999999995</v>
      </c>
      <c r="Z103" s="100">
        <v>9</v>
      </c>
      <c r="AA103" s="100">
        <v>5302.7999999999993</v>
      </c>
      <c r="AB103" s="100">
        <v>7</v>
      </c>
      <c r="AC103" s="100">
        <v>4124.3999999999996</v>
      </c>
      <c r="AD103" s="100">
        <v>5</v>
      </c>
      <c r="AE103" s="100">
        <v>2945.9999999999995</v>
      </c>
      <c r="AF103" s="100">
        <v>10</v>
      </c>
      <c r="AG103" s="100">
        <v>5891.9999999999991</v>
      </c>
      <c r="AH103" s="100">
        <v>7</v>
      </c>
      <c r="AI103" s="100">
        <v>4124.3999999999996</v>
      </c>
      <c r="AJ103" s="100">
        <v>6</v>
      </c>
      <c r="AK103" s="100">
        <v>3535.2</v>
      </c>
      <c r="AL103" s="100">
        <v>10</v>
      </c>
      <c r="AM103" s="100">
        <v>5891.9999999999991</v>
      </c>
      <c r="AN103" s="100">
        <v>9</v>
      </c>
      <c r="AO103" s="100">
        <v>5302.7999999999993</v>
      </c>
      <c r="AP103" s="100">
        <v>7</v>
      </c>
      <c r="AQ103" s="100">
        <v>4124.3999999999996</v>
      </c>
      <c r="AR103" s="100">
        <v>9</v>
      </c>
      <c r="AS103" s="100">
        <v>5302.7999999999993</v>
      </c>
      <c r="AT103" s="100">
        <v>7.1379310344827411</v>
      </c>
      <c r="AU103" s="100">
        <v>4205.6689655172304</v>
      </c>
      <c r="AV103" s="100">
        <v>2.7983204917983027E-21</v>
      </c>
      <c r="AW103" s="100">
        <v>1.6487704337675598E-18</v>
      </c>
      <c r="AX103" s="100">
        <v>1.0592512596072671E-21</v>
      </c>
      <c r="AY103" s="100">
        <v>6.2411084216060173E-19</v>
      </c>
      <c r="AZ103" s="100">
        <v>3.9533787851424926</v>
      </c>
      <c r="BA103" s="100">
        <v>2329.3307802059562</v>
      </c>
      <c r="BB103" s="100">
        <v>10.2803738317757</v>
      </c>
      <c r="BC103" s="100">
        <v>6057.196261682242</v>
      </c>
      <c r="BD103" s="100">
        <v>7.9295154185022021</v>
      </c>
      <c r="BE103" s="100">
        <v>4672.0704845814971</v>
      </c>
      <c r="BF103" s="100">
        <v>9</v>
      </c>
      <c r="BG103" s="100">
        <v>5302.7999999999993</v>
      </c>
      <c r="BH103" s="100">
        <v>10</v>
      </c>
      <c r="BI103" s="100">
        <v>5891.9999999999991</v>
      </c>
      <c r="BJ103" s="100">
        <v>10</v>
      </c>
      <c r="BK103" s="100">
        <v>5891.9999999999991</v>
      </c>
      <c r="BL103" s="100">
        <v>11</v>
      </c>
      <c r="BM103" s="100">
        <v>6481.1999999999989</v>
      </c>
      <c r="BN103" s="100">
        <v>9</v>
      </c>
      <c r="BO103" s="100">
        <v>5302.7999999999993</v>
      </c>
      <c r="BP103" s="100">
        <v>8</v>
      </c>
      <c r="BQ103" s="100">
        <v>4713.5999999999995</v>
      </c>
      <c r="BR103" s="100">
        <v>9</v>
      </c>
      <c r="BS103" s="100">
        <v>5302.7999999999993</v>
      </c>
      <c r="BT103" s="100">
        <v>8.9240506329113849</v>
      </c>
      <c r="BU103" s="100">
        <v>5258.0506329113878</v>
      </c>
      <c r="BV103" s="100">
        <v>10.434782608695651</v>
      </c>
      <c r="BW103" s="100">
        <v>6148.1739130434762</v>
      </c>
      <c r="BX103" s="100">
        <v>8</v>
      </c>
      <c r="BY103" s="100">
        <v>4713.5999999999995</v>
      </c>
      <c r="BZ103" s="100">
        <v>8</v>
      </c>
      <c r="CA103" s="100">
        <v>4713.5999999999995</v>
      </c>
      <c r="CB103" s="100">
        <v>9</v>
      </c>
      <c r="CC103" s="100">
        <v>5302.7999999999993</v>
      </c>
      <c r="CD103" s="100">
        <v>6</v>
      </c>
      <c r="CE103" s="100">
        <v>3535.2</v>
      </c>
      <c r="CF103" s="100">
        <v>9</v>
      </c>
      <c r="CG103" s="100">
        <v>5302.7999999999993</v>
      </c>
      <c r="CH103" s="100">
        <v>9</v>
      </c>
      <c r="CI103" s="100">
        <v>5302.7999999999993</v>
      </c>
      <c r="CJ103" s="100">
        <v>8</v>
      </c>
      <c r="CK103" s="100">
        <v>4713.5999999999995</v>
      </c>
      <c r="CL103" s="100">
        <v>12</v>
      </c>
      <c r="CM103" s="100">
        <v>7070.4</v>
      </c>
      <c r="CN103" s="100">
        <v>11</v>
      </c>
      <c r="CO103" s="100">
        <v>6481.1999999999989</v>
      </c>
      <c r="CP103" s="100">
        <v>7</v>
      </c>
      <c r="CQ103" s="100">
        <v>4124.3999999999996</v>
      </c>
      <c r="CR103" s="100">
        <v>8</v>
      </c>
      <c r="CS103" s="100">
        <v>4713.5999999999995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7</v>
      </c>
      <c r="E104" s="100">
        <v>4426.8</v>
      </c>
      <c r="F104" s="100">
        <v>6</v>
      </c>
      <c r="G104" s="100">
        <v>3794.3999999999996</v>
      </c>
      <c r="H104" s="100">
        <v>11</v>
      </c>
      <c r="I104" s="100">
        <v>6956.4</v>
      </c>
      <c r="J104" s="100">
        <v>8</v>
      </c>
      <c r="K104" s="100">
        <v>5059.2</v>
      </c>
      <c r="L104" s="100">
        <v>8</v>
      </c>
      <c r="M104" s="100">
        <v>5059.2</v>
      </c>
      <c r="N104" s="100">
        <v>7.2340425531914843</v>
      </c>
      <c r="O104" s="100">
        <v>4574.8085106382941</v>
      </c>
      <c r="P104" s="100">
        <v>6.8899521531100483</v>
      </c>
      <c r="Q104" s="100">
        <v>4357.2057416267944</v>
      </c>
      <c r="R104" s="100">
        <v>5.9893048128342237</v>
      </c>
      <c r="S104" s="100">
        <v>3787.6363636363631</v>
      </c>
      <c r="T104" s="100">
        <v>6</v>
      </c>
      <c r="U104" s="100">
        <v>3794.3999999999996</v>
      </c>
      <c r="V104" s="100">
        <v>9</v>
      </c>
      <c r="W104" s="100">
        <v>5691.5999999999995</v>
      </c>
      <c r="X104" s="100">
        <v>8</v>
      </c>
      <c r="Y104" s="100">
        <v>5059.2</v>
      </c>
      <c r="Z104" s="100">
        <v>8</v>
      </c>
      <c r="AA104" s="100">
        <v>5059.2</v>
      </c>
      <c r="AB104" s="100">
        <v>7</v>
      </c>
      <c r="AC104" s="100">
        <v>4426.8</v>
      </c>
      <c r="AD104" s="100">
        <v>6</v>
      </c>
      <c r="AE104" s="100">
        <v>3794.3999999999996</v>
      </c>
      <c r="AF104" s="100">
        <v>10</v>
      </c>
      <c r="AG104" s="100">
        <v>6324</v>
      </c>
      <c r="AH104" s="100">
        <v>8</v>
      </c>
      <c r="AI104" s="100">
        <v>5059.2</v>
      </c>
      <c r="AJ104" s="100">
        <v>6</v>
      </c>
      <c r="AK104" s="100">
        <v>3794.3999999999996</v>
      </c>
      <c r="AL104" s="100">
        <v>9</v>
      </c>
      <c r="AM104" s="100">
        <v>5691.5999999999995</v>
      </c>
      <c r="AN104" s="100">
        <v>8</v>
      </c>
      <c r="AO104" s="100">
        <v>5059.2</v>
      </c>
      <c r="AP104" s="100">
        <v>7</v>
      </c>
      <c r="AQ104" s="100">
        <v>4426.8</v>
      </c>
      <c r="AR104" s="100">
        <v>8</v>
      </c>
      <c r="AS104" s="100">
        <v>5059.2</v>
      </c>
      <c r="AT104" s="100">
        <v>7.1379310344827411</v>
      </c>
      <c r="AU104" s="100">
        <v>4514.0275862068856</v>
      </c>
      <c r="AV104" s="100">
        <v>2.7983204917983027E-21</v>
      </c>
      <c r="AW104" s="100">
        <v>1.7696578790132465E-18</v>
      </c>
      <c r="AX104" s="100">
        <v>1.0592512596072671E-21</v>
      </c>
      <c r="AY104" s="100">
        <v>6.6987049657563565E-19</v>
      </c>
      <c r="AZ104" s="100">
        <v>3.9533787851424926</v>
      </c>
      <c r="BA104" s="100">
        <v>2500.1167437241124</v>
      </c>
      <c r="BB104" s="100">
        <v>10.2803738317757</v>
      </c>
      <c r="BC104" s="100">
        <v>6501.3084112149527</v>
      </c>
      <c r="BD104" s="100">
        <v>7.9295154185022021</v>
      </c>
      <c r="BE104" s="100">
        <v>5014.6255506607922</v>
      </c>
      <c r="BF104" s="100">
        <v>8</v>
      </c>
      <c r="BG104" s="100">
        <v>5059.2</v>
      </c>
      <c r="BH104" s="100">
        <v>10</v>
      </c>
      <c r="BI104" s="100">
        <v>6324</v>
      </c>
      <c r="BJ104" s="100">
        <v>11</v>
      </c>
      <c r="BK104" s="100">
        <v>6956.4</v>
      </c>
      <c r="BL104" s="100">
        <v>11</v>
      </c>
      <c r="BM104" s="100">
        <v>6956.4</v>
      </c>
      <c r="BN104" s="100">
        <v>9</v>
      </c>
      <c r="BO104" s="100">
        <v>5691.5999999999995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8.9240506329113849</v>
      </c>
      <c r="BU104" s="100">
        <v>5643.5696202531599</v>
      </c>
      <c r="BV104" s="100">
        <v>10.434782608695651</v>
      </c>
      <c r="BW104" s="100">
        <v>6598.9565217391291</v>
      </c>
      <c r="BX104" s="100">
        <v>9</v>
      </c>
      <c r="BY104" s="100">
        <v>5691.5999999999995</v>
      </c>
      <c r="BZ104" s="100">
        <v>8</v>
      </c>
      <c r="CA104" s="100">
        <v>5059.2</v>
      </c>
      <c r="CB104" s="100">
        <v>8</v>
      </c>
      <c r="CC104" s="100">
        <v>5059.2</v>
      </c>
      <c r="CD104" s="100">
        <v>6</v>
      </c>
      <c r="CE104" s="100">
        <v>3794.3999999999996</v>
      </c>
      <c r="CF104" s="100">
        <v>7</v>
      </c>
      <c r="CG104" s="100">
        <v>4426.8</v>
      </c>
      <c r="CH104" s="100">
        <v>9</v>
      </c>
      <c r="CI104" s="100">
        <v>5691.5999999999995</v>
      </c>
      <c r="CJ104" s="100">
        <v>8</v>
      </c>
      <c r="CK104" s="100">
        <v>5059.2</v>
      </c>
      <c r="CL104" s="100">
        <v>12</v>
      </c>
      <c r="CM104" s="100">
        <v>7588.7999999999993</v>
      </c>
      <c r="CN104" s="100">
        <v>11</v>
      </c>
      <c r="CO104" s="100">
        <v>6956.4</v>
      </c>
      <c r="CP104" s="100">
        <v>7</v>
      </c>
      <c r="CQ104" s="100">
        <v>4426.8</v>
      </c>
      <c r="CR104" s="100">
        <v>8</v>
      </c>
      <c r="CS104" s="100">
        <v>5059.2</v>
      </c>
      <c r="CT104" s="100">
        <v>10</v>
      </c>
      <c r="CU104" s="100">
        <v>6324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6</v>
      </c>
      <c r="G105" s="100">
        <v>3340.7999999999997</v>
      </c>
      <c r="H105" s="100">
        <v>11</v>
      </c>
      <c r="I105" s="100">
        <v>6124.7999999999993</v>
      </c>
      <c r="J105" s="100">
        <v>8</v>
      </c>
      <c r="K105" s="100">
        <v>4454.3999999999996</v>
      </c>
      <c r="L105" s="100">
        <v>10</v>
      </c>
      <c r="M105" s="100">
        <v>5568</v>
      </c>
      <c r="N105" s="100">
        <v>7.9574468085106327</v>
      </c>
      <c r="O105" s="100">
        <v>4430.7063829787203</v>
      </c>
      <c r="P105" s="100">
        <v>8.4210526315789469</v>
      </c>
      <c r="Q105" s="100">
        <v>4688.8421052631575</v>
      </c>
      <c r="R105" s="100">
        <v>5.9893048128342237</v>
      </c>
      <c r="S105" s="100">
        <v>3334.8449197860955</v>
      </c>
      <c r="T105" s="100">
        <v>6</v>
      </c>
      <c r="U105" s="100">
        <v>3340.7999999999997</v>
      </c>
      <c r="V105" s="100">
        <v>10</v>
      </c>
      <c r="W105" s="100">
        <v>5568</v>
      </c>
      <c r="X105" s="100">
        <v>8</v>
      </c>
      <c r="Y105" s="100">
        <v>4454.3999999999996</v>
      </c>
      <c r="Z105" s="100">
        <v>9</v>
      </c>
      <c r="AA105" s="100">
        <v>5011.2</v>
      </c>
      <c r="AB105" s="100">
        <v>7</v>
      </c>
      <c r="AC105" s="100">
        <v>3897.5999999999995</v>
      </c>
      <c r="AD105" s="100">
        <v>6</v>
      </c>
      <c r="AE105" s="100">
        <v>3340.7999999999997</v>
      </c>
      <c r="AF105" s="100">
        <v>10</v>
      </c>
      <c r="AG105" s="100">
        <v>5568</v>
      </c>
      <c r="AH105" s="100">
        <v>7</v>
      </c>
      <c r="AI105" s="100">
        <v>3897.5999999999995</v>
      </c>
      <c r="AJ105" s="100">
        <v>6</v>
      </c>
      <c r="AK105" s="100">
        <v>3340.7999999999997</v>
      </c>
      <c r="AL105" s="100">
        <v>9</v>
      </c>
      <c r="AM105" s="100">
        <v>5011.2</v>
      </c>
      <c r="AN105" s="100">
        <v>9</v>
      </c>
      <c r="AO105" s="100">
        <v>5011.2</v>
      </c>
      <c r="AP105" s="100">
        <v>7</v>
      </c>
      <c r="AQ105" s="100">
        <v>3897.5999999999995</v>
      </c>
      <c r="AR105" s="100">
        <v>8</v>
      </c>
      <c r="AS105" s="100">
        <v>4454.3999999999996</v>
      </c>
      <c r="AT105" s="100">
        <v>7.1379310344827411</v>
      </c>
      <c r="AU105" s="100">
        <v>3974.3999999999901</v>
      </c>
      <c r="AV105" s="100">
        <v>2.7983204917983027E-21</v>
      </c>
      <c r="AW105" s="100">
        <v>1.5581048498332948E-18</v>
      </c>
      <c r="AX105" s="100">
        <v>1.0592512596072671E-21</v>
      </c>
      <c r="AY105" s="100">
        <v>5.8979110134932628E-19</v>
      </c>
      <c r="AZ105" s="100">
        <v>4.744054542170991</v>
      </c>
      <c r="BA105" s="100">
        <v>2641.4895690808075</v>
      </c>
      <c r="BB105" s="100">
        <v>9.3457943925233629</v>
      </c>
      <c r="BC105" s="100">
        <v>5203.7383177570082</v>
      </c>
      <c r="BD105" s="100">
        <v>8.8105726872246688</v>
      </c>
      <c r="BE105" s="100">
        <v>4905.7268722466952</v>
      </c>
      <c r="BF105" s="100">
        <v>9</v>
      </c>
      <c r="BG105" s="100">
        <v>5011.2</v>
      </c>
      <c r="BH105" s="100">
        <v>11</v>
      </c>
      <c r="BI105" s="100">
        <v>6124.7999999999993</v>
      </c>
      <c r="BJ105" s="100">
        <v>11</v>
      </c>
      <c r="BK105" s="100">
        <v>6124.7999999999993</v>
      </c>
      <c r="BL105" s="100">
        <v>10</v>
      </c>
      <c r="BM105" s="100">
        <v>5568</v>
      </c>
      <c r="BN105" s="100">
        <v>9</v>
      </c>
      <c r="BO105" s="100">
        <v>5011.2</v>
      </c>
      <c r="BP105" s="100">
        <v>8</v>
      </c>
      <c r="BQ105" s="100">
        <v>4454.3999999999996</v>
      </c>
      <c r="BR105" s="100">
        <v>8</v>
      </c>
      <c r="BS105" s="100">
        <v>4454.3999999999996</v>
      </c>
      <c r="BT105" s="100">
        <v>9.915611814345981</v>
      </c>
      <c r="BU105" s="100">
        <v>5521.0126582278417</v>
      </c>
      <c r="BV105" s="100">
        <v>9.5652173913043459</v>
      </c>
      <c r="BW105" s="100">
        <v>5325.9130434782592</v>
      </c>
      <c r="BX105" s="100">
        <v>9</v>
      </c>
      <c r="BY105" s="100">
        <v>5011.2</v>
      </c>
      <c r="BZ105" s="100">
        <v>8</v>
      </c>
      <c r="CA105" s="100">
        <v>4454.3999999999996</v>
      </c>
      <c r="CB105" s="100">
        <v>9</v>
      </c>
      <c r="CC105" s="100">
        <v>5011.2</v>
      </c>
      <c r="CD105" s="100">
        <v>5</v>
      </c>
      <c r="CE105" s="100">
        <v>2784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8</v>
      </c>
      <c r="CK105" s="100">
        <v>4454.3999999999996</v>
      </c>
      <c r="CL105" s="100">
        <v>12</v>
      </c>
      <c r="CM105" s="100">
        <v>6681.5999999999995</v>
      </c>
      <c r="CN105" s="100">
        <v>12</v>
      </c>
      <c r="CO105" s="100">
        <v>6681.5999999999995</v>
      </c>
      <c r="CP105" s="100">
        <v>8</v>
      </c>
      <c r="CQ105" s="100">
        <v>4454.3999999999996</v>
      </c>
      <c r="CR105" s="100">
        <v>8</v>
      </c>
      <c r="CS105" s="100">
        <v>4454.3999999999996</v>
      </c>
      <c r="CT105" s="100">
        <v>10</v>
      </c>
      <c r="CU105" s="100">
        <v>5568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1126</v>
      </c>
      <c r="E109" s="100">
        <f>SUM(L$6:L$19)+SUM(N$6:N$19)+SUM(P$6:P$19)+SUM(R$6:R$19)</f>
        <v>1029.418159128232</v>
      </c>
      <c r="F109" s="100">
        <f>SUM(T$6:T$19)+SUM(V$6:V$19)+SUM(X$6:X$19)+SUM(Z$6:Z$19)</f>
        <v>833.55870102838423</v>
      </c>
      <c r="G109" s="100">
        <f>SUM(AB$6:AB$19)+SUM(AD$6:AD$19)+SUM(AF$6:AF$19)+SUM(AH$6:AH$19)</f>
        <v>1275.349294998078</v>
      </c>
      <c r="H109" s="100">
        <f>SUM(AJ$6:AJ$19)+SUM(AL$6:AL$19)+SUM(AN$6:AN$19)+SUM(AP$6:AP$19)</f>
        <v>1113</v>
      </c>
      <c r="I109" s="100">
        <f>SUM(AR$6:AR$19)+SUM(AT$6:AT$19)+SUM(AV$6:AV$19)+SUM(AX$6:AX$19)</f>
        <v>1255.1009947766861</v>
      </c>
      <c r="J109" s="100">
        <f>SUM(AZ$6:AZ$19)+SUM(BB$6:BB$19)+SUM(BD$6:BD$19)+SUM(BF$6:BF$19)</f>
        <v>1095.8418865536519</v>
      </c>
      <c r="K109" s="100">
        <f>SUM(BH$6:BH$19)+SUM(BJ$6:BJ$19)+SUM(BL$6:BL$19)+SUM(BN$6:BN$19)</f>
        <v>1393.6786711047334</v>
      </c>
      <c r="L109" s="100">
        <f>SUM(BP$6:BP$19)+SUM(BR$6:BR$19)+SUM(BT$6:BT$19)+SUM(BV$6:BV$19)</f>
        <v>1172.1096541740021</v>
      </c>
      <c r="M109" s="100">
        <f>SUM(BX$6:BX$19)+SUM(BZ$6:BZ$19)+SUM(CB$6:CB$19)+SUM(CD$6:CD$19)</f>
        <v>1464</v>
      </c>
      <c r="N109" s="100">
        <f>SUM(CF$6:CF$19)+SUM(CH$6:CH$19)+SUM(CJ$6:CJ$19)+SUM(CL$6:CL$19)</f>
        <v>1317.9913023892659</v>
      </c>
      <c r="O109" s="100">
        <f>SUM(CN$6:CN$19)+SUM(CP$6:CP$19)+SUM(CR$6:CR$19)+SUM(CT$6:CT$19)</f>
        <v>1255</v>
      </c>
    </row>
    <row r="110" spans="2:99">
      <c r="C110" s="99" t="s">
        <v>127</v>
      </c>
      <c r="D110" s="100">
        <f>SUM(D$20:D$36)+SUM(F$20:F$36)+SUM(H$20:H$36)+SUM(J$20:J$36)</f>
        <v>1374</v>
      </c>
      <c r="E110" s="100">
        <f>SUM(L$20:L$36)+SUM(N$20:N$36)+SUM(P$20:P$36)+SUM(R$20:R$36)</f>
        <v>1504.1859039353922</v>
      </c>
      <c r="F110" s="100">
        <f>SUM(T$20:T$36)+SUM(V$20:V$36)+SUM(X$20:X$36)+SUM(Z$20:Z$36)</f>
        <v>1359.7689025980128</v>
      </c>
      <c r="G110" s="100">
        <f>SUM(AB$20:AB$36)+SUM(AD$20:AD$36)+SUM(AF$20:AF$36)+SUM(AH$20:AH$36)</f>
        <v>1352.6537745076421</v>
      </c>
      <c r="H110" s="100">
        <f>SUM(AJ$20:AJ$36)+SUM(AL$20:AL$36)+SUM(AN$20:AN$36)+SUM(AP$20:AP$36)</f>
        <v>1329</v>
      </c>
      <c r="I110" s="100">
        <f>SUM(AR$20:AR$36)+SUM(AT$20:AT$36)+SUM(AV$20:AV$36)+SUM(AX$20:AX$36)</f>
        <v>1227.5141930519781</v>
      </c>
      <c r="J110" s="100">
        <f>SUM(AZ$20:AZ$36)+SUM(BB$20:BB$36)+SUM(BD$20:BD$36)+SUM(BF$20:BF$36)</f>
        <v>1431.665161449826</v>
      </c>
      <c r="K110" s="100">
        <f>SUM(BH$20:BH$36)+SUM(BJ$20:BJ$36)+SUM(BL$20:BL$36)+SUM(BN$20:BN$36)</f>
        <v>1379.4250264133491</v>
      </c>
      <c r="L110" s="100">
        <f>SUM(BP$20:BP$36)+SUM(BR$20:BR$36)+SUM(BT$20:BT$36)+SUM(BV$20:BV$36)</f>
        <v>1489.9446449581019</v>
      </c>
      <c r="M110" s="100">
        <f>SUM(BX$20:BX$36)+SUM(BZ$20:BZ$36)+SUM(CB$20:CB$36)+SUM(CD$20:CD$36)</f>
        <v>1557</v>
      </c>
      <c r="N110" s="100">
        <f>SUM(CF$20:CF$36)+SUM(CH$20:CH$36)+SUM(CJ$20:CJ$36)+SUM(CL$20:CL$36)</f>
        <v>1605.1690030235284</v>
      </c>
      <c r="O110" s="100">
        <f>SUM(CN$20:CN$36)+SUM(CP$20:CP$36)+SUM(CR$20:CR$36)+SUM(CT$20:CT$36)</f>
        <v>1344</v>
      </c>
    </row>
    <row r="111" spans="2:99">
      <c r="C111" s="99" t="s">
        <v>128</v>
      </c>
      <c r="D111" s="100">
        <f>SUM(D$37:D$48)+SUM(F$37:F$48)+SUM(H$37:H$48)+SUM(J$37:J$48)</f>
        <v>681</v>
      </c>
      <c r="E111" s="100">
        <f>SUM(L$37:L$48)+SUM(N$37:N$48)+SUM(P$37:P$48)+SUM(R$37:R$48)</f>
        <v>634.26898333294253</v>
      </c>
      <c r="F111" s="100">
        <f>SUM(T$37:T$48)+SUM(V$37:V$48)+SUM(X$37:X$48)+SUM(Z$37:Z$48)</f>
        <v>647.93344206311895</v>
      </c>
      <c r="G111" s="100">
        <f>SUM(AB$37:AB$48)+SUM(AD$37:AD$48)+SUM(AF$37:AF$48)+SUM(AH$37:AH$48)</f>
        <v>556.92770171010545</v>
      </c>
      <c r="H111" s="100">
        <f>SUM(AJ$37:AJ$48)+SUM(AL$37:AL$48)+SUM(AN$37:AN$48)+SUM(AP$37:AP$48)</f>
        <v>697</v>
      </c>
      <c r="I111" s="100">
        <f>SUM(AR$37:AR$48)+SUM(AT$37:AT$48)+SUM(AV$37:AV$48)+SUM(AX$37:AX$48)</f>
        <v>605.06480318838192</v>
      </c>
      <c r="J111" s="100">
        <f>SUM(AZ$37:AZ$48)+SUM(BB$37:BB$48)+SUM(BD$37:BD$48)+SUM(BF$37:BF$48)</f>
        <v>653.22917773863196</v>
      </c>
      <c r="K111" s="100">
        <f>SUM(BH$37:BH$48)+SUM(BJ$37:BJ$48)+SUM(BL$37:BL$48)+SUM(BN$37:BN$48)</f>
        <v>559.75229655878536</v>
      </c>
      <c r="L111" s="100">
        <f>SUM(BP$37:BP$48)+SUM(BR$37:BR$48)+SUM(BT$37:BT$48)+SUM(BV$37:BV$48)</f>
        <v>548.83946142384355</v>
      </c>
      <c r="M111" s="100">
        <f>SUM(BX$37:BX$48)+SUM(BZ$37:BZ$48)+SUM(CB$37:CB$48)+SUM(CD$37:CD$48)</f>
        <v>769</v>
      </c>
      <c r="N111" s="100">
        <f>SUM(CF$37:CF$48)+SUM(CH$37:CH$48)+SUM(CJ$37:CJ$48)+SUM(CL$37:CL$48)</f>
        <v>728.38249165112461</v>
      </c>
      <c r="O111" s="100">
        <f>SUM(CN$37:CN$48)+SUM(CP$37:CP$48)+SUM(CR$37:CR$48)+SUM(CT$37:CT$48)</f>
        <v>633</v>
      </c>
    </row>
    <row r="112" spans="2:99">
      <c r="C112" s="99" t="s">
        <v>129</v>
      </c>
      <c r="D112" s="100">
        <f>SUM(D$49:D$70)+SUM(F$49:F$70)+SUM(H$49:H$70)+SUM(J$49:J$70)</f>
        <v>1279.7341463414634</v>
      </c>
      <c r="E112" s="100">
        <f>SUM(L$49:L$70)+SUM(N$49:N$70)+SUM(P$49:P$70)+SUM(R$49:R$70)</f>
        <v>1219.1167748488606</v>
      </c>
      <c r="F112" s="100">
        <f>SUM(T$49:T$70)+SUM(V$49:V$70)+SUM(X$49:X$70)+SUM(Z$49:Z$70)</f>
        <v>982.88539397106979</v>
      </c>
      <c r="G112" s="100">
        <f>SUM(AB$49:AB$70)+SUM(AD$49:AD$70)+SUM(AF$49:AF$70)+SUM(AH$49:AH$70)</f>
        <v>953.97310132558084</v>
      </c>
      <c r="H112" s="100">
        <f>SUM(AJ$49:AJ$70)+SUM(AL$49:AL$70)+SUM(AN$49:AN$70)+SUM(AP$49:AP$70)</f>
        <v>1135.1656804733727</v>
      </c>
      <c r="I112" s="100">
        <f>SUM(AR$49:AR$70)+SUM(AT$49:AT$70)+SUM(AV$49:AV$70)+SUM(AX$49:AX$70)</f>
        <v>1051.6323734656098</v>
      </c>
      <c r="J112" s="100">
        <f>SUM(AZ$49:AZ$70)+SUM(BB$49:BB$70)+SUM(BD$49:BD$70)+SUM(BF$49:BF$70)</f>
        <v>990.34076042176002</v>
      </c>
      <c r="K112" s="100">
        <f>SUM(BH$49:BH$70)+SUM(BJ$49:BJ$70)+SUM(BL$49:BL$70)+SUM(BN$49:BN$70)</f>
        <v>851.03926870506746</v>
      </c>
      <c r="L112" s="100">
        <f>SUM(BP$49:BP$70)+SUM(BR$49:BR$70)+SUM(BT$49:BT$70)+SUM(BV$49:BV$70)</f>
        <v>1219.2201457538854</v>
      </c>
      <c r="M112" s="100">
        <f>SUM(BX$49:BX$70)+SUM(BZ$49:BZ$70)+SUM(CB$49:CB$70)+SUM(CD$49:CD$70)</f>
        <v>1135.0210526315791</v>
      </c>
      <c r="N112" s="100">
        <f>SUM(CF$49:CF$70)+SUM(CH$49:CH$70)+SUM(CJ$49:CJ$70)+SUM(CL$49:CL$70)</f>
        <v>1123.4504275482614</v>
      </c>
      <c r="O112" s="100">
        <f>SUM(CN$49:CN$70)+SUM(CP$49:CP$70)+SUM(CR$49:CR$70)+SUM(CT$49:CT$70)</f>
        <v>987</v>
      </c>
    </row>
    <row r="113" spans="2:15">
      <c r="C113" s="99" t="s">
        <v>130</v>
      </c>
      <c r="D113" s="100">
        <f>SUM(D$71:D$86)+SUM(F$71:F$86)+SUM(H$71:H$86)+SUM(J$71:J$86)</f>
        <v>483.26585365853657</v>
      </c>
      <c r="E113" s="100">
        <f>SUM(L$71:L$86)+SUM(N$71:N$86)+SUM(P$71:P$86)+SUM(R$71:R$86)</f>
        <v>376.5</v>
      </c>
      <c r="F113" s="100">
        <f>SUM(T$71:T$86)+SUM(V$71:V$86)+SUM(X$71:X$86)+SUM(Z$71:Z$86)</f>
        <v>490</v>
      </c>
      <c r="G113" s="100">
        <f>SUM(AB$71:AB$86)+SUM(AD$71:AD$86)+SUM(AF$71:AF$86)+SUM(AH$71:AH$86)</f>
        <v>42.963768115942045</v>
      </c>
      <c r="H113" s="100">
        <f>SUM(AJ$71:AJ$86)+SUM(AL$71:AL$86)+SUM(AN$71:AN$86)+SUM(AP$71:AP$86)</f>
        <v>395.83431952662721</v>
      </c>
      <c r="I113" s="100">
        <f>SUM(AR$71:AR$86)+SUM(AT$71:AT$86)+SUM(AV$71:AV$86)+SUM(AX$71:AX$86)</f>
        <v>494</v>
      </c>
      <c r="J113" s="100">
        <f>SUM(AZ$71:AZ$86)+SUM(BB$71:BB$86)+SUM(BD$71:BD$86)+SUM(BF$71:BF$86)</f>
        <v>79.58660266540457</v>
      </c>
      <c r="K113" s="100">
        <f>SUM(BH$71:BH$86)+SUM(BJ$71:BJ$86)+SUM(BL$71:BL$86)+SUM(BN$71:BN$86)</f>
        <v>382.14669178243469</v>
      </c>
      <c r="L113" s="100">
        <f>SUM(BP$71:BP$86)+SUM(BR$71:BR$86)+SUM(BT$71:BT$86)+SUM(BV$71:BV$86)</f>
        <v>457.18585858585857</v>
      </c>
      <c r="M113" s="100">
        <f>SUM(BX$71:BX$86)+SUM(BZ$71:BZ$86)+SUM(CB$71:CB$86)+SUM(CD$71:CD$86)</f>
        <v>443.97894736842102</v>
      </c>
      <c r="N113" s="100">
        <f>SUM(CF$71:CF$86)+SUM(CH$71:CH$86)+SUM(CJ$71:CJ$86)+SUM(CL$71:CL$86)</f>
        <v>507</v>
      </c>
      <c r="O113" s="100">
        <f>SUM(CN$71:CN$86)+SUM(CP$71:CP$86)+SUM(CR$71:CR$86)+SUM(CT$71:CT$86)</f>
        <v>606</v>
      </c>
    </row>
    <row r="114" spans="2:15">
      <c r="C114" s="99" t="s">
        <v>131</v>
      </c>
      <c r="D114" s="100">
        <f>SUM(D$87:D$94)+SUM(F$87:F$94)+SUM(H$87:H$94)+SUM(J$87:J$94)</f>
        <v>297</v>
      </c>
      <c r="E114" s="100">
        <f>SUM(L$87:L$94)+SUM(N$87:N$94)+SUM(P$87:P$94)+SUM(R$87:R$94)</f>
        <v>266.12762963273462</v>
      </c>
      <c r="F114" s="100">
        <f>SUM(T$87:T$94)+SUM(V$87:V$94)+SUM(X$87:X$94)+SUM(Z$87:Z$94)</f>
        <v>240</v>
      </c>
      <c r="G114" s="100">
        <f>SUM(AB$87:AB$94)+SUM(AD$87:AD$94)+SUM(AF$87:AF$94)+SUM(AH$87:AH$94)</f>
        <v>275</v>
      </c>
      <c r="H114" s="100">
        <f>SUM(AJ$87:AJ$94)+SUM(AL$87:AL$94)+SUM(AN$87:AN$94)+SUM(AP$87:AP$94)</f>
        <v>278</v>
      </c>
      <c r="I114" s="100">
        <f>SUM(AR$87:AR$94)+SUM(AT$87:AT$94)+SUM(AV$87:AV$94)+SUM(AX$87:AX$94)</f>
        <v>95.827586206896441</v>
      </c>
      <c r="J114" s="100">
        <f>SUM(AZ$87:AZ$94)+SUM(BB$87:BB$94)+SUM(BD$87:BD$94)+SUM(BF$87:BF$94)</f>
        <v>247.68273623498249</v>
      </c>
      <c r="K114" s="100">
        <f>SUM(BH$87:BH$94)+SUM(BJ$87:BJ$94)+SUM(BL$87:BL$94)+SUM(BN$87:BN$94)</f>
        <v>251</v>
      </c>
      <c r="L114" s="100">
        <f>SUM(BP$87:BP$94)+SUM(BR$87:BR$94)+SUM(BT$87:BT$94)+SUM(BV$87:BV$94)</f>
        <v>353.12951751972105</v>
      </c>
      <c r="M114" s="100">
        <f>SUM(BX$87:BX$94)+SUM(BZ$87:BZ$94)+SUM(CB$87:CB$94)+SUM(CD$87:CD$94)</f>
        <v>273</v>
      </c>
      <c r="N114" s="100">
        <f>SUM(CF$87:CF$94)+SUM(CH$87:CH$94)+SUM(CJ$87:CJ$94)+SUM(CL$87:CL$94)</f>
        <v>310</v>
      </c>
      <c r="O114" s="100">
        <f>SUM(CN$87:CN$94)+SUM(CP$87:CP$94)+SUM(CR$87:CR$94)+SUM(CT$87:CT$94)</f>
        <v>331</v>
      </c>
    </row>
    <row r="115" spans="2:15">
      <c r="C115" s="99" t="s">
        <v>132</v>
      </c>
      <c r="D115" s="100">
        <f>SUM(D$95:D$105)+SUM(F$95:F$105)+SUM(H$95:H$105)+SUM(J$95:J$105)</f>
        <v>345</v>
      </c>
      <c r="E115" s="100">
        <f>SUM(L$95:L$105)+SUM(N$95:N$105)+SUM(P$95:P$105)+SUM(R$95:R$105)</f>
        <v>330.39012282099031</v>
      </c>
      <c r="F115" s="100">
        <f>SUM(T$95:T$105)+SUM(V$95:V$105)+SUM(X$95:X$105)+SUM(Z$95:Z$105)</f>
        <v>350</v>
      </c>
      <c r="G115" s="100">
        <f>SUM(AB$95:AB$105)+SUM(AD$95:AD$105)+SUM(AF$95:AF$105)+SUM(AH$95:AH$105)</f>
        <v>324</v>
      </c>
      <c r="H115" s="100">
        <f>SUM(AJ$95:AJ$105)+SUM(AL$95:AL$105)+SUM(AN$95:AN$105)+SUM(AP$95:AP$105)</f>
        <v>343</v>
      </c>
      <c r="I115" s="100">
        <f>SUM(AR$95:AR$105)+SUM(AT$95:AT$105)+SUM(AV$95:AV$105)+SUM(AX$95:AX$105)</f>
        <v>169.93103448275843</v>
      </c>
      <c r="J115" s="100">
        <f>SUM(AZ$95:AZ$105)+SUM(BB$95:BB$105)+SUM(BD$95:BD$105)+SUM(BF$95:BF$105)</f>
        <v>331.50581268415522</v>
      </c>
      <c r="K115" s="100">
        <f>SUM(BH$95:BH$105)+SUM(BJ$95:BJ$105)+SUM(BL$95:BL$105)+SUM(BN$95:BN$105)</f>
        <v>439</v>
      </c>
      <c r="L115" s="100">
        <f>SUM(BP$95:BP$105)+SUM(BR$95:BR$105)+SUM(BT$95:BT$105)+SUM(BV$95:BV$105)</f>
        <v>396.30599889928442</v>
      </c>
      <c r="M115" s="100">
        <f>SUM(BX$95:BX$105)+SUM(BZ$95:BZ$105)+SUM(CB$95:CB$105)+SUM(CD$95:CD$105)</f>
        <v>338</v>
      </c>
      <c r="N115" s="100">
        <f>SUM(CF$95:CF$105)+SUM(CH$95:CH$105)+SUM(CJ$95:CJ$105)+SUM(CL$95:CL$105)</f>
        <v>394</v>
      </c>
      <c r="O115" s="100">
        <f>SUM(CN$95:CN$105)+SUM(CP$95:CP$105)+SUM(CR$95:CR$105)+SUM(CT$95:CT$105)</f>
        <v>410</v>
      </c>
    </row>
    <row r="116" spans="2:15">
      <c r="C116" s="99" t="s">
        <v>278</v>
      </c>
      <c r="D116" s="100">
        <f t="shared" ref="D116:O116" si="0">SUM(D$109:D$115)</f>
        <v>5586</v>
      </c>
      <c r="E116" s="100">
        <f t="shared" si="0"/>
        <v>5360.007573699153</v>
      </c>
      <c r="F116" s="100">
        <f t="shared" si="0"/>
        <v>4904.1464396605861</v>
      </c>
      <c r="G116" s="100">
        <f t="shared" si="0"/>
        <v>4780.8676406573486</v>
      </c>
      <c r="H116" s="100">
        <f t="shared" si="0"/>
        <v>5291</v>
      </c>
      <c r="I116" s="100">
        <f t="shared" si="0"/>
        <v>4899.0709851723104</v>
      </c>
      <c r="J116" s="100">
        <f t="shared" si="0"/>
        <v>4829.8521377484121</v>
      </c>
      <c r="K116" s="100">
        <f t="shared" si="0"/>
        <v>5256.0419545643699</v>
      </c>
      <c r="L116" s="100">
        <f t="shared" si="0"/>
        <v>5636.7352813146972</v>
      </c>
      <c r="M116" s="100">
        <f t="shared" si="0"/>
        <v>5980</v>
      </c>
      <c r="N116" s="100">
        <f t="shared" si="0"/>
        <v>5985.9932246121807</v>
      </c>
      <c r="O116" s="100">
        <f t="shared" si="0"/>
        <v>5566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3828400</v>
      </c>
      <c r="E120" s="100">
        <f>E109*pricing!E6*2000</f>
        <v>3500021.7410359886</v>
      </c>
      <c r="F120" s="100">
        <f>F109*pricing!F6*2000</f>
        <v>2834099.5834965063</v>
      </c>
      <c r="G120" s="100">
        <f>G109*pricing!G6*2000</f>
        <v>4336187.602993465</v>
      </c>
      <c r="H120" s="100">
        <f>H109*pricing!H6*2000</f>
        <v>3784200</v>
      </c>
      <c r="I120" s="100">
        <f>I109*pricing!I6*2000</f>
        <v>4267343.3822407322</v>
      </c>
      <c r="J120" s="100">
        <f>J109*pricing!J6*2000</f>
        <v>3725862.4142824165</v>
      </c>
      <c r="K120" s="100">
        <f>K109*pricing!K6*2000</f>
        <v>4738507.4817560939</v>
      </c>
      <c r="L120" s="100">
        <f>L109*pricing!L6*2000</f>
        <v>3985172.8241916071</v>
      </c>
      <c r="M120" s="100">
        <f>M109*pricing!M6*2000</f>
        <v>4977599.9999999991</v>
      </c>
      <c r="N120" s="100">
        <f>N109*pricing!N6*2000</f>
        <v>4481170.4281235039</v>
      </c>
      <c r="O120" s="100">
        <f>O109*pricing!O6*2000</f>
        <v>4267000</v>
      </c>
    </row>
    <row r="121" spans="2:15">
      <c r="C121" s="99" t="s">
        <v>127</v>
      </c>
      <c r="D121" s="100">
        <f>D110*pricing!D7*2000</f>
        <v>5496000</v>
      </c>
      <c r="E121" s="100">
        <f>E110*pricing!E7*2000</f>
        <v>6016743.6157415686</v>
      </c>
      <c r="F121" s="100">
        <f>F110*pricing!F7*2000</f>
        <v>5439075.6103920508</v>
      </c>
      <c r="G121" s="100">
        <f>G110*pricing!G7*2000</f>
        <v>5410615.0980305681</v>
      </c>
      <c r="H121" s="100">
        <f>H110*pricing!H7*2000</f>
        <v>5316000</v>
      </c>
      <c r="I121" s="100">
        <f>I110*pricing!I7*2000</f>
        <v>4910056.7722079121</v>
      </c>
      <c r="J121" s="100">
        <f>J110*pricing!J7*2000</f>
        <v>5726660.6457993034</v>
      </c>
      <c r="K121" s="100">
        <f>K110*pricing!K7*2000</f>
        <v>5517700.1056533968</v>
      </c>
      <c r="L121" s="100">
        <f>L110*pricing!L7*2000</f>
        <v>5959778.5798324076</v>
      </c>
      <c r="M121" s="100">
        <f>M110*pricing!M7*2000</f>
        <v>6228000</v>
      </c>
      <c r="N121" s="100">
        <f>N110*pricing!N7*2000</f>
        <v>6420676.012094113</v>
      </c>
      <c r="O121" s="100">
        <f>O110*pricing!O7*2000</f>
        <v>5376000</v>
      </c>
    </row>
    <row r="122" spans="2:15">
      <c r="C122" s="99" t="s">
        <v>128</v>
      </c>
      <c r="D122" s="100">
        <f>D111*pricing!D8*2000</f>
        <v>3064500</v>
      </c>
      <c r="E122" s="100">
        <f>E111*pricing!E8*2000</f>
        <v>2854210.4249982415</v>
      </c>
      <c r="F122" s="100">
        <f>F111*pricing!F8*2000</f>
        <v>2915700.4892840348</v>
      </c>
      <c r="G122" s="100">
        <f>G111*pricing!G8*2000</f>
        <v>2506174.6576954746</v>
      </c>
      <c r="H122" s="100">
        <f>H111*pricing!H8*2000</f>
        <v>3136500</v>
      </c>
      <c r="I122" s="100">
        <f>I111*pricing!I8*2000</f>
        <v>2722791.6143477187</v>
      </c>
      <c r="J122" s="100">
        <f>J111*pricing!J8*2000</f>
        <v>2939531.2998238439</v>
      </c>
      <c r="K122" s="100">
        <f>K111*pricing!K8*2000</f>
        <v>2518885.3345145341</v>
      </c>
      <c r="L122" s="100">
        <f>L111*pricing!L8*2000</f>
        <v>2469777.5764072957</v>
      </c>
      <c r="M122" s="100">
        <f>M111*pricing!M8*2000</f>
        <v>3460500</v>
      </c>
      <c r="N122" s="100">
        <f>N111*pricing!N8*2000</f>
        <v>3277721.2124300608</v>
      </c>
      <c r="O122" s="100">
        <f>O111*pricing!O8*2000</f>
        <v>2848500</v>
      </c>
    </row>
    <row r="123" spans="2:15">
      <c r="C123" s="99" t="s">
        <v>129</v>
      </c>
      <c r="D123" s="100">
        <f>D112*pricing!D9*2000</f>
        <v>5758803.658536585</v>
      </c>
      <c r="E123" s="100">
        <f>E112*pricing!E9*2000</f>
        <v>5486025.4868198726</v>
      </c>
      <c r="F123" s="100">
        <f>F112*pricing!F9*2000</f>
        <v>4422984.2728698142</v>
      </c>
      <c r="G123" s="100">
        <f>G112*pricing!G9*2000</f>
        <v>4292878.9559651138</v>
      </c>
      <c r="H123" s="100">
        <f>H112*pricing!H9*2000</f>
        <v>5108245.5621301774</v>
      </c>
      <c r="I123" s="100">
        <f>I112*pricing!I9*2000</f>
        <v>4732345.6805952443</v>
      </c>
      <c r="J123" s="100">
        <f>J112*pricing!J9*2000</f>
        <v>4456533.4218979208</v>
      </c>
      <c r="K123" s="100">
        <f>K112*pricing!K9*2000</f>
        <v>3829676.7091728034</v>
      </c>
      <c r="L123" s="100">
        <f>L112*pricing!L9*2000</f>
        <v>5486490.6558924839</v>
      </c>
      <c r="M123" s="100">
        <f>M112*pricing!M9*2000</f>
        <v>5107594.7368421061</v>
      </c>
      <c r="N123" s="100">
        <f>N112*pricing!N9*2000</f>
        <v>5055526.9239671761</v>
      </c>
      <c r="O123" s="100">
        <f>O112*pricing!O9*2000</f>
        <v>4441500</v>
      </c>
    </row>
    <row r="124" spans="2:15">
      <c r="C124" s="99" t="s">
        <v>130</v>
      </c>
      <c r="D124" s="100">
        <f>D113*pricing!D10*2000</f>
        <v>2416329.2682926832</v>
      </c>
      <c r="E124" s="100">
        <f>E113*pricing!E10*2000</f>
        <v>1882500</v>
      </c>
      <c r="F124" s="100">
        <f>F113*pricing!F10*2000</f>
        <v>2450000</v>
      </c>
      <c r="G124" s="100">
        <f>G113*pricing!G10*2000</f>
        <v>214818.84057971023</v>
      </c>
      <c r="H124" s="100">
        <f>H113*pricing!H10*2000</f>
        <v>1979171.5976331362</v>
      </c>
      <c r="I124" s="100">
        <f>I113*pricing!I10*2000</f>
        <v>2470000</v>
      </c>
      <c r="J124" s="100">
        <f>J113*pricing!J10*2000</f>
        <v>397933.0133270229</v>
      </c>
      <c r="K124" s="100">
        <f>K113*pricing!K10*2000</f>
        <v>1910733.4589121733</v>
      </c>
      <c r="L124" s="100">
        <f>L113*pricing!L10*2000</f>
        <v>2285929.2929292927</v>
      </c>
      <c r="M124" s="100">
        <f>M113*pricing!M10*2000</f>
        <v>2219894.7368421052</v>
      </c>
      <c r="N124" s="100">
        <f>N113*pricing!N10*2000</f>
        <v>2535000</v>
      </c>
      <c r="O124" s="100">
        <f>O113*pricing!O10*2000</f>
        <v>3030000</v>
      </c>
    </row>
    <row r="125" spans="2:15">
      <c r="C125" s="99" t="s">
        <v>131</v>
      </c>
      <c r="D125" s="100">
        <f>D114*pricing!D11*2000</f>
        <v>1544400</v>
      </c>
      <c r="E125" s="100">
        <f>E114*pricing!E11*2000</f>
        <v>1383863.6740902199</v>
      </c>
      <c r="F125" s="100">
        <f>F114*pricing!F11*2000</f>
        <v>1248000</v>
      </c>
      <c r="G125" s="100">
        <f>G114*pricing!G11*2000</f>
        <v>1430000</v>
      </c>
      <c r="H125" s="100">
        <f>H114*pricing!H11*2000</f>
        <v>1445600.0000000002</v>
      </c>
      <c r="I125" s="100">
        <f>I114*pricing!I11*2000</f>
        <v>498303.4482758615</v>
      </c>
      <c r="J125" s="100">
        <f>J114*pricing!J11*2000</f>
        <v>1287950.228421909</v>
      </c>
      <c r="K125" s="100">
        <f>K114*pricing!K11*2000</f>
        <v>1305200</v>
      </c>
      <c r="L125" s="100">
        <f>L114*pricing!L11*2000</f>
        <v>1836273.4911025495</v>
      </c>
      <c r="M125" s="100">
        <f>M114*pricing!M11*2000</f>
        <v>1419600.0000000002</v>
      </c>
      <c r="N125" s="100">
        <f>N114*pricing!N11*2000</f>
        <v>1612000</v>
      </c>
      <c r="O125" s="100">
        <f>O114*pricing!O11*2000</f>
        <v>1721200</v>
      </c>
    </row>
    <row r="126" spans="2:15">
      <c r="C126" s="99" t="s">
        <v>132</v>
      </c>
      <c r="D126" s="100">
        <f>D115*pricing!D12*2000</f>
        <v>1863000.0000000002</v>
      </c>
      <c r="E126" s="100">
        <f>E115*pricing!E12*2000</f>
        <v>1784106.6632333477</v>
      </c>
      <c r="F126" s="100">
        <f>F115*pricing!F12*2000</f>
        <v>1890000.0000000002</v>
      </c>
      <c r="G126" s="100">
        <f>G115*pricing!G12*2000</f>
        <v>1749600.0000000002</v>
      </c>
      <c r="H126" s="100">
        <f>H115*pricing!H12*2000</f>
        <v>1852200</v>
      </c>
      <c r="I126" s="100">
        <f>I115*pricing!I12*2000</f>
        <v>917627.58620689553</v>
      </c>
      <c r="J126" s="100">
        <f>J115*pricing!J12*2000</f>
        <v>1790131.3884944385</v>
      </c>
      <c r="K126" s="100">
        <f>K115*pricing!K12*2000</f>
        <v>2370600.0000000005</v>
      </c>
      <c r="L126" s="100">
        <f>L115*pricing!L12*2000</f>
        <v>2140052.3940561363</v>
      </c>
      <c r="M126" s="100">
        <f>M115*pricing!M12*2000</f>
        <v>1825200</v>
      </c>
      <c r="N126" s="100">
        <f>N115*pricing!N12*2000</f>
        <v>2127600.0000000005</v>
      </c>
      <c r="O126" s="100">
        <f>O115*pricing!O12*2000</f>
        <v>2214000</v>
      </c>
    </row>
    <row r="127" spans="2:15">
      <c r="C127" s="99" t="s">
        <v>278</v>
      </c>
      <c r="D127" s="100">
        <f t="shared" ref="D127:O127" si="1">SUM(D$120:D$126)</f>
        <v>23971432.926829267</v>
      </c>
      <c r="E127" s="100">
        <f t="shared" si="1"/>
        <v>22907471.605919242</v>
      </c>
      <c r="F127" s="100">
        <f t="shared" si="1"/>
        <v>21199859.956042405</v>
      </c>
      <c r="G127" s="100">
        <f t="shared" si="1"/>
        <v>19940275.155264333</v>
      </c>
      <c r="H127" s="100">
        <f t="shared" si="1"/>
        <v>22621917.15976331</v>
      </c>
      <c r="I127" s="100">
        <f t="shared" si="1"/>
        <v>20518468.483874362</v>
      </c>
      <c r="J127" s="100">
        <f t="shared" si="1"/>
        <v>20324602.412046853</v>
      </c>
      <c r="K127" s="100">
        <f t="shared" si="1"/>
        <v>22191303.090009004</v>
      </c>
      <c r="L127" s="100">
        <f t="shared" si="1"/>
        <v>24163474.814411774</v>
      </c>
      <c r="M127" s="100">
        <f t="shared" si="1"/>
        <v>25238389.473684214</v>
      </c>
      <c r="N127" s="100">
        <f t="shared" si="1"/>
        <v>25509694.576614853</v>
      </c>
      <c r="O127" s="100">
        <f t="shared" si="1"/>
        <v>23898200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563449.19999999995</v>
      </c>
      <c r="E131" s="106">
        <f>SUM(M$6:M$19)+SUM(O$6:O$19)+SUM(Q$6:Q$19)+SUM(S$6:S$19)</f>
        <v>518712.13891007716</v>
      </c>
      <c r="F131" s="106">
        <f>SUM(U$6:U$19)+SUM(W$6:W$19)+SUM(Y$6:Y$19)+SUM(AA$6:AA$19)</f>
        <v>417711.03468668828</v>
      </c>
      <c r="G131" s="106">
        <f>SUM(AC$6:AC$19)+SUM(AE$6:AE$19)+SUM(AG$6:AG$19)+SUM(AI$6:AI$19)</f>
        <v>638640.26784821029</v>
      </c>
      <c r="H131" s="106">
        <f>SUM(AK$6:AK$19)+SUM(AM$6:AM$19)+SUM(AO$6:AO$19)+SUM(AQ$6:AQ$19)</f>
        <v>560047.19999999995</v>
      </c>
      <c r="I131" s="106">
        <f>SUM(AS$6:AS$19)+SUM(AU$6:AU$19)+SUM(AW$6:AW$19)+SUM(AY$6:AY$19)</f>
        <v>633129.00453899836</v>
      </c>
      <c r="J131" s="106">
        <f>SUM(BA$6:BA$19)+SUM(BC$6:BC$19)+SUM(BE$6:BE$19)+SUM(BG$6:BG$19)</f>
        <v>552825.49458077957</v>
      </c>
      <c r="K131" s="106">
        <f>SUM(BI$6:BI$19)+SUM(BK$6:BK$19)+SUM(BM$6:BM$19)+SUM(BO$6:BO$19)</f>
        <v>702776.0609676172</v>
      </c>
      <c r="L131" s="106">
        <f>SUM(BQ$6:BQ$19)+SUM(BS$6:BS$19)+SUM(BU$6:BU$19)+SUM(BW$6:BW$19)</f>
        <v>590107.81145396514</v>
      </c>
      <c r="M131" s="106">
        <f>SUM(BY$6:BY$19)+SUM(CA$6:CA$19)+SUM(CC$6:CC$19)+SUM(CE$6:CE$19)</f>
        <v>734264.4</v>
      </c>
      <c r="N131" s="106">
        <f>SUM(CG$6:CG$19)+SUM(CI$6:CI$19)+SUM(CK$6:CK$19)+SUM(CM$6:CM$19)</f>
        <v>662134.37955196132</v>
      </c>
      <c r="O131" s="106">
        <f>SUM(CO$6:CO$19)+SUM(CQ$6:CQ$19)+SUM(CS$6:CS$19)+SUM(CU$6:CU$19)</f>
        <v>627818.4</v>
      </c>
    </row>
    <row r="132" spans="2:15">
      <c r="C132" s="105" t="s">
        <v>127</v>
      </c>
      <c r="D132" s="106">
        <f>SUM(E$20:E$36)+SUM(G$20:G$36)+SUM(I$20:I$36)+SUM(K$20:K$36)</f>
        <v>584034</v>
      </c>
      <c r="E132" s="106">
        <f>SUM(M$20:M$36)+SUM(O$20:O$36)+SUM(Q$20:Q$36)+SUM(S$20:S$36)</f>
        <v>641764.77155336214</v>
      </c>
      <c r="F132" s="106">
        <f>SUM(U$20:U$36)+SUM(W$20:W$36)+SUM(Y$20:Y$36)+SUM(AA$20:AA$36)</f>
        <v>576619.79314165644</v>
      </c>
      <c r="G132" s="106">
        <f>SUM(AC$20:AC$36)+SUM(AE$20:AE$36)+SUM(AG$20:AG$36)+SUM(AI$20:AI$36)</f>
        <v>576850.62809498957</v>
      </c>
      <c r="H132" s="106">
        <f>SUM(AK$20:AK$36)+SUM(AM$20:AM$36)+SUM(AO$20:AO$36)+SUM(AQ$20:AQ$36)</f>
        <v>564216</v>
      </c>
      <c r="I132" s="106">
        <f>SUM(AS$20:AS$36)+SUM(AU$20:AU$36)+SUM(AW$20:AW$36)+SUM(AY$20:AY$36)</f>
        <v>523536.14323756716</v>
      </c>
      <c r="J132" s="106">
        <f>SUM(BA$20:BA$36)+SUM(BC$20:BC$36)+SUM(BE$20:BE$36)+SUM(BG$20:BG$36)</f>
        <v>608543.35697840608</v>
      </c>
      <c r="K132" s="106">
        <f>SUM(BI$20:BI$36)+SUM(BK$20:BK$36)+SUM(BM$20:BM$36)+SUM(BO$20:BO$36)</f>
        <v>587706.13063667901</v>
      </c>
      <c r="L132" s="106">
        <f>SUM(BQ$20:BQ$36)+SUM(BS$20:BS$36)+SUM(BU$20:BU$36)+SUM(BW$20:BW$36)</f>
        <v>638908.79216790106</v>
      </c>
      <c r="M132" s="106">
        <f>SUM(BY$20:BY$36)+SUM(CA$20:CA$36)+SUM(CC$20:CC$36)+SUM(CE$20:CE$36)</f>
        <v>660105.6</v>
      </c>
      <c r="N132" s="106">
        <f>SUM(CG$20:CG$36)+SUM(CI$20:CI$36)+SUM(CK$20:CK$36)+SUM(CM$20:CM$36)</f>
        <v>688451.23911521153</v>
      </c>
      <c r="O132" s="106">
        <f>SUM(CO$20:CO$36)+SUM(CQ$20:CQ$36)+SUM(CS$20:CS$36)+SUM(CU$20:CU$36)</f>
        <v>572468.4</v>
      </c>
    </row>
    <row r="133" spans="2:15">
      <c r="C133" s="105" t="s">
        <v>128</v>
      </c>
      <c r="D133" s="106">
        <f>SUM(E$37:E$48)+SUM(G$37:G$48)+SUM(I$37:I$48)+SUM(K$37:K$48)</f>
        <v>713042.4</v>
      </c>
      <c r="E133" s="106">
        <f>SUM(M$37:M$48)+SUM(O$37:O$48)+SUM(Q$37:Q$48)+SUM(S$37:S$48)</f>
        <v>667054.04124592198</v>
      </c>
      <c r="F133" s="106">
        <f>SUM(U$37:U$48)+SUM(W$37:W$48)+SUM(Y$37:Y$48)+SUM(AA$37:AA$48)</f>
        <v>679699.56038337841</v>
      </c>
      <c r="G133" s="106">
        <f>SUM(AC$37:AC$48)+SUM(AE$37:AE$48)+SUM(AG$37:AG$48)+SUM(AI$37:AI$48)</f>
        <v>583440.14747464319</v>
      </c>
      <c r="H133" s="106">
        <f>SUM(AK$37:AK$48)+SUM(AM$37:AM$48)+SUM(AO$37:AO$48)+SUM(AQ$37:AQ$48)</f>
        <v>731587.20000000007</v>
      </c>
      <c r="I133" s="106">
        <f>SUM(AS$37:AS$48)+SUM(AU$37:AU$48)+SUM(AW$37:AW$48)+SUM(AY$37:AY$48)</f>
        <v>635090.58285029652</v>
      </c>
      <c r="J133" s="106">
        <f>SUM(BA$37:BA$48)+SUM(BC$37:BC$48)+SUM(BE$37:BE$48)+SUM(BG$37:BG$48)</f>
        <v>685451.11671763659</v>
      </c>
      <c r="K133" s="106">
        <f>SUM(BI$37:BI$48)+SUM(BK$37:BK$48)+SUM(BM$37:BM$48)+SUM(BO$37:BO$48)</f>
        <v>583958.37438162416</v>
      </c>
      <c r="L133" s="106">
        <f>SUM(BQ$37:BQ$48)+SUM(BS$37:BS$48)+SUM(BU$37:BU$48)+SUM(BW$37:BW$48)</f>
        <v>575883.00809356116</v>
      </c>
      <c r="M133" s="106">
        <f>SUM(BY$37:BY$48)+SUM(CA$37:CA$48)+SUM(CC$37:CC$48)+SUM(CE$37:CE$48)</f>
        <v>806132.4</v>
      </c>
      <c r="N133" s="106">
        <f>SUM(CG$37:CG$48)+SUM(CI$37:CI$48)+SUM(CK$37:CK$48)+SUM(CM$37:CM$48)</f>
        <v>765627.78413501976</v>
      </c>
      <c r="O133" s="106">
        <f>SUM(CO$37:CO$48)+SUM(CQ$37:CQ$48)+SUM(CS$37:CS$48)+SUM(CU$37:CU$48)</f>
        <v>666577.19999999995</v>
      </c>
    </row>
    <row r="134" spans="2:15">
      <c r="C134" s="105" t="s">
        <v>129</v>
      </c>
      <c r="D134" s="106">
        <f>SUM(E$49:E$70)+SUM(G$49:G$70)+SUM(I$49:I$70)+SUM(K$49:K$70)</f>
        <v>1071798.1102439025</v>
      </c>
      <c r="E134" s="106">
        <f>SUM(M$49:M$70)+SUM(O$49:O$70)+SUM(Q$49:Q$70)+SUM(S$49:S$70)</f>
        <v>1008645.5269742979</v>
      </c>
      <c r="F134" s="106">
        <f>SUM(U$49:U$70)+SUM(W$49:W$70)+SUM(Y$49:Y$70)+SUM(AA$49:AA$70)</f>
        <v>832672.26312583615</v>
      </c>
      <c r="G134" s="106">
        <f>SUM(AC$49:AC$70)+SUM(AE$49:AE$70)+SUM(AG$49:AG$70)+SUM(AI$49:AI$70)</f>
        <v>775319.58023511863</v>
      </c>
      <c r="H134" s="106">
        <f>SUM(AK$49:AK$70)+SUM(AM$49:AM$70)+SUM(AO$49:AO$70)+SUM(AQ$49:AQ$70)</f>
        <v>950399.13372781069</v>
      </c>
      <c r="I134" s="106">
        <f>SUM(AS$49:AS$70)+SUM(AU$49:AU$70)+SUM(AW$49:AW$70)+SUM(AY$49:AY$70)</f>
        <v>854360.83136814018</v>
      </c>
      <c r="J134" s="106">
        <f>SUM(BA$49:BA$70)+SUM(BC$49:BC$70)+SUM(BE$49:BE$70)+SUM(BG$49:BG$70)</f>
        <v>799564.14279634249</v>
      </c>
      <c r="K134" s="106">
        <f>SUM(BI$49:BI$70)+SUM(BK$49:BK$70)+SUM(BM$49:BM$70)+SUM(BO$49:BO$70)</f>
        <v>709439.39641629986</v>
      </c>
      <c r="L134" s="106">
        <f>SUM(BQ$49:BQ$70)+SUM(BS$49:BS$70)+SUM(BU$49:BU$70)+SUM(BW$49:BW$70)</f>
        <v>1020674.0319227423</v>
      </c>
      <c r="M134" s="106">
        <f>SUM(BY$49:BY$70)+SUM(CA$49:CA$70)+SUM(CC$49:CC$70)+SUM(CE$49:CE$70)</f>
        <v>945379.60421052633</v>
      </c>
      <c r="N134" s="106">
        <f>SUM(CG$49:CG$70)+SUM(CI$49:CI$70)+SUM(CK$49:CK$70)+SUM(CM$49:CM$70)</f>
        <v>946349.63956149144</v>
      </c>
      <c r="O134" s="106">
        <f>SUM(CO$49:CO$70)+SUM(CQ$49:CQ$70)+SUM(CS$49:CS$70)+SUM(CU$49:CU$70)</f>
        <v>824850</v>
      </c>
    </row>
    <row r="135" spans="2:15">
      <c r="C135" s="105" t="s">
        <v>130</v>
      </c>
      <c r="D135" s="106">
        <f>SUM(E$71:E$86)+SUM(G$71:G$86)+SUM(I$71:I$86)+SUM(K$71:K$86)</f>
        <v>271595.13463414629</v>
      </c>
      <c r="E135" s="106">
        <f>SUM(M$71:M$86)+SUM(O$71:O$86)+SUM(Q$71:Q$86)+SUM(S$71:S$86)</f>
        <v>209477.6</v>
      </c>
      <c r="F135" s="106">
        <f>SUM(U$71:U$86)+SUM(W$71:W$86)+SUM(Y$71:Y$86)+SUM(AA$71:AA$86)</f>
        <v>272978.39999999997</v>
      </c>
      <c r="G135" s="106">
        <f>SUM(AC$71:AC$86)+SUM(AE$71:AE$86)+SUM(AG$71:AG$86)+SUM(AI$71:AI$86)</f>
        <v>23845.104347826084</v>
      </c>
      <c r="H135" s="106">
        <f>SUM(AK$71:AK$86)+SUM(AM$71:AM$86)+SUM(AO$71:AO$86)+SUM(AQ$71:AQ$86)</f>
        <v>219105.77041420119</v>
      </c>
      <c r="I135" s="106">
        <f>SUM(AS$71:AS$86)+SUM(AU$71:AU$86)+SUM(AW$71:AW$86)+SUM(AY$71:AY$86)</f>
        <v>274881.60000000003</v>
      </c>
      <c r="J135" s="106">
        <f>SUM(BA$71:BA$86)+SUM(BC$71:BC$86)+SUM(BE$71:BE$86)+SUM(BG$71:BG$86)</f>
        <v>44121.467392021434</v>
      </c>
      <c r="K135" s="106">
        <f>SUM(BI$71:BI$86)+SUM(BK$71:BK$86)+SUM(BM$71:BM$86)+SUM(BO$71:BO$86)</f>
        <v>214873.2001412762</v>
      </c>
      <c r="L135" s="106">
        <f>SUM(BQ$71:BQ$86)+SUM(BS$71:BS$86)+SUM(BU$71:BU$86)+SUM(BW$71:BW$86)</f>
        <v>254876.4303030303</v>
      </c>
      <c r="M135" s="106">
        <f>SUM(BY$71:BY$86)+SUM(CA$71:CA$86)+SUM(CC$71:CC$86)+SUM(CE$71:CE$86)</f>
        <v>248665.12421052632</v>
      </c>
      <c r="N135" s="106">
        <f>SUM(CG$71:CG$86)+SUM(CI$71:CI$86)+SUM(CK$71:CK$86)+SUM(CM$71:CM$86)</f>
        <v>284280</v>
      </c>
      <c r="O135" s="106">
        <f>SUM(CO$71:CO$86)+SUM(CQ$71:CQ$86)+SUM(CS$71:CS$86)+SUM(CU$71:CU$86)</f>
        <v>337221.6</v>
      </c>
    </row>
    <row r="136" spans="2:15">
      <c r="C136" s="105" t="s">
        <v>131</v>
      </c>
      <c r="D136" s="106">
        <f>SUM(E$87:E$94)+SUM(G$87:G$94)+SUM(I$87:I$94)+SUM(K$87:K$94)</f>
        <v>298368</v>
      </c>
      <c r="E136" s="106">
        <f>SUM(M$87:M$94)+SUM(O$87:O$94)+SUM(Q$87:Q$94)+SUM(S$87:S$94)</f>
        <v>267286.22781347489</v>
      </c>
      <c r="F136" s="106">
        <f>SUM(U$87:U$94)+SUM(W$87:W$94)+SUM(Y$87:Y$94)+SUM(AA$87:AA$94)</f>
        <v>239824.8</v>
      </c>
      <c r="G136" s="106">
        <f>SUM(AC$87:AC$94)+SUM(AE$87:AE$94)+SUM(AG$87:AG$94)+SUM(AI$87:AI$94)</f>
        <v>275769.59999999998</v>
      </c>
      <c r="H136" s="106">
        <f>SUM(AK$87:AK$94)+SUM(AM$87:AM$94)+SUM(AO$87:AO$94)+SUM(AQ$87:AQ$94)</f>
        <v>279529.19999999995</v>
      </c>
      <c r="I136" s="106">
        <f>SUM(AS$87:AS$94)+SUM(AU$87:AU$94)+SUM(AW$87:AW$94)+SUM(AY$87:AY$94)</f>
        <v>95757.434482758501</v>
      </c>
      <c r="J136" s="106">
        <f>SUM(BA$87:BA$94)+SUM(BC$87:BC$94)+SUM(BE$87:BE$94)+SUM(BG$87:BG$94)</f>
        <v>248371.52866971015</v>
      </c>
      <c r="K136" s="106">
        <f>SUM(BI$87:BI$94)+SUM(BK$87:BK$94)+SUM(BM$87:BM$94)+SUM(BO$87:BO$94)</f>
        <v>251743.19999999998</v>
      </c>
      <c r="L136" s="106">
        <f>SUM(BQ$87:BQ$94)+SUM(BS$87:BS$94)+SUM(BU$87:BU$94)+SUM(BW$87:BW$94)</f>
        <v>354934.05327462836</v>
      </c>
      <c r="M136" s="106">
        <f>SUM(BY$87:BY$94)+SUM(CA$87:CA$94)+SUM(CC$87:CC$94)+SUM(CE$87:CE$94)</f>
        <v>272862</v>
      </c>
      <c r="N136" s="106">
        <f>SUM(CG$87:CG$94)+SUM(CI$87:CI$94)+SUM(CK$87:CK$94)+SUM(CM$87:CM$94)</f>
        <v>311806.8</v>
      </c>
      <c r="O136" s="106">
        <f>SUM(CO$87:CO$94)+SUM(CQ$87:CQ$94)+SUM(CS$87:CS$94)+SUM(CU$87:CU$94)</f>
        <v>333252</v>
      </c>
    </row>
    <row r="137" spans="2:15">
      <c r="C137" s="105" t="s">
        <v>132</v>
      </c>
      <c r="D137" s="106">
        <f>SUM(E$95:E$105)+SUM(G$95:G$105)+SUM(I$95:I$105)+SUM(K$95:K$105)</f>
        <v>267033.59999999998</v>
      </c>
      <c r="E137" s="106">
        <f>SUM(M$95:M$105)+SUM(O$95:O$105)+SUM(Q$95:Q$105)+SUM(S$95:S$105)</f>
        <v>260276.85047697177</v>
      </c>
      <c r="F137" s="106">
        <f>SUM(U$95:U$105)+SUM(W$95:W$105)+SUM(Y$95:Y$105)+SUM(AA$95:AA$105)</f>
        <v>280426.79999999993</v>
      </c>
      <c r="G137" s="106">
        <f>SUM(AC$95:AC$105)+SUM(AE$95:AE$105)+SUM(AG$95:AG$105)+SUM(AI$95:AI$105)</f>
        <v>252916.8</v>
      </c>
      <c r="H137" s="106">
        <f>SUM(AK$95:AK$105)+SUM(AM$95:AM$105)+SUM(AO$95:AO$105)+SUM(AQ$95:AQ$105)</f>
        <v>273124.8</v>
      </c>
      <c r="I137" s="106">
        <f>SUM(AS$95:AS$105)+SUM(AU$95:AU$105)+SUM(AW$95:AW$105)+SUM(AY$95:AY$105)</f>
        <v>135772.51034482743</v>
      </c>
      <c r="J137" s="106">
        <f>SUM(BA$95:BA$105)+SUM(BC$95:BC$105)+SUM(BE$95:BE$105)+SUM(BG$95:BG$105)</f>
        <v>259704.15473385886</v>
      </c>
      <c r="K137" s="106">
        <f>SUM(BI$95:BI$105)+SUM(BK$95:BK$105)+SUM(BM$95:BM$105)+SUM(BO$95:BO$105)</f>
        <v>346608</v>
      </c>
      <c r="L137" s="106">
        <f>SUM(BQ$95:BQ$105)+SUM(BS$95:BS$105)+SUM(BU$95:BU$105)+SUM(BW$95:BW$105)</f>
        <v>311959.95795266912</v>
      </c>
      <c r="M137" s="106">
        <f>SUM(BY$95:BY$105)+SUM(CA$95:CA$105)+SUM(CC$95:CC$105)+SUM(CE$95:CE$105)</f>
        <v>270598.8</v>
      </c>
      <c r="N137" s="106">
        <f>SUM(CG$95:CG$105)+SUM(CI$95:CI$105)+SUM(CK$95:CK$105)+SUM(CM$95:CM$105)</f>
        <v>307798.80000000005</v>
      </c>
      <c r="O137" s="106">
        <f>SUM(CO$95:CO$105)+SUM(CQ$95:CQ$105)+SUM(CS$95:CS$105)+SUM(CU$95:CU$105)</f>
        <v>326946</v>
      </c>
    </row>
    <row r="138" spans="2:15">
      <c r="C138" s="105" t="s">
        <v>278</v>
      </c>
      <c r="D138" s="100">
        <f t="shared" ref="D138:O138" si="2">SUM(D$131:D$137)</f>
        <v>3769320.4448780492</v>
      </c>
      <c r="E138" s="100">
        <f t="shared" si="2"/>
        <v>3573217.1569741061</v>
      </c>
      <c r="F138" s="100">
        <f t="shared" si="2"/>
        <v>3299932.6513375589</v>
      </c>
      <c r="G138" s="100">
        <f t="shared" si="2"/>
        <v>3126782.1280007875</v>
      </c>
      <c r="H138" s="100">
        <f t="shared" si="2"/>
        <v>3578009.3041420113</v>
      </c>
      <c r="I138" s="100">
        <f t="shared" si="2"/>
        <v>3152528.1068225885</v>
      </c>
      <c r="J138" s="100">
        <f t="shared" si="2"/>
        <v>3198581.2618687553</v>
      </c>
      <c r="K138" s="100">
        <f t="shared" si="2"/>
        <v>3397104.3625434968</v>
      </c>
      <c r="L138" s="100">
        <f t="shared" si="2"/>
        <v>3747344.0851684967</v>
      </c>
      <c r="M138" s="100">
        <f t="shared" si="2"/>
        <v>3938007.9284210522</v>
      </c>
      <c r="N138" s="100">
        <f t="shared" si="2"/>
        <v>3966448.6423636843</v>
      </c>
      <c r="O138" s="100">
        <f t="shared" si="2"/>
        <v>3689133.6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8</v>
      </c>
      <c r="G6" s="100">
        <v>4627.2</v>
      </c>
      <c r="H6" s="100">
        <v>9</v>
      </c>
      <c r="I6" s="100">
        <v>5205.5999999999995</v>
      </c>
      <c r="J6" s="100">
        <v>8</v>
      </c>
      <c r="K6" s="100">
        <v>4627.2</v>
      </c>
      <c r="L6" s="100">
        <v>7</v>
      </c>
      <c r="M6" s="100">
        <v>4048.7999999999997</v>
      </c>
      <c r="N6" s="100">
        <v>9</v>
      </c>
      <c r="O6" s="100">
        <v>5205.5999999999995</v>
      </c>
      <c r="P6" s="100">
        <v>7</v>
      </c>
      <c r="Q6" s="100">
        <v>4048.7999999999997</v>
      </c>
      <c r="R6" s="100">
        <v>10</v>
      </c>
      <c r="S6" s="100">
        <v>5784</v>
      </c>
      <c r="T6" s="100">
        <v>7</v>
      </c>
      <c r="U6" s="100">
        <v>4048.7999999999997</v>
      </c>
      <c r="V6" s="100">
        <v>9</v>
      </c>
      <c r="W6" s="100">
        <v>5205.5999999999995</v>
      </c>
      <c r="X6" s="100">
        <v>6.4216158477267022</v>
      </c>
      <c r="Y6" s="100">
        <v>3714.2626063251246</v>
      </c>
      <c r="Z6" s="100">
        <v>10</v>
      </c>
      <c r="AA6" s="100">
        <v>5784</v>
      </c>
      <c r="AB6" s="100">
        <v>3.7983400878571723</v>
      </c>
      <c r="AC6" s="100">
        <v>2196.9599068165885</v>
      </c>
      <c r="AD6" s="100">
        <v>7</v>
      </c>
      <c r="AE6" s="100">
        <v>4048.7999999999997</v>
      </c>
      <c r="AF6" s="100">
        <v>5.1966772830594303</v>
      </c>
      <c r="AG6" s="100">
        <v>3005.7581405215742</v>
      </c>
      <c r="AH6" s="100">
        <v>11</v>
      </c>
      <c r="AI6" s="100">
        <v>6362.4</v>
      </c>
      <c r="AJ6" s="100">
        <v>7</v>
      </c>
      <c r="AK6" s="100">
        <v>4048.7999999999997</v>
      </c>
      <c r="AL6" s="100">
        <v>10</v>
      </c>
      <c r="AM6" s="100">
        <v>5784</v>
      </c>
      <c r="AN6" s="100">
        <v>10</v>
      </c>
      <c r="AO6" s="100">
        <v>5784</v>
      </c>
      <c r="AP6" s="100">
        <v>5.9270345256469259</v>
      </c>
      <c r="AQ6" s="100">
        <v>3428.1967696341817</v>
      </c>
      <c r="AR6" s="100">
        <v>5.5076185149102761</v>
      </c>
      <c r="AS6" s="100">
        <v>3185.6065490241035</v>
      </c>
      <c r="AT6" s="100">
        <v>1.9177667318698122</v>
      </c>
      <c r="AU6" s="100">
        <v>1109.2362777134992</v>
      </c>
      <c r="AV6" s="100">
        <v>8</v>
      </c>
      <c r="AW6" s="100">
        <v>4627.2</v>
      </c>
      <c r="AX6" s="100">
        <v>10</v>
      </c>
      <c r="AY6" s="100">
        <v>5784</v>
      </c>
      <c r="AZ6" s="100">
        <v>10</v>
      </c>
      <c r="BA6" s="100">
        <v>5784</v>
      </c>
      <c r="BB6" s="100">
        <v>10</v>
      </c>
      <c r="BC6" s="100">
        <v>5784</v>
      </c>
      <c r="BD6" s="100">
        <v>10</v>
      </c>
      <c r="BE6" s="100">
        <v>5784</v>
      </c>
      <c r="BF6" s="100">
        <v>11</v>
      </c>
      <c r="BG6" s="100">
        <v>6362.4</v>
      </c>
      <c r="BH6" s="100">
        <v>2.4357301921944403</v>
      </c>
      <c r="BI6" s="100">
        <v>1408.8263431652642</v>
      </c>
      <c r="BJ6" s="100">
        <v>9</v>
      </c>
      <c r="BK6" s="100">
        <v>5205.5999999999995</v>
      </c>
      <c r="BL6" s="100">
        <v>7</v>
      </c>
      <c r="BM6" s="100">
        <v>4048.7999999999997</v>
      </c>
      <c r="BN6" s="100">
        <v>6</v>
      </c>
      <c r="BO6" s="100">
        <v>3470.3999999999996</v>
      </c>
      <c r="BP6" s="100">
        <v>9</v>
      </c>
      <c r="BQ6" s="100">
        <v>5205.5999999999995</v>
      </c>
      <c r="BR6" s="100">
        <v>10</v>
      </c>
      <c r="BS6" s="100">
        <v>5784</v>
      </c>
      <c r="BT6" s="100">
        <v>4.1280040230393302</v>
      </c>
      <c r="BU6" s="100">
        <v>2387.6375269259484</v>
      </c>
      <c r="BV6" s="100">
        <v>7.4979102825463446</v>
      </c>
      <c r="BW6" s="100">
        <v>4336.7913074248054</v>
      </c>
      <c r="BX6" s="100">
        <v>7.9562978107369506</v>
      </c>
      <c r="BY6" s="100">
        <v>4601.922653730252</v>
      </c>
      <c r="BZ6" s="100">
        <v>9.6096634950356634</v>
      </c>
      <c r="CA6" s="100">
        <v>5558.2293655286276</v>
      </c>
      <c r="CB6" s="100">
        <v>10</v>
      </c>
      <c r="CC6" s="100">
        <v>5784</v>
      </c>
      <c r="CD6" s="100">
        <v>6.4792831573980072</v>
      </c>
      <c r="CE6" s="100">
        <v>3747.6173782390074</v>
      </c>
      <c r="CF6" s="100">
        <v>13</v>
      </c>
      <c r="CG6" s="100">
        <v>7519.2</v>
      </c>
      <c r="CH6" s="100">
        <v>6.7041770859404357</v>
      </c>
      <c r="CI6" s="100">
        <v>3877.6960265079479</v>
      </c>
      <c r="CJ6" s="100">
        <v>12</v>
      </c>
      <c r="CK6" s="100">
        <v>6940.7999999999993</v>
      </c>
      <c r="CL6" s="100">
        <v>6.7592011370090965</v>
      </c>
      <c r="CM6" s="100">
        <v>3909.5219376460614</v>
      </c>
      <c r="CN6" s="100">
        <v>7</v>
      </c>
      <c r="CO6" s="100">
        <v>4048.7999999999997</v>
      </c>
      <c r="CP6" s="100">
        <v>10</v>
      </c>
      <c r="CQ6" s="100">
        <v>5784</v>
      </c>
      <c r="CR6" s="100">
        <v>11</v>
      </c>
      <c r="CS6" s="100">
        <v>6362.4</v>
      </c>
      <c r="CT6" s="100">
        <v>4.6105098863165344</v>
      </c>
      <c r="CU6" s="100">
        <v>2666.7189182454836</v>
      </c>
    </row>
    <row r="7" spans="1:99">
      <c r="C7" s="99" t="s">
        <v>173</v>
      </c>
      <c r="D7" s="100">
        <v>8</v>
      </c>
      <c r="E7" s="100">
        <v>6307.2</v>
      </c>
      <c r="F7" s="100">
        <v>9</v>
      </c>
      <c r="G7" s="100">
        <v>7095.5999999999995</v>
      </c>
      <c r="H7" s="100">
        <v>8</v>
      </c>
      <c r="I7" s="100">
        <v>6307.2</v>
      </c>
      <c r="J7" s="100">
        <v>8</v>
      </c>
      <c r="K7" s="100">
        <v>6307.2</v>
      </c>
      <c r="L7" s="100">
        <v>8</v>
      </c>
      <c r="M7" s="100">
        <v>6307.2</v>
      </c>
      <c r="N7" s="100">
        <v>8</v>
      </c>
      <c r="O7" s="100">
        <v>6307.2</v>
      </c>
      <c r="P7" s="100">
        <v>7</v>
      </c>
      <c r="Q7" s="100">
        <v>5518.8</v>
      </c>
      <c r="R7" s="100">
        <v>10</v>
      </c>
      <c r="S7" s="100">
        <v>7884</v>
      </c>
      <c r="T7" s="100">
        <v>6</v>
      </c>
      <c r="U7" s="100">
        <v>4730.3999999999996</v>
      </c>
      <c r="V7" s="100">
        <v>10</v>
      </c>
      <c r="W7" s="100">
        <v>7884</v>
      </c>
      <c r="X7" s="100">
        <v>6.4216158477267022</v>
      </c>
      <c r="Y7" s="100">
        <v>5062.8019343477317</v>
      </c>
      <c r="Z7" s="100">
        <v>9</v>
      </c>
      <c r="AA7" s="100">
        <v>7095.5999999999995</v>
      </c>
      <c r="AB7" s="100">
        <v>2.9542645127778009</v>
      </c>
      <c r="AC7" s="100">
        <v>2329.1421418740183</v>
      </c>
      <c r="AD7" s="100">
        <v>7</v>
      </c>
      <c r="AE7" s="100">
        <v>5518.8</v>
      </c>
      <c r="AF7" s="100">
        <v>4.7242520755085735</v>
      </c>
      <c r="AG7" s="100">
        <v>3724.6003363309592</v>
      </c>
      <c r="AH7" s="100">
        <v>10</v>
      </c>
      <c r="AI7" s="100">
        <v>7884</v>
      </c>
      <c r="AJ7" s="100">
        <v>6</v>
      </c>
      <c r="AK7" s="100">
        <v>4730.3999999999996</v>
      </c>
      <c r="AL7" s="100">
        <v>10</v>
      </c>
      <c r="AM7" s="100">
        <v>7884</v>
      </c>
      <c r="AN7" s="100">
        <v>10</v>
      </c>
      <c r="AO7" s="100">
        <v>7884</v>
      </c>
      <c r="AP7" s="100">
        <v>5.9270345256469259</v>
      </c>
      <c r="AQ7" s="100">
        <v>4672.8740200200364</v>
      </c>
      <c r="AR7" s="100">
        <v>4.9568566634192486</v>
      </c>
      <c r="AS7" s="100">
        <v>3907.9857934397355</v>
      </c>
      <c r="AT7" s="100">
        <v>1.6438000558884105</v>
      </c>
      <c r="AU7" s="100">
        <v>1295.9719640624228</v>
      </c>
      <c r="AV7" s="100">
        <v>9</v>
      </c>
      <c r="AW7" s="100">
        <v>7095.5999999999995</v>
      </c>
      <c r="AX7" s="100">
        <v>10</v>
      </c>
      <c r="AY7" s="100">
        <v>7884</v>
      </c>
      <c r="AZ7" s="100">
        <v>8</v>
      </c>
      <c r="BA7" s="100">
        <v>6307.2</v>
      </c>
      <c r="BB7" s="100">
        <v>10</v>
      </c>
      <c r="BC7" s="100">
        <v>7884</v>
      </c>
      <c r="BD7" s="100">
        <v>10</v>
      </c>
      <c r="BE7" s="100">
        <v>7884</v>
      </c>
      <c r="BF7" s="100">
        <v>9</v>
      </c>
      <c r="BG7" s="100">
        <v>7095.5999999999995</v>
      </c>
      <c r="BH7" s="100">
        <v>2.2143001747222182</v>
      </c>
      <c r="BI7" s="100">
        <v>1745.7542577509967</v>
      </c>
      <c r="BJ7" s="100">
        <v>9</v>
      </c>
      <c r="BK7" s="100">
        <v>7095.5999999999995</v>
      </c>
      <c r="BL7" s="100">
        <v>7</v>
      </c>
      <c r="BM7" s="100">
        <v>5518.8</v>
      </c>
      <c r="BN7" s="100">
        <v>6</v>
      </c>
      <c r="BO7" s="100">
        <v>4730.3999999999996</v>
      </c>
      <c r="BP7" s="100">
        <v>8</v>
      </c>
      <c r="BQ7" s="100">
        <v>6307.2</v>
      </c>
      <c r="BR7" s="100">
        <v>10</v>
      </c>
      <c r="BS7" s="100">
        <v>7884</v>
      </c>
      <c r="BT7" s="100">
        <v>4.1280040230393302</v>
      </c>
      <c r="BU7" s="100">
        <v>3254.518371764208</v>
      </c>
      <c r="BV7" s="100">
        <v>7.4979102825463446</v>
      </c>
      <c r="BW7" s="100">
        <v>5911.3524667595375</v>
      </c>
      <c r="BX7" s="100">
        <v>7.0722647206550677</v>
      </c>
      <c r="BY7" s="100">
        <v>5575.773505764455</v>
      </c>
      <c r="BZ7" s="100">
        <v>10.57062984453923</v>
      </c>
      <c r="CA7" s="100">
        <v>8333.8845694347292</v>
      </c>
      <c r="CB7" s="100">
        <v>10</v>
      </c>
      <c r="CC7" s="100">
        <v>7884</v>
      </c>
      <c r="CD7" s="100">
        <v>6.4792831573980072</v>
      </c>
      <c r="CE7" s="100">
        <v>5108.2668412925887</v>
      </c>
      <c r="CF7" s="100">
        <v>12</v>
      </c>
      <c r="CG7" s="100">
        <v>9460.7999999999993</v>
      </c>
      <c r="CH7" s="100">
        <v>6.7041770859404357</v>
      </c>
      <c r="CI7" s="100">
        <v>5285.5732145554393</v>
      </c>
      <c r="CJ7" s="100">
        <v>11</v>
      </c>
      <c r="CK7" s="100">
        <v>8672.4</v>
      </c>
      <c r="CL7" s="100">
        <v>6.7592011370090965</v>
      </c>
      <c r="CM7" s="100">
        <v>5328.9541764179712</v>
      </c>
      <c r="CN7" s="100">
        <v>7</v>
      </c>
      <c r="CO7" s="100">
        <v>5518.8</v>
      </c>
      <c r="CP7" s="100">
        <v>10</v>
      </c>
      <c r="CQ7" s="100">
        <v>7884</v>
      </c>
      <c r="CR7" s="100">
        <v>11</v>
      </c>
      <c r="CS7" s="100">
        <v>8672.4</v>
      </c>
      <c r="CT7" s="100">
        <v>5.0296471487089471</v>
      </c>
      <c r="CU7" s="100">
        <v>3965.373812042134</v>
      </c>
    </row>
    <row r="8" spans="1:99">
      <c r="C8" s="99" t="s">
        <v>174</v>
      </c>
      <c r="D8" s="100">
        <v>8</v>
      </c>
      <c r="E8" s="100">
        <v>2476.7999999999997</v>
      </c>
      <c r="F8" s="100">
        <v>9</v>
      </c>
      <c r="G8" s="100">
        <v>2786.3999999999996</v>
      </c>
      <c r="H8" s="100">
        <v>9</v>
      </c>
      <c r="I8" s="100">
        <v>2786.3999999999996</v>
      </c>
      <c r="J8" s="100">
        <v>8</v>
      </c>
      <c r="K8" s="100">
        <v>2476.7999999999997</v>
      </c>
      <c r="L8" s="100">
        <v>7</v>
      </c>
      <c r="M8" s="100">
        <v>2167.1999999999998</v>
      </c>
      <c r="N8" s="100">
        <v>9</v>
      </c>
      <c r="O8" s="100">
        <v>2786.3999999999996</v>
      </c>
      <c r="P8" s="100">
        <v>7</v>
      </c>
      <c r="Q8" s="100">
        <v>2167.1999999999998</v>
      </c>
      <c r="R8" s="100">
        <v>10</v>
      </c>
      <c r="S8" s="100">
        <v>3095.9999999999995</v>
      </c>
      <c r="T8" s="100">
        <v>6</v>
      </c>
      <c r="U8" s="100">
        <v>1857.6</v>
      </c>
      <c r="V8" s="100">
        <v>11</v>
      </c>
      <c r="W8" s="100">
        <v>3405.5999999999995</v>
      </c>
      <c r="X8" s="100">
        <v>7.0637774324993723</v>
      </c>
      <c r="Y8" s="100">
        <v>2186.9454931018054</v>
      </c>
      <c r="Z8" s="100">
        <v>9</v>
      </c>
      <c r="AA8" s="100">
        <v>2786.3999999999996</v>
      </c>
      <c r="AB8" s="100">
        <v>3.3763023003174863</v>
      </c>
      <c r="AC8" s="100">
        <v>1045.3031921782936</v>
      </c>
      <c r="AD8" s="100">
        <v>9</v>
      </c>
      <c r="AE8" s="100">
        <v>2786.3999999999996</v>
      </c>
      <c r="AF8" s="100">
        <v>4.7242520755085735</v>
      </c>
      <c r="AG8" s="100">
        <v>1462.6284425774543</v>
      </c>
      <c r="AH8" s="100">
        <v>11</v>
      </c>
      <c r="AI8" s="100">
        <v>3405.5999999999995</v>
      </c>
      <c r="AJ8" s="100">
        <v>6</v>
      </c>
      <c r="AK8" s="100">
        <v>1857.6</v>
      </c>
      <c r="AL8" s="100">
        <v>11</v>
      </c>
      <c r="AM8" s="100">
        <v>3405.5999999999995</v>
      </c>
      <c r="AN8" s="100">
        <v>9</v>
      </c>
      <c r="AO8" s="100">
        <v>2786.3999999999996</v>
      </c>
      <c r="AP8" s="100">
        <v>5.9270345256469259</v>
      </c>
      <c r="AQ8" s="100">
        <v>1835.0098891402881</v>
      </c>
      <c r="AR8" s="100">
        <v>4.9568566634192486</v>
      </c>
      <c r="AS8" s="100">
        <v>1534.6428229945991</v>
      </c>
      <c r="AT8" s="100">
        <v>1.9177667318698122</v>
      </c>
      <c r="AU8" s="100">
        <v>593.74058018689379</v>
      </c>
      <c r="AV8" s="100">
        <v>9</v>
      </c>
      <c r="AW8" s="100">
        <v>2786.3999999999996</v>
      </c>
      <c r="AX8" s="100">
        <v>11</v>
      </c>
      <c r="AY8" s="100">
        <v>3405.5999999999995</v>
      </c>
      <c r="AZ8" s="100">
        <v>10</v>
      </c>
      <c r="BA8" s="100">
        <v>3095.9999999999995</v>
      </c>
      <c r="BB8" s="100">
        <v>12</v>
      </c>
      <c r="BC8" s="100">
        <v>3715.2</v>
      </c>
      <c r="BD8" s="100">
        <v>9</v>
      </c>
      <c r="BE8" s="100">
        <v>2786.3999999999996</v>
      </c>
      <c r="BF8" s="100">
        <v>10</v>
      </c>
      <c r="BG8" s="100">
        <v>3095.9999999999995</v>
      </c>
      <c r="BH8" s="100">
        <v>2.4357301921944403</v>
      </c>
      <c r="BI8" s="100">
        <v>754.10206750339864</v>
      </c>
      <c r="BJ8" s="100">
        <v>10</v>
      </c>
      <c r="BK8" s="100">
        <v>3095.9999999999995</v>
      </c>
      <c r="BL8" s="100">
        <v>8</v>
      </c>
      <c r="BM8" s="100">
        <v>2476.7999999999997</v>
      </c>
      <c r="BN8" s="100">
        <v>7</v>
      </c>
      <c r="BO8" s="100">
        <v>2167.1999999999998</v>
      </c>
      <c r="BP8" s="100">
        <v>9</v>
      </c>
      <c r="BQ8" s="100">
        <v>2786.3999999999996</v>
      </c>
      <c r="BR8" s="100">
        <v>9</v>
      </c>
      <c r="BS8" s="100">
        <v>2786.3999999999996</v>
      </c>
      <c r="BT8" s="100">
        <v>4.1280040230393302</v>
      </c>
      <c r="BU8" s="100">
        <v>1278.0300455329766</v>
      </c>
      <c r="BV8" s="100">
        <v>7.4979102825463446</v>
      </c>
      <c r="BW8" s="100">
        <v>2321.353023476348</v>
      </c>
      <c r="BX8" s="100">
        <v>7.0722647206550677</v>
      </c>
      <c r="BY8" s="100">
        <v>2189.5731575148088</v>
      </c>
      <c r="BZ8" s="100">
        <v>8.6486971455320969</v>
      </c>
      <c r="CA8" s="100">
        <v>2677.6366362567369</v>
      </c>
      <c r="CB8" s="100">
        <v>11</v>
      </c>
      <c r="CC8" s="100">
        <v>3405.5999999999995</v>
      </c>
      <c r="CD8" s="100">
        <v>6.4792831573980072</v>
      </c>
      <c r="CE8" s="100">
        <v>2005.9860655304228</v>
      </c>
      <c r="CF8" s="100">
        <v>13</v>
      </c>
      <c r="CG8" s="100">
        <v>4024.7999999999997</v>
      </c>
      <c r="CH8" s="100">
        <v>7.661916669646212</v>
      </c>
      <c r="CI8" s="100">
        <v>2372.1294009224671</v>
      </c>
      <c r="CJ8" s="100">
        <v>12</v>
      </c>
      <c r="CK8" s="100">
        <v>3715.2</v>
      </c>
      <c r="CL8" s="100">
        <v>6.7592011370090965</v>
      </c>
      <c r="CM8" s="100">
        <v>2092.648672018016</v>
      </c>
      <c r="CN8" s="100">
        <v>7</v>
      </c>
      <c r="CO8" s="100">
        <v>2167.1999999999998</v>
      </c>
      <c r="CP8" s="100">
        <v>10</v>
      </c>
      <c r="CQ8" s="100">
        <v>3095.9999999999995</v>
      </c>
      <c r="CR8" s="100">
        <v>12</v>
      </c>
      <c r="CS8" s="100">
        <v>3715.2</v>
      </c>
      <c r="CT8" s="100">
        <v>5.448784411101359</v>
      </c>
      <c r="CU8" s="100">
        <v>1686.9436536769806</v>
      </c>
    </row>
    <row r="9" spans="1:99">
      <c r="C9" s="99" t="s">
        <v>175</v>
      </c>
      <c r="D9" s="100">
        <v>7</v>
      </c>
      <c r="E9" s="100">
        <v>4914</v>
      </c>
      <c r="F9" s="100">
        <v>9</v>
      </c>
      <c r="G9" s="100">
        <v>6318</v>
      </c>
      <c r="H9" s="100">
        <v>9</v>
      </c>
      <c r="I9" s="100">
        <v>6318</v>
      </c>
      <c r="J9" s="100">
        <v>9</v>
      </c>
      <c r="K9" s="100">
        <v>6318</v>
      </c>
      <c r="L9" s="100">
        <v>8</v>
      </c>
      <c r="M9" s="100">
        <v>5616</v>
      </c>
      <c r="N9" s="100">
        <v>8</v>
      </c>
      <c r="O9" s="100">
        <v>5616</v>
      </c>
      <c r="P9" s="100">
        <v>7</v>
      </c>
      <c r="Q9" s="100">
        <v>4914</v>
      </c>
      <c r="R9" s="100">
        <v>9</v>
      </c>
      <c r="S9" s="100">
        <v>6318</v>
      </c>
      <c r="T9" s="100">
        <v>6</v>
      </c>
      <c r="U9" s="100">
        <v>4212</v>
      </c>
      <c r="V9" s="100">
        <v>10</v>
      </c>
      <c r="W9" s="100">
        <v>7020</v>
      </c>
      <c r="X9" s="100">
        <v>7.0637774324993723</v>
      </c>
      <c r="Y9" s="100">
        <v>4958.7717576145596</v>
      </c>
      <c r="Z9" s="100">
        <v>10</v>
      </c>
      <c r="AA9" s="100">
        <v>7020</v>
      </c>
      <c r="AB9" s="100">
        <v>3.3763023003174863</v>
      </c>
      <c r="AC9" s="100">
        <v>2370.1642148228752</v>
      </c>
      <c r="AD9" s="100">
        <v>8</v>
      </c>
      <c r="AE9" s="100">
        <v>5616</v>
      </c>
      <c r="AF9" s="100">
        <v>5.1966772830594303</v>
      </c>
      <c r="AG9" s="100">
        <v>3648.0674527077199</v>
      </c>
      <c r="AH9" s="100">
        <v>10</v>
      </c>
      <c r="AI9" s="100">
        <v>7020</v>
      </c>
      <c r="AJ9" s="100">
        <v>7</v>
      </c>
      <c r="AK9" s="100">
        <v>4914</v>
      </c>
      <c r="AL9" s="100">
        <v>9</v>
      </c>
      <c r="AM9" s="100">
        <v>6318</v>
      </c>
      <c r="AN9" s="100">
        <v>9</v>
      </c>
      <c r="AO9" s="100">
        <v>6318</v>
      </c>
      <c r="AP9" s="100">
        <v>5.0803153076973659</v>
      </c>
      <c r="AQ9" s="100">
        <v>3566.3813460035508</v>
      </c>
      <c r="AR9" s="100">
        <v>4.9568566634192486</v>
      </c>
      <c r="AS9" s="100">
        <v>3479.7133777203126</v>
      </c>
      <c r="AT9" s="100">
        <v>1.9177667318698122</v>
      </c>
      <c r="AU9" s="100">
        <v>1346.2722457726081</v>
      </c>
      <c r="AV9" s="100">
        <v>8</v>
      </c>
      <c r="AW9" s="100">
        <v>5616</v>
      </c>
      <c r="AX9" s="100">
        <v>9</v>
      </c>
      <c r="AY9" s="100">
        <v>6318</v>
      </c>
      <c r="AZ9" s="100">
        <v>9</v>
      </c>
      <c r="BA9" s="100">
        <v>6318</v>
      </c>
      <c r="BB9" s="100">
        <v>10</v>
      </c>
      <c r="BC9" s="100">
        <v>7020</v>
      </c>
      <c r="BD9" s="100">
        <v>9</v>
      </c>
      <c r="BE9" s="100">
        <v>6318</v>
      </c>
      <c r="BF9" s="100">
        <v>10</v>
      </c>
      <c r="BG9" s="100">
        <v>7020</v>
      </c>
      <c r="BH9" s="100">
        <v>2.2143001747222182</v>
      </c>
      <c r="BI9" s="100">
        <v>1554.4387226549973</v>
      </c>
      <c r="BJ9" s="100">
        <v>9</v>
      </c>
      <c r="BK9" s="100">
        <v>6318</v>
      </c>
      <c r="BL9" s="100">
        <v>7</v>
      </c>
      <c r="BM9" s="100">
        <v>4914</v>
      </c>
      <c r="BN9" s="100">
        <v>6</v>
      </c>
      <c r="BO9" s="100">
        <v>4212</v>
      </c>
      <c r="BP9" s="100">
        <v>9</v>
      </c>
      <c r="BQ9" s="100">
        <v>6318</v>
      </c>
      <c r="BR9" s="100">
        <v>10</v>
      </c>
      <c r="BS9" s="100">
        <v>7020</v>
      </c>
      <c r="BT9" s="100">
        <v>4.1280040230393302</v>
      </c>
      <c r="BU9" s="100">
        <v>2897.8588241736097</v>
      </c>
      <c r="BV9" s="100">
        <v>7.4979102825463446</v>
      </c>
      <c r="BW9" s="100">
        <v>5263.5330183475335</v>
      </c>
      <c r="BX9" s="100">
        <v>7.0722647206550677</v>
      </c>
      <c r="BY9" s="100">
        <v>4964.7298338998571</v>
      </c>
      <c r="BZ9" s="100">
        <v>8.6486971455320969</v>
      </c>
      <c r="CA9" s="100">
        <v>6071.3853961635323</v>
      </c>
      <c r="CB9" s="100">
        <v>10</v>
      </c>
      <c r="CC9" s="100">
        <v>7020</v>
      </c>
      <c r="CD9" s="100">
        <v>5.5536712777697197</v>
      </c>
      <c r="CE9" s="100">
        <v>3898.6772369943433</v>
      </c>
      <c r="CF9" s="100">
        <v>13</v>
      </c>
      <c r="CG9" s="100">
        <v>9126</v>
      </c>
      <c r="CH9" s="100">
        <v>6.7041770859404357</v>
      </c>
      <c r="CI9" s="100">
        <v>4706.3323143301859</v>
      </c>
      <c r="CJ9" s="100">
        <v>12</v>
      </c>
      <c r="CK9" s="100">
        <v>8424</v>
      </c>
      <c r="CL9" s="100">
        <v>5.7936009745792258</v>
      </c>
      <c r="CM9" s="100">
        <v>4067.1078841546164</v>
      </c>
      <c r="CN9" s="100">
        <v>8</v>
      </c>
      <c r="CO9" s="100">
        <v>5616</v>
      </c>
      <c r="CP9" s="100">
        <v>9</v>
      </c>
      <c r="CQ9" s="100">
        <v>6318</v>
      </c>
      <c r="CR9" s="100">
        <v>12</v>
      </c>
      <c r="CS9" s="100">
        <v>8424</v>
      </c>
      <c r="CT9" s="100">
        <v>5.0296471487089471</v>
      </c>
      <c r="CU9" s="100">
        <v>3530.812298393681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8</v>
      </c>
      <c r="G10" s="100">
        <v>4358.3999999999996</v>
      </c>
      <c r="H10" s="100">
        <v>9</v>
      </c>
      <c r="I10" s="100">
        <v>4903.2</v>
      </c>
      <c r="J10" s="100">
        <v>9</v>
      </c>
      <c r="K10" s="100">
        <v>4903.2</v>
      </c>
      <c r="L10" s="100">
        <v>8</v>
      </c>
      <c r="M10" s="100">
        <v>4358.3999999999996</v>
      </c>
      <c r="N10" s="100">
        <v>8</v>
      </c>
      <c r="O10" s="100">
        <v>4358.3999999999996</v>
      </c>
      <c r="P10" s="100">
        <v>7</v>
      </c>
      <c r="Q10" s="100">
        <v>3813.5999999999995</v>
      </c>
      <c r="R10" s="100">
        <v>9</v>
      </c>
      <c r="S10" s="100">
        <v>4903.2</v>
      </c>
      <c r="T10" s="100">
        <v>6</v>
      </c>
      <c r="U10" s="100">
        <v>3268.7999999999997</v>
      </c>
      <c r="V10" s="100">
        <v>10</v>
      </c>
      <c r="W10" s="100">
        <v>5448</v>
      </c>
      <c r="X10" s="100">
        <v>6.4216158477267022</v>
      </c>
      <c r="Y10" s="100">
        <v>3498.4963138415069</v>
      </c>
      <c r="Z10" s="100">
        <v>10</v>
      </c>
      <c r="AA10" s="100">
        <v>5448</v>
      </c>
      <c r="AB10" s="100">
        <v>3.7983400878571723</v>
      </c>
      <c r="AC10" s="100">
        <v>2069.3356798645873</v>
      </c>
      <c r="AD10" s="100">
        <v>8</v>
      </c>
      <c r="AE10" s="100">
        <v>4358.3999999999996</v>
      </c>
      <c r="AF10" s="100">
        <v>4.7242520755085735</v>
      </c>
      <c r="AG10" s="100">
        <v>2573.7725307370706</v>
      </c>
      <c r="AH10" s="100">
        <v>10</v>
      </c>
      <c r="AI10" s="100">
        <v>5448</v>
      </c>
      <c r="AJ10" s="100">
        <v>7</v>
      </c>
      <c r="AK10" s="100">
        <v>3813.5999999999995</v>
      </c>
      <c r="AL10" s="100">
        <v>9</v>
      </c>
      <c r="AM10" s="100">
        <v>4903.2</v>
      </c>
      <c r="AN10" s="100">
        <v>10</v>
      </c>
      <c r="AO10" s="100">
        <v>5448</v>
      </c>
      <c r="AP10" s="100">
        <v>5.0803153076973659</v>
      </c>
      <c r="AQ10" s="100">
        <v>2767.7557796335245</v>
      </c>
      <c r="AR10" s="100">
        <v>4.9568566634192486</v>
      </c>
      <c r="AS10" s="100">
        <v>2700.4955102308063</v>
      </c>
      <c r="AT10" s="100">
        <v>1.6438000558884105</v>
      </c>
      <c r="AU10" s="100">
        <v>895.54227044800598</v>
      </c>
      <c r="AV10" s="100">
        <v>8</v>
      </c>
      <c r="AW10" s="100">
        <v>4358.3999999999996</v>
      </c>
      <c r="AX10" s="100">
        <v>11</v>
      </c>
      <c r="AY10" s="100">
        <v>5992.7999999999993</v>
      </c>
      <c r="AZ10" s="100">
        <v>9</v>
      </c>
      <c r="BA10" s="100">
        <v>4903.2</v>
      </c>
      <c r="BB10" s="100">
        <v>12</v>
      </c>
      <c r="BC10" s="100">
        <v>6537.5999999999995</v>
      </c>
      <c r="BD10" s="100">
        <v>10</v>
      </c>
      <c r="BE10" s="100">
        <v>5448</v>
      </c>
      <c r="BF10" s="100">
        <v>9</v>
      </c>
      <c r="BG10" s="100">
        <v>4903.2</v>
      </c>
      <c r="BH10" s="100">
        <v>2.4357301921944403</v>
      </c>
      <c r="BI10" s="100">
        <v>1326.9858087075311</v>
      </c>
      <c r="BJ10" s="100">
        <v>10</v>
      </c>
      <c r="BK10" s="100">
        <v>5448</v>
      </c>
      <c r="BL10" s="100">
        <v>7</v>
      </c>
      <c r="BM10" s="100">
        <v>3813.5999999999995</v>
      </c>
      <c r="BN10" s="100">
        <v>6</v>
      </c>
      <c r="BO10" s="100">
        <v>3268.7999999999997</v>
      </c>
      <c r="BP10" s="100">
        <v>9</v>
      </c>
      <c r="BQ10" s="100">
        <v>4903.2</v>
      </c>
      <c r="BR10" s="100">
        <v>9</v>
      </c>
      <c r="BS10" s="100">
        <v>4903.2</v>
      </c>
      <c r="BT10" s="100">
        <v>4.6440045259192466</v>
      </c>
      <c r="BU10" s="100">
        <v>2530.0536657208054</v>
      </c>
      <c r="BV10" s="100">
        <v>6.6648091400411946</v>
      </c>
      <c r="BW10" s="100">
        <v>3630.9880194944426</v>
      </c>
      <c r="BX10" s="100">
        <v>6.1882316305731839</v>
      </c>
      <c r="BY10" s="100">
        <v>3371.3485923362705</v>
      </c>
      <c r="BZ10" s="100">
        <v>10.57062984453923</v>
      </c>
      <c r="CA10" s="100">
        <v>5758.8791393049723</v>
      </c>
      <c r="CB10" s="100">
        <v>9</v>
      </c>
      <c r="CC10" s="100">
        <v>4903.2</v>
      </c>
      <c r="CD10" s="100">
        <v>7.4048950370262938</v>
      </c>
      <c r="CE10" s="100">
        <v>4034.1868161719244</v>
      </c>
      <c r="CF10" s="100">
        <v>12</v>
      </c>
      <c r="CG10" s="100">
        <v>6537.5999999999995</v>
      </c>
      <c r="CH10" s="100">
        <v>6.7041770859404357</v>
      </c>
      <c r="CI10" s="100">
        <v>3652.435676420349</v>
      </c>
      <c r="CJ10" s="100">
        <v>12</v>
      </c>
      <c r="CK10" s="100">
        <v>6537.5999999999995</v>
      </c>
      <c r="CL10" s="100">
        <v>6.7592011370090965</v>
      </c>
      <c r="CM10" s="100">
        <v>3682.4127794425553</v>
      </c>
      <c r="CN10" s="100">
        <v>8</v>
      </c>
      <c r="CO10" s="100">
        <v>4358.3999999999996</v>
      </c>
      <c r="CP10" s="100">
        <v>10</v>
      </c>
      <c r="CQ10" s="100">
        <v>5448</v>
      </c>
      <c r="CR10" s="100">
        <v>12</v>
      </c>
      <c r="CS10" s="100">
        <v>6537.5999999999995</v>
      </c>
      <c r="CT10" s="100">
        <v>5.0296471487089471</v>
      </c>
      <c r="CU10" s="100">
        <v>2740.1517666166342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9</v>
      </c>
      <c r="G11" s="100">
        <v>4795.2</v>
      </c>
      <c r="H11" s="100">
        <v>9</v>
      </c>
      <c r="I11" s="100">
        <v>4795.2</v>
      </c>
      <c r="J11" s="100">
        <v>10</v>
      </c>
      <c r="K11" s="100">
        <v>5328</v>
      </c>
      <c r="L11" s="100">
        <v>8</v>
      </c>
      <c r="M11" s="100">
        <v>4262.3999999999996</v>
      </c>
      <c r="N11" s="100">
        <v>8</v>
      </c>
      <c r="O11" s="100">
        <v>4262.3999999999996</v>
      </c>
      <c r="P11" s="100">
        <v>8</v>
      </c>
      <c r="Q11" s="100">
        <v>4262.3999999999996</v>
      </c>
      <c r="R11" s="100">
        <v>9</v>
      </c>
      <c r="S11" s="100">
        <v>4795.2</v>
      </c>
      <c r="T11" s="100">
        <v>7</v>
      </c>
      <c r="U11" s="100">
        <v>3729.5999999999995</v>
      </c>
      <c r="V11" s="100">
        <v>10</v>
      </c>
      <c r="W11" s="100">
        <v>5328</v>
      </c>
      <c r="X11" s="100">
        <v>6.4216158477267022</v>
      </c>
      <c r="Y11" s="100">
        <v>3421.4369236687867</v>
      </c>
      <c r="Z11" s="100">
        <v>10</v>
      </c>
      <c r="AA11" s="100">
        <v>5328</v>
      </c>
      <c r="AB11" s="100">
        <v>2.9542645127778009</v>
      </c>
      <c r="AC11" s="100">
        <v>1574.0321324080121</v>
      </c>
      <c r="AD11" s="100">
        <v>9</v>
      </c>
      <c r="AE11" s="100">
        <v>4795.2</v>
      </c>
      <c r="AF11" s="100">
        <v>5.1966772830594303</v>
      </c>
      <c r="AG11" s="100">
        <v>2768.7896564140642</v>
      </c>
      <c r="AH11" s="100">
        <v>10</v>
      </c>
      <c r="AI11" s="100">
        <v>5328</v>
      </c>
      <c r="AJ11" s="100">
        <v>6</v>
      </c>
      <c r="AK11" s="100">
        <v>3196.7999999999997</v>
      </c>
      <c r="AL11" s="100">
        <v>9</v>
      </c>
      <c r="AM11" s="100">
        <v>4795.2</v>
      </c>
      <c r="AN11" s="100">
        <v>10</v>
      </c>
      <c r="AO11" s="100">
        <v>5328</v>
      </c>
      <c r="AP11" s="100">
        <v>5.0803153076973659</v>
      </c>
      <c r="AQ11" s="100">
        <v>2706.7919959411565</v>
      </c>
      <c r="AR11" s="100">
        <v>5.5076185149102761</v>
      </c>
      <c r="AS11" s="100">
        <v>2934.4591447441949</v>
      </c>
      <c r="AT11" s="100">
        <v>1.9177667318698122</v>
      </c>
      <c r="AU11" s="100">
        <v>1021.7861147402358</v>
      </c>
      <c r="AV11" s="100">
        <v>8</v>
      </c>
      <c r="AW11" s="100">
        <v>4262.3999999999996</v>
      </c>
      <c r="AX11" s="100">
        <v>10</v>
      </c>
      <c r="AY11" s="100">
        <v>5328</v>
      </c>
      <c r="AZ11" s="100">
        <v>10</v>
      </c>
      <c r="BA11" s="100">
        <v>5328</v>
      </c>
      <c r="BB11" s="100">
        <v>12</v>
      </c>
      <c r="BC11" s="100">
        <v>6393.5999999999995</v>
      </c>
      <c r="BD11" s="100">
        <v>10</v>
      </c>
      <c r="BE11" s="100">
        <v>5328</v>
      </c>
      <c r="BF11" s="100">
        <v>10</v>
      </c>
      <c r="BG11" s="100">
        <v>5328</v>
      </c>
      <c r="BH11" s="100">
        <v>2.4357301921944403</v>
      </c>
      <c r="BI11" s="100">
        <v>1297.7570464011976</v>
      </c>
      <c r="BJ11" s="100">
        <v>9</v>
      </c>
      <c r="BK11" s="100">
        <v>4795.2</v>
      </c>
      <c r="BL11" s="100">
        <v>7</v>
      </c>
      <c r="BM11" s="100">
        <v>3729.5999999999995</v>
      </c>
      <c r="BN11" s="100">
        <v>6</v>
      </c>
      <c r="BO11" s="100">
        <v>3196.7999999999997</v>
      </c>
      <c r="BP11" s="100">
        <v>10</v>
      </c>
      <c r="BQ11" s="100">
        <v>5328</v>
      </c>
      <c r="BR11" s="100">
        <v>10</v>
      </c>
      <c r="BS11" s="100">
        <v>5328</v>
      </c>
      <c r="BT11" s="100">
        <v>4.1280040230393302</v>
      </c>
      <c r="BU11" s="100">
        <v>2199.4005434753549</v>
      </c>
      <c r="BV11" s="100">
        <v>7.4979102825463446</v>
      </c>
      <c r="BW11" s="100">
        <v>3994.8865985406919</v>
      </c>
      <c r="BX11" s="100">
        <v>7.0722647206550677</v>
      </c>
      <c r="BY11" s="100">
        <v>3768.1026431650198</v>
      </c>
      <c r="BZ11" s="100">
        <v>8.6486971455320969</v>
      </c>
      <c r="CA11" s="100">
        <v>4608.0258391395009</v>
      </c>
      <c r="CB11" s="100">
        <v>10</v>
      </c>
      <c r="CC11" s="100">
        <v>5328</v>
      </c>
      <c r="CD11" s="100">
        <v>6.4792831573980072</v>
      </c>
      <c r="CE11" s="100">
        <v>3452.1620662616579</v>
      </c>
      <c r="CF11" s="100">
        <v>12</v>
      </c>
      <c r="CG11" s="100">
        <v>6393.5999999999995</v>
      </c>
      <c r="CH11" s="100">
        <v>6.7041770859404357</v>
      </c>
      <c r="CI11" s="100">
        <v>3571.9855513890639</v>
      </c>
      <c r="CJ11" s="100">
        <v>12</v>
      </c>
      <c r="CK11" s="100">
        <v>6393.5999999999995</v>
      </c>
      <c r="CL11" s="100">
        <v>6.7592011370090965</v>
      </c>
      <c r="CM11" s="100">
        <v>3601.3023657984463</v>
      </c>
      <c r="CN11" s="100">
        <v>8</v>
      </c>
      <c r="CO11" s="100">
        <v>4262.3999999999996</v>
      </c>
      <c r="CP11" s="100">
        <v>9</v>
      </c>
      <c r="CQ11" s="100">
        <v>4795.2</v>
      </c>
      <c r="CR11" s="100">
        <v>11</v>
      </c>
      <c r="CS11" s="100">
        <v>5860.7999999999993</v>
      </c>
      <c r="CT11" s="100">
        <v>5.0296471487089471</v>
      </c>
      <c r="CU11" s="100">
        <v>2679.796000832127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8</v>
      </c>
      <c r="G12" s="100">
        <v>4502.3999999999996</v>
      </c>
      <c r="H12" s="100">
        <v>8</v>
      </c>
      <c r="I12" s="100">
        <v>4502.3999999999996</v>
      </c>
      <c r="J12" s="100">
        <v>9</v>
      </c>
      <c r="K12" s="100">
        <v>5065.2</v>
      </c>
      <c r="L12" s="100">
        <v>8</v>
      </c>
      <c r="M12" s="100">
        <v>4502.3999999999996</v>
      </c>
      <c r="N12" s="100">
        <v>8</v>
      </c>
      <c r="O12" s="100">
        <v>4502.3999999999996</v>
      </c>
      <c r="P12" s="100">
        <v>7</v>
      </c>
      <c r="Q12" s="100">
        <v>3939.5999999999995</v>
      </c>
      <c r="R12" s="100">
        <v>9</v>
      </c>
      <c r="S12" s="100">
        <v>5065.2</v>
      </c>
      <c r="T12" s="100">
        <v>6</v>
      </c>
      <c r="U12" s="100">
        <v>3376.7999999999997</v>
      </c>
      <c r="V12" s="100">
        <v>9</v>
      </c>
      <c r="W12" s="100">
        <v>5065.2</v>
      </c>
      <c r="X12" s="100">
        <v>6.4216158477267022</v>
      </c>
      <c r="Y12" s="100">
        <v>3614.0853991005879</v>
      </c>
      <c r="Z12" s="100">
        <v>11</v>
      </c>
      <c r="AA12" s="100">
        <v>6190.7999999999993</v>
      </c>
      <c r="AB12" s="100">
        <v>2.9542645127778009</v>
      </c>
      <c r="AC12" s="100">
        <v>1662.6600677913461</v>
      </c>
      <c r="AD12" s="100">
        <v>9</v>
      </c>
      <c r="AE12" s="100">
        <v>5065.2</v>
      </c>
      <c r="AF12" s="100">
        <v>5.1966772830594303</v>
      </c>
      <c r="AG12" s="100">
        <v>2924.6899749058471</v>
      </c>
      <c r="AH12" s="100">
        <v>10</v>
      </c>
      <c r="AI12" s="100">
        <v>5628</v>
      </c>
      <c r="AJ12" s="100">
        <v>6</v>
      </c>
      <c r="AK12" s="100">
        <v>3376.7999999999997</v>
      </c>
      <c r="AL12" s="100">
        <v>11</v>
      </c>
      <c r="AM12" s="100">
        <v>6190.7999999999993</v>
      </c>
      <c r="AN12" s="100">
        <v>10</v>
      </c>
      <c r="AO12" s="100">
        <v>5628</v>
      </c>
      <c r="AP12" s="100">
        <v>5.9270345256469259</v>
      </c>
      <c r="AQ12" s="100">
        <v>3335.7350310340898</v>
      </c>
      <c r="AR12" s="100">
        <v>5.5076185149102761</v>
      </c>
      <c r="AS12" s="100">
        <v>3099.6877001915032</v>
      </c>
      <c r="AT12" s="100">
        <v>1.9177667318698122</v>
      </c>
      <c r="AU12" s="100">
        <v>1079.3191166963302</v>
      </c>
      <c r="AV12" s="100">
        <v>9</v>
      </c>
      <c r="AW12" s="100">
        <v>5065.2</v>
      </c>
      <c r="AX12" s="100">
        <v>9</v>
      </c>
      <c r="AY12" s="100">
        <v>5065.2</v>
      </c>
      <c r="AZ12" s="100">
        <v>8</v>
      </c>
      <c r="BA12" s="100">
        <v>4502.3999999999996</v>
      </c>
      <c r="BB12" s="100">
        <v>12</v>
      </c>
      <c r="BC12" s="100">
        <v>6753.5999999999995</v>
      </c>
      <c r="BD12" s="100">
        <v>10</v>
      </c>
      <c r="BE12" s="100">
        <v>5628</v>
      </c>
      <c r="BF12" s="100">
        <v>10</v>
      </c>
      <c r="BG12" s="100">
        <v>5628</v>
      </c>
      <c r="BH12" s="100">
        <v>2.2143001747222182</v>
      </c>
      <c r="BI12" s="100">
        <v>1246.2081383336642</v>
      </c>
      <c r="BJ12" s="100">
        <v>9</v>
      </c>
      <c r="BK12" s="100">
        <v>5065.2</v>
      </c>
      <c r="BL12" s="100">
        <v>7</v>
      </c>
      <c r="BM12" s="100">
        <v>3939.5999999999995</v>
      </c>
      <c r="BN12" s="100">
        <v>6</v>
      </c>
      <c r="BO12" s="100">
        <v>3376.7999999999997</v>
      </c>
      <c r="BP12" s="100">
        <v>10</v>
      </c>
      <c r="BQ12" s="100">
        <v>5628</v>
      </c>
      <c r="BR12" s="100">
        <v>9</v>
      </c>
      <c r="BS12" s="100">
        <v>5065.2</v>
      </c>
      <c r="BT12" s="100">
        <v>4.1280040230393302</v>
      </c>
      <c r="BU12" s="100">
        <v>2323.2406641665348</v>
      </c>
      <c r="BV12" s="100">
        <v>8.3310114250514946</v>
      </c>
      <c r="BW12" s="100">
        <v>4688.693230018981</v>
      </c>
      <c r="BX12" s="100">
        <v>7.0722647206550677</v>
      </c>
      <c r="BY12" s="100">
        <v>3980.2705847846719</v>
      </c>
      <c r="BZ12" s="100">
        <v>10.57062984453923</v>
      </c>
      <c r="CA12" s="100">
        <v>5949.1504765066784</v>
      </c>
      <c r="CB12" s="100">
        <v>10</v>
      </c>
      <c r="CC12" s="100">
        <v>5628</v>
      </c>
      <c r="CD12" s="100">
        <v>5.5536712777697197</v>
      </c>
      <c r="CE12" s="100">
        <v>3125.6061951287979</v>
      </c>
      <c r="CF12" s="100">
        <v>12</v>
      </c>
      <c r="CG12" s="100">
        <v>6753.5999999999995</v>
      </c>
      <c r="CH12" s="100">
        <v>6.7041770859404357</v>
      </c>
      <c r="CI12" s="100">
        <v>3773.1108639672771</v>
      </c>
      <c r="CJ12" s="100">
        <v>11</v>
      </c>
      <c r="CK12" s="100">
        <v>6190.7999999999993</v>
      </c>
      <c r="CL12" s="100">
        <v>6.7592011370090965</v>
      </c>
      <c r="CM12" s="100">
        <v>3804.0783999087193</v>
      </c>
      <c r="CN12" s="100">
        <v>7</v>
      </c>
      <c r="CO12" s="100">
        <v>3939.5999999999995</v>
      </c>
      <c r="CP12" s="100">
        <v>9</v>
      </c>
      <c r="CQ12" s="100">
        <v>5065.2</v>
      </c>
      <c r="CR12" s="100">
        <v>11</v>
      </c>
      <c r="CS12" s="100">
        <v>6190.7999999999993</v>
      </c>
      <c r="CT12" s="100">
        <v>5.0296471487089471</v>
      </c>
      <c r="CU12" s="100">
        <v>2830.6854152933952</v>
      </c>
    </row>
    <row r="13" spans="1:99">
      <c r="C13" s="99" t="s">
        <v>179</v>
      </c>
      <c r="D13" s="100">
        <v>7</v>
      </c>
      <c r="E13" s="100">
        <v>596.4</v>
      </c>
      <c r="F13" s="100">
        <v>8</v>
      </c>
      <c r="G13" s="100">
        <v>681.6</v>
      </c>
      <c r="H13" s="100">
        <v>9</v>
      </c>
      <c r="I13" s="100">
        <v>766.80000000000007</v>
      </c>
      <c r="J13" s="100">
        <v>10</v>
      </c>
      <c r="K13" s="100">
        <v>852</v>
      </c>
      <c r="L13" s="100">
        <v>8</v>
      </c>
      <c r="M13" s="100">
        <v>681.6</v>
      </c>
      <c r="N13" s="100">
        <v>8</v>
      </c>
      <c r="O13" s="100">
        <v>681.6</v>
      </c>
      <c r="P13" s="100">
        <v>7</v>
      </c>
      <c r="Q13" s="100">
        <v>596.4</v>
      </c>
      <c r="R13" s="100">
        <v>9</v>
      </c>
      <c r="S13" s="100">
        <v>766.80000000000007</v>
      </c>
      <c r="T13" s="100">
        <v>6</v>
      </c>
      <c r="U13" s="100">
        <v>511.20000000000005</v>
      </c>
      <c r="V13" s="100">
        <v>10</v>
      </c>
      <c r="W13" s="100">
        <v>852</v>
      </c>
      <c r="X13" s="100">
        <v>6.4216158477267022</v>
      </c>
      <c r="Y13" s="100">
        <v>547.12167022631502</v>
      </c>
      <c r="Z13" s="100">
        <v>11</v>
      </c>
      <c r="AA13" s="100">
        <v>937.2</v>
      </c>
      <c r="AB13" s="100">
        <v>3.3763023003174863</v>
      </c>
      <c r="AC13" s="100">
        <v>287.66095598704987</v>
      </c>
      <c r="AD13" s="100">
        <v>9</v>
      </c>
      <c r="AE13" s="100">
        <v>766.80000000000007</v>
      </c>
      <c r="AF13" s="100">
        <v>4.7242520755085735</v>
      </c>
      <c r="AG13" s="100">
        <v>402.5062768333305</v>
      </c>
      <c r="AH13" s="100">
        <v>11</v>
      </c>
      <c r="AI13" s="100">
        <v>937.2</v>
      </c>
      <c r="AJ13" s="100">
        <v>7</v>
      </c>
      <c r="AK13" s="100">
        <v>596.4</v>
      </c>
      <c r="AL13" s="100">
        <v>10</v>
      </c>
      <c r="AM13" s="100">
        <v>852</v>
      </c>
      <c r="AN13" s="100">
        <v>9</v>
      </c>
      <c r="AO13" s="100">
        <v>766.80000000000007</v>
      </c>
      <c r="AP13" s="100">
        <v>5.0803153076973659</v>
      </c>
      <c r="AQ13" s="100">
        <v>432.84286421581561</v>
      </c>
      <c r="AR13" s="100">
        <v>6.0583803664013045</v>
      </c>
      <c r="AS13" s="100">
        <v>516.17400721739114</v>
      </c>
      <c r="AT13" s="100">
        <v>1.9177667318698122</v>
      </c>
      <c r="AU13" s="100">
        <v>163.39372555530801</v>
      </c>
      <c r="AV13" s="100">
        <v>10</v>
      </c>
      <c r="AW13" s="100">
        <v>852</v>
      </c>
      <c r="AX13" s="100">
        <v>10</v>
      </c>
      <c r="AY13" s="100">
        <v>852</v>
      </c>
      <c r="AZ13" s="100">
        <v>9</v>
      </c>
      <c r="BA13" s="100">
        <v>766.80000000000007</v>
      </c>
      <c r="BB13" s="100">
        <v>12</v>
      </c>
      <c r="BC13" s="100">
        <v>1022.4000000000001</v>
      </c>
      <c r="BD13" s="100">
        <v>10</v>
      </c>
      <c r="BE13" s="100">
        <v>852</v>
      </c>
      <c r="BF13" s="100">
        <v>10</v>
      </c>
      <c r="BG13" s="100">
        <v>852</v>
      </c>
      <c r="BH13" s="100">
        <v>2.4357301921944403</v>
      </c>
      <c r="BI13" s="100">
        <v>207.52421237496631</v>
      </c>
      <c r="BJ13" s="100">
        <v>10</v>
      </c>
      <c r="BK13" s="100">
        <v>852</v>
      </c>
      <c r="BL13" s="100">
        <v>7</v>
      </c>
      <c r="BM13" s="100">
        <v>596.4</v>
      </c>
      <c r="BN13" s="100">
        <v>6</v>
      </c>
      <c r="BO13" s="100">
        <v>511.20000000000005</v>
      </c>
      <c r="BP13" s="100">
        <v>10</v>
      </c>
      <c r="BQ13" s="100">
        <v>852</v>
      </c>
      <c r="BR13" s="100">
        <v>10</v>
      </c>
      <c r="BS13" s="100">
        <v>852</v>
      </c>
      <c r="BT13" s="100">
        <v>4.6440045259192466</v>
      </c>
      <c r="BU13" s="100">
        <v>395.66918560831982</v>
      </c>
      <c r="BV13" s="100">
        <v>8.3310114250514946</v>
      </c>
      <c r="BW13" s="100">
        <v>709.80217341438731</v>
      </c>
      <c r="BX13" s="100">
        <v>7.0722647206550677</v>
      </c>
      <c r="BY13" s="100">
        <v>602.5569541998118</v>
      </c>
      <c r="BZ13" s="100">
        <v>9.6096634950356634</v>
      </c>
      <c r="CA13" s="100">
        <v>818.74332977703853</v>
      </c>
      <c r="CB13" s="100">
        <v>11</v>
      </c>
      <c r="CC13" s="100">
        <v>937.2</v>
      </c>
      <c r="CD13" s="100">
        <v>5.5536712777697197</v>
      </c>
      <c r="CE13" s="100">
        <v>473.17279286598011</v>
      </c>
      <c r="CF13" s="100">
        <v>14</v>
      </c>
      <c r="CG13" s="100">
        <v>1192.8</v>
      </c>
      <c r="CH13" s="100">
        <v>7.661916669646212</v>
      </c>
      <c r="CI13" s="100">
        <v>652.79530025385725</v>
      </c>
      <c r="CJ13" s="100">
        <v>12</v>
      </c>
      <c r="CK13" s="100">
        <v>1022.4000000000001</v>
      </c>
      <c r="CL13" s="100">
        <v>6.7592011370090965</v>
      </c>
      <c r="CM13" s="100">
        <v>575.883936873175</v>
      </c>
      <c r="CN13" s="100">
        <v>8</v>
      </c>
      <c r="CO13" s="100">
        <v>681.6</v>
      </c>
      <c r="CP13" s="100">
        <v>10</v>
      </c>
      <c r="CQ13" s="100">
        <v>852</v>
      </c>
      <c r="CR13" s="100">
        <v>12</v>
      </c>
      <c r="CS13" s="100">
        <v>1022.4000000000001</v>
      </c>
      <c r="CT13" s="100">
        <v>4.6105098863165344</v>
      </c>
      <c r="CU13" s="100">
        <v>392.81544231416876</v>
      </c>
    </row>
    <row r="14" spans="1:99">
      <c r="C14" s="99" t="s">
        <v>180</v>
      </c>
      <c r="D14" s="100">
        <v>8</v>
      </c>
      <c r="E14" s="100">
        <v>3907.2</v>
      </c>
      <c r="F14" s="100">
        <v>9</v>
      </c>
      <c r="G14" s="100">
        <v>4395.5999999999995</v>
      </c>
      <c r="H14" s="100">
        <v>8</v>
      </c>
      <c r="I14" s="100">
        <v>3907.2</v>
      </c>
      <c r="J14" s="100">
        <v>8</v>
      </c>
      <c r="K14" s="100">
        <v>3907.2</v>
      </c>
      <c r="L14" s="100">
        <v>8</v>
      </c>
      <c r="M14" s="100">
        <v>3907.2</v>
      </c>
      <c r="N14" s="100">
        <v>8</v>
      </c>
      <c r="O14" s="100">
        <v>3907.2</v>
      </c>
      <c r="P14" s="100">
        <v>7</v>
      </c>
      <c r="Q14" s="100">
        <v>3418.7999999999997</v>
      </c>
      <c r="R14" s="100">
        <v>9</v>
      </c>
      <c r="S14" s="100">
        <v>4395.5999999999995</v>
      </c>
      <c r="T14" s="100">
        <v>7</v>
      </c>
      <c r="U14" s="100">
        <v>3418.7999999999997</v>
      </c>
      <c r="V14" s="100">
        <v>11</v>
      </c>
      <c r="W14" s="100">
        <v>5372.4</v>
      </c>
      <c r="X14" s="100">
        <v>7.0637774324993723</v>
      </c>
      <c r="Y14" s="100">
        <v>3449.9488980326933</v>
      </c>
      <c r="Z14" s="100">
        <v>9</v>
      </c>
      <c r="AA14" s="100">
        <v>4395.5999999999995</v>
      </c>
      <c r="AB14" s="100">
        <v>2.9542645127778009</v>
      </c>
      <c r="AC14" s="100">
        <v>1442.862788040678</v>
      </c>
      <c r="AD14" s="100">
        <v>8</v>
      </c>
      <c r="AE14" s="100">
        <v>3907.2</v>
      </c>
      <c r="AF14" s="100">
        <v>5.1966772830594303</v>
      </c>
      <c r="AG14" s="100">
        <v>2538.0571850462256</v>
      </c>
      <c r="AH14" s="100">
        <v>11</v>
      </c>
      <c r="AI14" s="100">
        <v>5372.4</v>
      </c>
      <c r="AJ14" s="100">
        <v>7</v>
      </c>
      <c r="AK14" s="100">
        <v>3418.7999999999997</v>
      </c>
      <c r="AL14" s="100">
        <v>10</v>
      </c>
      <c r="AM14" s="100">
        <v>4884</v>
      </c>
      <c r="AN14" s="100">
        <v>10</v>
      </c>
      <c r="AO14" s="100">
        <v>4884</v>
      </c>
      <c r="AP14" s="100">
        <v>5.9270345256469259</v>
      </c>
      <c r="AQ14" s="100">
        <v>2894.7636623259586</v>
      </c>
      <c r="AR14" s="100">
        <v>4.9568566634192486</v>
      </c>
      <c r="AS14" s="100">
        <v>2420.928794413961</v>
      </c>
      <c r="AT14" s="100">
        <v>1.9177667318698122</v>
      </c>
      <c r="AU14" s="100">
        <v>936.63727184521622</v>
      </c>
      <c r="AV14" s="100">
        <v>9</v>
      </c>
      <c r="AW14" s="100">
        <v>4395.5999999999995</v>
      </c>
      <c r="AX14" s="100">
        <v>11</v>
      </c>
      <c r="AY14" s="100">
        <v>5372.4</v>
      </c>
      <c r="AZ14" s="100">
        <v>9</v>
      </c>
      <c r="BA14" s="100">
        <v>4395.5999999999995</v>
      </c>
      <c r="BB14" s="100">
        <v>11</v>
      </c>
      <c r="BC14" s="100">
        <v>5372.4</v>
      </c>
      <c r="BD14" s="100">
        <v>9</v>
      </c>
      <c r="BE14" s="100">
        <v>4395.5999999999995</v>
      </c>
      <c r="BF14" s="100">
        <v>10</v>
      </c>
      <c r="BG14" s="100">
        <v>4884</v>
      </c>
      <c r="BH14" s="100">
        <v>2.2143001747222182</v>
      </c>
      <c r="BI14" s="100">
        <v>1081.4642053343314</v>
      </c>
      <c r="BJ14" s="100">
        <v>10</v>
      </c>
      <c r="BK14" s="100">
        <v>4884</v>
      </c>
      <c r="BL14" s="100">
        <v>7</v>
      </c>
      <c r="BM14" s="100">
        <v>3418.7999999999997</v>
      </c>
      <c r="BN14" s="100">
        <v>6</v>
      </c>
      <c r="BO14" s="100">
        <v>2930.3999999999996</v>
      </c>
      <c r="BP14" s="100">
        <v>10</v>
      </c>
      <c r="BQ14" s="100">
        <v>4884</v>
      </c>
      <c r="BR14" s="100">
        <v>9</v>
      </c>
      <c r="BS14" s="100">
        <v>4395.5999999999995</v>
      </c>
      <c r="BT14" s="100">
        <v>4.1280040230393302</v>
      </c>
      <c r="BU14" s="100">
        <v>2016.1171648524087</v>
      </c>
      <c r="BV14" s="100">
        <v>8.3310114250514946</v>
      </c>
      <c r="BW14" s="100">
        <v>4068.8659799951497</v>
      </c>
      <c r="BX14" s="100">
        <v>7.0722647206550677</v>
      </c>
      <c r="BY14" s="100">
        <v>3454.094089567935</v>
      </c>
      <c r="BZ14" s="100">
        <v>8.6486971455320969</v>
      </c>
      <c r="CA14" s="100">
        <v>4224.0236858778762</v>
      </c>
      <c r="CB14" s="100">
        <v>9</v>
      </c>
      <c r="CC14" s="100">
        <v>4395.5999999999995</v>
      </c>
      <c r="CD14" s="100">
        <v>6.4792831573980072</v>
      </c>
      <c r="CE14" s="100">
        <v>3164.4818940731866</v>
      </c>
      <c r="CF14" s="100">
        <v>12</v>
      </c>
      <c r="CG14" s="100">
        <v>5860.7999999999993</v>
      </c>
      <c r="CH14" s="100">
        <v>6.7041770859404357</v>
      </c>
      <c r="CI14" s="100">
        <v>3274.3200887733087</v>
      </c>
      <c r="CJ14" s="100">
        <v>12</v>
      </c>
      <c r="CK14" s="100">
        <v>5860.7999999999993</v>
      </c>
      <c r="CL14" s="100">
        <v>6.7592011370090965</v>
      </c>
      <c r="CM14" s="100">
        <v>3301.1938353152427</v>
      </c>
      <c r="CN14" s="100">
        <v>8</v>
      </c>
      <c r="CO14" s="100">
        <v>3907.2</v>
      </c>
      <c r="CP14" s="100">
        <v>10</v>
      </c>
      <c r="CQ14" s="100">
        <v>4884</v>
      </c>
      <c r="CR14" s="100">
        <v>12</v>
      </c>
      <c r="CS14" s="100">
        <v>5860.7999999999993</v>
      </c>
      <c r="CT14" s="100">
        <v>5.0296471487089471</v>
      </c>
      <c r="CU14" s="100">
        <v>2456.4796674294498</v>
      </c>
    </row>
    <row r="15" spans="1:99">
      <c r="C15" s="99" t="s">
        <v>181</v>
      </c>
      <c r="D15" s="100">
        <v>7</v>
      </c>
      <c r="E15" s="100">
        <v>5342.4</v>
      </c>
      <c r="F15" s="100">
        <v>9</v>
      </c>
      <c r="G15" s="100">
        <v>6868.7999999999993</v>
      </c>
      <c r="H15" s="100">
        <v>8</v>
      </c>
      <c r="I15" s="100">
        <v>6105.5999999999995</v>
      </c>
      <c r="J15" s="100">
        <v>8</v>
      </c>
      <c r="K15" s="100">
        <v>6105.5999999999995</v>
      </c>
      <c r="L15" s="100">
        <v>7</v>
      </c>
      <c r="M15" s="100">
        <v>5342.4</v>
      </c>
      <c r="N15" s="100">
        <v>9</v>
      </c>
      <c r="O15" s="100">
        <v>6868.7999999999993</v>
      </c>
      <c r="P15" s="100">
        <v>7</v>
      </c>
      <c r="Q15" s="100">
        <v>5342.4</v>
      </c>
      <c r="R15" s="100">
        <v>10</v>
      </c>
      <c r="S15" s="100">
        <v>7631.9999999999991</v>
      </c>
      <c r="T15" s="100">
        <v>6</v>
      </c>
      <c r="U15" s="100">
        <v>4579.2</v>
      </c>
      <c r="V15" s="100">
        <v>10</v>
      </c>
      <c r="W15" s="100">
        <v>7631.9999999999991</v>
      </c>
      <c r="X15" s="100">
        <v>7.0637774324993723</v>
      </c>
      <c r="Y15" s="100">
        <v>5391.0749364835201</v>
      </c>
      <c r="Z15" s="100">
        <v>9</v>
      </c>
      <c r="AA15" s="100">
        <v>6868.7999999999993</v>
      </c>
      <c r="AB15" s="100">
        <v>3.3763023003174863</v>
      </c>
      <c r="AC15" s="100">
        <v>2576.7939156023053</v>
      </c>
      <c r="AD15" s="100">
        <v>8</v>
      </c>
      <c r="AE15" s="100">
        <v>6105.5999999999995</v>
      </c>
      <c r="AF15" s="100">
        <v>5.1966772830594303</v>
      </c>
      <c r="AG15" s="100">
        <v>3966.104102430957</v>
      </c>
      <c r="AH15" s="100">
        <v>9</v>
      </c>
      <c r="AI15" s="100">
        <v>6868.7999999999993</v>
      </c>
      <c r="AJ15" s="100">
        <v>7</v>
      </c>
      <c r="AK15" s="100">
        <v>5342.4</v>
      </c>
      <c r="AL15" s="100">
        <v>10</v>
      </c>
      <c r="AM15" s="100">
        <v>7631.9999999999991</v>
      </c>
      <c r="AN15" s="100">
        <v>10</v>
      </c>
      <c r="AO15" s="100">
        <v>7631.9999999999991</v>
      </c>
      <c r="AP15" s="100">
        <v>5.9270345256469259</v>
      </c>
      <c r="AQ15" s="100">
        <v>4523.5127499737337</v>
      </c>
      <c r="AR15" s="100">
        <v>4.9568566634192486</v>
      </c>
      <c r="AS15" s="100">
        <v>3783.0730055215704</v>
      </c>
      <c r="AT15" s="100">
        <v>1.9177667318698122</v>
      </c>
      <c r="AU15" s="100">
        <v>1463.6395697630405</v>
      </c>
      <c r="AV15" s="100">
        <v>9</v>
      </c>
      <c r="AW15" s="100">
        <v>6868.7999999999993</v>
      </c>
      <c r="AX15" s="100">
        <v>9</v>
      </c>
      <c r="AY15" s="100">
        <v>6868.7999999999993</v>
      </c>
      <c r="AZ15" s="100">
        <v>8</v>
      </c>
      <c r="BA15" s="100">
        <v>6105.5999999999995</v>
      </c>
      <c r="BB15" s="100">
        <v>11</v>
      </c>
      <c r="BC15" s="100">
        <v>8395.1999999999989</v>
      </c>
      <c r="BD15" s="100">
        <v>10</v>
      </c>
      <c r="BE15" s="100">
        <v>7631.9999999999991</v>
      </c>
      <c r="BF15" s="100">
        <v>9</v>
      </c>
      <c r="BG15" s="100">
        <v>6868.7999999999993</v>
      </c>
      <c r="BH15" s="100">
        <v>2.4357301921944403</v>
      </c>
      <c r="BI15" s="100">
        <v>1858.9492826827966</v>
      </c>
      <c r="BJ15" s="100">
        <v>9</v>
      </c>
      <c r="BK15" s="100">
        <v>6868.7999999999993</v>
      </c>
      <c r="BL15" s="100">
        <v>7</v>
      </c>
      <c r="BM15" s="100">
        <v>5342.4</v>
      </c>
      <c r="BN15" s="100">
        <v>6</v>
      </c>
      <c r="BO15" s="100">
        <v>4579.2</v>
      </c>
      <c r="BP15" s="100">
        <v>9</v>
      </c>
      <c r="BQ15" s="100">
        <v>6868.7999999999993</v>
      </c>
      <c r="BR15" s="100">
        <v>9</v>
      </c>
      <c r="BS15" s="100">
        <v>6868.7999999999993</v>
      </c>
      <c r="BT15" s="100">
        <v>4.1280040230393302</v>
      </c>
      <c r="BU15" s="100">
        <v>3150.4926703836168</v>
      </c>
      <c r="BV15" s="100">
        <v>8.3310114250514946</v>
      </c>
      <c r="BW15" s="100">
        <v>6358.2279195993005</v>
      </c>
      <c r="BX15" s="100">
        <v>7.0722647206550677</v>
      </c>
      <c r="BY15" s="100">
        <v>5397.5524348039471</v>
      </c>
      <c r="BZ15" s="100">
        <v>8.6486971455320969</v>
      </c>
      <c r="CA15" s="100">
        <v>6600.6856614700955</v>
      </c>
      <c r="CB15" s="100">
        <v>11</v>
      </c>
      <c r="CC15" s="100">
        <v>8395.1999999999989</v>
      </c>
      <c r="CD15" s="100">
        <v>5.5536712777697197</v>
      </c>
      <c r="CE15" s="100">
        <v>4238.5619191938495</v>
      </c>
      <c r="CF15" s="100">
        <v>12</v>
      </c>
      <c r="CG15" s="100">
        <v>9158.4</v>
      </c>
      <c r="CH15" s="100">
        <v>7.661916669646212</v>
      </c>
      <c r="CI15" s="100">
        <v>5847.5748022739881</v>
      </c>
      <c r="CJ15" s="100">
        <v>11</v>
      </c>
      <c r="CK15" s="100">
        <v>8395.1999999999989</v>
      </c>
      <c r="CL15" s="100">
        <v>5.7936009745792258</v>
      </c>
      <c r="CM15" s="100">
        <v>4421.676263798865</v>
      </c>
      <c r="CN15" s="100">
        <v>7</v>
      </c>
      <c r="CO15" s="100">
        <v>5342.4</v>
      </c>
      <c r="CP15" s="100">
        <v>11</v>
      </c>
      <c r="CQ15" s="100">
        <v>8395.1999999999989</v>
      </c>
      <c r="CR15" s="100">
        <v>12</v>
      </c>
      <c r="CS15" s="100">
        <v>9158.4</v>
      </c>
      <c r="CT15" s="100">
        <v>4.6105098863165344</v>
      </c>
      <c r="CU15" s="100">
        <v>3518.7411452367787</v>
      </c>
    </row>
    <row r="16" spans="1:99">
      <c r="C16" s="99" t="s">
        <v>182</v>
      </c>
      <c r="D16" s="100">
        <v>8</v>
      </c>
      <c r="E16" s="100">
        <v>2726.4</v>
      </c>
      <c r="F16" s="100">
        <v>9</v>
      </c>
      <c r="G16" s="100">
        <v>3067.2000000000003</v>
      </c>
      <c r="H16" s="100">
        <v>10</v>
      </c>
      <c r="I16" s="100">
        <v>3408</v>
      </c>
      <c r="J16" s="100">
        <v>8</v>
      </c>
      <c r="K16" s="100">
        <v>2726.4</v>
      </c>
      <c r="L16" s="100">
        <v>8</v>
      </c>
      <c r="M16" s="100">
        <v>2726.4</v>
      </c>
      <c r="N16" s="100">
        <v>9</v>
      </c>
      <c r="O16" s="100">
        <v>3067.2000000000003</v>
      </c>
      <c r="P16" s="100">
        <v>8</v>
      </c>
      <c r="Q16" s="100">
        <v>2726.4</v>
      </c>
      <c r="R16" s="100">
        <v>9</v>
      </c>
      <c r="S16" s="100">
        <v>3067.2000000000003</v>
      </c>
      <c r="T16" s="100">
        <v>6</v>
      </c>
      <c r="U16" s="100">
        <v>2044.8000000000002</v>
      </c>
      <c r="V16" s="100">
        <v>11</v>
      </c>
      <c r="W16" s="100">
        <v>3748.8</v>
      </c>
      <c r="X16" s="100">
        <v>7.0637774324993723</v>
      </c>
      <c r="Y16" s="100">
        <v>2407.3353489957863</v>
      </c>
      <c r="Z16" s="100">
        <v>11</v>
      </c>
      <c r="AA16" s="100">
        <v>3748.8</v>
      </c>
      <c r="AB16" s="100">
        <v>3.7983400878571723</v>
      </c>
      <c r="AC16" s="100">
        <v>1294.4743019417244</v>
      </c>
      <c r="AD16" s="100">
        <v>7</v>
      </c>
      <c r="AE16" s="100">
        <v>2385.6</v>
      </c>
      <c r="AF16" s="100">
        <v>4.7242520755085735</v>
      </c>
      <c r="AG16" s="100">
        <v>1610.025107333322</v>
      </c>
      <c r="AH16" s="100">
        <v>10</v>
      </c>
      <c r="AI16" s="100">
        <v>3408</v>
      </c>
      <c r="AJ16" s="100">
        <v>6</v>
      </c>
      <c r="AK16" s="100">
        <v>2044.8000000000002</v>
      </c>
      <c r="AL16" s="100">
        <v>10</v>
      </c>
      <c r="AM16" s="100">
        <v>3408</v>
      </c>
      <c r="AN16" s="100">
        <v>9</v>
      </c>
      <c r="AO16" s="100">
        <v>3067.2000000000003</v>
      </c>
      <c r="AP16" s="100">
        <v>5.9270345256469259</v>
      </c>
      <c r="AQ16" s="100">
        <v>2019.9333663404725</v>
      </c>
      <c r="AR16" s="100">
        <v>4.9568566634192486</v>
      </c>
      <c r="AS16" s="100">
        <v>1689.29675089328</v>
      </c>
      <c r="AT16" s="100">
        <v>1.6438000558884105</v>
      </c>
      <c r="AU16" s="100">
        <v>560.20705904677027</v>
      </c>
      <c r="AV16" s="100">
        <v>8</v>
      </c>
      <c r="AW16" s="100">
        <v>2726.4</v>
      </c>
      <c r="AX16" s="100">
        <v>10</v>
      </c>
      <c r="AY16" s="100">
        <v>3408</v>
      </c>
      <c r="AZ16" s="100">
        <v>9</v>
      </c>
      <c r="BA16" s="100">
        <v>3067.2000000000003</v>
      </c>
      <c r="BB16" s="100">
        <v>12</v>
      </c>
      <c r="BC16" s="100">
        <v>4089.6000000000004</v>
      </c>
      <c r="BD16" s="100">
        <v>9</v>
      </c>
      <c r="BE16" s="100">
        <v>3067.2000000000003</v>
      </c>
      <c r="BF16" s="100">
        <v>10</v>
      </c>
      <c r="BG16" s="100">
        <v>3408</v>
      </c>
      <c r="BH16" s="100">
        <v>2.2143001747222182</v>
      </c>
      <c r="BI16" s="100">
        <v>754.63349954533203</v>
      </c>
      <c r="BJ16" s="100">
        <v>10</v>
      </c>
      <c r="BK16" s="100">
        <v>3408</v>
      </c>
      <c r="BL16" s="100">
        <v>7</v>
      </c>
      <c r="BM16" s="100">
        <v>2385.6</v>
      </c>
      <c r="BN16" s="100">
        <v>7</v>
      </c>
      <c r="BO16" s="100">
        <v>2385.6</v>
      </c>
      <c r="BP16" s="100">
        <v>10</v>
      </c>
      <c r="BQ16" s="100">
        <v>3408</v>
      </c>
      <c r="BR16" s="100">
        <v>10</v>
      </c>
      <c r="BS16" s="100">
        <v>3408</v>
      </c>
      <c r="BT16" s="100">
        <v>4.1280040230393302</v>
      </c>
      <c r="BU16" s="100">
        <v>1406.8237710518038</v>
      </c>
      <c r="BV16" s="100">
        <v>7.4979102825463446</v>
      </c>
      <c r="BW16" s="100">
        <v>2555.2878242917945</v>
      </c>
      <c r="BX16" s="100">
        <v>7.9562978107369506</v>
      </c>
      <c r="BY16" s="100">
        <v>2711.5062938991528</v>
      </c>
      <c r="BZ16" s="100">
        <v>10.57062984453923</v>
      </c>
      <c r="CA16" s="100">
        <v>3602.4706510189699</v>
      </c>
      <c r="CB16" s="100">
        <v>9</v>
      </c>
      <c r="CC16" s="100">
        <v>3067.2000000000003</v>
      </c>
      <c r="CD16" s="100">
        <v>6.4792831573980072</v>
      </c>
      <c r="CE16" s="100">
        <v>2208.1397000412408</v>
      </c>
      <c r="CF16" s="100">
        <v>12</v>
      </c>
      <c r="CG16" s="100">
        <v>4089.6000000000004</v>
      </c>
      <c r="CH16" s="100">
        <v>6.7041770859404357</v>
      </c>
      <c r="CI16" s="100">
        <v>2284.7835508885005</v>
      </c>
      <c r="CJ16" s="100">
        <v>11</v>
      </c>
      <c r="CK16" s="100">
        <v>3748.8</v>
      </c>
      <c r="CL16" s="100">
        <v>6.7592011370090965</v>
      </c>
      <c r="CM16" s="100">
        <v>2303.5357474927</v>
      </c>
      <c r="CN16" s="100">
        <v>9</v>
      </c>
      <c r="CO16" s="100">
        <v>3067.2000000000003</v>
      </c>
      <c r="CP16" s="100">
        <v>9</v>
      </c>
      <c r="CQ16" s="100">
        <v>3067.2000000000003</v>
      </c>
      <c r="CR16" s="100">
        <v>13</v>
      </c>
      <c r="CS16" s="100">
        <v>4430.4000000000005</v>
      </c>
      <c r="CT16" s="100">
        <v>5.0296471487089471</v>
      </c>
      <c r="CU16" s="100">
        <v>1714.1037482800093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9</v>
      </c>
      <c r="G17" s="100">
        <v>3801.6</v>
      </c>
      <c r="H17" s="100">
        <v>9</v>
      </c>
      <c r="I17" s="100">
        <v>3801.6</v>
      </c>
      <c r="J17" s="100">
        <v>10</v>
      </c>
      <c r="K17" s="100">
        <v>4224</v>
      </c>
      <c r="L17" s="100">
        <v>8</v>
      </c>
      <c r="M17" s="100">
        <v>3379.2</v>
      </c>
      <c r="N17" s="100">
        <v>8</v>
      </c>
      <c r="O17" s="100">
        <v>3379.2</v>
      </c>
      <c r="P17" s="100">
        <v>7</v>
      </c>
      <c r="Q17" s="100">
        <v>2956.7999999999997</v>
      </c>
      <c r="R17" s="100">
        <v>9</v>
      </c>
      <c r="S17" s="100">
        <v>3801.6</v>
      </c>
      <c r="T17" s="100">
        <v>6</v>
      </c>
      <c r="U17" s="100">
        <v>2534.3999999999996</v>
      </c>
      <c r="V17" s="100">
        <v>9</v>
      </c>
      <c r="W17" s="100">
        <v>3801.6</v>
      </c>
      <c r="X17" s="100">
        <v>6.4216158477267022</v>
      </c>
      <c r="Y17" s="100">
        <v>2712.4905340797591</v>
      </c>
      <c r="Z17" s="100">
        <v>9</v>
      </c>
      <c r="AA17" s="100">
        <v>3801.6</v>
      </c>
      <c r="AB17" s="100">
        <v>3.3763023003174863</v>
      </c>
      <c r="AC17" s="100">
        <v>1426.1500916541061</v>
      </c>
      <c r="AD17" s="100">
        <v>8</v>
      </c>
      <c r="AE17" s="100">
        <v>3379.2</v>
      </c>
      <c r="AF17" s="100">
        <v>5.669102490610288</v>
      </c>
      <c r="AG17" s="100">
        <v>2394.6288920337856</v>
      </c>
      <c r="AH17" s="100">
        <v>10</v>
      </c>
      <c r="AI17" s="100">
        <v>4224</v>
      </c>
      <c r="AJ17" s="100">
        <v>7</v>
      </c>
      <c r="AK17" s="100">
        <v>2956.7999999999997</v>
      </c>
      <c r="AL17" s="100">
        <v>9</v>
      </c>
      <c r="AM17" s="100">
        <v>3801.6</v>
      </c>
      <c r="AN17" s="100">
        <v>11</v>
      </c>
      <c r="AO17" s="100">
        <v>4646.3999999999996</v>
      </c>
      <c r="AP17" s="100">
        <v>5.9270345256469259</v>
      </c>
      <c r="AQ17" s="100">
        <v>2503.5793836332614</v>
      </c>
      <c r="AR17" s="100">
        <v>4.9568566634192486</v>
      </c>
      <c r="AS17" s="100">
        <v>2093.7762546282906</v>
      </c>
      <c r="AT17" s="100">
        <v>1.6438000558884105</v>
      </c>
      <c r="AU17" s="100">
        <v>694.3411436072646</v>
      </c>
      <c r="AV17" s="100">
        <v>8</v>
      </c>
      <c r="AW17" s="100">
        <v>3379.2</v>
      </c>
      <c r="AX17" s="100">
        <v>11</v>
      </c>
      <c r="AY17" s="100">
        <v>4646.3999999999996</v>
      </c>
      <c r="AZ17" s="100">
        <v>9</v>
      </c>
      <c r="BA17" s="100">
        <v>3801.6</v>
      </c>
      <c r="BB17" s="100">
        <v>11</v>
      </c>
      <c r="BC17" s="100">
        <v>4646.3999999999996</v>
      </c>
      <c r="BD17" s="100">
        <v>9</v>
      </c>
      <c r="BE17" s="100">
        <v>3801.6</v>
      </c>
      <c r="BF17" s="100">
        <v>11</v>
      </c>
      <c r="BG17" s="100">
        <v>4646.3999999999996</v>
      </c>
      <c r="BH17" s="100">
        <v>2.4357301921944403</v>
      </c>
      <c r="BI17" s="100">
        <v>1028.8524331829315</v>
      </c>
      <c r="BJ17" s="100">
        <v>9</v>
      </c>
      <c r="BK17" s="100">
        <v>3801.6</v>
      </c>
      <c r="BL17" s="100">
        <v>8</v>
      </c>
      <c r="BM17" s="100">
        <v>3379.2</v>
      </c>
      <c r="BN17" s="100">
        <v>6</v>
      </c>
      <c r="BO17" s="100">
        <v>2534.3999999999996</v>
      </c>
      <c r="BP17" s="100">
        <v>9</v>
      </c>
      <c r="BQ17" s="100">
        <v>3801.6</v>
      </c>
      <c r="BR17" s="100">
        <v>10</v>
      </c>
      <c r="BS17" s="100">
        <v>4224</v>
      </c>
      <c r="BT17" s="100">
        <v>3.6120035201594143</v>
      </c>
      <c r="BU17" s="100">
        <v>1525.7102869153366</v>
      </c>
      <c r="BV17" s="100">
        <v>6.6648091400411946</v>
      </c>
      <c r="BW17" s="100">
        <v>2815.2153807534005</v>
      </c>
      <c r="BX17" s="100">
        <v>7.9562978107369506</v>
      </c>
      <c r="BY17" s="100">
        <v>3360.7401952552877</v>
      </c>
      <c r="BZ17" s="100">
        <v>9.6096634950356634</v>
      </c>
      <c r="CA17" s="100">
        <v>4059.1218603030638</v>
      </c>
      <c r="CB17" s="100">
        <v>10</v>
      </c>
      <c r="CC17" s="100">
        <v>4224</v>
      </c>
      <c r="CD17" s="100">
        <v>5.5536712777697197</v>
      </c>
      <c r="CE17" s="100">
        <v>2345.8707477299295</v>
      </c>
      <c r="CF17" s="100">
        <v>12</v>
      </c>
      <c r="CG17" s="100">
        <v>5068.7999999999993</v>
      </c>
      <c r="CH17" s="100">
        <v>6.7041770859404357</v>
      </c>
      <c r="CI17" s="100">
        <v>2831.8444011012398</v>
      </c>
      <c r="CJ17" s="100">
        <v>11</v>
      </c>
      <c r="CK17" s="100">
        <v>4646.3999999999996</v>
      </c>
      <c r="CL17" s="100">
        <v>6.7592011370090965</v>
      </c>
      <c r="CM17" s="100">
        <v>2855.0865602726421</v>
      </c>
      <c r="CN17" s="100">
        <v>8</v>
      </c>
      <c r="CO17" s="100">
        <v>3379.2</v>
      </c>
      <c r="CP17" s="100">
        <v>10</v>
      </c>
      <c r="CQ17" s="100">
        <v>4224</v>
      </c>
      <c r="CR17" s="100">
        <v>12</v>
      </c>
      <c r="CS17" s="100">
        <v>5068.7999999999993</v>
      </c>
      <c r="CT17" s="100">
        <v>5.0296471487089471</v>
      </c>
      <c r="CU17" s="100">
        <v>2124.5229556146592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8</v>
      </c>
      <c r="G18" s="100">
        <v>5222.3999999999996</v>
      </c>
      <c r="H18" s="100">
        <v>9</v>
      </c>
      <c r="I18" s="100">
        <v>5875.2</v>
      </c>
      <c r="J18" s="100">
        <v>8</v>
      </c>
      <c r="K18" s="100">
        <v>5222.3999999999996</v>
      </c>
      <c r="L18" s="100">
        <v>8</v>
      </c>
      <c r="M18" s="100">
        <v>5222.3999999999996</v>
      </c>
      <c r="N18" s="100">
        <v>8</v>
      </c>
      <c r="O18" s="100">
        <v>5222.3999999999996</v>
      </c>
      <c r="P18" s="100">
        <v>7</v>
      </c>
      <c r="Q18" s="100">
        <v>4569.5999999999995</v>
      </c>
      <c r="R18" s="100">
        <v>9</v>
      </c>
      <c r="S18" s="100">
        <v>5875.2</v>
      </c>
      <c r="T18" s="100">
        <v>7</v>
      </c>
      <c r="U18" s="100">
        <v>4569.5999999999995</v>
      </c>
      <c r="V18" s="100">
        <v>11</v>
      </c>
      <c r="W18" s="100">
        <v>7180.7999999999993</v>
      </c>
      <c r="X18" s="100">
        <v>6.4216158477267022</v>
      </c>
      <c r="Y18" s="100">
        <v>4192.0308253959911</v>
      </c>
      <c r="Z18" s="100">
        <v>10</v>
      </c>
      <c r="AA18" s="100">
        <v>6528</v>
      </c>
      <c r="AB18" s="100">
        <v>3.3763023003174863</v>
      </c>
      <c r="AC18" s="100">
        <v>2204.0501416472548</v>
      </c>
      <c r="AD18" s="100">
        <v>8</v>
      </c>
      <c r="AE18" s="100">
        <v>5222.3999999999996</v>
      </c>
      <c r="AF18" s="100">
        <v>5.1966772830594303</v>
      </c>
      <c r="AG18" s="100">
        <v>3392.3909303811961</v>
      </c>
      <c r="AH18" s="100">
        <v>10</v>
      </c>
      <c r="AI18" s="100">
        <v>6528</v>
      </c>
      <c r="AJ18" s="100">
        <v>7</v>
      </c>
      <c r="AK18" s="100">
        <v>4569.5999999999995</v>
      </c>
      <c r="AL18" s="100">
        <v>10</v>
      </c>
      <c r="AM18" s="100">
        <v>6528</v>
      </c>
      <c r="AN18" s="100">
        <v>9</v>
      </c>
      <c r="AO18" s="100">
        <v>5875.2</v>
      </c>
      <c r="AP18" s="100">
        <v>5.9270345256469259</v>
      </c>
      <c r="AQ18" s="100">
        <v>3869.1681383423129</v>
      </c>
      <c r="AR18" s="100">
        <v>4.9568566634192486</v>
      </c>
      <c r="AS18" s="100">
        <v>3235.8360298800853</v>
      </c>
      <c r="AT18" s="100">
        <v>1.9177667318698122</v>
      </c>
      <c r="AU18" s="100">
        <v>1251.9181225646132</v>
      </c>
      <c r="AV18" s="100">
        <v>9</v>
      </c>
      <c r="AW18" s="100">
        <v>5875.2</v>
      </c>
      <c r="AX18" s="100">
        <v>9</v>
      </c>
      <c r="AY18" s="100">
        <v>5875.2</v>
      </c>
      <c r="AZ18" s="100">
        <v>8</v>
      </c>
      <c r="BA18" s="100">
        <v>5222.3999999999996</v>
      </c>
      <c r="BB18" s="100">
        <v>12</v>
      </c>
      <c r="BC18" s="100">
        <v>7833.5999999999995</v>
      </c>
      <c r="BD18" s="100">
        <v>8</v>
      </c>
      <c r="BE18" s="100">
        <v>5222.3999999999996</v>
      </c>
      <c r="BF18" s="100">
        <v>9</v>
      </c>
      <c r="BG18" s="100">
        <v>5875.2</v>
      </c>
      <c r="BH18" s="100">
        <v>2.4357301921944403</v>
      </c>
      <c r="BI18" s="100">
        <v>1590.0446694645304</v>
      </c>
      <c r="BJ18" s="100">
        <v>9</v>
      </c>
      <c r="BK18" s="100">
        <v>5875.2</v>
      </c>
      <c r="BL18" s="100">
        <v>7</v>
      </c>
      <c r="BM18" s="100">
        <v>4569.5999999999995</v>
      </c>
      <c r="BN18" s="100">
        <v>7</v>
      </c>
      <c r="BO18" s="100">
        <v>4569.5999999999995</v>
      </c>
      <c r="BP18" s="100">
        <v>9</v>
      </c>
      <c r="BQ18" s="100">
        <v>5875.2</v>
      </c>
      <c r="BR18" s="100">
        <v>9</v>
      </c>
      <c r="BS18" s="100">
        <v>5875.2</v>
      </c>
      <c r="BT18" s="100">
        <v>4.6440045259192466</v>
      </c>
      <c r="BU18" s="100">
        <v>3031.6061545200841</v>
      </c>
      <c r="BV18" s="100">
        <v>7.4979102825463446</v>
      </c>
      <c r="BW18" s="100">
        <v>4894.6358324462535</v>
      </c>
      <c r="BX18" s="100">
        <v>6.1882316305731839</v>
      </c>
      <c r="BY18" s="100">
        <v>4039.677608438174</v>
      </c>
      <c r="BZ18" s="100">
        <v>9.6096634950356634</v>
      </c>
      <c r="CA18" s="100">
        <v>6273.1883295592806</v>
      </c>
      <c r="CB18" s="100">
        <v>9</v>
      </c>
      <c r="CC18" s="100">
        <v>5875.2</v>
      </c>
      <c r="CD18" s="100">
        <v>6.4792831573980072</v>
      </c>
      <c r="CE18" s="100">
        <v>4229.6760451494192</v>
      </c>
      <c r="CF18" s="100">
        <v>11</v>
      </c>
      <c r="CG18" s="100">
        <v>7180.7999999999993</v>
      </c>
      <c r="CH18" s="100">
        <v>7.661916669646212</v>
      </c>
      <c r="CI18" s="100">
        <v>5001.6992019450472</v>
      </c>
      <c r="CJ18" s="100">
        <v>11</v>
      </c>
      <c r="CK18" s="100">
        <v>7180.7999999999993</v>
      </c>
      <c r="CL18" s="100">
        <v>6.7592011370090965</v>
      </c>
      <c r="CM18" s="100">
        <v>4412.406502239538</v>
      </c>
      <c r="CN18" s="100">
        <v>8</v>
      </c>
      <c r="CO18" s="100">
        <v>5222.3999999999996</v>
      </c>
      <c r="CP18" s="100">
        <v>11</v>
      </c>
      <c r="CQ18" s="100">
        <v>7180.7999999999993</v>
      </c>
      <c r="CR18" s="100">
        <v>12</v>
      </c>
      <c r="CS18" s="100">
        <v>7833.5999999999995</v>
      </c>
      <c r="CT18" s="100">
        <v>5.448784411101359</v>
      </c>
      <c r="CU18" s="100">
        <v>3556.9664635669669</v>
      </c>
    </row>
    <row r="19" spans="2:99">
      <c r="C19" s="99" t="s">
        <v>185</v>
      </c>
      <c r="D19" s="100">
        <v>8</v>
      </c>
      <c r="E19" s="100">
        <v>2640</v>
      </c>
      <c r="F19" s="100">
        <v>9</v>
      </c>
      <c r="G19" s="100">
        <v>2970</v>
      </c>
      <c r="H19" s="100">
        <v>8</v>
      </c>
      <c r="I19" s="100">
        <v>2640</v>
      </c>
      <c r="J19" s="100">
        <v>8</v>
      </c>
      <c r="K19" s="100">
        <v>2640</v>
      </c>
      <c r="L19" s="100">
        <v>8</v>
      </c>
      <c r="M19" s="100">
        <v>2640</v>
      </c>
      <c r="N19" s="100">
        <v>8</v>
      </c>
      <c r="O19" s="100">
        <v>2640</v>
      </c>
      <c r="P19" s="100">
        <v>7</v>
      </c>
      <c r="Q19" s="100">
        <v>2310</v>
      </c>
      <c r="R19" s="100">
        <v>10</v>
      </c>
      <c r="S19" s="100">
        <v>3300</v>
      </c>
      <c r="T19" s="100">
        <v>7</v>
      </c>
      <c r="U19" s="100">
        <v>2310</v>
      </c>
      <c r="V19" s="100">
        <v>9</v>
      </c>
      <c r="W19" s="100">
        <v>2970</v>
      </c>
      <c r="X19" s="100">
        <v>7.0637774324993723</v>
      </c>
      <c r="Y19" s="100">
        <v>2331.0465527247929</v>
      </c>
      <c r="Z19" s="100">
        <v>9</v>
      </c>
      <c r="AA19" s="100">
        <v>2970</v>
      </c>
      <c r="AB19" s="100">
        <v>3.3763023003174863</v>
      </c>
      <c r="AC19" s="100">
        <v>1114.1797591047705</v>
      </c>
      <c r="AD19" s="100">
        <v>8</v>
      </c>
      <c r="AE19" s="100">
        <v>2640</v>
      </c>
      <c r="AF19" s="100">
        <v>4.7242520755085735</v>
      </c>
      <c r="AG19" s="100">
        <v>1559.0031849178292</v>
      </c>
      <c r="AH19" s="100">
        <v>10</v>
      </c>
      <c r="AI19" s="100">
        <v>3300</v>
      </c>
      <c r="AJ19" s="100">
        <v>7</v>
      </c>
      <c r="AK19" s="100">
        <v>2310</v>
      </c>
      <c r="AL19" s="100">
        <v>10</v>
      </c>
      <c r="AM19" s="100">
        <v>3300</v>
      </c>
      <c r="AN19" s="100">
        <v>10</v>
      </c>
      <c r="AO19" s="100">
        <v>3300</v>
      </c>
      <c r="AP19" s="100">
        <v>5.9270345256469259</v>
      </c>
      <c r="AQ19" s="100">
        <v>1955.9213934634856</v>
      </c>
      <c r="AR19" s="100">
        <v>5.5076185149102761</v>
      </c>
      <c r="AS19" s="100">
        <v>1817.5141099203911</v>
      </c>
      <c r="AT19" s="100">
        <v>1.9177667318698122</v>
      </c>
      <c r="AU19" s="100">
        <v>632.86302151703796</v>
      </c>
      <c r="AV19" s="100">
        <v>8</v>
      </c>
      <c r="AW19" s="100">
        <v>2640</v>
      </c>
      <c r="AX19" s="100">
        <v>10</v>
      </c>
      <c r="AY19" s="100">
        <v>3300</v>
      </c>
      <c r="AZ19" s="100">
        <v>8</v>
      </c>
      <c r="BA19" s="100">
        <v>2640</v>
      </c>
      <c r="BB19" s="100">
        <v>11</v>
      </c>
      <c r="BC19" s="100">
        <v>3630</v>
      </c>
      <c r="BD19" s="100">
        <v>10</v>
      </c>
      <c r="BE19" s="100">
        <v>3300</v>
      </c>
      <c r="BF19" s="100">
        <v>10</v>
      </c>
      <c r="BG19" s="100">
        <v>3300</v>
      </c>
      <c r="BH19" s="100">
        <v>2.4357301921944403</v>
      </c>
      <c r="BI19" s="100">
        <v>803.79096342416528</v>
      </c>
      <c r="BJ19" s="100">
        <v>8</v>
      </c>
      <c r="BK19" s="100">
        <v>2640</v>
      </c>
      <c r="BL19" s="100">
        <v>8</v>
      </c>
      <c r="BM19" s="100">
        <v>2640</v>
      </c>
      <c r="BN19" s="100">
        <v>6</v>
      </c>
      <c r="BO19" s="100">
        <v>1980</v>
      </c>
      <c r="BP19" s="100">
        <v>9</v>
      </c>
      <c r="BQ19" s="100">
        <v>2970</v>
      </c>
      <c r="BR19" s="100">
        <v>9</v>
      </c>
      <c r="BS19" s="100">
        <v>2970</v>
      </c>
      <c r="BT19" s="100">
        <v>4.1280040230393302</v>
      </c>
      <c r="BU19" s="100">
        <v>1362.241327602979</v>
      </c>
      <c r="BV19" s="100">
        <v>7.4979102825463446</v>
      </c>
      <c r="BW19" s="100">
        <v>2474.3103932402937</v>
      </c>
      <c r="BX19" s="100">
        <v>7.9562978107369506</v>
      </c>
      <c r="BY19" s="100">
        <v>2625.5782775431935</v>
      </c>
      <c r="BZ19" s="100">
        <v>9.6096634950356634</v>
      </c>
      <c r="CA19" s="100">
        <v>3171.1889533617691</v>
      </c>
      <c r="CB19" s="100">
        <v>11</v>
      </c>
      <c r="CC19" s="100">
        <v>3630</v>
      </c>
      <c r="CD19" s="100">
        <v>6.4792831573980072</v>
      </c>
      <c r="CE19" s="100">
        <v>2138.1634419413422</v>
      </c>
      <c r="CF19" s="100">
        <v>12</v>
      </c>
      <c r="CG19" s="100">
        <v>3960</v>
      </c>
      <c r="CH19" s="100">
        <v>7.661916669646212</v>
      </c>
      <c r="CI19" s="100">
        <v>2528.4325009832501</v>
      </c>
      <c r="CJ19" s="100">
        <v>12</v>
      </c>
      <c r="CK19" s="100">
        <v>3960</v>
      </c>
      <c r="CL19" s="100">
        <v>5.7936009745792258</v>
      </c>
      <c r="CM19" s="100">
        <v>1911.8883216111444</v>
      </c>
      <c r="CN19" s="100">
        <v>7</v>
      </c>
      <c r="CO19" s="100">
        <v>2310</v>
      </c>
      <c r="CP19" s="100">
        <v>10</v>
      </c>
      <c r="CQ19" s="100">
        <v>3300</v>
      </c>
      <c r="CR19" s="100">
        <v>11</v>
      </c>
      <c r="CS19" s="100">
        <v>3630</v>
      </c>
      <c r="CT19" s="100">
        <v>5.0296471487089471</v>
      </c>
      <c r="CU19" s="100">
        <v>1659.7835590739526</v>
      </c>
    </row>
    <row r="20" spans="2:99">
      <c r="B20" s="99" t="s">
        <v>127</v>
      </c>
      <c r="C20" s="99" t="s">
        <v>186</v>
      </c>
      <c r="D20" s="100">
        <v>13</v>
      </c>
      <c r="E20" s="100">
        <v>3728.4</v>
      </c>
      <c r="F20" s="100">
        <v>16</v>
      </c>
      <c r="G20" s="100">
        <v>4588.8</v>
      </c>
      <c r="H20" s="100">
        <v>19</v>
      </c>
      <c r="I20" s="100">
        <v>5449.2</v>
      </c>
      <c r="J20" s="100">
        <v>21</v>
      </c>
      <c r="K20" s="100">
        <v>6022.8</v>
      </c>
      <c r="L20" s="100">
        <v>20</v>
      </c>
      <c r="M20" s="100">
        <v>5736</v>
      </c>
      <c r="N20" s="100">
        <v>12</v>
      </c>
      <c r="O20" s="100">
        <v>3441.6000000000004</v>
      </c>
      <c r="P20" s="100">
        <v>12</v>
      </c>
      <c r="Q20" s="100">
        <v>3441.6000000000004</v>
      </c>
      <c r="R20" s="100">
        <v>16</v>
      </c>
      <c r="S20" s="100">
        <v>4588.8</v>
      </c>
      <c r="T20" s="100">
        <v>19</v>
      </c>
      <c r="U20" s="100">
        <v>5449.2</v>
      </c>
      <c r="V20" s="100">
        <v>17</v>
      </c>
      <c r="W20" s="100">
        <v>4875.6000000000004</v>
      </c>
      <c r="X20" s="100">
        <v>10.274585356362723</v>
      </c>
      <c r="Y20" s="100">
        <v>2946.7510802048291</v>
      </c>
      <c r="Z20" s="100">
        <v>17</v>
      </c>
      <c r="AA20" s="100">
        <v>4875.6000000000004</v>
      </c>
      <c r="AB20" s="100">
        <v>4.6424156629365436</v>
      </c>
      <c r="AC20" s="100">
        <v>1331.4448121302007</v>
      </c>
      <c r="AD20" s="100">
        <v>14</v>
      </c>
      <c r="AE20" s="100">
        <v>4015.2000000000003</v>
      </c>
      <c r="AF20" s="100">
        <v>10.393354566118861</v>
      </c>
      <c r="AG20" s="100">
        <v>2980.8140895628894</v>
      </c>
      <c r="AH20" s="100">
        <v>19</v>
      </c>
      <c r="AI20" s="100">
        <v>5449.2</v>
      </c>
      <c r="AJ20" s="100">
        <v>20</v>
      </c>
      <c r="AK20" s="100">
        <v>5736</v>
      </c>
      <c r="AL20" s="100">
        <v>17</v>
      </c>
      <c r="AM20" s="100">
        <v>4875.6000000000004</v>
      </c>
      <c r="AN20" s="100">
        <v>15</v>
      </c>
      <c r="AO20" s="100">
        <v>4302</v>
      </c>
      <c r="AP20" s="100">
        <v>16.93438435899122</v>
      </c>
      <c r="AQ20" s="100">
        <v>4856.7814341586818</v>
      </c>
      <c r="AR20" s="100">
        <v>11.565998881311581</v>
      </c>
      <c r="AS20" s="100">
        <v>3317.1284791601615</v>
      </c>
      <c r="AT20" s="100">
        <v>5.7533001956094365</v>
      </c>
      <c r="AU20" s="100">
        <v>1650.0464961007865</v>
      </c>
      <c r="AV20" s="100">
        <v>14</v>
      </c>
      <c r="AW20" s="100">
        <v>4015.2000000000003</v>
      </c>
      <c r="AX20" s="100">
        <v>22</v>
      </c>
      <c r="AY20" s="100">
        <v>6309.6</v>
      </c>
      <c r="AZ20" s="100">
        <v>18</v>
      </c>
      <c r="BA20" s="100">
        <v>5162.4000000000005</v>
      </c>
      <c r="BB20" s="100">
        <v>13</v>
      </c>
      <c r="BC20" s="100">
        <v>3728.4</v>
      </c>
      <c r="BD20" s="100">
        <v>17</v>
      </c>
      <c r="BE20" s="100">
        <v>4875.6000000000004</v>
      </c>
      <c r="BF20" s="100">
        <v>16</v>
      </c>
      <c r="BG20" s="100">
        <v>4588.8</v>
      </c>
      <c r="BH20" s="100">
        <v>2.8785902271388837</v>
      </c>
      <c r="BI20" s="100">
        <v>825.57967714343192</v>
      </c>
      <c r="BJ20" s="100">
        <v>19</v>
      </c>
      <c r="BK20" s="100">
        <v>5449.2</v>
      </c>
      <c r="BL20" s="100">
        <v>21</v>
      </c>
      <c r="BM20" s="100">
        <v>6022.8</v>
      </c>
      <c r="BN20" s="100">
        <v>17</v>
      </c>
      <c r="BO20" s="100">
        <v>4875.6000000000004</v>
      </c>
      <c r="BP20" s="100">
        <v>19</v>
      </c>
      <c r="BQ20" s="100">
        <v>5449.2</v>
      </c>
      <c r="BR20" s="100">
        <v>21</v>
      </c>
      <c r="BS20" s="100">
        <v>6022.8</v>
      </c>
      <c r="BT20" s="100">
        <v>9.2880090518384932</v>
      </c>
      <c r="BU20" s="100">
        <v>2663.8009960672798</v>
      </c>
      <c r="BV20" s="100">
        <v>17.495123992608139</v>
      </c>
      <c r="BW20" s="100">
        <v>5017.6015610800141</v>
      </c>
      <c r="BX20" s="100">
        <v>14.144529441310135</v>
      </c>
      <c r="BY20" s="100">
        <v>4056.6510437677471</v>
      </c>
      <c r="BZ20" s="100">
        <v>15.375461592057061</v>
      </c>
      <c r="CA20" s="100">
        <v>4409.6823846019652</v>
      </c>
      <c r="CB20" s="100">
        <v>18</v>
      </c>
      <c r="CC20" s="100">
        <v>5162.4000000000005</v>
      </c>
      <c r="CD20" s="100">
        <v>12.958566314796014</v>
      </c>
      <c r="CE20" s="100">
        <v>3716.516819083497</v>
      </c>
      <c r="CF20" s="100">
        <v>21</v>
      </c>
      <c r="CG20" s="100">
        <v>6022.8</v>
      </c>
      <c r="CH20" s="100">
        <v>15.323833339292424</v>
      </c>
      <c r="CI20" s="100">
        <v>4394.8754017090678</v>
      </c>
      <c r="CJ20" s="100">
        <v>15</v>
      </c>
      <c r="CK20" s="100">
        <v>4302</v>
      </c>
      <c r="CL20" s="100">
        <v>18.346403086167548</v>
      </c>
      <c r="CM20" s="100">
        <v>5261.7484051128531</v>
      </c>
      <c r="CN20" s="100">
        <v>21</v>
      </c>
      <c r="CO20" s="100">
        <v>6022.8</v>
      </c>
      <c r="CP20" s="100">
        <v>15</v>
      </c>
      <c r="CQ20" s="100">
        <v>4302</v>
      </c>
      <c r="CR20" s="100">
        <v>18</v>
      </c>
      <c r="CS20" s="100">
        <v>5162.4000000000005</v>
      </c>
      <c r="CT20" s="100">
        <v>6.2870589358861846</v>
      </c>
      <c r="CU20" s="100">
        <v>1803.1285028121579</v>
      </c>
    </row>
    <row r="21" spans="2:99">
      <c r="C21" s="99" t="s">
        <v>187</v>
      </c>
      <c r="D21" s="100">
        <v>13</v>
      </c>
      <c r="E21" s="100">
        <v>811.19999999999993</v>
      </c>
      <c r="F21" s="100">
        <v>17</v>
      </c>
      <c r="G21" s="100">
        <v>1060.8</v>
      </c>
      <c r="H21" s="100">
        <v>21</v>
      </c>
      <c r="I21" s="100">
        <v>1310.3999999999999</v>
      </c>
      <c r="J21" s="100">
        <v>21</v>
      </c>
      <c r="K21" s="100">
        <v>1310.3999999999999</v>
      </c>
      <c r="L21" s="100">
        <v>20</v>
      </c>
      <c r="M21" s="100">
        <v>1248</v>
      </c>
      <c r="N21" s="100">
        <v>11</v>
      </c>
      <c r="O21" s="100">
        <v>686.4</v>
      </c>
      <c r="P21" s="100">
        <v>12</v>
      </c>
      <c r="Q21" s="100">
        <v>748.8</v>
      </c>
      <c r="R21" s="100">
        <v>16</v>
      </c>
      <c r="S21" s="100">
        <v>998.4</v>
      </c>
      <c r="T21" s="100">
        <v>21</v>
      </c>
      <c r="U21" s="100">
        <v>1310.3999999999999</v>
      </c>
      <c r="V21" s="100">
        <v>18</v>
      </c>
      <c r="W21" s="100">
        <v>1123.2</v>
      </c>
      <c r="X21" s="100">
        <v>10.916746941135395</v>
      </c>
      <c r="Y21" s="100">
        <v>681.20500912684861</v>
      </c>
      <c r="Z21" s="100">
        <v>17</v>
      </c>
      <c r="AA21" s="100">
        <v>1060.8</v>
      </c>
      <c r="AB21" s="100">
        <v>4.6424156629365436</v>
      </c>
      <c r="AC21" s="100">
        <v>289.68673736724031</v>
      </c>
      <c r="AD21" s="100">
        <v>17</v>
      </c>
      <c r="AE21" s="100">
        <v>1060.8</v>
      </c>
      <c r="AF21" s="100">
        <v>8.5036537359154316</v>
      </c>
      <c r="AG21" s="100">
        <v>530.62799312112293</v>
      </c>
      <c r="AH21" s="100">
        <v>16</v>
      </c>
      <c r="AI21" s="100">
        <v>998.4</v>
      </c>
      <c r="AJ21" s="100">
        <v>21</v>
      </c>
      <c r="AK21" s="100">
        <v>1310.3999999999999</v>
      </c>
      <c r="AL21" s="100">
        <v>15</v>
      </c>
      <c r="AM21" s="100">
        <v>936</v>
      </c>
      <c r="AN21" s="100">
        <v>15</v>
      </c>
      <c r="AO21" s="100">
        <v>936</v>
      </c>
      <c r="AP21" s="100">
        <v>17.781103576940779</v>
      </c>
      <c r="AQ21" s="100">
        <v>1109.5408632011047</v>
      </c>
      <c r="AR21" s="100">
        <v>11.565998881311581</v>
      </c>
      <c r="AS21" s="100">
        <v>721.71833019384258</v>
      </c>
      <c r="AT21" s="100">
        <v>5.2053668436466332</v>
      </c>
      <c r="AU21" s="100">
        <v>324.81489104354989</v>
      </c>
      <c r="AV21" s="100">
        <v>14</v>
      </c>
      <c r="AW21" s="100">
        <v>873.6</v>
      </c>
      <c r="AX21" s="100">
        <v>19</v>
      </c>
      <c r="AY21" s="100">
        <v>1185.5999999999999</v>
      </c>
      <c r="AZ21" s="100">
        <v>18</v>
      </c>
      <c r="BA21" s="100">
        <v>1123.2</v>
      </c>
      <c r="BB21" s="100">
        <v>13</v>
      </c>
      <c r="BC21" s="100">
        <v>811.19999999999993</v>
      </c>
      <c r="BD21" s="100">
        <v>18</v>
      </c>
      <c r="BE21" s="100">
        <v>1123.2</v>
      </c>
      <c r="BF21" s="100">
        <v>15</v>
      </c>
      <c r="BG21" s="100">
        <v>936</v>
      </c>
      <c r="BH21" s="100">
        <v>3.3214502620833275</v>
      </c>
      <c r="BI21" s="100">
        <v>207.25849635399962</v>
      </c>
      <c r="BJ21" s="100">
        <v>24</v>
      </c>
      <c r="BK21" s="100">
        <v>1497.6</v>
      </c>
      <c r="BL21" s="100">
        <v>19</v>
      </c>
      <c r="BM21" s="100">
        <v>1185.5999999999999</v>
      </c>
      <c r="BN21" s="100">
        <v>20</v>
      </c>
      <c r="BO21" s="100">
        <v>1248</v>
      </c>
      <c r="BP21" s="100">
        <v>20</v>
      </c>
      <c r="BQ21" s="100">
        <v>1248</v>
      </c>
      <c r="BR21" s="100">
        <v>22</v>
      </c>
      <c r="BS21" s="100">
        <v>1372.8</v>
      </c>
      <c r="BT21" s="100">
        <v>8.772008548958576</v>
      </c>
      <c r="BU21" s="100">
        <v>547.37333345501509</v>
      </c>
      <c r="BV21" s="100">
        <v>17.495123992608139</v>
      </c>
      <c r="BW21" s="100">
        <v>1091.695737138748</v>
      </c>
      <c r="BX21" s="100">
        <v>15.028562531392019</v>
      </c>
      <c r="BY21" s="100">
        <v>937.78230195886204</v>
      </c>
      <c r="BZ21" s="100">
        <v>13.453528893049929</v>
      </c>
      <c r="CA21" s="100">
        <v>839.50020292631564</v>
      </c>
      <c r="CB21" s="100">
        <v>19</v>
      </c>
      <c r="CC21" s="100">
        <v>1185.5999999999999</v>
      </c>
      <c r="CD21" s="100">
        <v>12.032954435167728</v>
      </c>
      <c r="CE21" s="100">
        <v>750.85635675446622</v>
      </c>
      <c r="CF21" s="100">
        <v>23</v>
      </c>
      <c r="CG21" s="100">
        <v>1435.2</v>
      </c>
      <c r="CH21" s="100">
        <v>15.323833339292424</v>
      </c>
      <c r="CI21" s="100">
        <v>956.20720037184719</v>
      </c>
      <c r="CJ21" s="100">
        <v>14</v>
      </c>
      <c r="CK21" s="100">
        <v>873.6</v>
      </c>
      <c r="CL21" s="100">
        <v>18.346403086167548</v>
      </c>
      <c r="CM21" s="100">
        <v>1144.815552576855</v>
      </c>
      <c r="CN21" s="100">
        <v>22</v>
      </c>
      <c r="CO21" s="100">
        <v>1372.8</v>
      </c>
      <c r="CP21" s="100">
        <v>16</v>
      </c>
      <c r="CQ21" s="100">
        <v>998.4</v>
      </c>
      <c r="CR21" s="100">
        <v>16</v>
      </c>
      <c r="CS21" s="100">
        <v>998.4</v>
      </c>
      <c r="CT21" s="100">
        <v>5.8679216734937718</v>
      </c>
      <c r="CU21" s="100">
        <v>366.15831242601138</v>
      </c>
    </row>
    <row r="22" spans="2:99">
      <c r="C22" s="99" t="s">
        <v>188</v>
      </c>
      <c r="D22" s="100">
        <v>15</v>
      </c>
      <c r="E22" s="100">
        <v>2808</v>
      </c>
      <c r="F22" s="100">
        <v>16</v>
      </c>
      <c r="G22" s="100">
        <v>2995.2</v>
      </c>
      <c r="H22" s="100">
        <v>21</v>
      </c>
      <c r="I22" s="100">
        <v>3931.2</v>
      </c>
      <c r="J22" s="100">
        <v>20</v>
      </c>
      <c r="K22" s="100">
        <v>3744</v>
      </c>
      <c r="L22" s="100">
        <v>19</v>
      </c>
      <c r="M22" s="100">
        <v>3556.7999999999997</v>
      </c>
      <c r="N22" s="100">
        <v>12</v>
      </c>
      <c r="O22" s="100">
        <v>2246.3999999999996</v>
      </c>
      <c r="P22" s="100">
        <v>10</v>
      </c>
      <c r="Q22" s="100">
        <v>1872</v>
      </c>
      <c r="R22" s="100">
        <v>17</v>
      </c>
      <c r="S22" s="100">
        <v>3182.3999999999996</v>
      </c>
      <c r="T22" s="100">
        <v>21</v>
      </c>
      <c r="U22" s="100">
        <v>3931.2</v>
      </c>
      <c r="V22" s="100">
        <v>18</v>
      </c>
      <c r="W22" s="100">
        <v>3369.6</v>
      </c>
      <c r="X22" s="100">
        <v>11.558908525908064</v>
      </c>
      <c r="Y22" s="100">
        <v>2163.8276760499893</v>
      </c>
      <c r="Z22" s="100">
        <v>18</v>
      </c>
      <c r="AA22" s="100">
        <v>3369.6</v>
      </c>
      <c r="AB22" s="100">
        <v>4.6424156629365436</v>
      </c>
      <c r="AC22" s="100">
        <v>869.06021210172094</v>
      </c>
      <c r="AD22" s="100">
        <v>15</v>
      </c>
      <c r="AE22" s="100">
        <v>2808</v>
      </c>
      <c r="AF22" s="100">
        <v>8.5036537359154316</v>
      </c>
      <c r="AG22" s="100">
        <v>1591.8839793633688</v>
      </c>
      <c r="AH22" s="100">
        <v>18</v>
      </c>
      <c r="AI22" s="100">
        <v>3369.6</v>
      </c>
      <c r="AJ22" s="100">
        <v>22</v>
      </c>
      <c r="AK22" s="100">
        <v>4118.3999999999996</v>
      </c>
      <c r="AL22" s="100">
        <v>15</v>
      </c>
      <c r="AM22" s="100">
        <v>2808</v>
      </c>
      <c r="AN22" s="100">
        <v>15</v>
      </c>
      <c r="AO22" s="100">
        <v>2808</v>
      </c>
      <c r="AP22" s="100">
        <v>17.781103576940779</v>
      </c>
      <c r="AQ22" s="100">
        <v>3328.6225896033138</v>
      </c>
      <c r="AR22" s="100">
        <v>11.565998881311581</v>
      </c>
      <c r="AS22" s="100">
        <v>2165.1549905815277</v>
      </c>
      <c r="AT22" s="100">
        <v>5.2053668436466332</v>
      </c>
      <c r="AU22" s="100">
        <v>974.44467313064968</v>
      </c>
      <c r="AV22" s="100">
        <v>16</v>
      </c>
      <c r="AW22" s="100">
        <v>2995.2</v>
      </c>
      <c r="AX22" s="100">
        <v>20</v>
      </c>
      <c r="AY22" s="100">
        <v>3744</v>
      </c>
      <c r="AZ22" s="100">
        <v>18</v>
      </c>
      <c r="BA22" s="100">
        <v>3369.6</v>
      </c>
      <c r="BB22" s="100">
        <v>13</v>
      </c>
      <c r="BC22" s="100">
        <v>2433.6</v>
      </c>
      <c r="BD22" s="100">
        <v>18</v>
      </c>
      <c r="BE22" s="100">
        <v>3369.6</v>
      </c>
      <c r="BF22" s="100">
        <v>17</v>
      </c>
      <c r="BG22" s="100">
        <v>3182.3999999999996</v>
      </c>
      <c r="BH22" s="100">
        <v>2.8785902271388837</v>
      </c>
      <c r="BI22" s="100">
        <v>538.87209052039896</v>
      </c>
      <c r="BJ22" s="100">
        <v>23</v>
      </c>
      <c r="BK22" s="100">
        <v>4305.5999999999995</v>
      </c>
      <c r="BL22" s="100">
        <v>18</v>
      </c>
      <c r="BM22" s="100">
        <v>3369.6</v>
      </c>
      <c r="BN22" s="100">
        <v>20</v>
      </c>
      <c r="BO22" s="100">
        <v>3744</v>
      </c>
      <c r="BP22" s="100">
        <v>19</v>
      </c>
      <c r="BQ22" s="100">
        <v>3556.7999999999997</v>
      </c>
      <c r="BR22" s="100">
        <v>22</v>
      </c>
      <c r="BS22" s="100">
        <v>4118.3999999999996</v>
      </c>
      <c r="BT22" s="100">
        <v>9.2880090518384932</v>
      </c>
      <c r="BU22" s="100">
        <v>1738.7152945041657</v>
      </c>
      <c r="BV22" s="100">
        <v>17.495123992608139</v>
      </c>
      <c r="BW22" s="100">
        <v>3275.0872114162435</v>
      </c>
      <c r="BX22" s="100">
        <v>13.260496351228252</v>
      </c>
      <c r="BY22" s="100">
        <v>2482.3649169499286</v>
      </c>
      <c r="BZ22" s="100">
        <v>15.375461592057061</v>
      </c>
      <c r="CA22" s="100">
        <v>2878.2864100330817</v>
      </c>
      <c r="CB22" s="100">
        <v>19</v>
      </c>
      <c r="CC22" s="100">
        <v>3556.7999999999997</v>
      </c>
      <c r="CD22" s="100">
        <v>12.958566314796014</v>
      </c>
      <c r="CE22" s="100">
        <v>2425.8436141298139</v>
      </c>
      <c r="CF22" s="100">
        <v>20</v>
      </c>
      <c r="CG22" s="100">
        <v>3744</v>
      </c>
      <c r="CH22" s="100">
        <v>16.281572922998201</v>
      </c>
      <c r="CI22" s="100">
        <v>3047.9104511852629</v>
      </c>
      <c r="CJ22" s="100">
        <v>15</v>
      </c>
      <c r="CK22" s="100">
        <v>2808</v>
      </c>
      <c r="CL22" s="100">
        <v>17.380802923737676</v>
      </c>
      <c r="CM22" s="100">
        <v>3253.6863073236927</v>
      </c>
      <c r="CN22" s="100">
        <v>20</v>
      </c>
      <c r="CO22" s="100">
        <v>3744</v>
      </c>
      <c r="CP22" s="100">
        <v>17</v>
      </c>
      <c r="CQ22" s="100">
        <v>3182.3999999999996</v>
      </c>
      <c r="CR22" s="100">
        <v>17</v>
      </c>
      <c r="CS22" s="100">
        <v>3182.3999999999996</v>
      </c>
      <c r="CT22" s="100">
        <v>6.7061961982785965</v>
      </c>
      <c r="CU22" s="100">
        <v>1255.3999283177532</v>
      </c>
    </row>
    <row r="23" spans="2:99">
      <c r="C23" s="99" t="s">
        <v>189</v>
      </c>
      <c r="D23" s="100">
        <v>14</v>
      </c>
      <c r="E23" s="100">
        <v>4116</v>
      </c>
      <c r="F23" s="100">
        <v>15</v>
      </c>
      <c r="G23" s="100">
        <v>4410</v>
      </c>
      <c r="H23" s="100">
        <v>22</v>
      </c>
      <c r="I23" s="100">
        <v>6468</v>
      </c>
      <c r="J23" s="100">
        <v>21</v>
      </c>
      <c r="K23" s="100">
        <v>6174</v>
      </c>
      <c r="L23" s="100">
        <v>22</v>
      </c>
      <c r="M23" s="100">
        <v>6468</v>
      </c>
      <c r="N23" s="100">
        <v>11</v>
      </c>
      <c r="O23" s="100">
        <v>3234</v>
      </c>
      <c r="P23" s="100">
        <v>10</v>
      </c>
      <c r="Q23" s="100">
        <v>2940</v>
      </c>
      <c r="R23" s="100">
        <v>15</v>
      </c>
      <c r="S23" s="100">
        <v>4410</v>
      </c>
      <c r="T23" s="100">
        <v>20</v>
      </c>
      <c r="U23" s="100">
        <v>5880</v>
      </c>
      <c r="V23" s="100">
        <v>18</v>
      </c>
      <c r="W23" s="100">
        <v>5292</v>
      </c>
      <c r="X23" s="100">
        <v>10.916746941135395</v>
      </c>
      <c r="Y23" s="100">
        <v>3209.5236006938062</v>
      </c>
      <c r="Z23" s="100">
        <v>19</v>
      </c>
      <c r="AA23" s="100">
        <v>5586</v>
      </c>
      <c r="AB23" s="100">
        <v>4.6424156629365436</v>
      </c>
      <c r="AC23" s="100">
        <v>1364.8702049033438</v>
      </c>
      <c r="AD23" s="100">
        <v>14</v>
      </c>
      <c r="AE23" s="100">
        <v>4116</v>
      </c>
      <c r="AF23" s="100">
        <v>9.920929358568003</v>
      </c>
      <c r="AG23" s="100">
        <v>2916.753231418993</v>
      </c>
      <c r="AH23" s="100">
        <v>17</v>
      </c>
      <c r="AI23" s="100">
        <v>4998</v>
      </c>
      <c r="AJ23" s="100">
        <v>21</v>
      </c>
      <c r="AK23" s="100">
        <v>6174</v>
      </c>
      <c r="AL23" s="100">
        <v>15</v>
      </c>
      <c r="AM23" s="100">
        <v>4410</v>
      </c>
      <c r="AN23" s="100">
        <v>17</v>
      </c>
      <c r="AO23" s="100">
        <v>4998</v>
      </c>
      <c r="AP23" s="100">
        <v>16.93438435899122</v>
      </c>
      <c r="AQ23" s="100">
        <v>4978.7090015434187</v>
      </c>
      <c r="AR23" s="100">
        <v>12.667522584293636</v>
      </c>
      <c r="AS23" s="100">
        <v>3724.2516397823288</v>
      </c>
      <c r="AT23" s="100">
        <v>4.9314001676652319</v>
      </c>
      <c r="AU23" s="100">
        <v>1449.8316492935783</v>
      </c>
      <c r="AV23" s="100">
        <v>15</v>
      </c>
      <c r="AW23" s="100">
        <v>4410</v>
      </c>
      <c r="AX23" s="100">
        <v>22</v>
      </c>
      <c r="AY23" s="100">
        <v>6468</v>
      </c>
      <c r="AZ23" s="100">
        <v>19</v>
      </c>
      <c r="BA23" s="100">
        <v>5586</v>
      </c>
      <c r="BB23" s="100">
        <v>12</v>
      </c>
      <c r="BC23" s="100">
        <v>3528</v>
      </c>
      <c r="BD23" s="100">
        <v>17</v>
      </c>
      <c r="BE23" s="100">
        <v>4998</v>
      </c>
      <c r="BF23" s="100">
        <v>14</v>
      </c>
      <c r="BG23" s="100">
        <v>4116</v>
      </c>
      <c r="BH23" s="100">
        <v>3.1000202446111058</v>
      </c>
      <c r="BI23" s="100">
        <v>911.40595191566513</v>
      </c>
      <c r="BJ23" s="100">
        <v>20</v>
      </c>
      <c r="BK23" s="100">
        <v>5880</v>
      </c>
      <c r="BL23" s="100">
        <v>18</v>
      </c>
      <c r="BM23" s="100">
        <v>5292</v>
      </c>
      <c r="BN23" s="100">
        <v>19</v>
      </c>
      <c r="BO23" s="100">
        <v>5586</v>
      </c>
      <c r="BP23" s="100">
        <v>20</v>
      </c>
      <c r="BQ23" s="100">
        <v>5880</v>
      </c>
      <c r="BR23" s="100">
        <v>25</v>
      </c>
      <c r="BS23" s="100">
        <v>7350</v>
      </c>
      <c r="BT23" s="100">
        <v>8.2560080460786605</v>
      </c>
      <c r="BU23" s="100">
        <v>2427.266365547126</v>
      </c>
      <c r="BV23" s="100">
        <v>19.161326277618436</v>
      </c>
      <c r="BW23" s="100">
        <v>5633.4299256198201</v>
      </c>
      <c r="BX23" s="100">
        <v>12.376463261146368</v>
      </c>
      <c r="BY23" s="100">
        <v>3638.6801987770323</v>
      </c>
      <c r="BZ23" s="100">
        <v>15.375461592057061</v>
      </c>
      <c r="CA23" s="100">
        <v>4520.3857080647758</v>
      </c>
      <c r="CB23" s="100">
        <v>18</v>
      </c>
      <c r="CC23" s="100">
        <v>5292</v>
      </c>
      <c r="CD23" s="100">
        <v>12.032954435167728</v>
      </c>
      <c r="CE23" s="100">
        <v>3537.6886039393121</v>
      </c>
      <c r="CF23" s="100">
        <v>19</v>
      </c>
      <c r="CG23" s="100">
        <v>5586</v>
      </c>
      <c r="CH23" s="100">
        <v>15.323833339292424</v>
      </c>
      <c r="CI23" s="100">
        <v>4505.2070017519727</v>
      </c>
      <c r="CJ23" s="100">
        <v>14</v>
      </c>
      <c r="CK23" s="100">
        <v>4116</v>
      </c>
      <c r="CL23" s="100">
        <v>15.449602598877936</v>
      </c>
      <c r="CM23" s="100">
        <v>4542.183164070113</v>
      </c>
      <c r="CN23" s="100">
        <v>22</v>
      </c>
      <c r="CO23" s="100">
        <v>6468</v>
      </c>
      <c r="CP23" s="100">
        <v>16</v>
      </c>
      <c r="CQ23" s="100">
        <v>4704</v>
      </c>
      <c r="CR23" s="100">
        <v>17</v>
      </c>
      <c r="CS23" s="100">
        <v>4998</v>
      </c>
      <c r="CT23" s="100">
        <v>6.7061961982785965</v>
      </c>
      <c r="CU23" s="100">
        <v>1971.6216822939073</v>
      </c>
    </row>
    <row r="24" spans="2:99">
      <c r="C24" s="99" t="s">
        <v>190</v>
      </c>
      <c r="D24" s="100">
        <v>13</v>
      </c>
      <c r="E24" s="100">
        <v>4773.5999999999995</v>
      </c>
      <c r="F24" s="100">
        <v>15</v>
      </c>
      <c r="G24" s="100">
        <v>5508</v>
      </c>
      <c r="H24" s="100">
        <v>22</v>
      </c>
      <c r="I24" s="100">
        <v>8078.4</v>
      </c>
      <c r="J24" s="100">
        <v>20</v>
      </c>
      <c r="K24" s="100">
        <v>7344</v>
      </c>
      <c r="L24" s="100">
        <v>22</v>
      </c>
      <c r="M24" s="100">
        <v>8078.4</v>
      </c>
      <c r="N24" s="100">
        <v>11</v>
      </c>
      <c r="O24" s="100">
        <v>4039.2</v>
      </c>
      <c r="P24" s="100">
        <v>11</v>
      </c>
      <c r="Q24" s="100">
        <v>4039.2</v>
      </c>
      <c r="R24" s="100">
        <v>17</v>
      </c>
      <c r="S24" s="100">
        <v>6242.4</v>
      </c>
      <c r="T24" s="100">
        <v>21</v>
      </c>
      <c r="U24" s="100">
        <v>7711.2</v>
      </c>
      <c r="V24" s="100">
        <v>17</v>
      </c>
      <c r="W24" s="100">
        <v>6242.4</v>
      </c>
      <c r="X24" s="100">
        <v>10.274585356362723</v>
      </c>
      <c r="Y24" s="100">
        <v>3772.8277428563915</v>
      </c>
      <c r="Z24" s="100">
        <v>18</v>
      </c>
      <c r="AA24" s="100">
        <v>6609.5999999999995</v>
      </c>
      <c r="AB24" s="100">
        <v>5.0644534504762291</v>
      </c>
      <c r="AC24" s="100">
        <v>1859.6673070148713</v>
      </c>
      <c r="AD24" s="100">
        <v>14</v>
      </c>
      <c r="AE24" s="100">
        <v>5140.8</v>
      </c>
      <c r="AF24" s="100">
        <v>8.9760789434662893</v>
      </c>
      <c r="AG24" s="100">
        <v>3296.0161880408214</v>
      </c>
      <c r="AH24" s="100">
        <v>17</v>
      </c>
      <c r="AI24" s="100">
        <v>6242.4</v>
      </c>
      <c r="AJ24" s="100">
        <v>21</v>
      </c>
      <c r="AK24" s="100">
        <v>7711.2</v>
      </c>
      <c r="AL24" s="100">
        <v>14</v>
      </c>
      <c r="AM24" s="100">
        <v>5140.8</v>
      </c>
      <c r="AN24" s="100">
        <v>17</v>
      </c>
      <c r="AO24" s="100">
        <v>6242.4</v>
      </c>
      <c r="AP24" s="100">
        <v>16.93438435899122</v>
      </c>
      <c r="AQ24" s="100">
        <v>6218.3059366215757</v>
      </c>
      <c r="AR24" s="100">
        <v>12.116760732802609</v>
      </c>
      <c r="AS24" s="100">
        <v>4449.2745410851176</v>
      </c>
      <c r="AT24" s="100">
        <v>5.7533001956094365</v>
      </c>
      <c r="AU24" s="100">
        <v>2112.611831827785</v>
      </c>
      <c r="AV24" s="100">
        <v>14</v>
      </c>
      <c r="AW24" s="100">
        <v>5140.8</v>
      </c>
      <c r="AX24" s="100">
        <v>22</v>
      </c>
      <c r="AY24" s="100">
        <v>8078.4</v>
      </c>
      <c r="AZ24" s="100">
        <v>18</v>
      </c>
      <c r="BA24" s="100">
        <v>6609.5999999999995</v>
      </c>
      <c r="BB24" s="100">
        <v>14</v>
      </c>
      <c r="BC24" s="100">
        <v>5140.8</v>
      </c>
      <c r="BD24" s="100">
        <v>19</v>
      </c>
      <c r="BE24" s="100">
        <v>6976.8</v>
      </c>
      <c r="BF24" s="100">
        <v>15</v>
      </c>
      <c r="BG24" s="100">
        <v>5508</v>
      </c>
      <c r="BH24" s="100">
        <v>2.657160209666662</v>
      </c>
      <c r="BI24" s="100">
        <v>975.70922898959827</v>
      </c>
      <c r="BJ24" s="100">
        <v>22</v>
      </c>
      <c r="BK24" s="100">
        <v>8078.4</v>
      </c>
      <c r="BL24" s="100">
        <v>20</v>
      </c>
      <c r="BM24" s="100">
        <v>7344</v>
      </c>
      <c r="BN24" s="100">
        <v>19</v>
      </c>
      <c r="BO24" s="100">
        <v>6976.8</v>
      </c>
      <c r="BP24" s="100">
        <v>18</v>
      </c>
      <c r="BQ24" s="100">
        <v>6609.5999999999995</v>
      </c>
      <c r="BR24" s="100">
        <v>22</v>
      </c>
      <c r="BS24" s="100">
        <v>8078.4</v>
      </c>
      <c r="BT24" s="100">
        <v>8.2560080460786605</v>
      </c>
      <c r="BU24" s="100">
        <v>3031.6061545200841</v>
      </c>
      <c r="BV24" s="100">
        <v>19.994427420123589</v>
      </c>
      <c r="BW24" s="100">
        <v>7341.9537486693816</v>
      </c>
      <c r="BX24" s="100">
        <v>13.260496351228252</v>
      </c>
      <c r="BY24" s="100">
        <v>4869.2542601710138</v>
      </c>
      <c r="BZ24" s="100">
        <v>14.414495242553496</v>
      </c>
      <c r="CA24" s="100">
        <v>5293.0026530656432</v>
      </c>
      <c r="CB24" s="100">
        <v>18</v>
      </c>
      <c r="CC24" s="100">
        <v>6609.5999999999995</v>
      </c>
      <c r="CD24" s="100">
        <v>12.958566314796014</v>
      </c>
      <c r="CE24" s="100">
        <v>4758.3855507930966</v>
      </c>
      <c r="CF24" s="100">
        <v>20</v>
      </c>
      <c r="CG24" s="100">
        <v>7344</v>
      </c>
      <c r="CH24" s="100">
        <v>17.239312506703978</v>
      </c>
      <c r="CI24" s="100">
        <v>6330.2755524617005</v>
      </c>
      <c r="CJ24" s="100">
        <v>13</v>
      </c>
      <c r="CK24" s="100">
        <v>4773.5999999999995</v>
      </c>
      <c r="CL24" s="100">
        <v>16.415202761307807</v>
      </c>
      <c r="CM24" s="100">
        <v>6027.6624539522263</v>
      </c>
      <c r="CN24" s="100">
        <v>22</v>
      </c>
      <c r="CO24" s="100">
        <v>8078.4</v>
      </c>
      <c r="CP24" s="100">
        <v>15</v>
      </c>
      <c r="CQ24" s="100">
        <v>5508</v>
      </c>
      <c r="CR24" s="100">
        <v>17</v>
      </c>
      <c r="CS24" s="100">
        <v>6242.4</v>
      </c>
      <c r="CT24" s="100">
        <v>6.7061961982785965</v>
      </c>
      <c r="CU24" s="100">
        <v>2462.5152440079005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17</v>
      </c>
      <c r="G25" s="100">
        <v>9016.7999999999993</v>
      </c>
      <c r="H25" s="100">
        <v>19</v>
      </c>
      <c r="I25" s="100">
        <v>10077.6</v>
      </c>
      <c r="J25" s="100">
        <v>22</v>
      </c>
      <c r="K25" s="100">
        <v>11668.8</v>
      </c>
      <c r="L25" s="100">
        <v>22</v>
      </c>
      <c r="M25" s="100">
        <v>11668.8</v>
      </c>
      <c r="N25" s="100">
        <v>11</v>
      </c>
      <c r="O25" s="100">
        <v>5834.4</v>
      </c>
      <c r="P25" s="100">
        <v>11</v>
      </c>
      <c r="Q25" s="100">
        <v>5834.4</v>
      </c>
      <c r="R25" s="100">
        <v>17</v>
      </c>
      <c r="S25" s="100">
        <v>9016.7999999999993</v>
      </c>
      <c r="T25" s="100">
        <v>18</v>
      </c>
      <c r="U25" s="100">
        <v>9547.1999999999989</v>
      </c>
      <c r="V25" s="100">
        <v>17</v>
      </c>
      <c r="W25" s="100">
        <v>9016.7999999999993</v>
      </c>
      <c r="X25" s="100">
        <v>10.916746941135395</v>
      </c>
      <c r="Y25" s="100">
        <v>5790.2425775782131</v>
      </c>
      <c r="Z25" s="100">
        <v>17</v>
      </c>
      <c r="AA25" s="100">
        <v>9016.7999999999993</v>
      </c>
      <c r="AB25" s="100">
        <v>4.2203778753968582</v>
      </c>
      <c r="AC25" s="100">
        <v>2238.4884251104936</v>
      </c>
      <c r="AD25" s="100">
        <v>15</v>
      </c>
      <c r="AE25" s="100">
        <v>7956</v>
      </c>
      <c r="AF25" s="100">
        <v>9.448504151017147</v>
      </c>
      <c r="AG25" s="100">
        <v>5011.4866016994947</v>
      </c>
      <c r="AH25" s="100">
        <v>16</v>
      </c>
      <c r="AI25" s="100">
        <v>8486.4</v>
      </c>
      <c r="AJ25" s="100">
        <v>22</v>
      </c>
      <c r="AK25" s="100">
        <v>11668.8</v>
      </c>
      <c r="AL25" s="100">
        <v>16</v>
      </c>
      <c r="AM25" s="100">
        <v>8486.4</v>
      </c>
      <c r="AN25" s="100">
        <v>17</v>
      </c>
      <c r="AO25" s="100">
        <v>9016.7999999999993</v>
      </c>
      <c r="AP25" s="100">
        <v>16.087665141041658</v>
      </c>
      <c r="AQ25" s="100">
        <v>8532.8975908084958</v>
      </c>
      <c r="AR25" s="100">
        <v>12.667522584293636</v>
      </c>
      <c r="AS25" s="100">
        <v>6718.8539787093441</v>
      </c>
      <c r="AT25" s="100">
        <v>4.6574334916838298</v>
      </c>
      <c r="AU25" s="100">
        <v>2470.302723989103</v>
      </c>
      <c r="AV25" s="100">
        <v>16</v>
      </c>
      <c r="AW25" s="100">
        <v>8486.4</v>
      </c>
      <c r="AX25" s="100">
        <v>19</v>
      </c>
      <c r="AY25" s="100">
        <v>10077.6</v>
      </c>
      <c r="AZ25" s="100">
        <v>20</v>
      </c>
      <c r="BA25" s="100">
        <v>10608</v>
      </c>
      <c r="BB25" s="100">
        <v>14</v>
      </c>
      <c r="BC25" s="100">
        <v>7425.5999999999995</v>
      </c>
      <c r="BD25" s="100">
        <v>17</v>
      </c>
      <c r="BE25" s="100">
        <v>9016.7999999999993</v>
      </c>
      <c r="BF25" s="100">
        <v>14</v>
      </c>
      <c r="BG25" s="100">
        <v>7425.5999999999995</v>
      </c>
      <c r="BH25" s="100">
        <v>3.3214502620833275</v>
      </c>
      <c r="BI25" s="100">
        <v>1761.6972190089969</v>
      </c>
      <c r="BJ25" s="100">
        <v>23</v>
      </c>
      <c r="BK25" s="100">
        <v>12199.199999999999</v>
      </c>
      <c r="BL25" s="100">
        <v>18</v>
      </c>
      <c r="BM25" s="100">
        <v>9547.1999999999989</v>
      </c>
      <c r="BN25" s="100">
        <v>17</v>
      </c>
      <c r="BO25" s="100">
        <v>9016.7999999999993</v>
      </c>
      <c r="BP25" s="100">
        <v>19</v>
      </c>
      <c r="BQ25" s="100">
        <v>10077.6</v>
      </c>
      <c r="BR25" s="100">
        <v>23</v>
      </c>
      <c r="BS25" s="100">
        <v>12199.199999999999</v>
      </c>
      <c r="BT25" s="100">
        <v>9.2880090518384932</v>
      </c>
      <c r="BU25" s="100">
        <v>4926.3600010951368</v>
      </c>
      <c r="BV25" s="100">
        <v>18.328225135113286</v>
      </c>
      <c r="BW25" s="100">
        <v>9721.2906116640861</v>
      </c>
      <c r="BX25" s="100">
        <v>12.376463261146368</v>
      </c>
      <c r="BY25" s="100">
        <v>6564.4761137120331</v>
      </c>
      <c r="BZ25" s="100">
        <v>15.375461592057061</v>
      </c>
      <c r="CA25" s="100">
        <v>8155.1448284270646</v>
      </c>
      <c r="CB25" s="100">
        <v>16</v>
      </c>
      <c r="CC25" s="100">
        <v>8486.4</v>
      </c>
      <c r="CD25" s="100">
        <v>11.107342555539439</v>
      </c>
      <c r="CE25" s="100">
        <v>5891.3344914581185</v>
      </c>
      <c r="CF25" s="100">
        <v>19</v>
      </c>
      <c r="CG25" s="100">
        <v>10077.6</v>
      </c>
      <c r="CH25" s="100">
        <v>16.281572922998201</v>
      </c>
      <c r="CI25" s="100">
        <v>8635.746278358245</v>
      </c>
      <c r="CJ25" s="100">
        <v>13</v>
      </c>
      <c r="CK25" s="100">
        <v>6895.2</v>
      </c>
      <c r="CL25" s="100">
        <v>17.380802923737676</v>
      </c>
      <c r="CM25" s="100">
        <v>9218.7778707504622</v>
      </c>
      <c r="CN25" s="100">
        <v>23</v>
      </c>
      <c r="CO25" s="100">
        <v>12199.199999999999</v>
      </c>
      <c r="CP25" s="100">
        <v>15</v>
      </c>
      <c r="CQ25" s="100">
        <v>7956</v>
      </c>
      <c r="CR25" s="100">
        <v>19</v>
      </c>
      <c r="CS25" s="100">
        <v>10077.6</v>
      </c>
      <c r="CT25" s="100">
        <v>6.7061961982785965</v>
      </c>
      <c r="CU25" s="100">
        <v>3556.9664635669674</v>
      </c>
    </row>
    <row r="26" spans="2:99">
      <c r="C26" s="99" t="s">
        <v>192</v>
      </c>
      <c r="D26" s="100">
        <v>14</v>
      </c>
      <c r="E26" s="100">
        <v>6804</v>
      </c>
      <c r="F26" s="100">
        <v>16</v>
      </c>
      <c r="G26" s="100">
        <v>7776</v>
      </c>
      <c r="H26" s="100">
        <v>21</v>
      </c>
      <c r="I26" s="100">
        <v>10206</v>
      </c>
      <c r="J26" s="100">
        <v>21</v>
      </c>
      <c r="K26" s="100">
        <v>10206</v>
      </c>
      <c r="L26" s="100">
        <v>22</v>
      </c>
      <c r="M26" s="100">
        <v>10692</v>
      </c>
      <c r="N26" s="100">
        <v>11</v>
      </c>
      <c r="O26" s="100">
        <v>5346</v>
      </c>
      <c r="P26" s="100">
        <v>11</v>
      </c>
      <c r="Q26" s="100">
        <v>5346</v>
      </c>
      <c r="R26" s="100">
        <v>17</v>
      </c>
      <c r="S26" s="100">
        <v>8262</v>
      </c>
      <c r="T26" s="100">
        <v>21</v>
      </c>
      <c r="U26" s="100">
        <v>10206</v>
      </c>
      <c r="V26" s="100">
        <v>19</v>
      </c>
      <c r="W26" s="100">
        <v>9234</v>
      </c>
      <c r="X26" s="100">
        <v>10.274585356362723</v>
      </c>
      <c r="Y26" s="100">
        <v>4993.4484831922828</v>
      </c>
      <c r="Z26" s="100">
        <v>17</v>
      </c>
      <c r="AA26" s="100">
        <v>8262</v>
      </c>
      <c r="AB26" s="100">
        <v>5.0644534504762291</v>
      </c>
      <c r="AC26" s="100">
        <v>2461.3243769314472</v>
      </c>
      <c r="AD26" s="100">
        <v>15</v>
      </c>
      <c r="AE26" s="100">
        <v>7290</v>
      </c>
      <c r="AF26" s="100">
        <v>9.920929358568003</v>
      </c>
      <c r="AG26" s="100">
        <v>4821.5716682640495</v>
      </c>
      <c r="AH26" s="100">
        <v>19</v>
      </c>
      <c r="AI26" s="100">
        <v>9234</v>
      </c>
      <c r="AJ26" s="100">
        <v>18</v>
      </c>
      <c r="AK26" s="100">
        <v>8748</v>
      </c>
      <c r="AL26" s="100">
        <v>15</v>
      </c>
      <c r="AM26" s="100">
        <v>7290</v>
      </c>
      <c r="AN26" s="100">
        <v>15</v>
      </c>
      <c r="AO26" s="100">
        <v>7290</v>
      </c>
      <c r="AP26" s="100">
        <v>16.93438435899122</v>
      </c>
      <c r="AQ26" s="100">
        <v>8230.1107984697337</v>
      </c>
      <c r="AR26" s="100">
        <v>12.667522584293636</v>
      </c>
      <c r="AS26" s="100">
        <v>6156.4159759667073</v>
      </c>
      <c r="AT26" s="100">
        <v>4.6574334916838298</v>
      </c>
      <c r="AU26" s="100">
        <v>2263.5126769583412</v>
      </c>
      <c r="AV26" s="100">
        <v>16</v>
      </c>
      <c r="AW26" s="100">
        <v>7776</v>
      </c>
      <c r="AX26" s="100">
        <v>21</v>
      </c>
      <c r="AY26" s="100">
        <v>10206</v>
      </c>
      <c r="AZ26" s="100">
        <v>18</v>
      </c>
      <c r="BA26" s="100">
        <v>8748</v>
      </c>
      <c r="BB26" s="100">
        <v>11</v>
      </c>
      <c r="BC26" s="100">
        <v>5346</v>
      </c>
      <c r="BD26" s="100">
        <v>15</v>
      </c>
      <c r="BE26" s="100">
        <v>7290</v>
      </c>
      <c r="BF26" s="100">
        <v>14</v>
      </c>
      <c r="BG26" s="100">
        <v>6804</v>
      </c>
      <c r="BH26" s="100">
        <v>2.8785902271388837</v>
      </c>
      <c r="BI26" s="100">
        <v>1398.9948503894975</v>
      </c>
      <c r="BJ26" s="100">
        <v>21</v>
      </c>
      <c r="BK26" s="100">
        <v>10206</v>
      </c>
      <c r="BL26" s="100">
        <v>18</v>
      </c>
      <c r="BM26" s="100">
        <v>8748</v>
      </c>
      <c r="BN26" s="100">
        <v>18</v>
      </c>
      <c r="BO26" s="100">
        <v>8748</v>
      </c>
      <c r="BP26" s="100">
        <v>20</v>
      </c>
      <c r="BQ26" s="100">
        <v>9720</v>
      </c>
      <c r="BR26" s="100">
        <v>24</v>
      </c>
      <c r="BS26" s="100">
        <v>11664</v>
      </c>
      <c r="BT26" s="100">
        <v>7.7400075431987441</v>
      </c>
      <c r="BU26" s="100">
        <v>3761.6436659945898</v>
      </c>
      <c r="BV26" s="100">
        <v>17.495123992608139</v>
      </c>
      <c r="BW26" s="100">
        <v>8502.6302604075554</v>
      </c>
      <c r="BX26" s="100">
        <v>12.376463261146368</v>
      </c>
      <c r="BY26" s="100">
        <v>6014.9611449171343</v>
      </c>
      <c r="BZ26" s="100">
        <v>14.414495242553496</v>
      </c>
      <c r="CA26" s="100">
        <v>7005.4446878809995</v>
      </c>
      <c r="CB26" s="100">
        <v>19</v>
      </c>
      <c r="CC26" s="100">
        <v>9234</v>
      </c>
      <c r="CD26" s="100">
        <v>12.032954435167728</v>
      </c>
      <c r="CE26" s="100">
        <v>5848.015855491516</v>
      </c>
      <c r="CF26" s="100">
        <v>21</v>
      </c>
      <c r="CG26" s="100">
        <v>10206</v>
      </c>
      <c r="CH26" s="100">
        <v>16.281572922998201</v>
      </c>
      <c r="CI26" s="100">
        <v>7912.8444405771261</v>
      </c>
      <c r="CJ26" s="100">
        <v>14</v>
      </c>
      <c r="CK26" s="100">
        <v>6804</v>
      </c>
      <c r="CL26" s="100">
        <v>17.380802923737676</v>
      </c>
      <c r="CM26" s="100">
        <v>8447.0702209365099</v>
      </c>
      <c r="CN26" s="100">
        <v>23</v>
      </c>
      <c r="CO26" s="100">
        <v>11178</v>
      </c>
      <c r="CP26" s="100">
        <v>15</v>
      </c>
      <c r="CQ26" s="100">
        <v>7290</v>
      </c>
      <c r="CR26" s="100">
        <v>17</v>
      </c>
      <c r="CS26" s="100">
        <v>8262</v>
      </c>
      <c r="CT26" s="100">
        <v>5.448784411101359</v>
      </c>
      <c r="CU26" s="100">
        <v>2648.1092237952603</v>
      </c>
    </row>
    <row r="27" spans="2:99">
      <c r="C27" s="99" t="s">
        <v>193</v>
      </c>
      <c r="D27" s="100">
        <v>16</v>
      </c>
      <c r="E27" s="100">
        <v>6835.2</v>
      </c>
      <c r="F27" s="100">
        <v>17</v>
      </c>
      <c r="G27" s="100">
        <v>7262.4</v>
      </c>
      <c r="H27" s="100">
        <v>18</v>
      </c>
      <c r="I27" s="100">
        <v>7689.5999999999995</v>
      </c>
      <c r="J27" s="100">
        <v>20</v>
      </c>
      <c r="K27" s="100">
        <v>8544</v>
      </c>
      <c r="L27" s="100">
        <v>22</v>
      </c>
      <c r="M27" s="100">
        <v>9398.4</v>
      </c>
      <c r="N27" s="100">
        <v>13</v>
      </c>
      <c r="O27" s="100">
        <v>5553.5999999999995</v>
      </c>
      <c r="P27" s="100">
        <v>10</v>
      </c>
      <c r="Q27" s="100">
        <v>4272</v>
      </c>
      <c r="R27" s="100">
        <v>16</v>
      </c>
      <c r="S27" s="100">
        <v>6835.2</v>
      </c>
      <c r="T27" s="100">
        <v>20</v>
      </c>
      <c r="U27" s="100">
        <v>8544</v>
      </c>
      <c r="V27" s="100">
        <v>18</v>
      </c>
      <c r="W27" s="100">
        <v>7689.5999999999995</v>
      </c>
      <c r="X27" s="100">
        <v>10.916746941135395</v>
      </c>
      <c r="Y27" s="100">
        <v>4663.6342932530406</v>
      </c>
      <c r="Z27" s="100">
        <v>19</v>
      </c>
      <c r="AA27" s="100">
        <v>8116.8</v>
      </c>
      <c r="AB27" s="100">
        <v>4.2203778753968582</v>
      </c>
      <c r="AC27" s="100">
        <v>1802.9454283695377</v>
      </c>
      <c r="AD27" s="100">
        <v>15</v>
      </c>
      <c r="AE27" s="100">
        <v>6408</v>
      </c>
      <c r="AF27" s="100">
        <v>9.448504151017147</v>
      </c>
      <c r="AG27" s="100">
        <v>4036.4009733145249</v>
      </c>
      <c r="AH27" s="100">
        <v>18</v>
      </c>
      <c r="AI27" s="100">
        <v>7689.5999999999995</v>
      </c>
      <c r="AJ27" s="100">
        <v>21</v>
      </c>
      <c r="AK27" s="100">
        <v>8971.1999999999989</v>
      </c>
      <c r="AL27" s="100">
        <v>16</v>
      </c>
      <c r="AM27" s="100">
        <v>6835.2</v>
      </c>
      <c r="AN27" s="100">
        <v>14</v>
      </c>
      <c r="AO27" s="100">
        <v>5980.8</v>
      </c>
      <c r="AP27" s="100">
        <v>17.781103576940779</v>
      </c>
      <c r="AQ27" s="100">
        <v>7596.0874480691009</v>
      </c>
      <c r="AR27" s="100">
        <v>12.667522584293636</v>
      </c>
      <c r="AS27" s="100">
        <v>5411.5656480102407</v>
      </c>
      <c r="AT27" s="100">
        <v>5.7533001956094365</v>
      </c>
      <c r="AU27" s="100">
        <v>2457.809843564351</v>
      </c>
      <c r="AV27" s="100">
        <v>15</v>
      </c>
      <c r="AW27" s="100">
        <v>6408</v>
      </c>
      <c r="AX27" s="100">
        <v>23</v>
      </c>
      <c r="AY27" s="100">
        <v>9825.6</v>
      </c>
      <c r="AZ27" s="100">
        <v>18</v>
      </c>
      <c r="BA27" s="100">
        <v>7689.5999999999995</v>
      </c>
      <c r="BB27" s="100">
        <v>13</v>
      </c>
      <c r="BC27" s="100">
        <v>5553.5999999999995</v>
      </c>
      <c r="BD27" s="100">
        <v>18</v>
      </c>
      <c r="BE27" s="100">
        <v>7689.5999999999995</v>
      </c>
      <c r="BF27" s="100">
        <v>16</v>
      </c>
      <c r="BG27" s="100">
        <v>6835.2</v>
      </c>
      <c r="BH27" s="100">
        <v>2.8785902271388837</v>
      </c>
      <c r="BI27" s="100">
        <v>1229.7337450337311</v>
      </c>
      <c r="BJ27" s="100">
        <v>21</v>
      </c>
      <c r="BK27" s="100">
        <v>8971.1999999999989</v>
      </c>
      <c r="BL27" s="100">
        <v>18</v>
      </c>
      <c r="BM27" s="100">
        <v>7689.5999999999995</v>
      </c>
      <c r="BN27" s="100">
        <v>17</v>
      </c>
      <c r="BO27" s="100">
        <v>7262.4</v>
      </c>
      <c r="BP27" s="100">
        <v>19</v>
      </c>
      <c r="BQ27" s="100">
        <v>8116.8</v>
      </c>
      <c r="BR27" s="100">
        <v>23</v>
      </c>
      <c r="BS27" s="100">
        <v>9825.6</v>
      </c>
      <c r="BT27" s="100">
        <v>8.2560080460786605</v>
      </c>
      <c r="BU27" s="100">
        <v>3526.9666372848037</v>
      </c>
      <c r="BV27" s="100">
        <v>19.161326277618436</v>
      </c>
      <c r="BW27" s="100">
        <v>8185.7185857985951</v>
      </c>
      <c r="BX27" s="100">
        <v>12.376463261146368</v>
      </c>
      <c r="BY27" s="100">
        <v>5287.2251051617286</v>
      </c>
      <c r="BZ27" s="100">
        <v>15.375461592057061</v>
      </c>
      <c r="CA27" s="100">
        <v>6568.3971921267757</v>
      </c>
      <c r="CB27" s="100">
        <v>16</v>
      </c>
      <c r="CC27" s="100">
        <v>6835.2</v>
      </c>
      <c r="CD27" s="100">
        <v>11.107342555539439</v>
      </c>
      <c r="CE27" s="100">
        <v>4745.0567397264485</v>
      </c>
      <c r="CF27" s="100">
        <v>22</v>
      </c>
      <c r="CG27" s="100">
        <v>9398.4</v>
      </c>
      <c r="CH27" s="100">
        <v>14.366093755586649</v>
      </c>
      <c r="CI27" s="100">
        <v>6137.1952523866157</v>
      </c>
      <c r="CJ27" s="100">
        <v>14</v>
      </c>
      <c r="CK27" s="100">
        <v>5980.8</v>
      </c>
      <c r="CL27" s="100">
        <v>15.449602598877936</v>
      </c>
      <c r="CM27" s="100">
        <v>6600.0702302406544</v>
      </c>
      <c r="CN27" s="100">
        <v>20</v>
      </c>
      <c r="CO27" s="100">
        <v>8544</v>
      </c>
      <c r="CP27" s="100">
        <v>17</v>
      </c>
      <c r="CQ27" s="100">
        <v>7262.4</v>
      </c>
      <c r="CR27" s="100">
        <v>16</v>
      </c>
      <c r="CS27" s="100">
        <v>6835.2</v>
      </c>
      <c r="CT27" s="100">
        <v>6.2870589358861846</v>
      </c>
      <c r="CU27" s="100">
        <v>2685.8315774105781</v>
      </c>
    </row>
    <row r="28" spans="2:99">
      <c r="C28" s="99" t="s">
        <v>194</v>
      </c>
      <c r="D28" s="100">
        <v>14</v>
      </c>
      <c r="E28" s="100">
        <v>10332</v>
      </c>
      <c r="F28" s="100">
        <v>15</v>
      </c>
      <c r="G28" s="100">
        <v>11070</v>
      </c>
      <c r="H28" s="100">
        <v>20</v>
      </c>
      <c r="I28" s="100">
        <v>14760</v>
      </c>
      <c r="J28" s="100">
        <v>19</v>
      </c>
      <c r="K28" s="100">
        <v>14022</v>
      </c>
      <c r="L28" s="100">
        <v>22</v>
      </c>
      <c r="M28" s="100">
        <v>16236</v>
      </c>
      <c r="N28" s="100">
        <v>12</v>
      </c>
      <c r="O28" s="100">
        <v>8856</v>
      </c>
      <c r="P28" s="100">
        <v>10</v>
      </c>
      <c r="Q28" s="100">
        <v>7380</v>
      </c>
      <c r="R28" s="100">
        <v>15</v>
      </c>
      <c r="S28" s="100">
        <v>11070</v>
      </c>
      <c r="T28" s="100">
        <v>21</v>
      </c>
      <c r="U28" s="100">
        <v>15498</v>
      </c>
      <c r="V28" s="100">
        <v>19</v>
      </c>
      <c r="W28" s="100">
        <v>14022</v>
      </c>
      <c r="X28" s="100">
        <v>10.274585356362723</v>
      </c>
      <c r="Y28" s="100">
        <v>7582.6439929956896</v>
      </c>
      <c r="Z28" s="100">
        <v>19</v>
      </c>
      <c r="AA28" s="100">
        <v>14022</v>
      </c>
      <c r="AB28" s="100">
        <v>4.2203778753968582</v>
      </c>
      <c r="AC28" s="100">
        <v>3114.6388720428813</v>
      </c>
      <c r="AD28" s="100">
        <v>14</v>
      </c>
      <c r="AE28" s="100">
        <v>10332</v>
      </c>
      <c r="AF28" s="100">
        <v>8.5036537359154316</v>
      </c>
      <c r="AG28" s="100">
        <v>6275.6964571055887</v>
      </c>
      <c r="AH28" s="100">
        <v>16</v>
      </c>
      <c r="AI28" s="100">
        <v>11808</v>
      </c>
      <c r="AJ28" s="100">
        <v>20</v>
      </c>
      <c r="AK28" s="100">
        <v>14760</v>
      </c>
      <c r="AL28" s="100">
        <v>14</v>
      </c>
      <c r="AM28" s="100">
        <v>10332</v>
      </c>
      <c r="AN28" s="100">
        <v>16</v>
      </c>
      <c r="AO28" s="100">
        <v>11808</v>
      </c>
      <c r="AP28" s="100">
        <v>14.394226705142536</v>
      </c>
      <c r="AQ28" s="100">
        <v>10622.939308395191</v>
      </c>
      <c r="AR28" s="100">
        <v>11.565998881311581</v>
      </c>
      <c r="AS28" s="100">
        <v>8535.7071744079458</v>
      </c>
      <c r="AT28" s="100">
        <v>4.6574334916838298</v>
      </c>
      <c r="AU28" s="100">
        <v>3437.1859168626665</v>
      </c>
      <c r="AV28" s="100">
        <v>14</v>
      </c>
      <c r="AW28" s="100">
        <v>10332</v>
      </c>
      <c r="AX28" s="100">
        <v>21</v>
      </c>
      <c r="AY28" s="100">
        <v>15498</v>
      </c>
      <c r="AZ28" s="100">
        <v>18</v>
      </c>
      <c r="BA28" s="100">
        <v>13284</v>
      </c>
      <c r="BB28" s="100">
        <v>12</v>
      </c>
      <c r="BC28" s="100">
        <v>8856</v>
      </c>
      <c r="BD28" s="100">
        <v>15</v>
      </c>
      <c r="BE28" s="100">
        <v>11070</v>
      </c>
      <c r="BF28" s="100">
        <v>16</v>
      </c>
      <c r="BG28" s="100">
        <v>11808</v>
      </c>
      <c r="BH28" s="100">
        <v>2.8785902271388837</v>
      </c>
      <c r="BI28" s="100">
        <v>2124.3995876284962</v>
      </c>
      <c r="BJ28" s="100">
        <v>20</v>
      </c>
      <c r="BK28" s="100">
        <v>14760</v>
      </c>
      <c r="BL28" s="100">
        <v>19</v>
      </c>
      <c r="BM28" s="100">
        <v>14022</v>
      </c>
      <c r="BN28" s="100">
        <v>17</v>
      </c>
      <c r="BO28" s="100">
        <v>12546</v>
      </c>
      <c r="BP28" s="100">
        <v>21</v>
      </c>
      <c r="BQ28" s="100">
        <v>15498</v>
      </c>
      <c r="BR28" s="100">
        <v>24</v>
      </c>
      <c r="BS28" s="100">
        <v>17712</v>
      </c>
      <c r="BT28" s="100">
        <v>8.2560080460786605</v>
      </c>
      <c r="BU28" s="100">
        <v>6092.933938006051</v>
      </c>
      <c r="BV28" s="100">
        <v>17.495123992608139</v>
      </c>
      <c r="BW28" s="100">
        <v>12911.401506544807</v>
      </c>
      <c r="BX28" s="100">
        <v>13.260496351228252</v>
      </c>
      <c r="BY28" s="100">
        <v>9786.2463072064493</v>
      </c>
      <c r="BZ28" s="100">
        <v>14.414495242553496</v>
      </c>
      <c r="CA28" s="100">
        <v>10637.897489004479</v>
      </c>
      <c r="CB28" s="100">
        <v>18</v>
      </c>
      <c r="CC28" s="100">
        <v>13284</v>
      </c>
      <c r="CD28" s="100">
        <v>12.958566314796014</v>
      </c>
      <c r="CE28" s="100">
        <v>9563.4219403194584</v>
      </c>
      <c r="CF28" s="100">
        <v>18</v>
      </c>
      <c r="CG28" s="100">
        <v>13284</v>
      </c>
      <c r="CH28" s="100">
        <v>16.281572922998201</v>
      </c>
      <c r="CI28" s="100">
        <v>12015.800817172672</v>
      </c>
      <c r="CJ28" s="100">
        <v>14</v>
      </c>
      <c r="CK28" s="100">
        <v>10332</v>
      </c>
      <c r="CL28" s="100">
        <v>15.449602598877936</v>
      </c>
      <c r="CM28" s="100">
        <v>11401.806717971916</v>
      </c>
      <c r="CN28" s="100">
        <v>20</v>
      </c>
      <c r="CO28" s="100">
        <v>14760</v>
      </c>
      <c r="CP28" s="100">
        <v>15</v>
      </c>
      <c r="CQ28" s="100">
        <v>11070</v>
      </c>
      <c r="CR28" s="100">
        <v>16</v>
      </c>
      <c r="CS28" s="100">
        <v>11808</v>
      </c>
      <c r="CT28" s="100">
        <v>6.7061961982785965</v>
      </c>
      <c r="CU28" s="100">
        <v>4949.1727943296046</v>
      </c>
    </row>
    <row r="29" spans="2:99">
      <c r="C29" s="99" t="s">
        <v>195</v>
      </c>
      <c r="D29" s="100">
        <v>14</v>
      </c>
      <c r="E29" s="100">
        <v>4737.5999999999995</v>
      </c>
      <c r="F29" s="100">
        <v>16</v>
      </c>
      <c r="G29" s="100">
        <v>5414.4</v>
      </c>
      <c r="H29" s="100">
        <v>22</v>
      </c>
      <c r="I29" s="100">
        <v>7444.7999999999993</v>
      </c>
      <c r="J29" s="100">
        <v>19</v>
      </c>
      <c r="K29" s="100">
        <v>6429.5999999999995</v>
      </c>
      <c r="L29" s="100">
        <v>21</v>
      </c>
      <c r="M29" s="100">
        <v>7106.4</v>
      </c>
      <c r="N29" s="100">
        <v>11</v>
      </c>
      <c r="O29" s="100">
        <v>3722.3999999999996</v>
      </c>
      <c r="P29" s="100">
        <v>11</v>
      </c>
      <c r="Q29" s="100">
        <v>3722.3999999999996</v>
      </c>
      <c r="R29" s="100">
        <v>15</v>
      </c>
      <c r="S29" s="100">
        <v>5076</v>
      </c>
      <c r="T29" s="100">
        <v>20</v>
      </c>
      <c r="U29" s="100">
        <v>6768</v>
      </c>
      <c r="V29" s="100">
        <v>17</v>
      </c>
      <c r="W29" s="100">
        <v>5752.7999999999993</v>
      </c>
      <c r="X29" s="100">
        <v>10.274585356362723</v>
      </c>
      <c r="Y29" s="100">
        <v>3476.9196845931451</v>
      </c>
      <c r="Z29" s="100">
        <v>17</v>
      </c>
      <c r="AA29" s="100">
        <v>5752.7999999999993</v>
      </c>
      <c r="AB29" s="100">
        <v>5.0644534504762291</v>
      </c>
      <c r="AC29" s="100">
        <v>1713.8110476411557</v>
      </c>
      <c r="AD29" s="100">
        <v>16</v>
      </c>
      <c r="AE29" s="100">
        <v>5414.4</v>
      </c>
      <c r="AF29" s="100">
        <v>9.920929358568003</v>
      </c>
      <c r="AG29" s="100">
        <v>3357.2424949394122</v>
      </c>
      <c r="AH29" s="100">
        <v>18</v>
      </c>
      <c r="AI29" s="100">
        <v>6091.2</v>
      </c>
      <c r="AJ29" s="100">
        <v>20</v>
      </c>
      <c r="AK29" s="100">
        <v>6768</v>
      </c>
      <c r="AL29" s="100">
        <v>16</v>
      </c>
      <c r="AM29" s="100">
        <v>5414.4</v>
      </c>
      <c r="AN29" s="100">
        <v>16</v>
      </c>
      <c r="AO29" s="100">
        <v>5414.4</v>
      </c>
      <c r="AP29" s="100">
        <v>17.781103576940779</v>
      </c>
      <c r="AQ29" s="100">
        <v>6017.1254504367598</v>
      </c>
      <c r="AR29" s="100">
        <v>11.015237029820552</v>
      </c>
      <c r="AS29" s="100">
        <v>3727.5562108912745</v>
      </c>
      <c r="AT29" s="100">
        <v>5.2053668436466332</v>
      </c>
      <c r="AU29" s="100">
        <v>1761.4961398900205</v>
      </c>
      <c r="AV29" s="100">
        <v>16</v>
      </c>
      <c r="AW29" s="100">
        <v>5414.4</v>
      </c>
      <c r="AX29" s="100">
        <v>22</v>
      </c>
      <c r="AY29" s="100">
        <v>7444.7999999999993</v>
      </c>
      <c r="AZ29" s="100">
        <v>21</v>
      </c>
      <c r="BA29" s="100">
        <v>7106.4</v>
      </c>
      <c r="BB29" s="100">
        <v>12</v>
      </c>
      <c r="BC29" s="100">
        <v>4060.7999999999997</v>
      </c>
      <c r="BD29" s="100">
        <v>18</v>
      </c>
      <c r="BE29" s="100">
        <v>6091.2</v>
      </c>
      <c r="BF29" s="100">
        <v>17</v>
      </c>
      <c r="BG29" s="100">
        <v>5752.7999999999993</v>
      </c>
      <c r="BH29" s="100">
        <v>3.1000202446111058</v>
      </c>
      <c r="BI29" s="100">
        <v>1049.0468507763981</v>
      </c>
      <c r="BJ29" s="100">
        <v>22</v>
      </c>
      <c r="BK29" s="100">
        <v>7444.7999999999993</v>
      </c>
      <c r="BL29" s="100">
        <v>19</v>
      </c>
      <c r="BM29" s="100">
        <v>6429.5999999999995</v>
      </c>
      <c r="BN29" s="100">
        <v>19</v>
      </c>
      <c r="BO29" s="100">
        <v>6429.5999999999995</v>
      </c>
      <c r="BP29" s="100">
        <v>20</v>
      </c>
      <c r="BQ29" s="100">
        <v>6768</v>
      </c>
      <c r="BR29" s="100">
        <v>22</v>
      </c>
      <c r="BS29" s="100">
        <v>7444.7999999999993</v>
      </c>
      <c r="BT29" s="100">
        <v>8.2560080460786605</v>
      </c>
      <c r="BU29" s="100">
        <v>2793.8331227930184</v>
      </c>
      <c r="BV29" s="100">
        <v>16.662022850102989</v>
      </c>
      <c r="BW29" s="100">
        <v>5638.4285324748507</v>
      </c>
      <c r="BX29" s="100">
        <v>13.260496351228252</v>
      </c>
      <c r="BY29" s="100">
        <v>4487.3519652556397</v>
      </c>
      <c r="BZ29" s="100">
        <v>13.453528893049929</v>
      </c>
      <c r="CA29" s="100">
        <v>4552.6741774080956</v>
      </c>
      <c r="CB29" s="100">
        <v>19</v>
      </c>
      <c r="CC29" s="100">
        <v>6429.5999999999995</v>
      </c>
      <c r="CD29" s="100">
        <v>12.032954435167728</v>
      </c>
      <c r="CE29" s="100">
        <v>4071.9517808607588</v>
      </c>
      <c r="CF29" s="100">
        <v>20</v>
      </c>
      <c r="CG29" s="100">
        <v>6768</v>
      </c>
      <c r="CH29" s="100">
        <v>16.281572922998201</v>
      </c>
      <c r="CI29" s="100">
        <v>5509.6842771425909</v>
      </c>
      <c r="CJ29" s="100">
        <v>14</v>
      </c>
      <c r="CK29" s="100">
        <v>4737.5999999999995</v>
      </c>
      <c r="CL29" s="100">
        <v>18.346403086167548</v>
      </c>
      <c r="CM29" s="100">
        <v>6208.4228043590983</v>
      </c>
      <c r="CN29" s="100">
        <v>22</v>
      </c>
      <c r="CO29" s="100">
        <v>7444.7999999999993</v>
      </c>
      <c r="CP29" s="100">
        <v>15</v>
      </c>
      <c r="CQ29" s="100">
        <v>5076</v>
      </c>
      <c r="CR29" s="100">
        <v>19</v>
      </c>
      <c r="CS29" s="100">
        <v>6429.5999999999995</v>
      </c>
      <c r="CT29" s="100">
        <v>6.2870589358861846</v>
      </c>
      <c r="CU29" s="100">
        <v>2127.5407439038845</v>
      </c>
    </row>
    <row r="30" spans="2:99">
      <c r="C30" s="99" t="s">
        <v>196</v>
      </c>
      <c r="D30" s="100">
        <v>15</v>
      </c>
      <c r="E30" s="100">
        <v>2088</v>
      </c>
      <c r="F30" s="100">
        <v>16</v>
      </c>
      <c r="G30" s="100">
        <v>2227.1999999999998</v>
      </c>
      <c r="H30" s="100">
        <v>22</v>
      </c>
      <c r="I30" s="100">
        <v>3062.3999999999996</v>
      </c>
      <c r="J30" s="100">
        <v>19</v>
      </c>
      <c r="K30" s="100">
        <v>2644.7999999999997</v>
      </c>
      <c r="L30" s="100">
        <v>23</v>
      </c>
      <c r="M30" s="100">
        <v>3201.6</v>
      </c>
      <c r="N30" s="100">
        <v>12</v>
      </c>
      <c r="O30" s="100">
        <v>1670.3999999999999</v>
      </c>
      <c r="P30" s="100">
        <v>12</v>
      </c>
      <c r="Q30" s="100">
        <v>1670.3999999999999</v>
      </c>
      <c r="R30" s="100">
        <v>16</v>
      </c>
      <c r="S30" s="100">
        <v>2227.1999999999998</v>
      </c>
      <c r="T30" s="100">
        <v>20</v>
      </c>
      <c r="U30" s="100">
        <v>2784</v>
      </c>
      <c r="V30" s="100">
        <v>19</v>
      </c>
      <c r="W30" s="100">
        <v>2644.7999999999997</v>
      </c>
      <c r="X30" s="100">
        <v>9.6324237715900534</v>
      </c>
      <c r="Y30" s="100">
        <v>1340.8333890053352</v>
      </c>
      <c r="Z30" s="100">
        <v>20</v>
      </c>
      <c r="AA30" s="100">
        <v>2784</v>
      </c>
      <c r="AB30" s="100">
        <v>5.0644534504762291</v>
      </c>
      <c r="AC30" s="100">
        <v>704.97192030629105</v>
      </c>
      <c r="AD30" s="100">
        <v>16</v>
      </c>
      <c r="AE30" s="100">
        <v>2227.1999999999998</v>
      </c>
      <c r="AF30" s="100">
        <v>8.5036537359154316</v>
      </c>
      <c r="AG30" s="100">
        <v>1183.7086000394279</v>
      </c>
      <c r="AH30" s="100">
        <v>16</v>
      </c>
      <c r="AI30" s="100">
        <v>2227.1999999999998</v>
      </c>
      <c r="AJ30" s="100">
        <v>20</v>
      </c>
      <c r="AK30" s="100">
        <v>2784</v>
      </c>
      <c r="AL30" s="100">
        <v>16</v>
      </c>
      <c r="AM30" s="100">
        <v>2227.1999999999998</v>
      </c>
      <c r="AN30" s="100">
        <v>15</v>
      </c>
      <c r="AO30" s="100">
        <v>2088</v>
      </c>
      <c r="AP30" s="100">
        <v>17.781103576940779</v>
      </c>
      <c r="AQ30" s="100">
        <v>2475.1296179101564</v>
      </c>
      <c r="AR30" s="100">
        <v>12.667522584293636</v>
      </c>
      <c r="AS30" s="100">
        <v>1763.3191437336739</v>
      </c>
      <c r="AT30" s="100">
        <v>4.6574334916838298</v>
      </c>
      <c r="AU30" s="100">
        <v>648.31474204238907</v>
      </c>
      <c r="AV30" s="100">
        <v>15</v>
      </c>
      <c r="AW30" s="100">
        <v>2088</v>
      </c>
      <c r="AX30" s="100">
        <v>22</v>
      </c>
      <c r="AY30" s="100">
        <v>3062.3999999999996</v>
      </c>
      <c r="AZ30" s="100">
        <v>20</v>
      </c>
      <c r="BA30" s="100">
        <v>2784</v>
      </c>
      <c r="BB30" s="100">
        <v>14</v>
      </c>
      <c r="BC30" s="100">
        <v>1948.7999999999997</v>
      </c>
      <c r="BD30" s="100">
        <v>19</v>
      </c>
      <c r="BE30" s="100">
        <v>2644.7999999999997</v>
      </c>
      <c r="BF30" s="100">
        <v>15</v>
      </c>
      <c r="BG30" s="100">
        <v>2088</v>
      </c>
      <c r="BH30" s="100">
        <v>3.1000202446111058</v>
      </c>
      <c r="BI30" s="100">
        <v>431.52281804986592</v>
      </c>
      <c r="BJ30" s="100">
        <v>23</v>
      </c>
      <c r="BK30" s="100">
        <v>3201.6</v>
      </c>
      <c r="BL30" s="100">
        <v>20</v>
      </c>
      <c r="BM30" s="100">
        <v>2784</v>
      </c>
      <c r="BN30" s="100">
        <v>19</v>
      </c>
      <c r="BO30" s="100">
        <v>2644.7999999999997</v>
      </c>
      <c r="BP30" s="100">
        <v>20</v>
      </c>
      <c r="BQ30" s="100">
        <v>2784</v>
      </c>
      <c r="BR30" s="100">
        <v>24</v>
      </c>
      <c r="BS30" s="100">
        <v>3340.7999999999997</v>
      </c>
      <c r="BT30" s="100">
        <v>7.7400075431987441</v>
      </c>
      <c r="BU30" s="100">
        <v>1077.4090500132652</v>
      </c>
      <c r="BV30" s="100">
        <v>19.161326277618436</v>
      </c>
      <c r="BW30" s="100">
        <v>2667.2566178444858</v>
      </c>
      <c r="BX30" s="100">
        <v>13.260496351228252</v>
      </c>
      <c r="BY30" s="100">
        <v>1845.8610920909725</v>
      </c>
      <c r="BZ30" s="100">
        <v>15.375461592057061</v>
      </c>
      <c r="CA30" s="100">
        <v>2140.2642536143426</v>
      </c>
      <c r="CB30" s="100">
        <v>17</v>
      </c>
      <c r="CC30" s="100">
        <v>2366.3999999999996</v>
      </c>
      <c r="CD30" s="100">
        <v>12.958566314796014</v>
      </c>
      <c r="CE30" s="100">
        <v>1803.8324310196051</v>
      </c>
      <c r="CF30" s="100">
        <v>23</v>
      </c>
      <c r="CG30" s="100">
        <v>3201.6</v>
      </c>
      <c r="CH30" s="100">
        <v>17.239312506703978</v>
      </c>
      <c r="CI30" s="100">
        <v>2399.7123009331935</v>
      </c>
      <c r="CJ30" s="100">
        <v>14</v>
      </c>
      <c r="CK30" s="100">
        <v>1948.7999999999997</v>
      </c>
      <c r="CL30" s="100">
        <v>18.346403086167548</v>
      </c>
      <c r="CM30" s="100">
        <v>2553.8193095945226</v>
      </c>
      <c r="CN30" s="100">
        <v>21</v>
      </c>
      <c r="CO30" s="100">
        <v>2923.2</v>
      </c>
      <c r="CP30" s="100">
        <v>15</v>
      </c>
      <c r="CQ30" s="100">
        <v>2088</v>
      </c>
      <c r="CR30" s="100">
        <v>17</v>
      </c>
      <c r="CS30" s="100">
        <v>2366.3999999999996</v>
      </c>
      <c r="CT30" s="100">
        <v>6.2870589358861846</v>
      </c>
      <c r="CU30" s="100">
        <v>875.15860387535679</v>
      </c>
    </row>
    <row r="31" spans="2:99">
      <c r="C31" s="99" t="s">
        <v>197</v>
      </c>
      <c r="D31" s="100">
        <v>15</v>
      </c>
      <c r="E31" s="100">
        <v>5112</v>
      </c>
      <c r="F31" s="100">
        <v>16</v>
      </c>
      <c r="G31" s="100">
        <v>5452.8</v>
      </c>
      <c r="H31" s="100">
        <v>22</v>
      </c>
      <c r="I31" s="100">
        <v>7497.6</v>
      </c>
      <c r="J31" s="100">
        <v>21</v>
      </c>
      <c r="K31" s="100">
        <v>7156.8</v>
      </c>
      <c r="L31" s="100">
        <v>22</v>
      </c>
      <c r="M31" s="100">
        <v>7497.6</v>
      </c>
      <c r="N31" s="100">
        <v>13</v>
      </c>
      <c r="O31" s="100">
        <v>4430.4000000000005</v>
      </c>
      <c r="P31" s="100">
        <v>11</v>
      </c>
      <c r="Q31" s="100">
        <v>3748.8</v>
      </c>
      <c r="R31" s="100">
        <v>16</v>
      </c>
      <c r="S31" s="100">
        <v>5452.8</v>
      </c>
      <c r="T31" s="100">
        <v>18</v>
      </c>
      <c r="U31" s="100">
        <v>6134.4000000000005</v>
      </c>
      <c r="V31" s="100">
        <v>18</v>
      </c>
      <c r="W31" s="100">
        <v>6134.4000000000005</v>
      </c>
      <c r="X31" s="100">
        <v>10.274585356362723</v>
      </c>
      <c r="Y31" s="100">
        <v>3501.5786894484158</v>
      </c>
      <c r="Z31" s="100">
        <v>17</v>
      </c>
      <c r="AA31" s="100">
        <v>5793.6</v>
      </c>
      <c r="AB31" s="100">
        <v>5.0644534504762291</v>
      </c>
      <c r="AC31" s="100">
        <v>1725.965735922299</v>
      </c>
      <c r="AD31" s="100">
        <v>14</v>
      </c>
      <c r="AE31" s="100">
        <v>4771.2</v>
      </c>
      <c r="AF31" s="100">
        <v>9.448504151017147</v>
      </c>
      <c r="AG31" s="100">
        <v>3220.050214666644</v>
      </c>
      <c r="AH31" s="100">
        <v>19</v>
      </c>
      <c r="AI31" s="100">
        <v>6475.2</v>
      </c>
      <c r="AJ31" s="100">
        <v>18</v>
      </c>
      <c r="AK31" s="100">
        <v>6134.4000000000005</v>
      </c>
      <c r="AL31" s="100">
        <v>17</v>
      </c>
      <c r="AM31" s="100">
        <v>5793.6</v>
      </c>
      <c r="AN31" s="100">
        <v>17</v>
      </c>
      <c r="AO31" s="100">
        <v>5793.6</v>
      </c>
      <c r="AP31" s="100">
        <v>16.93438435899122</v>
      </c>
      <c r="AQ31" s="100">
        <v>5771.2381895442077</v>
      </c>
      <c r="AR31" s="100">
        <v>12.116760732802609</v>
      </c>
      <c r="AS31" s="100">
        <v>4129.3920577391291</v>
      </c>
      <c r="AT31" s="100">
        <v>4.9314001676652319</v>
      </c>
      <c r="AU31" s="100">
        <v>1680.6211771403111</v>
      </c>
      <c r="AV31" s="100">
        <v>15</v>
      </c>
      <c r="AW31" s="100">
        <v>5112</v>
      </c>
      <c r="AX31" s="100">
        <v>22</v>
      </c>
      <c r="AY31" s="100">
        <v>7497.6</v>
      </c>
      <c r="AZ31" s="100">
        <v>20</v>
      </c>
      <c r="BA31" s="100">
        <v>6816</v>
      </c>
      <c r="BB31" s="100">
        <v>13</v>
      </c>
      <c r="BC31" s="100">
        <v>4430.4000000000005</v>
      </c>
      <c r="BD31" s="100">
        <v>16</v>
      </c>
      <c r="BE31" s="100">
        <v>5452.8</v>
      </c>
      <c r="BF31" s="100">
        <v>14</v>
      </c>
      <c r="BG31" s="100">
        <v>4771.2</v>
      </c>
      <c r="BH31" s="100">
        <v>3.3214502620833275</v>
      </c>
      <c r="BI31" s="100">
        <v>1131.950249317998</v>
      </c>
      <c r="BJ31" s="100">
        <v>23</v>
      </c>
      <c r="BK31" s="100">
        <v>7838.4000000000005</v>
      </c>
      <c r="BL31" s="100">
        <v>21</v>
      </c>
      <c r="BM31" s="100">
        <v>7156.8</v>
      </c>
      <c r="BN31" s="100">
        <v>19</v>
      </c>
      <c r="BO31" s="100">
        <v>6475.2</v>
      </c>
      <c r="BP31" s="100">
        <v>22</v>
      </c>
      <c r="BQ31" s="100">
        <v>7497.6</v>
      </c>
      <c r="BR31" s="100">
        <v>22</v>
      </c>
      <c r="BS31" s="100">
        <v>7497.6</v>
      </c>
      <c r="BT31" s="100">
        <v>7.7400075431987441</v>
      </c>
      <c r="BU31" s="100">
        <v>2637.794570722132</v>
      </c>
      <c r="BV31" s="100">
        <v>16.662022850102989</v>
      </c>
      <c r="BW31" s="100">
        <v>5678.4173873150985</v>
      </c>
      <c r="BX31" s="100">
        <v>14.144529441310135</v>
      </c>
      <c r="BY31" s="100">
        <v>4820.4556335984944</v>
      </c>
      <c r="BZ31" s="100">
        <v>15.375461592057061</v>
      </c>
      <c r="CA31" s="100">
        <v>5239.9573105730469</v>
      </c>
      <c r="CB31" s="100">
        <v>18</v>
      </c>
      <c r="CC31" s="100">
        <v>6134.4000000000005</v>
      </c>
      <c r="CD31" s="100">
        <v>12.032954435167728</v>
      </c>
      <c r="CE31" s="100">
        <v>4100.8308715051617</v>
      </c>
      <c r="CF31" s="100">
        <v>20</v>
      </c>
      <c r="CG31" s="100">
        <v>6816</v>
      </c>
      <c r="CH31" s="100">
        <v>15.323833339292424</v>
      </c>
      <c r="CI31" s="100">
        <v>5222.362402030858</v>
      </c>
      <c r="CJ31" s="100">
        <v>15</v>
      </c>
      <c r="CK31" s="100">
        <v>5112</v>
      </c>
      <c r="CL31" s="100">
        <v>15.449602598877936</v>
      </c>
      <c r="CM31" s="100">
        <v>5265.2245656976011</v>
      </c>
      <c r="CN31" s="100">
        <v>23</v>
      </c>
      <c r="CO31" s="100">
        <v>7838.4000000000005</v>
      </c>
      <c r="CP31" s="100">
        <v>15</v>
      </c>
      <c r="CQ31" s="100">
        <v>5112</v>
      </c>
      <c r="CR31" s="100">
        <v>18</v>
      </c>
      <c r="CS31" s="100">
        <v>6134.4000000000005</v>
      </c>
      <c r="CT31" s="100">
        <v>5.8679216734937718</v>
      </c>
      <c r="CU31" s="100">
        <v>1999.7877063266776</v>
      </c>
    </row>
    <row r="32" spans="2:99">
      <c r="C32" s="99" t="s">
        <v>198</v>
      </c>
      <c r="D32" s="100">
        <v>13</v>
      </c>
      <c r="E32" s="100">
        <v>10920</v>
      </c>
      <c r="F32" s="100">
        <v>15</v>
      </c>
      <c r="G32" s="100">
        <v>12600</v>
      </c>
      <c r="H32" s="100">
        <v>18</v>
      </c>
      <c r="I32" s="100">
        <v>15120</v>
      </c>
      <c r="J32" s="100">
        <v>22</v>
      </c>
      <c r="K32" s="100">
        <v>18480</v>
      </c>
      <c r="L32" s="100">
        <v>20</v>
      </c>
      <c r="M32" s="100">
        <v>16800</v>
      </c>
      <c r="N32" s="100">
        <v>10</v>
      </c>
      <c r="O32" s="100">
        <v>8400</v>
      </c>
      <c r="P32" s="100">
        <v>11</v>
      </c>
      <c r="Q32" s="100">
        <v>9240</v>
      </c>
      <c r="R32" s="100">
        <v>14</v>
      </c>
      <c r="S32" s="100">
        <v>11760</v>
      </c>
      <c r="T32" s="100">
        <v>18</v>
      </c>
      <c r="U32" s="100">
        <v>15120</v>
      </c>
      <c r="V32" s="100">
        <v>17</v>
      </c>
      <c r="W32" s="100">
        <v>14280</v>
      </c>
      <c r="X32" s="100">
        <v>10.916746941135395</v>
      </c>
      <c r="Y32" s="100">
        <v>9170.0674305537323</v>
      </c>
      <c r="Z32" s="100">
        <v>18</v>
      </c>
      <c r="AA32" s="100">
        <v>15120</v>
      </c>
      <c r="AB32" s="100">
        <v>4.6424156629365436</v>
      </c>
      <c r="AC32" s="100">
        <v>3899.6291568666966</v>
      </c>
      <c r="AD32" s="100">
        <v>14</v>
      </c>
      <c r="AE32" s="100">
        <v>11760</v>
      </c>
      <c r="AF32" s="100">
        <v>8.9760789434662893</v>
      </c>
      <c r="AG32" s="100">
        <v>7539.9063125116827</v>
      </c>
      <c r="AH32" s="100">
        <v>16</v>
      </c>
      <c r="AI32" s="100">
        <v>13440</v>
      </c>
      <c r="AJ32" s="100">
        <v>18</v>
      </c>
      <c r="AK32" s="100">
        <v>15120</v>
      </c>
      <c r="AL32" s="100">
        <v>16</v>
      </c>
      <c r="AM32" s="100">
        <v>13440</v>
      </c>
      <c r="AN32" s="100">
        <v>16</v>
      </c>
      <c r="AO32" s="100">
        <v>13440</v>
      </c>
      <c r="AP32" s="100">
        <v>16.93438435899122</v>
      </c>
      <c r="AQ32" s="100">
        <v>14224.882861552625</v>
      </c>
      <c r="AR32" s="100">
        <v>12.116760732802609</v>
      </c>
      <c r="AS32" s="100">
        <v>10178.079015554191</v>
      </c>
      <c r="AT32" s="100">
        <v>4.6574334916838298</v>
      </c>
      <c r="AU32" s="100">
        <v>3912.244133014417</v>
      </c>
      <c r="AV32" s="100">
        <v>13</v>
      </c>
      <c r="AW32" s="100">
        <v>10920</v>
      </c>
      <c r="AX32" s="100">
        <v>20</v>
      </c>
      <c r="AY32" s="100">
        <v>16800</v>
      </c>
      <c r="AZ32" s="100">
        <v>20</v>
      </c>
      <c r="BA32" s="100">
        <v>16800</v>
      </c>
      <c r="BB32" s="100">
        <v>12</v>
      </c>
      <c r="BC32" s="100">
        <v>10080</v>
      </c>
      <c r="BD32" s="100">
        <v>15</v>
      </c>
      <c r="BE32" s="100">
        <v>12600</v>
      </c>
      <c r="BF32" s="100">
        <v>14</v>
      </c>
      <c r="BG32" s="100">
        <v>11760</v>
      </c>
      <c r="BH32" s="100">
        <v>2.8785902271388837</v>
      </c>
      <c r="BI32" s="100">
        <v>2418.0157907966623</v>
      </c>
      <c r="BJ32" s="100">
        <v>20</v>
      </c>
      <c r="BK32" s="100">
        <v>16800</v>
      </c>
      <c r="BL32" s="100">
        <v>19</v>
      </c>
      <c r="BM32" s="100">
        <v>15960</v>
      </c>
      <c r="BN32" s="100">
        <v>17</v>
      </c>
      <c r="BO32" s="100">
        <v>14280</v>
      </c>
      <c r="BP32" s="100">
        <v>20</v>
      </c>
      <c r="BQ32" s="100">
        <v>16800</v>
      </c>
      <c r="BR32" s="100">
        <v>21</v>
      </c>
      <c r="BS32" s="100">
        <v>17640</v>
      </c>
      <c r="BT32" s="100">
        <v>8.772008548958576</v>
      </c>
      <c r="BU32" s="100">
        <v>7368.4871811252042</v>
      </c>
      <c r="BV32" s="100">
        <v>17.495123992608139</v>
      </c>
      <c r="BW32" s="100">
        <v>14695.904153790836</v>
      </c>
      <c r="BX32" s="100">
        <v>14.144529441310135</v>
      </c>
      <c r="BY32" s="100">
        <v>11881.404730700513</v>
      </c>
      <c r="BZ32" s="100">
        <v>13.453528893049929</v>
      </c>
      <c r="CA32" s="100">
        <v>11300.964270161941</v>
      </c>
      <c r="CB32" s="100">
        <v>16</v>
      </c>
      <c r="CC32" s="100">
        <v>13440</v>
      </c>
      <c r="CD32" s="100">
        <v>12.958566314796014</v>
      </c>
      <c r="CE32" s="100">
        <v>10885.195704428652</v>
      </c>
      <c r="CF32" s="100">
        <v>21</v>
      </c>
      <c r="CG32" s="100">
        <v>17640</v>
      </c>
      <c r="CH32" s="100">
        <v>16.281572922998201</v>
      </c>
      <c r="CI32" s="100">
        <v>13676.521255318488</v>
      </c>
      <c r="CJ32" s="100">
        <v>13</v>
      </c>
      <c r="CK32" s="100">
        <v>10920</v>
      </c>
      <c r="CL32" s="100">
        <v>15.449602598877936</v>
      </c>
      <c r="CM32" s="100">
        <v>12977.666183057467</v>
      </c>
      <c r="CN32" s="100">
        <v>20</v>
      </c>
      <c r="CO32" s="100">
        <v>16800</v>
      </c>
      <c r="CP32" s="100">
        <v>17</v>
      </c>
      <c r="CQ32" s="100">
        <v>14280</v>
      </c>
      <c r="CR32" s="100">
        <v>16</v>
      </c>
      <c r="CS32" s="100">
        <v>13440</v>
      </c>
      <c r="CT32" s="100">
        <v>5.8679216734937718</v>
      </c>
      <c r="CU32" s="100">
        <v>4929.0542057347684</v>
      </c>
    </row>
    <row r="33" spans="2:99">
      <c r="C33" s="99" t="s">
        <v>199</v>
      </c>
      <c r="D33" s="100">
        <v>13</v>
      </c>
      <c r="E33" s="100">
        <v>6162</v>
      </c>
      <c r="F33" s="100">
        <v>17</v>
      </c>
      <c r="G33" s="100">
        <v>8058</v>
      </c>
      <c r="H33" s="100">
        <v>21</v>
      </c>
      <c r="I33" s="100">
        <v>9954</v>
      </c>
      <c r="J33" s="100">
        <v>20</v>
      </c>
      <c r="K33" s="100">
        <v>9480</v>
      </c>
      <c r="L33" s="100">
        <v>22</v>
      </c>
      <c r="M33" s="100">
        <v>10428</v>
      </c>
      <c r="N33" s="100">
        <v>11</v>
      </c>
      <c r="O33" s="100">
        <v>5214</v>
      </c>
      <c r="P33" s="100">
        <v>10</v>
      </c>
      <c r="Q33" s="100">
        <v>4740</v>
      </c>
      <c r="R33" s="100">
        <v>17</v>
      </c>
      <c r="S33" s="100">
        <v>8058</v>
      </c>
      <c r="T33" s="100">
        <v>20</v>
      </c>
      <c r="U33" s="100">
        <v>9480</v>
      </c>
      <c r="V33" s="100">
        <v>16</v>
      </c>
      <c r="W33" s="100">
        <v>7584</v>
      </c>
      <c r="X33" s="100">
        <v>11.558908525908064</v>
      </c>
      <c r="Y33" s="100">
        <v>5478.9226412804228</v>
      </c>
      <c r="Z33" s="100">
        <v>18</v>
      </c>
      <c r="AA33" s="100">
        <v>8532</v>
      </c>
      <c r="AB33" s="100">
        <v>5.0644534504762291</v>
      </c>
      <c r="AC33" s="100">
        <v>2400.5509355257327</v>
      </c>
      <c r="AD33" s="100">
        <v>16</v>
      </c>
      <c r="AE33" s="100">
        <v>7584</v>
      </c>
      <c r="AF33" s="100">
        <v>8.5036537359154316</v>
      </c>
      <c r="AG33" s="100">
        <v>4030.7318708239145</v>
      </c>
      <c r="AH33" s="100">
        <v>18</v>
      </c>
      <c r="AI33" s="100">
        <v>8532</v>
      </c>
      <c r="AJ33" s="100">
        <v>19</v>
      </c>
      <c r="AK33" s="100">
        <v>9006</v>
      </c>
      <c r="AL33" s="100">
        <v>16</v>
      </c>
      <c r="AM33" s="100">
        <v>7584</v>
      </c>
      <c r="AN33" s="100">
        <v>15</v>
      </c>
      <c r="AO33" s="100">
        <v>7110</v>
      </c>
      <c r="AP33" s="100">
        <v>15.240945923092097</v>
      </c>
      <c r="AQ33" s="100">
        <v>7224.2083675456543</v>
      </c>
      <c r="AR33" s="100">
        <v>11.565998881311581</v>
      </c>
      <c r="AS33" s="100">
        <v>5482.2834697416893</v>
      </c>
      <c r="AT33" s="100">
        <v>4.9314001676652319</v>
      </c>
      <c r="AU33" s="100">
        <v>2337.4836794733201</v>
      </c>
      <c r="AV33" s="100">
        <v>15</v>
      </c>
      <c r="AW33" s="100">
        <v>7110</v>
      </c>
      <c r="AX33" s="100">
        <v>21</v>
      </c>
      <c r="AY33" s="100">
        <v>9954</v>
      </c>
      <c r="AZ33" s="100">
        <v>20</v>
      </c>
      <c r="BA33" s="100">
        <v>9480</v>
      </c>
      <c r="BB33" s="100">
        <v>13</v>
      </c>
      <c r="BC33" s="100">
        <v>6162</v>
      </c>
      <c r="BD33" s="100">
        <v>17</v>
      </c>
      <c r="BE33" s="100">
        <v>8058</v>
      </c>
      <c r="BF33" s="100">
        <v>15</v>
      </c>
      <c r="BG33" s="100">
        <v>7110</v>
      </c>
      <c r="BH33" s="100">
        <v>3.1000202446111058</v>
      </c>
      <c r="BI33" s="100">
        <v>1469.4095959456643</v>
      </c>
      <c r="BJ33" s="100">
        <v>23</v>
      </c>
      <c r="BK33" s="100">
        <v>10902</v>
      </c>
      <c r="BL33" s="100">
        <v>18</v>
      </c>
      <c r="BM33" s="100">
        <v>8532</v>
      </c>
      <c r="BN33" s="100">
        <v>19</v>
      </c>
      <c r="BO33" s="100">
        <v>9006</v>
      </c>
      <c r="BP33" s="100">
        <v>21</v>
      </c>
      <c r="BQ33" s="100">
        <v>9954</v>
      </c>
      <c r="BR33" s="100">
        <v>24</v>
      </c>
      <c r="BS33" s="100">
        <v>11376</v>
      </c>
      <c r="BT33" s="100">
        <v>9.2880090518384932</v>
      </c>
      <c r="BU33" s="100">
        <v>4402.516290571446</v>
      </c>
      <c r="BV33" s="100">
        <v>19.994427420123589</v>
      </c>
      <c r="BW33" s="100">
        <v>9477.3585971385819</v>
      </c>
      <c r="BX33" s="100">
        <v>12.376463261146368</v>
      </c>
      <c r="BY33" s="100">
        <v>5866.4435857833787</v>
      </c>
      <c r="BZ33" s="100">
        <v>13.453528893049929</v>
      </c>
      <c r="CA33" s="100">
        <v>6376.972695305667</v>
      </c>
      <c r="CB33" s="100">
        <v>19</v>
      </c>
      <c r="CC33" s="100">
        <v>9006</v>
      </c>
      <c r="CD33" s="100">
        <v>13.884178194424301</v>
      </c>
      <c r="CE33" s="100">
        <v>6581.1004641571189</v>
      </c>
      <c r="CF33" s="100">
        <v>20</v>
      </c>
      <c r="CG33" s="100">
        <v>9480</v>
      </c>
      <c r="CH33" s="100">
        <v>14.366093755586649</v>
      </c>
      <c r="CI33" s="100">
        <v>6809.5284401480712</v>
      </c>
      <c r="CJ33" s="100">
        <v>13</v>
      </c>
      <c r="CK33" s="100">
        <v>6162</v>
      </c>
      <c r="CL33" s="100">
        <v>16.415202761307807</v>
      </c>
      <c r="CM33" s="100">
        <v>7780.8061088599006</v>
      </c>
      <c r="CN33" s="100">
        <v>19</v>
      </c>
      <c r="CO33" s="100">
        <v>9006</v>
      </c>
      <c r="CP33" s="100">
        <v>16</v>
      </c>
      <c r="CQ33" s="100">
        <v>7584</v>
      </c>
      <c r="CR33" s="100">
        <v>17</v>
      </c>
      <c r="CS33" s="100">
        <v>8058</v>
      </c>
      <c r="CT33" s="100">
        <v>6.2870589358861846</v>
      </c>
      <c r="CU33" s="100">
        <v>2980.0659356100514</v>
      </c>
    </row>
    <row r="34" spans="2:99">
      <c r="C34" s="99" t="s">
        <v>200</v>
      </c>
      <c r="D34" s="100">
        <v>15</v>
      </c>
      <c r="E34" s="100">
        <v>8226</v>
      </c>
      <c r="F34" s="100">
        <v>14</v>
      </c>
      <c r="G34" s="100">
        <v>7677.5999999999995</v>
      </c>
      <c r="H34" s="100">
        <v>22</v>
      </c>
      <c r="I34" s="100">
        <v>12064.8</v>
      </c>
      <c r="J34" s="100">
        <v>21</v>
      </c>
      <c r="K34" s="100">
        <v>11516.4</v>
      </c>
      <c r="L34" s="100">
        <v>19</v>
      </c>
      <c r="M34" s="100">
        <v>10419.6</v>
      </c>
      <c r="N34" s="100">
        <v>11</v>
      </c>
      <c r="O34" s="100">
        <v>6032.4</v>
      </c>
      <c r="P34" s="100">
        <v>12</v>
      </c>
      <c r="Q34" s="100">
        <v>6580.7999999999993</v>
      </c>
      <c r="R34" s="100">
        <v>15</v>
      </c>
      <c r="S34" s="100">
        <v>8226</v>
      </c>
      <c r="T34" s="100">
        <v>19</v>
      </c>
      <c r="U34" s="100">
        <v>10419.6</v>
      </c>
      <c r="V34" s="100">
        <v>17</v>
      </c>
      <c r="W34" s="100">
        <v>9322.7999999999993</v>
      </c>
      <c r="X34" s="100">
        <v>10.274585356362723</v>
      </c>
      <c r="Y34" s="100">
        <v>5634.582609429317</v>
      </c>
      <c r="Z34" s="100">
        <v>18</v>
      </c>
      <c r="AA34" s="100">
        <v>9871.1999999999989</v>
      </c>
      <c r="AB34" s="100">
        <v>5.0644534504762291</v>
      </c>
      <c r="AC34" s="100">
        <v>2777.3462722411641</v>
      </c>
      <c r="AD34" s="100">
        <v>14</v>
      </c>
      <c r="AE34" s="100">
        <v>7677.5999999999995</v>
      </c>
      <c r="AF34" s="100">
        <v>8.5036537359154316</v>
      </c>
      <c r="AG34" s="100">
        <v>4663.4037087760225</v>
      </c>
      <c r="AH34" s="100">
        <v>16</v>
      </c>
      <c r="AI34" s="100">
        <v>8774.4</v>
      </c>
      <c r="AJ34" s="100">
        <v>22</v>
      </c>
      <c r="AK34" s="100">
        <v>12064.8</v>
      </c>
      <c r="AL34" s="100">
        <v>16</v>
      </c>
      <c r="AM34" s="100">
        <v>8774.4</v>
      </c>
      <c r="AN34" s="100">
        <v>16</v>
      </c>
      <c r="AO34" s="100">
        <v>8774.4</v>
      </c>
      <c r="AP34" s="100">
        <v>17.781103576940779</v>
      </c>
      <c r="AQ34" s="100">
        <v>9751.1572015943239</v>
      </c>
      <c r="AR34" s="100">
        <v>11.015237029820552</v>
      </c>
      <c r="AS34" s="100">
        <v>6040.7559871535905</v>
      </c>
      <c r="AT34" s="100">
        <v>4.6574334916838298</v>
      </c>
      <c r="AU34" s="100">
        <v>2554.136526839412</v>
      </c>
      <c r="AV34" s="100">
        <v>14</v>
      </c>
      <c r="AW34" s="100">
        <v>7677.5999999999995</v>
      </c>
      <c r="AX34" s="100">
        <v>20</v>
      </c>
      <c r="AY34" s="100">
        <v>10968</v>
      </c>
      <c r="AZ34" s="100">
        <v>18</v>
      </c>
      <c r="BA34" s="100">
        <v>9871.1999999999989</v>
      </c>
      <c r="BB34" s="100">
        <v>13</v>
      </c>
      <c r="BC34" s="100">
        <v>7129.2</v>
      </c>
      <c r="BD34" s="100">
        <v>17</v>
      </c>
      <c r="BE34" s="100">
        <v>9322.7999999999993</v>
      </c>
      <c r="BF34" s="100">
        <v>14</v>
      </c>
      <c r="BG34" s="100">
        <v>7677.5999999999995</v>
      </c>
      <c r="BH34" s="100">
        <v>3.1000202446111058</v>
      </c>
      <c r="BI34" s="100">
        <v>1700.0511021447303</v>
      </c>
      <c r="BJ34" s="100">
        <v>20</v>
      </c>
      <c r="BK34" s="100">
        <v>10968</v>
      </c>
      <c r="BL34" s="100">
        <v>20</v>
      </c>
      <c r="BM34" s="100">
        <v>10968</v>
      </c>
      <c r="BN34" s="100">
        <v>18</v>
      </c>
      <c r="BO34" s="100">
        <v>9871.1999999999989</v>
      </c>
      <c r="BP34" s="100">
        <v>18</v>
      </c>
      <c r="BQ34" s="100">
        <v>9871.1999999999989</v>
      </c>
      <c r="BR34" s="100">
        <v>22</v>
      </c>
      <c r="BS34" s="100">
        <v>12064.8</v>
      </c>
      <c r="BT34" s="100">
        <v>9.2880090518384932</v>
      </c>
      <c r="BU34" s="100">
        <v>5093.5441640282297</v>
      </c>
      <c r="BV34" s="100">
        <v>19.994427420123589</v>
      </c>
      <c r="BW34" s="100">
        <v>10964.943997195776</v>
      </c>
      <c r="BX34" s="100">
        <v>13.260496351228252</v>
      </c>
      <c r="BY34" s="100">
        <v>7272.056199013573</v>
      </c>
      <c r="BZ34" s="100">
        <v>14.414495242553496</v>
      </c>
      <c r="CA34" s="100">
        <v>7904.909191016337</v>
      </c>
      <c r="CB34" s="100">
        <v>16</v>
      </c>
      <c r="CC34" s="100">
        <v>8774.4</v>
      </c>
      <c r="CD34" s="100">
        <v>12.032954435167728</v>
      </c>
      <c r="CE34" s="100">
        <v>6598.8722122459812</v>
      </c>
      <c r="CF34" s="100">
        <v>22</v>
      </c>
      <c r="CG34" s="100">
        <v>12064.8</v>
      </c>
      <c r="CH34" s="100">
        <v>14.366093755586649</v>
      </c>
      <c r="CI34" s="100">
        <v>7878.3658155637177</v>
      </c>
      <c r="CJ34" s="100">
        <v>14</v>
      </c>
      <c r="CK34" s="100">
        <v>7677.5999999999995</v>
      </c>
      <c r="CL34" s="100">
        <v>18.346403086167548</v>
      </c>
      <c r="CM34" s="100">
        <v>10061.167452454283</v>
      </c>
      <c r="CN34" s="100">
        <v>23</v>
      </c>
      <c r="CO34" s="100">
        <v>12613.199999999999</v>
      </c>
      <c r="CP34" s="100">
        <v>15</v>
      </c>
      <c r="CQ34" s="100">
        <v>8226</v>
      </c>
      <c r="CR34" s="100">
        <v>18</v>
      </c>
      <c r="CS34" s="100">
        <v>9871.1999999999989</v>
      </c>
      <c r="CT34" s="100">
        <v>6.2870589358861846</v>
      </c>
      <c r="CU34" s="100">
        <v>3447.8231204399835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15</v>
      </c>
      <c r="G35" s="100">
        <v>7541.9999999999982</v>
      </c>
      <c r="H35" s="100">
        <v>20</v>
      </c>
      <c r="I35" s="100">
        <v>10055.999999999998</v>
      </c>
      <c r="J35" s="100">
        <v>22</v>
      </c>
      <c r="K35" s="100">
        <v>11061.599999999999</v>
      </c>
      <c r="L35" s="100">
        <v>22</v>
      </c>
      <c r="M35" s="100">
        <v>11061.599999999999</v>
      </c>
      <c r="N35" s="100">
        <v>11</v>
      </c>
      <c r="O35" s="100">
        <v>5530.7999999999993</v>
      </c>
      <c r="P35" s="100">
        <v>11</v>
      </c>
      <c r="Q35" s="100">
        <v>5530.7999999999993</v>
      </c>
      <c r="R35" s="100">
        <v>16</v>
      </c>
      <c r="S35" s="100">
        <v>8044.7999999999984</v>
      </c>
      <c r="T35" s="100">
        <v>18</v>
      </c>
      <c r="U35" s="100">
        <v>9050.3999999999978</v>
      </c>
      <c r="V35" s="100">
        <v>19</v>
      </c>
      <c r="W35" s="100">
        <v>9553.1999999999989</v>
      </c>
      <c r="X35" s="100">
        <v>9.6324237715900534</v>
      </c>
      <c r="Y35" s="100">
        <v>4843.1826723554777</v>
      </c>
      <c r="Z35" s="100">
        <v>17</v>
      </c>
      <c r="AA35" s="100">
        <v>8547.5999999999985</v>
      </c>
      <c r="AB35" s="100">
        <v>4.2203778753968582</v>
      </c>
      <c r="AC35" s="100">
        <v>2122.00599574954</v>
      </c>
      <c r="AD35" s="100">
        <v>14</v>
      </c>
      <c r="AE35" s="100">
        <v>7039.1999999999989</v>
      </c>
      <c r="AF35" s="100">
        <v>8.5036537359154316</v>
      </c>
      <c r="AG35" s="100">
        <v>4275.6370984182786</v>
      </c>
      <c r="AH35" s="100">
        <v>16</v>
      </c>
      <c r="AI35" s="100">
        <v>8044.7999999999984</v>
      </c>
      <c r="AJ35" s="100">
        <v>20</v>
      </c>
      <c r="AK35" s="100">
        <v>10055.999999999998</v>
      </c>
      <c r="AL35" s="100">
        <v>14</v>
      </c>
      <c r="AM35" s="100">
        <v>7039.1999999999989</v>
      </c>
      <c r="AN35" s="100">
        <v>16</v>
      </c>
      <c r="AO35" s="100">
        <v>8044.7999999999984</v>
      </c>
      <c r="AP35" s="100">
        <v>16.93438435899122</v>
      </c>
      <c r="AQ35" s="100">
        <v>8514.6084557007835</v>
      </c>
      <c r="AR35" s="100">
        <v>12.116760732802609</v>
      </c>
      <c r="AS35" s="100">
        <v>6092.3072964531502</v>
      </c>
      <c r="AT35" s="100">
        <v>5.4793335196280353</v>
      </c>
      <c r="AU35" s="100">
        <v>2755.0088936689754</v>
      </c>
      <c r="AV35" s="100">
        <v>14</v>
      </c>
      <c r="AW35" s="100">
        <v>7039.1999999999989</v>
      </c>
      <c r="AX35" s="100">
        <v>22</v>
      </c>
      <c r="AY35" s="100">
        <v>11061.599999999999</v>
      </c>
      <c r="AZ35" s="100">
        <v>20</v>
      </c>
      <c r="BA35" s="100">
        <v>10055.999999999998</v>
      </c>
      <c r="BB35" s="100">
        <v>11</v>
      </c>
      <c r="BC35" s="100">
        <v>5530.7999999999993</v>
      </c>
      <c r="BD35" s="100">
        <v>17</v>
      </c>
      <c r="BE35" s="100">
        <v>8547.5999999999985</v>
      </c>
      <c r="BF35" s="100">
        <v>15</v>
      </c>
      <c r="BG35" s="100">
        <v>7541.9999999999982</v>
      </c>
      <c r="BH35" s="100">
        <v>2.8785902271388837</v>
      </c>
      <c r="BI35" s="100">
        <v>1447.3551662054304</v>
      </c>
      <c r="BJ35" s="100">
        <v>22</v>
      </c>
      <c r="BK35" s="100">
        <v>11061.599999999999</v>
      </c>
      <c r="BL35" s="100">
        <v>20</v>
      </c>
      <c r="BM35" s="100">
        <v>10055.999999999998</v>
      </c>
      <c r="BN35" s="100">
        <v>18</v>
      </c>
      <c r="BO35" s="100">
        <v>9050.3999999999978</v>
      </c>
      <c r="BP35" s="100">
        <v>20</v>
      </c>
      <c r="BQ35" s="100">
        <v>10055.999999999998</v>
      </c>
      <c r="BR35" s="100">
        <v>22</v>
      </c>
      <c r="BS35" s="100">
        <v>11061.599999999999</v>
      </c>
      <c r="BT35" s="100">
        <v>8.772008548958576</v>
      </c>
      <c r="BU35" s="100">
        <v>4410.5658984163711</v>
      </c>
      <c r="BV35" s="100">
        <v>16.662022850102989</v>
      </c>
      <c r="BW35" s="100">
        <v>8377.6650890317815</v>
      </c>
      <c r="BX35" s="100">
        <v>14.144529441310135</v>
      </c>
      <c r="BY35" s="100">
        <v>7111.8694030907345</v>
      </c>
      <c r="BZ35" s="100">
        <v>15.375461592057061</v>
      </c>
      <c r="CA35" s="100">
        <v>7730.7820884862886</v>
      </c>
      <c r="CB35" s="100">
        <v>17</v>
      </c>
      <c r="CC35" s="100">
        <v>8547.5999999999985</v>
      </c>
      <c r="CD35" s="100">
        <v>12.958566314796014</v>
      </c>
      <c r="CE35" s="100">
        <v>6515.5671430794346</v>
      </c>
      <c r="CF35" s="100">
        <v>20</v>
      </c>
      <c r="CG35" s="100">
        <v>10055.999999999998</v>
      </c>
      <c r="CH35" s="100">
        <v>15.323833339292424</v>
      </c>
      <c r="CI35" s="100">
        <v>7704.8234029962296</v>
      </c>
      <c r="CJ35" s="100">
        <v>13</v>
      </c>
      <c r="CK35" s="100">
        <v>6536.3999999999987</v>
      </c>
      <c r="CL35" s="100">
        <v>18.346403086167548</v>
      </c>
      <c r="CM35" s="100">
        <v>9224.5714717250412</v>
      </c>
      <c r="CN35" s="100">
        <v>21</v>
      </c>
      <c r="CO35" s="100">
        <v>10558.799999999997</v>
      </c>
      <c r="CP35" s="100">
        <v>15</v>
      </c>
      <c r="CQ35" s="100">
        <v>7541.9999999999982</v>
      </c>
      <c r="CR35" s="100">
        <v>18</v>
      </c>
      <c r="CS35" s="100">
        <v>9050.3999999999978</v>
      </c>
      <c r="CT35" s="100">
        <v>5.448784411101359</v>
      </c>
      <c r="CU35" s="100">
        <v>2739.6488019017629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15</v>
      </c>
      <c r="G36" s="100">
        <v>11412</v>
      </c>
      <c r="H36" s="100">
        <v>21</v>
      </c>
      <c r="I36" s="100">
        <v>15976.8</v>
      </c>
      <c r="J36" s="100">
        <v>20</v>
      </c>
      <c r="K36" s="100">
        <v>15216</v>
      </c>
      <c r="L36" s="100">
        <v>19</v>
      </c>
      <c r="M36" s="100">
        <v>14455.199999999999</v>
      </c>
      <c r="N36" s="100">
        <v>11</v>
      </c>
      <c r="O36" s="100">
        <v>8368.7999999999993</v>
      </c>
      <c r="P36" s="100">
        <v>11</v>
      </c>
      <c r="Q36" s="100">
        <v>8368.7999999999993</v>
      </c>
      <c r="R36" s="100">
        <v>15</v>
      </c>
      <c r="S36" s="100">
        <v>11412</v>
      </c>
      <c r="T36" s="100">
        <v>18</v>
      </c>
      <c r="U36" s="100">
        <v>13694.4</v>
      </c>
      <c r="V36" s="100">
        <v>16</v>
      </c>
      <c r="W36" s="100">
        <v>12172.8</v>
      </c>
      <c r="X36" s="100">
        <v>9.6324237715900534</v>
      </c>
      <c r="Y36" s="100">
        <v>7328.3480054257125</v>
      </c>
      <c r="Z36" s="100">
        <v>17</v>
      </c>
      <c r="AA36" s="100">
        <v>12933.599999999999</v>
      </c>
      <c r="AB36" s="100">
        <v>4.6424156629365436</v>
      </c>
      <c r="AC36" s="100">
        <v>3531.9498363621224</v>
      </c>
      <c r="AD36" s="100">
        <v>14</v>
      </c>
      <c r="AE36" s="100">
        <v>10651.199999999999</v>
      </c>
      <c r="AF36" s="100">
        <v>8.9760789434662893</v>
      </c>
      <c r="AG36" s="100">
        <v>6829.0008601891523</v>
      </c>
      <c r="AH36" s="100">
        <v>18</v>
      </c>
      <c r="AI36" s="100">
        <v>13694.4</v>
      </c>
      <c r="AJ36" s="100">
        <v>20</v>
      </c>
      <c r="AK36" s="100">
        <v>15216</v>
      </c>
      <c r="AL36" s="100">
        <v>14</v>
      </c>
      <c r="AM36" s="100">
        <v>10651.199999999999</v>
      </c>
      <c r="AN36" s="100">
        <v>17</v>
      </c>
      <c r="AO36" s="100">
        <v>12933.599999999999</v>
      </c>
      <c r="AP36" s="100">
        <v>16.93438435899122</v>
      </c>
      <c r="AQ36" s="100">
        <v>12883.679620320519</v>
      </c>
      <c r="AR36" s="100">
        <v>11.015237029820552</v>
      </c>
      <c r="AS36" s="100">
        <v>8380.3923322874762</v>
      </c>
      <c r="AT36" s="100">
        <v>4.6574334916838298</v>
      </c>
      <c r="AU36" s="100">
        <v>3543.3754004730577</v>
      </c>
      <c r="AV36" s="100">
        <v>16</v>
      </c>
      <c r="AW36" s="100">
        <v>12172.8</v>
      </c>
      <c r="AX36" s="100">
        <v>21</v>
      </c>
      <c r="AY36" s="100">
        <v>15976.8</v>
      </c>
      <c r="AZ36" s="100">
        <v>20</v>
      </c>
      <c r="BA36" s="100">
        <v>15216</v>
      </c>
      <c r="BB36" s="100">
        <v>12</v>
      </c>
      <c r="BC36" s="100">
        <v>9129.5999999999985</v>
      </c>
      <c r="BD36" s="100">
        <v>16</v>
      </c>
      <c r="BE36" s="100">
        <v>12172.8</v>
      </c>
      <c r="BF36" s="100">
        <v>14</v>
      </c>
      <c r="BG36" s="100">
        <v>10651.199999999999</v>
      </c>
      <c r="BH36" s="100">
        <v>2.8785902271388837</v>
      </c>
      <c r="BI36" s="100">
        <v>2190.0314448072627</v>
      </c>
      <c r="BJ36" s="100">
        <v>19</v>
      </c>
      <c r="BK36" s="100">
        <v>14455.199999999999</v>
      </c>
      <c r="BL36" s="100">
        <v>19</v>
      </c>
      <c r="BM36" s="100">
        <v>14455.199999999999</v>
      </c>
      <c r="BN36" s="100">
        <v>17</v>
      </c>
      <c r="BO36" s="100">
        <v>12933.599999999999</v>
      </c>
      <c r="BP36" s="100">
        <v>21</v>
      </c>
      <c r="BQ36" s="100">
        <v>15976.8</v>
      </c>
      <c r="BR36" s="100">
        <v>24</v>
      </c>
      <c r="BS36" s="100">
        <v>18259.199999999997</v>
      </c>
      <c r="BT36" s="100">
        <v>8.2560080460786605</v>
      </c>
      <c r="BU36" s="100">
        <v>6281.1709214566445</v>
      </c>
      <c r="BV36" s="100">
        <v>17.495123992608139</v>
      </c>
      <c r="BW36" s="100">
        <v>13310.290333576271</v>
      </c>
      <c r="BX36" s="100">
        <v>12.376463261146368</v>
      </c>
      <c r="BY36" s="100">
        <v>9416.0132490801552</v>
      </c>
      <c r="BZ36" s="100">
        <v>14.414495242553496</v>
      </c>
      <c r="CA36" s="100">
        <v>10966.547980534699</v>
      </c>
      <c r="CB36" s="100">
        <v>19</v>
      </c>
      <c r="CC36" s="100">
        <v>14455.199999999999</v>
      </c>
      <c r="CD36" s="100">
        <v>11.107342555539439</v>
      </c>
      <c r="CE36" s="100">
        <v>8450.4662162544046</v>
      </c>
      <c r="CF36" s="100">
        <v>19</v>
      </c>
      <c r="CG36" s="100">
        <v>14455.199999999999</v>
      </c>
      <c r="CH36" s="100">
        <v>17.239312506703978</v>
      </c>
      <c r="CI36" s="100">
        <v>13115.668955100386</v>
      </c>
      <c r="CJ36" s="100">
        <v>13</v>
      </c>
      <c r="CK36" s="100">
        <v>9890.4</v>
      </c>
      <c r="CL36" s="100">
        <v>15.449602598877936</v>
      </c>
      <c r="CM36" s="100">
        <v>11754.057657226333</v>
      </c>
      <c r="CN36" s="100">
        <v>21</v>
      </c>
      <c r="CO36" s="100">
        <v>15976.8</v>
      </c>
      <c r="CP36" s="100">
        <v>15</v>
      </c>
      <c r="CQ36" s="100">
        <v>11412</v>
      </c>
      <c r="CR36" s="100">
        <v>18</v>
      </c>
      <c r="CS36" s="100">
        <v>13694.4</v>
      </c>
      <c r="CT36" s="100">
        <v>5.8679216734937718</v>
      </c>
      <c r="CU36" s="100">
        <v>4464.3148091940611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12</v>
      </c>
      <c r="G37" s="100">
        <v>10324.799999999999</v>
      </c>
      <c r="H37" s="100">
        <v>11</v>
      </c>
      <c r="I37" s="100">
        <v>9464.4</v>
      </c>
      <c r="J37" s="100">
        <v>8</v>
      </c>
      <c r="K37" s="100">
        <v>6883.2</v>
      </c>
      <c r="L37" s="100">
        <v>11</v>
      </c>
      <c r="M37" s="100">
        <v>9464.4</v>
      </c>
      <c r="N37" s="100">
        <v>14</v>
      </c>
      <c r="O37" s="100">
        <v>12045.6</v>
      </c>
      <c r="P37" s="100">
        <v>14</v>
      </c>
      <c r="Q37" s="100">
        <v>12045.6</v>
      </c>
      <c r="R37" s="100">
        <v>10</v>
      </c>
      <c r="S37" s="100">
        <v>8604</v>
      </c>
      <c r="T37" s="100">
        <v>8</v>
      </c>
      <c r="U37" s="100">
        <v>6883.2</v>
      </c>
      <c r="V37" s="100">
        <v>10</v>
      </c>
      <c r="W37" s="100">
        <v>8604</v>
      </c>
      <c r="X37" s="100">
        <v>7.7059390172720441</v>
      </c>
      <c r="Y37" s="100">
        <v>6630.1899304608669</v>
      </c>
      <c r="Z37" s="100">
        <v>10</v>
      </c>
      <c r="AA37" s="100">
        <v>8604</v>
      </c>
      <c r="AB37" s="100">
        <v>5.9085290255556018</v>
      </c>
      <c r="AC37" s="100">
        <v>5083.6983735880394</v>
      </c>
      <c r="AD37" s="100">
        <v>11</v>
      </c>
      <c r="AE37" s="100">
        <v>9464.4</v>
      </c>
      <c r="AF37" s="100">
        <v>5.669102490610288</v>
      </c>
      <c r="AG37" s="100">
        <v>4877.6957829210914</v>
      </c>
      <c r="AH37" s="100">
        <v>10</v>
      </c>
      <c r="AI37" s="100">
        <v>8604</v>
      </c>
      <c r="AJ37" s="100">
        <v>9</v>
      </c>
      <c r="AK37" s="100">
        <v>7743.5999999999995</v>
      </c>
      <c r="AL37" s="100">
        <v>11</v>
      </c>
      <c r="AM37" s="100">
        <v>9464.4</v>
      </c>
      <c r="AN37" s="100">
        <v>13</v>
      </c>
      <c r="AO37" s="100">
        <v>11185.199999999999</v>
      </c>
      <c r="AP37" s="100">
        <v>7.6204729615460485</v>
      </c>
      <c r="AQ37" s="100">
        <v>6556.6549361142197</v>
      </c>
      <c r="AR37" s="100">
        <v>6.0583803664013045</v>
      </c>
      <c r="AS37" s="100">
        <v>5212.6304672516826</v>
      </c>
      <c r="AT37" s="100">
        <v>3.0136334357954193</v>
      </c>
      <c r="AU37" s="100">
        <v>2592.9302081583787</v>
      </c>
      <c r="AV37" s="100">
        <v>12</v>
      </c>
      <c r="AW37" s="100">
        <v>10324.799999999999</v>
      </c>
      <c r="AX37" s="100">
        <v>13</v>
      </c>
      <c r="AY37" s="100">
        <v>11185.199999999999</v>
      </c>
      <c r="AZ37" s="100">
        <v>10</v>
      </c>
      <c r="BA37" s="100">
        <v>8604</v>
      </c>
      <c r="BB37" s="100">
        <v>13</v>
      </c>
      <c r="BC37" s="100">
        <v>11185.199999999999</v>
      </c>
      <c r="BD37" s="100">
        <v>11</v>
      </c>
      <c r="BE37" s="100">
        <v>9464.4</v>
      </c>
      <c r="BF37" s="100">
        <v>9</v>
      </c>
      <c r="BG37" s="100">
        <v>7743.5999999999995</v>
      </c>
      <c r="BH37" s="100">
        <v>1.9928701572499965</v>
      </c>
      <c r="BI37" s="100">
        <v>1714.665483297897</v>
      </c>
      <c r="BJ37" s="100">
        <v>9</v>
      </c>
      <c r="BK37" s="100">
        <v>7743.5999999999995</v>
      </c>
      <c r="BL37" s="100">
        <v>14</v>
      </c>
      <c r="BM37" s="100">
        <v>12045.6</v>
      </c>
      <c r="BN37" s="100">
        <v>8</v>
      </c>
      <c r="BO37" s="100">
        <v>6883.2</v>
      </c>
      <c r="BP37" s="100">
        <v>8</v>
      </c>
      <c r="BQ37" s="100">
        <v>6883.2</v>
      </c>
      <c r="BR37" s="100">
        <v>8</v>
      </c>
      <c r="BS37" s="100">
        <v>6883.2</v>
      </c>
      <c r="BT37" s="100">
        <v>6.1920060345589949</v>
      </c>
      <c r="BU37" s="100">
        <v>5327.6019921345587</v>
      </c>
      <c r="BV37" s="100">
        <v>7.4979102825463446</v>
      </c>
      <c r="BW37" s="100">
        <v>6451.2020071028746</v>
      </c>
      <c r="BX37" s="100">
        <v>9.7243639909007182</v>
      </c>
      <c r="BY37" s="100">
        <v>8366.8427777709785</v>
      </c>
      <c r="BZ37" s="100">
        <v>9.6096634950356634</v>
      </c>
      <c r="CA37" s="100">
        <v>8268.1544711286842</v>
      </c>
      <c r="CB37" s="100">
        <v>10</v>
      </c>
      <c r="CC37" s="100">
        <v>8604</v>
      </c>
      <c r="CD37" s="100">
        <v>8.3305069166545813</v>
      </c>
      <c r="CE37" s="100">
        <v>7167.568151089602</v>
      </c>
      <c r="CF37" s="100">
        <v>12</v>
      </c>
      <c r="CG37" s="100">
        <v>10324.799999999999</v>
      </c>
      <c r="CH37" s="100">
        <v>12.450614588175096</v>
      </c>
      <c r="CI37" s="100">
        <v>10712.508791665852</v>
      </c>
      <c r="CJ37" s="100">
        <v>10</v>
      </c>
      <c r="CK37" s="100">
        <v>8604</v>
      </c>
      <c r="CL37" s="100">
        <v>10.621601786728579</v>
      </c>
      <c r="CM37" s="100">
        <v>9138.8261773012691</v>
      </c>
      <c r="CN37" s="100">
        <v>13</v>
      </c>
      <c r="CO37" s="100">
        <v>11185.199999999999</v>
      </c>
      <c r="CP37" s="100">
        <v>11</v>
      </c>
      <c r="CQ37" s="100">
        <v>9464.4</v>
      </c>
      <c r="CR37" s="100">
        <v>12</v>
      </c>
      <c r="CS37" s="100">
        <v>10324.799999999999</v>
      </c>
      <c r="CT37" s="100">
        <v>5.0296471487089471</v>
      </c>
      <c r="CU37" s="100">
        <v>4327.508406749178</v>
      </c>
    </row>
    <row r="38" spans="2:99">
      <c r="C38" s="99" t="s">
        <v>204</v>
      </c>
      <c r="D38" s="100">
        <v>10</v>
      </c>
      <c r="E38" s="100">
        <v>12420</v>
      </c>
      <c r="F38" s="100">
        <v>14</v>
      </c>
      <c r="G38" s="100">
        <v>17388</v>
      </c>
      <c r="H38" s="100">
        <v>11</v>
      </c>
      <c r="I38" s="100">
        <v>13662</v>
      </c>
      <c r="J38" s="100">
        <v>9</v>
      </c>
      <c r="K38" s="100">
        <v>11178</v>
      </c>
      <c r="L38" s="100">
        <v>11</v>
      </c>
      <c r="M38" s="100">
        <v>13662</v>
      </c>
      <c r="N38" s="100">
        <v>14</v>
      </c>
      <c r="O38" s="100">
        <v>17388</v>
      </c>
      <c r="P38" s="100">
        <v>14</v>
      </c>
      <c r="Q38" s="100">
        <v>17388</v>
      </c>
      <c r="R38" s="100">
        <v>10</v>
      </c>
      <c r="S38" s="100">
        <v>12420</v>
      </c>
      <c r="T38" s="100">
        <v>8</v>
      </c>
      <c r="U38" s="100">
        <v>9936</v>
      </c>
      <c r="V38" s="100">
        <v>9</v>
      </c>
      <c r="W38" s="100">
        <v>11178</v>
      </c>
      <c r="X38" s="100">
        <v>7.7059390172720441</v>
      </c>
      <c r="Y38" s="100">
        <v>9570.776259451879</v>
      </c>
      <c r="Z38" s="100">
        <v>9</v>
      </c>
      <c r="AA38" s="100">
        <v>11178</v>
      </c>
      <c r="AB38" s="100">
        <v>5.4864912380159154</v>
      </c>
      <c r="AC38" s="100">
        <v>6814.2221176157673</v>
      </c>
      <c r="AD38" s="100">
        <v>12</v>
      </c>
      <c r="AE38" s="100">
        <v>14904</v>
      </c>
      <c r="AF38" s="100">
        <v>4.7242520755085735</v>
      </c>
      <c r="AG38" s="100">
        <v>5867.5210777816483</v>
      </c>
      <c r="AH38" s="100">
        <v>11</v>
      </c>
      <c r="AI38" s="100">
        <v>13662</v>
      </c>
      <c r="AJ38" s="100">
        <v>10</v>
      </c>
      <c r="AK38" s="100">
        <v>12420</v>
      </c>
      <c r="AL38" s="100">
        <v>11</v>
      </c>
      <c r="AM38" s="100">
        <v>13662</v>
      </c>
      <c r="AN38" s="100">
        <v>12</v>
      </c>
      <c r="AO38" s="100">
        <v>14904</v>
      </c>
      <c r="AP38" s="100">
        <v>6.7737537435964885</v>
      </c>
      <c r="AQ38" s="100">
        <v>8413.0021495468391</v>
      </c>
      <c r="AR38" s="100">
        <v>5.5076185149102761</v>
      </c>
      <c r="AS38" s="100">
        <v>6840.462195518563</v>
      </c>
      <c r="AT38" s="100">
        <v>3.287600111776821</v>
      </c>
      <c r="AU38" s="100">
        <v>4083.1993388268115</v>
      </c>
      <c r="AV38" s="100">
        <v>13</v>
      </c>
      <c r="AW38" s="100">
        <v>16146</v>
      </c>
      <c r="AX38" s="100">
        <v>12</v>
      </c>
      <c r="AY38" s="100">
        <v>14904</v>
      </c>
      <c r="AZ38" s="100">
        <v>9</v>
      </c>
      <c r="BA38" s="100">
        <v>11178</v>
      </c>
      <c r="BB38" s="100">
        <v>14</v>
      </c>
      <c r="BC38" s="100">
        <v>17388</v>
      </c>
      <c r="BD38" s="100">
        <v>12</v>
      </c>
      <c r="BE38" s="100">
        <v>14904</v>
      </c>
      <c r="BF38" s="100">
        <v>8</v>
      </c>
      <c r="BG38" s="100">
        <v>9936</v>
      </c>
      <c r="BH38" s="100">
        <v>1.7714401397777746</v>
      </c>
      <c r="BI38" s="100">
        <v>2200.1286536039961</v>
      </c>
      <c r="BJ38" s="100">
        <v>10</v>
      </c>
      <c r="BK38" s="100">
        <v>12420</v>
      </c>
      <c r="BL38" s="100">
        <v>13</v>
      </c>
      <c r="BM38" s="100">
        <v>16146</v>
      </c>
      <c r="BN38" s="100">
        <v>9</v>
      </c>
      <c r="BO38" s="100">
        <v>11178</v>
      </c>
      <c r="BP38" s="100">
        <v>8</v>
      </c>
      <c r="BQ38" s="100">
        <v>9936</v>
      </c>
      <c r="BR38" s="100">
        <v>7</v>
      </c>
      <c r="BS38" s="100">
        <v>8694</v>
      </c>
      <c r="BT38" s="100">
        <v>5.160005028799163</v>
      </c>
      <c r="BU38" s="100">
        <v>6408.7262457685601</v>
      </c>
      <c r="BV38" s="100">
        <v>7.4979102825463446</v>
      </c>
      <c r="BW38" s="100">
        <v>9312.4045709225593</v>
      </c>
      <c r="BX38" s="100">
        <v>8.8403309008188344</v>
      </c>
      <c r="BY38" s="100">
        <v>10979.690978816992</v>
      </c>
      <c r="BZ38" s="100">
        <v>9.6096634950356634</v>
      </c>
      <c r="CA38" s="100">
        <v>11935.202060834294</v>
      </c>
      <c r="CB38" s="100">
        <v>11</v>
      </c>
      <c r="CC38" s="100">
        <v>13662</v>
      </c>
      <c r="CD38" s="100">
        <v>8.3305069166545813</v>
      </c>
      <c r="CE38" s="100">
        <v>10346.489590484989</v>
      </c>
      <c r="CF38" s="100">
        <v>10</v>
      </c>
      <c r="CG38" s="100">
        <v>12420</v>
      </c>
      <c r="CH38" s="100">
        <v>11.492875004469319</v>
      </c>
      <c r="CI38" s="100">
        <v>14274.150755550894</v>
      </c>
      <c r="CJ38" s="100">
        <v>10</v>
      </c>
      <c r="CK38" s="100">
        <v>12420</v>
      </c>
      <c r="CL38" s="100">
        <v>12.552802111588322</v>
      </c>
      <c r="CM38" s="100">
        <v>15590.580222592696</v>
      </c>
      <c r="CN38" s="100">
        <v>14</v>
      </c>
      <c r="CO38" s="100">
        <v>17388</v>
      </c>
      <c r="CP38" s="100">
        <v>10</v>
      </c>
      <c r="CQ38" s="100">
        <v>12420</v>
      </c>
      <c r="CR38" s="100">
        <v>13</v>
      </c>
      <c r="CS38" s="100">
        <v>16146</v>
      </c>
      <c r="CT38" s="100">
        <v>5.0296471487089471</v>
      </c>
      <c r="CU38" s="100">
        <v>6246.821758696512</v>
      </c>
    </row>
    <row r="39" spans="2:99">
      <c r="C39" s="99" t="s">
        <v>205</v>
      </c>
      <c r="D39" s="100">
        <v>11</v>
      </c>
      <c r="E39" s="100">
        <v>15655.2</v>
      </c>
      <c r="F39" s="100">
        <v>13</v>
      </c>
      <c r="G39" s="100">
        <v>18501.600000000002</v>
      </c>
      <c r="H39" s="100">
        <v>10</v>
      </c>
      <c r="I39" s="100">
        <v>14232</v>
      </c>
      <c r="J39" s="100">
        <v>9</v>
      </c>
      <c r="K39" s="100">
        <v>12808.800000000001</v>
      </c>
      <c r="L39" s="100">
        <v>10</v>
      </c>
      <c r="M39" s="100">
        <v>14232</v>
      </c>
      <c r="N39" s="100">
        <v>13</v>
      </c>
      <c r="O39" s="100">
        <v>18501.600000000002</v>
      </c>
      <c r="P39" s="100">
        <v>13</v>
      </c>
      <c r="Q39" s="100">
        <v>18501.600000000002</v>
      </c>
      <c r="R39" s="100">
        <v>9</v>
      </c>
      <c r="S39" s="100">
        <v>12808.800000000001</v>
      </c>
      <c r="T39" s="100">
        <v>8</v>
      </c>
      <c r="U39" s="100">
        <v>11385.6</v>
      </c>
      <c r="V39" s="100">
        <v>8</v>
      </c>
      <c r="W39" s="100">
        <v>11385.6</v>
      </c>
      <c r="X39" s="100">
        <v>8.3481006020447133</v>
      </c>
      <c r="Y39" s="100">
        <v>11881.016776830036</v>
      </c>
      <c r="Z39" s="100">
        <v>10</v>
      </c>
      <c r="AA39" s="100">
        <v>14232</v>
      </c>
      <c r="AB39" s="100">
        <v>4.6424156629365436</v>
      </c>
      <c r="AC39" s="100">
        <v>6607.0859714912895</v>
      </c>
      <c r="AD39" s="100">
        <v>11</v>
      </c>
      <c r="AE39" s="100">
        <v>15655.2</v>
      </c>
      <c r="AF39" s="100">
        <v>5.669102490610288</v>
      </c>
      <c r="AG39" s="100">
        <v>8068.2666646365624</v>
      </c>
      <c r="AH39" s="100">
        <v>10</v>
      </c>
      <c r="AI39" s="100">
        <v>14232</v>
      </c>
      <c r="AJ39" s="100">
        <v>9</v>
      </c>
      <c r="AK39" s="100">
        <v>12808.800000000001</v>
      </c>
      <c r="AL39" s="100">
        <v>10</v>
      </c>
      <c r="AM39" s="100">
        <v>14232</v>
      </c>
      <c r="AN39" s="100">
        <v>14</v>
      </c>
      <c r="AO39" s="100">
        <v>19924.8</v>
      </c>
      <c r="AP39" s="100">
        <v>6.7737537435964885</v>
      </c>
      <c r="AQ39" s="100">
        <v>9640.4063278865233</v>
      </c>
      <c r="AR39" s="100">
        <v>5.5076185149102761</v>
      </c>
      <c r="AS39" s="100">
        <v>7838.4426704203051</v>
      </c>
      <c r="AT39" s="100">
        <v>3.287600111776821</v>
      </c>
      <c r="AU39" s="100">
        <v>4678.9124790807718</v>
      </c>
      <c r="AV39" s="100">
        <v>12</v>
      </c>
      <c r="AW39" s="100">
        <v>17078.400000000001</v>
      </c>
      <c r="AX39" s="100">
        <v>11</v>
      </c>
      <c r="AY39" s="100">
        <v>15655.2</v>
      </c>
      <c r="AZ39" s="100">
        <v>10</v>
      </c>
      <c r="BA39" s="100">
        <v>14232</v>
      </c>
      <c r="BB39" s="100">
        <v>13</v>
      </c>
      <c r="BC39" s="100">
        <v>18501.600000000002</v>
      </c>
      <c r="BD39" s="100">
        <v>11</v>
      </c>
      <c r="BE39" s="100">
        <v>15655.2</v>
      </c>
      <c r="BF39" s="100">
        <v>9</v>
      </c>
      <c r="BG39" s="100">
        <v>12808.800000000001</v>
      </c>
      <c r="BH39" s="100">
        <v>1.7714401397777746</v>
      </c>
      <c r="BI39" s="100">
        <v>2521.113606931729</v>
      </c>
      <c r="BJ39" s="100">
        <v>10</v>
      </c>
      <c r="BK39" s="100">
        <v>14232</v>
      </c>
      <c r="BL39" s="100">
        <v>14</v>
      </c>
      <c r="BM39" s="100">
        <v>19924.8</v>
      </c>
      <c r="BN39" s="100">
        <v>9</v>
      </c>
      <c r="BO39" s="100">
        <v>12808.800000000001</v>
      </c>
      <c r="BP39" s="100">
        <v>8</v>
      </c>
      <c r="BQ39" s="100">
        <v>11385.6</v>
      </c>
      <c r="BR39" s="100">
        <v>7</v>
      </c>
      <c r="BS39" s="100">
        <v>9962.4</v>
      </c>
      <c r="BT39" s="100">
        <v>5.6760055316790794</v>
      </c>
      <c r="BU39" s="100">
        <v>8078.0910726856664</v>
      </c>
      <c r="BV39" s="100">
        <v>6.6648091400411946</v>
      </c>
      <c r="BW39" s="100">
        <v>9485.356368106628</v>
      </c>
      <c r="BX39" s="100">
        <v>8.8403309008188344</v>
      </c>
      <c r="BY39" s="100">
        <v>12581.558938045366</v>
      </c>
      <c r="BZ39" s="100">
        <v>9.6096634950356634</v>
      </c>
      <c r="CA39" s="100">
        <v>13676.473086134756</v>
      </c>
      <c r="CB39" s="100">
        <v>11</v>
      </c>
      <c r="CC39" s="100">
        <v>15655.2</v>
      </c>
      <c r="CD39" s="100">
        <v>7.4048950370262938</v>
      </c>
      <c r="CE39" s="100">
        <v>10538.646616695822</v>
      </c>
      <c r="CF39" s="100">
        <v>11</v>
      </c>
      <c r="CG39" s="100">
        <v>15655.2</v>
      </c>
      <c r="CH39" s="100">
        <v>11.492875004469319</v>
      </c>
      <c r="CI39" s="100">
        <v>16356.659706360735</v>
      </c>
      <c r="CJ39" s="100">
        <v>11</v>
      </c>
      <c r="CK39" s="100">
        <v>15655.2</v>
      </c>
      <c r="CL39" s="100">
        <v>10.621601786728579</v>
      </c>
      <c r="CM39" s="100">
        <v>15116.663662872115</v>
      </c>
      <c r="CN39" s="100">
        <v>15</v>
      </c>
      <c r="CO39" s="100">
        <v>21348</v>
      </c>
      <c r="CP39" s="100">
        <v>11</v>
      </c>
      <c r="CQ39" s="100">
        <v>15655.2</v>
      </c>
      <c r="CR39" s="100">
        <v>13</v>
      </c>
      <c r="CS39" s="100">
        <v>18501.600000000002</v>
      </c>
      <c r="CT39" s="100">
        <v>5.0296471487089471</v>
      </c>
      <c r="CU39" s="100">
        <v>7158.1938220425736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12</v>
      </c>
      <c r="G40" s="100">
        <v>8697.5999999999985</v>
      </c>
      <c r="H40" s="100">
        <v>12</v>
      </c>
      <c r="I40" s="100">
        <v>8697.5999999999985</v>
      </c>
      <c r="J40" s="100">
        <v>8</v>
      </c>
      <c r="K40" s="100">
        <v>5798.4</v>
      </c>
      <c r="L40" s="100">
        <v>11</v>
      </c>
      <c r="M40" s="100">
        <v>7972.7999999999993</v>
      </c>
      <c r="N40" s="100">
        <v>14</v>
      </c>
      <c r="O40" s="100">
        <v>10147.199999999999</v>
      </c>
      <c r="P40" s="100">
        <v>14</v>
      </c>
      <c r="Q40" s="100">
        <v>10147.199999999999</v>
      </c>
      <c r="R40" s="100">
        <v>10</v>
      </c>
      <c r="S40" s="100">
        <v>7248</v>
      </c>
      <c r="T40" s="100">
        <v>7</v>
      </c>
      <c r="U40" s="100">
        <v>5073.5999999999995</v>
      </c>
      <c r="V40" s="100">
        <v>9</v>
      </c>
      <c r="W40" s="100">
        <v>6523.2</v>
      </c>
      <c r="X40" s="100">
        <v>7.7059390172720441</v>
      </c>
      <c r="Y40" s="100">
        <v>5585.2645997187774</v>
      </c>
      <c r="Z40" s="100">
        <v>10</v>
      </c>
      <c r="AA40" s="100">
        <v>7248</v>
      </c>
      <c r="AB40" s="100">
        <v>4.6424156629365436</v>
      </c>
      <c r="AC40" s="100">
        <v>3364.8228724964065</v>
      </c>
      <c r="AD40" s="100">
        <v>11</v>
      </c>
      <c r="AE40" s="100">
        <v>7972.7999999999993</v>
      </c>
      <c r="AF40" s="100">
        <v>5.669102490610288</v>
      </c>
      <c r="AG40" s="100">
        <v>4108.9654851943369</v>
      </c>
      <c r="AH40" s="100">
        <v>11</v>
      </c>
      <c r="AI40" s="100">
        <v>7972.7999999999993</v>
      </c>
      <c r="AJ40" s="100">
        <v>9</v>
      </c>
      <c r="AK40" s="100">
        <v>6523.2</v>
      </c>
      <c r="AL40" s="100">
        <v>10</v>
      </c>
      <c r="AM40" s="100">
        <v>7248</v>
      </c>
      <c r="AN40" s="100">
        <v>14</v>
      </c>
      <c r="AO40" s="100">
        <v>10147.199999999999</v>
      </c>
      <c r="AP40" s="100">
        <v>7.6204729615460485</v>
      </c>
      <c r="AQ40" s="100">
        <v>5523.3188025285754</v>
      </c>
      <c r="AR40" s="100">
        <v>5.5076185149102761</v>
      </c>
      <c r="AS40" s="100">
        <v>3991.9218996069681</v>
      </c>
      <c r="AT40" s="100">
        <v>3.0136334357954193</v>
      </c>
      <c r="AU40" s="100">
        <v>2184.28151426452</v>
      </c>
      <c r="AV40" s="100">
        <v>12</v>
      </c>
      <c r="AW40" s="100">
        <v>8697.5999999999985</v>
      </c>
      <c r="AX40" s="100">
        <v>12</v>
      </c>
      <c r="AY40" s="100">
        <v>8697.5999999999985</v>
      </c>
      <c r="AZ40" s="100">
        <v>9</v>
      </c>
      <c r="BA40" s="100">
        <v>6523.2</v>
      </c>
      <c r="BB40" s="100">
        <v>14</v>
      </c>
      <c r="BC40" s="100">
        <v>10147.199999999999</v>
      </c>
      <c r="BD40" s="100">
        <v>12</v>
      </c>
      <c r="BE40" s="100">
        <v>8697.5999999999985</v>
      </c>
      <c r="BF40" s="100">
        <v>8</v>
      </c>
      <c r="BG40" s="100">
        <v>5798.4</v>
      </c>
      <c r="BH40" s="100">
        <v>1.7714401397777746</v>
      </c>
      <c r="BI40" s="100">
        <v>1283.939813310931</v>
      </c>
      <c r="BJ40" s="100">
        <v>10</v>
      </c>
      <c r="BK40" s="100">
        <v>7248</v>
      </c>
      <c r="BL40" s="100">
        <v>13</v>
      </c>
      <c r="BM40" s="100">
        <v>9422.4</v>
      </c>
      <c r="BN40" s="100">
        <v>9</v>
      </c>
      <c r="BO40" s="100">
        <v>6523.2</v>
      </c>
      <c r="BP40" s="100">
        <v>8</v>
      </c>
      <c r="BQ40" s="100">
        <v>5798.4</v>
      </c>
      <c r="BR40" s="100">
        <v>7</v>
      </c>
      <c r="BS40" s="100">
        <v>5073.5999999999995</v>
      </c>
      <c r="BT40" s="100">
        <v>5.6760055316790794</v>
      </c>
      <c r="BU40" s="100">
        <v>4113.9688093609966</v>
      </c>
      <c r="BV40" s="100">
        <v>7.4979102825463446</v>
      </c>
      <c r="BW40" s="100">
        <v>5434.4853727895907</v>
      </c>
      <c r="BX40" s="100">
        <v>8.8403309008188344</v>
      </c>
      <c r="BY40" s="100">
        <v>6407.4718369134907</v>
      </c>
      <c r="BZ40" s="100">
        <v>10.57062984453923</v>
      </c>
      <c r="CA40" s="100">
        <v>7661.5925113220337</v>
      </c>
      <c r="CB40" s="100">
        <v>11</v>
      </c>
      <c r="CC40" s="100">
        <v>7972.7999999999993</v>
      </c>
      <c r="CD40" s="100">
        <v>8.3305069166545813</v>
      </c>
      <c r="CE40" s="100">
        <v>6037.9514131912401</v>
      </c>
      <c r="CF40" s="100">
        <v>10</v>
      </c>
      <c r="CG40" s="100">
        <v>7248</v>
      </c>
      <c r="CH40" s="100">
        <v>11.492875004469319</v>
      </c>
      <c r="CI40" s="100">
        <v>8330.0358032393615</v>
      </c>
      <c r="CJ40" s="100">
        <v>11</v>
      </c>
      <c r="CK40" s="100">
        <v>7972.7999999999993</v>
      </c>
      <c r="CL40" s="100">
        <v>11.587201949158452</v>
      </c>
      <c r="CM40" s="100">
        <v>8398.4039727500458</v>
      </c>
      <c r="CN40" s="100">
        <v>14</v>
      </c>
      <c r="CO40" s="100">
        <v>10147.199999999999</v>
      </c>
      <c r="CP40" s="100">
        <v>11</v>
      </c>
      <c r="CQ40" s="100">
        <v>7972.7999999999993</v>
      </c>
      <c r="CR40" s="100">
        <v>14</v>
      </c>
      <c r="CS40" s="100">
        <v>10147.199999999999</v>
      </c>
      <c r="CT40" s="100">
        <v>5.0296471487089471</v>
      </c>
      <c r="CU40" s="100">
        <v>3645.4882533842447</v>
      </c>
    </row>
    <row r="41" spans="2:99">
      <c r="C41" s="99" t="s">
        <v>207</v>
      </c>
      <c r="D41" s="100">
        <v>12</v>
      </c>
      <c r="E41" s="100">
        <v>7920</v>
      </c>
      <c r="F41" s="100">
        <v>13</v>
      </c>
      <c r="G41" s="100">
        <v>8580</v>
      </c>
      <c r="H41" s="100">
        <v>12</v>
      </c>
      <c r="I41" s="100">
        <v>7920</v>
      </c>
      <c r="J41" s="100">
        <v>9</v>
      </c>
      <c r="K41" s="100">
        <v>5940</v>
      </c>
      <c r="L41" s="100">
        <v>10</v>
      </c>
      <c r="M41" s="100">
        <v>6600</v>
      </c>
      <c r="N41" s="100">
        <v>14</v>
      </c>
      <c r="O41" s="100">
        <v>9240</v>
      </c>
      <c r="P41" s="100">
        <v>13</v>
      </c>
      <c r="Q41" s="100">
        <v>8580</v>
      </c>
      <c r="R41" s="100">
        <v>10</v>
      </c>
      <c r="S41" s="100">
        <v>6600</v>
      </c>
      <c r="T41" s="100">
        <v>8</v>
      </c>
      <c r="U41" s="100">
        <v>5280</v>
      </c>
      <c r="V41" s="100">
        <v>10</v>
      </c>
      <c r="W41" s="100">
        <v>6600</v>
      </c>
      <c r="X41" s="100">
        <v>8.3481006020447133</v>
      </c>
      <c r="Y41" s="100">
        <v>5509.7463973495105</v>
      </c>
      <c r="Z41" s="100">
        <v>9</v>
      </c>
      <c r="AA41" s="100">
        <v>5940</v>
      </c>
      <c r="AB41" s="100">
        <v>5.4864912380159154</v>
      </c>
      <c r="AC41" s="100">
        <v>3621.0842170905044</v>
      </c>
      <c r="AD41" s="100">
        <v>12</v>
      </c>
      <c r="AE41" s="100">
        <v>7920</v>
      </c>
      <c r="AF41" s="100">
        <v>5.1966772830594303</v>
      </c>
      <c r="AG41" s="100">
        <v>3429.8070068192242</v>
      </c>
      <c r="AH41" s="100">
        <v>10</v>
      </c>
      <c r="AI41" s="100">
        <v>6600</v>
      </c>
      <c r="AJ41" s="100">
        <v>9</v>
      </c>
      <c r="AK41" s="100">
        <v>5940</v>
      </c>
      <c r="AL41" s="100">
        <v>10</v>
      </c>
      <c r="AM41" s="100">
        <v>6600</v>
      </c>
      <c r="AN41" s="100">
        <v>13</v>
      </c>
      <c r="AO41" s="100">
        <v>8580</v>
      </c>
      <c r="AP41" s="100">
        <v>7.6204729615460485</v>
      </c>
      <c r="AQ41" s="100">
        <v>5029.5121546203918</v>
      </c>
      <c r="AR41" s="100">
        <v>6.0583803664013045</v>
      </c>
      <c r="AS41" s="100">
        <v>3998.5310418248609</v>
      </c>
      <c r="AT41" s="100">
        <v>3.287600111776821</v>
      </c>
      <c r="AU41" s="100">
        <v>2169.8160737727017</v>
      </c>
      <c r="AV41" s="100">
        <v>13</v>
      </c>
      <c r="AW41" s="100">
        <v>8580</v>
      </c>
      <c r="AX41" s="100">
        <v>13</v>
      </c>
      <c r="AY41" s="100">
        <v>8580</v>
      </c>
      <c r="AZ41" s="100">
        <v>10</v>
      </c>
      <c r="BA41" s="100">
        <v>6600</v>
      </c>
      <c r="BB41" s="100">
        <v>16</v>
      </c>
      <c r="BC41" s="100">
        <v>10560</v>
      </c>
      <c r="BD41" s="100">
        <v>12</v>
      </c>
      <c r="BE41" s="100">
        <v>7920</v>
      </c>
      <c r="BF41" s="100">
        <v>9</v>
      </c>
      <c r="BG41" s="100">
        <v>5940</v>
      </c>
      <c r="BH41" s="100">
        <v>1.7714401397777746</v>
      </c>
      <c r="BI41" s="100">
        <v>1169.1504922533313</v>
      </c>
      <c r="BJ41" s="100">
        <v>9</v>
      </c>
      <c r="BK41" s="100">
        <v>5940</v>
      </c>
      <c r="BL41" s="100">
        <v>13</v>
      </c>
      <c r="BM41" s="100">
        <v>8580</v>
      </c>
      <c r="BN41" s="100">
        <v>9</v>
      </c>
      <c r="BO41" s="100">
        <v>5940</v>
      </c>
      <c r="BP41" s="100">
        <v>8</v>
      </c>
      <c r="BQ41" s="100">
        <v>5280</v>
      </c>
      <c r="BR41" s="100">
        <v>8</v>
      </c>
      <c r="BS41" s="100">
        <v>5280</v>
      </c>
      <c r="BT41" s="100">
        <v>6.1920060345589949</v>
      </c>
      <c r="BU41" s="100">
        <v>4086.7239828089369</v>
      </c>
      <c r="BV41" s="100">
        <v>6.6648091400411946</v>
      </c>
      <c r="BW41" s="100">
        <v>4398.7740324271881</v>
      </c>
      <c r="BX41" s="100">
        <v>8.8403309008188344</v>
      </c>
      <c r="BY41" s="100">
        <v>5834.6183945404309</v>
      </c>
      <c r="BZ41" s="100">
        <v>9.6096634950356634</v>
      </c>
      <c r="CA41" s="100">
        <v>6342.3779067235382</v>
      </c>
      <c r="CB41" s="100">
        <v>11</v>
      </c>
      <c r="CC41" s="100">
        <v>7260</v>
      </c>
      <c r="CD41" s="100">
        <v>8.3305069166545813</v>
      </c>
      <c r="CE41" s="100">
        <v>5498.134564992024</v>
      </c>
      <c r="CF41" s="100">
        <v>12</v>
      </c>
      <c r="CG41" s="100">
        <v>7920</v>
      </c>
      <c r="CH41" s="100">
        <v>10.535135420763543</v>
      </c>
      <c r="CI41" s="100">
        <v>6953.1893777039386</v>
      </c>
      <c r="CJ41" s="100">
        <v>10</v>
      </c>
      <c r="CK41" s="100">
        <v>6600</v>
      </c>
      <c r="CL41" s="100">
        <v>10.621601786728579</v>
      </c>
      <c r="CM41" s="100">
        <v>7010.2571792408626</v>
      </c>
      <c r="CN41" s="100">
        <v>15</v>
      </c>
      <c r="CO41" s="100">
        <v>9900</v>
      </c>
      <c r="CP41" s="100">
        <v>10</v>
      </c>
      <c r="CQ41" s="100">
        <v>6600</v>
      </c>
      <c r="CR41" s="100">
        <v>13</v>
      </c>
      <c r="CS41" s="100">
        <v>8580</v>
      </c>
      <c r="CT41" s="100">
        <v>5.0296471487089471</v>
      </c>
      <c r="CU41" s="100">
        <v>3319.5671181479051</v>
      </c>
    </row>
    <row r="42" spans="2:99">
      <c r="C42" s="99" t="s">
        <v>208</v>
      </c>
      <c r="D42" s="100">
        <v>10</v>
      </c>
      <c r="E42" s="100">
        <v>8460</v>
      </c>
      <c r="F42" s="100">
        <v>13</v>
      </c>
      <c r="G42" s="100">
        <v>10998</v>
      </c>
      <c r="H42" s="100">
        <v>12</v>
      </c>
      <c r="I42" s="100">
        <v>10152</v>
      </c>
      <c r="J42" s="100">
        <v>8</v>
      </c>
      <c r="K42" s="100">
        <v>6768</v>
      </c>
      <c r="L42" s="100">
        <v>10</v>
      </c>
      <c r="M42" s="100">
        <v>8460</v>
      </c>
      <c r="N42" s="100">
        <v>13</v>
      </c>
      <c r="O42" s="100">
        <v>10998</v>
      </c>
      <c r="P42" s="100">
        <v>13</v>
      </c>
      <c r="Q42" s="100">
        <v>10998</v>
      </c>
      <c r="R42" s="100">
        <v>10</v>
      </c>
      <c r="S42" s="100">
        <v>8460</v>
      </c>
      <c r="T42" s="100">
        <v>9</v>
      </c>
      <c r="U42" s="100">
        <v>7614</v>
      </c>
      <c r="V42" s="100">
        <v>9</v>
      </c>
      <c r="W42" s="100">
        <v>7614</v>
      </c>
      <c r="X42" s="100">
        <v>8.3481006020447133</v>
      </c>
      <c r="Y42" s="100">
        <v>7062.4931093298273</v>
      </c>
      <c r="Z42" s="100">
        <v>11</v>
      </c>
      <c r="AA42" s="100">
        <v>9306</v>
      </c>
      <c r="AB42" s="100">
        <v>5.4864912380159154</v>
      </c>
      <c r="AC42" s="100">
        <v>4641.5715873614645</v>
      </c>
      <c r="AD42" s="100">
        <v>10</v>
      </c>
      <c r="AE42" s="100">
        <v>8460</v>
      </c>
      <c r="AF42" s="100">
        <v>5.1966772830594303</v>
      </c>
      <c r="AG42" s="100">
        <v>4396.388981468278</v>
      </c>
      <c r="AH42" s="100">
        <v>11</v>
      </c>
      <c r="AI42" s="100">
        <v>9306</v>
      </c>
      <c r="AJ42" s="100">
        <v>9</v>
      </c>
      <c r="AK42" s="100">
        <v>7614</v>
      </c>
      <c r="AL42" s="100">
        <v>11</v>
      </c>
      <c r="AM42" s="100">
        <v>9306</v>
      </c>
      <c r="AN42" s="100">
        <v>14</v>
      </c>
      <c r="AO42" s="100">
        <v>11844</v>
      </c>
      <c r="AP42" s="100">
        <v>7.6204729615460485</v>
      </c>
      <c r="AQ42" s="100">
        <v>6446.9201254679574</v>
      </c>
      <c r="AR42" s="100">
        <v>5.5076185149102761</v>
      </c>
      <c r="AS42" s="100">
        <v>4659.4452636140932</v>
      </c>
      <c r="AT42" s="100">
        <v>3.5615667877582227</v>
      </c>
      <c r="AU42" s="100">
        <v>3013.0855024434563</v>
      </c>
      <c r="AV42" s="100">
        <v>14</v>
      </c>
      <c r="AW42" s="100">
        <v>11844</v>
      </c>
      <c r="AX42" s="100">
        <v>13</v>
      </c>
      <c r="AY42" s="100">
        <v>10998</v>
      </c>
      <c r="AZ42" s="100">
        <v>10</v>
      </c>
      <c r="BA42" s="100">
        <v>8460</v>
      </c>
      <c r="BB42" s="100">
        <v>13</v>
      </c>
      <c r="BC42" s="100">
        <v>10998</v>
      </c>
      <c r="BD42" s="100">
        <v>12</v>
      </c>
      <c r="BE42" s="100">
        <v>10152</v>
      </c>
      <c r="BF42" s="100">
        <v>9</v>
      </c>
      <c r="BG42" s="100">
        <v>7614</v>
      </c>
      <c r="BH42" s="100">
        <v>1.7714401397777746</v>
      </c>
      <c r="BI42" s="100">
        <v>1498.6383582519973</v>
      </c>
      <c r="BJ42" s="100">
        <v>10</v>
      </c>
      <c r="BK42" s="100">
        <v>8460</v>
      </c>
      <c r="BL42" s="100">
        <v>15</v>
      </c>
      <c r="BM42" s="100">
        <v>12690</v>
      </c>
      <c r="BN42" s="100">
        <v>8</v>
      </c>
      <c r="BO42" s="100">
        <v>6768</v>
      </c>
      <c r="BP42" s="100">
        <v>8</v>
      </c>
      <c r="BQ42" s="100">
        <v>6768</v>
      </c>
      <c r="BR42" s="100">
        <v>9</v>
      </c>
      <c r="BS42" s="100">
        <v>7614</v>
      </c>
      <c r="BT42" s="100">
        <v>5.160005028799163</v>
      </c>
      <c r="BU42" s="100">
        <v>4365.3642543640917</v>
      </c>
      <c r="BV42" s="100">
        <v>7.4979102825463446</v>
      </c>
      <c r="BW42" s="100">
        <v>6343.2320990342077</v>
      </c>
      <c r="BX42" s="100">
        <v>8.8403309008188344</v>
      </c>
      <c r="BY42" s="100">
        <v>7478.9199420927343</v>
      </c>
      <c r="BZ42" s="100">
        <v>10.57062984453923</v>
      </c>
      <c r="CA42" s="100">
        <v>8942.7528484801878</v>
      </c>
      <c r="CB42" s="100">
        <v>11</v>
      </c>
      <c r="CC42" s="100">
        <v>9306</v>
      </c>
      <c r="CD42" s="100">
        <v>9.2561187962828662</v>
      </c>
      <c r="CE42" s="100">
        <v>7830.6765016553045</v>
      </c>
      <c r="CF42" s="100">
        <v>10</v>
      </c>
      <c r="CG42" s="100">
        <v>8460</v>
      </c>
      <c r="CH42" s="100">
        <v>12.450614588175096</v>
      </c>
      <c r="CI42" s="100">
        <v>10533.219941596131</v>
      </c>
      <c r="CJ42" s="100">
        <v>11</v>
      </c>
      <c r="CK42" s="100">
        <v>9306</v>
      </c>
      <c r="CL42" s="100">
        <v>10.621601786728579</v>
      </c>
      <c r="CM42" s="100">
        <v>8985.8751115723771</v>
      </c>
      <c r="CN42" s="100">
        <v>13</v>
      </c>
      <c r="CO42" s="100">
        <v>10998</v>
      </c>
      <c r="CP42" s="100">
        <v>10</v>
      </c>
      <c r="CQ42" s="100">
        <v>8460</v>
      </c>
      <c r="CR42" s="100">
        <v>12</v>
      </c>
      <c r="CS42" s="100">
        <v>10152</v>
      </c>
      <c r="CT42" s="100">
        <v>4.6105098863165344</v>
      </c>
      <c r="CU42" s="100">
        <v>3900.4913638237881</v>
      </c>
    </row>
    <row r="43" spans="2:99">
      <c r="C43" s="99" t="s">
        <v>209</v>
      </c>
      <c r="D43" s="100">
        <v>11</v>
      </c>
      <c r="E43" s="100">
        <v>11246.4</v>
      </c>
      <c r="F43" s="100">
        <v>12</v>
      </c>
      <c r="G43" s="100">
        <v>12268.8</v>
      </c>
      <c r="H43" s="100">
        <v>12</v>
      </c>
      <c r="I43" s="100">
        <v>12268.8</v>
      </c>
      <c r="J43" s="100">
        <v>8</v>
      </c>
      <c r="K43" s="100">
        <v>8179.2</v>
      </c>
      <c r="L43" s="100">
        <v>10</v>
      </c>
      <c r="M43" s="100">
        <v>10224</v>
      </c>
      <c r="N43" s="100">
        <v>15</v>
      </c>
      <c r="O43" s="100">
        <v>15336</v>
      </c>
      <c r="P43" s="100">
        <v>15</v>
      </c>
      <c r="Q43" s="100">
        <v>15336</v>
      </c>
      <c r="R43" s="100">
        <v>10</v>
      </c>
      <c r="S43" s="100">
        <v>10224</v>
      </c>
      <c r="T43" s="100">
        <v>7</v>
      </c>
      <c r="U43" s="100">
        <v>7156.8</v>
      </c>
      <c r="V43" s="100">
        <v>8</v>
      </c>
      <c r="W43" s="100">
        <v>8179.2</v>
      </c>
      <c r="X43" s="100">
        <v>8.3481006020447133</v>
      </c>
      <c r="Y43" s="100">
        <v>8535.0980555305141</v>
      </c>
      <c r="Z43" s="100">
        <v>10</v>
      </c>
      <c r="AA43" s="100">
        <v>10224</v>
      </c>
      <c r="AB43" s="100">
        <v>5.4864912380159154</v>
      </c>
      <c r="AC43" s="100">
        <v>5609.3886417474714</v>
      </c>
      <c r="AD43" s="100">
        <v>11</v>
      </c>
      <c r="AE43" s="100">
        <v>11246.4</v>
      </c>
      <c r="AF43" s="100">
        <v>5.1966772830594303</v>
      </c>
      <c r="AG43" s="100">
        <v>5313.0828541999617</v>
      </c>
      <c r="AH43" s="100">
        <v>10</v>
      </c>
      <c r="AI43" s="100">
        <v>10224</v>
      </c>
      <c r="AJ43" s="100">
        <v>9</v>
      </c>
      <c r="AK43" s="100">
        <v>9201.6</v>
      </c>
      <c r="AL43" s="100">
        <v>12</v>
      </c>
      <c r="AM43" s="100">
        <v>12268.8</v>
      </c>
      <c r="AN43" s="100">
        <v>14</v>
      </c>
      <c r="AO43" s="100">
        <v>14313.6</v>
      </c>
      <c r="AP43" s="100">
        <v>6.7737537435964885</v>
      </c>
      <c r="AQ43" s="100">
        <v>6925.4858274530498</v>
      </c>
      <c r="AR43" s="100">
        <v>5.5076185149102761</v>
      </c>
      <c r="AS43" s="100">
        <v>5630.9891696442664</v>
      </c>
      <c r="AT43" s="100">
        <v>3.287600111776821</v>
      </c>
      <c r="AU43" s="100">
        <v>3361.2423542806218</v>
      </c>
      <c r="AV43" s="100">
        <v>12</v>
      </c>
      <c r="AW43" s="100">
        <v>12268.8</v>
      </c>
      <c r="AX43" s="100">
        <v>13</v>
      </c>
      <c r="AY43" s="100">
        <v>13291.199999999999</v>
      </c>
      <c r="AZ43" s="100">
        <v>9</v>
      </c>
      <c r="BA43" s="100">
        <v>9201.6</v>
      </c>
      <c r="BB43" s="100">
        <v>13</v>
      </c>
      <c r="BC43" s="100">
        <v>13291.199999999999</v>
      </c>
      <c r="BD43" s="100">
        <v>13</v>
      </c>
      <c r="BE43" s="100">
        <v>13291.199999999999</v>
      </c>
      <c r="BF43" s="100">
        <v>9</v>
      </c>
      <c r="BG43" s="100">
        <v>9201.6</v>
      </c>
      <c r="BH43" s="100">
        <v>1.7714401397777746</v>
      </c>
      <c r="BI43" s="100">
        <v>1811.1203989087967</v>
      </c>
      <c r="BJ43" s="100">
        <v>9</v>
      </c>
      <c r="BK43" s="100">
        <v>9201.6</v>
      </c>
      <c r="BL43" s="100">
        <v>12</v>
      </c>
      <c r="BM43" s="100">
        <v>12268.8</v>
      </c>
      <c r="BN43" s="100">
        <v>9</v>
      </c>
      <c r="BO43" s="100">
        <v>9201.6</v>
      </c>
      <c r="BP43" s="100">
        <v>7</v>
      </c>
      <c r="BQ43" s="100">
        <v>7156.8</v>
      </c>
      <c r="BR43" s="100">
        <v>8</v>
      </c>
      <c r="BS43" s="100">
        <v>8179.2</v>
      </c>
      <c r="BT43" s="100">
        <v>5.160005028799163</v>
      </c>
      <c r="BU43" s="100">
        <v>5275.589141444264</v>
      </c>
      <c r="BV43" s="100">
        <v>6.6648091400411946</v>
      </c>
      <c r="BW43" s="100">
        <v>6814.1008647781173</v>
      </c>
      <c r="BX43" s="100">
        <v>9.7243639909007182</v>
      </c>
      <c r="BY43" s="100">
        <v>9942.1897442968948</v>
      </c>
      <c r="BZ43" s="100">
        <v>9.6096634950356634</v>
      </c>
      <c r="CA43" s="100">
        <v>9824.9199573244623</v>
      </c>
      <c r="CB43" s="100">
        <v>10</v>
      </c>
      <c r="CC43" s="100">
        <v>10224</v>
      </c>
      <c r="CD43" s="100">
        <v>8.3305069166545813</v>
      </c>
      <c r="CE43" s="100">
        <v>8517.1102715876441</v>
      </c>
      <c r="CF43" s="100">
        <v>12</v>
      </c>
      <c r="CG43" s="100">
        <v>12268.8</v>
      </c>
      <c r="CH43" s="100">
        <v>11.492875004469319</v>
      </c>
      <c r="CI43" s="100">
        <v>11750.315404569432</v>
      </c>
      <c r="CJ43" s="100">
        <v>11</v>
      </c>
      <c r="CK43" s="100">
        <v>11246.4</v>
      </c>
      <c r="CL43" s="100">
        <v>10.621601786728579</v>
      </c>
      <c r="CM43" s="100">
        <v>10859.525666751299</v>
      </c>
      <c r="CN43" s="100">
        <v>14</v>
      </c>
      <c r="CO43" s="100">
        <v>14313.6</v>
      </c>
      <c r="CP43" s="100">
        <v>10</v>
      </c>
      <c r="CQ43" s="100">
        <v>10224</v>
      </c>
      <c r="CR43" s="100">
        <v>13</v>
      </c>
      <c r="CS43" s="100">
        <v>13291.199999999999</v>
      </c>
      <c r="CT43" s="100">
        <v>5.0296471487089471</v>
      </c>
      <c r="CU43" s="100">
        <v>5142.311244840027</v>
      </c>
    </row>
    <row r="44" spans="2:99">
      <c r="C44" s="99" t="s">
        <v>210</v>
      </c>
      <c r="D44" s="100">
        <v>11</v>
      </c>
      <c r="E44" s="100">
        <v>11246.4</v>
      </c>
      <c r="F44" s="100">
        <v>14</v>
      </c>
      <c r="G44" s="100">
        <v>14313.6</v>
      </c>
      <c r="H44" s="100">
        <v>11</v>
      </c>
      <c r="I44" s="100">
        <v>11246.4</v>
      </c>
      <c r="J44" s="100">
        <v>8</v>
      </c>
      <c r="K44" s="100">
        <v>8179.2</v>
      </c>
      <c r="L44" s="100">
        <v>10</v>
      </c>
      <c r="M44" s="100">
        <v>10224</v>
      </c>
      <c r="N44" s="100">
        <v>15</v>
      </c>
      <c r="O44" s="100">
        <v>15336</v>
      </c>
      <c r="P44" s="100">
        <v>15</v>
      </c>
      <c r="Q44" s="100">
        <v>15336</v>
      </c>
      <c r="R44" s="100">
        <v>10</v>
      </c>
      <c r="S44" s="100">
        <v>10224</v>
      </c>
      <c r="T44" s="100">
        <v>8</v>
      </c>
      <c r="U44" s="100">
        <v>8179.2</v>
      </c>
      <c r="V44" s="100">
        <v>9</v>
      </c>
      <c r="W44" s="100">
        <v>9201.6</v>
      </c>
      <c r="X44" s="100">
        <v>7.7059390172720441</v>
      </c>
      <c r="Y44" s="100">
        <v>7878.5520512589374</v>
      </c>
      <c r="Z44" s="100">
        <v>9</v>
      </c>
      <c r="AA44" s="100">
        <v>9201.6</v>
      </c>
      <c r="AB44" s="100">
        <v>5.4864912380159154</v>
      </c>
      <c r="AC44" s="100">
        <v>5609.3886417474714</v>
      </c>
      <c r="AD44" s="100">
        <v>11</v>
      </c>
      <c r="AE44" s="100">
        <v>11246.4</v>
      </c>
      <c r="AF44" s="100">
        <v>5.669102490610288</v>
      </c>
      <c r="AG44" s="100">
        <v>5796.0903863999583</v>
      </c>
      <c r="AH44" s="100">
        <v>10</v>
      </c>
      <c r="AI44" s="100">
        <v>10224</v>
      </c>
      <c r="AJ44" s="100">
        <v>9</v>
      </c>
      <c r="AK44" s="100">
        <v>9201.6</v>
      </c>
      <c r="AL44" s="100">
        <v>10</v>
      </c>
      <c r="AM44" s="100">
        <v>10224</v>
      </c>
      <c r="AN44" s="100">
        <v>12</v>
      </c>
      <c r="AO44" s="100">
        <v>12268.8</v>
      </c>
      <c r="AP44" s="100">
        <v>7.6204729615460485</v>
      </c>
      <c r="AQ44" s="100">
        <v>7791.1715558846799</v>
      </c>
      <c r="AR44" s="100">
        <v>5.5076185149102761</v>
      </c>
      <c r="AS44" s="100">
        <v>5630.9891696442664</v>
      </c>
      <c r="AT44" s="100">
        <v>3.0136334357954193</v>
      </c>
      <c r="AU44" s="100">
        <v>3081.1388247572368</v>
      </c>
      <c r="AV44" s="100">
        <v>13</v>
      </c>
      <c r="AW44" s="100">
        <v>13291.199999999999</v>
      </c>
      <c r="AX44" s="100">
        <v>13</v>
      </c>
      <c r="AY44" s="100">
        <v>13291.199999999999</v>
      </c>
      <c r="AZ44" s="100">
        <v>10</v>
      </c>
      <c r="BA44" s="100">
        <v>10224</v>
      </c>
      <c r="BB44" s="100">
        <v>14</v>
      </c>
      <c r="BC44" s="100">
        <v>14313.6</v>
      </c>
      <c r="BD44" s="100">
        <v>12</v>
      </c>
      <c r="BE44" s="100">
        <v>12268.8</v>
      </c>
      <c r="BF44" s="100">
        <v>9</v>
      </c>
      <c r="BG44" s="100">
        <v>9201.6</v>
      </c>
      <c r="BH44" s="100">
        <v>1.7714401397777746</v>
      </c>
      <c r="BI44" s="100">
        <v>1811.1203989087967</v>
      </c>
      <c r="BJ44" s="100">
        <v>11</v>
      </c>
      <c r="BK44" s="100">
        <v>11246.4</v>
      </c>
      <c r="BL44" s="100">
        <v>14</v>
      </c>
      <c r="BM44" s="100">
        <v>14313.6</v>
      </c>
      <c r="BN44" s="100">
        <v>8</v>
      </c>
      <c r="BO44" s="100">
        <v>8179.2</v>
      </c>
      <c r="BP44" s="100">
        <v>7</v>
      </c>
      <c r="BQ44" s="100">
        <v>7156.8</v>
      </c>
      <c r="BR44" s="100">
        <v>8</v>
      </c>
      <c r="BS44" s="100">
        <v>8179.2</v>
      </c>
      <c r="BT44" s="100">
        <v>5.6760055316790794</v>
      </c>
      <c r="BU44" s="100">
        <v>5803.148055588691</v>
      </c>
      <c r="BV44" s="100">
        <v>6.6648091400411946</v>
      </c>
      <c r="BW44" s="100">
        <v>6814.1008647781173</v>
      </c>
      <c r="BX44" s="100">
        <v>8.8403309008188344</v>
      </c>
      <c r="BY44" s="100">
        <v>9038.3543129971767</v>
      </c>
      <c r="BZ44" s="100">
        <v>9.6096634950356634</v>
      </c>
      <c r="CA44" s="100">
        <v>9824.9199573244623</v>
      </c>
      <c r="CB44" s="100">
        <v>10</v>
      </c>
      <c r="CC44" s="100">
        <v>10224</v>
      </c>
      <c r="CD44" s="100">
        <v>7.4048950370262938</v>
      </c>
      <c r="CE44" s="100">
        <v>7570.7646858556827</v>
      </c>
      <c r="CF44" s="100">
        <v>10</v>
      </c>
      <c r="CG44" s="100">
        <v>10224</v>
      </c>
      <c r="CH44" s="100">
        <v>12.450614588175096</v>
      </c>
      <c r="CI44" s="100">
        <v>12729.508354950218</v>
      </c>
      <c r="CJ44" s="100">
        <v>11</v>
      </c>
      <c r="CK44" s="100">
        <v>11246.4</v>
      </c>
      <c r="CL44" s="100">
        <v>11.587201949158452</v>
      </c>
      <c r="CM44" s="100">
        <v>11846.755272819601</v>
      </c>
      <c r="CN44" s="100">
        <v>15</v>
      </c>
      <c r="CO44" s="100">
        <v>15336</v>
      </c>
      <c r="CP44" s="100">
        <v>11</v>
      </c>
      <c r="CQ44" s="100">
        <v>11246.4</v>
      </c>
      <c r="CR44" s="100">
        <v>13</v>
      </c>
      <c r="CS44" s="100">
        <v>13291.199999999999</v>
      </c>
      <c r="CT44" s="100">
        <v>4.6105098863165344</v>
      </c>
      <c r="CU44" s="100">
        <v>4713.7853077700247</v>
      </c>
    </row>
    <row r="45" spans="2:99">
      <c r="C45" s="99" t="s">
        <v>211</v>
      </c>
      <c r="D45" s="100">
        <v>11</v>
      </c>
      <c r="E45" s="100">
        <v>13741.2</v>
      </c>
      <c r="F45" s="100">
        <v>12</v>
      </c>
      <c r="G45" s="100">
        <v>14990.400000000001</v>
      </c>
      <c r="H45" s="100">
        <v>12</v>
      </c>
      <c r="I45" s="100">
        <v>14990.400000000001</v>
      </c>
      <c r="J45" s="100">
        <v>8</v>
      </c>
      <c r="K45" s="100">
        <v>9993.6</v>
      </c>
      <c r="L45" s="100">
        <v>10</v>
      </c>
      <c r="M45" s="100">
        <v>12492</v>
      </c>
      <c r="N45" s="100">
        <v>14</v>
      </c>
      <c r="O45" s="100">
        <v>17488.8</v>
      </c>
      <c r="P45" s="100">
        <v>13</v>
      </c>
      <c r="Q45" s="100">
        <v>16239.6</v>
      </c>
      <c r="R45" s="100">
        <v>9</v>
      </c>
      <c r="S45" s="100">
        <v>11242.800000000001</v>
      </c>
      <c r="T45" s="100">
        <v>8</v>
      </c>
      <c r="U45" s="100">
        <v>9993.6</v>
      </c>
      <c r="V45" s="100">
        <v>9</v>
      </c>
      <c r="W45" s="100">
        <v>11242.800000000001</v>
      </c>
      <c r="X45" s="100">
        <v>7.0637774324993723</v>
      </c>
      <c r="Y45" s="100">
        <v>8824.0707686782171</v>
      </c>
      <c r="Z45" s="100">
        <v>10</v>
      </c>
      <c r="AA45" s="100">
        <v>12492</v>
      </c>
      <c r="AB45" s="100">
        <v>5.0644534504762291</v>
      </c>
      <c r="AC45" s="100">
        <v>6326.5152503349054</v>
      </c>
      <c r="AD45" s="100">
        <v>10</v>
      </c>
      <c r="AE45" s="100">
        <v>12492</v>
      </c>
      <c r="AF45" s="100">
        <v>5.1966772830594303</v>
      </c>
      <c r="AG45" s="100">
        <v>6491.6892619978407</v>
      </c>
      <c r="AH45" s="100">
        <v>11</v>
      </c>
      <c r="AI45" s="100">
        <v>13741.2</v>
      </c>
      <c r="AJ45" s="100">
        <v>9</v>
      </c>
      <c r="AK45" s="100">
        <v>11242.800000000001</v>
      </c>
      <c r="AL45" s="100">
        <v>11</v>
      </c>
      <c r="AM45" s="100">
        <v>13741.2</v>
      </c>
      <c r="AN45" s="100">
        <v>14</v>
      </c>
      <c r="AO45" s="100">
        <v>17488.8</v>
      </c>
      <c r="AP45" s="100">
        <v>5.9270345256469259</v>
      </c>
      <c r="AQ45" s="100">
        <v>7404.0515294381403</v>
      </c>
      <c r="AR45" s="100">
        <v>5.5076185149102761</v>
      </c>
      <c r="AS45" s="100">
        <v>6880.1170488259168</v>
      </c>
      <c r="AT45" s="100">
        <v>3.287600111776821</v>
      </c>
      <c r="AU45" s="100">
        <v>4106.8700596316048</v>
      </c>
      <c r="AV45" s="100">
        <v>11</v>
      </c>
      <c r="AW45" s="100">
        <v>13741.2</v>
      </c>
      <c r="AX45" s="100">
        <v>13</v>
      </c>
      <c r="AY45" s="100">
        <v>16239.6</v>
      </c>
      <c r="AZ45" s="100">
        <v>10</v>
      </c>
      <c r="BA45" s="100">
        <v>12492</v>
      </c>
      <c r="BB45" s="100">
        <v>15</v>
      </c>
      <c r="BC45" s="100">
        <v>18738</v>
      </c>
      <c r="BD45" s="100">
        <v>12</v>
      </c>
      <c r="BE45" s="100">
        <v>14990.400000000001</v>
      </c>
      <c r="BF45" s="100">
        <v>9</v>
      </c>
      <c r="BG45" s="100">
        <v>11242.800000000001</v>
      </c>
      <c r="BH45" s="100">
        <v>1.7714401397777746</v>
      </c>
      <c r="BI45" s="100">
        <v>2212.883022610396</v>
      </c>
      <c r="BJ45" s="100">
        <v>10</v>
      </c>
      <c r="BK45" s="100">
        <v>12492</v>
      </c>
      <c r="BL45" s="100">
        <v>14</v>
      </c>
      <c r="BM45" s="100">
        <v>17488.8</v>
      </c>
      <c r="BN45" s="100">
        <v>8</v>
      </c>
      <c r="BO45" s="100">
        <v>9993.6</v>
      </c>
      <c r="BP45" s="100">
        <v>8</v>
      </c>
      <c r="BQ45" s="100">
        <v>9993.6</v>
      </c>
      <c r="BR45" s="100">
        <v>8</v>
      </c>
      <c r="BS45" s="100">
        <v>9993.6</v>
      </c>
      <c r="BT45" s="100">
        <v>5.6760055316790794</v>
      </c>
      <c r="BU45" s="100">
        <v>7090.4661101735064</v>
      </c>
      <c r="BV45" s="100">
        <v>6.6648091400411946</v>
      </c>
      <c r="BW45" s="100">
        <v>8325.67957773946</v>
      </c>
      <c r="BX45" s="100">
        <v>8.8403309008188344</v>
      </c>
      <c r="BY45" s="100">
        <v>11043.341361302888</v>
      </c>
      <c r="BZ45" s="100">
        <v>10.57062984453923</v>
      </c>
      <c r="CA45" s="100">
        <v>13204.830801798407</v>
      </c>
      <c r="CB45" s="100">
        <v>11</v>
      </c>
      <c r="CC45" s="100">
        <v>13741.2</v>
      </c>
      <c r="CD45" s="100">
        <v>9.2561187962828662</v>
      </c>
      <c r="CE45" s="100">
        <v>11562.743600316557</v>
      </c>
      <c r="CF45" s="100">
        <v>10</v>
      </c>
      <c r="CG45" s="100">
        <v>12492</v>
      </c>
      <c r="CH45" s="100">
        <v>12.450614588175096</v>
      </c>
      <c r="CI45" s="100">
        <v>15553.30774354833</v>
      </c>
      <c r="CJ45" s="100">
        <v>10</v>
      </c>
      <c r="CK45" s="100">
        <v>12492</v>
      </c>
      <c r="CL45" s="100">
        <v>11.587201949158452</v>
      </c>
      <c r="CM45" s="100">
        <v>14474.732674888739</v>
      </c>
      <c r="CN45" s="100">
        <v>15</v>
      </c>
      <c r="CO45" s="100">
        <v>18738</v>
      </c>
      <c r="CP45" s="100">
        <v>10</v>
      </c>
      <c r="CQ45" s="100">
        <v>12492</v>
      </c>
      <c r="CR45" s="100">
        <v>13</v>
      </c>
      <c r="CS45" s="100">
        <v>16239.6</v>
      </c>
      <c r="CT45" s="100">
        <v>5.0296471487089471</v>
      </c>
      <c r="CU45" s="100">
        <v>6283.035218167217</v>
      </c>
    </row>
    <row r="46" spans="2:99">
      <c r="C46" s="99" t="s">
        <v>212</v>
      </c>
      <c r="D46" s="100">
        <v>11</v>
      </c>
      <c r="E46" s="100">
        <v>13332</v>
      </c>
      <c r="F46" s="100">
        <v>13</v>
      </c>
      <c r="G46" s="100">
        <v>15756</v>
      </c>
      <c r="H46" s="100">
        <v>11</v>
      </c>
      <c r="I46" s="100">
        <v>13332</v>
      </c>
      <c r="J46" s="100">
        <v>8</v>
      </c>
      <c r="K46" s="100">
        <v>9696</v>
      </c>
      <c r="L46" s="100">
        <v>10</v>
      </c>
      <c r="M46" s="100">
        <v>12120</v>
      </c>
      <c r="N46" s="100">
        <v>14</v>
      </c>
      <c r="O46" s="100">
        <v>16968</v>
      </c>
      <c r="P46" s="100">
        <v>15</v>
      </c>
      <c r="Q46" s="100">
        <v>18180</v>
      </c>
      <c r="R46" s="100">
        <v>9</v>
      </c>
      <c r="S46" s="100">
        <v>10908</v>
      </c>
      <c r="T46" s="100">
        <v>7</v>
      </c>
      <c r="U46" s="100">
        <v>8484</v>
      </c>
      <c r="V46" s="100">
        <v>10</v>
      </c>
      <c r="W46" s="100">
        <v>12120</v>
      </c>
      <c r="X46" s="100">
        <v>7.7059390172720441</v>
      </c>
      <c r="Y46" s="100">
        <v>9339.598088933717</v>
      </c>
      <c r="Z46" s="100">
        <v>9</v>
      </c>
      <c r="AA46" s="100">
        <v>10908</v>
      </c>
      <c r="AB46" s="100">
        <v>5.4864912380159154</v>
      </c>
      <c r="AC46" s="100">
        <v>6649.6273804752891</v>
      </c>
      <c r="AD46" s="100">
        <v>11</v>
      </c>
      <c r="AE46" s="100">
        <v>13332</v>
      </c>
      <c r="AF46" s="100">
        <v>5.1966772830594303</v>
      </c>
      <c r="AG46" s="100">
        <v>6298.3728670680293</v>
      </c>
      <c r="AH46" s="100">
        <v>11</v>
      </c>
      <c r="AI46" s="100">
        <v>13332</v>
      </c>
      <c r="AJ46" s="100">
        <v>9</v>
      </c>
      <c r="AK46" s="100">
        <v>10908</v>
      </c>
      <c r="AL46" s="100">
        <v>10</v>
      </c>
      <c r="AM46" s="100">
        <v>12120</v>
      </c>
      <c r="AN46" s="100">
        <v>14</v>
      </c>
      <c r="AO46" s="100">
        <v>16968</v>
      </c>
      <c r="AP46" s="100">
        <v>7.6204729615460485</v>
      </c>
      <c r="AQ46" s="100">
        <v>9236.0132293938113</v>
      </c>
      <c r="AR46" s="100">
        <v>6.0583803664013045</v>
      </c>
      <c r="AS46" s="100">
        <v>7342.7570040783812</v>
      </c>
      <c r="AT46" s="100">
        <v>3.0136334357954193</v>
      </c>
      <c r="AU46" s="100">
        <v>3652.5237241840482</v>
      </c>
      <c r="AV46" s="100">
        <v>12</v>
      </c>
      <c r="AW46" s="100">
        <v>14544</v>
      </c>
      <c r="AX46" s="100">
        <v>13</v>
      </c>
      <c r="AY46" s="100">
        <v>15756</v>
      </c>
      <c r="AZ46" s="100">
        <v>9</v>
      </c>
      <c r="BA46" s="100">
        <v>10908</v>
      </c>
      <c r="BB46" s="100">
        <v>13</v>
      </c>
      <c r="BC46" s="100">
        <v>15756</v>
      </c>
      <c r="BD46" s="100">
        <v>12</v>
      </c>
      <c r="BE46" s="100">
        <v>14544</v>
      </c>
      <c r="BF46" s="100">
        <v>9</v>
      </c>
      <c r="BG46" s="100">
        <v>10908</v>
      </c>
      <c r="BH46" s="100">
        <v>1.7714401397777746</v>
      </c>
      <c r="BI46" s="100">
        <v>2146.985449410663</v>
      </c>
      <c r="BJ46" s="100">
        <v>10</v>
      </c>
      <c r="BK46" s="100">
        <v>12120</v>
      </c>
      <c r="BL46" s="100">
        <v>13</v>
      </c>
      <c r="BM46" s="100">
        <v>15756</v>
      </c>
      <c r="BN46" s="100">
        <v>9</v>
      </c>
      <c r="BO46" s="100">
        <v>10908</v>
      </c>
      <c r="BP46" s="100">
        <v>8</v>
      </c>
      <c r="BQ46" s="100">
        <v>9696</v>
      </c>
      <c r="BR46" s="100">
        <v>8</v>
      </c>
      <c r="BS46" s="100">
        <v>9696</v>
      </c>
      <c r="BT46" s="100">
        <v>5.160005028799163</v>
      </c>
      <c r="BU46" s="100">
        <v>6253.9260949045856</v>
      </c>
      <c r="BV46" s="100">
        <v>6.6648091400411946</v>
      </c>
      <c r="BW46" s="100">
        <v>8077.7486777299282</v>
      </c>
      <c r="BX46" s="100">
        <v>8.8403309008188344</v>
      </c>
      <c r="BY46" s="100">
        <v>10714.481051792427</v>
      </c>
      <c r="BZ46" s="100">
        <v>9.6096634950356634</v>
      </c>
      <c r="CA46" s="100">
        <v>11646.912155983224</v>
      </c>
      <c r="CB46" s="100">
        <v>11</v>
      </c>
      <c r="CC46" s="100">
        <v>13332</v>
      </c>
      <c r="CD46" s="100">
        <v>8.3305069166545813</v>
      </c>
      <c r="CE46" s="100">
        <v>10096.574382985353</v>
      </c>
      <c r="CF46" s="100">
        <v>11</v>
      </c>
      <c r="CG46" s="100">
        <v>13332</v>
      </c>
      <c r="CH46" s="100">
        <v>12.450614588175096</v>
      </c>
      <c r="CI46" s="100">
        <v>15090.144880868216</v>
      </c>
      <c r="CJ46" s="100">
        <v>10</v>
      </c>
      <c r="CK46" s="100">
        <v>12120</v>
      </c>
      <c r="CL46" s="100">
        <v>10.621601786728579</v>
      </c>
      <c r="CM46" s="100">
        <v>12873.381365515039</v>
      </c>
      <c r="CN46" s="100">
        <v>13</v>
      </c>
      <c r="CO46" s="100">
        <v>15756</v>
      </c>
      <c r="CP46" s="100">
        <v>11</v>
      </c>
      <c r="CQ46" s="100">
        <v>13332</v>
      </c>
      <c r="CR46" s="100">
        <v>13</v>
      </c>
      <c r="CS46" s="100">
        <v>15756</v>
      </c>
      <c r="CT46" s="100">
        <v>4.6105098863165344</v>
      </c>
      <c r="CU46" s="100">
        <v>5587.9379822156397</v>
      </c>
    </row>
    <row r="47" spans="2:99">
      <c r="C47" s="99" t="s">
        <v>213</v>
      </c>
      <c r="D47" s="100">
        <v>12</v>
      </c>
      <c r="E47" s="100">
        <v>18331.199999999997</v>
      </c>
      <c r="F47" s="100">
        <v>11</v>
      </c>
      <c r="G47" s="100">
        <v>16803.599999999999</v>
      </c>
      <c r="H47" s="100">
        <v>10</v>
      </c>
      <c r="I47" s="100">
        <v>15276</v>
      </c>
      <c r="J47" s="100">
        <v>8</v>
      </c>
      <c r="K47" s="100">
        <v>12220.8</v>
      </c>
      <c r="L47" s="100">
        <v>11</v>
      </c>
      <c r="M47" s="100">
        <v>16803.599999999999</v>
      </c>
      <c r="N47" s="100">
        <v>15</v>
      </c>
      <c r="O47" s="100">
        <v>22914</v>
      </c>
      <c r="P47" s="100">
        <v>13</v>
      </c>
      <c r="Q47" s="100">
        <v>19858.8</v>
      </c>
      <c r="R47" s="100">
        <v>10</v>
      </c>
      <c r="S47" s="100">
        <v>15276</v>
      </c>
      <c r="T47" s="100">
        <v>7</v>
      </c>
      <c r="U47" s="100">
        <v>10693.199999999999</v>
      </c>
      <c r="V47" s="100">
        <v>8</v>
      </c>
      <c r="W47" s="100">
        <v>12220.8</v>
      </c>
      <c r="X47" s="100">
        <v>8.3481006020447133</v>
      </c>
      <c r="Y47" s="100">
        <v>12752.558479683503</v>
      </c>
      <c r="Z47" s="100">
        <v>9</v>
      </c>
      <c r="AA47" s="100">
        <v>13748.4</v>
      </c>
      <c r="AB47" s="100">
        <v>4.6424156629365436</v>
      </c>
      <c r="AC47" s="100">
        <v>7091.7541667018641</v>
      </c>
      <c r="AD47" s="100">
        <v>11</v>
      </c>
      <c r="AE47" s="100">
        <v>16803.599999999999</v>
      </c>
      <c r="AF47" s="100">
        <v>5.1966772830594303</v>
      </c>
      <c r="AG47" s="100">
        <v>7938.4442176015855</v>
      </c>
      <c r="AH47" s="100">
        <v>9</v>
      </c>
      <c r="AI47" s="100">
        <v>13748.4</v>
      </c>
      <c r="AJ47" s="100">
        <v>8</v>
      </c>
      <c r="AK47" s="100">
        <v>12220.8</v>
      </c>
      <c r="AL47" s="100">
        <v>10</v>
      </c>
      <c r="AM47" s="100">
        <v>15276</v>
      </c>
      <c r="AN47" s="100">
        <v>12</v>
      </c>
      <c r="AO47" s="100">
        <v>18331.199999999997</v>
      </c>
      <c r="AP47" s="100">
        <v>6.7737537435964885</v>
      </c>
      <c r="AQ47" s="100">
        <v>10347.586218717996</v>
      </c>
      <c r="AR47" s="100">
        <v>6.0583803664013045</v>
      </c>
      <c r="AS47" s="100">
        <v>9254.781847714632</v>
      </c>
      <c r="AT47" s="100">
        <v>3.287600111776821</v>
      </c>
      <c r="AU47" s="100">
        <v>5022.1379307502712</v>
      </c>
      <c r="AV47" s="100">
        <v>12</v>
      </c>
      <c r="AW47" s="100">
        <v>18331.199999999997</v>
      </c>
      <c r="AX47" s="100">
        <v>11</v>
      </c>
      <c r="AY47" s="100">
        <v>16803.599999999999</v>
      </c>
      <c r="AZ47" s="100">
        <v>10</v>
      </c>
      <c r="BA47" s="100">
        <v>15276</v>
      </c>
      <c r="BB47" s="100">
        <v>14</v>
      </c>
      <c r="BC47" s="100">
        <v>21386.399999999998</v>
      </c>
      <c r="BD47" s="100">
        <v>12</v>
      </c>
      <c r="BE47" s="100">
        <v>18331.199999999997</v>
      </c>
      <c r="BF47" s="100">
        <v>9</v>
      </c>
      <c r="BG47" s="100">
        <v>13748.4</v>
      </c>
      <c r="BH47" s="100">
        <v>1.7714401397777746</v>
      </c>
      <c r="BI47" s="100">
        <v>2706.0519575245285</v>
      </c>
      <c r="BJ47" s="100">
        <v>10</v>
      </c>
      <c r="BK47" s="100">
        <v>15276</v>
      </c>
      <c r="BL47" s="100">
        <v>12</v>
      </c>
      <c r="BM47" s="100">
        <v>18331.199999999997</v>
      </c>
      <c r="BN47" s="100">
        <v>9</v>
      </c>
      <c r="BO47" s="100">
        <v>13748.4</v>
      </c>
      <c r="BP47" s="100">
        <v>8</v>
      </c>
      <c r="BQ47" s="100">
        <v>12220.8</v>
      </c>
      <c r="BR47" s="100">
        <v>8</v>
      </c>
      <c r="BS47" s="100">
        <v>12220.8</v>
      </c>
      <c r="BT47" s="100">
        <v>5.6760055316790794</v>
      </c>
      <c r="BU47" s="100">
        <v>8670.6660501929618</v>
      </c>
      <c r="BV47" s="100">
        <v>6.6648091400411946</v>
      </c>
      <c r="BW47" s="100">
        <v>10181.162442326928</v>
      </c>
      <c r="BX47" s="100">
        <v>8.8403309008188344</v>
      </c>
      <c r="BY47" s="100">
        <v>13504.489484090851</v>
      </c>
      <c r="BZ47" s="100">
        <v>9.6096634950356634</v>
      </c>
      <c r="CA47" s="100">
        <v>14679.721955016479</v>
      </c>
      <c r="CB47" s="100">
        <v>11</v>
      </c>
      <c r="CC47" s="100">
        <v>16803.599999999999</v>
      </c>
      <c r="CD47" s="100">
        <v>7.4048950370262938</v>
      </c>
      <c r="CE47" s="100">
        <v>11311.717658561365</v>
      </c>
      <c r="CF47" s="100">
        <v>11</v>
      </c>
      <c r="CG47" s="100">
        <v>16803.599999999999</v>
      </c>
      <c r="CH47" s="100">
        <v>11.492875004469319</v>
      </c>
      <c r="CI47" s="100">
        <v>17556.515856827329</v>
      </c>
      <c r="CJ47" s="100">
        <v>10</v>
      </c>
      <c r="CK47" s="100">
        <v>15276</v>
      </c>
      <c r="CL47" s="100">
        <v>11.587201949158452</v>
      </c>
      <c r="CM47" s="100">
        <v>17700.609697534448</v>
      </c>
      <c r="CN47" s="100">
        <v>13</v>
      </c>
      <c r="CO47" s="100">
        <v>19858.8</v>
      </c>
      <c r="CP47" s="100">
        <v>10</v>
      </c>
      <c r="CQ47" s="100">
        <v>15276</v>
      </c>
      <c r="CR47" s="100">
        <v>14</v>
      </c>
      <c r="CS47" s="100">
        <v>21386.399999999998</v>
      </c>
      <c r="CT47" s="100">
        <v>4.6105098863165344</v>
      </c>
      <c r="CU47" s="100">
        <v>7043.0149023371378</v>
      </c>
    </row>
    <row r="48" spans="2:99">
      <c r="C48" s="99" t="s">
        <v>214</v>
      </c>
      <c r="D48" s="100">
        <v>11</v>
      </c>
      <c r="E48" s="100">
        <v>9543.6</v>
      </c>
      <c r="F48" s="100">
        <v>13</v>
      </c>
      <c r="G48" s="100">
        <v>11278.800000000001</v>
      </c>
      <c r="H48" s="100">
        <v>10</v>
      </c>
      <c r="I48" s="100">
        <v>8676</v>
      </c>
      <c r="J48" s="100">
        <v>8</v>
      </c>
      <c r="K48" s="100">
        <v>6940.8</v>
      </c>
      <c r="L48" s="100">
        <v>10</v>
      </c>
      <c r="M48" s="100">
        <v>8676</v>
      </c>
      <c r="N48" s="100">
        <v>15</v>
      </c>
      <c r="O48" s="100">
        <v>13014</v>
      </c>
      <c r="P48" s="100">
        <v>15</v>
      </c>
      <c r="Q48" s="100">
        <v>13014</v>
      </c>
      <c r="R48" s="100">
        <v>9</v>
      </c>
      <c r="S48" s="100">
        <v>7808.4000000000005</v>
      </c>
      <c r="T48" s="100">
        <v>8</v>
      </c>
      <c r="U48" s="100">
        <v>6940.8</v>
      </c>
      <c r="V48" s="100">
        <v>9</v>
      </c>
      <c r="W48" s="100">
        <v>7808.4000000000005</v>
      </c>
      <c r="X48" s="100">
        <v>8.3481006020447133</v>
      </c>
      <c r="Y48" s="100">
        <v>7242.8120823339932</v>
      </c>
      <c r="Z48" s="100">
        <v>9</v>
      </c>
      <c r="AA48" s="100">
        <v>7808.4000000000005</v>
      </c>
      <c r="AB48" s="100">
        <v>5.9085290255556018</v>
      </c>
      <c r="AC48" s="100">
        <v>5126.23978257204</v>
      </c>
      <c r="AD48" s="100">
        <v>11</v>
      </c>
      <c r="AE48" s="100">
        <v>9543.6</v>
      </c>
      <c r="AF48" s="100">
        <v>5.669102490610288</v>
      </c>
      <c r="AG48" s="100">
        <v>4918.5133208534862</v>
      </c>
      <c r="AH48" s="100">
        <v>10</v>
      </c>
      <c r="AI48" s="100">
        <v>8676</v>
      </c>
      <c r="AJ48" s="100">
        <v>10</v>
      </c>
      <c r="AK48" s="100">
        <v>8676</v>
      </c>
      <c r="AL48" s="100">
        <v>11</v>
      </c>
      <c r="AM48" s="100">
        <v>9543.6</v>
      </c>
      <c r="AN48" s="100">
        <v>13</v>
      </c>
      <c r="AO48" s="100">
        <v>11278.800000000001</v>
      </c>
      <c r="AP48" s="100">
        <v>7.6204729615460485</v>
      </c>
      <c r="AQ48" s="100">
        <v>6611.5223414373522</v>
      </c>
      <c r="AR48" s="100">
        <v>6.0583803664013045</v>
      </c>
      <c r="AS48" s="100">
        <v>5256.250805889772</v>
      </c>
      <c r="AT48" s="100">
        <v>3.0136334357954193</v>
      </c>
      <c r="AU48" s="100">
        <v>2614.6283688961057</v>
      </c>
      <c r="AV48" s="100">
        <v>13</v>
      </c>
      <c r="AW48" s="100">
        <v>11278.800000000001</v>
      </c>
      <c r="AX48" s="100">
        <v>13</v>
      </c>
      <c r="AY48" s="100">
        <v>11278.800000000001</v>
      </c>
      <c r="AZ48" s="100">
        <v>10</v>
      </c>
      <c r="BA48" s="100">
        <v>8676</v>
      </c>
      <c r="BB48" s="100">
        <v>15</v>
      </c>
      <c r="BC48" s="100">
        <v>13014</v>
      </c>
      <c r="BD48" s="100">
        <v>12</v>
      </c>
      <c r="BE48" s="100">
        <v>10411.200000000001</v>
      </c>
      <c r="BF48" s="100">
        <v>9</v>
      </c>
      <c r="BG48" s="100">
        <v>7808.4000000000005</v>
      </c>
      <c r="BH48" s="100">
        <v>1.7714401397777746</v>
      </c>
      <c r="BI48" s="100">
        <v>1536.9014652711974</v>
      </c>
      <c r="BJ48" s="100">
        <v>9</v>
      </c>
      <c r="BK48" s="100">
        <v>7808.4000000000005</v>
      </c>
      <c r="BL48" s="100">
        <v>13</v>
      </c>
      <c r="BM48" s="100">
        <v>11278.800000000001</v>
      </c>
      <c r="BN48" s="100">
        <v>9</v>
      </c>
      <c r="BO48" s="100">
        <v>7808.4000000000005</v>
      </c>
      <c r="BP48" s="100">
        <v>8</v>
      </c>
      <c r="BQ48" s="100">
        <v>6940.8</v>
      </c>
      <c r="BR48" s="100">
        <v>8</v>
      </c>
      <c r="BS48" s="100">
        <v>6940.8</v>
      </c>
      <c r="BT48" s="100">
        <v>5.6760055316790794</v>
      </c>
      <c r="BU48" s="100">
        <v>4924.5023992847691</v>
      </c>
      <c r="BV48" s="100">
        <v>7.4979102825463446</v>
      </c>
      <c r="BW48" s="100">
        <v>6505.1869611372085</v>
      </c>
      <c r="BX48" s="100">
        <v>8.8403309008188344</v>
      </c>
      <c r="BY48" s="100">
        <v>7669.8710895504209</v>
      </c>
      <c r="BZ48" s="100">
        <v>9.6096634950356634</v>
      </c>
      <c r="CA48" s="100">
        <v>8337.3440482929418</v>
      </c>
      <c r="CB48" s="100">
        <v>10</v>
      </c>
      <c r="CC48" s="100">
        <v>8676</v>
      </c>
      <c r="CD48" s="100">
        <v>8.3305069166545813</v>
      </c>
      <c r="CE48" s="100">
        <v>7227.5478008895152</v>
      </c>
      <c r="CF48" s="100">
        <v>11</v>
      </c>
      <c r="CG48" s="100">
        <v>9543.6</v>
      </c>
      <c r="CH48" s="100">
        <v>11.492875004469319</v>
      </c>
      <c r="CI48" s="100">
        <v>9971.2183538775807</v>
      </c>
      <c r="CJ48" s="100">
        <v>12</v>
      </c>
      <c r="CK48" s="100">
        <v>10411.200000000001</v>
      </c>
      <c r="CL48" s="100">
        <v>11.587201949158452</v>
      </c>
      <c r="CM48" s="100">
        <v>10053.056411089872</v>
      </c>
      <c r="CN48" s="100">
        <v>13</v>
      </c>
      <c r="CO48" s="100">
        <v>11278.800000000001</v>
      </c>
      <c r="CP48" s="100">
        <v>10</v>
      </c>
      <c r="CQ48" s="100">
        <v>8676</v>
      </c>
      <c r="CR48" s="100">
        <v>13</v>
      </c>
      <c r="CS48" s="100">
        <v>11278.800000000001</v>
      </c>
      <c r="CT48" s="100">
        <v>4.6105098863165344</v>
      </c>
      <c r="CU48" s="100">
        <v>4000.0783773682251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5.3306021292061212</v>
      </c>
      <c r="G49" s="100">
        <v>5251.7092176938704</v>
      </c>
      <c r="H49" s="100">
        <v>10</v>
      </c>
      <c r="I49" s="100">
        <v>9852</v>
      </c>
      <c r="J49" s="100">
        <v>4.8170991299738732</v>
      </c>
      <c r="K49" s="100">
        <v>4745.8060628502599</v>
      </c>
      <c r="L49" s="100">
        <v>2.083771321292315</v>
      </c>
      <c r="M49" s="100">
        <v>2052.9315057371887</v>
      </c>
      <c r="N49" s="100">
        <v>8</v>
      </c>
      <c r="O49" s="100">
        <v>7881.5999999999995</v>
      </c>
      <c r="P49" s="100">
        <v>6</v>
      </c>
      <c r="Q49" s="100">
        <v>5911.2</v>
      </c>
      <c r="R49" s="100">
        <v>10</v>
      </c>
      <c r="S49" s="100">
        <v>9852</v>
      </c>
      <c r="T49" s="100">
        <v>10</v>
      </c>
      <c r="U49" s="100">
        <v>9852</v>
      </c>
      <c r="V49" s="100">
        <v>7.5356521914143073</v>
      </c>
      <c r="W49" s="100">
        <v>7424.1245389813748</v>
      </c>
      <c r="X49" s="100">
        <v>10</v>
      </c>
      <c r="Y49" s="100">
        <v>9852</v>
      </c>
      <c r="Z49" s="100">
        <v>1.4414235099211055</v>
      </c>
      <c r="AA49" s="100">
        <v>1420.0904419742731</v>
      </c>
      <c r="AB49" s="100">
        <v>6.4872310602778818</v>
      </c>
      <c r="AC49" s="100">
        <v>6391.2200405857684</v>
      </c>
      <c r="AD49" s="100">
        <v>7</v>
      </c>
      <c r="AE49" s="100">
        <v>6896.4</v>
      </c>
      <c r="AF49" s="100">
        <v>9</v>
      </c>
      <c r="AG49" s="100">
        <v>8866.7999999999993</v>
      </c>
      <c r="AH49" s="100">
        <v>0.10925530416280207</v>
      </c>
      <c r="AI49" s="100">
        <v>107.6383256611926</v>
      </c>
      <c r="AJ49" s="100">
        <v>6</v>
      </c>
      <c r="AK49" s="100">
        <v>5911.2</v>
      </c>
      <c r="AL49" s="100">
        <v>6</v>
      </c>
      <c r="AM49" s="100">
        <v>5911.2</v>
      </c>
      <c r="AN49" s="100">
        <v>7</v>
      </c>
      <c r="AO49" s="100">
        <v>6896.4</v>
      </c>
      <c r="AP49" s="100">
        <v>7</v>
      </c>
      <c r="AQ49" s="100">
        <v>6896.4</v>
      </c>
      <c r="AR49" s="100">
        <v>8</v>
      </c>
      <c r="AS49" s="100">
        <v>7881.5999999999995</v>
      </c>
      <c r="AT49" s="100">
        <v>1.271465787257273</v>
      </c>
      <c r="AU49" s="100">
        <v>1252.6480936058654</v>
      </c>
      <c r="AV49" s="100">
        <v>5</v>
      </c>
      <c r="AW49" s="100">
        <v>4926</v>
      </c>
      <c r="AX49" s="100">
        <v>9</v>
      </c>
      <c r="AY49" s="100">
        <v>8866.7999999999993</v>
      </c>
      <c r="AZ49" s="100">
        <v>3.3050566334777485</v>
      </c>
      <c r="BA49" s="100">
        <v>3256.1417953022774</v>
      </c>
      <c r="BB49" s="100">
        <v>4.587777735144817</v>
      </c>
      <c r="BC49" s="100">
        <v>4519.8786246646732</v>
      </c>
      <c r="BD49" s="100">
        <v>5</v>
      </c>
      <c r="BE49" s="100">
        <v>4926</v>
      </c>
      <c r="BF49" s="100">
        <v>3.2864291860929886</v>
      </c>
      <c r="BG49" s="100">
        <v>3237.7900341388122</v>
      </c>
      <c r="BH49" s="100">
        <v>6</v>
      </c>
      <c r="BI49" s="100">
        <v>5911.2</v>
      </c>
      <c r="BJ49" s="100">
        <v>8</v>
      </c>
      <c r="BK49" s="100">
        <v>7881.5999999999995</v>
      </c>
      <c r="BL49" s="100">
        <v>10</v>
      </c>
      <c r="BM49" s="100">
        <v>9852</v>
      </c>
      <c r="BN49" s="100">
        <v>7.8589723924564776</v>
      </c>
      <c r="BO49" s="100">
        <v>7742.6596010481207</v>
      </c>
      <c r="BP49" s="100">
        <v>9</v>
      </c>
      <c r="BQ49" s="100">
        <v>8866.7999999999993</v>
      </c>
      <c r="BR49" s="100">
        <v>9.9105308516234043</v>
      </c>
      <c r="BS49" s="100">
        <v>9763.8549950193774</v>
      </c>
      <c r="BT49" s="100">
        <v>9.3419298237408146</v>
      </c>
      <c r="BU49" s="100">
        <v>9203.6692623494491</v>
      </c>
      <c r="BV49" s="100">
        <v>7</v>
      </c>
      <c r="BW49" s="100">
        <v>6896.4</v>
      </c>
      <c r="BX49" s="100">
        <v>9.9310344827585979</v>
      </c>
      <c r="BY49" s="100">
        <v>9784.0551724137695</v>
      </c>
      <c r="BZ49" s="100">
        <v>3.4087530519348066</v>
      </c>
      <c r="CA49" s="100">
        <v>3358.3035067661713</v>
      </c>
      <c r="CB49" s="100">
        <v>8</v>
      </c>
      <c r="CC49" s="100">
        <v>7881.5999999999995</v>
      </c>
      <c r="CD49" s="100">
        <v>12</v>
      </c>
      <c r="CE49" s="100">
        <v>11822.4</v>
      </c>
      <c r="CF49" s="100">
        <v>8</v>
      </c>
      <c r="CG49" s="100">
        <v>7881.5999999999995</v>
      </c>
      <c r="CH49" s="100">
        <v>9</v>
      </c>
      <c r="CI49" s="100">
        <v>8866.7999999999993</v>
      </c>
      <c r="CJ49" s="100">
        <v>9</v>
      </c>
      <c r="CK49" s="100">
        <v>8866.7999999999993</v>
      </c>
      <c r="CL49" s="100">
        <v>7</v>
      </c>
      <c r="CM49" s="100">
        <v>6896.4</v>
      </c>
      <c r="CN49" s="100">
        <v>3.8860614516558143</v>
      </c>
      <c r="CO49" s="100">
        <v>3828.5477421713081</v>
      </c>
      <c r="CP49" s="100">
        <v>6.9902912621359139</v>
      </c>
      <c r="CQ49" s="100">
        <v>6886.8349514563015</v>
      </c>
      <c r="CR49" s="100">
        <v>11</v>
      </c>
      <c r="CS49" s="100">
        <v>10837.199999999999</v>
      </c>
      <c r="CT49" s="100">
        <v>7</v>
      </c>
      <c r="CU49" s="100">
        <v>6896.4</v>
      </c>
    </row>
    <row r="50" spans="2:99">
      <c r="C50" s="99" t="s">
        <v>216</v>
      </c>
      <c r="D50" s="100">
        <v>9</v>
      </c>
      <c r="E50" s="100">
        <v>2538</v>
      </c>
      <c r="F50" s="100">
        <v>10</v>
      </c>
      <c r="G50" s="100">
        <v>2820</v>
      </c>
      <c r="H50" s="100">
        <v>10</v>
      </c>
      <c r="I50" s="100">
        <v>2820</v>
      </c>
      <c r="J50" s="100">
        <v>7</v>
      </c>
      <c r="K50" s="100">
        <v>1974</v>
      </c>
      <c r="L50" s="100">
        <v>9</v>
      </c>
      <c r="M50" s="100">
        <v>2538</v>
      </c>
      <c r="N50" s="100">
        <v>8</v>
      </c>
      <c r="O50" s="100">
        <v>2256</v>
      </c>
      <c r="P50" s="100">
        <v>7</v>
      </c>
      <c r="Q50" s="100">
        <v>1974</v>
      </c>
      <c r="R50" s="100">
        <v>10</v>
      </c>
      <c r="S50" s="100">
        <v>2820</v>
      </c>
      <c r="T50" s="100">
        <v>9</v>
      </c>
      <c r="U50" s="100">
        <v>2538</v>
      </c>
      <c r="V50" s="100">
        <v>10</v>
      </c>
      <c r="W50" s="100">
        <v>2820</v>
      </c>
      <c r="X50" s="100">
        <v>5.7794542629540322</v>
      </c>
      <c r="Y50" s="100">
        <v>1629.806102153037</v>
      </c>
      <c r="Z50" s="100">
        <v>10</v>
      </c>
      <c r="AA50" s="100">
        <v>2820</v>
      </c>
      <c r="AB50" s="100">
        <v>3.3763023003174863</v>
      </c>
      <c r="AC50" s="100">
        <v>952.11724868953115</v>
      </c>
      <c r="AD50" s="100">
        <v>7</v>
      </c>
      <c r="AE50" s="100">
        <v>1974</v>
      </c>
      <c r="AF50" s="100">
        <v>3.7794016604068585</v>
      </c>
      <c r="AG50" s="100">
        <v>1065.7912682347342</v>
      </c>
      <c r="AH50" s="100">
        <v>7</v>
      </c>
      <c r="AI50" s="100">
        <v>1974</v>
      </c>
      <c r="AJ50" s="100">
        <v>5</v>
      </c>
      <c r="AK50" s="100">
        <v>1410</v>
      </c>
      <c r="AL50" s="100">
        <v>6</v>
      </c>
      <c r="AM50" s="100">
        <v>1692</v>
      </c>
      <c r="AN50" s="100">
        <v>8</v>
      </c>
      <c r="AO50" s="100">
        <v>2256</v>
      </c>
      <c r="AP50" s="100">
        <v>6.7737537435964885</v>
      </c>
      <c r="AQ50" s="100">
        <v>1910.1985556942097</v>
      </c>
      <c r="AR50" s="100">
        <v>3.8553329604371935</v>
      </c>
      <c r="AS50" s="100">
        <v>1087.2038948432885</v>
      </c>
      <c r="AT50" s="100">
        <v>2.1917334078512143</v>
      </c>
      <c r="AU50" s="100">
        <v>618.06882101404244</v>
      </c>
      <c r="AV50" s="100">
        <v>6</v>
      </c>
      <c r="AW50" s="100">
        <v>1692</v>
      </c>
      <c r="AX50" s="100">
        <v>10</v>
      </c>
      <c r="AY50" s="100">
        <v>2820</v>
      </c>
      <c r="AZ50" s="100">
        <v>7</v>
      </c>
      <c r="BA50" s="100">
        <v>1974</v>
      </c>
      <c r="BB50" s="100">
        <v>10</v>
      </c>
      <c r="BC50" s="100">
        <v>2820</v>
      </c>
      <c r="BD50" s="100">
        <v>5</v>
      </c>
      <c r="BE50" s="100">
        <v>1410</v>
      </c>
      <c r="BF50" s="100">
        <v>7</v>
      </c>
      <c r="BG50" s="100">
        <v>1974</v>
      </c>
      <c r="BH50" s="100">
        <v>1.328580104833331</v>
      </c>
      <c r="BI50" s="100">
        <v>374.65958956299932</v>
      </c>
      <c r="BJ50" s="100">
        <v>9</v>
      </c>
      <c r="BK50" s="100">
        <v>2538</v>
      </c>
      <c r="BL50" s="100">
        <v>9</v>
      </c>
      <c r="BM50" s="100">
        <v>2538</v>
      </c>
      <c r="BN50" s="100">
        <v>8</v>
      </c>
      <c r="BO50" s="100">
        <v>2256</v>
      </c>
      <c r="BP50" s="100">
        <v>10</v>
      </c>
      <c r="BQ50" s="100">
        <v>2820</v>
      </c>
      <c r="BR50" s="100">
        <v>10</v>
      </c>
      <c r="BS50" s="100">
        <v>2820</v>
      </c>
      <c r="BT50" s="100">
        <v>5.160005028799163</v>
      </c>
      <c r="BU50" s="100">
        <v>1455.1214181213641</v>
      </c>
      <c r="BV50" s="100">
        <v>6.6648091400411946</v>
      </c>
      <c r="BW50" s="100">
        <v>1879.4761774916169</v>
      </c>
      <c r="BX50" s="100">
        <v>10.6083970809826</v>
      </c>
      <c r="BY50" s="100">
        <v>2991.5679768370933</v>
      </c>
      <c r="BZ50" s="100">
        <v>6.7267644465249647</v>
      </c>
      <c r="CA50" s="100">
        <v>1896.94757392004</v>
      </c>
      <c r="CB50" s="100">
        <v>8</v>
      </c>
      <c r="CC50" s="100">
        <v>2256</v>
      </c>
      <c r="CD50" s="100">
        <v>10.181730675911155</v>
      </c>
      <c r="CE50" s="100">
        <v>2871.2480506069455</v>
      </c>
      <c r="CF50" s="100">
        <v>8</v>
      </c>
      <c r="CG50" s="100">
        <v>2256</v>
      </c>
      <c r="CH50" s="100">
        <v>8.6196562533519892</v>
      </c>
      <c r="CI50" s="100">
        <v>2430.7430634452608</v>
      </c>
      <c r="CJ50" s="100">
        <v>9</v>
      </c>
      <c r="CK50" s="100">
        <v>2538</v>
      </c>
      <c r="CL50" s="100">
        <v>7.7248012994389681</v>
      </c>
      <c r="CM50" s="100">
        <v>2178.393966441789</v>
      </c>
      <c r="CN50" s="100">
        <v>8</v>
      </c>
      <c r="CO50" s="100">
        <v>2256</v>
      </c>
      <c r="CP50" s="100">
        <v>9</v>
      </c>
      <c r="CQ50" s="100">
        <v>2538</v>
      </c>
      <c r="CR50" s="100">
        <v>11</v>
      </c>
      <c r="CS50" s="100">
        <v>3102</v>
      </c>
      <c r="CT50" s="100">
        <v>3.3530980991392982</v>
      </c>
      <c r="CU50" s="100">
        <v>945.57366395728206</v>
      </c>
    </row>
    <row r="51" spans="2:99">
      <c r="C51" s="99" t="s">
        <v>217</v>
      </c>
      <c r="D51" s="100">
        <v>9</v>
      </c>
      <c r="E51" s="100">
        <v>7689.5999999999995</v>
      </c>
      <c r="F51" s="100">
        <v>9</v>
      </c>
      <c r="G51" s="100">
        <v>7689.5999999999995</v>
      </c>
      <c r="H51" s="100">
        <v>9</v>
      </c>
      <c r="I51" s="100">
        <v>7689.5999999999995</v>
      </c>
      <c r="J51" s="100">
        <v>6</v>
      </c>
      <c r="K51" s="100">
        <v>5126.3999999999996</v>
      </c>
      <c r="L51" s="100">
        <v>9</v>
      </c>
      <c r="M51" s="100">
        <v>7689.5999999999995</v>
      </c>
      <c r="N51" s="100">
        <v>7</v>
      </c>
      <c r="O51" s="100">
        <v>5980.8</v>
      </c>
      <c r="P51" s="100">
        <v>7</v>
      </c>
      <c r="Q51" s="100">
        <v>5980.8</v>
      </c>
      <c r="R51" s="100">
        <v>10</v>
      </c>
      <c r="S51" s="100">
        <v>8544</v>
      </c>
      <c r="T51" s="100">
        <v>9</v>
      </c>
      <c r="U51" s="100">
        <v>7689.5999999999995</v>
      </c>
      <c r="V51" s="100">
        <v>10</v>
      </c>
      <c r="W51" s="100">
        <v>8544</v>
      </c>
      <c r="X51" s="100">
        <v>6.4216158477267022</v>
      </c>
      <c r="Y51" s="100">
        <v>5486.6285802976945</v>
      </c>
      <c r="Z51" s="100">
        <v>9</v>
      </c>
      <c r="AA51" s="100">
        <v>7689.5999999999995</v>
      </c>
      <c r="AB51" s="100">
        <v>3.3763023003174863</v>
      </c>
      <c r="AC51" s="100">
        <v>2884.71268539126</v>
      </c>
      <c r="AD51" s="100">
        <v>7</v>
      </c>
      <c r="AE51" s="100">
        <v>5980.8</v>
      </c>
      <c r="AF51" s="100">
        <v>3.3069764528560013</v>
      </c>
      <c r="AG51" s="100">
        <v>2825.4806813201676</v>
      </c>
      <c r="AH51" s="100">
        <v>7</v>
      </c>
      <c r="AI51" s="100">
        <v>5980.8</v>
      </c>
      <c r="AJ51" s="100">
        <v>6</v>
      </c>
      <c r="AK51" s="100">
        <v>5126.3999999999996</v>
      </c>
      <c r="AL51" s="100">
        <v>6</v>
      </c>
      <c r="AM51" s="100">
        <v>5126.3999999999996</v>
      </c>
      <c r="AN51" s="100">
        <v>7</v>
      </c>
      <c r="AO51" s="100">
        <v>5980.8</v>
      </c>
      <c r="AP51" s="100">
        <v>5.9270345256469259</v>
      </c>
      <c r="AQ51" s="100">
        <v>5064.0582987127336</v>
      </c>
      <c r="AR51" s="100">
        <v>3.8553329604371935</v>
      </c>
      <c r="AS51" s="100">
        <v>3293.996481397538</v>
      </c>
      <c r="AT51" s="100">
        <v>2.1917334078512143</v>
      </c>
      <c r="AU51" s="100">
        <v>1872.6170236680775</v>
      </c>
      <c r="AV51" s="100">
        <v>6</v>
      </c>
      <c r="AW51" s="100">
        <v>5126.3999999999996</v>
      </c>
      <c r="AX51" s="100">
        <v>9</v>
      </c>
      <c r="AY51" s="100">
        <v>7689.5999999999995</v>
      </c>
      <c r="AZ51" s="100">
        <v>8</v>
      </c>
      <c r="BA51" s="100">
        <v>6835.2</v>
      </c>
      <c r="BB51" s="100">
        <v>9</v>
      </c>
      <c r="BC51" s="100">
        <v>7689.5999999999995</v>
      </c>
      <c r="BD51" s="100">
        <v>6</v>
      </c>
      <c r="BE51" s="100">
        <v>5126.3999999999996</v>
      </c>
      <c r="BF51" s="100">
        <v>6</v>
      </c>
      <c r="BG51" s="100">
        <v>5126.3999999999996</v>
      </c>
      <c r="BH51" s="100">
        <v>1.1071500873611091</v>
      </c>
      <c r="BI51" s="100">
        <v>945.94903464133154</v>
      </c>
      <c r="BJ51" s="100">
        <v>9</v>
      </c>
      <c r="BK51" s="100">
        <v>7689.5999999999995</v>
      </c>
      <c r="BL51" s="100">
        <v>10</v>
      </c>
      <c r="BM51" s="100">
        <v>8544</v>
      </c>
      <c r="BN51" s="100">
        <v>8</v>
      </c>
      <c r="BO51" s="100">
        <v>6835.2</v>
      </c>
      <c r="BP51" s="100">
        <v>10</v>
      </c>
      <c r="BQ51" s="100">
        <v>8544</v>
      </c>
      <c r="BR51" s="100">
        <v>9</v>
      </c>
      <c r="BS51" s="100">
        <v>7689.5999999999995</v>
      </c>
      <c r="BT51" s="100">
        <v>5.6760055316790794</v>
      </c>
      <c r="BU51" s="100">
        <v>4849.5791262666053</v>
      </c>
      <c r="BV51" s="100">
        <v>5.8317079975360464</v>
      </c>
      <c r="BW51" s="100">
        <v>4982.6113130947979</v>
      </c>
      <c r="BX51" s="100">
        <v>9.7243639909007182</v>
      </c>
      <c r="BY51" s="100">
        <v>8308.4965938255737</v>
      </c>
      <c r="BZ51" s="100">
        <v>5.7657980970213982</v>
      </c>
      <c r="CA51" s="100">
        <v>4926.2978940950825</v>
      </c>
      <c r="CB51" s="100">
        <v>8</v>
      </c>
      <c r="CC51" s="100">
        <v>6835.2</v>
      </c>
      <c r="CD51" s="100">
        <v>10.181730675911155</v>
      </c>
      <c r="CE51" s="100">
        <v>8699.2706894984894</v>
      </c>
      <c r="CF51" s="100">
        <v>8</v>
      </c>
      <c r="CG51" s="100">
        <v>6835.2</v>
      </c>
      <c r="CH51" s="100">
        <v>7.661916669646212</v>
      </c>
      <c r="CI51" s="100">
        <v>6546.3416025457236</v>
      </c>
      <c r="CJ51" s="100">
        <v>10</v>
      </c>
      <c r="CK51" s="100">
        <v>8544</v>
      </c>
      <c r="CL51" s="100">
        <v>6.7592011370090965</v>
      </c>
      <c r="CM51" s="100">
        <v>5775.0614514605722</v>
      </c>
      <c r="CN51" s="100">
        <v>7</v>
      </c>
      <c r="CO51" s="100">
        <v>5980.8</v>
      </c>
      <c r="CP51" s="100">
        <v>9</v>
      </c>
      <c r="CQ51" s="100">
        <v>7689.5999999999995</v>
      </c>
      <c r="CR51" s="100">
        <v>11</v>
      </c>
      <c r="CS51" s="100">
        <v>9398.4</v>
      </c>
      <c r="CT51" s="100">
        <v>2.9339608367468859</v>
      </c>
      <c r="CU51" s="100">
        <v>2506.7761389165394</v>
      </c>
    </row>
    <row r="52" spans="2:99">
      <c r="C52" s="99" t="s">
        <v>218</v>
      </c>
      <c r="D52" s="100">
        <v>9</v>
      </c>
      <c r="E52" s="100">
        <v>4860</v>
      </c>
      <c r="F52" s="100">
        <v>9</v>
      </c>
      <c r="G52" s="100">
        <v>4860</v>
      </c>
      <c r="H52" s="100">
        <v>10</v>
      </c>
      <c r="I52" s="100">
        <v>5400</v>
      </c>
      <c r="J52" s="100">
        <v>6</v>
      </c>
      <c r="K52" s="100">
        <v>3240</v>
      </c>
      <c r="L52" s="100">
        <v>9</v>
      </c>
      <c r="M52" s="100">
        <v>4860</v>
      </c>
      <c r="N52" s="100">
        <v>8</v>
      </c>
      <c r="O52" s="100">
        <v>4320</v>
      </c>
      <c r="P52" s="100">
        <v>7</v>
      </c>
      <c r="Q52" s="100">
        <v>3780</v>
      </c>
      <c r="R52" s="100">
        <v>10</v>
      </c>
      <c r="S52" s="100">
        <v>5400</v>
      </c>
      <c r="T52" s="100">
        <v>11</v>
      </c>
      <c r="U52" s="100">
        <v>5940</v>
      </c>
      <c r="V52" s="100">
        <v>11</v>
      </c>
      <c r="W52" s="100">
        <v>5940</v>
      </c>
      <c r="X52" s="100">
        <v>6.4216158477267022</v>
      </c>
      <c r="Y52" s="100">
        <v>3467.6725577724192</v>
      </c>
      <c r="Z52" s="100">
        <v>10</v>
      </c>
      <c r="AA52" s="100">
        <v>5400</v>
      </c>
      <c r="AB52" s="100">
        <v>2.9542645127778009</v>
      </c>
      <c r="AC52" s="100">
        <v>1595.3028369000124</v>
      </c>
      <c r="AD52" s="100">
        <v>7</v>
      </c>
      <c r="AE52" s="100">
        <v>3780</v>
      </c>
      <c r="AF52" s="100">
        <v>3.7794016604068585</v>
      </c>
      <c r="AG52" s="100">
        <v>2040.8768966197035</v>
      </c>
      <c r="AH52" s="100">
        <v>7</v>
      </c>
      <c r="AI52" s="100">
        <v>3780</v>
      </c>
      <c r="AJ52" s="100">
        <v>6</v>
      </c>
      <c r="AK52" s="100">
        <v>3240</v>
      </c>
      <c r="AL52" s="100">
        <v>5</v>
      </c>
      <c r="AM52" s="100">
        <v>2700</v>
      </c>
      <c r="AN52" s="100">
        <v>7</v>
      </c>
      <c r="AO52" s="100">
        <v>3780</v>
      </c>
      <c r="AP52" s="100">
        <v>5.9270345256469259</v>
      </c>
      <c r="AQ52" s="100">
        <v>3200.5986438493401</v>
      </c>
      <c r="AR52" s="100">
        <v>4.4060948119282211</v>
      </c>
      <c r="AS52" s="100">
        <v>2379.2911984412394</v>
      </c>
      <c r="AT52" s="100">
        <v>2.1917334078512143</v>
      </c>
      <c r="AU52" s="100">
        <v>1183.5360402396557</v>
      </c>
      <c r="AV52" s="100">
        <v>5</v>
      </c>
      <c r="AW52" s="100">
        <v>2700</v>
      </c>
      <c r="AX52" s="100">
        <v>9</v>
      </c>
      <c r="AY52" s="100">
        <v>4860</v>
      </c>
      <c r="AZ52" s="100">
        <v>8</v>
      </c>
      <c r="BA52" s="100">
        <v>4320</v>
      </c>
      <c r="BB52" s="100">
        <v>10</v>
      </c>
      <c r="BC52" s="100">
        <v>5400</v>
      </c>
      <c r="BD52" s="100">
        <v>6</v>
      </c>
      <c r="BE52" s="100">
        <v>3240</v>
      </c>
      <c r="BF52" s="100">
        <v>7</v>
      </c>
      <c r="BG52" s="100">
        <v>3780</v>
      </c>
      <c r="BH52" s="100">
        <v>1.328580104833331</v>
      </c>
      <c r="BI52" s="100">
        <v>717.43325660999869</v>
      </c>
      <c r="BJ52" s="100">
        <v>9</v>
      </c>
      <c r="BK52" s="100">
        <v>4860</v>
      </c>
      <c r="BL52" s="100">
        <v>9</v>
      </c>
      <c r="BM52" s="100">
        <v>4860</v>
      </c>
      <c r="BN52" s="100">
        <v>8</v>
      </c>
      <c r="BO52" s="100">
        <v>4320</v>
      </c>
      <c r="BP52" s="100">
        <v>9</v>
      </c>
      <c r="BQ52" s="100">
        <v>4860</v>
      </c>
      <c r="BR52" s="100">
        <v>10</v>
      </c>
      <c r="BS52" s="100">
        <v>5400</v>
      </c>
      <c r="BT52" s="100">
        <v>5.6760055316790794</v>
      </c>
      <c r="BU52" s="100">
        <v>3065.0429871067031</v>
      </c>
      <c r="BV52" s="100">
        <v>6.6648091400411946</v>
      </c>
      <c r="BW52" s="100">
        <v>3598.996935622245</v>
      </c>
      <c r="BX52" s="100">
        <v>9.7243639909007182</v>
      </c>
      <c r="BY52" s="100">
        <v>5251.1565550863879</v>
      </c>
      <c r="BZ52" s="100">
        <v>5.7657980970213982</v>
      </c>
      <c r="CA52" s="100">
        <v>3113.5309723915552</v>
      </c>
      <c r="CB52" s="100">
        <v>8</v>
      </c>
      <c r="CC52" s="100">
        <v>4320</v>
      </c>
      <c r="CD52" s="100">
        <v>10.181730675911155</v>
      </c>
      <c r="CE52" s="100">
        <v>5498.1345649920231</v>
      </c>
      <c r="CF52" s="100">
        <v>8</v>
      </c>
      <c r="CG52" s="100">
        <v>4320</v>
      </c>
      <c r="CH52" s="100">
        <v>8.6196562533519892</v>
      </c>
      <c r="CI52" s="100">
        <v>4654.6143768100737</v>
      </c>
      <c r="CJ52" s="100">
        <v>10</v>
      </c>
      <c r="CK52" s="100">
        <v>5400</v>
      </c>
      <c r="CL52" s="100">
        <v>7.7248012994389681</v>
      </c>
      <c r="CM52" s="100">
        <v>4171.3927016970429</v>
      </c>
      <c r="CN52" s="100">
        <v>7</v>
      </c>
      <c r="CO52" s="100">
        <v>3780</v>
      </c>
      <c r="CP52" s="100">
        <v>10</v>
      </c>
      <c r="CQ52" s="100">
        <v>5400</v>
      </c>
      <c r="CR52" s="100">
        <v>10</v>
      </c>
      <c r="CS52" s="100">
        <v>5400</v>
      </c>
      <c r="CT52" s="100">
        <v>3.3530980991392982</v>
      </c>
      <c r="CU52" s="100">
        <v>1810.672973535221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10</v>
      </c>
      <c r="G53" s="100">
        <v>4068</v>
      </c>
      <c r="H53" s="100">
        <v>10</v>
      </c>
      <c r="I53" s="100">
        <v>4068</v>
      </c>
      <c r="J53" s="100">
        <v>7</v>
      </c>
      <c r="K53" s="100">
        <v>2847.6</v>
      </c>
      <c r="L53" s="100">
        <v>10</v>
      </c>
      <c r="M53" s="100">
        <v>4068</v>
      </c>
      <c r="N53" s="100">
        <v>8</v>
      </c>
      <c r="O53" s="100">
        <v>3254.4</v>
      </c>
      <c r="P53" s="100">
        <v>7</v>
      </c>
      <c r="Q53" s="100">
        <v>2847.6</v>
      </c>
      <c r="R53" s="100">
        <v>10</v>
      </c>
      <c r="S53" s="100">
        <v>4068</v>
      </c>
      <c r="T53" s="100">
        <v>11</v>
      </c>
      <c r="U53" s="100">
        <v>4474.8</v>
      </c>
      <c r="V53" s="100">
        <v>10</v>
      </c>
      <c r="W53" s="100">
        <v>4068</v>
      </c>
      <c r="X53" s="100">
        <v>6.4216158477267022</v>
      </c>
      <c r="Y53" s="100">
        <v>2612.3133268552224</v>
      </c>
      <c r="Z53" s="100">
        <v>9</v>
      </c>
      <c r="AA53" s="100">
        <v>3661.2000000000003</v>
      </c>
      <c r="AB53" s="100">
        <v>3.3763023003174863</v>
      </c>
      <c r="AC53" s="100">
        <v>1373.4797757691535</v>
      </c>
      <c r="AD53" s="100">
        <v>6</v>
      </c>
      <c r="AE53" s="100">
        <v>2440.8000000000002</v>
      </c>
      <c r="AF53" s="100">
        <v>3.7794016604068585</v>
      </c>
      <c r="AG53" s="100">
        <v>1537.46059545351</v>
      </c>
      <c r="AH53" s="100">
        <v>8</v>
      </c>
      <c r="AI53" s="100">
        <v>3254.4</v>
      </c>
      <c r="AJ53" s="100">
        <v>6</v>
      </c>
      <c r="AK53" s="100">
        <v>2440.8000000000002</v>
      </c>
      <c r="AL53" s="100">
        <v>6</v>
      </c>
      <c r="AM53" s="100">
        <v>2440.8000000000002</v>
      </c>
      <c r="AN53" s="100">
        <v>7</v>
      </c>
      <c r="AO53" s="100">
        <v>2847.6</v>
      </c>
      <c r="AP53" s="100">
        <v>6.7737537435964885</v>
      </c>
      <c r="AQ53" s="100">
        <v>2755.5630228950517</v>
      </c>
      <c r="AR53" s="100">
        <v>3.8553329604371935</v>
      </c>
      <c r="AS53" s="100">
        <v>1568.3494483058503</v>
      </c>
      <c r="AT53" s="100">
        <v>2.465700083832616</v>
      </c>
      <c r="AU53" s="100">
        <v>1003.0467941031083</v>
      </c>
      <c r="AV53" s="100">
        <v>6</v>
      </c>
      <c r="AW53" s="100">
        <v>2440.8000000000002</v>
      </c>
      <c r="AX53" s="100">
        <v>10</v>
      </c>
      <c r="AY53" s="100">
        <v>4068</v>
      </c>
      <c r="AZ53" s="100">
        <v>7</v>
      </c>
      <c r="BA53" s="100">
        <v>2847.6</v>
      </c>
      <c r="BB53" s="100">
        <v>10</v>
      </c>
      <c r="BC53" s="100">
        <v>4068</v>
      </c>
      <c r="BD53" s="100">
        <v>6</v>
      </c>
      <c r="BE53" s="100">
        <v>2440.8000000000002</v>
      </c>
      <c r="BF53" s="100">
        <v>6</v>
      </c>
      <c r="BG53" s="100">
        <v>2440.8000000000002</v>
      </c>
      <c r="BH53" s="100">
        <v>1.328580104833331</v>
      </c>
      <c r="BI53" s="100">
        <v>540.46638664619911</v>
      </c>
      <c r="BJ53" s="100">
        <v>9</v>
      </c>
      <c r="BK53" s="100">
        <v>3661.2000000000003</v>
      </c>
      <c r="BL53" s="100">
        <v>9</v>
      </c>
      <c r="BM53" s="100">
        <v>3661.2000000000003</v>
      </c>
      <c r="BN53" s="100">
        <v>8</v>
      </c>
      <c r="BO53" s="100">
        <v>3254.4</v>
      </c>
      <c r="BP53" s="100">
        <v>9</v>
      </c>
      <c r="BQ53" s="100">
        <v>3661.2000000000003</v>
      </c>
      <c r="BR53" s="100">
        <v>10</v>
      </c>
      <c r="BS53" s="100">
        <v>4068</v>
      </c>
      <c r="BT53" s="100">
        <v>5.6760055316790794</v>
      </c>
      <c r="BU53" s="100">
        <v>2308.9990502870496</v>
      </c>
      <c r="BV53" s="100">
        <v>6.6648091400411946</v>
      </c>
      <c r="BW53" s="100">
        <v>2711.244358168758</v>
      </c>
      <c r="BX53" s="100">
        <v>9.7243639909007182</v>
      </c>
      <c r="BY53" s="100">
        <v>3955.8712714984122</v>
      </c>
      <c r="BZ53" s="100">
        <v>6.7267644465249647</v>
      </c>
      <c r="CA53" s="100">
        <v>2736.4477768463557</v>
      </c>
      <c r="CB53" s="100">
        <v>8</v>
      </c>
      <c r="CC53" s="100">
        <v>3254.4</v>
      </c>
      <c r="CD53" s="100">
        <v>10.181730675911155</v>
      </c>
      <c r="CE53" s="100">
        <v>4141.9280389606574</v>
      </c>
      <c r="CF53" s="100">
        <v>8</v>
      </c>
      <c r="CG53" s="100">
        <v>3254.4</v>
      </c>
      <c r="CH53" s="100">
        <v>8.6196562533519892</v>
      </c>
      <c r="CI53" s="100">
        <v>3506.4761638635891</v>
      </c>
      <c r="CJ53" s="100">
        <v>10</v>
      </c>
      <c r="CK53" s="100">
        <v>4068</v>
      </c>
      <c r="CL53" s="100">
        <v>6.7592011370090965</v>
      </c>
      <c r="CM53" s="100">
        <v>2749.6430225353006</v>
      </c>
      <c r="CN53" s="100">
        <v>8</v>
      </c>
      <c r="CO53" s="100">
        <v>3254.4</v>
      </c>
      <c r="CP53" s="100">
        <v>10</v>
      </c>
      <c r="CQ53" s="100">
        <v>4068</v>
      </c>
      <c r="CR53" s="100">
        <v>10</v>
      </c>
      <c r="CS53" s="100">
        <v>4068</v>
      </c>
      <c r="CT53" s="100">
        <v>3.3530980991392982</v>
      </c>
      <c r="CU53" s="100">
        <v>1364.0403067298666</v>
      </c>
    </row>
    <row r="54" spans="2:99">
      <c r="C54" s="99" t="s">
        <v>220</v>
      </c>
      <c r="D54" s="100">
        <v>10</v>
      </c>
      <c r="E54" s="100">
        <v>3348</v>
      </c>
      <c r="F54" s="100">
        <v>8</v>
      </c>
      <c r="G54" s="100">
        <v>2678.4</v>
      </c>
      <c r="H54" s="100">
        <v>10</v>
      </c>
      <c r="I54" s="100">
        <v>3348</v>
      </c>
      <c r="J54" s="100">
        <v>6</v>
      </c>
      <c r="K54" s="100">
        <v>2008.8000000000002</v>
      </c>
      <c r="L54" s="100">
        <v>9</v>
      </c>
      <c r="M54" s="100">
        <v>3013.2000000000003</v>
      </c>
      <c r="N54" s="100">
        <v>7</v>
      </c>
      <c r="O54" s="100">
        <v>2343.6</v>
      </c>
      <c r="P54" s="100">
        <v>7</v>
      </c>
      <c r="Q54" s="100">
        <v>2343.6</v>
      </c>
      <c r="R54" s="100">
        <v>10</v>
      </c>
      <c r="S54" s="100">
        <v>3348</v>
      </c>
      <c r="T54" s="100">
        <v>11</v>
      </c>
      <c r="U54" s="100">
        <v>3682.8</v>
      </c>
      <c r="V54" s="100">
        <v>10</v>
      </c>
      <c r="W54" s="100">
        <v>3348</v>
      </c>
      <c r="X54" s="100">
        <v>5.7794542629540322</v>
      </c>
      <c r="Y54" s="100">
        <v>1934.9612872370101</v>
      </c>
      <c r="Z54" s="100">
        <v>10</v>
      </c>
      <c r="AA54" s="100">
        <v>3348</v>
      </c>
      <c r="AB54" s="100">
        <v>2.9542645127778009</v>
      </c>
      <c r="AC54" s="100">
        <v>989.08775887800778</v>
      </c>
      <c r="AD54" s="100">
        <v>6</v>
      </c>
      <c r="AE54" s="100">
        <v>2008.8000000000002</v>
      </c>
      <c r="AF54" s="100">
        <v>3.3069764528560013</v>
      </c>
      <c r="AG54" s="100">
        <v>1107.1757164161893</v>
      </c>
      <c r="AH54" s="100">
        <v>8</v>
      </c>
      <c r="AI54" s="100">
        <v>2678.4</v>
      </c>
      <c r="AJ54" s="100">
        <v>6</v>
      </c>
      <c r="AK54" s="100">
        <v>2008.8000000000002</v>
      </c>
      <c r="AL54" s="100">
        <v>6</v>
      </c>
      <c r="AM54" s="100">
        <v>2008.8000000000002</v>
      </c>
      <c r="AN54" s="100">
        <v>8</v>
      </c>
      <c r="AO54" s="100">
        <v>2678.4</v>
      </c>
      <c r="AP54" s="100">
        <v>5.9270345256469259</v>
      </c>
      <c r="AQ54" s="100">
        <v>1984.3711591865908</v>
      </c>
      <c r="AR54" s="100">
        <v>4.4060948119282211</v>
      </c>
      <c r="AS54" s="100">
        <v>1475.1605430335685</v>
      </c>
      <c r="AT54" s="100">
        <v>2.1917334078512143</v>
      </c>
      <c r="AU54" s="100">
        <v>733.79234494858656</v>
      </c>
      <c r="AV54" s="100">
        <v>6</v>
      </c>
      <c r="AW54" s="100">
        <v>2008.8000000000002</v>
      </c>
      <c r="AX54" s="100">
        <v>9</v>
      </c>
      <c r="AY54" s="100">
        <v>3013.2000000000003</v>
      </c>
      <c r="AZ54" s="100">
        <v>7</v>
      </c>
      <c r="BA54" s="100">
        <v>2343.6</v>
      </c>
      <c r="BB54" s="100">
        <v>9</v>
      </c>
      <c r="BC54" s="100">
        <v>3013.2000000000003</v>
      </c>
      <c r="BD54" s="100">
        <v>6</v>
      </c>
      <c r="BE54" s="100">
        <v>2008.8000000000002</v>
      </c>
      <c r="BF54" s="100">
        <v>7</v>
      </c>
      <c r="BG54" s="100">
        <v>2343.6</v>
      </c>
      <c r="BH54" s="100">
        <v>1.5500101223055529</v>
      </c>
      <c r="BI54" s="100">
        <v>518.94338894789917</v>
      </c>
      <c r="BJ54" s="100">
        <v>9</v>
      </c>
      <c r="BK54" s="100">
        <v>3013.2000000000003</v>
      </c>
      <c r="BL54" s="100">
        <v>10</v>
      </c>
      <c r="BM54" s="100">
        <v>3348</v>
      </c>
      <c r="BN54" s="100">
        <v>8</v>
      </c>
      <c r="BO54" s="100">
        <v>2678.4</v>
      </c>
      <c r="BP54" s="100">
        <v>10</v>
      </c>
      <c r="BQ54" s="100">
        <v>3348</v>
      </c>
      <c r="BR54" s="100">
        <v>10</v>
      </c>
      <c r="BS54" s="100">
        <v>3348</v>
      </c>
      <c r="BT54" s="100">
        <v>5.6760055316790794</v>
      </c>
      <c r="BU54" s="100">
        <v>1900.3266520061559</v>
      </c>
      <c r="BV54" s="100">
        <v>5.8317079975360464</v>
      </c>
      <c r="BW54" s="100">
        <v>1952.4558375750685</v>
      </c>
      <c r="BX54" s="100">
        <v>10.6083970809826</v>
      </c>
      <c r="BY54" s="100">
        <v>3551.6913427129748</v>
      </c>
      <c r="BZ54" s="100">
        <v>5.7657980970213982</v>
      </c>
      <c r="CA54" s="100">
        <v>1930.3892028827643</v>
      </c>
      <c r="CB54" s="100">
        <v>7</v>
      </c>
      <c r="CC54" s="100">
        <v>2343.6</v>
      </c>
      <c r="CD54" s="100">
        <v>10.181730675911155</v>
      </c>
      <c r="CE54" s="100">
        <v>3408.8434302950545</v>
      </c>
      <c r="CF54" s="100">
        <v>8</v>
      </c>
      <c r="CG54" s="100">
        <v>2678.4</v>
      </c>
      <c r="CH54" s="100">
        <v>8.6196562533519892</v>
      </c>
      <c r="CI54" s="100">
        <v>2885.8609136222462</v>
      </c>
      <c r="CJ54" s="100">
        <v>10</v>
      </c>
      <c r="CK54" s="100">
        <v>3348</v>
      </c>
      <c r="CL54" s="100">
        <v>6.7592011370090965</v>
      </c>
      <c r="CM54" s="100">
        <v>2262.9805406706455</v>
      </c>
      <c r="CN54" s="100">
        <v>8</v>
      </c>
      <c r="CO54" s="100">
        <v>2678.4</v>
      </c>
      <c r="CP54" s="100">
        <v>10</v>
      </c>
      <c r="CQ54" s="100">
        <v>3348</v>
      </c>
      <c r="CR54" s="100">
        <v>10</v>
      </c>
      <c r="CS54" s="100">
        <v>3348</v>
      </c>
      <c r="CT54" s="100">
        <v>2.9339608367468859</v>
      </c>
      <c r="CU54" s="100">
        <v>982.29008814285748</v>
      </c>
    </row>
    <row r="55" spans="2:99">
      <c r="C55" s="99" t="s">
        <v>221</v>
      </c>
      <c r="D55" s="100">
        <v>10</v>
      </c>
      <c r="E55" s="100">
        <v>6636</v>
      </c>
      <c r="F55" s="100">
        <v>9</v>
      </c>
      <c r="G55" s="100">
        <v>5972.4000000000005</v>
      </c>
      <c r="H55" s="100">
        <v>10</v>
      </c>
      <c r="I55" s="100">
        <v>6636</v>
      </c>
      <c r="J55" s="100">
        <v>6</v>
      </c>
      <c r="K55" s="100">
        <v>3981.6000000000004</v>
      </c>
      <c r="L55" s="100">
        <v>10</v>
      </c>
      <c r="M55" s="100">
        <v>6636</v>
      </c>
      <c r="N55" s="100">
        <v>7</v>
      </c>
      <c r="O55" s="100">
        <v>4645.2</v>
      </c>
      <c r="P55" s="100">
        <v>6</v>
      </c>
      <c r="Q55" s="100">
        <v>3981.6000000000004</v>
      </c>
      <c r="R55" s="100">
        <v>9</v>
      </c>
      <c r="S55" s="100">
        <v>5972.4000000000005</v>
      </c>
      <c r="T55" s="100">
        <v>10</v>
      </c>
      <c r="U55" s="100">
        <v>6636</v>
      </c>
      <c r="V55" s="100">
        <v>9</v>
      </c>
      <c r="W55" s="100">
        <v>5972.4000000000005</v>
      </c>
      <c r="X55" s="100">
        <v>6.4216158477267022</v>
      </c>
      <c r="Y55" s="100">
        <v>4261.3842765514401</v>
      </c>
      <c r="Z55" s="100">
        <v>9</v>
      </c>
      <c r="AA55" s="100">
        <v>5972.4000000000005</v>
      </c>
      <c r="AB55" s="100">
        <v>3.3763023003174863</v>
      </c>
      <c r="AC55" s="100">
        <v>2240.514206490684</v>
      </c>
      <c r="AD55" s="100">
        <v>7</v>
      </c>
      <c r="AE55" s="100">
        <v>4645.2</v>
      </c>
      <c r="AF55" s="100">
        <v>3.3069764528560013</v>
      </c>
      <c r="AG55" s="100">
        <v>2194.5095741152427</v>
      </c>
      <c r="AH55" s="100">
        <v>7</v>
      </c>
      <c r="AI55" s="100">
        <v>4645.2</v>
      </c>
      <c r="AJ55" s="100">
        <v>5</v>
      </c>
      <c r="AK55" s="100">
        <v>3318</v>
      </c>
      <c r="AL55" s="100">
        <v>6</v>
      </c>
      <c r="AM55" s="100">
        <v>3981.6000000000004</v>
      </c>
      <c r="AN55" s="100">
        <v>8</v>
      </c>
      <c r="AO55" s="100">
        <v>5308.8</v>
      </c>
      <c r="AP55" s="100">
        <v>6.7737537435964885</v>
      </c>
      <c r="AQ55" s="100">
        <v>4495.0629842506296</v>
      </c>
      <c r="AR55" s="100">
        <v>4.4060948119282211</v>
      </c>
      <c r="AS55" s="100">
        <v>2923.8845171955677</v>
      </c>
      <c r="AT55" s="100">
        <v>2.1917334078512143</v>
      </c>
      <c r="AU55" s="100">
        <v>1454.4342894500658</v>
      </c>
      <c r="AV55" s="100">
        <v>6</v>
      </c>
      <c r="AW55" s="100">
        <v>3981.6000000000004</v>
      </c>
      <c r="AX55" s="100">
        <v>10</v>
      </c>
      <c r="AY55" s="100">
        <v>6636</v>
      </c>
      <c r="AZ55" s="100">
        <v>8</v>
      </c>
      <c r="BA55" s="100">
        <v>5308.8</v>
      </c>
      <c r="BB55" s="100">
        <v>10</v>
      </c>
      <c r="BC55" s="100">
        <v>6636</v>
      </c>
      <c r="BD55" s="100">
        <v>6</v>
      </c>
      <c r="BE55" s="100">
        <v>3981.6000000000004</v>
      </c>
      <c r="BF55" s="100">
        <v>7</v>
      </c>
      <c r="BG55" s="100">
        <v>4645.2</v>
      </c>
      <c r="BH55" s="100">
        <v>1.1071500873611091</v>
      </c>
      <c r="BI55" s="100">
        <v>734.70479797283201</v>
      </c>
      <c r="BJ55" s="100">
        <v>9</v>
      </c>
      <c r="BK55" s="100">
        <v>5972.4000000000005</v>
      </c>
      <c r="BL55" s="100">
        <v>10</v>
      </c>
      <c r="BM55" s="100">
        <v>6636</v>
      </c>
      <c r="BN55" s="100">
        <v>8</v>
      </c>
      <c r="BO55" s="100">
        <v>5308.8</v>
      </c>
      <c r="BP55" s="100">
        <v>10</v>
      </c>
      <c r="BQ55" s="100">
        <v>6636</v>
      </c>
      <c r="BR55" s="100">
        <v>10</v>
      </c>
      <c r="BS55" s="100">
        <v>6636</v>
      </c>
      <c r="BT55" s="100">
        <v>5.160005028799163</v>
      </c>
      <c r="BU55" s="100">
        <v>3424.1793371111248</v>
      </c>
      <c r="BV55" s="100">
        <v>6.6648091400411946</v>
      </c>
      <c r="BW55" s="100">
        <v>4422.7673453313373</v>
      </c>
      <c r="BX55" s="100">
        <v>9.7243639909007182</v>
      </c>
      <c r="BY55" s="100">
        <v>6453.0879443617168</v>
      </c>
      <c r="BZ55" s="100">
        <v>5.7657980970213982</v>
      </c>
      <c r="CA55" s="100">
        <v>3826.1836171834002</v>
      </c>
      <c r="CB55" s="100">
        <v>9</v>
      </c>
      <c r="CC55" s="100">
        <v>5972.4000000000005</v>
      </c>
      <c r="CD55" s="100">
        <v>9.2561187962828662</v>
      </c>
      <c r="CE55" s="100">
        <v>6142.36043321331</v>
      </c>
      <c r="CF55" s="100">
        <v>7</v>
      </c>
      <c r="CG55" s="100">
        <v>4645.2</v>
      </c>
      <c r="CH55" s="100">
        <v>8.6196562533519892</v>
      </c>
      <c r="CI55" s="100">
        <v>5720.0038897243803</v>
      </c>
      <c r="CJ55" s="100">
        <v>10</v>
      </c>
      <c r="CK55" s="100">
        <v>6636</v>
      </c>
      <c r="CL55" s="100">
        <v>6.7592011370090965</v>
      </c>
      <c r="CM55" s="100">
        <v>4485.4058745192369</v>
      </c>
      <c r="CN55" s="100">
        <v>8</v>
      </c>
      <c r="CO55" s="100">
        <v>5308.8</v>
      </c>
      <c r="CP55" s="100">
        <v>9</v>
      </c>
      <c r="CQ55" s="100">
        <v>5972.4000000000005</v>
      </c>
      <c r="CR55" s="100">
        <v>11</v>
      </c>
      <c r="CS55" s="100">
        <v>7299.6</v>
      </c>
      <c r="CT55" s="100">
        <v>2.9339608367468859</v>
      </c>
      <c r="CU55" s="100">
        <v>1946.9764112652335</v>
      </c>
    </row>
    <row r="56" spans="2:99">
      <c r="C56" s="99" t="s">
        <v>222</v>
      </c>
      <c r="D56" s="100">
        <v>10</v>
      </c>
      <c r="E56" s="100">
        <v>9816</v>
      </c>
      <c r="F56" s="100">
        <v>7.8986988023065408</v>
      </c>
      <c r="G56" s="100">
        <v>7753.3627443441001</v>
      </c>
      <c r="H56" s="100">
        <v>6.1418512951049937</v>
      </c>
      <c r="I56" s="100">
        <v>6028.8412312750615</v>
      </c>
      <c r="J56" s="100">
        <v>5.9999999999999991</v>
      </c>
      <c r="K56" s="100">
        <v>5889.5999999999985</v>
      </c>
      <c r="L56" s="100">
        <v>8.0526315789473681</v>
      </c>
      <c r="M56" s="100">
        <v>7904.4631578947356</v>
      </c>
      <c r="N56" s="100">
        <v>7</v>
      </c>
      <c r="O56" s="100">
        <v>6871.1999999999989</v>
      </c>
      <c r="P56" s="100">
        <v>3.5855073039915974</v>
      </c>
      <c r="Q56" s="100">
        <v>3519.5339695981515</v>
      </c>
      <c r="R56" s="100">
        <v>9.174985225466461</v>
      </c>
      <c r="S56" s="100">
        <v>9006.1654973178775</v>
      </c>
      <c r="T56" s="100">
        <v>8.6777996122871013</v>
      </c>
      <c r="U56" s="100">
        <v>8518.1280994210174</v>
      </c>
      <c r="V56" s="100">
        <v>6.4606720181121986</v>
      </c>
      <c r="W56" s="100">
        <v>6341.7956529789335</v>
      </c>
      <c r="X56" s="100">
        <v>8.9583427825650954</v>
      </c>
      <c r="Y56" s="100">
        <v>8793.5092753658973</v>
      </c>
      <c r="Z56" s="100">
        <v>0</v>
      </c>
      <c r="AA56" s="100">
        <v>0</v>
      </c>
      <c r="AB56" s="100">
        <v>8</v>
      </c>
      <c r="AC56" s="100">
        <v>7852.7999999999993</v>
      </c>
      <c r="AD56" s="100">
        <v>5.3365384615384945</v>
      </c>
      <c r="AE56" s="100">
        <v>5238.3461538461861</v>
      </c>
      <c r="AF56" s="100">
        <v>7.0466321243523318</v>
      </c>
      <c r="AG56" s="100">
        <v>6916.974093264248</v>
      </c>
      <c r="AH56" s="100">
        <v>7.1957671957671945</v>
      </c>
      <c r="AI56" s="100">
        <v>7063.3650793650777</v>
      </c>
      <c r="AJ56" s="100">
        <v>4.166666666666667</v>
      </c>
      <c r="AK56" s="100">
        <v>4090</v>
      </c>
      <c r="AL56" s="100">
        <v>5.8620689655172402</v>
      </c>
      <c r="AM56" s="100">
        <v>5754.2068965517228</v>
      </c>
      <c r="AN56" s="100">
        <v>7</v>
      </c>
      <c r="AO56" s="100">
        <v>6871.1999999999989</v>
      </c>
      <c r="AP56" s="100">
        <v>5.563318777292575</v>
      </c>
      <c r="AQ56" s="100">
        <v>5460.953711790391</v>
      </c>
      <c r="AR56" s="100">
        <v>7</v>
      </c>
      <c r="AS56" s="100">
        <v>6871.1999999999989</v>
      </c>
      <c r="AT56" s="100">
        <v>9</v>
      </c>
      <c r="AU56" s="100">
        <v>8834.4</v>
      </c>
      <c r="AV56" s="100">
        <v>1.6304347826086947</v>
      </c>
      <c r="AW56" s="100">
        <v>1600.4347826086946</v>
      </c>
      <c r="AX56" s="100">
        <v>9.6037960471983838E-22</v>
      </c>
      <c r="AY56" s="100">
        <v>9.4270861999299336E-19</v>
      </c>
      <c r="AZ56" s="100">
        <v>4.9342580332240417E-22</v>
      </c>
      <c r="BA56" s="100">
        <v>4.8434676854127193E-19</v>
      </c>
      <c r="BB56" s="100">
        <v>6.7600490619111576E-22</v>
      </c>
      <c r="BC56" s="100">
        <v>6.6356641591719915E-19</v>
      </c>
      <c r="BD56" s="100">
        <v>2.3581557665762234</v>
      </c>
      <c r="BE56" s="100">
        <v>2314.7657004712205</v>
      </c>
      <c r="BF56" s="100">
        <v>5.4337899543378985</v>
      </c>
      <c r="BG56" s="100">
        <v>5333.8082191780804</v>
      </c>
      <c r="BH56" s="100">
        <v>4.834123222748814</v>
      </c>
      <c r="BI56" s="100">
        <v>4745.1753554502357</v>
      </c>
      <c r="BJ56" s="100">
        <v>6.5665236051502145</v>
      </c>
      <c r="BK56" s="100">
        <v>6445.69957081545</v>
      </c>
      <c r="BL56" s="100">
        <v>4.6271915160379722</v>
      </c>
      <c r="BM56" s="100">
        <v>4542.0511921428733</v>
      </c>
      <c r="BN56" s="100">
        <v>7.2421958106401751</v>
      </c>
      <c r="BO56" s="100">
        <v>7108.9394077243951</v>
      </c>
      <c r="BP56" s="100">
        <v>6.6476691230248424</v>
      </c>
      <c r="BQ56" s="100">
        <v>6525.3520111611842</v>
      </c>
      <c r="BR56" s="100">
        <v>11</v>
      </c>
      <c r="BS56" s="100">
        <v>10797.599999999999</v>
      </c>
      <c r="BT56" s="100">
        <v>6.2480401831148065</v>
      </c>
      <c r="BU56" s="100">
        <v>6133.0762437454932</v>
      </c>
      <c r="BV56" s="100">
        <v>6.3296432757248606</v>
      </c>
      <c r="BW56" s="100">
        <v>6213.1778394515222</v>
      </c>
      <c r="BX56" s="100">
        <v>10</v>
      </c>
      <c r="BY56" s="100">
        <v>9816</v>
      </c>
      <c r="BZ56" s="100">
        <v>4.8023939755474832</v>
      </c>
      <c r="CA56" s="100">
        <v>4714.0299263974093</v>
      </c>
      <c r="CB56" s="100">
        <v>7</v>
      </c>
      <c r="CC56" s="100">
        <v>6871.1999999999989</v>
      </c>
      <c r="CD56" s="100">
        <v>10</v>
      </c>
      <c r="CE56" s="100">
        <v>9816</v>
      </c>
      <c r="CF56" s="100">
        <v>6.4819110753154323</v>
      </c>
      <c r="CG56" s="100">
        <v>6362.643911529628</v>
      </c>
      <c r="CH56" s="100">
        <v>7.2169811320754702</v>
      </c>
      <c r="CI56" s="100">
        <v>7084.1886792452806</v>
      </c>
      <c r="CJ56" s="100">
        <v>4.5779660743779935</v>
      </c>
      <c r="CK56" s="100">
        <v>4493.7314986094379</v>
      </c>
      <c r="CL56" s="100">
        <v>7</v>
      </c>
      <c r="CM56" s="100">
        <v>6871.1999999999989</v>
      </c>
      <c r="CN56" s="100">
        <v>7.9075144508670494</v>
      </c>
      <c r="CO56" s="100">
        <v>7762.0161849710948</v>
      </c>
      <c r="CP56" s="100">
        <v>8</v>
      </c>
      <c r="CQ56" s="100">
        <v>7852.7999999999993</v>
      </c>
      <c r="CR56" s="100">
        <v>10</v>
      </c>
      <c r="CS56" s="100">
        <v>9816</v>
      </c>
      <c r="CT56" s="100">
        <v>6.1892138595416961</v>
      </c>
      <c r="CU56" s="100">
        <v>6075.3323245261281</v>
      </c>
    </row>
    <row r="57" spans="2:99">
      <c r="C57" s="99" t="s">
        <v>223</v>
      </c>
      <c r="D57" s="100">
        <v>10</v>
      </c>
      <c r="E57" s="100">
        <v>14112</v>
      </c>
      <c r="F57" s="100">
        <v>8</v>
      </c>
      <c r="G57" s="100">
        <v>11289.6</v>
      </c>
      <c r="H57" s="100">
        <v>9</v>
      </c>
      <c r="I57" s="100">
        <v>12700.800000000001</v>
      </c>
      <c r="J57" s="100">
        <v>6</v>
      </c>
      <c r="K57" s="100">
        <v>8467.2000000000007</v>
      </c>
      <c r="L57" s="100">
        <v>8</v>
      </c>
      <c r="M57" s="100">
        <v>11289.6</v>
      </c>
      <c r="N57" s="100">
        <v>7</v>
      </c>
      <c r="O57" s="100">
        <v>9878.4</v>
      </c>
      <c r="P57" s="100">
        <v>6</v>
      </c>
      <c r="Q57" s="100">
        <v>8467.2000000000007</v>
      </c>
      <c r="R57" s="100">
        <v>10</v>
      </c>
      <c r="S57" s="100">
        <v>14112</v>
      </c>
      <c r="T57" s="100">
        <v>9</v>
      </c>
      <c r="U57" s="100">
        <v>12700.800000000001</v>
      </c>
      <c r="V57" s="100">
        <v>11</v>
      </c>
      <c r="W57" s="100">
        <v>15523.2</v>
      </c>
      <c r="X57" s="100">
        <v>5.1372926781813613</v>
      </c>
      <c r="Y57" s="100">
        <v>7249.7474274495371</v>
      </c>
      <c r="Z57" s="100">
        <v>9</v>
      </c>
      <c r="AA57" s="100">
        <v>12700.800000000001</v>
      </c>
      <c r="AB57" s="100">
        <v>2.9542645127778009</v>
      </c>
      <c r="AC57" s="100">
        <v>4169.0580804320325</v>
      </c>
      <c r="AD57" s="100">
        <v>7</v>
      </c>
      <c r="AE57" s="100">
        <v>9878.4</v>
      </c>
      <c r="AF57" s="100">
        <v>3.7794016604068585</v>
      </c>
      <c r="AG57" s="100">
        <v>5333.4916231661591</v>
      </c>
      <c r="AH57" s="100">
        <v>7</v>
      </c>
      <c r="AI57" s="100">
        <v>9878.4</v>
      </c>
      <c r="AJ57" s="100">
        <v>5</v>
      </c>
      <c r="AK57" s="100">
        <v>7056</v>
      </c>
      <c r="AL57" s="100">
        <v>6</v>
      </c>
      <c r="AM57" s="100">
        <v>8467.2000000000007</v>
      </c>
      <c r="AN57" s="100">
        <v>7</v>
      </c>
      <c r="AO57" s="100">
        <v>9878.4</v>
      </c>
      <c r="AP57" s="100">
        <v>6.7737537435964885</v>
      </c>
      <c r="AQ57" s="100">
        <v>9559.1212829633641</v>
      </c>
      <c r="AR57" s="100">
        <v>3.8553329604371935</v>
      </c>
      <c r="AS57" s="100">
        <v>5440.6458737689672</v>
      </c>
      <c r="AT57" s="100">
        <v>2.465700083832616</v>
      </c>
      <c r="AU57" s="100">
        <v>3479.5959583045878</v>
      </c>
      <c r="AV57" s="100">
        <v>5</v>
      </c>
      <c r="AW57" s="100">
        <v>7056</v>
      </c>
      <c r="AX57" s="100">
        <v>10</v>
      </c>
      <c r="AY57" s="100">
        <v>14112</v>
      </c>
      <c r="AZ57" s="100">
        <v>8</v>
      </c>
      <c r="BA57" s="100">
        <v>11289.6</v>
      </c>
      <c r="BB57" s="100">
        <v>9</v>
      </c>
      <c r="BC57" s="100">
        <v>12700.800000000001</v>
      </c>
      <c r="BD57" s="100">
        <v>6</v>
      </c>
      <c r="BE57" s="100">
        <v>8467.2000000000007</v>
      </c>
      <c r="BF57" s="100">
        <v>7</v>
      </c>
      <c r="BG57" s="100">
        <v>9878.4</v>
      </c>
      <c r="BH57" s="100">
        <v>1.328580104833331</v>
      </c>
      <c r="BI57" s="100">
        <v>1874.8922439407968</v>
      </c>
      <c r="BJ57" s="100">
        <v>8</v>
      </c>
      <c r="BK57" s="100">
        <v>11289.6</v>
      </c>
      <c r="BL57" s="100">
        <v>10</v>
      </c>
      <c r="BM57" s="100">
        <v>14112</v>
      </c>
      <c r="BN57" s="100">
        <v>8</v>
      </c>
      <c r="BO57" s="100">
        <v>11289.6</v>
      </c>
      <c r="BP57" s="100">
        <v>8</v>
      </c>
      <c r="BQ57" s="100">
        <v>11289.6</v>
      </c>
      <c r="BR57" s="100">
        <v>9</v>
      </c>
      <c r="BS57" s="100">
        <v>12700.800000000001</v>
      </c>
      <c r="BT57" s="100">
        <v>5.160005028799163</v>
      </c>
      <c r="BU57" s="100">
        <v>7281.799096641379</v>
      </c>
      <c r="BV57" s="100">
        <v>5.8317079975360464</v>
      </c>
      <c r="BW57" s="100">
        <v>8229.7063261228686</v>
      </c>
      <c r="BX57" s="100">
        <v>8.8403309008188344</v>
      </c>
      <c r="BY57" s="100">
        <v>12475.474967235539</v>
      </c>
      <c r="BZ57" s="100">
        <v>5.7657980970213982</v>
      </c>
      <c r="CA57" s="100">
        <v>8136.694274516597</v>
      </c>
      <c r="CB57" s="100">
        <v>8</v>
      </c>
      <c r="CC57" s="100">
        <v>11289.6</v>
      </c>
      <c r="CD57" s="100">
        <v>10.181730675911155</v>
      </c>
      <c r="CE57" s="100">
        <v>14368.458329845822</v>
      </c>
      <c r="CF57" s="100">
        <v>7</v>
      </c>
      <c r="CG57" s="100">
        <v>9878.4</v>
      </c>
      <c r="CH57" s="100">
        <v>7.661916669646212</v>
      </c>
      <c r="CI57" s="100">
        <v>10812.496804204735</v>
      </c>
      <c r="CJ57" s="100">
        <v>8</v>
      </c>
      <c r="CK57" s="100">
        <v>11289.6</v>
      </c>
      <c r="CL57" s="100">
        <v>6.7592011370090965</v>
      </c>
      <c r="CM57" s="100">
        <v>9538.584644547238</v>
      </c>
      <c r="CN57" s="100">
        <v>8</v>
      </c>
      <c r="CO57" s="100">
        <v>11289.6</v>
      </c>
      <c r="CP57" s="100">
        <v>8</v>
      </c>
      <c r="CQ57" s="100">
        <v>11289.6</v>
      </c>
      <c r="CR57" s="100">
        <v>10</v>
      </c>
      <c r="CS57" s="100">
        <v>14112</v>
      </c>
      <c r="CT57" s="100">
        <v>2.9339608367468859</v>
      </c>
      <c r="CU57" s="100">
        <v>4140.4055328172053</v>
      </c>
    </row>
    <row r="58" spans="2:99">
      <c r="C58" s="99" t="s">
        <v>224</v>
      </c>
      <c r="D58" s="100">
        <v>8</v>
      </c>
      <c r="E58" s="100">
        <v>9417.6</v>
      </c>
      <c r="F58" s="100">
        <v>5.3306021292061212</v>
      </c>
      <c r="G58" s="100">
        <v>6275.184826501446</v>
      </c>
      <c r="H58" s="100">
        <v>9</v>
      </c>
      <c r="I58" s="100">
        <v>10594.800000000001</v>
      </c>
      <c r="J58" s="100">
        <v>4.8170991299738732</v>
      </c>
      <c r="K58" s="100">
        <v>5670.6890958052436</v>
      </c>
      <c r="L58" s="100">
        <v>1.8522411744820577</v>
      </c>
      <c r="M58" s="100">
        <v>2180.4583106002783</v>
      </c>
      <c r="N58" s="100">
        <v>8</v>
      </c>
      <c r="O58" s="100">
        <v>9417.6</v>
      </c>
      <c r="P58" s="100">
        <v>6</v>
      </c>
      <c r="Q58" s="100">
        <v>7063.2000000000007</v>
      </c>
      <c r="R58" s="100">
        <v>10</v>
      </c>
      <c r="S58" s="100">
        <v>11772</v>
      </c>
      <c r="T58" s="100">
        <v>10</v>
      </c>
      <c r="U58" s="100">
        <v>11772</v>
      </c>
      <c r="V58" s="100">
        <v>7.5356521914143073</v>
      </c>
      <c r="W58" s="100">
        <v>8870.9697597329232</v>
      </c>
      <c r="X58" s="100">
        <v>9</v>
      </c>
      <c r="Y58" s="100">
        <v>10594.800000000001</v>
      </c>
      <c r="Z58" s="100">
        <v>1.6015816776901171</v>
      </c>
      <c r="AA58" s="100">
        <v>1885.3819509768059</v>
      </c>
      <c r="AB58" s="100">
        <v>4.8654232952084104</v>
      </c>
      <c r="AC58" s="100">
        <v>5727.576303119341</v>
      </c>
      <c r="AD58" s="100">
        <v>7</v>
      </c>
      <c r="AE58" s="100">
        <v>8240.4</v>
      </c>
      <c r="AF58" s="100">
        <v>8</v>
      </c>
      <c r="AG58" s="100">
        <v>9417.6</v>
      </c>
      <c r="AH58" s="100">
        <v>9.3647403568116072E-2</v>
      </c>
      <c r="AI58" s="100">
        <v>110.24172348038624</v>
      </c>
      <c r="AJ58" s="100">
        <v>5</v>
      </c>
      <c r="AK58" s="100">
        <v>5886</v>
      </c>
      <c r="AL58" s="100">
        <v>6</v>
      </c>
      <c r="AM58" s="100">
        <v>7063.2000000000007</v>
      </c>
      <c r="AN58" s="100">
        <v>8</v>
      </c>
      <c r="AO58" s="100">
        <v>9417.6</v>
      </c>
      <c r="AP58" s="100">
        <v>7</v>
      </c>
      <c r="AQ58" s="100">
        <v>8240.4</v>
      </c>
      <c r="AR58" s="100">
        <v>7</v>
      </c>
      <c r="AS58" s="100">
        <v>8240.4</v>
      </c>
      <c r="AT58" s="100">
        <v>1.430399010664432</v>
      </c>
      <c r="AU58" s="100">
        <v>1683.8657153541694</v>
      </c>
      <c r="AV58" s="100">
        <v>6</v>
      </c>
      <c r="AW58" s="100">
        <v>7063.2000000000007</v>
      </c>
      <c r="AX58" s="100">
        <v>9</v>
      </c>
      <c r="AY58" s="100">
        <v>10594.800000000001</v>
      </c>
      <c r="AZ58" s="100">
        <v>3.7772075811174273</v>
      </c>
      <c r="BA58" s="100">
        <v>4446.5287644914351</v>
      </c>
      <c r="BB58" s="100">
        <v>5.1612499520379194</v>
      </c>
      <c r="BC58" s="100">
        <v>6075.8234435390386</v>
      </c>
      <c r="BD58" s="100">
        <v>5</v>
      </c>
      <c r="BE58" s="100">
        <v>5886</v>
      </c>
      <c r="BF58" s="100">
        <v>3.2864291860929886</v>
      </c>
      <c r="BG58" s="100">
        <v>3868.7844378686664</v>
      </c>
      <c r="BH58" s="100">
        <v>6</v>
      </c>
      <c r="BI58" s="100">
        <v>7063.2000000000007</v>
      </c>
      <c r="BJ58" s="100">
        <v>9</v>
      </c>
      <c r="BK58" s="100">
        <v>10594.800000000001</v>
      </c>
      <c r="BL58" s="100">
        <v>9</v>
      </c>
      <c r="BM58" s="100">
        <v>10594.800000000001</v>
      </c>
      <c r="BN58" s="100">
        <v>8.8413439415135375</v>
      </c>
      <c r="BO58" s="100">
        <v>10408.030087949737</v>
      </c>
      <c r="BP58" s="100">
        <v>9</v>
      </c>
      <c r="BQ58" s="100">
        <v>10594.800000000001</v>
      </c>
      <c r="BR58" s="100">
        <v>8.9194777664610658</v>
      </c>
      <c r="BS58" s="100">
        <v>10500.009226677967</v>
      </c>
      <c r="BT58" s="100">
        <v>9.3419298237408146</v>
      </c>
      <c r="BU58" s="100">
        <v>10997.319788507688</v>
      </c>
      <c r="BV58" s="100">
        <v>7</v>
      </c>
      <c r="BW58" s="100">
        <v>8240.4</v>
      </c>
      <c r="BX58" s="100">
        <v>10.924137931034457</v>
      </c>
      <c r="BY58" s="100">
        <v>12859.895172413762</v>
      </c>
      <c r="BZ58" s="100">
        <v>3.9768785605906078</v>
      </c>
      <c r="CA58" s="100">
        <v>4681.5814415272635</v>
      </c>
      <c r="CB58" s="100">
        <v>8</v>
      </c>
      <c r="CC58" s="100">
        <v>9417.6</v>
      </c>
      <c r="CD58" s="100">
        <v>10</v>
      </c>
      <c r="CE58" s="100">
        <v>11772</v>
      </c>
      <c r="CF58" s="100">
        <v>8</v>
      </c>
      <c r="CG58" s="100">
        <v>9417.6</v>
      </c>
      <c r="CH58" s="100">
        <v>8</v>
      </c>
      <c r="CI58" s="100">
        <v>9417.6</v>
      </c>
      <c r="CJ58" s="100">
        <v>8</v>
      </c>
      <c r="CK58" s="100">
        <v>9417.6</v>
      </c>
      <c r="CL58" s="100">
        <v>7</v>
      </c>
      <c r="CM58" s="100">
        <v>8240.4</v>
      </c>
      <c r="CN58" s="100">
        <v>3.8860614516558143</v>
      </c>
      <c r="CO58" s="100">
        <v>4574.6715408892251</v>
      </c>
      <c r="CP58" s="100">
        <v>7.8640776699029038</v>
      </c>
      <c r="CQ58" s="100">
        <v>9257.5922330096982</v>
      </c>
      <c r="CR58" s="100">
        <v>10</v>
      </c>
      <c r="CS58" s="100">
        <v>11772</v>
      </c>
      <c r="CT58" s="100">
        <v>7</v>
      </c>
      <c r="CU58" s="100">
        <v>8240.4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10</v>
      </c>
      <c r="G59" s="100">
        <v>3035.9999999999995</v>
      </c>
      <c r="H59" s="100">
        <v>10</v>
      </c>
      <c r="I59" s="100">
        <v>3035.9999999999995</v>
      </c>
      <c r="J59" s="100">
        <v>6</v>
      </c>
      <c r="K59" s="100">
        <v>1821.6</v>
      </c>
      <c r="L59" s="100">
        <v>10</v>
      </c>
      <c r="M59" s="100">
        <v>3035.9999999999995</v>
      </c>
      <c r="N59" s="100">
        <v>8</v>
      </c>
      <c r="O59" s="100">
        <v>2428.7999999999997</v>
      </c>
      <c r="P59" s="100">
        <v>6</v>
      </c>
      <c r="Q59" s="100">
        <v>1821.6</v>
      </c>
      <c r="R59" s="100">
        <v>11</v>
      </c>
      <c r="S59" s="100">
        <v>3339.5999999999995</v>
      </c>
      <c r="T59" s="100">
        <v>10</v>
      </c>
      <c r="U59" s="100">
        <v>3035.9999999999995</v>
      </c>
      <c r="V59" s="100">
        <v>11</v>
      </c>
      <c r="W59" s="100">
        <v>3339.5999999999995</v>
      </c>
      <c r="X59" s="100">
        <v>7.0637774324993723</v>
      </c>
      <c r="Y59" s="100">
        <v>2144.5628285068092</v>
      </c>
      <c r="Z59" s="100">
        <v>10</v>
      </c>
      <c r="AA59" s="100">
        <v>3035.9999999999995</v>
      </c>
      <c r="AB59" s="100">
        <v>3.3763023003174863</v>
      </c>
      <c r="AC59" s="100">
        <v>1025.0453783763887</v>
      </c>
      <c r="AD59" s="100">
        <v>6</v>
      </c>
      <c r="AE59" s="100">
        <v>1821.6</v>
      </c>
      <c r="AF59" s="100">
        <v>3.3069764528560013</v>
      </c>
      <c r="AG59" s="100">
        <v>1003.9980510870819</v>
      </c>
      <c r="AH59" s="100">
        <v>7</v>
      </c>
      <c r="AI59" s="100">
        <v>2125.1999999999998</v>
      </c>
      <c r="AJ59" s="100">
        <v>6</v>
      </c>
      <c r="AK59" s="100">
        <v>1821.6</v>
      </c>
      <c r="AL59" s="100">
        <v>6</v>
      </c>
      <c r="AM59" s="100">
        <v>1821.6</v>
      </c>
      <c r="AN59" s="100">
        <v>8</v>
      </c>
      <c r="AO59" s="100">
        <v>2428.7999999999997</v>
      </c>
      <c r="AP59" s="100">
        <v>6.7737537435964885</v>
      </c>
      <c r="AQ59" s="100">
        <v>2056.5116365558938</v>
      </c>
      <c r="AR59" s="100">
        <v>4.4060948119282211</v>
      </c>
      <c r="AS59" s="100">
        <v>1337.6903849014077</v>
      </c>
      <c r="AT59" s="100">
        <v>2.1917334078512143</v>
      </c>
      <c r="AU59" s="100">
        <v>665.41026262362857</v>
      </c>
      <c r="AV59" s="100">
        <v>5</v>
      </c>
      <c r="AW59" s="100">
        <v>1517.9999999999998</v>
      </c>
      <c r="AX59" s="100">
        <v>9</v>
      </c>
      <c r="AY59" s="100">
        <v>2732.3999999999996</v>
      </c>
      <c r="AZ59" s="100">
        <v>8</v>
      </c>
      <c r="BA59" s="100">
        <v>2428.7999999999997</v>
      </c>
      <c r="BB59" s="100">
        <v>9</v>
      </c>
      <c r="BC59" s="100">
        <v>2732.3999999999996</v>
      </c>
      <c r="BD59" s="100">
        <v>6</v>
      </c>
      <c r="BE59" s="100">
        <v>1821.6</v>
      </c>
      <c r="BF59" s="100">
        <v>6</v>
      </c>
      <c r="BG59" s="100">
        <v>1821.6</v>
      </c>
      <c r="BH59" s="100">
        <v>1.5500101223055529</v>
      </c>
      <c r="BI59" s="100">
        <v>470.58307313196582</v>
      </c>
      <c r="BJ59" s="100">
        <v>9</v>
      </c>
      <c r="BK59" s="100">
        <v>2732.3999999999996</v>
      </c>
      <c r="BL59" s="100">
        <v>10</v>
      </c>
      <c r="BM59" s="100">
        <v>3035.9999999999995</v>
      </c>
      <c r="BN59" s="100">
        <v>9</v>
      </c>
      <c r="BO59" s="100">
        <v>2732.3999999999996</v>
      </c>
      <c r="BP59" s="100">
        <v>10</v>
      </c>
      <c r="BQ59" s="100">
        <v>3035.9999999999995</v>
      </c>
      <c r="BR59" s="100">
        <v>11</v>
      </c>
      <c r="BS59" s="100">
        <v>3339.5999999999995</v>
      </c>
      <c r="BT59" s="100">
        <v>5.6760055316790794</v>
      </c>
      <c r="BU59" s="100">
        <v>1723.2352794177684</v>
      </c>
      <c r="BV59" s="100">
        <v>5.8317079975360464</v>
      </c>
      <c r="BW59" s="100">
        <v>1770.5065480519436</v>
      </c>
      <c r="BX59" s="100">
        <v>10.6083970809826</v>
      </c>
      <c r="BY59" s="100">
        <v>3220.709353786317</v>
      </c>
      <c r="BZ59" s="100">
        <v>6.7267644465249647</v>
      </c>
      <c r="CA59" s="100">
        <v>2042.245685964979</v>
      </c>
      <c r="CB59" s="100">
        <v>8</v>
      </c>
      <c r="CC59" s="100">
        <v>2428.7999999999997</v>
      </c>
      <c r="CD59" s="100">
        <v>11.107342555539439</v>
      </c>
      <c r="CE59" s="100">
        <v>3372.1891998617734</v>
      </c>
      <c r="CF59" s="100">
        <v>8</v>
      </c>
      <c r="CG59" s="100">
        <v>2428.7999999999997</v>
      </c>
      <c r="CH59" s="100">
        <v>9.5773958370577645</v>
      </c>
      <c r="CI59" s="100">
        <v>2907.6973761307372</v>
      </c>
      <c r="CJ59" s="100">
        <v>9</v>
      </c>
      <c r="CK59" s="100">
        <v>2732.3999999999996</v>
      </c>
      <c r="CL59" s="100">
        <v>6.7592011370090965</v>
      </c>
      <c r="CM59" s="100">
        <v>2052.0934651959615</v>
      </c>
      <c r="CN59" s="100">
        <v>7</v>
      </c>
      <c r="CO59" s="100">
        <v>2125.1999999999998</v>
      </c>
      <c r="CP59" s="100">
        <v>9</v>
      </c>
      <c r="CQ59" s="100">
        <v>2732.3999999999996</v>
      </c>
      <c r="CR59" s="100">
        <v>10</v>
      </c>
      <c r="CS59" s="100">
        <v>3035.9999999999995</v>
      </c>
      <c r="CT59" s="100">
        <v>3.3530980991392982</v>
      </c>
      <c r="CU59" s="100">
        <v>1018.0005828986908</v>
      </c>
    </row>
    <row r="60" spans="2:99">
      <c r="C60" s="99" t="s">
        <v>226</v>
      </c>
      <c r="D60" s="100">
        <v>10</v>
      </c>
      <c r="E60" s="100">
        <v>6516</v>
      </c>
      <c r="F60" s="100">
        <v>9</v>
      </c>
      <c r="G60" s="100">
        <v>5864.4000000000005</v>
      </c>
      <c r="H60" s="100">
        <v>10</v>
      </c>
      <c r="I60" s="100">
        <v>6516</v>
      </c>
      <c r="J60" s="100">
        <v>6</v>
      </c>
      <c r="K60" s="100">
        <v>3909.6000000000004</v>
      </c>
      <c r="L60" s="100">
        <v>9</v>
      </c>
      <c r="M60" s="100">
        <v>5864.4000000000005</v>
      </c>
      <c r="N60" s="100">
        <v>8</v>
      </c>
      <c r="O60" s="100">
        <v>5212.8</v>
      </c>
      <c r="P60" s="100">
        <v>7</v>
      </c>
      <c r="Q60" s="100">
        <v>4561.2</v>
      </c>
      <c r="R60" s="100">
        <v>9</v>
      </c>
      <c r="S60" s="100">
        <v>5864.4000000000005</v>
      </c>
      <c r="T60" s="100">
        <v>10</v>
      </c>
      <c r="U60" s="100">
        <v>6516</v>
      </c>
      <c r="V60" s="100">
        <v>11</v>
      </c>
      <c r="W60" s="100">
        <v>7167.6</v>
      </c>
      <c r="X60" s="100">
        <v>6.4216158477267022</v>
      </c>
      <c r="Y60" s="100">
        <v>4184.3248863787194</v>
      </c>
      <c r="Z60" s="100">
        <v>9</v>
      </c>
      <c r="AA60" s="100">
        <v>5864.4000000000005</v>
      </c>
      <c r="AB60" s="100">
        <v>3.3763023003174863</v>
      </c>
      <c r="AC60" s="100">
        <v>2199.9985788868744</v>
      </c>
      <c r="AD60" s="100">
        <v>7</v>
      </c>
      <c r="AE60" s="100">
        <v>4561.2</v>
      </c>
      <c r="AF60" s="100">
        <v>4.2518268679577158</v>
      </c>
      <c r="AG60" s="100">
        <v>2770.4903871612478</v>
      </c>
      <c r="AH60" s="100">
        <v>7</v>
      </c>
      <c r="AI60" s="100">
        <v>4561.2</v>
      </c>
      <c r="AJ60" s="100">
        <v>6</v>
      </c>
      <c r="AK60" s="100">
        <v>3909.6000000000004</v>
      </c>
      <c r="AL60" s="100">
        <v>6</v>
      </c>
      <c r="AM60" s="100">
        <v>3909.6000000000004</v>
      </c>
      <c r="AN60" s="100">
        <v>8</v>
      </c>
      <c r="AO60" s="100">
        <v>5212.8</v>
      </c>
      <c r="AP60" s="100">
        <v>6.7737537435964885</v>
      </c>
      <c r="AQ60" s="100">
        <v>4413.7779393274723</v>
      </c>
      <c r="AR60" s="100">
        <v>3.8553329604371935</v>
      </c>
      <c r="AS60" s="100">
        <v>2512.1349570208754</v>
      </c>
      <c r="AT60" s="100">
        <v>2.465700083832616</v>
      </c>
      <c r="AU60" s="100">
        <v>1606.6501746253325</v>
      </c>
      <c r="AV60" s="100">
        <v>6</v>
      </c>
      <c r="AW60" s="100">
        <v>3909.6000000000004</v>
      </c>
      <c r="AX60" s="100">
        <v>9</v>
      </c>
      <c r="AY60" s="100">
        <v>5864.4000000000005</v>
      </c>
      <c r="AZ60" s="100">
        <v>8</v>
      </c>
      <c r="BA60" s="100">
        <v>5212.8</v>
      </c>
      <c r="BB60" s="100">
        <v>9</v>
      </c>
      <c r="BC60" s="100">
        <v>5864.4000000000005</v>
      </c>
      <c r="BD60" s="100">
        <v>6</v>
      </c>
      <c r="BE60" s="100">
        <v>3909.6000000000004</v>
      </c>
      <c r="BF60" s="100">
        <v>7</v>
      </c>
      <c r="BG60" s="100">
        <v>4561.2</v>
      </c>
      <c r="BH60" s="100">
        <v>1.328580104833331</v>
      </c>
      <c r="BI60" s="100">
        <v>865.70279630939854</v>
      </c>
      <c r="BJ60" s="100">
        <v>9</v>
      </c>
      <c r="BK60" s="100">
        <v>5864.4000000000005</v>
      </c>
      <c r="BL60" s="100">
        <v>10</v>
      </c>
      <c r="BM60" s="100">
        <v>6516</v>
      </c>
      <c r="BN60" s="100">
        <v>9</v>
      </c>
      <c r="BO60" s="100">
        <v>5864.4000000000005</v>
      </c>
      <c r="BP60" s="100">
        <v>9</v>
      </c>
      <c r="BQ60" s="100">
        <v>5864.4000000000005</v>
      </c>
      <c r="BR60" s="100">
        <v>9</v>
      </c>
      <c r="BS60" s="100">
        <v>5864.4000000000005</v>
      </c>
      <c r="BT60" s="100">
        <v>4.6440045259192466</v>
      </c>
      <c r="BU60" s="100">
        <v>3026.0333490889811</v>
      </c>
      <c r="BV60" s="100">
        <v>5.8317079975360464</v>
      </c>
      <c r="BW60" s="100">
        <v>3799.9409311944878</v>
      </c>
      <c r="BX60" s="100">
        <v>9.7243639909007182</v>
      </c>
      <c r="BY60" s="100">
        <v>6336.3955764709081</v>
      </c>
      <c r="BZ60" s="100">
        <v>5.7657980970213982</v>
      </c>
      <c r="CA60" s="100">
        <v>3756.9940400191431</v>
      </c>
      <c r="CB60" s="100">
        <v>8</v>
      </c>
      <c r="CC60" s="100">
        <v>5212.8</v>
      </c>
      <c r="CD60" s="100">
        <v>9.2561187962828662</v>
      </c>
      <c r="CE60" s="100">
        <v>6031.2870076579156</v>
      </c>
      <c r="CF60" s="100">
        <v>8</v>
      </c>
      <c r="CG60" s="100">
        <v>5212.8</v>
      </c>
      <c r="CH60" s="100">
        <v>8.6196562533519892</v>
      </c>
      <c r="CI60" s="100">
        <v>5616.568014684156</v>
      </c>
      <c r="CJ60" s="100">
        <v>9</v>
      </c>
      <c r="CK60" s="100">
        <v>5864.4000000000005</v>
      </c>
      <c r="CL60" s="100">
        <v>7.7248012994389681</v>
      </c>
      <c r="CM60" s="100">
        <v>5033.480526714432</v>
      </c>
      <c r="CN60" s="100">
        <v>7</v>
      </c>
      <c r="CO60" s="100">
        <v>4561.2</v>
      </c>
      <c r="CP60" s="100">
        <v>10</v>
      </c>
      <c r="CQ60" s="100">
        <v>6516</v>
      </c>
      <c r="CR60" s="100">
        <v>10</v>
      </c>
      <c r="CS60" s="100">
        <v>6516</v>
      </c>
      <c r="CT60" s="100">
        <v>3.3530980991392982</v>
      </c>
      <c r="CU60" s="100">
        <v>2184.8787213991668</v>
      </c>
    </row>
    <row r="61" spans="2:99">
      <c r="C61" s="99" t="s">
        <v>227</v>
      </c>
      <c r="D61" s="100">
        <v>10</v>
      </c>
      <c r="E61" s="100">
        <v>9516</v>
      </c>
      <c r="F61" s="100">
        <v>8</v>
      </c>
      <c r="G61" s="100">
        <v>7612.7999999999993</v>
      </c>
      <c r="H61" s="100">
        <v>9</v>
      </c>
      <c r="I61" s="100">
        <v>8564.4</v>
      </c>
      <c r="J61" s="100">
        <v>6</v>
      </c>
      <c r="K61" s="100">
        <v>5709.5999999999995</v>
      </c>
      <c r="L61" s="100">
        <v>10</v>
      </c>
      <c r="M61" s="100">
        <v>9516</v>
      </c>
      <c r="N61" s="100">
        <v>8</v>
      </c>
      <c r="O61" s="100">
        <v>7612.7999999999993</v>
      </c>
      <c r="P61" s="100">
        <v>7</v>
      </c>
      <c r="Q61" s="100">
        <v>6661.1999999999989</v>
      </c>
      <c r="R61" s="100">
        <v>10</v>
      </c>
      <c r="S61" s="100">
        <v>9516</v>
      </c>
      <c r="T61" s="100">
        <v>9</v>
      </c>
      <c r="U61" s="100">
        <v>8564.4</v>
      </c>
      <c r="V61" s="100">
        <v>10</v>
      </c>
      <c r="W61" s="100">
        <v>9516</v>
      </c>
      <c r="X61" s="100">
        <v>6.4216158477267022</v>
      </c>
      <c r="Y61" s="100">
        <v>6110.8096406967288</v>
      </c>
      <c r="Z61" s="100">
        <v>10</v>
      </c>
      <c r="AA61" s="100">
        <v>9516</v>
      </c>
      <c r="AB61" s="100">
        <v>3.3763023003174863</v>
      </c>
      <c r="AC61" s="100">
        <v>3212.8892689821196</v>
      </c>
      <c r="AD61" s="100">
        <v>6</v>
      </c>
      <c r="AE61" s="100">
        <v>5709.5999999999995</v>
      </c>
      <c r="AF61" s="100">
        <v>3.7794016604068585</v>
      </c>
      <c r="AG61" s="100">
        <v>3596.4786200431663</v>
      </c>
      <c r="AH61" s="100">
        <v>7</v>
      </c>
      <c r="AI61" s="100">
        <v>6661.1999999999989</v>
      </c>
      <c r="AJ61" s="100">
        <v>6</v>
      </c>
      <c r="AK61" s="100">
        <v>5709.5999999999995</v>
      </c>
      <c r="AL61" s="100">
        <v>6</v>
      </c>
      <c r="AM61" s="100">
        <v>5709.5999999999995</v>
      </c>
      <c r="AN61" s="100">
        <v>7</v>
      </c>
      <c r="AO61" s="100">
        <v>6661.1999999999989</v>
      </c>
      <c r="AP61" s="100">
        <v>5.9270345256469259</v>
      </c>
      <c r="AQ61" s="100">
        <v>5640.1660546056146</v>
      </c>
      <c r="AR61" s="100">
        <v>3.8553329604371935</v>
      </c>
      <c r="AS61" s="100">
        <v>3668.7348451520329</v>
      </c>
      <c r="AT61" s="100">
        <v>2.1917334078512143</v>
      </c>
      <c r="AU61" s="100">
        <v>2085.6535109112151</v>
      </c>
      <c r="AV61" s="100">
        <v>6</v>
      </c>
      <c r="AW61" s="100">
        <v>5709.5999999999995</v>
      </c>
      <c r="AX61" s="100">
        <v>8</v>
      </c>
      <c r="AY61" s="100">
        <v>7612.7999999999993</v>
      </c>
      <c r="AZ61" s="100">
        <v>7</v>
      </c>
      <c r="BA61" s="100">
        <v>6661.1999999999989</v>
      </c>
      <c r="BB61" s="100">
        <v>9</v>
      </c>
      <c r="BC61" s="100">
        <v>8564.4</v>
      </c>
      <c r="BD61" s="100">
        <v>6</v>
      </c>
      <c r="BE61" s="100">
        <v>5709.5999999999995</v>
      </c>
      <c r="BF61" s="100">
        <v>6</v>
      </c>
      <c r="BG61" s="100">
        <v>5709.5999999999995</v>
      </c>
      <c r="BH61" s="100">
        <v>1.328580104833331</v>
      </c>
      <c r="BI61" s="100">
        <v>1264.2768277593977</v>
      </c>
      <c r="BJ61" s="100">
        <v>8</v>
      </c>
      <c r="BK61" s="100">
        <v>7612.7999999999993</v>
      </c>
      <c r="BL61" s="100">
        <v>10</v>
      </c>
      <c r="BM61" s="100">
        <v>9516</v>
      </c>
      <c r="BN61" s="100">
        <v>8</v>
      </c>
      <c r="BO61" s="100">
        <v>7612.7999999999993</v>
      </c>
      <c r="BP61" s="100">
        <v>9</v>
      </c>
      <c r="BQ61" s="100">
        <v>8564.4</v>
      </c>
      <c r="BR61" s="100">
        <v>10</v>
      </c>
      <c r="BS61" s="100">
        <v>9516</v>
      </c>
      <c r="BT61" s="100">
        <v>4.6440045259192466</v>
      </c>
      <c r="BU61" s="100">
        <v>4419.234706864755</v>
      </c>
      <c r="BV61" s="100">
        <v>5.8317079975360464</v>
      </c>
      <c r="BW61" s="100">
        <v>5549.4533304553015</v>
      </c>
      <c r="BX61" s="100">
        <v>8.8403309008188344</v>
      </c>
      <c r="BY61" s="100">
        <v>8412.4588852192028</v>
      </c>
      <c r="BZ61" s="100">
        <v>5.7657980970213982</v>
      </c>
      <c r="CA61" s="100">
        <v>5486.7334691255619</v>
      </c>
      <c r="CB61" s="100">
        <v>8</v>
      </c>
      <c r="CC61" s="100">
        <v>7612.7999999999993</v>
      </c>
      <c r="CD61" s="100">
        <v>9.2561187962828662</v>
      </c>
      <c r="CE61" s="100">
        <v>8808.1226465427753</v>
      </c>
      <c r="CF61" s="100">
        <v>8</v>
      </c>
      <c r="CG61" s="100">
        <v>7612.7999999999993</v>
      </c>
      <c r="CH61" s="100">
        <v>8.6196562533519892</v>
      </c>
      <c r="CI61" s="100">
        <v>8202.4648906897528</v>
      </c>
      <c r="CJ61" s="100">
        <v>9</v>
      </c>
      <c r="CK61" s="100">
        <v>8564.4</v>
      </c>
      <c r="CL61" s="100">
        <v>6.7592011370090965</v>
      </c>
      <c r="CM61" s="100">
        <v>6432.0558019778555</v>
      </c>
      <c r="CN61" s="100">
        <v>7</v>
      </c>
      <c r="CO61" s="100">
        <v>6661.1999999999989</v>
      </c>
      <c r="CP61" s="100">
        <v>9</v>
      </c>
      <c r="CQ61" s="100">
        <v>8564.4</v>
      </c>
      <c r="CR61" s="100">
        <v>11</v>
      </c>
      <c r="CS61" s="100">
        <v>10467.599999999999</v>
      </c>
      <c r="CT61" s="100">
        <v>2.9339608367468859</v>
      </c>
      <c r="CU61" s="100">
        <v>2791.9571322483362</v>
      </c>
    </row>
    <row r="62" spans="2:99">
      <c r="C62" s="99" t="s">
        <v>228</v>
      </c>
      <c r="D62" s="100">
        <v>8</v>
      </c>
      <c r="E62" s="100">
        <v>13353.6</v>
      </c>
      <c r="F62" s="100">
        <v>8.8860361525948584</v>
      </c>
      <c r="G62" s="100">
        <v>14832.571545911338</v>
      </c>
      <c r="H62" s="100">
        <v>6.1418512951049937</v>
      </c>
      <c r="I62" s="100">
        <v>10251.978181789256</v>
      </c>
      <c r="J62" s="100">
        <v>5.9999999999999991</v>
      </c>
      <c r="K62" s="100">
        <v>10015.199999999999</v>
      </c>
      <c r="L62" s="100">
        <v>7.1578947368421035</v>
      </c>
      <c r="M62" s="100">
        <v>11947.957894736839</v>
      </c>
      <c r="N62" s="100">
        <v>7</v>
      </c>
      <c r="O62" s="100">
        <v>11684.4</v>
      </c>
      <c r="P62" s="100">
        <v>3.5855073039915974</v>
      </c>
      <c r="Q62" s="100">
        <v>5984.9287918227747</v>
      </c>
      <c r="R62" s="100">
        <v>7.5068060935634682</v>
      </c>
      <c r="S62" s="100">
        <v>12530.360731376142</v>
      </c>
      <c r="T62" s="100">
        <v>7.8100196510583917</v>
      </c>
      <c r="U62" s="100">
        <v>13036.484801546667</v>
      </c>
      <c r="V62" s="100">
        <v>5.8733381982838164</v>
      </c>
      <c r="W62" s="100">
        <v>9803.7761205753468</v>
      </c>
      <c r="X62" s="100">
        <v>7.9629713622800837</v>
      </c>
      <c r="Y62" s="100">
        <v>13291.791797917916</v>
      </c>
      <c r="Z62" s="100">
        <v>0</v>
      </c>
      <c r="AA62" s="100">
        <v>0</v>
      </c>
      <c r="AB62" s="100">
        <v>7</v>
      </c>
      <c r="AC62" s="100">
        <v>11684.4</v>
      </c>
      <c r="AD62" s="100">
        <v>5.3365384615384945</v>
      </c>
      <c r="AE62" s="100">
        <v>8907.7500000000546</v>
      </c>
      <c r="AF62" s="100">
        <v>6.1658031088082899</v>
      </c>
      <c r="AG62" s="100">
        <v>10291.958549222798</v>
      </c>
      <c r="AH62" s="100">
        <v>6.2962962962962949</v>
      </c>
      <c r="AI62" s="100">
        <v>10509.777777777776</v>
      </c>
      <c r="AJ62" s="100">
        <v>4.166666666666667</v>
      </c>
      <c r="AK62" s="100">
        <v>6955.0000000000009</v>
      </c>
      <c r="AL62" s="100">
        <v>5.8620689655172402</v>
      </c>
      <c r="AM62" s="100">
        <v>9784.9655172413768</v>
      </c>
      <c r="AN62" s="100">
        <v>7</v>
      </c>
      <c r="AO62" s="100">
        <v>11684.4</v>
      </c>
      <c r="AP62" s="100">
        <v>5.563318777292575</v>
      </c>
      <c r="AQ62" s="100">
        <v>9286.291703056766</v>
      </c>
      <c r="AR62" s="100">
        <v>6</v>
      </c>
      <c r="AS62" s="100">
        <v>10015.200000000001</v>
      </c>
      <c r="AT62" s="100">
        <v>8</v>
      </c>
      <c r="AU62" s="100">
        <v>13353.6</v>
      </c>
      <c r="AV62" s="100">
        <v>1.3586956521739122</v>
      </c>
      <c r="AW62" s="100">
        <v>2267.9347826086941</v>
      </c>
      <c r="AX62" s="100">
        <v>1.0804270553098183E-21</v>
      </c>
      <c r="AY62" s="100">
        <v>1.8034488407231488E-18</v>
      </c>
      <c r="AZ62" s="100">
        <v>4.9342580332240417E-22</v>
      </c>
      <c r="BA62" s="100">
        <v>8.2362635090575707E-19</v>
      </c>
      <c r="BB62" s="100">
        <v>6.0089324994765851E-22</v>
      </c>
      <c r="BC62" s="100">
        <v>1.0030110128126316E-18</v>
      </c>
      <c r="BD62" s="100">
        <v>2.3581557665762234</v>
      </c>
      <c r="BE62" s="100">
        <v>3936.2336055690321</v>
      </c>
      <c r="BF62" s="100">
        <v>4.6575342465753415</v>
      </c>
      <c r="BG62" s="100">
        <v>7774.3561643835601</v>
      </c>
      <c r="BH62" s="100">
        <v>4.0284360189573452</v>
      </c>
      <c r="BI62" s="100">
        <v>6724.2654028436009</v>
      </c>
      <c r="BJ62" s="100">
        <v>5.8369098712446341</v>
      </c>
      <c r="BK62" s="100">
        <v>9742.9699570815428</v>
      </c>
      <c r="BL62" s="100">
        <v>4.6271915160379722</v>
      </c>
      <c r="BM62" s="100">
        <v>7723.708078570583</v>
      </c>
      <c r="BN62" s="100">
        <v>7.2421958106401751</v>
      </c>
      <c r="BO62" s="100">
        <v>12088.673247120581</v>
      </c>
      <c r="BP62" s="100">
        <v>6.6476691230248424</v>
      </c>
      <c r="BQ62" s="100">
        <v>11096.289300153067</v>
      </c>
      <c r="BR62" s="100">
        <v>10</v>
      </c>
      <c r="BS62" s="100">
        <v>16692</v>
      </c>
      <c r="BT62" s="100">
        <v>5.6800365301043696</v>
      </c>
      <c r="BU62" s="100">
        <v>9481.1169760502144</v>
      </c>
      <c r="BV62" s="100">
        <v>6.3296432757248606</v>
      </c>
      <c r="BW62" s="100">
        <v>10565.440555839938</v>
      </c>
      <c r="BX62" s="100">
        <v>10</v>
      </c>
      <c r="BY62" s="100">
        <v>16692</v>
      </c>
      <c r="BZ62" s="100">
        <v>4.0019949796229026</v>
      </c>
      <c r="CA62" s="100">
        <v>6680.1300199865491</v>
      </c>
      <c r="CB62" s="100">
        <v>7</v>
      </c>
      <c r="CC62" s="100">
        <v>11684.4</v>
      </c>
      <c r="CD62" s="100">
        <v>11</v>
      </c>
      <c r="CE62" s="100">
        <v>18361.2</v>
      </c>
      <c r="CF62" s="100">
        <v>6.4819110753154323</v>
      </c>
      <c r="CG62" s="100">
        <v>10819.605966916521</v>
      </c>
      <c r="CH62" s="100">
        <v>6.4150943396226401</v>
      </c>
      <c r="CI62" s="100">
        <v>10708.075471698112</v>
      </c>
      <c r="CJ62" s="100">
        <v>4.5779660743779935</v>
      </c>
      <c r="CK62" s="100">
        <v>7641.5409713517474</v>
      </c>
      <c r="CL62" s="100">
        <v>7</v>
      </c>
      <c r="CM62" s="100">
        <v>11684.4</v>
      </c>
      <c r="CN62" s="100">
        <v>6.9190751445086685</v>
      </c>
      <c r="CO62" s="100">
        <v>11549.320231213869</v>
      </c>
      <c r="CP62" s="100">
        <v>9</v>
      </c>
      <c r="CQ62" s="100">
        <v>15022.800000000001</v>
      </c>
      <c r="CR62" s="100">
        <v>10</v>
      </c>
      <c r="CS62" s="100">
        <v>16692</v>
      </c>
      <c r="CT62" s="100">
        <v>6.1892138595416961</v>
      </c>
      <c r="CU62" s="100">
        <v>10331.035774346999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9</v>
      </c>
      <c r="G63" s="100">
        <v>7160.4000000000005</v>
      </c>
      <c r="H63" s="100">
        <v>9</v>
      </c>
      <c r="I63" s="100">
        <v>7160.4000000000005</v>
      </c>
      <c r="J63" s="100">
        <v>7</v>
      </c>
      <c r="K63" s="100">
        <v>5569.2</v>
      </c>
      <c r="L63" s="100">
        <v>9</v>
      </c>
      <c r="M63" s="100">
        <v>7160.4000000000005</v>
      </c>
      <c r="N63" s="100">
        <v>8</v>
      </c>
      <c r="O63" s="100">
        <v>6364.8</v>
      </c>
      <c r="P63" s="100">
        <v>6</v>
      </c>
      <c r="Q63" s="100">
        <v>4773.6000000000004</v>
      </c>
      <c r="R63" s="100">
        <v>9</v>
      </c>
      <c r="S63" s="100">
        <v>7160.4000000000005</v>
      </c>
      <c r="T63" s="100">
        <v>9</v>
      </c>
      <c r="U63" s="100">
        <v>7160.4000000000005</v>
      </c>
      <c r="V63" s="100">
        <v>10</v>
      </c>
      <c r="W63" s="100">
        <v>7956</v>
      </c>
      <c r="X63" s="100">
        <v>5.7794542629540322</v>
      </c>
      <c r="Y63" s="100">
        <v>4598.1338116062279</v>
      </c>
      <c r="Z63" s="100">
        <v>9</v>
      </c>
      <c r="AA63" s="100">
        <v>7160.4000000000005</v>
      </c>
      <c r="AB63" s="100">
        <v>3.3763023003174863</v>
      </c>
      <c r="AC63" s="100">
        <v>2686.1861101325921</v>
      </c>
      <c r="AD63" s="100">
        <v>7</v>
      </c>
      <c r="AE63" s="100">
        <v>5569.2</v>
      </c>
      <c r="AF63" s="100">
        <v>3.7794016604068585</v>
      </c>
      <c r="AG63" s="100">
        <v>3006.8919610196967</v>
      </c>
      <c r="AH63" s="100">
        <v>7</v>
      </c>
      <c r="AI63" s="100">
        <v>5569.2</v>
      </c>
      <c r="AJ63" s="100">
        <v>6</v>
      </c>
      <c r="AK63" s="100">
        <v>4773.6000000000004</v>
      </c>
      <c r="AL63" s="100">
        <v>6</v>
      </c>
      <c r="AM63" s="100">
        <v>4773.6000000000004</v>
      </c>
      <c r="AN63" s="100">
        <v>8</v>
      </c>
      <c r="AO63" s="100">
        <v>6364.8</v>
      </c>
      <c r="AP63" s="100">
        <v>5.9270345256469259</v>
      </c>
      <c r="AQ63" s="100">
        <v>4715.5486686046943</v>
      </c>
      <c r="AR63" s="100">
        <v>3.8553329604371935</v>
      </c>
      <c r="AS63" s="100">
        <v>3067.3029033238313</v>
      </c>
      <c r="AT63" s="100">
        <v>2.1917334078512143</v>
      </c>
      <c r="AU63" s="100">
        <v>1743.7430992864261</v>
      </c>
      <c r="AV63" s="100">
        <v>6</v>
      </c>
      <c r="AW63" s="100">
        <v>4773.6000000000004</v>
      </c>
      <c r="AX63" s="100">
        <v>9</v>
      </c>
      <c r="AY63" s="100">
        <v>7160.4000000000005</v>
      </c>
      <c r="AZ63" s="100">
        <v>7</v>
      </c>
      <c r="BA63" s="100">
        <v>5569.2</v>
      </c>
      <c r="BB63" s="100">
        <v>9</v>
      </c>
      <c r="BC63" s="100">
        <v>7160.4000000000005</v>
      </c>
      <c r="BD63" s="100">
        <v>6</v>
      </c>
      <c r="BE63" s="100">
        <v>4773.6000000000004</v>
      </c>
      <c r="BF63" s="100">
        <v>7</v>
      </c>
      <c r="BG63" s="100">
        <v>5569.2</v>
      </c>
      <c r="BH63" s="100">
        <v>1.328580104833331</v>
      </c>
      <c r="BI63" s="100">
        <v>1057.0183314053982</v>
      </c>
      <c r="BJ63" s="100">
        <v>9</v>
      </c>
      <c r="BK63" s="100">
        <v>7160.4000000000005</v>
      </c>
      <c r="BL63" s="100">
        <v>10</v>
      </c>
      <c r="BM63" s="100">
        <v>7956</v>
      </c>
      <c r="BN63" s="100">
        <v>9</v>
      </c>
      <c r="BO63" s="100">
        <v>7160.4000000000005</v>
      </c>
      <c r="BP63" s="100">
        <v>9</v>
      </c>
      <c r="BQ63" s="100">
        <v>7160.4000000000005</v>
      </c>
      <c r="BR63" s="100">
        <v>11</v>
      </c>
      <c r="BS63" s="100">
        <v>8751.6</v>
      </c>
      <c r="BT63" s="100">
        <v>5.6760055316790794</v>
      </c>
      <c r="BU63" s="100">
        <v>4515.8300010038756</v>
      </c>
      <c r="BV63" s="100">
        <v>5.8317079975360464</v>
      </c>
      <c r="BW63" s="100">
        <v>4639.7068828396787</v>
      </c>
      <c r="BX63" s="100">
        <v>8.8403309008188344</v>
      </c>
      <c r="BY63" s="100">
        <v>7033.3672646914647</v>
      </c>
      <c r="BZ63" s="100">
        <v>5.7657980970213982</v>
      </c>
      <c r="CA63" s="100">
        <v>4587.2689659902244</v>
      </c>
      <c r="CB63" s="100">
        <v>9</v>
      </c>
      <c r="CC63" s="100">
        <v>7160.4000000000005</v>
      </c>
      <c r="CD63" s="100">
        <v>9.2561187962828662</v>
      </c>
      <c r="CE63" s="100">
        <v>7364.1681143226488</v>
      </c>
      <c r="CF63" s="100">
        <v>8</v>
      </c>
      <c r="CG63" s="100">
        <v>6364.8</v>
      </c>
      <c r="CH63" s="100">
        <v>8.6196562533519892</v>
      </c>
      <c r="CI63" s="100">
        <v>6857.7985151668427</v>
      </c>
      <c r="CJ63" s="100">
        <v>9</v>
      </c>
      <c r="CK63" s="100">
        <v>7160.4000000000005</v>
      </c>
      <c r="CL63" s="100">
        <v>6.7592011370090965</v>
      </c>
      <c r="CM63" s="100">
        <v>5377.6204246044372</v>
      </c>
      <c r="CN63" s="100">
        <v>7</v>
      </c>
      <c r="CO63" s="100">
        <v>5569.2</v>
      </c>
      <c r="CP63" s="100">
        <v>9</v>
      </c>
      <c r="CQ63" s="100">
        <v>7160.4000000000005</v>
      </c>
      <c r="CR63" s="100">
        <v>10</v>
      </c>
      <c r="CS63" s="100">
        <v>7956</v>
      </c>
      <c r="CT63" s="100">
        <v>2.9339608367468859</v>
      </c>
      <c r="CU63" s="100">
        <v>2334.2592417158226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8</v>
      </c>
      <c r="G64" s="100">
        <v>8073.5999999999985</v>
      </c>
      <c r="H64" s="100">
        <v>8</v>
      </c>
      <c r="I64" s="100">
        <v>8073.5999999999985</v>
      </c>
      <c r="J64" s="100">
        <v>6</v>
      </c>
      <c r="K64" s="100">
        <v>6055.1999999999989</v>
      </c>
      <c r="L64" s="100">
        <v>9</v>
      </c>
      <c r="M64" s="100">
        <v>9082.7999999999993</v>
      </c>
      <c r="N64" s="100">
        <v>7</v>
      </c>
      <c r="O64" s="100">
        <v>7064.3999999999987</v>
      </c>
      <c r="P64" s="100">
        <v>6</v>
      </c>
      <c r="Q64" s="100">
        <v>6055.1999999999989</v>
      </c>
      <c r="R64" s="100">
        <v>10</v>
      </c>
      <c r="S64" s="100">
        <v>10091.999999999998</v>
      </c>
      <c r="T64" s="100">
        <v>10</v>
      </c>
      <c r="U64" s="100">
        <v>10091.999999999998</v>
      </c>
      <c r="V64" s="100">
        <v>9</v>
      </c>
      <c r="W64" s="100">
        <v>9082.7999999999993</v>
      </c>
      <c r="X64" s="100">
        <v>5.7794542629540322</v>
      </c>
      <c r="Y64" s="100">
        <v>5832.6252421732079</v>
      </c>
      <c r="Z64" s="100">
        <v>9</v>
      </c>
      <c r="AA64" s="100">
        <v>9082.7999999999993</v>
      </c>
      <c r="AB64" s="100">
        <v>2.9542645127778009</v>
      </c>
      <c r="AC64" s="100">
        <v>2981.443746295356</v>
      </c>
      <c r="AD64" s="100">
        <v>7</v>
      </c>
      <c r="AE64" s="100">
        <v>7064.3999999999987</v>
      </c>
      <c r="AF64" s="100">
        <v>3.7794016604068585</v>
      </c>
      <c r="AG64" s="100">
        <v>3814.172155682601</v>
      </c>
      <c r="AH64" s="100">
        <v>6</v>
      </c>
      <c r="AI64" s="100">
        <v>6055.1999999999989</v>
      </c>
      <c r="AJ64" s="100">
        <v>6</v>
      </c>
      <c r="AK64" s="100">
        <v>6055.1999999999989</v>
      </c>
      <c r="AL64" s="100">
        <v>6</v>
      </c>
      <c r="AM64" s="100">
        <v>6055.1999999999989</v>
      </c>
      <c r="AN64" s="100">
        <v>7</v>
      </c>
      <c r="AO64" s="100">
        <v>7064.3999999999987</v>
      </c>
      <c r="AP64" s="100">
        <v>5.9270345256469259</v>
      </c>
      <c r="AQ64" s="100">
        <v>5981.5632432828761</v>
      </c>
      <c r="AR64" s="100">
        <v>3.8553329604371935</v>
      </c>
      <c r="AS64" s="100">
        <v>3890.802023673215</v>
      </c>
      <c r="AT64" s="100">
        <v>2.1917334078512143</v>
      </c>
      <c r="AU64" s="100">
        <v>2211.8973552034449</v>
      </c>
      <c r="AV64" s="100">
        <v>5</v>
      </c>
      <c r="AW64" s="100">
        <v>5045.9999999999991</v>
      </c>
      <c r="AX64" s="100">
        <v>9</v>
      </c>
      <c r="AY64" s="100">
        <v>9082.7999999999993</v>
      </c>
      <c r="AZ64" s="100">
        <v>8</v>
      </c>
      <c r="BA64" s="100">
        <v>8073.5999999999985</v>
      </c>
      <c r="BB64" s="100">
        <v>9</v>
      </c>
      <c r="BC64" s="100">
        <v>9082.7999999999993</v>
      </c>
      <c r="BD64" s="100">
        <v>6</v>
      </c>
      <c r="BE64" s="100">
        <v>6055.1999999999989</v>
      </c>
      <c r="BF64" s="100">
        <v>6</v>
      </c>
      <c r="BG64" s="100">
        <v>6055.1999999999989</v>
      </c>
      <c r="BH64" s="100">
        <v>1.328580104833331</v>
      </c>
      <c r="BI64" s="100">
        <v>1340.8030417977975</v>
      </c>
      <c r="BJ64" s="100">
        <v>8</v>
      </c>
      <c r="BK64" s="100">
        <v>8073.5999999999985</v>
      </c>
      <c r="BL64" s="100">
        <v>10</v>
      </c>
      <c r="BM64" s="100">
        <v>10091.999999999998</v>
      </c>
      <c r="BN64" s="100">
        <v>8</v>
      </c>
      <c r="BO64" s="100">
        <v>8073.5999999999985</v>
      </c>
      <c r="BP64" s="100">
        <v>9</v>
      </c>
      <c r="BQ64" s="100">
        <v>9082.7999999999993</v>
      </c>
      <c r="BR64" s="100">
        <v>9</v>
      </c>
      <c r="BS64" s="100">
        <v>9082.7999999999993</v>
      </c>
      <c r="BT64" s="100">
        <v>4.6440045259192466</v>
      </c>
      <c r="BU64" s="100">
        <v>4686.729367557703</v>
      </c>
      <c r="BV64" s="100">
        <v>5.8317079975360464</v>
      </c>
      <c r="BW64" s="100">
        <v>5885.3597111133768</v>
      </c>
      <c r="BX64" s="100">
        <v>9.7243639909007182</v>
      </c>
      <c r="BY64" s="100">
        <v>9813.8281396170023</v>
      </c>
      <c r="BZ64" s="100">
        <v>5.7657980970213982</v>
      </c>
      <c r="CA64" s="100">
        <v>5818.8434395139939</v>
      </c>
      <c r="CB64" s="100">
        <v>8</v>
      </c>
      <c r="CC64" s="100">
        <v>8073.5999999999985</v>
      </c>
      <c r="CD64" s="100">
        <v>9.2561187962828662</v>
      </c>
      <c r="CE64" s="100">
        <v>9341.275089208666</v>
      </c>
      <c r="CF64" s="100">
        <v>7</v>
      </c>
      <c r="CG64" s="100">
        <v>7064.3999999999987</v>
      </c>
      <c r="CH64" s="100">
        <v>8.6196562533519892</v>
      </c>
      <c r="CI64" s="100">
        <v>8698.9570908828264</v>
      </c>
      <c r="CJ64" s="100">
        <v>10</v>
      </c>
      <c r="CK64" s="100">
        <v>10091.999999999998</v>
      </c>
      <c r="CL64" s="100">
        <v>7.7248012994389681</v>
      </c>
      <c r="CM64" s="100">
        <v>7795.8694713938048</v>
      </c>
      <c r="CN64" s="100">
        <v>7</v>
      </c>
      <c r="CO64" s="100">
        <v>7064.3999999999987</v>
      </c>
      <c r="CP64" s="100">
        <v>8</v>
      </c>
      <c r="CQ64" s="100">
        <v>8073.5999999999985</v>
      </c>
      <c r="CR64" s="100">
        <v>9</v>
      </c>
      <c r="CS64" s="100">
        <v>9082.7999999999993</v>
      </c>
      <c r="CT64" s="100">
        <v>2.9339608367468859</v>
      </c>
      <c r="CU64" s="100">
        <v>2960.9532764449568</v>
      </c>
    </row>
    <row r="65" spans="2:99">
      <c r="C65" s="99" t="s">
        <v>231</v>
      </c>
      <c r="D65" s="100">
        <v>9</v>
      </c>
      <c r="E65" s="100">
        <v>9234</v>
      </c>
      <c r="F65" s="100">
        <v>9</v>
      </c>
      <c r="G65" s="100">
        <v>9234</v>
      </c>
      <c r="H65" s="100">
        <v>9</v>
      </c>
      <c r="I65" s="100">
        <v>9234</v>
      </c>
      <c r="J65" s="100">
        <v>6</v>
      </c>
      <c r="K65" s="100">
        <v>6156</v>
      </c>
      <c r="L65" s="100">
        <v>9</v>
      </c>
      <c r="M65" s="100">
        <v>9234</v>
      </c>
      <c r="N65" s="100">
        <v>8</v>
      </c>
      <c r="O65" s="100">
        <v>8208</v>
      </c>
      <c r="P65" s="100">
        <v>6</v>
      </c>
      <c r="Q65" s="100">
        <v>6156</v>
      </c>
      <c r="R65" s="100">
        <v>9</v>
      </c>
      <c r="S65" s="100">
        <v>9234</v>
      </c>
      <c r="T65" s="100">
        <v>10</v>
      </c>
      <c r="U65" s="100">
        <v>10260</v>
      </c>
      <c r="V65" s="100">
        <v>10</v>
      </c>
      <c r="W65" s="100">
        <v>10260</v>
      </c>
      <c r="X65" s="100">
        <v>6.4216158477267022</v>
      </c>
      <c r="Y65" s="100">
        <v>6588.5778597675962</v>
      </c>
      <c r="Z65" s="100">
        <v>9</v>
      </c>
      <c r="AA65" s="100">
        <v>9234</v>
      </c>
      <c r="AB65" s="100">
        <v>2.9542645127778009</v>
      </c>
      <c r="AC65" s="100">
        <v>3031.0753901100238</v>
      </c>
      <c r="AD65" s="100">
        <v>7</v>
      </c>
      <c r="AE65" s="100">
        <v>7182</v>
      </c>
      <c r="AF65" s="100">
        <v>3.7794016604068585</v>
      </c>
      <c r="AG65" s="100">
        <v>3877.6661035774368</v>
      </c>
      <c r="AH65" s="100">
        <v>7</v>
      </c>
      <c r="AI65" s="100">
        <v>7182</v>
      </c>
      <c r="AJ65" s="100">
        <v>6</v>
      </c>
      <c r="AK65" s="100">
        <v>6156</v>
      </c>
      <c r="AL65" s="100">
        <v>6</v>
      </c>
      <c r="AM65" s="100">
        <v>6156</v>
      </c>
      <c r="AN65" s="100">
        <v>7</v>
      </c>
      <c r="AO65" s="100">
        <v>7182</v>
      </c>
      <c r="AP65" s="100">
        <v>5.9270345256469259</v>
      </c>
      <c r="AQ65" s="100">
        <v>6081.1374233137458</v>
      </c>
      <c r="AR65" s="100">
        <v>3.8553329604371935</v>
      </c>
      <c r="AS65" s="100">
        <v>3955.5716174085605</v>
      </c>
      <c r="AT65" s="100">
        <v>2.465700083832616</v>
      </c>
      <c r="AU65" s="100">
        <v>2529.808286012264</v>
      </c>
      <c r="AV65" s="100">
        <v>6</v>
      </c>
      <c r="AW65" s="100">
        <v>6156</v>
      </c>
      <c r="AX65" s="100">
        <v>8</v>
      </c>
      <c r="AY65" s="100">
        <v>8208</v>
      </c>
      <c r="AZ65" s="100">
        <v>7</v>
      </c>
      <c r="BA65" s="100">
        <v>7182</v>
      </c>
      <c r="BB65" s="100">
        <v>9</v>
      </c>
      <c r="BC65" s="100">
        <v>9234</v>
      </c>
      <c r="BD65" s="100">
        <v>6</v>
      </c>
      <c r="BE65" s="100">
        <v>6156</v>
      </c>
      <c r="BF65" s="100">
        <v>6</v>
      </c>
      <c r="BG65" s="100">
        <v>6156</v>
      </c>
      <c r="BH65" s="100">
        <v>1.1071500873611091</v>
      </c>
      <c r="BI65" s="100">
        <v>1135.9359896324979</v>
      </c>
      <c r="BJ65" s="100">
        <v>9</v>
      </c>
      <c r="BK65" s="100">
        <v>9234</v>
      </c>
      <c r="BL65" s="100">
        <v>10</v>
      </c>
      <c r="BM65" s="100">
        <v>10260</v>
      </c>
      <c r="BN65" s="100">
        <v>8</v>
      </c>
      <c r="BO65" s="100">
        <v>8208</v>
      </c>
      <c r="BP65" s="100">
        <v>9</v>
      </c>
      <c r="BQ65" s="100">
        <v>9234</v>
      </c>
      <c r="BR65" s="100">
        <v>9</v>
      </c>
      <c r="BS65" s="100">
        <v>9234</v>
      </c>
      <c r="BT65" s="100">
        <v>5.160005028799163</v>
      </c>
      <c r="BU65" s="100">
        <v>5294.1651595479416</v>
      </c>
      <c r="BV65" s="100">
        <v>4.9986068550308973</v>
      </c>
      <c r="BW65" s="100">
        <v>5128.570633261701</v>
      </c>
      <c r="BX65" s="100">
        <v>8.8403309008188344</v>
      </c>
      <c r="BY65" s="100">
        <v>9070.1795042401245</v>
      </c>
      <c r="BZ65" s="100">
        <v>5.7657980970213982</v>
      </c>
      <c r="CA65" s="100">
        <v>5915.708847543955</v>
      </c>
      <c r="CB65" s="100">
        <v>8</v>
      </c>
      <c r="CC65" s="100">
        <v>8208</v>
      </c>
      <c r="CD65" s="100">
        <v>9.2561187962828662</v>
      </c>
      <c r="CE65" s="100">
        <v>9496.7778849862207</v>
      </c>
      <c r="CF65" s="100">
        <v>8</v>
      </c>
      <c r="CG65" s="100">
        <v>8208</v>
      </c>
      <c r="CH65" s="100">
        <v>9.5773958370577645</v>
      </c>
      <c r="CI65" s="100">
        <v>9826.4081288212656</v>
      </c>
      <c r="CJ65" s="100">
        <v>10</v>
      </c>
      <c r="CK65" s="100">
        <v>10260</v>
      </c>
      <c r="CL65" s="100">
        <v>6.7592011370090965</v>
      </c>
      <c r="CM65" s="100">
        <v>6934.9403665713335</v>
      </c>
      <c r="CN65" s="100">
        <v>8</v>
      </c>
      <c r="CO65" s="100">
        <v>8208</v>
      </c>
      <c r="CP65" s="100">
        <v>10</v>
      </c>
      <c r="CQ65" s="100">
        <v>10260</v>
      </c>
      <c r="CR65" s="100">
        <v>10</v>
      </c>
      <c r="CS65" s="100">
        <v>10260</v>
      </c>
      <c r="CT65" s="100">
        <v>2.9339608367468859</v>
      </c>
      <c r="CU65" s="100">
        <v>3010.2438185023047</v>
      </c>
    </row>
    <row r="66" spans="2:99">
      <c r="C66" s="99" t="s">
        <v>232</v>
      </c>
      <c r="D66" s="100">
        <v>10</v>
      </c>
      <c r="E66" s="100">
        <v>11903.999999999998</v>
      </c>
      <c r="F66" s="100">
        <v>9</v>
      </c>
      <c r="G66" s="100">
        <v>10713.599999999999</v>
      </c>
      <c r="H66" s="100">
        <v>9</v>
      </c>
      <c r="I66" s="100">
        <v>10713.599999999999</v>
      </c>
      <c r="J66" s="100">
        <v>7</v>
      </c>
      <c r="K66" s="100">
        <v>8332.7999999999993</v>
      </c>
      <c r="L66" s="100">
        <v>10</v>
      </c>
      <c r="M66" s="100">
        <v>11903.999999999998</v>
      </c>
      <c r="N66" s="100">
        <v>7</v>
      </c>
      <c r="O66" s="100">
        <v>8332.7999999999993</v>
      </c>
      <c r="P66" s="100">
        <v>6</v>
      </c>
      <c r="Q66" s="100">
        <v>7142.4</v>
      </c>
      <c r="R66" s="100">
        <v>9</v>
      </c>
      <c r="S66" s="100">
        <v>10713.599999999999</v>
      </c>
      <c r="T66" s="100">
        <v>10</v>
      </c>
      <c r="U66" s="100">
        <v>11903.999999999998</v>
      </c>
      <c r="V66" s="100">
        <v>11</v>
      </c>
      <c r="W66" s="100">
        <v>13094.399999999998</v>
      </c>
      <c r="X66" s="100">
        <v>6.4216158477267022</v>
      </c>
      <c r="Y66" s="100">
        <v>7644.291505133865</v>
      </c>
      <c r="Z66" s="100">
        <v>9</v>
      </c>
      <c r="AA66" s="100">
        <v>10713.599999999999</v>
      </c>
      <c r="AB66" s="100">
        <v>2.9542645127778009</v>
      </c>
      <c r="AC66" s="100">
        <v>3516.7564760106939</v>
      </c>
      <c r="AD66" s="100">
        <v>6</v>
      </c>
      <c r="AE66" s="100">
        <v>7142.4</v>
      </c>
      <c r="AF66" s="100">
        <v>3.7794016604068585</v>
      </c>
      <c r="AG66" s="100">
        <v>4498.9997365483241</v>
      </c>
      <c r="AH66" s="100">
        <v>7</v>
      </c>
      <c r="AI66" s="100">
        <v>8332.7999999999993</v>
      </c>
      <c r="AJ66" s="100">
        <v>5</v>
      </c>
      <c r="AK66" s="100">
        <v>5951.9999999999991</v>
      </c>
      <c r="AL66" s="100">
        <v>6</v>
      </c>
      <c r="AM66" s="100">
        <v>7142.4</v>
      </c>
      <c r="AN66" s="100">
        <v>7</v>
      </c>
      <c r="AO66" s="100">
        <v>8332.7999999999993</v>
      </c>
      <c r="AP66" s="100">
        <v>5.9270345256469259</v>
      </c>
      <c r="AQ66" s="100">
        <v>7055.5418993301</v>
      </c>
      <c r="AR66" s="100">
        <v>4.4060948119282211</v>
      </c>
      <c r="AS66" s="100">
        <v>5245.0152641193536</v>
      </c>
      <c r="AT66" s="100">
        <v>2.1917334078512143</v>
      </c>
      <c r="AU66" s="100">
        <v>2609.0394487060853</v>
      </c>
      <c r="AV66" s="100">
        <v>5</v>
      </c>
      <c r="AW66" s="100">
        <v>5951.9999999999991</v>
      </c>
      <c r="AX66" s="100">
        <v>9</v>
      </c>
      <c r="AY66" s="100">
        <v>10713.599999999999</v>
      </c>
      <c r="AZ66" s="100">
        <v>8</v>
      </c>
      <c r="BA66" s="100">
        <v>9523.1999999999989</v>
      </c>
      <c r="BB66" s="100">
        <v>9</v>
      </c>
      <c r="BC66" s="100">
        <v>10713.599999999999</v>
      </c>
      <c r="BD66" s="100">
        <v>6</v>
      </c>
      <c r="BE66" s="100">
        <v>7142.4</v>
      </c>
      <c r="BF66" s="100">
        <v>6</v>
      </c>
      <c r="BG66" s="100">
        <v>7142.4</v>
      </c>
      <c r="BH66" s="100">
        <v>1.328580104833331</v>
      </c>
      <c r="BI66" s="100">
        <v>1581.541756793597</v>
      </c>
      <c r="BJ66" s="100">
        <v>9</v>
      </c>
      <c r="BK66" s="100">
        <v>10713.599999999999</v>
      </c>
      <c r="BL66" s="100">
        <v>9</v>
      </c>
      <c r="BM66" s="100">
        <v>10713.599999999999</v>
      </c>
      <c r="BN66" s="100">
        <v>8</v>
      </c>
      <c r="BO66" s="100">
        <v>9523.1999999999989</v>
      </c>
      <c r="BP66" s="100">
        <v>9</v>
      </c>
      <c r="BQ66" s="100">
        <v>10713.599999999999</v>
      </c>
      <c r="BR66" s="100">
        <v>9</v>
      </c>
      <c r="BS66" s="100">
        <v>10713.599999999999</v>
      </c>
      <c r="BT66" s="100">
        <v>5.160005028799163</v>
      </c>
      <c r="BU66" s="100">
        <v>6142.4699862825228</v>
      </c>
      <c r="BV66" s="100">
        <v>5.8317079975360464</v>
      </c>
      <c r="BW66" s="100">
        <v>6942.0652002669085</v>
      </c>
      <c r="BX66" s="100">
        <v>9.7243639909007182</v>
      </c>
      <c r="BY66" s="100">
        <v>11575.882894768214</v>
      </c>
      <c r="BZ66" s="100">
        <v>5.7657980970213982</v>
      </c>
      <c r="CA66" s="100">
        <v>6863.6060546942717</v>
      </c>
      <c r="CB66" s="100">
        <v>8</v>
      </c>
      <c r="CC66" s="100">
        <v>9523.1999999999989</v>
      </c>
      <c r="CD66" s="100">
        <v>9.2561187962828662</v>
      </c>
      <c r="CE66" s="100">
        <v>11018.483815095122</v>
      </c>
      <c r="CF66" s="100">
        <v>8</v>
      </c>
      <c r="CG66" s="100">
        <v>9523.1999999999989</v>
      </c>
      <c r="CH66" s="100">
        <v>8.6196562533519892</v>
      </c>
      <c r="CI66" s="100">
        <v>10260.838803990207</v>
      </c>
      <c r="CJ66" s="100">
        <v>9</v>
      </c>
      <c r="CK66" s="100">
        <v>10713.599999999999</v>
      </c>
      <c r="CL66" s="100">
        <v>6.7592011370090965</v>
      </c>
      <c r="CM66" s="100">
        <v>8046.1530334956278</v>
      </c>
      <c r="CN66" s="100">
        <v>7</v>
      </c>
      <c r="CO66" s="100">
        <v>8332.7999999999993</v>
      </c>
      <c r="CP66" s="100">
        <v>8</v>
      </c>
      <c r="CQ66" s="100">
        <v>9523.1999999999989</v>
      </c>
      <c r="CR66" s="100">
        <v>11</v>
      </c>
      <c r="CS66" s="100">
        <v>13094.399999999998</v>
      </c>
      <c r="CT66" s="100">
        <v>2.9339608367468859</v>
      </c>
      <c r="CU66" s="100">
        <v>3492.5869800634928</v>
      </c>
    </row>
    <row r="67" spans="2:99">
      <c r="C67" s="99" t="s">
        <v>233</v>
      </c>
      <c r="D67" s="100">
        <v>8</v>
      </c>
      <c r="E67" s="100">
        <v>8985.6</v>
      </c>
      <c r="F67" s="100">
        <v>9</v>
      </c>
      <c r="G67" s="100">
        <v>10108.800000000001</v>
      </c>
      <c r="H67" s="100">
        <v>10</v>
      </c>
      <c r="I67" s="100">
        <v>11232</v>
      </c>
      <c r="J67" s="100">
        <v>6</v>
      </c>
      <c r="K67" s="100">
        <v>6739.2000000000007</v>
      </c>
      <c r="L67" s="100">
        <v>10</v>
      </c>
      <c r="M67" s="100">
        <v>11232</v>
      </c>
      <c r="N67" s="100">
        <v>8</v>
      </c>
      <c r="O67" s="100">
        <v>8985.6</v>
      </c>
      <c r="P67" s="100">
        <v>7</v>
      </c>
      <c r="Q67" s="100">
        <v>7862.4000000000005</v>
      </c>
      <c r="R67" s="100">
        <v>9</v>
      </c>
      <c r="S67" s="100">
        <v>10108.800000000001</v>
      </c>
      <c r="T67" s="100">
        <v>9</v>
      </c>
      <c r="U67" s="100">
        <v>10108.800000000001</v>
      </c>
      <c r="V67" s="100">
        <v>10</v>
      </c>
      <c r="W67" s="100">
        <v>11232</v>
      </c>
      <c r="X67" s="100">
        <v>6.4216158477267022</v>
      </c>
      <c r="Y67" s="100">
        <v>7212.7589201666324</v>
      </c>
      <c r="Z67" s="100">
        <v>9</v>
      </c>
      <c r="AA67" s="100">
        <v>10108.800000000001</v>
      </c>
      <c r="AB67" s="100">
        <v>2.9542645127778009</v>
      </c>
      <c r="AC67" s="100">
        <v>3318.229900752026</v>
      </c>
      <c r="AD67" s="100">
        <v>7</v>
      </c>
      <c r="AE67" s="100">
        <v>7862.4000000000005</v>
      </c>
      <c r="AF67" s="100">
        <v>3.7794016604068585</v>
      </c>
      <c r="AG67" s="100">
        <v>4245.0239449689834</v>
      </c>
      <c r="AH67" s="100">
        <v>7</v>
      </c>
      <c r="AI67" s="100">
        <v>7862.4000000000005</v>
      </c>
      <c r="AJ67" s="100">
        <v>6</v>
      </c>
      <c r="AK67" s="100">
        <v>6739.2000000000007</v>
      </c>
      <c r="AL67" s="100">
        <v>5</v>
      </c>
      <c r="AM67" s="100">
        <v>5616</v>
      </c>
      <c r="AN67" s="100">
        <v>7</v>
      </c>
      <c r="AO67" s="100">
        <v>7862.4000000000005</v>
      </c>
      <c r="AP67" s="100">
        <v>5.9270345256469259</v>
      </c>
      <c r="AQ67" s="100">
        <v>6657.2451792066277</v>
      </c>
      <c r="AR67" s="100">
        <v>3.8553329604371935</v>
      </c>
      <c r="AS67" s="100">
        <v>4330.3099811630564</v>
      </c>
      <c r="AT67" s="100">
        <v>2.1917334078512143</v>
      </c>
      <c r="AU67" s="100">
        <v>2461.7549636984841</v>
      </c>
      <c r="AV67" s="100">
        <v>6</v>
      </c>
      <c r="AW67" s="100">
        <v>6739.2000000000007</v>
      </c>
      <c r="AX67" s="100">
        <v>9</v>
      </c>
      <c r="AY67" s="100">
        <v>10108.800000000001</v>
      </c>
      <c r="AZ67" s="100">
        <v>7</v>
      </c>
      <c r="BA67" s="100">
        <v>7862.4000000000005</v>
      </c>
      <c r="BB67" s="100">
        <v>8</v>
      </c>
      <c r="BC67" s="100">
        <v>8985.6</v>
      </c>
      <c r="BD67" s="100">
        <v>5</v>
      </c>
      <c r="BE67" s="100">
        <v>5616</v>
      </c>
      <c r="BF67" s="100">
        <v>6</v>
      </c>
      <c r="BG67" s="100">
        <v>6739.2000000000007</v>
      </c>
      <c r="BH67" s="100">
        <v>1.328580104833331</v>
      </c>
      <c r="BI67" s="100">
        <v>1492.2611737487975</v>
      </c>
      <c r="BJ67" s="100">
        <v>8</v>
      </c>
      <c r="BK67" s="100">
        <v>8985.6</v>
      </c>
      <c r="BL67" s="100">
        <v>9</v>
      </c>
      <c r="BM67" s="100">
        <v>10108.800000000001</v>
      </c>
      <c r="BN67" s="100">
        <v>8</v>
      </c>
      <c r="BO67" s="100">
        <v>8985.6</v>
      </c>
      <c r="BP67" s="100">
        <v>8</v>
      </c>
      <c r="BQ67" s="100">
        <v>8985.6</v>
      </c>
      <c r="BR67" s="100">
        <v>10</v>
      </c>
      <c r="BS67" s="100">
        <v>11232</v>
      </c>
      <c r="BT67" s="100">
        <v>5.160005028799163</v>
      </c>
      <c r="BU67" s="100">
        <v>5795.7176483472203</v>
      </c>
      <c r="BV67" s="100">
        <v>5.8317079975360464</v>
      </c>
      <c r="BW67" s="100">
        <v>6550.1744228324878</v>
      </c>
      <c r="BX67" s="100">
        <v>8.8403309008188344</v>
      </c>
      <c r="BY67" s="100">
        <v>9929.459667799716</v>
      </c>
      <c r="BZ67" s="100">
        <v>5.7657980970213982</v>
      </c>
      <c r="CA67" s="100">
        <v>6476.1444225744344</v>
      </c>
      <c r="CB67" s="100">
        <v>8</v>
      </c>
      <c r="CC67" s="100">
        <v>8985.6</v>
      </c>
      <c r="CD67" s="100">
        <v>10.181730675911155</v>
      </c>
      <c r="CE67" s="100">
        <v>11436.119895183409</v>
      </c>
      <c r="CF67" s="100">
        <v>8</v>
      </c>
      <c r="CG67" s="100">
        <v>8985.6</v>
      </c>
      <c r="CH67" s="100">
        <v>8.6196562533519892</v>
      </c>
      <c r="CI67" s="100">
        <v>9681.597903764954</v>
      </c>
      <c r="CJ67" s="100">
        <v>10</v>
      </c>
      <c r="CK67" s="100">
        <v>11232</v>
      </c>
      <c r="CL67" s="100">
        <v>7.7248012994389681</v>
      </c>
      <c r="CM67" s="100">
        <v>8676.4968195298497</v>
      </c>
      <c r="CN67" s="100">
        <v>7</v>
      </c>
      <c r="CO67" s="100">
        <v>7862.4000000000005</v>
      </c>
      <c r="CP67" s="100">
        <v>9</v>
      </c>
      <c r="CQ67" s="100">
        <v>10108.800000000001</v>
      </c>
      <c r="CR67" s="100">
        <v>11</v>
      </c>
      <c r="CS67" s="100">
        <v>12355.2</v>
      </c>
      <c r="CT67" s="100">
        <v>2.9339608367468859</v>
      </c>
      <c r="CU67" s="100">
        <v>3295.4248118341025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8</v>
      </c>
      <c r="G68" s="100">
        <v>8265.6</v>
      </c>
      <c r="H68" s="100">
        <v>9</v>
      </c>
      <c r="I68" s="100">
        <v>9298.8000000000011</v>
      </c>
      <c r="J68" s="100">
        <v>6</v>
      </c>
      <c r="K68" s="100">
        <v>6199.2000000000007</v>
      </c>
      <c r="L68" s="100">
        <v>8</v>
      </c>
      <c r="M68" s="100">
        <v>8265.6</v>
      </c>
      <c r="N68" s="100">
        <v>7</v>
      </c>
      <c r="O68" s="100">
        <v>7232.4000000000005</v>
      </c>
      <c r="P68" s="100">
        <v>6</v>
      </c>
      <c r="Q68" s="100">
        <v>6199.2000000000007</v>
      </c>
      <c r="R68" s="100">
        <v>10</v>
      </c>
      <c r="S68" s="100">
        <v>10332</v>
      </c>
      <c r="T68" s="100">
        <v>9</v>
      </c>
      <c r="U68" s="100">
        <v>9298.8000000000011</v>
      </c>
      <c r="V68" s="100">
        <v>11</v>
      </c>
      <c r="W68" s="100">
        <v>11365.2</v>
      </c>
      <c r="X68" s="100">
        <v>6.4216158477267022</v>
      </c>
      <c r="Y68" s="100">
        <v>6634.8134938712292</v>
      </c>
      <c r="Z68" s="100">
        <v>10</v>
      </c>
      <c r="AA68" s="100">
        <v>10332</v>
      </c>
      <c r="AB68" s="100">
        <v>3.3763023003174863</v>
      </c>
      <c r="AC68" s="100">
        <v>3488.3955366880268</v>
      </c>
      <c r="AD68" s="100">
        <v>6</v>
      </c>
      <c r="AE68" s="100">
        <v>6199.2000000000007</v>
      </c>
      <c r="AF68" s="100">
        <v>3.3069764528560013</v>
      </c>
      <c r="AG68" s="100">
        <v>3416.7680710908207</v>
      </c>
      <c r="AH68" s="100">
        <v>7</v>
      </c>
      <c r="AI68" s="100">
        <v>7232.4000000000005</v>
      </c>
      <c r="AJ68" s="100">
        <v>5</v>
      </c>
      <c r="AK68" s="100">
        <v>5166</v>
      </c>
      <c r="AL68" s="100">
        <v>6</v>
      </c>
      <c r="AM68" s="100">
        <v>6199.2000000000007</v>
      </c>
      <c r="AN68" s="100">
        <v>7</v>
      </c>
      <c r="AO68" s="100">
        <v>7232.4000000000005</v>
      </c>
      <c r="AP68" s="100">
        <v>5.9270345256469259</v>
      </c>
      <c r="AQ68" s="100">
        <v>6123.8120718984037</v>
      </c>
      <c r="AR68" s="100">
        <v>3.304571108946166</v>
      </c>
      <c r="AS68" s="100">
        <v>3414.282869763179</v>
      </c>
      <c r="AT68" s="100">
        <v>2.1917334078512143</v>
      </c>
      <c r="AU68" s="100">
        <v>2264.4989569918748</v>
      </c>
      <c r="AV68" s="100">
        <v>5</v>
      </c>
      <c r="AW68" s="100">
        <v>5166</v>
      </c>
      <c r="AX68" s="100">
        <v>9</v>
      </c>
      <c r="AY68" s="100">
        <v>9298.8000000000011</v>
      </c>
      <c r="AZ68" s="100">
        <v>7</v>
      </c>
      <c r="BA68" s="100">
        <v>7232.4000000000005</v>
      </c>
      <c r="BB68" s="100">
        <v>8</v>
      </c>
      <c r="BC68" s="100">
        <v>8265.6</v>
      </c>
      <c r="BD68" s="100">
        <v>5</v>
      </c>
      <c r="BE68" s="100">
        <v>5166</v>
      </c>
      <c r="BF68" s="100">
        <v>6</v>
      </c>
      <c r="BG68" s="100">
        <v>6199.2000000000007</v>
      </c>
      <c r="BH68" s="100">
        <v>1.328580104833331</v>
      </c>
      <c r="BI68" s="100">
        <v>1372.6889643137977</v>
      </c>
      <c r="BJ68" s="100">
        <v>8</v>
      </c>
      <c r="BK68" s="100">
        <v>8265.6</v>
      </c>
      <c r="BL68" s="100">
        <v>8</v>
      </c>
      <c r="BM68" s="100">
        <v>8265.6</v>
      </c>
      <c r="BN68" s="100">
        <v>9</v>
      </c>
      <c r="BO68" s="100">
        <v>9298.8000000000011</v>
      </c>
      <c r="BP68" s="100">
        <v>10</v>
      </c>
      <c r="BQ68" s="100">
        <v>10332</v>
      </c>
      <c r="BR68" s="100">
        <v>9</v>
      </c>
      <c r="BS68" s="100">
        <v>9298.8000000000011</v>
      </c>
      <c r="BT68" s="100">
        <v>5.160005028799163</v>
      </c>
      <c r="BU68" s="100">
        <v>5331.3171957552959</v>
      </c>
      <c r="BV68" s="100">
        <v>6.6648091400411946</v>
      </c>
      <c r="BW68" s="100">
        <v>6886.0808034905622</v>
      </c>
      <c r="BX68" s="100">
        <v>8.8403309008188344</v>
      </c>
      <c r="BY68" s="100">
        <v>9133.82988672602</v>
      </c>
      <c r="BZ68" s="100">
        <v>5.7657980970213982</v>
      </c>
      <c r="CA68" s="100">
        <v>5957.222593842509</v>
      </c>
      <c r="CB68" s="100">
        <v>8</v>
      </c>
      <c r="CC68" s="100">
        <v>8265.6</v>
      </c>
      <c r="CD68" s="100">
        <v>9.2561187962828662</v>
      </c>
      <c r="CE68" s="100">
        <v>9563.4219403194584</v>
      </c>
      <c r="CF68" s="100">
        <v>8</v>
      </c>
      <c r="CG68" s="100">
        <v>8265.6</v>
      </c>
      <c r="CH68" s="100">
        <v>8.6196562533519892</v>
      </c>
      <c r="CI68" s="100">
        <v>8905.8288409632751</v>
      </c>
      <c r="CJ68" s="100">
        <v>8</v>
      </c>
      <c r="CK68" s="100">
        <v>8265.6</v>
      </c>
      <c r="CL68" s="100">
        <v>7.7248012994389681</v>
      </c>
      <c r="CM68" s="100">
        <v>7981.2647025803426</v>
      </c>
      <c r="CN68" s="100">
        <v>7</v>
      </c>
      <c r="CO68" s="100">
        <v>7232.4000000000005</v>
      </c>
      <c r="CP68" s="100">
        <v>10</v>
      </c>
      <c r="CQ68" s="100">
        <v>10332</v>
      </c>
      <c r="CR68" s="100">
        <v>10</v>
      </c>
      <c r="CS68" s="100">
        <v>10332</v>
      </c>
      <c r="CT68" s="100">
        <v>2.9339608367468859</v>
      </c>
      <c r="CU68" s="100">
        <v>3031.3683365268826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9</v>
      </c>
      <c r="G69" s="100">
        <v>6825.5999999999995</v>
      </c>
      <c r="H69" s="100">
        <v>9</v>
      </c>
      <c r="I69" s="100">
        <v>6825.5999999999995</v>
      </c>
      <c r="J69" s="100">
        <v>7</v>
      </c>
      <c r="K69" s="100">
        <v>5308.8</v>
      </c>
      <c r="L69" s="100">
        <v>9</v>
      </c>
      <c r="M69" s="100">
        <v>6825.5999999999995</v>
      </c>
      <c r="N69" s="100">
        <v>7</v>
      </c>
      <c r="O69" s="100">
        <v>5308.8</v>
      </c>
      <c r="P69" s="100">
        <v>6</v>
      </c>
      <c r="Q69" s="100">
        <v>4550.3999999999996</v>
      </c>
      <c r="R69" s="100">
        <v>9</v>
      </c>
      <c r="S69" s="100">
        <v>6825.5999999999995</v>
      </c>
      <c r="T69" s="100">
        <v>9</v>
      </c>
      <c r="U69" s="100">
        <v>6825.5999999999995</v>
      </c>
      <c r="V69" s="100">
        <v>10</v>
      </c>
      <c r="W69" s="100">
        <v>7584</v>
      </c>
      <c r="X69" s="100">
        <v>5.7794542629540322</v>
      </c>
      <c r="Y69" s="100">
        <v>4383.1381130243381</v>
      </c>
      <c r="Z69" s="100">
        <v>9</v>
      </c>
      <c r="AA69" s="100">
        <v>6825.5999999999995</v>
      </c>
      <c r="AB69" s="100">
        <v>2.9542645127778009</v>
      </c>
      <c r="AC69" s="100">
        <v>2240.514206490684</v>
      </c>
      <c r="AD69" s="100">
        <v>7</v>
      </c>
      <c r="AE69" s="100">
        <v>5308.8</v>
      </c>
      <c r="AF69" s="100">
        <v>3.7794016604068585</v>
      </c>
      <c r="AG69" s="100">
        <v>2866.2982192525615</v>
      </c>
      <c r="AH69" s="100">
        <v>7</v>
      </c>
      <c r="AI69" s="100">
        <v>5308.8</v>
      </c>
      <c r="AJ69" s="100">
        <v>5</v>
      </c>
      <c r="AK69" s="100">
        <v>3792</v>
      </c>
      <c r="AL69" s="100">
        <v>6</v>
      </c>
      <c r="AM69" s="100">
        <v>4550.3999999999996</v>
      </c>
      <c r="AN69" s="100">
        <v>7</v>
      </c>
      <c r="AO69" s="100">
        <v>5308.8</v>
      </c>
      <c r="AP69" s="100">
        <v>5.9270345256469259</v>
      </c>
      <c r="AQ69" s="100">
        <v>4495.0629842506287</v>
      </c>
      <c r="AR69" s="100">
        <v>4.4060948119282211</v>
      </c>
      <c r="AS69" s="100">
        <v>3341.5823053663626</v>
      </c>
      <c r="AT69" s="100">
        <v>2.465700083832616</v>
      </c>
      <c r="AU69" s="100">
        <v>1869.9869435786559</v>
      </c>
      <c r="AV69" s="100">
        <v>6</v>
      </c>
      <c r="AW69" s="100">
        <v>4550.3999999999996</v>
      </c>
      <c r="AX69" s="100">
        <v>9</v>
      </c>
      <c r="AY69" s="100">
        <v>6825.5999999999995</v>
      </c>
      <c r="AZ69" s="100">
        <v>7</v>
      </c>
      <c r="BA69" s="100">
        <v>5308.8</v>
      </c>
      <c r="BB69" s="100">
        <v>9</v>
      </c>
      <c r="BC69" s="100">
        <v>6825.5999999999995</v>
      </c>
      <c r="BD69" s="100">
        <v>5</v>
      </c>
      <c r="BE69" s="100">
        <v>3792</v>
      </c>
      <c r="BF69" s="100">
        <v>6</v>
      </c>
      <c r="BG69" s="100">
        <v>4550.3999999999996</v>
      </c>
      <c r="BH69" s="100">
        <v>1.328580104833331</v>
      </c>
      <c r="BI69" s="100">
        <v>1007.5951515055982</v>
      </c>
      <c r="BJ69" s="100">
        <v>9</v>
      </c>
      <c r="BK69" s="100">
        <v>6825.5999999999995</v>
      </c>
      <c r="BL69" s="100">
        <v>10</v>
      </c>
      <c r="BM69" s="100">
        <v>7584</v>
      </c>
      <c r="BN69" s="100">
        <v>9</v>
      </c>
      <c r="BO69" s="100">
        <v>6825.5999999999995</v>
      </c>
      <c r="BP69" s="100">
        <v>10</v>
      </c>
      <c r="BQ69" s="100">
        <v>7584</v>
      </c>
      <c r="BR69" s="100">
        <v>9</v>
      </c>
      <c r="BS69" s="100">
        <v>6825.5999999999995</v>
      </c>
      <c r="BT69" s="100">
        <v>5.160005028799163</v>
      </c>
      <c r="BU69" s="100">
        <v>3913.3478138412852</v>
      </c>
      <c r="BV69" s="100">
        <v>6.6648091400411946</v>
      </c>
      <c r="BW69" s="100">
        <v>5054.5912518072419</v>
      </c>
      <c r="BX69" s="100">
        <v>9.7243639909007182</v>
      </c>
      <c r="BY69" s="100">
        <v>7374.9576506991043</v>
      </c>
      <c r="BZ69" s="100">
        <v>5.7657980970213982</v>
      </c>
      <c r="CA69" s="100">
        <v>4372.7812767810283</v>
      </c>
      <c r="CB69" s="100">
        <v>8</v>
      </c>
      <c r="CC69" s="100">
        <v>6067.2</v>
      </c>
      <c r="CD69" s="100">
        <v>10.181730675911155</v>
      </c>
      <c r="CE69" s="100">
        <v>7721.8245446110195</v>
      </c>
      <c r="CF69" s="100">
        <v>8</v>
      </c>
      <c r="CG69" s="100">
        <v>6067.2</v>
      </c>
      <c r="CH69" s="100">
        <v>9.5773958370577645</v>
      </c>
      <c r="CI69" s="100">
        <v>7263.497002824608</v>
      </c>
      <c r="CJ69" s="100">
        <v>10</v>
      </c>
      <c r="CK69" s="100">
        <v>7584</v>
      </c>
      <c r="CL69" s="100">
        <v>7.7248012994389681</v>
      </c>
      <c r="CM69" s="100">
        <v>5858.4893054945132</v>
      </c>
      <c r="CN69" s="100">
        <v>8</v>
      </c>
      <c r="CO69" s="100">
        <v>6067.2</v>
      </c>
      <c r="CP69" s="100">
        <v>8</v>
      </c>
      <c r="CQ69" s="100">
        <v>6067.2</v>
      </c>
      <c r="CR69" s="100">
        <v>11</v>
      </c>
      <c r="CS69" s="100">
        <v>8342.4</v>
      </c>
      <c r="CT69" s="100">
        <v>2.9339608367468859</v>
      </c>
      <c r="CU69" s="100">
        <v>2225.1158985888383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9</v>
      </c>
      <c r="G70" s="100">
        <v>4816.7999999999993</v>
      </c>
      <c r="H70" s="100">
        <v>9</v>
      </c>
      <c r="I70" s="100">
        <v>4816.7999999999993</v>
      </c>
      <c r="J70" s="100">
        <v>6</v>
      </c>
      <c r="K70" s="100">
        <v>3211.2</v>
      </c>
      <c r="L70" s="100">
        <v>10</v>
      </c>
      <c r="M70" s="100">
        <v>5351.9999999999991</v>
      </c>
      <c r="N70" s="100">
        <v>7</v>
      </c>
      <c r="O70" s="100">
        <v>3746.3999999999996</v>
      </c>
      <c r="P70" s="100">
        <v>6</v>
      </c>
      <c r="Q70" s="100">
        <v>3211.2</v>
      </c>
      <c r="R70" s="100">
        <v>10</v>
      </c>
      <c r="S70" s="100">
        <v>5351.9999999999991</v>
      </c>
      <c r="T70" s="100">
        <v>10</v>
      </c>
      <c r="U70" s="100">
        <v>5351.9999999999991</v>
      </c>
      <c r="V70" s="100">
        <v>10</v>
      </c>
      <c r="W70" s="100">
        <v>5351.9999999999991</v>
      </c>
      <c r="X70" s="100">
        <v>7.0637774324993723</v>
      </c>
      <c r="Y70" s="100">
        <v>3780.5336818736637</v>
      </c>
      <c r="Z70" s="100">
        <v>10</v>
      </c>
      <c r="AA70" s="100">
        <v>5351.9999999999991</v>
      </c>
      <c r="AB70" s="100">
        <v>2.9542645127778009</v>
      </c>
      <c r="AC70" s="100">
        <v>1581.1223672386789</v>
      </c>
      <c r="AD70" s="100">
        <v>7</v>
      </c>
      <c r="AE70" s="100">
        <v>3746.3999999999996</v>
      </c>
      <c r="AF70" s="100">
        <v>3.7794016604068585</v>
      </c>
      <c r="AG70" s="100">
        <v>2022.7357686497505</v>
      </c>
      <c r="AH70" s="100">
        <v>7</v>
      </c>
      <c r="AI70" s="100">
        <v>3746.3999999999996</v>
      </c>
      <c r="AJ70" s="100">
        <v>5</v>
      </c>
      <c r="AK70" s="100">
        <v>2675.9999999999995</v>
      </c>
      <c r="AL70" s="100">
        <v>6</v>
      </c>
      <c r="AM70" s="100">
        <v>3211.2</v>
      </c>
      <c r="AN70" s="100">
        <v>7</v>
      </c>
      <c r="AO70" s="100">
        <v>3746.3999999999996</v>
      </c>
      <c r="AP70" s="100">
        <v>5.9270345256469259</v>
      </c>
      <c r="AQ70" s="100">
        <v>3172.1488781262342</v>
      </c>
      <c r="AR70" s="100">
        <v>3.8553329604371935</v>
      </c>
      <c r="AS70" s="100">
        <v>2063.3742004259857</v>
      </c>
      <c r="AT70" s="100">
        <v>2.465700083832616</v>
      </c>
      <c r="AU70" s="100">
        <v>1319.6426848672158</v>
      </c>
      <c r="AV70" s="100">
        <v>6</v>
      </c>
      <c r="AW70" s="100">
        <v>3211.2</v>
      </c>
      <c r="AX70" s="100">
        <v>10</v>
      </c>
      <c r="AY70" s="100">
        <v>5351.9999999999991</v>
      </c>
      <c r="AZ70" s="100">
        <v>8</v>
      </c>
      <c r="BA70" s="100">
        <v>4281.5999999999995</v>
      </c>
      <c r="BB70" s="100">
        <v>8</v>
      </c>
      <c r="BC70" s="100">
        <v>4281.5999999999995</v>
      </c>
      <c r="BD70" s="100">
        <v>5</v>
      </c>
      <c r="BE70" s="100">
        <v>2675.9999999999995</v>
      </c>
      <c r="BF70" s="100">
        <v>7</v>
      </c>
      <c r="BG70" s="100">
        <v>3746.3999999999996</v>
      </c>
      <c r="BH70" s="100">
        <v>1.328580104833331</v>
      </c>
      <c r="BI70" s="100">
        <v>711.05607210679864</v>
      </c>
      <c r="BJ70" s="100">
        <v>8</v>
      </c>
      <c r="BK70" s="100">
        <v>4281.5999999999995</v>
      </c>
      <c r="BL70" s="100">
        <v>10</v>
      </c>
      <c r="BM70" s="100">
        <v>5351.9999999999991</v>
      </c>
      <c r="BN70" s="100">
        <v>8</v>
      </c>
      <c r="BO70" s="100">
        <v>4281.5999999999995</v>
      </c>
      <c r="BP70" s="100">
        <v>10</v>
      </c>
      <c r="BQ70" s="100">
        <v>5351.9999999999991</v>
      </c>
      <c r="BR70" s="100">
        <v>10</v>
      </c>
      <c r="BS70" s="100">
        <v>5351.9999999999991</v>
      </c>
      <c r="BT70" s="100">
        <v>5.6760055316790794</v>
      </c>
      <c r="BU70" s="100">
        <v>3037.7981605546429</v>
      </c>
      <c r="BV70" s="100">
        <v>4.9986068550308973</v>
      </c>
      <c r="BW70" s="100">
        <v>2675.254388812536</v>
      </c>
      <c r="BX70" s="100">
        <v>10.6083970809826</v>
      </c>
      <c r="BY70" s="100">
        <v>5677.6141177418867</v>
      </c>
      <c r="BZ70" s="100">
        <v>5.7657980970213982</v>
      </c>
      <c r="CA70" s="100">
        <v>3085.8551415258521</v>
      </c>
      <c r="CB70" s="100">
        <v>8</v>
      </c>
      <c r="CC70" s="100">
        <v>4281.5999999999995</v>
      </c>
      <c r="CD70" s="100">
        <v>9.2561187962828662</v>
      </c>
      <c r="CE70" s="100">
        <v>4953.8747797705892</v>
      </c>
      <c r="CF70" s="100">
        <v>8</v>
      </c>
      <c r="CG70" s="100">
        <v>4281.5999999999995</v>
      </c>
      <c r="CH70" s="100">
        <v>9.5773958370577645</v>
      </c>
      <c r="CI70" s="100">
        <v>5125.8222519933151</v>
      </c>
      <c r="CJ70" s="100">
        <v>10</v>
      </c>
      <c r="CK70" s="100">
        <v>5351.9999999999991</v>
      </c>
      <c r="CL70" s="100">
        <v>6.7592011370090965</v>
      </c>
      <c r="CM70" s="100">
        <v>3617.5244485272679</v>
      </c>
      <c r="CN70" s="100">
        <v>8</v>
      </c>
      <c r="CO70" s="100">
        <v>4281.5999999999995</v>
      </c>
      <c r="CP70" s="100">
        <v>9</v>
      </c>
      <c r="CQ70" s="100">
        <v>4816.7999999999993</v>
      </c>
      <c r="CR70" s="100">
        <v>10</v>
      </c>
      <c r="CS70" s="100">
        <v>5351.9999999999991</v>
      </c>
      <c r="CT70" s="100">
        <v>2.9339608367468859</v>
      </c>
      <c r="CU70" s="100">
        <v>1570.2558398269332</v>
      </c>
    </row>
    <row r="71" spans="2:99">
      <c r="B71" s="99" t="s">
        <v>130</v>
      </c>
      <c r="C71" s="99" t="s">
        <v>237</v>
      </c>
      <c r="D71" s="100">
        <v>14</v>
      </c>
      <c r="E71" s="100">
        <v>7896</v>
      </c>
      <c r="F71" s="100">
        <v>5.8636623421267329</v>
      </c>
      <c r="G71" s="100">
        <v>3307.1055609594773</v>
      </c>
      <c r="H71" s="100">
        <v>13</v>
      </c>
      <c r="I71" s="100">
        <v>7332</v>
      </c>
      <c r="J71" s="100">
        <v>9.6341982599477465</v>
      </c>
      <c r="K71" s="100">
        <v>5433.6878186105287</v>
      </c>
      <c r="L71" s="100">
        <v>3.0098919085333438</v>
      </c>
      <c r="M71" s="100">
        <v>1697.5790364128059</v>
      </c>
      <c r="N71" s="100">
        <v>13</v>
      </c>
      <c r="O71" s="100">
        <v>7332</v>
      </c>
      <c r="P71" s="100">
        <v>14</v>
      </c>
      <c r="Q71" s="100">
        <v>7896</v>
      </c>
      <c r="R71" s="100">
        <v>11</v>
      </c>
      <c r="S71" s="100">
        <v>6204</v>
      </c>
      <c r="T71" s="100">
        <v>8</v>
      </c>
      <c r="U71" s="100">
        <v>4512</v>
      </c>
      <c r="V71" s="100">
        <v>11.303478287121463</v>
      </c>
      <c r="W71" s="100">
        <v>6375.1617539365052</v>
      </c>
      <c r="X71" s="100">
        <v>15</v>
      </c>
      <c r="Y71" s="100">
        <v>8460</v>
      </c>
      <c r="Z71" s="100">
        <v>1.9218980132281405</v>
      </c>
      <c r="AA71" s="100">
        <v>1083.9504794606712</v>
      </c>
      <c r="AB71" s="100">
        <v>8.1090388253473513</v>
      </c>
      <c r="AC71" s="100">
        <v>4573.4978974959058</v>
      </c>
      <c r="AD71" s="100">
        <v>12</v>
      </c>
      <c r="AE71" s="100">
        <v>6768</v>
      </c>
      <c r="AF71" s="100">
        <v>12</v>
      </c>
      <c r="AG71" s="100">
        <v>6768</v>
      </c>
      <c r="AH71" s="100">
        <v>0.20290270773091815</v>
      </c>
      <c r="AI71" s="100">
        <v>114.43712716023784</v>
      </c>
      <c r="AJ71" s="100">
        <v>8</v>
      </c>
      <c r="AK71" s="100">
        <v>4512</v>
      </c>
      <c r="AL71" s="100">
        <v>11</v>
      </c>
      <c r="AM71" s="100">
        <v>6204</v>
      </c>
      <c r="AN71" s="100">
        <v>9</v>
      </c>
      <c r="AO71" s="100">
        <v>5076</v>
      </c>
      <c r="AP71" s="100">
        <v>14</v>
      </c>
      <c r="AQ71" s="100">
        <v>7896</v>
      </c>
      <c r="AR71" s="100">
        <v>13</v>
      </c>
      <c r="AS71" s="100">
        <v>7332</v>
      </c>
      <c r="AT71" s="100">
        <v>1.112532563850114</v>
      </c>
      <c r="AU71" s="100">
        <v>627.46836601146435</v>
      </c>
      <c r="AV71" s="100">
        <v>10</v>
      </c>
      <c r="AW71" s="100">
        <v>5640</v>
      </c>
      <c r="AX71" s="100">
        <v>8</v>
      </c>
      <c r="AY71" s="100">
        <v>4512</v>
      </c>
      <c r="AZ71" s="100">
        <v>4.7215094763967835</v>
      </c>
      <c r="BA71" s="100">
        <v>2662.9313446877859</v>
      </c>
      <c r="BB71" s="100">
        <v>6.8816666027172255</v>
      </c>
      <c r="BC71" s="100">
        <v>3881.2599639325153</v>
      </c>
      <c r="BD71" s="100">
        <v>8</v>
      </c>
      <c r="BE71" s="100">
        <v>4512</v>
      </c>
      <c r="BF71" s="100">
        <v>7.120596569868141</v>
      </c>
      <c r="BG71" s="100">
        <v>4016.0164654056316</v>
      </c>
      <c r="BH71" s="100">
        <v>11</v>
      </c>
      <c r="BI71" s="100">
        <v>6204</v>
      </c>
      <c r="BJ71" s="100">
        <v>15</v>
      </c>
      <c r="BK71" s="100">
        <v>8460</v>
      </c>
      <c r="BL71" s="100">
        <v>8</v>
      </c>
      <c r="BM71" s="100">
        <v>4512</v>
      </c>
      <c r="BN71" s="100">
        <v>10.806087039627656</v>
      </c>
      <c r="BO71" s="100">
        <v>6094.6330903499975</v>
      </c>
      <c r="BP71" s="100">
        <v>11</v>
      </c>
      <c r="BQ71" s="100">
        <v>6204</v>
      </c>
      <c r="BR71" s="100">
        <v>13.874743192272767</v>
      </c>
      <c r="BS71" s="100">
        <v>7825.3551604418408</v>
      </c>
      <c r="BT71" s="100">
        <v>12.73899521419202</v>
      </c>
      <c r="BU71" s="100">
        <v>7184.7933008042992</v>
      </c>
      <c r="BV71" s="100">
        <v>13</v>
      </c>
      <c r="BW71" s="100">
        <v>7332</v>
      </c>
      <c r="BX71" s="100">
        <v>6.9517241379310182</v>
      </c>
      <c r="BY71" s="100">
        <v>3920.7724137930941</v>
      </c>
      <c r="BZ71" s="100">
        <v>7.9537571211812157</v>
      </c>
      <c r="CA71" s="100">
        <v>4485.9190163462054</v>
      </c>
      <c r="CB71" s="100">
        <v>11</v>
      </c>
      <c r="CC71" s="100">
        <v>6204</v>
      </c>
      <c r="CD71" s="100">
        <v>12</v>
      </c>
      <c r="CE71" s="100">
        <v>6768</v>
      </c>
      <c r="CF71" s="100">
        <v>11</v>
      </c>
      <c r="CG71" s="100">
        <v>6204</v>
      </c>
      <c r="CH71" s="100">
        <v>14</v>
      </c>
      <c r="CI71" s="100">
        <v>7896</v>
      </c>
      <c r="CJ71" s="100">
        <v>15</v>
      </c>
      <c r="CK71" s="100">
        <v>8460</v>
      </c>
      <c r="CL71" s="100">
        <v>10</v>
      </c>
      <c r="CM71" s="100">
        <v>5640</v>
      </c>
      <c r="CN71" s="100">
        <v>8.3272745392624596</v>
      </c>
      <c r="CO71" s="100">
        <v>4696.5828401440276</v>
      </c>
      <c r="CP71" s="100">
        <v>10.485436893203872</v>
      </c>
      <c r="CQ71" s="100">
        <v>5913.7864077669838</v>
      </c>
      <c r="CR71" s="100">
        <v>8</v>
      </c>
      <c r="CS71" s="100">
        <v>4512</v>
      </c>
      <c r="CT71" s="100">
        <v>10</v>
      </c>
      <c r="CU71" s="100">
        <v>5640</v>
      </c>
    </row>
    <row r="72" spans="2:99">
      <c r="C72" s="99" t="s">
        <v>238</v>
      </c>
      <c r="D72" s="100">
        <v>13</v>
      </c>
      <c r="E72" s="100">
        <v>967.19999999999993</v>
      </c>
      <c r="F72" s="100">
        <v>5.8636623421267329</v>
      </c>
      <c r="G72" s="100">
        <v>436.25647825422885</v>
      </c>
      <c r="H72" s="100">
        <v>13</v>
      </c>
      <c r="I72" s="100">
        <v>967.19999999999993</v>
      </c>
      <c r="J72" s="100">
        <v>9.6341982599477465</v>
      </c>
      <c r="K72" s="100">
        <v>716.7843505401122</v>
      </c>
      <c r="L72" s="100">
        <v>3.0098919085333438</v>
      </c>
      <c r="M72" s="100">
        <v>223.93595799488074</v>
      </c>
      <c r="N72" s="100">
        <v>14</v>
      </c>
      <c r="O72" s="100">
        <v>1041.5999999999999</v>
      </c>
      <c r="P72" s="100">
        <v>15</v>
      </c>
      <c r="Q72" s="100">
        <v>1115.9999999999998</v>
      </c>
      <c r="R72" s="100">
        <v>12</v>
      </c>
      <c r="S72" s="100">
        <v>892.8</v>
      </c>
      <c r="T72" s="100">
        <v>10</v>
      </c>
      <c r="U72" s="100">
        <v>743.99999999999989</v>
      </c>
      <c r="V72" s="100">
        <v>12.057043506262893</v>
      </c>
      <c r="W72" s="100">
        <v>897.04403686595913</v>
      </c>
      <c r="X72" s="100">
        <v>16</v>
      </c>
      <c r="Y72" s="100">
        <v>1190.3999999999999</v>
      </c>
      <c r="Z72" s="100">
        <v>2.0820561809971521</v>
      </c>
      <c r="AA72" s="100">
        <v>154.90497986618809</v>
      </c>
      <c r="AB72" s="100">
        <v>9.7308465904168209</v>
      </c>
      <c r="AC72" s="100">
        <v>723.97498632701138</v>
      </c>
      <c r="AD72" s="100">
        <v>13</v>
      </c>
      <c r="AE72" s="100">
        <v>967.19999999999993</v>
      </c>
      <c r="AF72" s="100">
        <v>14</v>
      </c>
      <c r="AG72" s="100">
        <v>1041.5999999999999</v>
      </c>
      <c r="AH72" s="100">
        <v>0.18729480713623214</v>
      </c>
      <c r="AI72" s="100">
        <v>13.934733650935669</v>
      </c>
      <c r="AJ72" s="100">
        <v>8</v>
      </c>
      <c r="AK72" s="100">
        <v>595.19999999999993</v>
      </c>
      <c r="AL72" s="100">
        <v>10</v>
      </c>
      <c r="AM72" s="100">
        <v>743.99999999999989</v>
      </c>
      <c r="AN72" s="100">
        <v>9</v>
      </c>
      <c r="AO72" s="100">
        <v>669.59999999999991</v>
      </c>
      <c r="AP72" s="100">
        <v>12</v>
      </c>
      <c r="AQ72" s="100">
        <v>892.8</v>
      </c>
      <c r="AR72" s="100">
        <v>15</v>
      </c>
      <c r="AS72" s="100">
        <v>1115.9999999999998</v>
      </c>
      <c r="AT72" s="100">
        <v>1.112532563850114</v>
      </c>
      <c r="AU72" s="100">
        <v>82.77242275044847</v>
      </c>
      <c r="AV72" s="100">
        <v>12</v>
      </c>
      <c r="AW72" s="100">
        <v>892.8</v>
      </c>
      <c r="AX72" s="100">
        <v>9</v>
      </c>
      <c r="AY72" s="100">
        <v>669.59999999999991</v>
      </c>
      <c r="AZ72" s="100">
        <v>5.6658113716761402</v>
      </c>
      <c r="BA72" s="100">
        <v>421.53636605270481</v>
      </c>
      <c r="BB72" s="100">
        <v>6.8816666027172255</v>
      </c>
      <c r="BC72" s="100">
        <v>511.99599524216154</v>
      </c>
      <c r="BD72" s="100">
        <v>10</v>
      </c>
      <c r="BE72" s="100">
        <v>743.99999999999989</v>
      </c>
      <c r="BF72" s="100">
        <v>8.2160729652324704</v>
      </c>
      <c r="BG72" s="100">
        <v>611.27582861329574</v>
      </c>
      <c r="BH72" s="100">
        <v>12</v>
      </c>
      <c r="BI72" s="100">
        <v>892.8</v>
      </c>
      <c r="BJ72" s="100">
        <v>15</v>
      </c>
      <c r="BK72" s="100">
        <v>1115.9999999999998</v>
      </c>
      <c r="BL72" s="100">
        <v>8</v>
      </c>
      <c r="BM72" s="100">
        <v>595.19999999999993</v>
      </c>
      <c r="BN72" s="100">
        <v>9.8237154905705975</v>
      </c>
      <c r="BO72" s="100">
        <v>730.88443249845238</v>
      </c>
      <c r="BP72" s="100">
        <v>11</v>
      </c>
      <c r="BQ72" s="100">
        <v>818.39999999999986</v>
      </c>
      <c r="BR72" s="100">
        <v>15.856849362597448</v>
      </c>
      <c r="BS72" s="100">
        <v>1179.74959257725</v>
      </c>
      <c r="BT72" s="100">
        <v>14.437527909417621</v>
      </c>
      <c r="BU72" s="100">
        <v>1074.152076460671</v>
      </c>
      <c r="BV72" s="100">
        <v>12</v>
      </c>
      <c r="BW72" s="100">
        <v>892.8</v>
      </c>
      <c r="BX72" s="100">
        <v>8.9379310344827374</v>
      </c>
      <c r="BY72" s="100">
        <v>664.98206896551562</v>
      </c>
      <c r="BZ72" s="100">
        <v>7.9537571211812157</v>
      </c>
      <c r="CA72" s="100">
        <v>591.75952981588239</v>
      </c>
      <c r="CB72" s="100">
        <v>13</v>
      </c>
      <c r="CC72" s="100">
        <v>967.19999999999993</v>
      </c>
      <c r="CD72" s="100">
        <v>12</v>
      </c>
      <c r="CE72" s="100">
        <v>892.8</v>
      </c>
      <c r="CF72" s="100">
        <v>11</v>
      </c>
      <c r="CG72" s="100">
        <v>818.39999999999986</v>
      </c>
      <c r="CH72" s="100">
        <v>15</v>
      </c>
      <c r="CI72" s="100">
        <v>1115.9999999999998</v>
      </c>
      <c r="CJ72" s="100">
        <v>14</v>
      </c>
      <c r="CK72" s="100">
        <v>1041.5999999999999</v>
      </c>
      <c r="CL72" s="100">
        <v>12</v>
      </c>
      <c r="CM72" s="100">
        <v>892.8</v>
      </c>
      <c r="CN72" s="100">
        <v>7.2169712673607975</v>
      </c>
      <c r="CO72" s="100">
        <v>536.94266229164327</v>
      </c>
      <c r="CP72" s="100">
        <v>10.485436893203872</v>
      </c>
      <c r="CQ72" s="100">
        <v>780.11650485436792</v>
      </c>
      <c r="CR72" s="100">
        <v>7</v>
      </c>
      <c r="CS72" s="100">
        <v>520.79999999999995</v>
      </c>
      <c r="CT72" s="100">
        <v>12</v>
      </c>
      <c r="CU72" s="100">
        <v>892.8</v>
      </c>
    </row>
    <row r="73" spans="2:99">
      <c r="C73" s="99" t="s">
        <v>239</v>
      </c>
      <c r="D73" s="100">
        <v>14</v>
      </c>
      <c r="E73" s="100">
        <v>7828.7999999999993</v>
      </c>
      <c r="F73" s="100">
        <v>6.3967225550473454</v>
      </c>
      <c r="G73" s="100">
        <v>3577.047252782475</v>
      </c>
      <c r="H73" s="100">
        <v>13</v>
      </c>
      <c r="I73" s="100">
        <v>7269.5999999999995</v>
      </c>
      <c r="J73" s="100">
        <v>8.8313484049521005</v>
      </c>
      <c r="K73" s="100">
        <v>4938.4900280492138</v>
      </c>
      <c r="L73" s="100">
        <v>3.2414220553436013</v>
      </c>
      <c r="M73" s="100">
        <v>1812.6032133481417</v>
      </c>
      <c r="N73" s="100">
        <v>13</v>
      </c>
      <c r="O73" s="100">
        <v>7269.5999999999995</v>
      </c>
      <c r="P73" s="100">
        <v>13</v>
      </c>
      <c r="Q73" s="100">
        <v>7269.5999999999995</v>
      </c>
      <c r="R73" s="100">
        <v>12</v>
      </c>
      <c r="S73" s="100">
        <v>6710.4</v>
      </c>
      <c r="T73" s="100">
        <v>9</v>
      </c>
      <c r="U73" s="100">
        <v>5032.7999999999993</v>
      </c>
      <c r="V73" s="100">
        <v>10.549913067980031</v>
      </c>
      <c r="W73" s="100">
        <v>5899.5113876144324</v>
      </c>
      <c r="X73" s="100">
        <v>15</v>
      </c>
      <c r="Y73" s="100">
        <v>8387.9999999999982</v>
      </c>
      <c r="Z73" s="100">
        <v>1.9218980132281405</v>
      </c>
      <c r="AA73" s="100">
        <v>1074.725368997176</v>
      </c>
      <c r="AB73" s="100">
        <v>9.7308465904168209</v>
      </c>
      <c r="AC73" s="100">
        <v>5441.489413361086</v>
      </c>
      <c r="AD73" s="100">
        <v>12</v>
      </c>
      <c r="AE73" s="100">
        <v>6710.4</v>
      </c>
      <c r="AF73" s="100">
        <v>12</v>
      </c>
      <c r="AG73" s="100">
        <v>6710.4</v>
      </c>
      <c r="AH73" s="100">
        <v>0.18729480713623214</v>
      </c>
      <c r="AI73" s="100">
        <v>104.73525615058101</v>
      </c>
      <c r="AJ73" s="100">
        <v>8</v>
      </c>
      <c r="AK73" s="100">
        <v>4473.5999999999995</v>
      </c>
      <c r="AL73" s="100">
        <v>11</v>
      </c>
      <c r="AM73" s="100">
        <v>6151.1999999999989</v>
      </c>
      <c r="AN73" s="100">
        <v>9</v>
      </c>
      <c r="AO73" s="100">
        <v>5032.7999999999993</v>
      </c>
      <c r="AP73" s="100">
        <v>13</v>
      </c>
      <c r="AQ73" s="100">
        <v>7269.5999999999995</v>
      </c>
      <c r="AR73" s="100">
        <v>13</v>
      </c>
      <c r="AS73" s="100">
        <v>7269.5999999999995</v>
      </c>
      <c r="AT73" s="100">
        <v>1.271465787257273</v>
      </c>
      <c r="AU73" s="100">
        <v>711.00366823426702</v>
      </c>
      <c r="AV73" s="100">
        <v>10</v>
      </c>
      <c r="AW73" s="100">
        <v>5591.9999999999991</v>
      </c>
      <c r="AX73" s="100">
        <v>9</v>
      </c>
      <c r="AY73" s="100">
        <v>5032.7999999999993</v>
      </c>
      <c r="AZ73" s="100">
        <v>5.6658113716761402</v>
      </c>
      <c r="BA73" s="100">
        <v>3168.3217190412975</v>
      </c>
      <c r="BB73" s="100">
        <v>6.8816666027172255</v>
      </c>
      <c r="BC73" s="100">
        <v>3848.2279642394719</v>
      </c>
      <c r="BD73" s="100">
        <v>10</v>
      </c>
      <c r="BE73" s="100">
        <v>5591.9999999999991</v>
      </c>
      <c r="BF73" s="100">
        <v>8.7638111629146369</v>
      </c>
      <c r="BG73" s="100">
        <v>4900.7232023018641</v>
      </c>
      <c r="BH73" s="100">
        <v>12</v>
      </c>
      <c r="BI73" s="100">
        <v>6710.4</v>
      </c>
      <c r="BJ73" s="100">
        <v>15</v>
      </c>
      <c r="BK73" s="100">
        <v>8387.9999999999982</v>
      </c>
      <c r="BL73" s="100">
        <v>9</v>
      </c>
      <c r="BM73" s="100">
        <v>5032.7999999999993</v>
      </c>
      <c r="BN73" s="100">
        <v>10.806087039627656</v>
      </c>
      <c r="BO73" s="100">
        <v>6042.7638725597844</v>
      </c>
      <c r="BP73" s="100">
        <v>11</v>
      </c>
      <c r="BQ73" s="100">
        <v>6151.1999999999989</v>
      </c>
      <c r="BR73" s="100">
        <v>12.883690107110427</v>
      </c>
      <c r="BS73" s="100">
        <v>7204.5595078961496</v>
      </c>
      <c r="BT73" s="100">
        <v>12.73899521419202</v>
      </c>
      <c r="BU73" s="100">
        <v>7123.6461237761769</v>
      </c>
      <c r="BV73" s="100">
        <v>12</v>
      </c>
      <c r="BW73" s="100">
        <v>6710.4</v>
      </c>
      <c r="BX73" s="100">
        <v>7.9448275862068778</v>
      </c>
      <c r="BY73" s="100">
        <v>4442.7475862068859</v>
      </c>
      <c r="BZ73" s="100">
        <v>7.9537571211812157</v>
      </c>
      <c r="CA73" s="100">
        <v>4447.7409821645351</v>
      </c>
      <c r="CB73" s="100">
        <v>10</v>
      </c>
      <c r="CC73" s="100">
        <v>5591.9999999999991</v>
      </c>
      <c r="CD73" s="100">
        <v>13</v>
      </c>
      <c r="CE73" s="100">
        <v>7269.5999999999995</v>
      </c>
      <c r="CF73" s="100">
        <v>11</v>
      </c>
      <c r="CG73" s="100">
        <v>6151.1999999999989</v>
      </c>
      <c r="CH73" s="100">
        <v>12</v>
      </c>
      <c r="CI73" s="100">
        <v>6710.4</v>
      </c>
      <c r="CJ73" s="100">
        <v>15</v>
      </c>
      <c r="CK73" s="100">
        <v>8387.9999999999982</v>
      </c>
      <c r="CL73" s="100">
        <v>10</v>
      </c>
      <c r="CM73" s="100">
        <v>5591.9999999999991</v>
      </c>
      <c r="CN73" s="100">
        <v>7.2169712673607975</v>
      </c>
      <c r="CO73" s="100">
        <v>4035.7303327081577</v>
      </c>
      <c r="CP73" s="100">
        <v>9.6116504854368827</v>
      </c>
      <c r="CQ73" s="100">
        <v>5374.8349514563042</v>
      </c>
      <c r="CR73" s="100">
        <v>8</v>
      </c>
      <c r="CS73" s="100">
        <v>4473.5999999999995</v>
      </c>
      <c r="CT73" s="100">
        <v>10</v>
      </c>
      <c r="CU73" s="100">
        <v>5591.9999999999991</v>
      </c>
    </row>
    <row r="74" spans="2:99">
      <c r="C74" s="99" t="s">
        <v>240</v>
      </c>
      <c r="D74" s="100">
        <v>13</v>
      </c>
      <c r="E74" s="100">
        <v>5241.5999999999995</v>
      </c>
      <c r="F74" s="100">
        <v>6.3967225550473454</v>
      </c>
      <c r="G74" s="100">
        <v>2579.1585341950895</v>
      </c>
      <c r="H74" s="100">
        <v>14</v>
      </c>
      <c r="I74" s="100">
        <v>5644.8</v>
      </c>
      <c r="J74" s="100">
        <v>8.8313484049521005</v>
      </c>
      <c r="K74" s="100">
        <v>3560.799676876687</v>
      </c>
      <c r="L74" s="100">
        <v>3.4729522021538579</v>
      </c>
      <c r="M74" s="100">
        <v>1400.2943279084354</v>
      </c>
      <c r="N74" s="100">
        <v>15</v>
      </c>
      <c r="O74" s="100">
        <v>6048</v>
      </c>
      <c r="P74" s="100">
        <v>14</v>
      </c>
      <c r="Q74" s="100">
        <v>5644.8</v>
      </c>
      <c r="R74" s="100">
        <v>13</v>
      </c>
      <c r="S74" s="100">
        <v>5241.5999999999995</v>
      </c>
      <c r="T74" s="100">
        <v>9</v>
      </c>
      <c r="U74" s="100">
        <v>3628.7999999999997</v>
      </c>
      <c r="V74" s="100">
        <v>12.057043506262893</v>
      </c>
      <c r="W74" s="100">
        <v>4861.399941725198</v>
      </c>
      <c r="X74" s="100">
        <v>14</v>
      </c>
      <c r="Y74" s="100">
        <v>5644.8</v>
      </c>
      <c r="Z74" s="100">
        <v>2.0820561809971521</v>
      </c>
      <c r="AA74" s="100">
        <v>839.48505217805166</v>
      </c>
      <c r="AB74" s="100">
        <v>8.9199427078820861</v>
      </c>
      <c r="AC74" s="100">
        <v>3596.5208998180569</v>
      </c>
      <c r="AD74" s="100">
        <v>12</v>
      </c>
      <c r="AE74" s="100">
        <v>4838.3999999999996</v>
      </c>
      <c r="AF74" s="100">
        <v>12</v>
      </c>
      <c r="AG74" s="100">
        <v>4838.3999999999996</v>
      </c>
      <c r="AH74" s="100">
        <v>0.20290270773091815</v>
      </c>
      <c r="AI74" s="100">
        <v>81.810371757106196</v>
      </c>
      <c r="AJ74" s="100">
        <v>8</v>
      </c>
      <c r="AK74" s="100">
        <v>3225.6</v>
      </c>
      <c r="AL74" s="100">
        <v>10</v>
      </c>
      <c r="AM74" s="100">
        <v>4032</v>
      </c>
      <c r="AN74" s="100">
        <v>10</v>
      </c>
      <c r="AO74" s="100">
        <v>4032</v>
      </c>
      <c r="AP74" s="100">
        <v>12</v>
      </c>
      <c r="AQ74" s="100">
        <v>4838.3999999999996</v>
      </c>
      <c r="AR74" s="100">
        <v>15</v>
      </c>
      <c r="AS74" s="100">
        <v>6048</v>
      </c>
      <c r="AT74" s="100">
        <v>1.271465787257273</v>
      </c>
      <c r="AU74" s="100">
        <v>512.65500542213249</v>
      </c>
      <c r="AV74" s="100">
        <v>10</v>
      </c>
      <c r="AW74" s="100">
        <v>4032</v>
      </c>
      <c r="AX74" s="100">
        <v>10</v>
      </c>
      <c r="AY74" s="100">
        <v>4032</v>
      </c>
      <c r="AZ74" s="100">
        <v>4.7215094763967835</v>
      </c>
      <c r="BA74" s="100">
        <v>1903.712620883183</v>
      </c>
      <c r="BB74" s="100">
        <v>7.4551388196103279</v>
      </c>
      <c r="BC74" s="100">
        <v>3005.9119720668841</v>
      </c>
      <c r="BD74" s="100">
        <v>8</v>
      </c>
      <c r="BE74" s="100">
        <v>3225.6</v>
      </c>
      <c r="BF74" s="100">
        <v>8.7638111629146369</v>
      </c>
      <c r="BG74" s="100">
        <v>3533.5686608871815</v>
      </c>
      <c r="BH74" s="100">
        <v>11</v>
      </c>
      <c r="BI74" s="100">
        <v>4435.2</v>
      </c>
      <c r="BJ74" s="100">
        <v>13</v>
      </c>
      <c r="BK74" s="100">
        <v>5241.5999999999995</v>
      </c>
      <c r="BL74" s="100">
        <v>9</v>
      </c>
      <c r="BM74" s="100">
        <v>3628.7999999999997</v>
      </c>
      <c r="BN74" s="100">
        <v>9.8237154905705975</v>
      </c>
      <c r="BO74" s="100">
        <v>3960.9220857980649</v>
      </c>
      <c r="BP74" s="100">
        <v>11</v>
      </c>
      <c r="BQ74" s="100">
        <v>4435.2</v>
      </c>
      <c r="BR74" s="100">
        <v>13.874743192272767</v>
      </c>
      <c r="BS74" s="100">
        <v>5594.2964551243795</v>
      </c>
      <c r="BT74" s="100">
        <v>12.73899521419202</v>
      </c>
      <c r="BU74" s="100">
        <v>5136.3628703622226</v>
      </c>
      <c r="BV74" s="100">
        <v>12</v>
      </c>
      <c r="BW74" s="100">
        <v>4838.3999999999996</v>
      </c>
      <c r="BX74" s="100">
        <v>6.9517241379310182</v>
      </c>
      <c r="BY74" s="100">
        <v>2802.9351724137864</v>
      </c>
      <c r="BZ74" s="100">
        <v>7.9537571211812157</v>
      </c>
      <c r="CA74" s="100">
        <v>3206.9548712602659</v>
      </c>
      <c r="CB74" s="100">
        <v>12</v>
      </c>
      <c r="CC74" s="100">
        <v>4838.3999999999996</v>
      </c>
      <c r="CD74" s="100">
        <v>13</v>
      </c>
      <c r="CE74" s="100">
        <v>5241.5999999999995</v>
      </c>
      <c r="CF74" s="100">
        <v>10</v>
      </c>
      <c r="CG74" s="100">
        <v>4032</v>
      </c>
      <c r="CH74" s="100">
        <v>12</v>
      </c>
      <c r="CI74" s="100">
        <v>4838.3999999999996</v>
      </c>
      <c r="CJ74" s="100">
        <v>14</v>
      </c>
      <c r="CK74" s="100">
        <v>5644.8</v>
      </c>
      <c r="CL74" s="100">
        <v>11</v>
      </c>
      <c r="CM74" s="100">
        <v>4435.2</v>
      </c>
      <c r="CN74" s="100">
        <v>7.7721229033116286</v>
      </c>
      <c r="CO74" s="100">
        <v>3133.7199546152488</v>
      </c>
      <c r="CP74" s="100">
        <v>10.485436893203872</v>
      </c>
      <c r="CQ74" s="100">
        <v>4227.7281553398007</v>
      </c>
      <c r="CR74" s="100">
        <v>8</v>
      </c>
      <c r="CS74" s="100">
        <v>3225.6</v>
      </c>
      <c r="CT74" s="100">
        <v>10</v>
      </c>
      <c r="CU74" s="100">
        <v>4032</v>
      </c>
    </row>
    <row r="75" spans="2:99">
      <c r="C75" s="99" t="s">
        <v>241</v>
      </c>
      <c r="D75" s="100">
        <v>12</v>
      </c>
      <c r="E75" s="100">
        <v>7718.4</v>
      </c>
      <c r="F75" s="100">
        <v>5.8636623421267329</v>
      </c>
      <c r="G75" s="100">
        <v>3771.5076184559143</v>
      </c>
      <c r="H75" s="100">
        <v>14</v>
      </c>
      <c r="I75" s="100">
        <v>9004.7999999999993</v>
      </c>
      <c r="J75" s="100">
        <v>8.8313484049521005</v>
      </c>
      <c r="K75" s="100">
        <v>5680.3232940651906</v>
      </c>
      <c r="L75" s="100">
        <v>3.2414220553436013</v>
      </c>
      <c r="M75" s="100">
        <v>2084.8826659970041</v>
      </c>
      <c r="N75" s="100">
        <v>12</v>
      </c>
      <c r="O75" s="100">
        <v>7718.4</v>
      </c>
      <c r="P75" s="100">
        <v>14</v>
      </c>
      <c r="Q75" s="100">
        <v>9004.7999999999993</v>
      </c>
      <c r="R75" s="100">
        <v>10</v>
      </c>
      <c r="S75" s="100">
        <v>6431.9999999999991</v>
      </c>
      <c r="T75" s="100">
        <v>8</v>
      </c>
      <c r="U75" s="100">
        <v>5145.5999999999995</v>
      </c>
      <c r="V75" s="100">
        <v>11.303478287121463</v>
      </c>
      <c r="W75" s="100">
        <v>7270.3972342765237</v>
      </c>
      <c r="X75" s="100">
        <v>15</v>
      </c>
      <c r="Y75" s="100">
        <v>9647.9999999999982</v>
      </c>
      <c r="Z75" s="100">
        <v>1.9218980132281405</v>
      </c>
      <c r="AA75" s="100">
        <v>1236.1648021083399</v>
      </c>
      <c r="AB75" s="100">
        <v>8.9199427078820861</v>
      </c>
      <c r="AC75" s="100">
        <v>5737.3071497097571</v>
      </c>
      <c r="AD75" s="100">
        <v>13</v>
      </c>
      <c r="AE75" s="100">
        <v>8361.5999999999985</v>
      </c>
      <c r="AF75" s="100">
        <v>13</v>
      </c>
      <c r="AG75" s="100">
        <v>8361.5999999999985</v>
      </c>
      <c r="AH75" s="100">
        <v>0.18729480713623214</v>
      </c>
      <c r="AI75" s="100">
        <v>120.4680199500245</v>
      </c>
      <c r="AJ75" s="100">
        <v>8</v>
      </c>
      <c r="AK75" s="100">
        <v>5145.5999999999995</v>
      </c>
      <c r="AL75" s="100">
        <v>10</v>
      </c>
      <c r="AM75" s="100">
        <v>6431.9999999999991</v>
      </c>
      <c r="AN75" s="100">
        <v>8</v>
      </c>
      <c r="AO75" s="100">
        <v>5145.5999999999995</v>
      </c>
      <c r="AP75" s="100">
        <v>12</v>
      </c>
      <c r="AQ75" s="100">
        <v>7718.4</v>
      </c>
      <c r="AR75" s="100">
        <v>14</v>
      </c>
      <c r="AS75" s="100">
        <v>9004.7999999999993</v>
      </c>
      <c r="AT75" s="100">
        <v>1.271465787257273</v>
      </c>
      <c r="AU75" s="100">
        <v>817.80679436387788</v>
      </c>
      <c r="AV75" s="100">
        <v>10</v>
      </c>
      <c r="AW75" s="100">
        <v>6431.9999999999991</v>
      </c>
      <c r="AX75" s="100">
        <v>8</v>
      </c>
      <c r="AY75" s="100">
        <v>5145.5999999999995</v>
      </c>
      <c r="AZ75" s="100">
        <v>5.1936604240364614</v>
      </c>
      <c r="BA75" s="100">
        <v>3340.5623847402517</v>
      </c>
      <c r="BB75" s="100">
        <v>8.0286110365034293</v>
      </c>
      <c r="BC75" s="100">
        <v>5164.0026186790055</v>
      </c>
      <c r="BD75" s="100">
        <v>9</v>
      </c>
      <c r="BE75" s="100">
        <v>5788.7999999999993</v>
      </c>
      <c r="BF75" s="100">
        <v>8.2160729652324704</v>
      </c>
      <c r="BG75" s="100">
        <v>5284.5781312375248</v>
      </c>
      <c r="BH75" s="100">
        <v>11</v>
      </c>
      <c r="BI75" s="100">
        <v>7075.1999999999989</v>
      </c>
      <c r="BJ75" s="100">
        <v>14</v>
      </c>
      <c r="BK75" s="100">
        <v>9004.7999999999993</v>
      </c>
      <c r="BL75" s="100">
        <v>8</v>
      </c>
      <c r="BM75" s="100">
        <v>5145.5999999999995</v>
      </c>
      <c r="BN75" s="100">
        <v>8.8413439415135375</v>
      </c>
      <c r="BO75" s="100">
        <v>5686.7524231815069</v>
      </c>
      <c r="BP75" s="100">
        <v>12</v>
      </c>
      <c r="BQ75" s="100">
        <v>7718.4</v>
      </c>
      <c r="BR75" s="100">
        <v>13.874743192272767</v>
      </c>
      <c r="BS75" s="100">
        <v>8924.2348212698435</v>
      </c>
      <c r="BT75" s="100">
        <v>13.588261561804821</v>
      </c>
      <c r="BU75" s="100">
        <v>8739.9698365528602</v>
      </c>
      <c r="BV75" s="100">
        <v>12</v>
      </c>
      <c r="BW75" s="100">
        <v>7718.4</v>
      </c>
      <c r="BX75" s="100">
        <v>7.9448275862068778</v>
      </c>
      <c r="BY75" s="100">
        <v>5110.1131034482632</v>
      </c>
      <c r="BZ75" s="100">
        <v>7.9537571211812157</v>
      </c>
      <c r="CA75" s="100">
        <v>5115.8565803437577</v>
      </c>
      <c r="CB75" s="100">
        <v>11</v>
      </c>
      <c r="CC75" s="100">
        <v>7075.1999999999989</v>
      </c>
      <c r="CD75" s="100">
        <v>13</v>
      </c>
      <c r="CE75" s="100">
        <v>8361.5999999999985</v>
      </c>
      <c r="CF75" s="100">
        <v>11</v>
      </c>
      <c r="CG75" s="100">
        <v>7075.1999999999989</v>
      </c>
      <c r="CH75" s="100">
        <v>12</v>
      </c>
      <c r="CI75" s="100">
        <v>7718.4</v>
      </c>
      <c r="CJ75" s="100">
        <v>13</v>
      </c>
      <c r="CK75" s="100">
        <v>8361.5999999999985</v>
      </c>
      <c r="CL75" s="100">
        <v>11</v>
      </c>
      <c r="CM75" s="100">
        <v>7075.1999999999989</v>
      </c>
      <c r="CN75" s="100">
        <v>8.3272745392624596</v>
      </c>
      <c r="CO75" s="100">
        <v>5356.1029836536136</v>
      </c>
      <c r="CP75" s="100">
        <v>11.359223300970861</v>
      </c>
      <c r="CQ75" s="100">
        <v>7306.2524271844568</v>
      </c>
      <c r="CR75" s="100">
        <v>7</v>
      </c>
      <c r="CS75" s="100">
        <v>4502.3999999999996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13</v>
      </c>
      <c r="E76" s="100">
        <v>10124.4</v>
      </c>
      <c r="F76" s="100">
        <v>6.9297827679679571</v>
      </c>
      <c r="G76" s="100">
        <v>5396.9148196934448</v>
      </c>
      <c r="H76" s="100">
        <v>13</v>
      </c>
      <c r="I76" s="100">
        <v>10124.4</v>
      </c>
      <c r="J76" s="100">
        <v>8.8313484049521005</v>
      </c>
      <c r="K76" s="100">
        <v>6877.8541377766951</v>
      </c>
      <c r="L76" s="100">
        <v>3.2414220553436013</v>
      </c>
      <c r="M76" s="100">
        <v>2524.4194967015965</v>
      </c>
      <c r="N76" s="100">
        <v>12</v>
      </c>
      <c r="O76" s="100">
        <v>9345.5999999999985</v>
      </c>
      <c r="P76" s="100">
        <v>15</v>
      </c>
      <c r="Q76" s="100">
        <v>11682</v>
      </c>
      <c r="R76" s="100">
        <v>12</v>
      </c>
      <c r="S76" s="100">
        <v>9345.5999999999985</v>
      </c>
      <c r="T76" s="100">
        <v>8</v>
      </c>
      <c r="U76" s="100">
        <v>6230.4</v>
      </c>
      <c r="V76" s="100">
        <v>10.549913067980031</v>
      </c>
      <c r="W76" s="100">
        <v>8216.2722973428481</v>
      </c>
      <c r="X76" s="100">
        <v>15</v>
      </c>
      <c r="Y76" s="100">
        <v>11682</v>
      </c>
      <c r="Z76" s="100">
        <v>1.9218980132281405</v>
      </c>
      <c r="AA76" s="100">
        <v>1496.7741727020757</v>
      </c>
      <c r="AB76" s="100">
        <v>8.1090388253473513</v>
      </c>
      <c r="AC76" s="100">
        <v>6315.3194371805166</v>
      </c>
      <c r="AD76" s="100">
        <v>13</v>
      </c>
      <c r="AE76" s="100">
        <v>10124.4</v>
      </c>
      <c r="AF76" s="100">
        <v>12</v>
      </c>
      <c r="AG76" s="100">
        <v>9345.5999999999985</v>
      </c>
      <c r="AH76" s="100">
        <v>0.18729480713623214</v>
      </c>
      <c r="AI76" s="100">
        <v>145.8651957976976</v>
      </c>
      <c r="AJ76" s="100">
        <v>7</v>
      </c>
      <c r="AK76" s="100">
        <v>5451.5999999999995</v>
      </c>
      <c r="AL76" s="100">
        <v>10</v>
      </c>
      <c r="AM76" s="100">
        <v>7788</v>
      </c>
      <c r="AN76" s="100">
        <v>9</v>
      </c>
      <c r="AO76" s="100">
        <v>7009.2</v>
      </c>
      <c r="AP76" s="100">
        <v>13</v>
      </c>
      <c r="AQ76" s="100">
        <v>10124.4</v>
      </c>
      <c r="AR76" s="100">
        <v>14</v>
      </c>
      <c r="AS76" s="100">
        <v>10903.199999999999</v>
      </c>
      <c r="AT76" s="100">
        <v>1.271465787257273</v>
      </c>
      <c r="AU76" s="100">
        <v>990.21755511596416</v>
      </c>
      <c r="AV76" s="100">
        <v>11</v>
      </c>
      <c r="AW76" s="100">
        <v>8566.7999999999993</v>
      </c>
      <c r="AX76" s="100">
        <v>9</v>
      </c>
      <c r="AY76" s="100">
        <v>7009.2</v>
      </c>
      <c r="AZ76" s="100">
        <v>5.1936604240364614</v>
      </c>
      <c r="BA76" s="100">
        <v>4044.8227382395958</v>
      </c>
      <c r="BB76" s="100">
        <v>6.8816666027172255</v>
      </c>
      <c r="BC76" s="100">
        <v>5359.4419501961747</v>
      </c>
      <c r="BD76" s="100">
        <v>9</v>
      </c>
      <c r="BE76" s="100">
        <v>7009.2</v>
      </c>
      <c r="BF76" s="100">
        <v>7.6683347675503066</v>
      </c>
      <c r="BG76" s="100">
        <v>5972.0991169681784</v>
      </c>
      <c r="BH76" s="100">
        <v>10</v>
      </c>
      <c r="BI76" s="100">
        <v>7788</v>
      </c>
      <c r="BJ76" s="100">
        <v>14</v>
      </c>
      <c r="BK76" s="100">
        <v>10903.199999999999</v>
      </c>
      <c r="BL76" s="100">
        <v>8</v>
      </c>
      <c r="BM76" s="100">
        <v>6230.4</v>
      </c>
      <c r="BN76" s="100">
        <v>10.806087039627656</v>
      </c>
      <c r="BO76" s="100">
        <v>8415.7805864620168</v>
      </c>
      <c r="BP76" s="100">
        <v>11</v>
      </c>
      <c r="BQ76" s="100">
        <v>8566.7999999999993</v>
      </c>
      <c r="BR76" s="100">
        <v>12.883690107110427</v>
      </c>
      <c r="BS76" s="100">
        <v>10033.817855417599</v>
      </c>
      <c r="BT76" s="100">
        <v>11.040462518966416</v>
      </c>
      <c r="BU76" s="100">
        <v>8598.3122097710439</v>
      </c>
      <c r="BV76" s="100">
        <v>12</v>
      </c>
      <c r="BW76" s="100">
        <v>9345.5999999999985</v>
      </c>
      <c r="BX76" s="100">
        <v>6.9517241379310182</v>
      </c>
      <c r="BY76" s="100">
        <v>5414.002758620677</v>
      </c>
      <c r="BZ76" s="100">
        <v>8.5218826298370178</v>
      </c>
      <c r="CA76" s="100">
        <v>6636.8421921170693</v>
      </c>
      <c r="CB76" s="100">
        <v>10</v>
      </c>
      <c r="CC76" s="100">
        <v>7788</v>
      </c>
      <c r="CD76" s="100">
        <v>12</v>
      </c>
      <c r="CE76" s="100">
        <v>9345.5999999999985</v>
      </c>
      <c r="CF76" s="100">
        <v>10</v>
      </c>
      <c r="CG76" s="100">
        <v>7788</v>
      </c>
      <c r="CH76" s="100">
        <v>12</v>
      </c>
      <c r="CI76" s="100">
        <v>9345.5999999999985</v>
      </c>
      <c r="CJ76" s="100">
        <v>14</v>
      </c>
      <c r="CK76" s="100">
        <v>10903.199999999999</v>
      </c>
      <c r="CL76" s="100">
        <v>10</v>
      </c>
      <c r="CM76" s="100">
        <v>7788</v>
      </c>
      <c r="CN76" s="100">
        <v>8.3272745392624596</v>
      </c>
      <c r="CO76" s="100">
        <v>6485.2814111776033</v>
      </c>
      <c r="CP76" s="100">
        <v>9.6116504854368827</v>
      </c>
      <c r="CQ76" s="100">
        <v>7485.5533980582441</v>
      </c>
      <c r="CR76" s="100">
        <v>8</v>
      </c>
      <c r="CS76" s="100">
        <v>6230.4</v>
      </c>
      <c r="CT76" s="100">
        <v>10</v>
      </c>
      <c r="CU76" s="100">
        <v>7788</v>
      </c>
    </row>
    <row r="77" spans="2:99">
      <c r="C77" s="99" t="s">
        <v>243</v>
      </c>
      <c r="D77" s="100">
        <v>14</v>
      </c>
      <c r="E77" s="100">
        <v>3897.5999999999995</v>
      </c>
      <c r="F77" s="100">
        <v>6.3967225550473454</v>
      </c>
      <c r="G77" s="100">
        <v>1780.8475593251808</v>
      </c>
      <c r="H77" s="100">
        <v>12</v>
      </c>
      <c r="I77" s="100">
        <v>3340.7999999999997</v>
      </c>
      <c r="J77" s="100">
        <v>9.6341982599477465</v>
      </c>
      <c r="K77" s="100">
        <v>2682.1607955694526</v>
      </c>
      <c r="L77" s="100">
        <v>3.4729522021538579</v>
      </c>
      <c r="M77" s="100">
        <v>966.86989307963393</v>
      </c>
      <c r="N77" s="100">
        <v>12</v>
      </c>
      <c r="O77" s="100">
        <v>3340.7999999999997</v>
      </c>
      <c r="P77" s="100">
        <v>16</v>
      </c>
      <c r="Q77" s="100">
        <v>4454.3999999999996</v>
      </c>
      <c r="R77" s="100">
        <v>12</v>
      </c>
      <c r="S77" s="100">
        <v>3340.7999999999997</v>
      </c>
      <c r="T77" s="100">
        <v>9</v>
      </c>
      <c r="U77" s="100">
        <v>2505.6</v>
      </c>
      <c r="V77" s="100">
        <v>11.303478287121463</v>
      </c>
      <c r="W77" s="100">
        <v>3146.8883551346148</v>
      </c>
      <c r="X77" s="100">
        <v>15</v>
      </c>
      <c r="Y77" s="100">
        <v>4176</v>
      </c>
      <c r="Z77" s="100">
        <v>2.0820561809971521</v>
      </c>
      <c r="AA77" s="100">
        <v>579.64444078960707</v>
      </c>
      <c r="AB77" s="100">
        <v>8.9199427078820861</v>
      </c>
      <c r="AC77" s="100">
        <v>2483.3120498743724</v>
      </c>
      <c r="AD77" s="100">
        <v>13</v>
      </c>
      <c r="AE77" s="100">
        <v>3619.2</v>
      </c>
      <c r="AF77" s="100">
        <v>13</v>
      </c>
      <c r="AG77" s="100">
        <v>3619.2</v>
      </c>
      <c r="AH77" s="100">
        <v>0.20290270773091815</v>
      </c>
      <c r="AI77" s="100">
        <v>56.48811383228761</v>
      </c>
      <c r="AJ77" s="100">
        <v>8</v>
      </c>
      <c r="AK77" s="100">
        <v>2227.1999999999998</v>
      </c>
      <c r="AL77" s="100">
        <v>11</v>
      </c>
      <c r="AM77" s="100">
        <v>3062.3999999999996</v>
      </c>
      <c r="AN77" s="100">
        <v>10</v>
      </c>
      <c r="AO77" s="100">
        <v>2784</v>
      </c>
      <c r="AP77" s="100">
        <v>12</v>
      </c>
      <c r="AQ77" s="100">
        <v>3340.7999999999997</v>
      </c>
      <c r="AR77" s="100">
        <v>13</v>
      </c>
      <c r="AS77" s="100">
        <v>3619.2</v>
      </c>
      <c r="AT77" s="100">
        <v>1.112532563850114</v>
      </c>
      <c r="AU77" s="100">
        <v>309.72906577587173</v>
      </c>
      <c r="AV77" s="100">
        <v>10</v>
      </c>
      <c r="AW77" s="100">
        <v>2784</v>
      </c>
      <c r="AX77" s="100">
        <v>9</v>
      </c>
      <c r="AY77" s="100">
        <v>2505.6</v>
      </c>
      <c r="AZ77" s="100">
        <v>5.6658113716761402</v>
      </c>
      <c r="BA77" s="100">
        <v>1577.3618858746372</v>
      </c>
      <c r="BB77" s="100">
        <v>6.8816666027172255</v>
      </c>
      <c r="BC77" s="100">
        <v>1915.8559821964755</v>
      </c>
      <c r="BD77" s="100">
        <v>10</v>
      </c>
      <c r="BE77" s="100">
        <v>2784</v>
      </c>
      <c r="BF77" s="100">
        <v>8.7638111629146369</v>
      </c>
      <c r="BG77" s="100">
        <v>2439.8450277554348</v>
      </c>
      <c r="BH77" s="100">
        <v>10</v>
      </c>
      <c r="BI77" s="100">
        <v>2784</v>
      </c>
      <c r="BJ77" s="100">
        <v>15</v>
      </c>
      <c r="BK77" s="100">
        <v>4176</v>
      </c>
      <c r="BL77" s="100">
        <v>9</v>
      </c>
      <c r="BM77" s="100">
        <v>2505.6</v>
      </c>
      <c r="BN77" s="100">
        <v>9.8237154905705975</v>
      </c>
      <c r="BO77" s="100">
        <v>2734.9223925748543</v>
      </c>
      <c r="BP77" s="100">
        <v>11</v>
      </c>
      <c r="BQ77" s="100">
        <v>3062.3999999999996</v>
      </c>
      <c r="BR77" s="100">
        <v>13.874743192272767</v>
      </c>
      <c r="BS77" s="100">
        <v>3862.7285047287382</v>
      </c>
      <c r="BT77" s="100">
        <v>13.588261561804821</v>
      </c>
      <c r="BU77" s="100">
        <v>3782.9720188064616</v>
      </c>
      <c r="BV77" s="100">
        <v>14</v>
      </c>
      <c r="BW77" s="100">
        <v>3897.5999999999995</v>
      </c>
      <c r="BX77" s="100">
        <v>7.9448275862068778</v>
      </c>
      <c r="BY77" s="100">
        <v>2211.8399999999947</v>
      </c>
      <c r="BZ77" s="100">
        <v>8.5218826298370178</v>
      </c>
      <c r="CA77" s="100">
        <v>2372.4921241466254</v>
      </c>
      <c r="CB77" s="100">
        <v>12</v>
      </c>
      <c r="CC77" s="100">
        <v>3340.7999999999997</v>
      </c>
      <c r="CD77" s="100">
        <v>13</v>
      </c>
      <c r="CE77" s="100">
        <v>3619.2</v>
      </c>
      <c r="CF77" s="100">
        <v>10</v>
      </c>
      <c r="CG77" s="100">
        <v>2784</v>
      </c>
      <c r="CH77" s="100">
        <v>14</v>
      </c>
      <c r="CI77" s="100">
        <v>3897.5999999999995</v>
      </c>
      <c r="CJ77" s="100">
        <v>16</v>
      </c>
      <c r="CK77" s="100">
        <v>4454.3999999999996</v>
      </c>
      <c r="CL77" s="100">
        <v>11</v>
      </c>
      <c r="CM77" s="100">
        <v>3062.3999999999996</v>
      </c>
      <c r="CN77" s="100">
        <v>8.3272745392624596</v>
      </c>
      <c r="CO77" s="100">
        <v>2318.3132317306686</v>
      </c>
      <c r="CP77" s="100">
        <v>11.359223300970861</v>
      </c>
      <c r="CQ77" s="100">
        <v>3162.4077669902872</v>
      </c>
      <c r="CR77" s="100">
        <v>9</v>
      </c>
      <c r="CS77" s="100">
        <v>2505.6</v>
      </c>
      <c r="CT77" s="100">
        <v>11</v>
      </c>
      <c r="CU77" s="100">
        <v>3062.3999999999996</v>
      </c>
    </row>
    <row r="78" spans="2:99">
      <c r="C78" s="99" t="s">
        <v>244</v>
      </c>
      <c r="D78" s="100">
        <v>13</v>
      </c>
      <c r="E78" s="100">
        <v>7176</v>
      </c>
      <c r="F78" s="100">
        <v>6.3967225550473454</v>
      </c>
      <c r="G78" s="100">
        <v>3530.9908503861348</v>
      </c>
      <c r="H78" s="100">
        <v>12</v>
      </c>
      <c r="I78" s="100">
        <v>6624</v>
      </c>
      <c r="J78" s="100">
        <v>9.6341982599477465</v>
      </c>
      <c r="K78" s="100">
        <v>5318.0774394911559</v>
      </c>
      <c r="L78" s="100">
        <v>3.2414220553436013</v>
      </c>
      <c r="M78" s="100">
        <v>1789.2649745496678</v>
      </c>
      <c r="N78" s="100">
        <v>14</v>
      </c>
      <c r="O78" s="100">
        <v>7728</v>
      </c>
      <c r="P78" s="100">
        <v>13</v>
      </c>
      <c r="Q78" s="100">
        <v>7176</v>
      </c>
      <c r="R78" s="100">
        <v>13</v>
      </c>
      <c r="S78" s="100">
        <v>7176</v>
      </c>
      <c r="T78" s="100">
        <v>9</v>
      </c>
      <c r="U78" s="100">
        <v>4968</v>
      </c>
      <c r="V78" s="100">
        <v>10.549913067980031</v>
      </c>
      <c r="W78" s="100">
        <v>5823.5520135249772</v>
      </c>
      <c r="X78" s="100">
        <v>14</v>
      </c>
      <c r="Y78" s="100">
        <v>7728</v>
      </c>
      <c r="Z78" s="100">
        <v>1.7617398454591287</v>
      </c>
      <c r="AA78" s="100">
        <v>972.48039469343905</v>
      </c>
      <c r="AB78" s="100">
        <v>8.1090388253473513</v>
      </c>
      <c r="AC78" s="100">
        <v>4476.189431591738</v>
      </c>
      <c r="AD78" s="100">
        <v>14</v>
      </c>
      <c r="AE78" s="100">
        <v>7728</v>
      </c>
      <c r="AF78" s="100">
        <v>11</v>
      </c>
      <c r="AG78" s="100">
        <v>6072</v>
      </c>
      <c r="AH78" s="100">
        <v>0.20290270773091815</v>
      </c>
      <c r="AI78" s="100">
        <v>112.00229466746681</v>
      </c>
      <c r="AJ78" s="100">
        <v>8</v>
      </c>
      <c r="AK78" s="100">
        <v>4416</v>
      </c>
      <c r="AL78" s="100">
        <v>11</v>
      </c>
      <c r="AM78" s="100">
        <v>6072</v>
      </c>
      <c r="AN78" s="100">
        <v>9</v>
      </c>
      <c r="AO78" s="100">
        <v>4968</v>
      </c>
      <c r="AP78" s="100">
        <v>12</v>
      </c>
      <c r="AQ78" s="100">
        <v>6624</v>
      </c>
      <c r="AR78" s="100">
        <v>13</v>
      </c>
      <c r="AS78" s="100">
        <v>7176</v>
      </c>
      <c r="AT78" s="100">
        <v>1.271465787257273</v>
      </c>
      <c r="AU78" s="100">
        <v>701.84911456601469</v>
      </c>
      <c r="AV78" s="100">
        <v>11</v>
      </c>
      <c r="AW78" s="100">
        <v>6072</v>
      </c>
      <c r="AX78" s="100">
        <v>10</v>
      </c>
      <c r="AY78" s="100">
        <v>5520</v>
      </c>
      <c r="AZ78" s="100">
        <v>4.7215094763967835</v>
      </c>
      <c r="BA78" s="100">
        <v>2606.2732309710245</v>
      </c>
      <c r="BB78" s="100">
        <v>7.4551388196103279</v>
      </c>
      <c r="BC78" s="100">
        <v>4115.236628424901</v>
      </c>
      <c r="BD78" s="100">
        <v>8</v>
      </c>
      <c r="BE78" s="100">
        <v>4416</v>
      </c>
      <c r="BF78" s="100">
        <v>8.2160729652324704</v>
      </c>
      <c r="BG78" s="100">
        <v>4535.272276808324</v>
      </c>
      <c r="BH78" s="100">
        <v>10</v>
      </c>
      <c r="BI78" s="100">
        <v>5520</v>
      </c>
      <c r="BJ78" s="100">
        <v>15</v>
      </c>
      <c r="BK78" s="100">
        <v>8280</v>
      </c>
      <c r="BL78" s="100">
        <v>8</v>
      </c>
      <c r="BM78" s="100">
        <v>4416</v>
      </c>
      <c r="BN78" s="100">
        <v>8.8413439415135375</v>
      </c>
      <c r="BO78" s="100">
        <v>4880.4218557154727</v>
      </c>
      <c r="BP78" s="100">
        <v>11</v>
      </c>
      <c r="BQ78" s="100">
        <v>6072</v>
      </c>
      <c r="BR78" s="100">
        <v>14.865796277435109</v>
      </c>
      <c r="BS78" s="100">
        <v>8205.919545144181</v>
      </c>
      <c r="BT78" s="100">
        <v>13.588261561804821</v>
      </c>
      <c r="BU78" s="100">
        <v>7500.7203821162611</v>
      </c>
      <c r="BV78" s="100">
        <v>13</v>
      </c>
      <c r="BW78" s="100">
        <v>7176</v>
      </c>
      <c r="BX78" s="100">
        <v>6.9517241379310182</v>
      </c>
      <c r="BY78" s="100">
        <v>3837.3517241379222</v>
      </c>
      <c r="BZ78" s="100">
        <v>9.09000813849282</v>
      </c>
      <c r="CA78" s="100">
        <v>5017.6844924480365</v>
      </c>
      <c r="CB78" s="100">
        <v>11</v>
      </c>
      <c r="CC78" s="100">
        <v>6072</v>
      </c>
      <c r="CD78" s="100">
        <v>12</v>
      </c>
      <c r="CE78" s="100">
        <v>6624</v>
      </c>
      <c r="CF78" s="100">
        <v>12</v>
      </c>
      <c r="CG78" s="100">
        <v>6624</v>
      </c>
      <c r="CH78" s="100">
        <v>14</v>
      </c>
      <c r="CI78" s="100">
        <v>7728</v>
      </c>
      <c r="CJ78" s="100">
        <v>13</v>
      </c>
      <c r="CK78" s="100">
        <v>7176</v>
      </c>
      <c r="CL78" s="100">
        <v>10</v>
      </c>
      <c r="CM78" s="100">
        <v>5520</v>
      </c>
      <c r="CN78" s="100">
        <v>7.2169712673607975</v>
      </c>
      <c r="CO78" s="100">
        <v>3983.7681395831601</v>
      </c>
      <c r="CP78" s="100">
        <v>9.6116504854368827</v>
      </c>
      <c r="CQ78" s="100">
        <v>5305.6310679611597</v>
      </c>
      <c r="CR78" s="100">
        <v>8</v>
      </c>
      <c r="CS78" s="100">
        <v>4416</v>
      </c>
      <c r="CT78" s="100">
        <v>11</v>
      </c>
      <c r="CU78" s="100">
        <v>6072</v>
      </c>
    </row>
    <row r="79" spans="2:99">
      <c r="C79" s="99" t="s">
        <v>245</v>
      </c>
      <c r="D79" s="100">
        <v>13</v>
      </c>
      <c r="E79" s="100">
        <v>9843.5999999999985</v>
      </c>
      <c r="F79" s="100">
        <v>6.3967225550473454</v>
      </c>
      <c r="G79" s="100">
        <v>4843.5983186818494</v>
      </c>
      <c r="H79" s="100">
        <v>13</v>
      </c>
      <c r="I79" s="100">
        <v>9843.5999999999985</v>
      </c>
      <c r="J79" s="100">
        <v>9.6341982599477465</v>
      </c>
      <c r="K79" s="100">
        <v>7295.0149224324332</v>
      </c>
      <c r="L79" s="100">
        <v>3.2414220553436013</v>
      </c>
      <c r="M79" s="100">
        <v>2454.4047803061749</v>
      </c>
      <c r="N79" s="100">
        <v>12</v>
      </c>
      <c r="O79" s="100">
        <v>9086.4</v>
      </c>
      <c r="P79" s="100">
        <v>14</v>
      </c>
      <c r="Q79" s="100">
        <v>10600.8</v>
      </c>
      <c r="R79" s="100">
        <v>12</v>
      </c>
      <c r="S79" s="100">
        <v>9086.4</v>
      </c>
      <c r="T79" s="100">
        <v>9</v>
      </c>
      <c r="U79" s="100">
        <v>6814.7999999999993</v>
      </c>
      <c r="V79" s="100">
        <v>11.303478287121463</v>
      </c>
      <c r="W79" s="100">
        <v>8558.99375900837</v>
      </c>
      <c r="X79" s="100">
        <v>14</v>
      </c>
      <c r="Y79" s="100">
        <v>10600.8</v>
      </c>
      <c r="Z79" s="100">
        <v>1.9218980132281405</v>
      </c>
      <c r="AA79" s="100">
        <v>1455.2611756163478</v>
      </c>
      <c r="AB79" s="100">
        <v>8.9199427078820861</v>
      </c>
      <c r="AC79" s="100">
        <v>6754.1806184083152</v>
      </c>
      <c r="AD79" s="100">
        <v>12</v>
      </c>
      <c r="AE79" s="100">
        <v>9086.4</v>
      </c>
      <c r="AF79" s="100">
        <v>14</v>
      </c>
      <c r="AG79" s="100">
        <v>10600.8</v>
      </c>
      <c r="AH79" s="100">
        <v>0.18729480713623214</v>
      </c>
      <c r="AI79" s="100">
        <v>141.81962796355498</v>
      </c>
      <c r="AJ79" s="100">
        <v>8</v>
      </c>
      <c r="AK79" s="100">
        <v>6057.5999999999995</v>
      </c>
      <c r="AL79" s="100">
        <v>10</v>
      </c>
      <c r="AM79" s="100">
        <v>7571.9999999999991</v>
      </c>
      <c r="AN79" s="100">
        <v>9</v>
      </c>
      <c r="AO79" s="100">
        <v>6814.7999999999993</v>
      </c>
      <c r="AP79" s="100">
        <v>12</v>
      </c>
      <c r="AQ79" s="100">
        <v>9086.4</v>
      </c>
      <c r="AR79" s="100">
        <v>14</v>
      </c>
      <c r="AS79" s="100">
        <v>10600.8</v>
      </c>
      <c r="AT79" s="100">
        <v>1.112532563850114</v>
      </c>
      <c r="AU79" s="100">
        <v>842.40965734730628</v>
      </c>
      <c r="AV79" s="100">
        <v>11</v>
      </c>
      <c r="AW79" s="100">
        <v>8329.1999999999989</v>
      </c>
      <c r="AX79" s="100">
        <v>9</v>
      </c>
      <c r="AY79" s="100">
        <v>6814.7999999999993</v>
      </c>
      <c r="AZ79" s="100">
        <v>5.1936604240364614</v>
      </c>
      <c r="BA79" s="100">
        <v>3932.6396730804081</v>
      </c>
      <c r="BB79" s="100">
        <v>6.8816666027172255</v>
      </c>
      <c r="BC79" s="100">
        <v>5210.7979515774823</v>
      </c>
      <c r="BD79" s="100">
        <v>9</v>
      </c>
      <c r="BE79" s="100">
        <v>6814.7999999999993</v>
      </c>
      <c r="BF79" s="100">
        <v>8.2160729652324704</v>
      </c>
      <c r="BG79" s="100">
        <v>6221.2104492740264</v>
      </c>
      <c r="BH79" s="100">
        <v>11</v>
      </c>
      <c r="BI79" s="100">
        <v>8329.1999999999989</v>
      </c>
      <c r="BJ79" s="100">
        <v>13</v>
      </c>
      <c r="BK79" s="100">
        <v>9843.5999999999985</v>
      </c>
      <c r="BL79" s="100">
        <v>9</v>
      </c>
      <c r="BM79" s="100">
        <v>6814.7999999999993</v>
      </c>
      <c r="BN79" s="100">
        <v>9.8237154905705975</v>
      </c>
      <c r="BO79" s="100">
        <v>7438.5173694600553</v>
      </c>
      <c r="BP79" s="100">
        <v>11</v>
      </c>
      <c r="BQ79" s="100">
        <v>8329.1999999999989</v>
      </c>
      <c r="BR79" s="100">
        <v>12.883690107110427</v>
      </c>
      <c r="BS79" s="100">
        <v>9755.5301491040136</v>
      </c>
      <c r="BT79" s="100">
        <v>13.588261561804821</v>
      </c>
      <c r="BU79" s="100">
        <v>10289.03165459861</v>
      </c>
      <c r="BV79" s="100">
        <v>14</v>
      </c>
      <c r="BW79" s="100">
        <v>10600.8</v>
      </c>
      <c r="BX79" s="100">
        <v>7.9448275862068778</v>
      </c>
      <c r="BY79" s="100">
        <v>6015.8234482758471</v>
      </c>
      <c r="BZ79" s="100">
        <v>7.9537571211812157</v>
      </c>
      <c r="CA79" s="100">
        <v>6022.5848921584156</v>
      </c>
      <c r="CB79" s="100">
        <v>10</v>
      </c>
      <c r="CC79" s="100">
        <v>7571.9999999999991</v>
      </c>
      <c r="CD79" s="100">
        <v>13</v>
      </c>
      <c r="CE79" s="100">
        <v>9843.5999999999985</v>
      </c>
      <c r="CF79" s="100">
        <v>10</v>
      </c>
      <c r="CG79" s="100">
        <v>7571.9999999999991</v>
      </c>
      <c r="CH79" s="100">
        <v>13</v>
      </c>
      <c r="CI79" s="100">
        <v>9843.5999999999985</v>
      </c>
      <c r="CJ79" s="100">
        <v>15</v>
      </c>
      <c r="CK79" s="100">
        <v>11357.999999999998</v>
      </c>
      <c r="CL79" s="100">
        <v>11</v>
      </c>
      <c r="CM79" s="100">
        <v>8329.1999999999989</v>
      </c>
      <c r="CN79" s="100">
        <v>7.2169712673607975</v>
      </c>
      <c r="CO79" s="100">
        <v>5464.6906436455956</v>
      </c>
      <c r="CP79" s="100">
        <v>10.485436893203872</v>
      </c>
      <c r="CQ79" s="100">
        <v>7939.5728155339712</v>
      </c>
      <c r="CR79" s="100">
        <v>8</v>
      </c>
      <c r="CS79" s="100">
        <v>6057.5999999999995</v>
      </c>
      <c r="CT79" s="100">
        <v>12</v>
      </c>
      <c r="CU79" s="100">
        <v>9086.4</v>
      </c>
    </row>
    <row r="80" spans="2:99">
      <c r="C80" s="99" t="s">
        <v>246</v>
      </c>
      <c r="D80" s="100">
        <v>12</v>
      </c>
      <c r="E80" s="100">
        <v>9662.4</v>
      </c>
      <c r="F80" s="100">
        <v>5.8636623421267329</v>
      </c>
      <c r="G80" s="100">
        <v>4721.4209178804449</v>
      </c>
      <c r="H80" s="100">
        <v>12</v>
      </c>
      <c r="I80" s="100">
        <v>9662.4</v>
      </c>
      <c r="J80" s="100">
        <v>9.6341982599477465</v>
      </c>
      <c r="K80" s="100">
        <v>7757.4564389099251</v>
      </c>
      <c r="L80" s="100">
        <v>3.2414220553436013</v>
      </c>
      <c r="M80" s="100">
        <v>2609.9930389626675</v>
      </c>
      <c r="N80" s="100">
        <v>13</v>
      </c>
      <c r="O80" s="100">
        <v>10467.599999999999</v>
      </c>
      <c r="P80" s="100">
        <v>14</v>
      </c>
      <c r="Q80" s="100">
        <v>11272.8</v>
      </c>
      <c r="R80" s="100">
        <v>12</v>
      </c>
      <c r="S80" s="100">
        <v>9662.4</v>
      </c>
      <c r="T80" s="100">
        <v>9</v>
      </c>
      <c r="U80" s="100">
        <v>7246.7999999999993</v>
      </c>
      <c r="V80" s="100">
        <v>11.303478287121463</v>
      </c>
      <c r="W80" s="100">
        <v>9101.5607167902017</v>
      </c>
      <c r="X80" s="100">
        <v>15</v>
      </c>
      <c r="Y80" s="100">
        <v>12077.999999999998</v>
      </c>
      <c r="Z80" s="100">
        <v>1.7617398454591287</v>
      </c>
      <c r="AA80" s="100">
        <v>1418.5529235636902</v>
      </c>
      <c r="AB80" s="100">
        <v>9.7308465904168209</v>
      </c>
      <c r="AC80" s="100">
        <v>7835.2776746036234</v>
      </c>
      <c r="AD80" s="100">
        <v>13</v>
      </c>
      <c r="AE80" s="100">
        <v>10467.599999999999</v>
      </c>
      <c r="AF80" s="100">
        <v>14</v>
      </c>
      <c r="AG80" s="100">
        <v>11272.8</v>
      </c>
      <c r="AH80" s="100">
        <v>0.18729480713623214</v>
      </c>
      <c r="AI80" s="100">
        <v>150.80977870609411</v>
      </c>
      <c r="AJ80" s="100">
        <v>8</v>
      </c>
      <c r="AK80" s="100">
        <v>6441.5999999999995</v>
      </c>
      <c r="AL80" s="100">
        <v>10</v>
      </c>
      <c r="AM80" s="100">
        <v>8051.9999999999991</v>
      </c>
      <c r="AN80" s="100">
        <v>8</v>
      </c>
      <c r="AO80" s="100">
        <v>6441.5999999999995</v>
      </c>
      <c r="AP80" s="100">
        <v>13</v>
      </c>
      <c r="AQ80" s="100">
        <v>10467.599999999999</v>
      </c>
      <c r="AR80" s="100">
        <v>14</v>
      </c>
      <c r="AS80" s="100">
        <v>11272.8</v>
      </c>
      <c r="AT80" s="100">
        <v>1.271465787257273</v>
      </c>
      <c r="AU80" s="100">
        <v>1023.7842518995561</v>
      </c>
      <c r="AV80" s="100">
        <v>10</v>
      </c>
      <c r="AW80" s="100">
        <v>8051.9999999999991</v>
      </c>
      <c r="AX80" s="100">
        <v>9</v>
      </c>
      <c r="AY80" s="100">
        <v>7246.7999999999993</v>
      </c>
      <c r="AZ80" s="100">
        <v>5.6658113716761402</v>
      </c>
      <c r="BA80" s="100">
        <v>4562.111316473628</v>
      </c>
      <c r="BB80" s="100">
        <v>8.0286110365034293</v>
      </c>
      <c r="BC80" s="100">
        <v>6464.6376065925606</v>
      </c>
      <c r="BD80" s="100">
        <v>8</v>
      </c>
      <c r="BE80" s="100">
        <v>6441.5999999999995</v>
      </c>
      <c r="BF80" s="100">
        <v>7.6683347675503066</v>
      </c>
      <c r="BG80" s="100">
        <v>6174.5431548315064</v>
      </c>
      <c r="BH80" s="100">
        <v>10</v>
      </c>
      <c r="BI80" s="100">
        <v>8051.9999999999991</v>
      </c>
      <c r="BJ80" s="100">
        <v>13</v>
      </c>
      <c r="BK80" s="100">
        <v>10467.599999999999</v>
      </c>
      <c r="BL80" s="100">
        <v>9</v>
      </c>
      <c r="BM80" s="100">
        <v>7246.7999999999993</v>
      </c>
      <c r="BN80" s="100">
        <v>9.8237154905705975</v>
      </c>
      <c r="BO80" s="100">
        <v>7910.055713007444</v>
      </c>
      <c r="BP80" s="100">
        <v>12</v>
      </c>
      <c r="BQ80" s="100">
        <v>9662.4</v>
      </c>
      <c r="BR80" s="100">
        <v>14.865796277435109</v>
      </c>
      <c r="BS80" s="100">
        <v>11969.939162590748</v>
      </c>
      <c r="BT80" s="100">
        <v>11.040462518966416</v>
      </c>
      <c r="BU80" s="100">
        <v>8889.780420271758</v>
      </c>
      <c r="BV80" s="100">
        <v>12</v>
      </c>
      <c r="BW80" s="100">
        <v>9662.4</v>
      </c>
      <c r="BX80" s="100">
        <v>7.9448275862068778</v>
      </c>
      <c r="BY80" s="100">
        <v>6397.1751724137775</v>
      </c>
      <c r="BZ80" s="100">
        <v>7.9537571211812157</v>
      </c>
      <c r="CA80" s="100">
        <v>6404.3652339751143</v>
      </c>
      <c r="CB80" s="100">
        <v>12</v>
      </c>
      <c r="CC80" s="100">
        <v>9662.4</v>
      </c>
      <c r="CD80" s="100">
        <v>13</v>
      </c>
      <c r="CE80" s="100">
        <v>10467.599999999999</v>
      </c>
      <c r="CF80" s="100">
        <v>12</v>
      </c>
      <c r="CG80" s="100">
        <v>9662.4</v>
      </c>
      <c r="CH80" s="100">
        <v>12</v>
      </c>
      <c r="CI80" s="100">
        <v>9662.4</v>
      </c>
      <c r="CJ80" s="100">
        <v>13</v>
      </c>
      <c r="CK80" s="100">
        <v>10467.599999999999</v>
      </c>
      <c r="CL80" s="100">
        <v>10</v>
      </c>
      <c r="CM80" s="100">
        <v>8051.9999999999991</v>
      </c>
      <c r="CN80" s="100">
        <v>7.2169712673607975</v>
      </c>
      <c r="CO80" s="100">
        <v>5811.1052644789133</v>
      </c>
      <c r="CP80" s="100">
        <v>10.485436893203872</v>
      </c>
      <c r="CQ80" s="100">
        <v>8442.8737864077575</v>
      </c>
      <c r="CR80" s="100">
        <v>8</v>
      </c>
      <c r="CS80" s="100">
        <v>6441.5999999999995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14</v>
      </c>
      <c r="E81" s="100">
        <v>10550.4</v>
      </c>
      <c r="F81" s="100">
        <v>5.8636623421267329</v>
      </c>
      <c r="G81" s="100">
        <v>4418.8559410267062</v>
      </c>
      <c r="H81" s="100">
        <v>12</v>
      </c>
      <c r="I81" s="100">
        <v>9043.2000000000007</v>
      </c>
      <c r="J81" s="100">
        <v>9.6341982599477465</v>
      </c>
      <c r="K81" s="100">
        <v>7260.3318086966219</v>
      </c>
      <c r="L81" s="100">
        <v>2.7783617617230867</v>
      </c>
      <c r="M81" s="100">
        <v>2093.7734236345182</v>
      </c>
      <c r="N81" s="100">
        <v>14</v>
      </c>
      <c r="O81" s="100">
        <v>10550.4</v>
      </c>
      <c r="P81" s="100">
        <v>13</v>
      </c>
      <c r="Q81" s="100">
        <v>9796.8000000000011</v>
      </c>
      <c r="R81" s="100">
        <v>11</v>
      </c>
      <c r="S81" s="100">
        <v>8289.6</v>
      </c>
      <c r="T81" s="100">
        <v>8</v>
      </c>
      <c r="U81" s="100">
        <v>6028.8</v>
      </c>
      <c r="V81" s="100">
        <v>11.303478287121463</v>
      </c>
      <c r="W81" s="100">
        <v>8518.3012371747354</v>
      </c>
      <c r="X81" s="100">
        <v>13</v>
      </c>
      <c r="Y81" s="100">
        <v>9796.8000000000011</v>
      </c>
      <c r="Z81" s="100">
        <v>1.7617398454591287</v>
      </c>
      <c r="AA81" s="100">
        <v>1327.6471475379994</v>
      </c>
      <c r="AB81" s="100">
        <v>8.9199427078820861</v>
      </c>
      <c r="AC81" s="100">
        <v>6722.0688246599402</v>
      </c>
      <c r="AD81" s="100">
        <v>13</v>
      </c>
      <c r="AE81" s="100">
        <v>9796.8000000000011</v>
      </c>
      <c r="AF81" s="100">
        <v>11</v>
      </c>
      <c r="AG81" s="100">
        <v>8289.6</v>
      </c>
      <c r="AH81" s="100">
        <v>0.18729480713623214</v>
      </c>
      <c r="AI81" s="100">
        <v>141.14536665786454</v>
      </c>
      <c r="AJ81" s="100">
        <v>8</v>
      </c>
      <c r="AK81" s="100">
        <v>6028.8</v>
      </c>
      <c r="AL81" s="100">
        <v>11</v>
      </c>
      <c r="AM81" s="100">
        <v>8289.6</v>
      </c>
      <c r="AN81" s="100">
        <v>9</v>
      </c>
      <c r="AO81" s="100">
        <v>6782.4000000000005</v>
      </c>
      <c r="AP81" s="100">
        <v>12</v>
      </c>
      <c r="AQ81" s="100">
        <v>9043.2000000000007</v>
      </c>
      <c r="AR81" s="100">
        <v>15</v>
      </c>
      <c r="AS81" s="100">
        <v>11304</v>
      </c>
      <c r="AT81" s="100">
        <v>1.112532563850114</v>
      </c>
      <c r="AU81" s="100">
        <v>838.40454011744589</v>
      </c>
      <c r="AV81" s="100">
        <v>10</v>
      </c>
      <c r="AW81" s="100">
        <v>7536</v>
      </c>
      <c r="AX81" s="100">
        <v>8</v>
      </c>
      <c r="AY81" s="100">
        <v>6028.8</v>
      </c>
      <c r="AZ81" s="100">
        <v>4.7215094763967835</v>
      </c>
      <c r="BA81" s="100">
        <v>3558.1295414126162</v>
      </c>
      <c r="BB81" s="100">
        <v>7.4551388196103279</v>
      </c>
      <c r="BC81" s="100">
        <v>5618.1926144583431</v>
      </c>
      <c r="BD81" s="100">
        <v>8</v>
      </c>
      <c r="BE81" s="100">
        <v>6028.8</v>
      </c>
      <c r="BF81" s="100">
        <v>7.6683347675503066</v>
      </c>
      <c r="BG81" s="100">
        <v>5778.857080825911</v>
      </c>
      <c r="BH81" s="100">
        <v>11</v>
      </c>
      <c r="BI81" s="100">
        <v>8289.6</v>
      </c>
      <c r="BJ81" s="100">
        <v>13</v>
      </c>
      <c r="BK81" s="100">
        <v>9796.8000000000011</v>
      </c>
      <c r="BL81" s="100">
        <v>8</v>
      </c>
      <c r="BM81" s="100">
        <v>6028.8</v>
      </c>
      <c r="BN81" s="100">
        <v>9.8237154905705975</v>
      </c>
      <c r="BO81" s="100">
        <v>7403.1519936940022</v>
      </c>
      <c r="BP81" s="100">
        <v>11</v>
      </c>
      <c r="BQ81" s="100">
        <v>8289.6</v>
      </c>
      <c r="BR81" s="100">
        <v>14.865796277435109</v>
      </c>
      <c r="BS81" s="100">
        <v>11202.864074675099</v>
      </c>
      <c r="BT81" s="100">
        <v>11.889728866579217</v>
      </c>
      <c r="BU81" s="100">
        <v>8960.099673854098</v>
      </c>
      <c r="BV81" s="100">
        <v>12</v>
      </c>
      <c r="BW81" s="100">
        <v>9043.2000000000007</v>
      </c>
      <c r="BX81" s="100">
        <v>7.9448275862068778</v>
      </c>
      <c r="BY81" s="100">
        <v>5987.2220689655032</v>
      </c>
      <c r="BZ81" s="100">
        <v>7.9537571211812157</v>
      </c>
      <c r="CA81" s="100">
        <v>5993.9513665221639</v>
      </c>
      <c r="CB81" s="100">
        <v>11</v>
      </c>
      <c r="CC81" s="100">
        <v>8289.6</v>
      </c>
      <c r="CD81" s="100">
        <v>12</v>
      </c>
      <c r="CE81" s="100">
        <v>9043.2000000000007</v>
      </c>
      <c r="CF81" s="100">
        <v>10</v>
      </c>
      <c r="CG81" s="100">
        <v>7536</v>
      </c>
      <c r="CH81" s="100">
        <v>12</v>
      </c>
      <c r="CI81" s="100">
        <v>9043.2000000000007</v>
      </c>
      <c r="CJ81" s="100">
        <v>14</v>
      </c>
      <c r="CK81" s="100">
        <v>10550.4</v>
      </c>
      <c r="CL81" s="100">
        <v>10</v>
      </c>
      <c r="CM81" s="100">
        <v>7536</v>
      </c>
      <c r="CN81" s="100">
        <v>7.7721229033116286</v>
      </c>
      <c r="CO81" s="100">
        <v>5857.0718199356434</v>
      </c>
      <c r="CP81" s="100">
        <v>9.6116504854368827</v>
      </c>
      <c r="CQ81" s="100">
        <v>7243.3398058252351</v>
      </c>
      <c r="CR81" s="100">
        <v>8</v>
      </c>
      <c r="CS81" s="100">
        <v>6028.8</v>
      </c>
      <c r="CT81" s="100">
        <v>11</v>
      </c>
      <c r="CU81" s="100">
        <v>8289.6</v>
      </c>
    </row>
    <row r="82" spans="2:99">
      <c r="C82" s="99" t="s">
        <v>248</v>
      </c>
      <c r="D82" s="100">
        <v>13</v>
      </c>
      <c r="E82" s="100">
        <v>6614.3999999999987</v>
      </c>
      <c r="F82" s="100">
        <v>6.9297827679679571</v>
      </c>
      <c r="G82" s="100">
        <v>3525.8734723420957</v>
      </c>
      <c r="H82" s="100">
        <v>13</v>
      </c>
      <c r="I82" s="100">
        <v>6614.3999999999987</v>
      </c>
      <c r="J82" s="100">
        <v>9.6341982599477465</v>
      </c>
      <c r="K82" s="100">
        <v>4901.8800746614124</v>
      </c>
      <c r="L82" s="100">
        <v>3.0098919085333438</v>
      </c>
      <c r="M82" s="100">
        <v>1531.433003061765</v>
      </c>
      <c r="N82" s="100">
        <v>13</v>
      </c>
      <c r="O82" s="100">
        <v>6614.3999999999987</v>
      </c>
      <c r="P82" s="100">
        <v>14</v>
      </c>
      <c r="Q82" s="100">
        <v>7123.1999999999989</v>
      </c>
      <c r="R82" s="100">
        <v>11</v>
      </c>
      <c r="S82" s="100">
        <v>5596.7999999999993</v>
      </c>
      <c r="T82" s="100">
        <v>9</v>
      </c>
      <c r="U82" s="100">
        <v>4579.1999999999989</v>
      </c>
      <c r="V82" s="100">
        <v>10.549913067980031</v>
      </c>
      <c r="W82" s="100">
        <v>5367.7957689882387</v>
      </c>
      <c r="X82" s="100">
        <v>13</v>
      </c>
      <c r="Y82" s="100">
        <v>6614.3999999999987</v>
      </c>
      <c r="Z82" s="100">
        <v>1.7617398454591287</v>
      </c>
      <c r="AA82" s="100">
        <v>896.37323336960446</v>
      </c>
      <c r="AB82" s="100">
        <v>8.9199427078820861</v>
      </c>
      <c r="AC82" s="100">
        <v>4538.4668497704042</v>
      </c>
      <c r="AD82" s="100">
        <v>13</v>
      </c>
      <c r="AE82" s="100">
        <v>6614.3999999999987</v>
      </c>
      <c r="AF82" s="100">
        <v>12</v>
      </c>
      <c r="AG82" s="100">
        <v>6105.5999999999985</v>
      </c>
      <c r="AH82" s="100">
        <v>0.18729480713623214</v>
      </c>
      <c r="AI82" s="100">
        <v>95.295597870914889</v>
      </c>
      <c r="AJ82" s="100">
        <v>8</v>
      </c>
      <c r="AK82" s="100">
        <v>4070.3999999999992</v>
      </c>
      <c r="AL82" s="100">
        <v>9</v>
      </c>
      <c r="AM82" s="100">
        <v>4579.1999999999989</v>
      </c>
      <c r="AN82" s="100">
        <v>9</v>
      </c>
      <c r="AO82" s="100">
        <v>4579.1999999999989</v>
      </c>
      <c r="AP82" s="100">
        <v>12</v>
      </c>
      <c r="AQ82" s="100">
        <v>6105.5999999999985</v>
      </c>
      <c r="AR82" s="100">
        <v>15</v>
      </c>
      <c r="AS82" s="100">
        <v>7631.9999999999982</v>
      </c>
      <c r="AT82" s="100">
        <v>1.271465787257273</v>
      </c>
      <c r="AU82" s="100">
        <v>646.92179255650035</v>
      </c>
      <c r="AV82" s="100">
        <v>11</v>
      </c>
      <c r="AW82" s="100">
        <v>5596.7999999999993</v>
      </c>
      <c r="AX82" s="100">
        <v>9</v>
      </c>
      <c r="AY82" s="100">
        <v>4579.1999999999989</v>
      </c>
      <c r="AZ82" s="100">
        <v>5.1936604240364614</v>
      </c>
      <c r="BA82" s="100">
        <v>2642.5344237497511</v>
      </c>
      <c r="BB82" s="100">
        <v>6.8816666027172255</v>
      </c>
      <c r="BC82" s="100">
        <v>3501.3919674625236</v>
      </c>
      <c r="BD82" s="100">
        <v>9</v>
      </c>
      <c r="BE82" s="100">
        <v>4579.1999999999989</v>
      </c>
      <c r="BF82" s="100">
        <v>8.2160729652324704</v>
      </c>
      <c r="BG82" s="100">
        <v>4180.3379247102803</v>
      </c>
      <c r="BH82" s="100">
        <v>11</v>
      </c>
      <c r="BI82" s="100">
        <v>5596.7999999999993</v>
      </c>
      <c r="BJ82" s="100">
        <v>15</v>
      </c>
      <c r="BK82" s="100">
        <v>7631.9999999999982</v>
      </c>
      <c r="BL82" s="100">
        <v>9</v>
      </c>
      <c r="BM82" s="100">
        <v>4579.1999999999989</v>
      </c>
      <c r="BN82" s="100">
        <v>10.806087039627656</v>
      </c>
      <c r="BO82" s="100">
        <v>5498.1370857625498</v>
      </c>
      <c r="BP82" s="100">
        <v>12</v>
      </c>
      <c r="BQ82" s="100">
        <v>6105.5999999999985</v>
      </c>
      <c r="BR82" s="100">
        <v>14.865796277435109</v>
      </c>
      <c r="BS82" s="100">
        <v>7563.7171459589817</v>
      </c>
      <c r="BT82" s="100">
        <v>11.889728866579217</v>
      </c>
      <c r="BU82" s="100">
        <v>6049.4940473155048</v>
      </c>
      <c r="BV82" s="100">
        <v>11</v>
      </c>
      <c r="BW82" s="100">
        <v>5596.7999999999993</v>
      </c>
      <c r="BX82" s="100">
        <v>7.9448275862068778</v>
      </c>
      <c r="BY82" s="100">
        <v>4042.3282758620585</v>
      </c>
      <c r="BZ82" s="100">
        <v>8.5218826298370178</v>
      </c>
      <c r="CA82" s="100">
        <v>4335.9338820610737</v>
      </c>
      <c r="CB82" s="100">
        <v>11</v>
      </c>
      <c r="CC82" s="100">
        <v>5596.7999999999993</v>
      </c>
      <c r="CD82" s="100">
        <v>12</v>
      </c>
      <c r="CE82" s="100">
        <v>6105.5999999999985</v>
      </c>
      <c r="CF82" s="100">
        <v>10</v>
      </c>
      <c r="CG82" s="100">
        <v>5087.9999999999991</v>
      </c>
      <c r="CH82" s="100">
        <v>13</v>
      </c>
      <c r="CI82" s="100">
        <v>6614.3999999999987</v>
      </c>
      <c r="CJ82" s="100">
        <v>15</v>
      </c>
      <c r="CK82" s="100">
        <v>7631.9999999999982</v>
      </c>
      <c r="CL82" s="100">
        <v>11</v>
      </c>
      <c r="CM82" s="100">
        <v>5596.7999999999993</v>
      </c>
      <c r="CN82" s="100">
        <v>8.3272745392624596</v>
      </c>
      <c r="CO82" s="100">
        <v>4236.9172855767383</v>
      </c>
      <c r="CP82" s="100">
        <v>9.6116504854368827</v>
      </c>
      <c r="CQ82" s="100">
        <v>4890.4077669902854</v>
      </c>
      <c r="CR82" s="100">
        <v>9</v>
      </c>
      <c r="CS82" s="100">
        <v>4579.1999999999989</v>
      </c>
      <c r="CT82" s="100">
        <v>10</v>
      </c>
      <c r="CU82" s="100">
        <v>5087.9999999999991</v>
      </c>
    </row>
    <row r="83" spans="2:99">
      <c r="C83" s="99" t="s">
        <v>249</v>
      </c>
      <c r="D83" s="100">
        <v>13</v>
      </c>
      <c r="E83" s="100">
        <v>11185.199999999999</v>
      </c>
      <c r="F83" s="100">
        <v>6.3967225550473454</v>
      </c>
      <c r="G83" s="100">
        <v>5503.7400863627363</v>
      </c>
      <c r="H83" s="100">
        <v>12</v>
      </c>
      <c r="I83" s="100">
        <v>10324.799999999999</v>
      </c>
      <c r="J83" s="100">
        <v>8.8313484049521005</v>
      </c>
      <c r="K83" s="100">
        <v>7598.4921676207869</v>
      </c>
      <c r="L83" s="100">
        <v>2.7783617617230867</v>
      </c>
      <c r="M83" s="100">
        <v>2390.5024597865436</v>
      </c>
      <c r="N83" s="100">
        <v>14</v>
      </c>
      <c r="O83" s="100">
        <v>12045.6</v>
      </c>
      <c r="P83" s="100">
        <v>14</v>
      </c>
      <c r="Q83" s="100">
        <v>12045.6</v>
      </c>
      <c r="R83" s="100">
        <v>12</v>
      </c>
      <c r="S83" s="100">
        <v>10324.799999999999</v>
      </c>
      <c r="T83" s="100">
        <v>10</v>
      </c>
      <c r="U83" s="100">
        <v>8604</v>
      </c>
      <c r="V83" s="100">
        <v>9.7963478488386002</v>
      </c>
      <c r="W83" s="100">
        <v>8428.777689140732</v>
      </c>
      <c r="X83" s="100">
        <v>14</v>
      </c>
      <c r="Y83" s="100">
        <v>12045.6</v>
      </c>
      <c r="Z83" s="100">
        <v>1.7617398454591287</v>
      </c>
      <c r="AA83" s="100">
        <v>1515.8009630330343</v>
      </c>
      <c r="AB83" s="100">
        <v>8.9199427078820861</v>
      </c>
      <c r="AC83" s="100">
        <v>7674.7187058617465</v>
      </c>
      <c r="AD83" s="100">
        <v>12</v>
      </c>
      <c r="AE83" s="100">
        <v>10324.799999999999</v>
      </c>
      <c r="AF83" s="100">
        <v>12</v>
      </c>
      <c r="AG83" s="100">
        <v>10324.799999999999</v>
      </c>
      <c r="AH83" s="100">
        <v>0.20290270773091815</v>
      </c>
      <c r="AI83" s="100">
        <v>174.57748973168196</v>
      </c>
      <c r="AJ83" s="100">
        <v>8</v>
      </c>
      <c r="AK83" s="100">
        <v>6883.2</v>
      </c>
      <c r="AL83" s="100">
        <v>10</v>
      </c>
      <c r="AM83" s="100">
        <v>8604</v>
      </c>
      <c r="AN83" s="100">
        <v>9</v>
      </c>
      <c r="AO83" s="100">
        <v>7743.5999999999995</v>
      </c>
      <c r="AP83" s="100">
        <v>13</v>
      </c>
      <c r="AQ83" s="100">
        <v>11185.199999999999</v>
      </c>
      <c r="AR83" s="100">
        <v>15</v>
      </c>
      <c r="AS83" s="100">
        <v>12906</v>
      </c>
      <c r="AT83" s="100">
        <v>1.271465787257273</v>
      </c>
      <c r="AU83" s="100">
        <v>1093.9691633561577</v>
      </c>
      <c r="AV83" s="100">
        <v>11</v>
      </c>
      <c r="AW83" s="100">
        <v>9464.4</v>
      </c>
      <c r="AX83" s="100">
        <v>8</v>
      </c>
      <c r="AY83" s="100">
        <v>6883.2</v>
      </c>
      <c r="AZ83" s="100">
        <v>5.1936604240364614</v>
      </c>
      <c r="BA83" s="100">
        <v>4468.6254288409709</v>
      </c>
      <c r="BB83" s="100">
        <v>7.4551388196103279</v>
      </c>
      <c r="BC83" s="100">
        <v>6414.4014403927258</v>
      </c>
      <c r="BD83" s="100">
        <v>9</v>
      </c>
      <c r="BE83" s="100">
        <v>7743.5999999999995</v>
      </c>
      <c r="BF83" s="100">
        <v>8.2160729652324704</v>
      </c>
      <c r="BG83" s="100">
        <v>7069.109179286017</v>
      </c>
      <c r="BH83" s="100">
        <v>12</v>
      </c>
      <c r="BI83" s="100">
        <v>10324.799999999999</v>
      </c>
      <c r="BJ83" s="100">
        <v>15</v>
      </c>
      <c r="BK83" s="100">
        <v>12906</v>
      </c>
      <c r="BL83" s="100">
        <v>8</v>
      </c>
      <c r="BM83" s="100">
        <v>6883.2</v>
      </c>
      <c r="BN83" s="100">
        <v>10.806087039627656</v>
      </c>
      <c r="BO83" s="100">
        <v>9297.557288895634</v>
      </c>
      <c r="BP83" s="100">
        <v>11</v>
      </c>
      <c r="BQ83" s="100">
        <v>9464.4</v>
      </c>
      <c r="BR83" s="100">
        <v>13.874743192272767</v>
      </c>
      <c r="BS83" s="100">
        <v>11937.829042631489</v>
      </c>
      <c r="BT83" s="100">
        <v>12.73899521419202</v>
      </c>
      <c r="BU83" s="100">
        <v>10960.631482290813</v>
      </c>
      <c r="BV83" s="100">
        <v>14</v>
      </c>
      <c r="BW83" s="100">
        <v>12045.6</v>
      </c>
      <c r="BX83" s="100">
        <v>6.9517241379310182</v>
      </c>
      <c r="BY83" s="100">
        <v>5981.2634482758476</v>
      </c>
      <c r="BZ83" s="100">
        <v>7.3856316125254144</v>
      </c>
      <c r="CA83" s="100">
        <v>6354.5974394168661</v>
      </c>
      <c r="CB83" s="100">
        <v>12</v>
      </c>
      <c r="CC83" s="100">
        <v>10324.799999999999</v>
      </c>
      <c r="CD83" s="100">
        <v>13</v>
      </c>
      <c r="CE83" s="100">
        <v>11185.199999999999</v>
      </c>
      <c r="CF83" s="100">
        <v>10</v>
      </c>
      <c r="CG83" s="100">
        <v>8604</v>
      </c>
      <c r="CH83" s="100">
        <v>14</v>
      </c>
      <c r="CI83" s="100">
        <v>12045.6</v>
      </c>
      <c r="CJ83" s="100">
        <v>15</v>
      </c>
      <c r="CK83" s="100">
        <v>12906</v>
      </c>
      <c r="CL83" s="100">
        <v>10</v>
      </c>
      <c r="CM83" s="100">
        <v>8604</v>
      </c>
      <c r="CN83" s="100">
        <v>7.2169712673607975</v>
      </c>
      <c r="CO83" s="100">
        <v>6209.4820784372296</v>
      </c>
      <c r="CP83" s="100">
        <v>10.485436893203872</v>
      </c>
      <c r="CQ83" s="100">
        <v>9021.6699029126103</v>
      </c>
      <c r="CR83" s="100">
        <v>7</v>
      </c>
      <c r="CS83" s="100">
        <v>6022.8</v>
      </c>
      <c r="CT83" s="100">
        <v>12</v>
      </c>
      <c r="CU83" s="100">
        <v>10324.799999999999</v>
      </c>
    </row>
    <row r="84" spans="2:99">
      <c r="C84" s="99" t="s">
        <v>250</v>
      </c>
      <c r="D84" s="100">
        <v>14</v>
      </c>
      <c r="E84" s="100">
        <v>10936.8</v>
      </c>
      <c r="F84" s="100">
        <v>6.9297827679679571</v>
      </c>
      <c r="G84" s="100">
        <v>5413.5462983365678</v>
      </c>
      <c r="H84" s="100">
        <v>13</v>
      </c>
      <c r="I84" s="100">
        <v>10155.599999999999</v>
      </c>
      <c r="J84" s="100">
        <v>8.8313484049521005</v>
      </c>
      <c r="K84" s="100">
        <v>6899.0493739485801</v>
      </c>
      <c r="L84" s="100">
        <v>3.0098919085333438</v>
      </c>
      <c r="M84" s="100">
        <v>2351.3275589462478</v>
      </c>
      <c r="N84" s="100">
        <v>12</v>
      </c>
      <c r="O84" s="100">
        <v>9374.4</v>
      </c>
      <c r="P84" s="100">
        <v>13</v>
      </c>
      <c r="Q84" s="100">
        <v>10155.599999999999</v>
      </c>
      <c r="R84" s="100">
        <v>12</v>
      </c>
      <c r="S84" s="100">
        <v>9374.4</v>
      </c>
      <c r="T84" s="100">
        <v>10</v>
      </c>
      <c r="U84" s="100">
        <v>7811.9999999999991</v>
      </c>
      <c r="V84" s="100">
        <v>9.7963478488386002</v>
      </c>
      <c r="W84" s="100">
        <v>7652.9069395127135</v>
      </c>
      <c r="X84" s="100">
        <v>13</v>
      </c>
      <c r="Y84" s="100">
        <v>10155.599999999999</v>
      </c>
      <c r="Z84" s="100">
        <v>1.9218980132281405</v>
      </c>
      <c r="AA84" s="100">
        <v>1501.3867279338233</v>
      </c>
      <c r="AB84" s="100">
        <v>8.9199427078820861</v>
      </c>
      <c r="AC84" s="100">
        <v>6968.2592433974851</v>
      </c>
      <c r="AD84" s="100">
        <v>14</v>
      </c>
      <c r="AE84" s="100">
        <v>10936.8</v>
      </c>
      <c r="AF84" s="100">
        <v>11</v>
      </c>
      <c r="AG84" s="100">
        <v>8593.1999999999989</v>
      </c>
      <c r="AH84" s="100">
        <v>0.20290270773091815</v>
      </c>
      <c r="AI84" s="100">
        <v>158.50759527939323</v>
      </c>
      <c r="AJ84" s="100">
        <v>8</v>
      </c>
      <c r="AK84" s="100">
        <v>6249.5999999999995</v>
      </c>
      <c r="AL84" s="100">
        <v>11</v>
      </c>
      <c r="AM84" s="100">
        <v>8593.1999999999989</v>
      </c>
      <c r="AN84" s="100">
        <v>8</v>
      </c>
      <c r="AO84" s="100">
        <v>6249.5999999999995</v>
      </c>
      <c r="AP84" s="100">
        <v>13</v>
      </c>
      <c r="AQ84" s="100">
        <v>10155.599999999999</v>
      </c>
      <c r="AR84" s="100">
        <v>15</v>
      </c>
      <c r="AS84" s="100">
        <v>11717.999999999998</v>
      </c>
      <c r="AT84" s="100">
        <v>1.271465787257273</v>
      </c>
      <c r="AU84" s="100">
        <v>993.26907300538153</v>
      </c>
      <c r="AV84" s="100">
        <v>11</v>
      </c>
      <c r="AW84" s="100">
        <v>8593.1999999999989</v>
      </c>
      <c r="AX84" s="100">
        <v>9</v>
      </c>
      <c r="AY84" s="100">
        <v>7030.7999999999993</v>
      </c>
      <c r="AZ84" s="100">
        <v>4.7215094763967835</v>
      </c>
      <c r="BA84" s="100">
        <v>3688.4432029611671</v>
      </c>
      <c r="BB84" s="100">
        <v>6.8816666027172255</v>
      </c>
      <c r="BC84" s="100">
        <v>5375.9579500426962</v>
      </c>
      <c r="BD84" s="100">
        <v>8</v>
      </c>
      <c r="BE84" s="100">
        <v>6249.5999999999995</v>
      </c>
      <c r="BF84" s="100">
        <v>7.6683347675503066</v>
      </c>
      <c r="BG84" s="100">
        <v>5990.5031204102988</v>
      </c>
      <c r="BH84" s="100">
        <v>10</v>
      </c>
      <c r="BI84" s="100">
        <v>7811.9999999999991</v>
      </c>
      <c r="BJ84" s="100">
        <v>13</v>
      </c>
      <c r="BK84" s="100">
        <v>10155.599999999999</v>
      </c>
      <c r="BL84" s="100">
        <v>9</v>
      </c>
      <c r="BM84" s="100">
        <v>7030.7999999999993</v>
      </c>
      <c r="BN84" s="100">
        <v>8.8413439415135375</v>
      </c>
      <c r="BO84" s="100">
        <v>6906.8578871103746</v>
      </c>
      <c r="BP84" s="100">
        <v>12</v>
      </c>
      <c r="BQ84" s="100">
        <v>9374.4</v>
      </c>
      <c r="BR84" s="100">
        <v>14.865796277435109</v>
      </c>
      <c r="BS84" s="100">
        <v>11613.160051932306</v>
      </c>
      <c r="BT84" s="100">
        <v>12.73899521419202</v>
      </c>
      <c r="BU84" s="100">
        <v>9951.7030613268053</v>
      </c>
      <c r="BV84" s="100">
        <v>11</v>
      </c>
      <c r="BW84" s="100">
        <v>8593.1999999999989</v>
      </c>
      <c r="BX84" s="100">
        <v>7.9448275862068778</v>
      </c>
      <c r="BY84" s="100">
        <v>6206.4993103448123</v>
      </c>
      <c r="BZ84" s="100">
        <v>8.5218826298370178</v>
      </c>
      <c r="CA84" s="100">
        <v>6657.2947104286777</v>
      </c>
      <c r="CB84" s="100">
        <v>12</v>
      </c>
      <c r="CC84" s="100">
        <v>9374.4</v>
      </c>
      <c r="CD84" s="100">
        <v>11</v>
      </c>
      <c r="CE84" s="100">
        <v>8593.1999999999989</v>
      </c>
      <c r="CF84" s="100">
        <v>11</v>
      </c>
      <c r="CG84" s="100">
        <v>8593.1999999999989</v>
      </c>
      <c r="CH84" s="100">
        <v>14</v>
      </c>
      <c r="CI84" s="100">
        <v>10936.8</v>
      </c>
      <c r="CJ84" s="100">
        <v>14</v>
      </c>
      <c r="CK84" s="100">
        <v>10936.8</v>
      </c>
      <c r="CL84" s="100">
        <v>10</v>
      </c>
      <c r="CM84" s="100">
        <v>7811.9999999999991</v>
      </c>
      <c r="CN84" s="100">
        <v>8.3272745392624596</v>
      </c>
      <c r="CO84" s="100">
        <v>6505.2668700718332</v>
      </c>
      <c r="CP84" s="100">
        <v>10.485436893203872</v>
      </c>
      <c r="CQ84" s="100">
        <v>8191.2233009708643</v>
      </c>
      <c r="CR84" s="100">
        <v>8</v>
      </c>
      <c r="CS84" s="100">
        <v>6249.5999999999995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12</v>
      </c>
      <c r="E85" s="100">
        <v>1800</v>
      </c>
      <c r="F85" s="100">
        <v>6.3967225550473454</v>
      </c>
      <c r="G85" s="100">
        <v>959.50838325710185</v>
      </c>
      <c r="H85" s="100">
        <v>13</v>
      </c>
      <c r="I85" s="100">
        <v>1950</v>
      </c>
      <c r="J85" s="100">
        <v>9.6341982599477465</v>
      </c>
      <c r="K85" s="100">
        <v>1445.1297389921619</v>
      </c>
      <c r="L85" s="100">
        <v>3.2414220553436013</v>
      </c>
      <c r="M85" s="100">
        <v>486.21330830154017</v>
      </c>
      <c r="N85" s="100">
        <v>13</v>
      </c>
      <c r="O85" s="100">
        <v>1950</v>
      </c>
      <c r="P85" s="100">
        <v>15</v>
      </c>
      <c r="Q85" s="100">
        <v>2250</v>
      </c>
      <c r="R85" s="100">
        <v>12</v>
      </c>
      <c r="S85" s="100">
        <v>1800</v>
      </c>
      <c r="T85" s="100">
        <v>10</v>
      </c>
      <c r="U85" s="100">
        <v>1500</v>
      </c>
      <c r="V85" s="100">
        <v>10.549913067980031</v>
      </c>
      <c r="W85" s="100">
        <v>1582.4869601970047</v>
      </c>
      <c r="X85" s="100">
        <v>13</v>
      </c>
      <c r="Y85" s="100">
        <v>1950</v>
      </c>
      <c r="Z85" s="100">
        <v>1.7617398454591287</v>
      </c>
      <c r="AA85" s="100">
        <v>264.26097681886932</v>
      </c>
      <c r="AB85" s="100">
        <v>9.7308465904168209</v>
      </c>
      <c r="AC85" s="100">
        <v>1459.6269885625231</v>
      </c>
      <c r="AD85" s="100">
        <v>12</v>
      </c>
      <c r="AE85" s="100">
        <v>1800</v>
      </c>
      <c r="AF85" s="100">
        <v>12</v>
      </c>
      <c r="AG85" s="100">
        <v>1800</v>
      </c>
      <c r="AH85" s="100">
        <v>0.21851060832560415</v>
      </c>
      <c r="AI85" s="100">
        <v>32.776591248840624</v>
      </c>
      <c r="AJ85" s="100">
        <v>8</v>
      </c>
      <c r="AK85" s="100">
        <v>1200</v>
      </c>
      <c r="AL85" s="100">
        <v>10</v>
      </c>
      <c r="AM85" s="100">
        <v>1500</v>
      </c>
      <c r="AN85" s="100">
        <v>10</v>
      </c>
      <c r="AO85" s="100">
        <v>1500</v>
      </c>
      <c r="AP85" s="100">
        <v>14</v>
      </c>
      <c r="AQ85" s="100">
        <v>2100</v>
      </c>
      <c r="AR85" s="100">
        <v>15</v>
      </c>
      <c r="AS85" s="100">
        <v>2250</v>
      </c>
      <c r="AT85" s="100">
        <v>1.271465787257273</v>
      </c>
      <c r="AU85" s="100">
        <v>190.71986808859094</v>
      </c>
      <c r="AV85" s="100">
        <v>11</v>
      </c>
      <c r="AW85" s="100">
        <v>1650</v>
      </c>
      <c r="AX85" s="100">
        <v>9</v>
      </c>
      <c r="AY85" s="100">
        <v>1350</v>
      </c>
      <c r="AZ85" s="100">
        <v>5.6658113716761402</v>
      </c>
      <c r="BA85" s="100">
        <v>849.87170575142102</v>
      </c>
      <c r="BB85" s="100">
        <v>8.0286110365034293</v>
      </c>
      <c r="BC85" s="100">
        <v>1204.2916554755143</v>
      </c>
      <c r="BD85" s="100">
        <v>10</v>
      </c>
      <c r="BE85" s="100">
        <v>1500</v>
      </c>
      <c r="BF85" s="100">
        <v>7.120596569868141</v>
      </c>
      <c r="BG85" s="100">
        <v>1068.0894854802211</v>
      </c>
      <c r="BH85" s="100">
        <v>10</v>
      </c>
      <c r="BI85" s="100">
        <v>1500</v>
      </c>
      <c r="BJ85" s="100">
        <v>13</v>
      </c>
      <c r="BK85" s="100">
        <v>1950</v>
      </c>
      <c r="BL85" s="100">
        <v>9</v>
      </c>
      <c r="BM85" s="100">
        <v>1350</v>
      </c>
      <c r="BN85" s="100">
        <v>10.806087039627656</v>
      </c>
      <c r="BO85" s="100">
        <v>1620.9130559441483</v>
      </c>
      <c r="BP85" s="100">
        <v>12</v>
      </c>
      <c r="BQ85" s="100">
        <v>1800</v>
      </c>
      <c r="BR85" s="100">
        <v>13.874743192272767</v>
      </c>
      <c r="BS85" s="100">
        <v>2081.2114788409149</v>
      </c>
      <c r="BT85" s="100">
        <v>12.73899521419202</v>
      </c>
      <c r="BU85" s="100">
        <v>1910.849282128803</v>
      </c>
      <c r="BV85" s="100">
        <v>14</v>
      </c>
      <c r="BW85" s="100">
        <v>2100</v>
      </c>
      <c r="BX85" s="100">
        <v>7.9448275862068778</v>
      </c>
      <c r="BY85" s="100">
        <v>1191.7241379310317</v>
      </c>
      <c r="BZ85" s="100">
        <v>9.09000813849282</v>
      </c>
      <c r="CA85" s="100">
        <v>1363.501220773923</v>
      </c>
      <c r="CB85" s="100">
        <v>12</v>
      </c>
      <c r="CC85" s="100">
        <v>1800</v>
      </c>
      <c r="CD85" s="100">
        <v>13</v>
      </c>
      <c r="CE85" s="100">
        <v>1950</v>
      </c>
      <c r="CF85" s="100">
        <v>11</v>
      </c>
      <c r="CG85" s="100">
        <v>1650</v>
      </c>
      <c r="CH85" s="100">
        <v>13</v>
      </c>
      <c r="CI85" s="100">
        <v>1950</v>
      </c>
      <c r="CJ85" s="100">
        <v>14</v>
      </c>
      <c r="CK85" s="100">
        <v>2100</v>
      </c>
      <c r="CL85" s="100">
        <v>11</v>
      </c>
      <c r="CM85" s="100">
        <v>1650</v>
      </c>
      <c r="CN85" s="100">
        <v>7.2169712673607975</v>
      </c>
      <c r="CO85" s="100">
        <v>1082.5456901041196</v>
      </c>
      <c r="CP85" s="100">
        <v>10.485436893203872</v>
      </c>
      <c r="CQ85" s="100">
        <v>1572.8155339805808</v>
      </c>
      <c r="CR85" s="100">
        <v>8</v>
      </c>
      <c r="CS85" s="100">
        <v>1200</v>
      </c>
      <c r="CT85" s="100">
        <v>12</v>
      </c>
      <c r="CU85" s="100">
        <v>1800</v>
      </c>
    </row>
    <row r="86" spans="2:99">
      <c r="C86" s="99" t="s">
        <v>252</v>
      </c>
      <c r="D86" s="100">
        <v>13</v>
      </c>
      <c r="E86" s="100">
        <v>7020</v>
      </c>
      <c r="F86" s="100">
        <v>5.8636623421267329</v>
      </c>
      <c r="G86" s="100">
        <v>3166.3776647484356</v>
      </c>
      <c r="H86" s="100">
        <v>12</v>
      </c>
      <c r="I86" s="100">
        <v>6480</v>
      </c>
      <c r="J86" s="100">
        <v>10.437048114943392</v>
      </c>
      <c r="K86" s="100">
        <v>5636.0059820694323</v>
      </c>
      <c r="L86" s="100">
        <v>3.2414220553436013</v>
      </c>
      <c r="M86" s="100">
        <v>1750.3679098855448</v>
      </c>
      <c r="N86" s="100">
        <v>14</v>
      </c>
      <c r="O86" s="100">
        <v>7560</v>
      </c>
      <c r="P86" s="100">
        <v>13</v>
      </c>
      <c r="Q86" s="100">
        <v>7020</v>
      </c>
      <c r="R86" s="100">
        <v>11</v>
      </c>
      <c r="S86" s="100">
        <v>5940</v>
      </c>
      <c r="T86" s="100">
        <v>8</v>
      </c>
      <c r="U86" s="100">
        <v>4320</v>
      </c>
      <c r="V86" s="100">
        <v>9.7963478488386002</v>
      </c>
      <c r="W86" s="100">
        <v>5290.0278383728437</v>
      </c>
      <c r="X86" s="100">
        <v>14</v>
      </c>
      <c r="Y86" s="100">
        <v>7560</v>
      </c>
      <c r="Z86" s="100">
        <v>2.0820561809971521</v>
      </c>
      <c r="AA86" s="100">
        <v>1124.3103377384621</v>
      </c>
      <c r="AB86" s="100">
        <v>8.9199427078820861</v>
      </c>
      <c r="AC86" s="100">
        <v>4816.7690622563268</v>
      </c>
      <c r="AD86" s="100">
        <v>12</v>
      </c>
      <c r="AE86" s="100">
        <v>6480</v>
      </c>
      <c r="AF86" s="100">
        <v>13</v>
      </c>
      <c r="AG86" s="100">
        <v>7020</v>
      </c>
      <c r="AH86" s="100">
        <v>0.21851060832560415</v>
      </c>
      <c r="AI86" s="100">
        <v>117.99572849582624</v>
      </c>
      <c r="AJ86" s="100">
        <v>7</v>
      </c>
      <c r="AK86" s="100">
        <v>3780</v>
      </c>
      <c r="AL86" s="100">
        <v>10</v>
      </c>
      <c r="AM86" s="100">
        <v>5400</v>
      </c>
      <c r="AN86" s="100">
        <v>10</v>
      </c>
      <c r="AO86" s="100">
        <v>5400</v>
      </c>
      <c r="AP86" s="100">
        <v>12</v>
      </c>
      <c r="AQ86" s="100">
        <v>6480</v>
      </c>
      <c r="AR86" s="100">
        <v>15</v>
      </c>
      <c r="AS86" s="100">
        <v>8100</v>
      </c>
      <c r="AT86" s="100">
        <v>1.430399010664432</v>
      </c>
      <c r="AU86" s="100">
        <v>772.41546575879329</v>
      </c>
      <c r="AV86" s="100">
        <v>11</v>
      </c>
      <c r="AW86" s="100">
        <v>5940</v>
      </c>
      <c r="AX86" s="100">
        <v>9</v>
      </c>
      <c r="AY86" s="100">
        <v>4860</v>
      </c>
      <c r="AZ86" s="100">
        <v>5.1936604240364614</v>
      </c>
      <c r="BA86" s="100">
        <v>2804.5766289796893</v>
      </c>
      <c r="BB86" s="100">
        <v>6.8816666027172255</v>
      </c>
      <c r="BC86" s="100">
        <v>3716.0999654673019</v>
      </c>
      <c r="BD86" s="100">
        <v>8</v>
      </c>
      <c r="BE86" s="100">
        <v>4320</v>
      </c>
      <c r="BF86" s="100">
        <v>8.2160729652324704</v>
      </c>
      <c r="BG86" s="100">
        <v>4436.6794012255341</v>
      </c>
      <c r="BH86" s="100">
        <v>11</v>
      </c>
      <c r="BI86" s="100">
        <v>5940</v>
      </c>
      <c r="BJ86" s="100">
        <v>14</v>
      </c>
      <c r="BK86" s="100">
        <v>7560</v>
      </c>
      <c r="BL86" s="100">
        <v>9</v>
      </c>
      <c r="BM86" s="100">
        <v>4860</v>
      </c>
      <c r="BN86" s="100">
        <v>10.806087039627656</v>
      </c>
      <c r="BO86" s="100">
        <v>5835.2870013989341</v>
      </c>
      <c r="BP86" s="100">
        <v>11</v>
      </c>
      <c r="BQ86" s="100">
        <v>5940</v>
      </c>
      <c r="BR86" s="100">
        <v>14.865796277435109</v>
      </c>
      <c r="BS86" s="100">
        <v>8027.5299898149588</v>
      </c>
      <c r="BT86" s="100">
        <v>11.040462518966416</v>
      </c>
      <c r="BU86" s="100">
        <v>5961.8497602418647</v>
      </c>
      <c r="BV86" s="100">
        <v>14</v>
      </c>
      <c r="BW86" s="100">
        <v>7560</v>
      </c>
      <c r="BX86" s="100">
        <v>7.9448275862068778</v>
      </c>
      <c r="BY86" s="100">
        <v>4290.2068965517137</v>
      </c>
      <c r="BZ86" s="100">
        <v>8.5218826298370178</v>
      </c>
      <c r="CA86" s="100">
        <v>4601.8166201119893</v>
      </c>
      <c r="CB86" s="100">
        <v>10</v>
      </c>
      <c r="CC86" s="100">
        <v>5400</v>
      </c>
      <c r="CD86" s="100">
        <v>12</v>
      </c>
      <c r="CE86" s="100">
        <v>6480</v>
      </c>
      <c r="CF86" s="100">
        <v>11</v>
      </c>
      <c r="CG86" s="100">
        <v>5940</v>
      </c>
      <c r="CH86" s="100">
        <v>12</v>
      </c>
      <c r="CI86" s="100">
        <v>6480</v>
      </c>
      <c r="CJ86" s="100">
        <v>16</v>
      </c>
      <c r="CK86" s="100">
        <v>8640</v>
      </c>
      <c r="CL86" s="100">
        <v>11</v>
      </c>
      <c r="CM86" s="100">
        <v>5940</v>
      </c>
      <c r="CN86" s="100">
        <v>8.3272745392624596</v>
      </c>
      <c r="CO86" s="100">
        <v>4496.7282512017282</v>
      </c>
      <c r="CP86" s="100">
        <v>10.485436893203872</v>
      </c>
      <c r="CQ86" s="100">
        <v>5662.1359223300906</v>
      </c>
      <c r="CR86" s="100">
        <v>8</v>
      </c>
      <c r="CS86" s="100">
        <v>4320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9</v>
      </c>
      <c r="E87" s="100">
        <v>9666</v>
      </c>
      <c r="F87" s="100">
        <v>8.8860361525948584</v>
      </c>
      <c r="G87" s="100">
        <v>9543.602827886878</v>
      </c>
      <c r="H87" s="100">
        <v>4.9134810360839944</v>
      </c>
      <c r="I87" s="100">
        <v>5277.07863275421</v>
      </c>
      <c r="J87" s="100">
        <v>8.9999999999999982</v>
      </c>
      <c r="K87" s="100">
        <v>9665.9999999999982</v>
      </c>
      <c r="L87" s="100">
        <v>8.0526315789473681</v>
      </c>
      <c r="M87" s="100">
        <v>8648.5263157894733</v>
      </c>
      <c r="N87" s="100">
        <v>7</v>
      </c>
      <c r="O87" s="100">
        <v>7518</v>
      </c>
      <c r="P87" s="100">
        <v>4.1830918546568636</v>
      </c>
      <c r="Q87" s="100">
        <v>4492.6406519014718</v>
      </c>
      <c r="R87" s="100">
        <v>6.6727165276119713</v>
      </c>
      <c r="S87" s="100">
        <v>7166.4975506552573</v>
      </c>
      <c r="T87" s="100">
        <v>7.8100196510583917</v>
      </c>
      <c r="U87" s="100">
        <v>8387.9611052367127</v>
      </c>
      <c r="V87" s="100">
        <v>3.5240029189702899</v>
      </c>
      <c r="W87" s="100">
        <v>3784.7791349740914</v>
      </c>
      <c r="X87" s="100">
        <v>5.972228521710063</v>
      </c>
      <c r="Y87" s="100">
        <v>6414.1734323166074</v>
      </c>
      <c r="Z87" s="100">
        <v>0</v>
      </c>
      <c r="AA87" s="100">
        <v>0</v>
      </c>
      <c r="AB87" s="100">
        <v>9</v>
      </c>
      <c r="AC87" s="100">
        <v>9666</v>
      </c>
      <c r="AD87" s="100">
        <v>8.8942307692308251</v>
      </c>
      <c r="AE87" s="100">
        <v>9552.4038461539058</v>
      </c>
      <c r="AF87" s="100">
        <v>7.9274611398963728</v>
      </c>
      <c r="AG87" s="100">
        <v>8514.0932642487041</v>
      </c>
      <c r="AH87" s="100">
        <v>8.0952380952380931</v>
      </c>
      <c r="AI87" s="100">
        <v>8694.2857142857119</v>
      </c>
      <c r="AJ87" s="100">
        <v>7.5000000000000009</v>
      </c>
      <c r="AK87" s="100">
        <v>8055.0000000000009</v>
      </c>
      <c r="AL87" s="100">
        <v>7.816091954022987</v>
      </c>
      <c r="AM87" s="100">
        <v>8394.4827586206884</v>
      </c>
      <c r="AN87" s="100">
        <v>6</v>
      </c>
      <c r="AO87" s="100">
        <v>6444</v>
      </c>
      <c r="AP87" s="100">
        <v>7.9475982532751077</v>
      </c>
      <c r="AQ87" s="100">
        <v>8535.7205240174662</v>
      </c>
      <c r="AR87" s="100">
        <v>8</v>
      </c>
      <c r="AS87" s="100">
        <v>8592</v>
      </c>
      <c r="AT87" s="100">
        <v>6</v>
      </c>
      <c r="AU87" s="100">
        <v>6444</v>
      </c>
      <c r="AV87" s="100">
        <v>1.9021739130434774</v>
      </c>
      <c r="AW87" s="100">
        <v>2042.9347826086946</v>
      </c>
      <c r="AX87" s="100">
        <v>1.2004745058997981E-21</v>
      </c>
      <c r="AY87" s="100">
        <v>1.2893096193363832E-18</v>
      </c>
      <c r="AZ87" s="100">
        <v>6.3440460427166259E-22</v>
      </c>
      <c r="BA87" s="100">
        <v>6.8135054498776559E-19</v>
      </c>
      <c r="BB87" s="100">
        <v>6.7600490619111576E-22</v>
      </c>
      <c r="BC87" s="100">
        <v>7.2602926924925832E-19</v>
      </c>
      <c r="BD87" s="100">
        <v>2.7511817276722605</v>
      </c>
      <c r="BE87" s="100">
        <v>2954.769175520008</v>
      </c>
      <c r="BF87" s="100">
        <v>6.9863013698630123</v>
      </c>
      <c r="BG87" s="100">
        <v>7503.2876712328753</v>
      </c>
      <c r="BH87" s="100">
        <v>8.0568720379146903</v>
      </c>
      <c r="BI87" s="100">
        <v>8653.0805687203774</v>
      </c>
      <c r="BJ87" s="100">
        <v>7.2961373390557931</v>
      </c>
      <c r="BK87" s="100">
        <v>7836.0515021459214</v>
      </c>
      <c r="BL87" s="100">
        <v>4.1130591253670863</v>
      </c>
      <c r="BM87" s="100">
        <v>4417.4255006442509</v>
      </c>
      <c r="BN87" s="100">
        <v>9.9580192396302394</v>
      </c>
      <c r="BO87" s="100">
        <v>10694.912663362877</v>
      </c>
      <c r="BP87" s="100">
        <v>7.386299025583158</v>
      </c>
      <c r="BQ87" s="100">
        <v>7932.8851534763116</v>
      </c>
      <c r="BR87" s="100">
        <v>8</v>
      </c>
      <c r="BS87" s="100">
        <v>8592</v>
      </c>
      <c r="BT87" s="100">
        <v>3.9760255710730585</v>
      </c>
      <c r="BU87" s="100">
        <v>4270.2514633324645</v>
      </c>
      <c r="BV87" s="100">
        <v>10.85081704409976</v>
      </c>
      <c r="BW87" s="100">
        <v>11653.777505363141</v>
      </c>
      <c r="BX87" s="100">
        <v>9</v>
      </c>
      <c r="BY87" s="100">
        <v>9666</v>
      </c>
      <c r="BZ87" s="100">
        <v>7.2035909633212247</v>
      </c>
      <c r="CA87" s="100">
        <v>7736.6566946069952</v>
      </c>
      <c r="CB87" s="100">
        <v>7</v>
      </c>
      <c r="CC87" s="100">
        <v>7518</v>
      </c>
      <c r="CD87" s="100">
        <v>7</v>
      </c>
      <c r="CE87" s="100">
        <v>7518</v>
      </c>
      <c r="CF87" s="100">
        <v>9.2598729647363314</v>
      </c>
      <c r="CG87" s="100">
        <v>9945.103564126819</v>
      </c>
      <c r="CH87" s="100">
        <v>5.61320754716981</v>
      </c>
      <c r="CI87" s="100">
        <v>6028.5849056603756</v>
      </c>
      <c r="CJ87" s="100">
        <v>4.5779660743779935</v>
      </c>
      <c r="CK87" s="100">
        <v>4916.7355638819654</v>
      </c>
      <c r="CL87" s="100">
        <v>9</v>
      </c>
      <c r="CM87" s="100">
        <v>9666</v>
      </c>
      <c r="CN87" s="100">
        <v>5.9306358381502866</v>
      </c>
      <c r="CO87" s="100">
        <v>6369.5028901734076</v>
      </c>
      <c r="CP87" s="100">
        <v>7</v>
      </c>
      <c r="CQ87" s="100">
        <v>7518</v>
      </c>
      <c r="CR87" s="100">
        <v>10</v>
      </c>
      <c r="CS87" s="100">
        <v>10740</v>
      </c>
      <c r="CT87" s="100">
        <v>6.1892138595416961</v>
      </c>
      <c r="CU87" s="100">
        <v>6647.2156851477812</v>
      </c>
    </row>
    <row r="88" spans="2:99">
      <c r="C88" s="99" t="s">
        <v>254</v>
      </c>
      <c r="D88" s="100">
        <v>8</v>
      </c>
      <c r="E88" s="100">
        <v>7939.2</v>
      </c>
      <c r="F88" s="100">
        <v>8.8860361525948584</v>
      </c>
      <c r="G88" s="100">
        <v>8818.5022778351376</v>
      </c>
      <c r="H88" s="100">
        <v>4.9134810360839944</v>
      </c>
      <c r="I88" s="100">
        <v>4876.1385802097557</v>
      </c>
      <c r="J88" s="100">
        <v>8.9999999999999982</v>
      </c>
      <c r="K88" s="100">
        <v>8931.5999999999985</v>
      </c>
      <c r="L88" s="100">
        <v>8.9473684210526301</v>
      </c>
      <c r="M88" s="100">
        <v>8879.3684210526299</v>
      </c>
      <c r="N88" s="100">
        <v>6</v>
      </c>
      <c r="O88" s="100">
        <v>5954.4</v>
      </c>
      <c r="P88" s="100">
        <v>4.1830918546568636</v>
      </c>
      <c r="Q88" s="100">
        <v>4151.3003565614717</v>
      </c>
      <c r="R88" s="100">
        <v>5.8386269616604753</v>
      </c>
      <c r="S88" s="100">
        <v>5794.2533967518557</v>
      </c>
      <c r="T88" s="100">
        <v>7.8100196510583917</v>
      </c>
      <c r="U88" s="100">
        <v>7750.6635017103481</v>
      </c>
      <c r="V88" s="100">
        <v>3.5240029189702899</v>
      </c>
      <c r="W88" s="100">
        <v>3497.2204967861157</v>
      </c>
      <c r="X88" s="100">
        <v>5.972228521710063</v>
      </c>
      <c r="Y88" s="100">
        <v>5926.8395849450662</v>
      </c>
      <c r="Z88" s="100">
        <v>0</v>
      </c>
      <c r="AA88" s="100">
        <v>0</v>
      </c>
      <c r="AB88" s="100">
        <v>8</v>
      </c>
      <c r="AC88" s="100">
        <v>7939.2</v>
      </c>
      <c r="AD88" s="100">
        <v>8.8942307692308251</v>
      </c>
      <c r="AE88" s="100">
        <v>8826.6346153846698</v>
      </c>
      <c r="AF88" s="100">
        <v>7.9274611398963728</v>
      </c>
      <c r="AG88" s="100">
        <v>7867.2124352331602</v>
      </c>
      <c r="AH88" s="100">
        <v>8.0952380952380931</v>
      </c>
      <c r="AI88" s="100">
        <v>8033.7142857142835</v>
      </c>
      <c r="AJ88" s="100">
        <v>7.5000000000000009</v>
      </c>
      <c r="AK88" s="100">
        <v>7443.0000000000009</v>
      </c>
      <c r="AL88" s="100">
        <v>7.816091954022987</v>
      </c>
      <c r="AM88" s="100">
        <v>7756.6896551724121</v>
      </c>
      <c r="AN88" s="100">
        <v>5</v>
      </c>
      <c r="AO88" s="100">
        <v>4962</v>
      </c>
      <c r="AP88" s="100">
        <v>7.1528384279475974</v>
      </c>
      <c r="AQ88" s="100">
        <v>7098.4768558951955</v>
      </c>
      <c r="AR88" s="100">
        <v>8</v>
      </c>
      <c r="AS88" s="100">
        <v>7939.2</v>
      </c>
      <c r="AT88" s="100">
        <v>6</v>
      </c>
      <c r="AU88" s="100">
        <v>5954.4</v>
      </c>
      <c r="AV88" s="100">
        <v>1.9021739130434774</v>
      </c>
      <c r="AW88" s="100">
        <v>1887.7173913043468</v>
      </c>
      <c r="AX88" s="100">
        <v>1.0804270553098183E-21</v>
      </c>
      <c r="AY88" s="100">
        <v>1.0722158096894637E-18</v>
      </c>
      <c r="AZ88" s="100">
        <v>6.3440460427166259E-22</v>
      </c>
      <c r="BA88" s="100">
        <v>6.295831292791979E-19</v>
      </c>
      <c r="BB88" s="100">
        <v>7.5111656243457311E-22</v>
      </c>
      <c r="BC88" s="100">
        <v>7.4540807656007034E-19</v>
      </c>
      <c r="BD88" s="100">
        <v>2.3581557665762234</v>
      </c>
      <c r="BE88" s="100">
        <v>2340.2337827502442</v>
      </c>
      <c r="BF88" s="100">
        <v>6.2100456621004554</v>
      </c>
      <c r="BG88" s="100">
        <v>6162.8493150684917</v>
      </c>
      <c r="BH88" s="100">
        <v>8.8625592417061583</v>
      </c>
      <c r="BI88" s="100">
        <v>8795.2037914691919</v>
      </c>
      <c r="BJ88" s="100">
        <v>6.5665236051502145</v>
      </c>
      <c r="BK88" s="100">
        <v>6516.6180257510723</v>
      </c>
      <c r="BL88" s="100">
        <v>4.1130591253670863</v>
      </c>
      <c r="BM88" s="100">
        <v>4081.7998760142964</v>
      </c>
      <c r="BN88" s="100">
        <v>9.9580192396302394</v>
      </c>
      <c r="BO88" s="100">
        <v>9882.3382934090496</v>
      </c>
      <c r="BP88" s="100">
        <v>7.386299025583158</v>
      </c>
      <c r="BQ88" s="100">
        <v>7330.1631529887254</v>
      </c>
      <c r="BR88" s="100">
        <v>8</v>
      </c>
      <c r="BS88" s="100">
        <v>7939.2</v>
      </c>
      <c r="BT88" s="100">
        <v>3.9760255710730585</v>
      </c>
      <c r="BU88" s="100">
        <v>3945.8077767329032</v>
      </c>
      <c r="BV88" s="100">
        <v>9.0423475367497996</v>
      </c>
      <c r="BW88" s="100">
        <v>8973.6256954705004</v>
      </c>
      <c r="BX88" s="100">
        <v>9</v>
      </c>
      <c r="BY88" s="100">
        <v>8931.6</v>
      </c>
      <c r="BZ88" s="100">
        <v>6.4031919673966442</v>
      </c>
      <c r="CA88" s="100">
        <v>6354.5277084444297</v>
      </c>
      <c r="CB88" s="100">
        <v>6</v>
      </c>
      <c r="CC88" s="100">
        <v>5954.4</v>
      </c>
      <c r="CD88" s="100">
        <v>7</v>
      </c>
      <c r="CE88" s="100">
        <v>6946.8</v>
      </c>
      <c r="CF88" s="100">
        <v>8.3338856682626989</v>
      </c>
      <c r="CG88" s="100">
        <v>8270.5481371839014</v>
      </c>
      <c r="CH88" s="100">
        <v>6.4150943396226401</v>
      </c>
      <c r="CI88" s="100">
        <v>6366.339622641508</v>
      </c>
      <c r="CJ88" s="100">
        <v>5.0866289715311037</v>
      </c>
      <c r="CK88" s="100">
        <v>5047.9705913474672</v>
      </c>
      <c r="CL88" s="100">
        <v>8</v>
      </c>
      <c r="CM88" s="100">
        <v>7939.2</v>
      </c>
      <c r="CN88" s="100">
        <v>6.9190751445086685</v>
      </c>
      <c r="CO88" s="100">
        <v>6866.4901734104023</v>
      </c>
      <c r="CP88" s="100">
        <v>7</v>
      </c>
      <c r="CQ88" s="100">
        <v>6946.8</v>
      </c>
      <c r="CR88" s="100">
        <v>10</v>
      </c>
      <c r="CS88" s="100">
        <v>9924</v>
      </c>
      <c r="CT88" s="100">
        <v>5.3050404510357394</v>
      </c>
      <c r="CU88" s="100">
        <v>5264.722143607868</v>
      </c>
    </row>
    <row r="89" spans="2:99">
      <c r="C89" s="99" t="s">
        <v>255</v>
      </c>
      <c r="D89" s="100">
        <v>8</v>
      </c>
      <c r="E89" s="100">
        <v>8496</v>
      </c>
      <c r="F89" s="100">
        <v>7.8986988023065408</v>
      </c>
      <c r="G89" s="100">
        <v>8388.4181280495468</v>
      </c>
      <c r="H89" s="100">
        <v>4.2992959065734961</v>
      </c>
      <c r="I89" s="100">
        <v>4565.8522527810528</v>
      </c>
      <c r="J89" s="100">
        <v>9.9999999999999982</v>
      </c>
      <c r="K89" s="100">
        <v>10619.999999999998</v>
      </c>
      <c r="L89" s="100">
        <v>8.0526315789473681</v>
      </c>
      <c r="M89" s="100">
        <v>8551.894736842105</v>
      </c>
      <c r="N89" s="100">
        <v>6</v>
      </c>
      <c r="O89" s="100">
        <v>6372</v>
      </c>
      <c r="P89" s="100">
        <v>4.1830918546568636</v>
      </c>
      <c r="Q89" s="100">
        <v>4442.443549645589</v>
      </c>
      <c r="R89" s="100">
        <v>6.6727165276119713</v>
      </c>
      <c r="S89" s="100">
        <v>7086.4249523239132</v>
      </c>
      <c r="T89" s="100">
        <v>6.9422396898296821</v>
      </c>
      <c r="U89" s="100">
        <v>7372.6585505991225</v>
      </c>
      <c r="V89" s="100">
        <v>3.5240029189702899</v>
      </c>
      <c r="W89" s="100">
        <v>3742.4910999464478</v>
      </c>
      <c r="X89" s="100">
        <v>5.972228521710063</v>
      </c>
      <c r="Y89" s="100">
        <v>6342.5066900560869</v>
      </c>
      <c r="Z89" s="100">
        <v>0</v>
      </c>
      <c r="AA89" s="100">
        <v>0</v>
      </c>
      <c r="AB89" s="100">
        <v>8</v>
      </c>
      <c r="AC89" s="100">
        <v>8496</v>
      </c>
      <c r="AD89" s="100">
        <v>8.8942307692308251</v>
      </c>
      <c r="AE89" s="100">
        <v>9445.6730769231363</v>
      </c>
      <c r="AF89" s="100">
        <v>8.8082901554404138</v>
      </c>
      <c r="AG89" s="100">
        <v>9354.4041450777204</v>
      </c>
      <c r="AH89" s="100">
        <v>8.0952380952380931</v>
      </c>
      <c r="AI89" s="100">
        <v>8597.1428571428551</v>
      </c>
      <c r="AJ89" s="100">
        <v>8.3333333333333339</v>
      </c>
      <c r="AK89" s="100">
        <v>8850</v>
      </c>
      <c r="AL89" s="100">
        <v>7.816091954022987</v>
      </c>
      <c r="AM89" s="100">
        <v>8300.689655172413</v>
      </c>
      <c r="AN89" s="100">
        <v>6</v>
      </c>
      <c r="AO89" s="100">
        <v>6372</v>
      </c>
      <c r="AP89" s="100">
        <v>7.1528384279475974</v>
      </c>
      <c r="AQ89" s="100">
        <v>7596.3144104803487</v>
      </c>
      <c r="AR89" s="100">
        <v>8</v>
      </c>
      <c r="AS89" s="100">
        <v>8496</v>
      </c>
      <c r="AT89" s="100">
        <v>6</v>
      </c>
      <c r="AU89" s="100">
        <v>6372</v>
      </c>
      <c r="AV89" s="100">
        <v>1.9021739130434774</v>
      </c>
      <c r="AW89" s="100">
        <v>2020.1086956521731</v>
      </c>
      <c r="AX89" s="100">
        <v>1.0804270553098183E-21</v>
      </c>
      <c r="AY89" s="100">
        <v>1.1474135327390271E-18</v>
      </c>
      <c r="AZ89" s="100">
        <v>7.0489400474629167E-22</v>
      </c>
      <c r="BA89" s="100">
        <v>7.485974330405618E-19</v>
      </c>
      <c r="BB89" s="100">
        <v>7.5111656243457311E-22</v>
      </c>
      <c r="BC89" s="100">
        <v>7.9768578930551665E-19</v>
      </c>
      <c r="BD89" s="100">
        <v>2.7511817276722605</v>
      </c>
      <c r="BE89" s="100">
        <v>2921.7549947879406</v>
      </c>
      <c r="BF89" s="100">
        <v>6.2100456621004554</v>
      </c>
      <c r="BG89" s="100">
        <v>6595.0684931506839</v>
      </c>
      <c r="BH89" s="100">
        <v>8.0568720379146903</v>
      </c>
      <c r="BI89" s="100">
        <v>8556.3981042654013</v>
      </c>
      <c r="BJ89" s="100">
        <v>6.5665236051502145</v>
      </c>
      <c r="BK89" s="100">
        <v>6973.6480686695277</v>
      </c>
      <c r="BL89" s="100">
        <v>4.6271915160379722</v>
      </c>
      <c r="BM89" s="100">
        <v>4914.0773900323265</v>
      </c>
      <c r="BN89" s="100">
        <v>10.863293715960262</v>
      </c>
      <c r="BO89" s="100">
        <v>11536.817926349799</v>
      </c>
      <c r="BP89" s="100">
        <v>7.386299025583158</v>
      </c>
      <c r="BQ89" s="100">
        <v>7844.2495651693134</v>
      </c>
      <c r="BR89" s="100">
        <v>8</v>
      </c>
      <c r="BS89" s="100">
        <v>8496</v>
      </c>
      <c r="BT89" s="100">
        <v>3.9760255710730585</v>
      </c>
      <c r="BU89" s="100">
        <v>4222.5391564795882</v>
      </c>
      <c r="BV89" s="100">
        <v>10.85081704409976</v>
      </c>
      <c r="BW89" s="100">
        <v>11523.567700833944</v>
      </c>
      <c r="BX89" s="100">
        <v>9</v>
      </c>
      <c r="BY89" s="100">
        <v>9558</v>
      </c>
      <c r="BZ89" s="100">
        <v>6.4031919673966442</v>
      </c>
      <c r="CA89" s="100">
        <v>6800.1898693752364</v>
      </c>
      <c r="CB89" s="100">
        <v>7</v>
      </c>
      <c r="CC89" s="100">
        <v>7434</v>
      </c>
      <c r="CD89" s="100">
        <v>8</v>
      </c>
      <c r="CE89" s="100">
        <v>8496</v>
      </c>
      <c r="CF89" s="100">
        <v>8.3338856682626989</v>
      </c>
      <c r="CG89" s="100">
        <v>8850.5865796949856</v>
      </c>
      <c r="CH89" s="100">
        <v>5.61320754716981</v>
      </c>
      <c r="CI89" s="100">
        <v>5961.2264150943383</v>
      </c>
      <c r="CJ89" s="100">
        <v>4.5779660743779935</v>
      </c>
      <c r="CK89" s="100">
        <v>4861.7999709894293</v>
      </c>
      <c r="CL89" s="100">
        <v>10</v>
      </c>
      <c r="CM89" s="100">
        <v>10620</v>
      </c>
      <c r="CN89" s="100">
        <v>5.9306358381502866</v>
      </c>
      <c r="CO89" s="100">
        <v>6298.3352601156048</v>
      </c>
      <c r="CP89" s="100">
        <v>7</v>
      </c>
      <c r="CQ89" s="100">
        <v>7434</v>
      </c>
      <c r="CR89" s="100">
        <v>12</v>
      </c>
      <c r="CS89" s="100">
        <v>12744</v>
      </c>
      <c r="CT89" s="100">
        <v>6.1892138595416961</v>
      </c>
      <c r="CU89" s="100">
        <v>6572.9451188332814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8.8860361525948584</v>
      </c>
      <c r="G90" s="100">
        <v>9852.8368859971779</v>
      </c>
      <c r="H90" s="100">
        <v>4.9134810360839944</v>
      </c>
      <c r="I90" s="100">
        <v>5448.0677728099326</v>
      </c>
      <c r="J90" s="100">
        <v>9.9999999999999982</v>
      </c>
      <c r="K90" s="100">
        <v>11087.999999999998</v>
      </c>
      <c r="L90" s="100">
        <v>8.0526315789473681</v>
      </c>
      <c r="M90" s="100">
        <v>8928.757894736842</v>
      </c>
      <c r="N90" s="100">
        <v>6</v>
      </c>
      <c r="O90" s="100">
        <v>6652.7999999999993</v>
      </c>
      <c r="P90" s="100">
        <v>3.5855073039915974</v>
      </c>
      <c r="Q90" s="100">
        <v>3975.6104986658829</v>
      </c>
      <c r="R90" s="100">
        <v>6.6727165276119713</v>
      </c>
      <c r="S90" s="100">
        <v>7398.7080858161535</v>
      </c>
      <c r="T90" s="100">
        <v>6.9422396898296821</v>
      </c>
      <c r="U90" s="100">
        <v>7697.5553680831508</v>
      </c>
      <c r="V90" s="100">
        <v>3.5240029189702899</v>
      </c>
      <c r="W90" s="100">
        <v>3907.4144365542575</v>
      </c>
      <c r="X90" s="100">
        <v>4.9768571014250522</v>
      </c>
      <c r="Y90" s="100">
        <v>5518.3391540600978</v>
      </c>
      <c r="Z90" s="100">
        <v>0</v>
      </c>
      <c r="AA90" s="100">
        <v>0</v>
      </c>
      <c r="AB90" s="100">
        <v>9</v>
      </c>
      <c r="AC90" s="100">
        <v>9979.1999999999989</v>
      </c>
      <c r="AD90" s="100">
        <v>9.7836538461539053</v>
      </c>
      <c r="AE90" s="100">
        <v>10848.11538461545</v>
      </c>
      <c r="AF90" s="100">
        <v>7.9274611398963728</v>
      </c>
      <c r="AG90" s="100">
        <v>8789.968911917098</v>
      </c>
      <c r="AH90" s="100">
        <v>8.0952380952380931</v>
      </c>
      <c r="AI90" s="100">
        <v>8975.9999999999982</v>
      </c>
      <c r="AJ90" s="100">
        <v>7.5000000000000009</v>
      </c>
      <c r="AK90" s="100">
        <v>8316</v>
      </c>
      <c r="AL90" s="100">
        <v>6.8390804597701136</v>
      </c>
      <c r="AM90" s="100">
        <v>7583.1724137931014</v>
      </c>
      <c r="AN90" s="100">
        <v>6</v>
      </c>
      <c r="AO90" s="100">
        <v>6652.7999999999993</v>
      </c>
      <c r="AP90" s="100">
        <v>7.1528384279475974</v>
      </c>
      <c r="AQ90" s="100">
        <v>7931.0672489082954</v>
      </c>
      <c r="AR90" s="100">
        <v>7</v>
      </c>
      <c r="AS90" s="100">
        <v>7761.5999999999995</v>
      </c>
      <c r="AT90" s="100">
        <v>6</v>
      </c>
      <c r="AU90" s="100">
        <v>6652.7999999999993</v>
      </c>
      <c r="AV90" s="100">
        <v>1.9021739130434774</v>
      </c>
      <c r="AW90" s="100">
        <v>2109.1304347826076</v>
      </c>
      <c r="AX90" s="100">
        <v>1.2004745058997981E-21</v>
      </c>
      <c r="AY90" s="100">
        <v>1.3310861321416961E-18</v>
      </c>
      <c r="AZ90" s="100">
        <v>7.0489400474629167E-22</v>
      </c>
      <c r="BA90" s="100">
        <v>7.815864724626882E-19</v>
      </c>
      <c r="BB90" s="100">
        <v>7.5111656243457311E-22</v>
      </c>
      <c r="BC90" s="100">
        <v>8.3283804442745465E-19</v>
      </c>
      <c r="BD90" s="100">
        <v>2.3581557665762234</v>
      </c>
      <c r="BE90" s="100">
        <v>2614.7231139797163</v>
      </c>
      <c r="BF90" s="100">
        <v>6.2100456621004554</v>
      </c>
      <c r="BG90" s="100">
        <v>6885.6986301369843</v>
      </c>
      <c r="BH90" s="100">
        <v>8.0568720379146903</v>
      </c>
      <c r="BI90" s="100">
        <v>8933.4597156398086</v>
      </c>
      <c r="BJ90" s="100">
        <v>7.2961373390557931</v>
      </c>
      <c r="BK90" s="100">
        <v>8089.9570815450634</v>
      </c>
      <c r="BL90" s="100">
        <v>4.1130591253670863</v>
      </c>
      <c r="BM90" s="100">
        <v>4560.5599582070254</v>
      </c>
      <c r="BN90" s="100">
        <v>10.863293715960262</v>
      </c>
      <c r="BO90" s="100">
        <v>12045.220072256738</v>
      </c>
      <c r="BP90" s="100">
        <v>7.386299025583158</v>
      </c>
      <c r="BQ90" s="100">
        <v>8189.9283595666056</v>
      </c>
      <c r="BR90" s="100">
        <v>8</v>
      </c>
      <c r="BS90" s="100">
        <v>8870.4</v>
      </c>
      <c r="BT90" s="100">
        <v>3.9760255710730585</v>
      </c>
      <c r="BU90" s="100">
        <v>4408.617153205807</v>
      </c>
      <c r="BV90" s="100">
        <v>9.9465822904247805</v>
      </c>
      <c r="BW90" s="100">
        <v>11028.770443622996</v>
      </c>
      <c r="BX90" s="100">
        <v>9</v>
      </c>
      <c r="BY90" s="100">
        <v>9979.1999999999989</v>
      </c>
      <c r="BZ90" s="100">
        <v>7.2035909633212247</v>
      </c>
      <c r="CA90" s="100">
        <v>7987.3416601305735</v>
      </c>
      <c r="CB90" s="100">
        <v>7</v>
      </c>
      <c r="CC90" s="100">
        <v>7761.5999999999995</v>
      </c>
      <c r="CD90" s="100">
        <v>7</v>
      </c>
      <c r="CE90" s="100">
        <v>7761.5999999999995</v>
      </c>
      <c r="CF90" s="100">
        <v>7.4078983717890656</v>
      </c>
      <c r="CG90" s="100">
        <v>8213.8777146397151</v>
      </c>
      <c r="CH90" s="100">
        <v>6.4150943396226401</v>
      </c>
      <c r="CI90" s="100">
        <v>7113.0566037735834</v>
      </c>
      <c r="CJ90" s="100">
        <v>4.5779660743779935</v>
      </c>
      <c r="CK90" s="100">
        <v>5076.0487832703193</v>
      </c>
      <c r="CL90" s="100">
        <v>9</v>
      </c>
      <c r="CM90" s="100">
        <v>9979.1999999999989</v>
      </c>
      <c r="CN90" s="100">
        <v>6.9190751445086685</v>
      </c>
      <c r="CO90" s="100">
        <v>7671.8705202312112</v>
      </c>
      <c r="CP90" s="100">
        <v>8</v>
      </c>
      <c r="CQ90" s="100">
        <v>8870.4</v>
      </c>
      <c r="CR90" s="100">
        <v>10</v>
      </c>
      <c r="CS90" s="100">
        <v>11088</v>
      </c>
      <c r="CT90" s="100">
        <v>6.1892138595416961</v>
      </c>
      <c r="CU90" s="100">
        <v>6862.6003274598324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7.8986988023065408</v>
      </c>
      <c r="G91" s="100">
        <v>8976.081318941151</v>
      </c>
      <c r="H91" s="100">
        <v>4.9134810360839944</v>
      </c>
      <c r="I91" s="100">
        <v>5583.6798494058503</v>
      </c>
      <c r="J91" s="100">
        <v>8.9999999999999982</v>
      </c>
      <c r="K91" s="100">
        <v>10227.599999999997</v>
      </c>
      <c r="L91" s="100">
        <v>8.0526315789473681</v>
      </c>
      <c r="M91" s="100">
        <v>9151.0105263157875</v>
      </c>
      <c r="N91" s="100">
        <v>6</v>
      </c>
      <c r="O91" s="100">
        <v>6818.4</v>
      </c>
      <c r="P91" s="100">
        <v>3.5855073039915974</v>
      </c>
      <c r="Q91" s="100">
        <v>4074.5705002560508</v>
      </c>
      <c r="R91" s="100">
        <v>6.6727165276119713</v>
      </c>
      <c r="S91" s="100">
        <v>7582.8750619782431</v>
      </c>
      <c r="T91" s="100">
        <v>7.8100196510583917</v>
      </c>
      <c r="U91" s="100">
        <v>8875.3063314627561</v>
      </c>
      <c r="V91" s="100">
        <v>3.5240029189702899</v>
      </c>
      <c r="W91" s="100">
        <v>4004.6769171178371</v>
      </c>
      <c r="X91" s="100">
        <v>5.972228521710063</v>
      </c>
      <c r="Y91" s="100">
        <v>6786.8404920713147</v>
      </c>
      <c r="Z91" s="100">
        <v>0</v>
      </c>
      <c r="AA91" s="100">
        <v>0</v>
      </c>
      <c r="AB91" s="100">
        <v>8</v>
      </c>
      <c r="AC91" s="100">
        <v>9091.1999999999989</v>
      </c>
      <c r="AD91" s="100">
        <v>9.7836538461539053</v>
      </c>
      <c r="AE91" s="100">
        <v>11118.144230769296</v>
      </c>
      <c r="AF91" s="100">
        <v>7.9274611398963728</v>
      </c>
      <c r="AG91" s="100">
        <v>9008.7668393782369</v>
      </c>
      <c r="AH91" s="100">
        <v>7.1957671957671945</v>
      </c>
      <c r="AI91" s="100">
        <v>8177.2698412698392</v>
      </c>
      <c r="AJ91" s="100">
        <v>7.5000000000000009</v>
      </c>
      <c r="AK91" s="100">
        <v>8523</v>
      </c>
      <c r="AL91" s="100">
        <v>7.816091954022987</v>
      </c>
      <c r="AM91" s="100">
        <v>8882.206896551721</v>
      </c>
      <c r="AN91" s="100">
        <v>6</v>
      </c>
      <c r="AO91" s="100">
        <v>6818.4</v>
      </c>
      <c r="AP91" s="100">
        <v>6.3580786026200862</v>
      </c>
      <c r="AQ91" s="100">
        <v>7225.3205240174648</v>
      </c>
      <c r="AR91" s="100">
        <v>8</v>
      </c>
      <c r="AS91" s="100">
        <v>9091.1999999999989</v>
      </c>
      <c r="AT91" s="100">
        <v>6</v>
      </c>
      <c r="AU91" s="100">
        <v>6818.4</v>
      </c>
      <c r="AV91" s="100">
        <v>2.1739130434782594</v>
      </c>
      <c r="AW91" s="100">
        <v>2470.4347826086937</v>
      </c>
      <c r="AX91" s="100">
        <v>1.2004745058997981E-21</v>
      </c>
      <c r="AY91" s="100">
        <v>1.3642192285045303E-18</v>
      </c>
      <c r="AZ91" s="100">
        <v>6.3440460427166259E-22</v>
      </c>
      <c r="BA91" s="100">
        <v>7.2093739229431733E-19</v>
      </c>
      <c r="BB91" s="100">
        <v>6.7600490619111576E-22</v>
      </c>
      <c r="BC91" s="100">
        <v>7.6821197539558388E-19</v>
      </c>
      <c r="BD91" s="100">
        <v>2.7511817276722605</v>
      </c>
      <c r="BE91" s="100">
        <v>3126.4429153267565</v>
      </c>
      <c r="BF91" s="100">
        <v>6.9863013698630123</v>
      </c>
      <c r="BG91" s="100">
        <v>7939.2328767123263</v>
      </c>
      <c r="BH91" s="100">
        <v>8.8625592417061583</v>
      </c>
      <c r="BI91" s="100">
        <v>10071.412322274877</v>
      </c>
      <c r="BJ91" s="100">
        <v>6.5665236051502145</v>
      </c>
      <c r="BK91" s="100">
        <v>7462.1974248927027</v>
      </c>
      <c r="BL91" s="100">
        <v>4.1130591253670863</v>
      </c>
      <c r="BM91" s="100">
        <v>4674.0803900671563</v>
      </c>
      <c r="BN91" s="100">
        <v>9.9580192396302394</v>
      </c>
      <c r="BO91" s="100">
        <v>11316.293063915802</v>
      </c>
      <c r="BP91" s="100">
        <v>6.6476691230248424</v>
      </c>
      <c r="BQ91" s="100">
        <v>7554.4111914054301</v>
      </c>
      <c r="BR91" s="100">
        <v>7</v>
      </c>
      <c r="BS91" s="100">
        <v>7954.7999999999993</v>
      </c>
      <c r="BT91" s="100">
        <v>3.9760255710730585</v>
      </c>
      <c r="BU91" s="100">
        <v>4518.3554589674231</v>
      </c>
      <c r="BV91" s="100">
        <v>9.9465822904247805</v>
      </c>
      <c r="BW91" s="100">
        <v>11303.296114838718</v>
      </c>
      <c r="BX91" s="100">
        <v>10</v>
      </c>
      <c r="BY91" s="100">
        <v>11363.999999999998</v>
      </c>
      <c r="BZ91" s="100">
        <v>6.4031919673966442</v>
      </c>
      <c r="CA91" s="100">
        <v>7276.5873517495456</v>
      </c>
      <c r="CB91" s="100">
        <v>7</v>
      </c>
      <c r="CC91" s="100">
        <v>7954.7999999999993</v>
      </c>
      <c r="CD91" s="100">
        <v>8</v>
      </c>
      <c r="CE91" s="100">
        <v>9091.1999999999989</v>
      </c>
      <c r="CF91" s="100">
        <v>9.2598729647363314</v>
      </c>
      <c r="CG91" s="100">
        <v>10522.919637126366</v>
      </c>
      <c r="CH91" s="100">
        <v>5.61320754716981</v>
      </c>
      <c r="CI91" s="100">
        <v>6378.8490566037717</v>
      </c>
      <c r="CJ91" s="100">
        <v>4.5779660743779935</v>
      </c>
      <c r="CK91" s="100">
        <v>5202.4006469231508</v>
      </c>
      <c r="CL91" s="100">
        <v>9</v>
      </c>
      <c r="CM91" s="100">
        <v>10227.599999999999</v>
      </c>
      <c r="CN91" s="100">
        <v>6.9190751445086685</v>
      </c>
      <c r="CO91" s="100">
        <v>7862.8369942196496</v>
      </c>
      <c r="CP91" s="100">
        <v>7</v>
      </c>
      <c r="CQ91" s="100">
        <v>7954.7999999999993</v>
      </c>
      <c r="CR91" s="100">
        <v>11</v>
      </c>
      <c r="CS91" s="100">
        <v>12500.399999999998</v>
      </c>
      <c r="CT91" s="100">
        <v>5.3050404510357394</v>
      </c>
      <c r="CU91" s="100">
        <v>6028.6479685570139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8.8860361525948584</v>
      </c>
      <c r="G92" s="100">
        <v>6973.7611725564448</v>
      </c>
      <c r="H92" s="100">
        <v>4.9134810360839944</v>
      </c>
      <c r="I92" s="100">
        <v>3856.0999171187186</v>
      </c>
      <c r="J92" s="100">
        <v>8.9999999999999982</v>
      </c>
      <c r="K92" s="100">
        <v>7063.199999999998</v>
      </c>
      <c r="L92" s="100">
        <v>8.9473684210526301</v>
      </c>
      <c r="M92" s="100">
        <v>7021.8947368421041</v>
      </c>
      <c r="N92" s="100">
        <v>7</v>
      </c>
      <c r="O92" s="100">
        <v>5493.5999999999995</v>
      </c>
      <c r="P92" s="100">
        <v>4.1830918546568636</v>
      </c>
      <c r="Q92" s="100">
        <v>3282.8904875347062</v>
      </c>
      <c r="R92" s="100">
        <v>6.6727165276119713</v>
      </c>
      <c r="S92" s="100">
        <v>5236.7479308698748</v>
      </c>
      <c r="T92" s="100">
        <v>6.9422396898296821</v>
      </c>
      <c r="U92" s="100">
        <v>5448.2697085783338</v>
      </c>
      <c r="V92" s="100">
        <v>3.5240029189702899</v>
      </c>
      <c r="W92" s="100">
        <v>2765.6374908078833</v>
      </c>
      <c r="X92" s="100">
        <v>5.972228521710063</v>
      </c>
      <c r="Y92" s="100">
        <v>4687.0049438380574</v>
      </c>
      <c r="Z92" s="100">
        <v>0</v>
      </c>
      <c r="AA92" s="100">
        <v>0</v>
      </c>
      <c r="AB92" s="100">
        <v>9</v>
      </c>
      <c r="AC92" s="100">
        <v>7063.2</v>
      </c>
      <c r="AD92" s="100">
        <v>8.8942307692308251</v>
      </c>
      <c r="AE92" s="100">
        <v>6980.1923076923513</v>
      </c>
      <c r="AF92" s="100">
        <v>8.8082901554404138</v>
      </c>
      <c r="AG92" s="100">
        <v>6912.7461139896368</v>
      </c>
      <c r="AH92" s="100">
        <v>7.1957671957671945</v>
      </c>
      <c r="AI92" s="100">
        <v>5647.2380952380936</v>
      </c>
      <c r="AJ92" s="100">
        <v>7.5000000000000009</v>
      </c>
      <c r="AK92" s="100">
        <v>5886</v>
      </c>
      <c r="AL92" s="100">
        <v>6.8390804597701136</v>
      </c>
      <c r="AM92" s="100">
        <v>5367.3103448275851</v>
      </c>
      <c r="AN92" s="100">
        <v>6</v>
      </c>
      <c r="AO92" s="100">
        <v>4708.7999999999993</v>
      </c>
      <c r="AP92" s="100">
        <v>7.1528384279475974</v>
      </c>
      <c r="AQ92" s="100">
        <v>5613.5475982532744</v>
      </c>
      <c r="AR92" s="100">
        <v>9</v>
      </c>
      <c r="AS92" s="100">
        <v>7063.2</v>
      </c>
      <c r="AT92" s="100">
        <v>6</v>
      </c>
      <c r="AU92" s="100">
        <v>4708.7999999999993</v>
      </c>
      <c r="AV92" s="100">
        <v>2.1739130434782594</v>
      </c>
      <c r="AW92" s="100">
        <v>1706.0869565217379</v>
      </c>
      <c r="AX92" s="100">
        <v>1.2004745058997981E-21</v>
      </c>
      <c r="AY92" s="100">
        <v>9.4213239223016138E-19</v>
      </c>
      <c r="AZ92" s="100">
        <v>7.0489400474629167E-22</v>
      </c>
      <c r="BA92" s="100">
        <v>5.5320081492488963E-19</v>
      </c>
      <c r="BB92" s="100">
        <v>6.7600490619111576E-22</v>
      </c>
      <c r="BC92" s="100">
        <v>5.3052865037878765E-19</v>
      </c>
      <c r="BD92" s="100">
        <v>2.3581557665762234</v>
      </c>
      <c r="BE92" s="100">
        <v>1850.6806456090201</v>
      </c>
      <c r="BF92" s="100">
        <v>6.9863013698630123</v>
      </c>
      <c r="BG92" s="100">
        <v>5482.8493150684917</v>
      </c>
      <c r="BH92" s="100">
        <v>8.8625592417061583</v>
      </c>
      <c r="BI92" s="100">
        <v>6955.3364928909923</v>
      </c>
      <c r="BJ92" s="100">
        <v>7.2961373390557931</v>
      </c>
      <c r="BK92" s="100">
        <v>5726.0085836909857</v>
      </c>
      <c r="BL92" s="100">
        <v>4.1130591253670863</v>
      </c>
      <c r="BM92" s="100">
        <v>3227.9288015880893</v>
      </c>
      <c r="BN92" s="100">
        <v>9.9580192396302394</v>
      </c>
      <c r="BO92" s="100">
        <v>7815.0534992618113</v>
      </c>
      <c r="BP92" s="100">
        <v>6.6476691230248424</v>
      </c>
      <c r="BQ92" s="100">
        <v>5217.0907277498964</v>
      </c>
      <c r="BR92" s="100">
        <v>9</v>
      </c>
      <c r="BS92" s="100">
        <v>7063.2</v>
      </c>
      <c r="BT92" s="100">
        <v>3.9760255710730585</v>
      </c>
      <c r="BU92" s="100">
        <v>3120.384868178136</v>
      </c>
      <c r="BV92" s="100">
        <v>10.85081704409976</v>
      </c>
      <c r="BW92" s="100">
        <v>8515.7212162094911</v>
      </c>
      <c r="BX92" s="100">
        <v>10</v>
      </c>
      <c r="BY92" s="100">
        <v>7848</v>
      </c>
      <c r="BZ92" s="100">
        <v>7.2035909633212247</v>
      </c>
      <c r="CA92" s="100">
        <v>5653.378188014497</v>
      </c>
      <c r="CB92" s="100">
        <v>7</v>
      </c>
      <c r="CC92" s="100">
        <v>5493.5999999999995</v>
      </c>
      <c r="CD92" s="100">
        <v>8</v>
      </c>
      <c r="CE92" s="100">
        <v>6278.4</v>
      </c>
      <c r="CF92" s="100">
        <v>8.3338856682626989</v>
      </c>
      <c r="CG92" s="100">
        <v>6540.4334724525661</v>
      </c>
      <c r="CH92" s="100">
        <v>6.4150943396226401</v>
      </c>
      <c r="CI92" s="100">
        <v>5034.5660377358472</v>
      </c>
      <c r="CJ92" s="100">
        <v>5.0866289715311037</v>
      </c>
      <c r="CK92" s="100">
        <v>3991.98641685761</v>
      </c>
      <c r="CL92" s="100">
        <v>9</v>
      </c>
      <c r="CM92" s="100">
        <v>7063.2</v>
      </c>
      <c r="CN92" s="100">
        <v>6.9190751445086685</v>
      </c>
      <c r="CO92" s="100">
        <v>5430.0901734104027</v>
      </c>
      <c r="CP92" s="100">
        <v>8</v>
      </c>
      <c r="CQ92" s="100">
        <v>6278.4</v>
      </c>
      <c r="CR92" s="100">
        <v>10</v>
      </c>
      <c r="CS92" s="100">
        <v>7848</v>
      </c>
      <c r="CT92" s="100">
        <v>6.1892138595416961</v>
      </c>
      <c r="CU92" s="100">
        <v>4857.2950369683231</v>
      </c>
    </row>
    <row r="93" spans="2:99">
      <c r="C93" s="99" t="s">
        <v>259</v>
      </c>
      <c r="D93" s="100">
        <v>8</v>
      </c>
      <c r="E93" s="100">
        <v>5548.8</v>
      </c>
      <c r="F93" s="100">
        <v>7.8986988023065408</v>
      </c>
      <c r="G93" s="100">
        <v>5478.5374892798172</v>
      </c>
      <c r="H93" s="100">
        <v>4.9134810360839944</v>
      </c>
      <c r="I93" s="100">
        <v>3407.9904466278585</v>
      </c>
      <c r="J93" s="100">
        <v>8.9999999999999982</v>
      </c>
      <c r="K93" s="100">
        <v>6242.3999999999987</v>
      </c>
      <c r="L93" s="100">
        <v>8.0526315789473681</v>
      </c>
      <c r="M93" s="100">
        <v>5585.3052631578948</v>
      </c>
      <c r="N93" s="100">
        <v>7</v>
      </c>
      <c r="O93" s="100">
        <v>4855.2</v>
      </c>
      <c r="P93" s="100">
        <v>4.1830918546568636</v>
      </c>
      <c r="Q93" s="100">
        <v>2901.3925103900006</v>
      </c>
      <c r="R93" s="100">
        <v>6.6727165276119713</v>
      </c>
      <c r="S93" s="100">
        <v>4628.1961835516631</v>
      </c>
      <c r="T93" s="100">
        <v>6.9422396898296821</v>
      </c>
      <c r="U93" s="100">
        <v>4815.1374488658676</v>
      </c>
      <c r="V93" s="100">
        <v>3.5240029189702899</v>
      </c>
      <c r="W93" s="100">
        <v>2444.248424597793</v>
      </c>
      <c r="X93" s="100">
        <v>6.9675999419950729</v>
      </c>
      <c r="Y93" s="100">
        <v>4832.7273197677823</v>
      </c>
      <c r="Z93" s="100">
        <v>0</v>
      </c>
      <c r="AA93" s="100">
        <v>0</v>
      </c>
      <c r="AB93" s="100">
        <v>9</v>
      </c>
      <c r="AC93" s="100">
        <v>6242.4000000000005</v>
      </c>
      <c r="AD93" s="100">
        <v>9.7836538461539053</v>
      </c>
      <c r="AE93" s="100">
        <v>6785.9423076923485</v>
      </c>
      <c r="AF93" s="100">
        <v>8.8082901554404138</v>
      </c>
      <c r="AG93" s="100">
        <v>6109.4300518134714</v>
      </c>
      <c r="AH93" s="100">
        <v>8.9947089947089935</v>
      </c>
      <c r="AI93" s="100">
        <v>6238.7301587301581</v>
      </c>
      <c r="AJ93" s="100">
        <v>8.3333333333333339</v>
      </c>
      <c r="AK93" s="100">
        <v>5780.0000000000009</v>
      </c>
      <c r="AL93" s="100">
        <v>8.7931034482758612</v>
      </c>
      <c r="AM93" s="100">
        <v>6098.8965517241377</v>
      </c>
      <c r="AN93" s="100">
        <v>5</v>
      </c>
      <c r="AO93" s="100">
        <v>3468</v>
      </c>
      <c r="AP93" s="100">
        <v>7.1528384279475974</v>
      </c>
      <c r="AQ93" s="100">
        <v>4961.208733624454</v>
      </c>
      <c r="AR93" s="100">
        <v>8</v>
      </c>
      <c r="AS93" s="100">
        <v>5548.8</v>
      </c>
      <c r="AT93" s="100">
        <v>7</v>
      </c>
      <c r="AU93" s="100">
        <v>4855.2</v>
      </c>
      <c r="AV93" s="100">
        <v>1.9021739130434774</v>
      </c>
      <c r="AW93" s="100">
        <v>1319.347826086956</v>
      </c>
      <c r="AX93" s="100">
        <v>1.0804270553098183E-21</v>
      </c>
      <c r="AY93" s="100">
        <v>7.4938420556289005E-19</v>
      </c>
      <c r="AZ93" s="100">
        <v>7.0489400474629167E-22</v>
      </c>
      <c r="BA93" s="100">
        <v>4.8891448169202791E-19</v>
      </c>
      <c r="BB93" s="100">
        <v>8.2622821867803037E-22</v>
      </c>
      <c r="BC93" s="100">
        <v>5.7307189247508185E-19</v>
      </c>
      <c r="BD93" s="100">
        <v>2.3581557665762234</v>
      </c>
      <c r="BE93" s="100">
        <v>1635.6168396972687</v>
      </c>
      <c r="BF93" s="100">
        <v>6.2100456621004554</v>
      </c>
      <c r="BG93" s="100">
        <v>4307.2876712328762</v>
      </c>
      <c r="BH93" s="100">
        <v>9.668246445497628</v>
      </c>
      <c r="BI93" s="100">
        <v>6705.8957345971548</v>
      </c>
      <c r="BJ93" s="100">
        <v>8.0257510729613735</v>
      </c>
      <c r="BK93" s="100">
        <v>5566.6609442060089</v>
      </c>
      <c r="BL93" s="100">
        <v>4.6271915160379722</v>
      </c>
      <c r="BM93" s="100">
        <v>3209.4200355239377</v>
      </c>
      <c r="BN93" s="100">
        <v>9.9580192396302394</v>
      </c>
      <c r="BO93" s="100">
        <v>6906.8821446075344</v>
      </c>
      <c r="BP93" s="100">
        <v>6.6476691230248424</v>
      </c>
      <c r="BQ93" s="100">
        <v>4610.8233037300306</v>
      </c>
      <c r="BR93" s="100">
        <v>8</v>
      </c>
      <c r="BS93" s="100">
        <v>5548.8</v>
      </c>
      <c r="BT93" s="100">
        <v>3.9760255710730585</v>
      </c>
      <c r="BU93" s="100">
        <v>2757.7713360962734</v>
      </c>
      <c r="BV93" s="100">
        <v>9.0423475367497996</v>
      </c>
      <c r="BW93" s="100">
        <v>6271.7722514896614</v>
      </c>
      <c r="BX93" s="100">
        <v>10</v>
      </c>
      <c r="BY93" s="100">
        <v>6936</v>
      </c>
      <c r="BZ93" s="100">
        <v>7.2035909633212247</v>
      </c>
      <c r="CA93" s="100">
        <v>4996.4106921596012</v>
      </c>
      <c r="CB93" s="100">
        <v>7</v>
      </c>
      <c r="CC93" s="100">
        <v>4855.2</v>
      </c>
      <c r="CD93" s="100">
        <v>8</v>
      </c>
      <c r="CE93" s="100">
        <v>5548.8</v>
      </c>
      <c r="CF93" s="100">
        <v>8.3338856682626989</v>
      </c>
      <c r="CG93" s="100">
        <v>5780.3830995070084</v>
      </c>
      <c r="CH93" s="100">
        <v>5.61320754716981</v>
      </c>
      <c r="CI93" s="100">
        <v>3893.3207547169804</v>
      </c>
      <c r="CJ93" s="100">
        <v>4.5779660743779935</v>
      </c>
      <c r="CK93" s="100">
        <v>3175.2772691885766</v>
      </c>
      <c r="CL93" s="100">
        <v>9</v>
      </c>
      <c r="CM93" s="100">
        <v>6242.4000000000005</v>
      </c>
      <c r="CN93" s="100">
        <v>6.9190751445086685</v>
      </c>
      <c r="CO93" s="100">
        <v>4799.0705202312129</v>
      </c>
      <c r="CP93" s="100">
        <v>7</v>
      </c>
      <c r="CQ93" s="100">
        <v>4855.2</v>
      </c>
      <c r="CR93" s="100">
        <v>12</v>
      </c>
      <c r="CS93" s="100">
        <v>8323.2000000000007</v>
      </c>
      <c r="CT93" s="100">
        <v>6.1892138595416961</v>
      </c>
      <c r="CU93" s="100">
        <v>4292.8387329781208</v>
      </c>
    </row>
    <row r="94" spans="2:99">
      <c r="C94" s="99" t="s">
        <v>260</v>
      </c>
      <c r="D94" s="100">
        <v>7</v>
      </c>
      <c r="E94" s="100">
        <v>8349.6</v>
      </c>
      <c r="F94" s="100">
        <v>7.8986988023065408</v>
      </c>
      <c r="G94" s="100">
        <v>9421.5679313912406</v>
      </c>
      <c r="H94" s="100">
        <v>4.9134810360839944</v>
      </c>
      <c r="I94" s="100">
        <v>5860.8001798409887</v>
      </c>
      <c r="J94" s="100">
        <v>8.9999999999999982</v>
      </c>
      <c r="K94" s="100">
        <v>10735.199999999997</v>
      </c>
      <c r="L94" s="100">
        <v>8.0526315789473681</v>
      </c>
      <c r="M94" s="100">
        <v>9605.1789473684203</v>
      </c>
      <c r="N94" s="100">
        <v>7</v>
      </c>
      <c r="O94" s="100">
        <v>8349.6</v>
      </c>
      <c r="P94" s="100">
        <v>4.1830918546568636</v>
      </c>
      <c r="Q94" s="100">
        <v>4989.5919642347071</v>
      </c>
      <c r="R94" s="100">
        <v>6.6727165276119713</v>
      </c>
      <c r="S94" s="100">
        <v>7959.2162741355587</v>
      </c>
      <c r="T94" s="100">
        <v>7.8100196510583917</v>
      </c>
      <c r="U94" s="100">
        <v>9315.7914397824497</v>
      </c>
      <c r="V94" s="100">
        <v>3.5240029189702899</v>
      </c>
      <c r="W94" s="100">
        <v>4203.4306817477618</v>
      </c>
      <c r="X94" s="100">
        <v>5.972228521710063</v>
      </c>
      <c r="Y94" s="100">
        <v>7123.6741806957625</v>
      </c>
      <c r="Z94" s="100">
        <v>0</v>
      </c>
      <c r="AA94" s="100">
        <v>0</v>
      </c>
      <c r="AB94" s="100">
        <v>8</v>
      </c>
      <c r="AC94" s="100">
        <v>9542.4</v>
      </c>
      <c r="AD94" s="100">
        <v>9.7836538461539053</v>
      </c>
      <c r="AE94" s="100">
        <v>11669.942307692378</v>
      </c>
      <c r="AF94" s="100">
        <v>7.0466321243523318</v>
      </c>
      <c r="AG94" s="100">
        <v>8405.2227979274612</v>
      </c>
      <c r="AH94" s="100">
        <v>8.0952380952380931</v>
      </c>
      <c r="AI94" s="100">
        <v>9655.9999999999964</v>
      </c>
      <c r="AJ94" s="100">
        <v>8.3333333333333339</v>
      </c>
      <c r="AK94" s="100">
        <v>9940</v>
      </c>
      <c r="AL94" s="100">
        <v>7.816091954022987</v>
      </c>
      <c r="AM94" s="100">
        <v>9323.0344827586177</v>
      </c>
      <c r="AN94" s="100">
        <v>6</v>
      </c>
      <c r="AO94" s="100">
        <v>7156.7999999999993</v>
      </c>
      <c r="AP94" s="100">
        <v>7.1528384279475974</v>
      </c>
      <c r="AQ94" s="100">
        <v>8531.905676855893</v>
      </c>
      <c r="AR94" s="100">
        <v>8</v>
      </c>
      <c r="AS94" s="100">
        <v>9542.4</v>
      </c>
      <c r="AT94" s="100">
        <v>6</v>
      </c>
      <c r="AU94" s="100">
        <v>7156.7999999999993</v>
      </c>
      <c r="AV94" s="100">
        <v>1.9021739130434774</v>
      </c>
      <c r="AW94" s="100">
        <v>2268.9130434782596</v>
      </c>
      <c r="AX94" s="100">
        <v>1.2004745058997981E-21</v>
      </c>
      <c r="AY94" s="100">
        <v>1.431925990637279E-18</v>
      </c>
      <c r="AZ94" s="100">
        <v>7.0489400474629167E-22</v>
      </c>
      <c r="BA94" s="100">
        <v>8.4079756886137667E-19</v>
      </c>
      <c r="BB94" s="100">
        <v>6.7600490619111576E-22</v>
      </c>
      <c r="BC94" s="100">
        <v>8.0633865210476287E-19</v>
      </c>
      <c r="BD94" s="100">
        <v>2.3581557665762234</v>
      </c>
      <c r="BE94" s="100">
        <v>2812.808198372119</v>
      </c>
      <c r="BF94" s="100">
        <v>5.4337899543378985</v>
      </c>
      <c r="BG94" s="100">
        <v>6481.4246575342449</v>
      </c>
      <c r="BH94" s="100">
        <v>8.8625592417061583</v>
      </c>
      <c r="BI94" s="100">
        <v>10571.260663507106</v>
      </c>
      <c r="BJ94" s="100">
        <v>7.2961373390557931</v>
      </c>
      <c r="BK94" s="100">
        <v>8702.83261802575</v>
      </c>
      <c r="BL94" s="100">
        <v>4.6271915160379722</v>
      </c>
      <c r="BM94" s="100">
        <v>5519.3140403300931</v>
      </c>
      <c r="BN94" s="100">
        <v>10.863293715960262</v>
      </c>
      <c r="BO94" s="100">
        <v>12957.7367443974</v>
      </c>
      <c r="BP94" s="100">
        <v>7.386299025583158</v>
      </c>
      <c r="BQ94" s="100">
        <v>8810.3774777155904</v>
      </c>
      <c r="BR94" s="100">
        <v>9</v>
      </c>
      <c r="BS94" s="100">
        <v>10735.199999999999</v>
      </c>
      <c r="BT94" s="100">
        <v>3.9760255710730585</v>
      </c>
      <c r="BU94" s="100">
        <v>4742.6033011759437</v>
      </c>
      <c r="BV94" s="100">
        <v>10.85081704409976</v>
      </c>
      <c r="BW94" s="100">
        <v>12942.854570202193</v>
      </c>
      <c r="BX94" s="100">
        <v>10</v>
      </c>
      <c r="BY94" s="100">
        <v>11928</v>
      </c>
      <c r="BZ94" s="100">
        <v>6.4031919673966442</v>
      </c>
      <c r="CA94" s="100">
        <v>7637.7273787107169</v>
      </c>
      <c r="CB94" s="100">
        <v>7</v>
      </c>
      <c r="CC94" s="100">
        <v>8349.6</v>
      </c>
      <c r="CD94" s="100">
        <v>8</v>
      </c>
      <c r="CE94" s="100">
        <v>9542.4</v>
      </c>
      <c r="CF94" s="100">
        <v>9.2598729647363314</v>
      </c>
      <c r="CG94" s="100">
        <v>11045.176472337496</v>
      </c>
      <c r="CH94" s="100">
        <v>5.61320754716981</v>
      </c>
      <c r="CI94" s="100">
        <v>6695.4339622641492</v>
      </c>
      <c r="CJ94" s="100">
        <v>5.0866289715311037</v>
      </c>
      <c r="CK94" s="100">
        <v>6067.3310372423002</v>
      </c>
      <c r="CL94" s="100">
        <v>8</v>
      </c>
      <c r="CM94" s="100">
        <v>9542.4</v>
      </c>
      <c r="CN94" s="100">
        <v>6.9190751445086685</v>
      </c>
      <c r="CO94" s="100">
        <v>8253.0728323699386</v>
      </c>
      <c r="CP94" s="100">
        <v>8</v>
      </c>
      <c r="CQ94" s="100">
        <v>9542.4</v>
      </c>
      <c r="CR94" s="100">
        <v>10</v>
      </c>
      <c r="CS94" s="100">
        <v>11928</v>
      </c>
      <c r="CT94" s="100">
        <v>5.3050404510357394</v>
      </c>
      <c r="CU94" s="100">
        <v>6327.8522499954297</v>
      </c>
    </row>
    <row r="95" spans="2:99">
      <c r="B95" s="99" t="s">
        <v>132</v>
      </c>
      <c r="C95" s="99" t="s">
        <v>261</v>
      </c>
      <c r="D95" s="100">
        <v>10</v>
      </c>
      <c r="E95" s="100">
        <v>3288</v>
      </c>
      <c r="F95" s="100">
        <v>11.848048203459809</v>
      </c>
      <c r="G95" s="100">
        <v>3895.6382492975854</v>
      </c>
      <c r="H95" s="100">
        <v>4.9134810360839944</v>
      </c>
      <c r="I95" s="100">
        <v>1615.5525646644173</v>
      </c>
      <c r="J95" s="100">
        <v>7.9999999999999982</v>
      </c>
      <c r="K95" s="100">
        <v>2630.3999999999996</v>
      </c>
      <c r="L95" s="100">
        <v>7.1578947368421035</v>
      </c>
      <c r="M95" s="100">
        <v>2353.5157894736835</v>
      </c>
      <c r="N95" s="100">
        <v>11</v>
      </c>
      <c r="O95" s="100">
        <v>3616.8</v>
      </c>
      <c r="P95" s="100">
        <v>7.7685991586484606</v>
      </c>
      <c r="Q95" s="100">
        <v>2554.3154033636138</v>
      </c>
      <c r="R95" s="100">
        <v>10.843164357369455</v>
      </c>
      <c r="S95" s="100">
        <v>3565.2324407030769</v>
      </c>
      <c r="T95" s="100">
        <v>8.6777996122871013</v>
      </c>
      <c r="U95" s="100">
        <v>2853.2605125199989</v>
      </c>
      <c r="V95" s="100">
        <v>7.0480058379405799</v>
      </c>
      <c r="W95" s="100">
        <v>2317.3843195148629</v>
      </c>
      <c r="X95" s="100">
        <v>11.944457043420126</v>
      </c>
      <c r="Y95" s="100">
        <v>3927.3374758765376</v>
      </c>
      <c r="Z95" s="100">
        <v>0</v>
      </c>
      <c r="AA95" s="100">
        <v>0</v>
      </c>
      <c r="AB95" s="100">
        <v>7</v>
      </c>
      <c r="AC95" s="100">
        <v>2301.6</v>
      </c>
      <c r="AD95" s="100">
        <v>9.7836538461539053</v>
      </c>
      <c r="AE95" s="100">
        <v>3216.8653846154043</v>
      </c>
      <c r="AF95" s="100">
        <v>9.6891191709844566</v>
      </c>
      <c r="AG95" s="100">
        <v>3185.7823834196893</v>
      </c>
      <c r="AH95" s="100">
        <v>8.9947089947089935</v>
      </c>
      <c r="AI95" s="100">
        <v>2957.4603174603171</v>
      </c>
      <c r="AJ95" s="100">
        <v>10</v>
      </c>
      <c r="AK95" s="100">
        <v>3288</v>
      </c>
      <c r="AL95" s="100">
        <v>8.7931034482758612</v>
      </c>
      <c r="AM95" s="100">
        <v>2891.1724137931033</v>
      </c>
      <c r="AN95" s="100">
        <v>9</v>
      </c>
      <c r="AO95" s="100">
        <v>2959.2000000000003</v>
      </c>
      <c r="AP95" s="100">
        <v>10.33187772925764</v>
      </c>
      <c r="AQ95" s="100">
        <v>3397.1213973799122</v>
      </c>
      <c r="AR95" s="100">
        <v>6</v>
      </c>
      <c r="AS95" s="100">
        <v>1972.8000000000002</v>
      </c>
      <c r="AT95" s="100">
        <v>7</v>
      </c>
      <c r="AU95" s="100">
        <v>2301.6</v>
      </c>
      <c r="AV95" s="100">
        <v>2.9891304347826071</v>
      </c>
      <c r="AW95" s="100">
        <v>982.82608695652129</v>
      </c>
      <c r="AX95" s="100">
        <v>1.5606168576697375E-21</v>
      </c>
      <c r="AY95" s="100">
        <v>5.1313082280180974E-19</v>
      </c>
      <c r="AZ95" s="100">
        <v>7.0489400474629167E-22</v>
      </c>
      <c r="BA95" s="100">
        <v>2.3176914876058069E-19</v>
      </c>
      <c r="BB95" s="100">
        <v>6.7600490619111576E-22</v>
      </c>
      <c r="BC95" s="100">
        <v>2.2227041315563888E-19</v>
      </c>
      <c r="BD95" s="100">
        <v>3.930259610960372</v>
      </c>
      <c r="BE95" s="100">
        <v>1292.2693600837704</v>
      </c>
      <c r="BF95" s="100">
        <v>10.867579908675797</v>
      </c>
      <c r="BG95" s="100">
        <v>3573.2602739726021</v>
      </c>
      <c r="BH95" s="100">
        <v>8.0568720379146903</v>
      </c>
      <c r="BI95" s="100">
        <v>2649.0995260663503</v>
      </c>
      <c r="BJ95" s="100">
        <v>10.214592274678109</v>
      </c>
      <c r="BK95" s="100">
        <v>3358.5579399141625</v>
      </c>
      <c r="BL95" s="100">
        <v>4.6271915160379722</v>
      </c>
      <c r="BM95" s="100">
        <v>1521.4205704732854</v>
      </c>
      <c r="BN95" s="100">
        <v>9.9580192396302394</v>
      </c>
      <c r="BO95" s="100">
        <v>3274.1967259904227</v>
      </c>
      <c r="BP95" s="100">
        <v>5.9090392204665267</v>
      </c>
      <c r="BQ95" s="100">
        <v>1942.892095689394</v>
      </c>
      <c r="BR95" s="100">
        <v>7</v>
      </c>
      <c r="BS95" s="100">
        <v>2301.6</v>
      </c>
      <c r="BT95" s="100">
        <v>8.520054795156554</v>
      </c>
      <c r="BU95" s="100">
        <v>2801.3940166474749</v>
      </c>
      <c r="BV95" s="100">
        <v>10.85081704409976</v>
      </c>
      <c r="BW95" s="100">
        <v>3567.748644100001</v>
      </c>
      <c r="BX95" s="100">
        <v>11</v>
      </c>
      <c r="BY95" s="100">
        <v>3616.8</v>
      </c>
      <c r="BZ95" s="100">
        <v>8.0039899592458053</v>
      </c>
      <c r="CA95" s="100">
        <v>2631.711898600021</v>
      </c>
      <c r="CB95" s="100">
        <v>8</v>
      </c>
      <c r="CC95" s="100">
        <v>2630.4</v>
      </c>
      <c r="CD95" s="100">
        <v>9</v>
      </c>
      <c r="CE95" s="100">
        <v>2959.2000000000003</v>
      </c>
      <c r="CF95" s="100">
        <v>11.111847557683598</v>
      </c>
      <c r="CG95" s="100">
        <v>3653.5754769663672</v>
      </c>
      <c r="CH95" s="100">
        <v>10.424528301886792</v>
      </c>
      <c r="CI95" s="100">
        <v>3427.584905660377</v>
      </c>
      <c r="CJ95" s="100">
        <v>4.0693031772248833</v>
      </c>
      <c r="CK95" s="100">
        <v>1337.9868846715417</v>
      </c>
      <c r="CL95" s="100">
        <v>8</v>
      </c>
      <c r="CM95" s="100">
        <v>2630.4</v>
      </c>
      <c r="CN95" s="100">
        <v>8.8959537572254312</v>
      </c>
      <c r="CO95" s="100">
        <v>2924.9895953757218</v>
      </c>
      <c r="CP95" s="100">
        <v>8</v>
      </c>
      <c r="CQ95" s="100">
        <v>2630.4</v>
      </c>
      <c r="CR95" s="100">
        <v>13</v>
      </c>
      <c r="CS95" s="100">
        <v>4274.4000000000005</v>
      </c>
      <c r="CT95" s="100">
        <v>12.378427719083392</v>
      </c>
      <c r="CU95" s="100">
        <v>4070.0270340346196</v>
      </c>
    </row>
    <row r="96" spans="2:99">
      <c r="C96" s="99" t="s">
        <v>262</v>
      </c>
      <c r="D96" s="100">
        <v>8</v>
      </c>
      <c r="E96" s="100">
        <v>5558.4</v>
      </c>
      <c r="F96" s="100">
        <v>11.848048203459809</v>
      </c>
      <c r="G96" s="100">
        <v>8232.0238917638744</v>
      </c>
      <c r="H96" s="100">
        <v>5.5276661655944945</v>
      </c>
      <c r="I96" s="100">
        <v>3840.6224518550544</v>
      </c>
      <c r="J96" s="100">
        <v>7.9999999999999982</v>
      </c>
      <c r="K96" s="100">
        <v>5558.3999999999987</v>
      </c>
      <c r="L96" s="100">
        <v>8.9473684210526301</v>
      </c>
      <c r="M96" s="100">
        <v>6216.6315789473674</v>
      </c>
      <c r="N96" s="100">
        <v>9</v>
      </c>
      <c r="O96" s="100">
        <v>6253.2</v>
      </c>
      <c r="P96" s="100">
        <v>7.1710146079831949</v>
      </c>
      <c r="Q96" s="100">
        <v>4982.4209496267231</v>
      </c>
      <c r="R96" s="100">
        <v>9.174985225466461</v>
      </c>
      <c r="S96" s="100">
        <v>6374.7797346540965</v>
      </c>
      <c r="T96" s="100">
        <v>8.6777996122871013</v>
      </c>
      <c r="U96" s="100">
        <v>6029.3351706170779</v>
      </c>
      <c r="V96" s="100">
        <v>7.0480058379405799</v>
      </c>
      <c r="W96" s="100">
        <v>4896.9544562011142</v>
      </c>
      <c r="X96" s="100">
        <v>9.9537142028501044</v>
      </c>
      <c r="Y96" s="100">
        <v>6915.8406281402522</v>
      </c>
      <c r="Z96" s="100">
        <v>0</v>
      </c>
      <c r="AA96" s="100">
        <v>0</v>
      </c>
      <c r="AB96" s="100">
        <v>7</v>
      </c>
      <c r="AC96" s="100">
        <v>4863.5999999999995</v>
      </c>
      <c r="AD96" s="100">
        <v>8.8942307692308251</v>
      </c>
      <c r="AE96" s="100">
        <v>6179.7115384615772</v>
      </c>
      <c r="AF96" s="100">
        <v>8.8082901554404138</v>
      </c>
      <c r="AG96" s="100">
        <v>6119.9999999999991</v>
      </c>
      <c r="AH96" s="100">
        <v>8.9947089947089935</v>
      </c>
      <c r="AI96" s="100">
        <v>6249.5238095238083</v>
      </c>
      <c r="AJ96" s="100">
        <v>8.3333333333333339</v>
      </c>
      <c r="AK96" s="100">
        <v>5790</v>
      </c>
      <c r="AL96" s="100">
        <v>8.7931034482758612</v>
      </c>
      <c r="AM96" s="100">
        <v>6109.4482758620679</v>
      </c>
      <c r="AN96" s="100">
        <v>9</v>
      </c>
      <c r="AO96" s="100">
        <v>6253.2</v>
      </c>
      <c r="AP96" s="100">
        <v>11.12663755458515</v>
      </c>
      <c r="AQ96" s="100">
        <v>7730.7877729257616</v>
      </c>
      <c r="AR96" s="100">
        <v>7</v>
      </c>
      <c r="AS96" s="100">
        <v>4863.5999999999995</v>
      </c>
      <c r="AT96" s="100">
        <v>6</v>
      </c>
      <c r="AU96" s="100">
        <v>4168.7999999999993</v>
      </c>
      <c r="AV96" s="100">
        <v>2.7173913043478244</v>
      </c>
      <c r="AW96" s="100">
        <v>1888.0434782608684</v>
      </c>
      <c r="AX96" s="100">
        <v>1.5606168576697375E-21</v>
      </c>
      <c r="AY96" s="100">
        <v>1.0843165927089336E-18</v>
      </c>
      <c r="AZ96" s="100">
        <v>7.0489400474629167E-22</v>
      </c>
      <c r="BA96" s="100">
        <v>4.8976035449772345E-19</v>
      </c>
      <c r="BB96" s="100">
        <v>6.0089324994765851E-22</v>
      </c>
      <c r="BC96" s="100">
        <v>4.1750063006363313E-19</v>
      </c>
      <c r="BD96" s="100">
        <v>3.930259610960372</v>
      </c>
      <c r="BE96" s="100">
        <v>2730.7443776952664</v>
      </c>
      <c r="BF96" s="100">
        <v>9.3150684931506831</v>
      </c>
      <c r="BG96" s="100">
        <v>6472.1095890410943</v>
      </c>
      <c r="BH96" s="100">
        <v>8.8625592417061583</v>
      </c>
      <c r="BI96" s="100">
        <v>6157.7061611374384</v>
      </c>
      <c r="BJ96" s="100">
        <v>8.7553648068669521</v>
      </c>
      <c r="BK96" s="100">
        <v>6083.227467811158</v>
      </c>
      <c r="BL96" s="100">
        <v>4.6271915160379722</v>
      </c>
      <c r="BM96" s="100">
        <v>3214.9726653431831</v>
      </c>
      <c r="BN96" s="100">
        <v>9.9580192396302394</v>
      </c>
      <c r="BO96" s="100">
        <v>6918.8317676950901</v>
      </c>
      <c r="BP96" s="100">
        <v>5.9090392204665267</v>
      </c>
      <c r="BQ96" s="100">
        <v>4105.6004503801423</v>
      </c>
      <c r="BR96" s="100">
        <v>7</v>
      </c>
      <c r="BS96" s="100">
        <v>4863.5999999999995</v>
      </c>
      <c r="BT96" s="100">
        <v>7.9520511421461171</v>
      </c>
      <c r="BU96" s="100">
        <v>5525.0851335631214</v>
      </c>
      <c r="BV96" s="100">
        <v>10.85081704409976</v>
      </c>
      <c r="BW96" s="100">
        <v>7539.147682240512</v>
      </c>
      <c r="BX96" s="100">
        <v>12</v>
      </c>
      <c r="BY96" s="100">
        <v>8337.5999999999985</v>
      </c>
      <c r="BZ96" s="100">
        <v>8.0039899592458053</v>
      </c>
      <c r="CA96" s="100">
        <v>5561.1722236839851</v>
      </c>
      <c r="CB96" s="100">
        <v>9</v>
      </c>
      <c r="CC96" s="100">
        <v>6253.2</v>
      </c>
      <c r="CD96" s="100">
        <v>9</v>
      </c>
      <c r="CE96" s="100">
        <v>6253.2</v>
      </c>
      <c r="CF96" s="100">
        <v>10.185860261209964</v>
      </c>
      <c r="CG96" s="100">
        <v>7077.1357094886826</v>
      </c>
      <c r="CH96" s="100">
        <v>9.6226415094339615</v>
      </c>
      <c r="CI96" s="100">
        <v>6685.8113207547158</v>
      </c>
      <c r="CJ96" s="100">
        <v>4.5779660743779935</v>
      </c>
      <c r="CK96" s="100">
        <v>3180.7708284778296</v>
      </c>
      <c r="CL96" s="100">
        <v>8</v>
      </c>
      <c r="CM96" s="100">
        <v>5558.4</v>
      </c>
      <c r="CN96" s="100">
        <v>8.8959537572254312</v>
      </c>
      <c r="CO96" s="100">
        <v>6180.908670520229</v>
      </c>
      <c r="CP96" s="100">
        <v>9</v>
      </c>
      <c r="CQ96" s="100">
        <v>6253.2</v>
      </c>
      <c r="CR96" s="100">
        <v>11</v>
      </c>
      <c r="CS96" s="100">
        <v>7642.7999999999993</v>
      </c>
      <c r="CT96" s="100">
        <v>11.494254310577434</v>
      </c>
      <c r="CU96" s="100">
        <v>7986.2078949892002</v>
      </c>
    </row>
    <row r="97" spans="2:99">
      <c r="C97" s="99" t="s">
        <v>263</v>
      </c>
      <c r="D97" s="100">
        <v>9</v>
      </c>
      <c r="E97" s="100">
        <v>3531.6</v>
      </c>
      <c r="F97" s="100">
        <v>12.835385553748127</v>
      </c>
      <c r="G97" s="100">
        <v>5036.6052912907644</v>
      </c>
      <c r="H97" s="100">
        <v>4.9134810360839944</v>
      </c>
      <c r="I97" s="100">
        <v>1928.0499585593593</v>
      </c>
      <c r="J97" s="100">
        <v>7.9999999999999982</v>
      </c>
      <c r="K97" s="100">
        <v>3139.1999999999989</v>
      </c>
      <c r="L97" s="100">
        <v>8.0526315789473681</v>
      </c>
      <c r="M97" s="100">
        <v>3159.8526315789472</v>
      </c>
      <c r="N97" s="100">
        <v>11</v>
      </c>
      <c r="O97" s="100">
        <v>4316.3999999999996</v>
      </c>
      <c r="P97" s="100">
        <v>7.7685991586484606</v>
      </c>
      <c r="Q97" s="100">
        <v>3048.398309853656</v>
      </c>
      <c r="R97" s="100">
        <v>10.843164357369455</v>
      </c>
      <c r="S97" s="100">
        <v>4254.8576938317738</v>
      </c>
      <c r="T97" s="100">
        <v>8.6777996122871013</v>
      </c>
      <c r="U97" s="100">
        <v>3405.1685678614585</v>
      </c>
      <c r="V97" s="100">
        <v>7.0480058379405799</v>
      </c>
      <c r="W97" s="100">
        <v>2765.6374908078833</v>
      </c>
      <c r="X97" s="100">
        <v>11.944457043420126</v>
      </c>
      <c r="Y97" s="100">
        <v>4687.0049438380574</v>
      </c>
      <c r="Z97" s="100">
        <v>0</v>
      </c>
      <c r="AA97" s="100">
        <v>0</v>
      </c>
      <c r="AB97" s="100">
        <v>7</v>
      </c>
      <c r="AC97" s="100">
        <v>2746.7999999999997</v>
      </c>
      <c r="AD97" s="100">
        <v>9.7836538461539053</v>
      </c>
      <c r="AE97" s="100">
        <v>3839.1057692307922</v>
      </c>
      <c r="AF97" s="100">
        <v>7.9274611398963728</v>
      </c>
      <c r="AG97" s="100">
        <v>3110.7357512953363</v>
      </c>
      <c r="AH97" s="100">
        <v>8.0952380952380931</v>
      </c>
      <c r="AI97" s="100">
        <v>3176.5714285714275</v>
      </c>
      <c r="AJ97" s="100">
        <v>8.3333333333333339</v>
      </c>
      <c r="AK97" s="100">
        <v>3270</v>
      </c>
      <c r="AL97" s="100">
        <v>9.7701149425287337</v>
      </c>
      <c r="AM97" s="100">
        <v>3833.7931034482749</v>
      </c>
      <c r="AN97" s="100">
        <v>10</v>
      </c>
      <c r="AO97" s="100">
        <v>3924</v>
      </c>
      <c r="AP97" s="100">
        <v>11.12663755458515</v>
      </c>
      <c r="AQ97" s="100">
        <v>4366.0925764192125</v>
      </c>
      <c r="AR97" s="100">
        <v>6</v>
      </c>
      <c r="AS97" s="100">
        <v>2354.3999999999996</v>
      </c>
      <c r="AT97" s="100">
        <v>7</v>
      </c>
      <c r="AU97" s="100">
        <v>2746.7999999999997</v>
      </c>
      <c r="AV97" s="100">
        <v>2.7173913043478244</v>
      </c>
      <c r="AW97" s="100">
        <v>1066.3043478260863</v>
      </c>
      <c r="AX97" s="100">
        <v>1.4405694070797576E-21</v>
      </c>
      <c r="AY97" s="100">
        <v>5.6527943533809685E-19</v>
      </c>
      <c r="AZ97" s="100">
        <v>7.0489400474629167E-22</v>
      </c>
      <c r="BA97" s="100">
        <v>2.7660040746244481E-19</v>
      </c>
      <c r="BB97" s="100">
        <v>6.0089324994765851E-22</v>
      </c>
      <c r="BC97" s="100">
        <v>2.357905112794612E-19</v>
      </c>
      <c r="BD97" s="100">
        <v>4.3232855720564096</v>
      </c>
      <c r="BE97" s="100">
        <v>1696.4572584749351</v>
      </c>
      <c r="BF97" s="100">
        <v>10.867579908675797</v>
      </c>
      <c r="BG97" s="100">
        <v>4264.4383561643826</v>
      </c>
      <c r="BH97" s="100">
        <v>8.8625592417061583</v>
      </c>
      <c r="BI97" s="100">
        <v>3477.6682464454962</v>
      </c>
      <c r="BJ97" s="100">
        <v>8.7553648068669521</v>
      </c>
      <c r="BK97" s="100">
        <v>3435.605150214592</v>
      </c>
      <c r="BL97" s="100">
        <v>5.1413239067088581</v>
      </c>
      <c r="BM97" s="100">
        <v>2017.4555009925557</v>
      </c>
      <c r="BN97" s="100">
        <v>9.9580192396302394</v>
      </c>
      <c r="BO97" s="100">
        <v>3907.5267496309057</v>
      </c>
      <c r="BP97" s="100">
        <v>6.6476691230248424</v>
      </c>
      <c r="BQ97" s="100">
        <v>2608.5453638749482</v>
      </c>
      <c r="BR97" s="100">
        <v>8</v>
      </c>
      <c r="BS97" s="100">
        <v>3139.2</v>
      </c>
      <c r="BT97" s="100">
        <v>8.520054795156554</v>
      </c>
      <c r="BU97" s="100">
        <v>3343.2695016194316</v>
      </c>
      <c r="BV97" s="100">
        <v>9.9465822904247805</v>
      </c>
      <c r="BW97" s="100">
        <v>3903.0388907626834</v>
      </c>
      <c r="BX97" s="100">
        <v>11</v>
      </c>
      <c r="BY97" s="100">
        <v>4316.3999999999996</v>
      </c>
      <c r="BZ97" s="100">
        <v>8.0039899592458053</v>
      </c>
      <c r="CA97" s="100">
        <v>3140.7656600080536</v>
      </c>
      <c r="CB97" s="100">
        <v>8</v>
      </c>
      <c r="CC97" s="100">
        <v>3139.2</v>
      </c>
      <c r="CD97" s="100">
        <v>9</v>
      </c>
      <c r="CE97" s="100">
        <v>3531.6</v>
      </c>
      <c r="CF97" s="100">
        <v>12.037834854157232</v>
      </c>
      <c r="CG97" s="100">
        <v>4723.646396771298</v>
      </c>
      <c r="CH97" s="100">
        <v>9.6226415094339615</v>
      </c>
      <c r="CI97" s="100">
        <v>3775.9245283018863</v>
      </c>
      <c r="CJ97" s="100">
        <v>5.0866289715311037</v>
      </c>
      <c r="CK97" s="100">
        <v>1995.993208428805</v>
      </c>
      <c r="CL97" s="100">
        <v>7</v>
      </c>
      <c r="CM97" s="100">
        <v>2746.7999999999997</v>
      </c>
      <c r="CN97" s="100">
        <v>9.8843930635838113</v>
      </c>
      <c r="CO97" s="100">
        <v>3878.6358381502873</v>
      </c>
      <c r="CP97" s="100">
        <v>8</v>
      </c>
      <c r="CQ97" s="100">
        <v>3139.2</v>
      </c>
      <c r="CR97" s="100">
        <v>12</v>
      </c>
      <c r="CS97" s="100">
        <v>4708.7999999999993</v>
      </c>
      <c r="CT97" s="100">
        <v>11.494254310577434</v>
      </c>
      <c r="CU97" s="100">
        <v>4510.3453914705851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10.860710853171492</v>
      </c>
      <c r="G98" s="100">
        <v>5708.3896244269363</v>
      </c>
      <c r="H98" s="100">
        <v>5.5276661655944945</v>
      </c>
      <c r="I98" s="100">
        <v>2905.3413366364666</v>
      </c>
      <c r="J98" s="100">
        <v>7.9999999999999982</v>
      </c>
      <c r="K98" s="100">
        <v>4204.7999999999993</v>
      </c>
      <c r="L98" s="100">
        <v>8.0526315789473681</v>
      </c>
      <c r="M98" s="100">
        <v>4232.4631578947365</v>
      </c>
      <c r="N98" s="100">
        <v>11</v>
      </c>
      <c r="O98" s="100">
        <v>5781.6</v>
      </c>
      <c r="P98" s="100">
        <v>7.7685991586484606</v>
      </c>
      <c r="Q98" s="100">
        <v>4083.1757177856312</v>
      </c>
      <c r="R98" s="100">
        <v>10.009074791417959</v>
      </c>
      <c r="S98" s="100">
        <v>5260.769710369279</v>
      </c>
      <c r="T98" s="100">
        <v>8.6777996122871013</v>
      </c>
      <c r="U98" s="100">
        <v>4561.051476218101</v>
      </c>
      <c r="V98" s="100">
        <v>6.4606720181121986</v>
      </c>
      <c r="W98" s="100">
        <v>3395.7292127197716</v>
      </c>
      <c r="X98" s="100">
        <v>10.949085623135115</v>
      </c>
      <c r="Y98" s="100">
        <v>5754.8394035198171</v>
      </c>
      <c r="Z98" s="100">
        <v>0</v>
      </c>
      <c r="AA98" s="100">
        <v>0</v>
      </c>
      <c r="AB98" s="100">
        <v>6</v>
      </c>
      <c r="AC98" s="100">
        <v>3153.6000000000004</v>
      </c>
      <c r="AD98" s="100">
        <v>9.7836538461539053</v>
      </c>
      <c r="AE98" s="100">
        <v>5142.2884615384928</v>
      </c>
      <c r="AF98" s="100">
        <v>8.8082901554404138</v>
      </c>
      <c r="AG98" s="100">
        <v>4629.6373056994817</v>
      </c>
      <c r="AH98" s="100">
        <v>8.0952380952380931</v>
      </c>
      <c r="AI98" s="100">
        <v>4254.8571428571422</v>
      </c>
      <c r="AJ98" s="100">
        <v>10</v>
      </c>
      <c r="AK98" s="100">
        <v>5256</v>
      </c>
      <c r="AL98" s="100">
        <v>9.7701149425287337</v>
      </c>
      <c r="AM98" s="100">
        <v>5135.1724137931024</v>
      </c>
      <c r="AN98" s="100">
        <v>10</v>
      </c>
      <c r="AO98" s="100">
        <v>5256</v>
      </c>
      <c r="AP98" s="100">
        <v>10.33187772925764</v>
      </c>
      <c r="AQ98" s="100">
        <v>5430.4349344978154</v>
      </c>
      <c r="AR98" s="100">
        <v>7</v>
      </c>
      <c r="AS98" s="100">
        <v>3679.2000000000003</v>
      </c>
      <c r="AT98" s="100">
        <v>7</v>
      </c>
      <c r="AU98" s="100">
        <v>3679.2000000000003</v>
      </c>
      <c r="AV98" s="100">
        <v>2.9891304347826071</v>
      </c>
      <c r="AW98" s="100">
        <v>1571.0869565217383</v>
      </c>
      <c r="AX98" s="100">
        <v>1.5606168576697375E-21</v>
      </c>
      <c r="AY98" s="100">
        <v>8.2026022039121404E-19</v>
      </c>
      <c r="AZ98" s="100">
        <v>7.0489400474629167E-22</v>
      </c>
      <c r="BA98" s="100">
        <v>3.7049228889465091E-19</v>
      </c>
      <c r="BB98" s="100">
        <v>6.7600490619111576E-22</v>
      </c>
      <c r="BC98" s="100">
        <v>3.5530817869405048E-19</v>
      </c>
      <c r="BD98" s="100">
        <v>3.930259610960372</v>
      </c>
      <c r="BE98" s="100">
        <v>2065.7444515207717</v>
      </c>
      <c r="BF98" s="100">
        <v>10.09132420091324</v>
      </c>
      <c r="BG98" s="100">
        <v>5303.9999999999991</v>
      </c>
      <c r="BH98" s="100">
        <v>8.8625592417061583</v>
      </c>
      <c r="BI98" s="100">
        <v>4658.1611374407566</v>
      </c>
      <c r="BJ98" s="100">
        <v>8.7553648068669521</v>
      </c>
      <c r="BK98" s="100">
        <v>4601.8197424892705</v>
      </c>
      <c r="BL98" s="100">
        <v>4.6271915160379722</v>
      </c>
      <c r="BM98" s="100">
        <v>2432.0518608295583</v>
      </c>
      <c r="BN98" s="100">
        <v>9.0527447633002183</v>
      </c>
      <c r="BO98" s="100">
        <v>4758.1226475905951</v>
      </c>
      <c r="BP98" s="100">
        <v>6.6476691230248424</v>
      </c>
      <c r="BQ98" s="100">
        <v>3494.0148910618573</v>
      </c>
      <c r="BR98" s="100">
        <v>8</v>
      </c>
      <c r="BS98" s="100">
        <v>4204.8</v>
      </c>
      <c r="BT98" s="100">
        <v>7.3840474891356802</v>
      </c>
      <c r="BU98" s="100">
        <v>3881.0553602897135</v>
      </c>
      <c r="BV98" s="100">
        <v>10.85081704409976</v>
      </c>
      <c r="BW98" s="100">
        <v>5703.189438378834</v>
      </c>
      <c r="BX98" s="100">
        <v>10</v>
      </c>
      <c r="BY98" s="100">
        <v>5256</v>
      </c>
      <c r="BZ98" s="100">
        <v>8.0039899592458053</v>
      </c>
      <c r="CA98" s="100">
        <v>4206.8971225795958</v>
      </c>
      <c r="CB98" s="100">
        <v>9</v>
      </c>
      <c r="CC98" s="100">
        <v>4730.4000000000005</v>
      </c>
      <c r="CD98" s="100">
        <v>9</v>
      </c>
      <c r="CE98" s="100">
        <v>4730.4000000000005</v>
      </c>
      <c r="CF98" s="100">
        <v>12.037834854157232</v>
      </c>
      <c r="CG98" s="100">
        <v>6327.0859993450413</v>
      </c>
      <c r="CH98" s="100">
        <v>9.6226415094339615</v>
      </c>
      <c r="CI98" s="100">
        <v>5057.6603773584902</v>
      </c>
      <c r="CJ98" s="100">
        <v>4.0693031772248833</v>
      </c>
      <c r="CK98" s="100">
        <v>2138.8257499493989</v>
      </c>
      <c r="CL98" s="100">
        <v>8</v>
      </c>
      <c r="CM98" s="100">
        <v>4204.8</v>
      </c>
      <c r="CN98" s="100">
        <v>9.8843930635838113</v>
      </c>
      <c r="CO98" s="100">
        <v>5195.236994219651</v>
      </c>
      <c r="CP98" s="100">
        <v>7</v>
      </c>
      <c r="CQ98" s="100">
        <v>3679.2000000000003</v>
      </c>
      <c r="CR98" s="100">
        <v>14</v>
      </c>
      <c r="CS98" s="100">
        <v>7358.4000000000005</v>
      </c>
      <c r="CT98" s="100">
        <v>10.610080902071479</v>
      </c>
      <c r="CU98" s="100">
        <v>5576.6585221287696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9.8733735028831742</v>
      </c>
      <c r="G99" s="100">
        <v>41551.105049533544</v>
      </c>
      <c r="H99" s="100">
        <v>4.9134810360839944</v>
      </c>
      <c r="I99" s="100">
        <v>20677.893592255881</v>
      </c>
      <c r="J99" s="100">
        <v>6.9999999999999991</v>
      </c>
      <c r="K99" s="100">
        <v>29458.799999999992</v>
      </c>
      <c r="L99" s="100">
        <v>6.2631578947368407</v>
      </c>
      <c r="M99" s="100">
        <v>26357.873684210517</v>
      </c>
      <c r="N99" s="100">
        <v>8</v>
      </c>
      <c r="O99" s="100">
        <v>33667.199999999997</v>
      </c>
      <c r="P99" s="100">
        <v>7.1710146079831949</v>
      </c>
      <c r="Q99" s="100">
        <v>30178.497876236474</v>
      </c>
      <c r="R99" s="100">
        <v>8.340895659514965</v>
      </c>
      <c r="S99" s="100">
        <v>35101.825293502778</v>
      </c>
      <c r="T99" s="100">
        <v>6.9422396898296821</v>
      </c>
      <c r="U99" s="100">
        <v>29215.721510679232</v>
      </c>
      <c r="V99" s="100">
        <v>5.2860043784554351</v>
      </c>
      <c r="W99" s="100">
        <v>22245.620826291852</v>
      </c>
      <c r="X99" s="100">
        <v>8.9583427825650954</v>
      </c>
      <c r="Y99" s="100">
        <v>37700.289766146947</v>
      </c>
      <c r="Z99" s="100">
        <v>0</v>
      </c>
      <c r="AA99" s="100">
        <v>0</v>
      </c>
      <c r="AB99" s="100">
        <v>6</v>
      </c>
      <c r="AC99" s="100">
        <v>25250.399999999998</v>
      </c>
      <c r="AD99" s="100">
        <v>7.1153846153846594</v>
      </c>
      <c r="AE99" s="100">
        <v>29944.384615384799</v>
      </c>
      <c r="AF99" s="100">
        <v>6.1658031088082899</v>
      </c>
      <c r="AG99" s="100">
        <v>25948.165803108805</v>
      </c>
      <c r="AH99" s="100">
        <v>7.1957671957671945</v>
      </c>
      <c r="AI99" s="100">
        <v>30282.666666666657</v>
      </c>
      <c r="AJ99" s="100">
        <v>8.3333333333333339</v>
      </c>
      <c r="AK99" s="100">
        <v>35070</v>
      </c>
      <c r="AL99" s="100">
        <v>7.816091954022987</v>
      </c>
      <c r="AM99" s="100">
        <v>32893.241379310333</v>
      </c>
      <c r="AN99" s="100">
        <v>7</v>
      </c>
      <c r="AO99" s="100">
        <v>29458.799999999996</v>
      </c>
      <c r="AP99" s="100">
        <v>7.9475982532751077</v>
      </c>
      <c r="AQ99" s="100">
        <v>33446.672489082957</v>
      </c>
      <c r="AR99" s="100">
        <v>5</v>
      </c>
      <c r="AS99" s="100">
        <v>21042</v>
      </c>
      <c r="AT99" s="100">
        <v>6</v>
      </c>
      <c r="AU99" s="100">
        <v>25250.399999999998</v>
      </c>
      <c r="AV99" s="100">
        <v>2.4456521739130421</v>
      </c>
      <c r="AW99" s="100">
        <v>10292.282608695645</v>
      </c>
      <c r="AX99" s="100">
        <v>1.2004745058997981E-21</v>
      </c>
      <c r="AY99" s="100">
        <v>5.05207691062871E-18</v>
      </c>
      <c r="AZ99" s="100">
        <v>4.9342580332240417E-22</v>
      </c>
      <c r="BA99" s="100">
        <v>2.0765331507020057E-18</v>
      </c>
      <c r="BB99" s="100">
        <v>5.2578159370420116E-22</v>
      </c>
      <c r="BC99" s="100">
        <v>2.2126992589447599E-18</v>
      </c>
      <c r="BD99" s="100">
        <v>3.1442076887682977</v>
      </c>
      <c r="BE99" s="100">
        <v>13232.083637412503</v>
      </c>
      <c r="BF99" s="100">
        <v>8.5388127853881262</v>
      </c>
      <c r="BG99" s="100">
        <v>35934.739726027386</v>
      </c>
      <c r="BH99" s="100">
        <v>7.2511848341232223</v>
      </c>
      <c r="BI99" s="100">
        <v>30515.886255924168</v>
      </c>
      <c r="BJ99" s="100">
        <v>8.7553648068669521</v>
      </c>
      <c r="BK99" s="100">
        <v>36846.077253218878</v>
      </c>
      <c r="BL99" s="100">
        <v>4.1130591253670863</v>
      </c>
      <c r="BM99" s="100">
        <v>17309.398023194844</v>
      </c>
      <c r="BN99" s="100">
        <v>8.1474702869701972</v>
      </c>
      <c r="BO99" s="100">
        <v>34287.813955685371</v>
      </c>
      <c r="BP99" s="100">
        <v>5.1704093179082102</v>
      </c>
      <c r="BQ99" s="100">
        <v>21759.150573484909</v>
      </c>
      <c r="BR99" s="100">
        <v>6</v>
      </c>
      <c r="BS99" s="100">
        <v>25250.399999999998</v>
      </c>
      <c r="BT99" s="100">
        <v>6.2480401831148065</v>
      </c>
      <c r="BU99" s="100">
        <v>26294.25230662035</v>
      </c>
      <c r="BV99" s="100">
        <v>9.0423475367497996</v>
      </c>
      <c r="BW99" s="100">
        <v>38053.815373657853</v>
      </c>
      <c r="BX99" s="100">
        <v>10</v>
      </c>
      <c r="BY99" s="100">
        <v>42084</v>
      </c>
      <c r="BZ99" s="100">
        <v>6.4031919673966442</v>
      </c>
      <c r="CA99" s="100">
        <v>26947.193075592037</v>
      </c>
      <c r="CB99" s="100">
        <v>8</v>
      </c>
      <c r="CC99" s="100">
        <v>33667.199999999997</v>
      </c>
      <c r="CD99" s="100">
        <v>7</v>
      </c>
      <c r="CE99" s="100">
        <v>29458.799999999996</v>
      </c>
      <c r="CF99" s="100">
        <v>10.185860261209964</v>
      </c>
      <c r="CG99" s="100">
        <v>42866.174323276005</v>
      </c>
      <c r="CH99" s="100">
        <v>8.8207547169811313</v>
      </c>
      <c r="CI99" s="100">
        <v>37121.264150943389</v>
      </c>
      <c r="CJ99" s="100">
        <v>4.0693031772248833</v>
      </c>
      <c r="CK99" s="100">
        <v>17125.255491033196</v>
      </c>
      <c r="CL99" s="100">
        <v>7</v>
      </c>
      <c r="CM99" s="100">
        <v>29458.799999999996</v>
      </c>
      <c r="CN99" s="100">
        <v>7.9075144508670494</v>
      </c>
      <c r="CO99" s="100">
        <v>33277.983815028885</v>
      </c>
      <c r="CP99" s="100">
        <v>7</v>
      </c>
      <c r="CQ99" s="100">
        <v>29458.799999999996</v>
      </c>
      <c r="CR99" s="100">
        <v>10</v>
      </c>
      <c r="CS99" s="100">
        <v>42084</v>
      </c>
      <c r="CT99" s="100">
        <v>9.7259074935655221</v>
      </c>
      <c r="CU99" s="100">
        <v>40930.509095921137</v>
      </c>
    </row>
    <row r="100" spans="2:99">
      <c r="C100" s="99" t="s">
        <v>266</v>
      </c>
      <c r="D100" s="100">
        <v>10</v>
      </c>
      <c r="E100" s="100">
        <v>3240</v>
      </c>
      <c r="F100" s="100">
        <v>11.848048203459809</v>
      </c>
      <c r="G100" s="100">
        <v>3838.7676179209784</v>
      </c>
      <c r="H100" s="100">
        <v>4.9134810360839944</v>
      </c>
      <c r="I100" s="100">
        <v>1591.9678556912143</v>
      </c>
      <c r="J100" s="100">
        <v>7.9999999999999982</v>
      </c>
      <c r="K100" s="100">
        <v>2591.9999999999995</v>
      </c>
      <c r="L100" s="100">
        <v>8.0526315789473681</v>
      </c>
      <c r="M100" s="100">
        <v>2609.0526315789471</v>
      </c>
      <c r="N100" s="100">
        <v>10</v>
      </c>
      <c r="O100" s="100">
        <v>3240</v>
      </c>
      <c r="P100" s="100">
        <v>7.7685991586484606</v>
      </c>
      <c r="Q100" s="100">
        <v>2517.0261274021013</v>
      </c>
      <c r="R100" s="100">
        <v>10.843164357369455</v>
      </c>
      <c r="S100" s="100">
        <v>3513.1852517877032</v>
      </c>
      <c r="T100" s="100">
        <v>7.8100196510583917</v>
      </c>
      <c r="U100" s="100">
        <v>2530.4463669429188</v>
      </c>
      <c r="V100" s="100">
        <v>6.4606720181121986</v>
      </c>
      <c r="W100" s="100">
        <v>2093.2577338683523</v>
      </c>
      <c r="X100" s="100">
        <v>11.944457043420126</v>
      </c>
      <c r="Y100" s="100">
        <v>3870.0040820681206</v>
      </c>
      <c r="Z100" s="100">
        <v>0</v>
      </c>
      <c r="AA100" s="100">
        <v>0</v>
      </c>
      <c r="AB100" s="100">
        <v>6</v>
      </c>
      <c r="AC100" s="100">
        <v>1944</v>
      </c>
      <c r="AD100" s="100">
        <v>9.7836538461539053</v>
      </c>
      <c r="AE100" s="100">
        <v>3169.9038461538653</v>
      </c>
      <c r="AF100" s="100">
        <v>8.8082901554404138</v>
      </c>
      <c r="AG100" s="100">
        <v>2853.8860103626939</v>
      </c>
      <c r="AH100" s="100">
        <v>8.0952380952380931</v>
      </c>
      <c r="AI100" s="100">
        <v>2622.8571428571422</v>
      </c>
      <c r="AJ100" s="100">
        <v>8.3333333333333339</v>
      </c>
      <c r="AK100" s="100">
        <v>2700</v>
      </c>
      <c r="AL100" s="100">
        <v>9.7701149425287337</v>
      </c>
      <c r="AM100" s="100">
        <v>3165.5172413793098</v>
      </c>
      <c r="AN100" s="100">
        <v>9</v>
      </c>
      <c r="AO100" s="100">
        <v>2916</v>
      </c>
      <c r="AP100" s="100">
        <v>9.5371179039301293</v>
      </c>
      <c r="AQ100" s="100">
        <v>3090.0262008733621</v>
      </c>
      <c r="AR100" s="100">
        <v>7</v>
      </c>
      <c r="AS100" s="100">
        <v>2268</v>
      </c>
      <c r="AT100" s="100">
        <v>8</v>
      </c>
      <c r="AU100" s="100">
        <v>2592</v>
      </c>
      <c r="AV100" s="100">
        <v>2.9891304347826071</v>
      </c>
      <c r="AW100" s="100">
        <v>968.47826086956468</v>
      </c>
      <c r="AX100" s="100">
        <v>1.320521956489778E-21</v>
      </c>
      <c r="AY100" s="100">
        <v>4.2784911390268809E-19</v>
      </c>
      <c r="AZ100" s="100">
        <v>6.3440460427166259E-22</v>
      </c>
      <c r="BA100" s="100">
        <v>2.0554709178401869E-19</v>
      </c>
      <c r="BB100" s="100">
        <v>6.0089324994765851E-22</v>
      </c>
      <c r="BC100" s="100">
        <v>1.9468941298304137E-19</v>
      </c>
      <c r="BD100" s="100">
        <v>3.930259610960372</v>
      </c>
      <c r="BE100" s="100">
        <v>1273.4041139511605</v>
      </c>
      <c r="BF100" s="100">
        <v>9.3150684931506831</v>
      </c>
      <c r="BG100" s="100">
        <v>3018.0821917808212</v>
      </c>
      <c r="BH100" s="100">
        <v>8.0568720379146903</v>
      </c>
      <c r="BI100" s="100">
        <v>2610.4265402843598</v>
      </c>
      <c r="BJ100" s="100">
        <v>9.4849785407725307</v>
      </c>
      <c r="BK100" s="100">
        <v>3073.1330472103</v>
      </c>
      <c r="BL100" s="100">
        <v>4.6271915160379722</v>
      </c>
      <c r="BM100" s="100">
        <v>1499.2100511963031</v>
      </c>
      <c r="BN100" s="100">
        <v>9.0527447633002183</v>
      </c>
      <c r="BO100" s="100">
        <v>2933.0893033092707</v>
      </c>
      <c r="BP100" s="100">
        <v>6.6476691230248424</v>
      </c>
      <c r="BQ100" s="100">
        <v>2153.8447958600491</v>
      </c>
      <c r="BR100" s="100">
        <v>8</v>
      </c>
      <c r="BS100" s="100">
        <v>2592</v>
      </c>
      <c r="BT100" s="100">
        <v>8.520054795156554</v>
      </c>
      <c r="BU100" s="100">
        <v>2760.4977536307233</v>
      </c>
      <c r="BV100" s="100">
        <v>11.75505179777474</v>
      </c>
      <c r="BW100" s="100">
        <v>3808.6367824790159</v>
      </c>
      <c r="BX100" s="100">
        <v>12</v>
      </c>
      <c r="BY100" s="100">
        <v>3888</v>
      </c>
      <c r="BZ100" s="100">
        <v>8.0039899592458053</v>
      </c>
      <c r="CA100" s="100">
        <v>2593.2927467956411</v>
      </c>
      <c r="CB100" s="100">
        <v>10</v>
      </c>
      <c r="CC100" s="100">
        <v>3240</v>
      </c>
      <c r="CD100" s="100">
        <v>10</v>
      </c>
      <c r="CE100" s="100">
        <v>3240</v>
      </c>
      <c r="CF100" s="100">
        <v>12.963822150630865</v>
      </c>
      <c r="CG100" s="100">
        <v>4200.2783768044001</v>
      </c>
      <c r="CH100" s="100">
        <v>9.6226415094339615</v>
      </c>
      <c r="CI100" s="100">
        <v>3117.7358490566035</v>
      </c>
      <c r="CJ100" s="100">
        <v>4.5779660743779935</v>
      </c>
      <c r="CK100" s="100">
        <v>1483.2610080984698</v>
      </c>
      <c r="CL100" s="100">
        <v>8</v>
      </c>
      <c r="CM100" s="100">
        <v>2592</v>
      </c>
      <c r="CN100" s="100">
        <v>9.8843930635838113</v>
      </c>
      <c r="CO100" s="100">
        <v>3202.5433526011548</v>
      </c>
      <c r="CP100" s="100">
        <v>8</v>
      </c>
      <c r="CQ100" s="100">
        <v>2592</v>
      </c>
      <c r="CR100" s="100">
        <v>12</v>
      </c>
      <c r="CS100" s="100">
        <v>3888</v>
      </c>
      <c r="CT100" s="100">
        <v>12.378427719083392</v>
      </c>
      <c r="CU100" s="100">
        <v>4010.6105809830192</v>
      </c>
    </row>
    <row r="101" spans="2:99">
      <c r="C101" s="99" t="s">
        <v>267</v>
      </c>
      <c r="D101" s="100">
        <v>8</v>
      </c>
      <c r="E101" s="100">
        <v>5788.8</v>
      </c>
      <c r="F101" s="100">
        <v>11.848048203459809</v>
      </c>
      <c r="G101" s="100">
        <v>8573.2476800235181</v>
      </c>
      <c r="H101" s="100">
        <v>4.9134810360839944</v>
      </c>
      <c r="I101" s="100">
        <v>3555.3948777103783</v>
      </c>
      <c r="J101" s="100">
        <v>6.9999999999999991</v>
      </c>
      <c r="K101" s="100">
        <v>5065.2</v>
      </c>
      <c r="L101" s="100">
        <v>8.0526315789473681</v>
      </c>
      <c r="M101" s="100">
        <v>5826.8842105263157</v>
      </c>
      <c r="N101" s="100">
        <v>9</v>
      </c>
      <c r="O101" s="100">
        <v>6512.4000000000005</v>
      </c>
      <c r="P101" s="100">
        <v>7.7685991586484606</v>
      </c>
      <c r="Q101" s="100">
        <v>5621.358351198026</v>
      </c>
      <c r="R101" s="100">
        <v>10.009074791417959</v>
      </c>
      <c r="S101" s="100">
        <v>7242.5665190700356</v>
      </c>
      <c r="T101" s="100">
        <v>7.8100196510583917</v>
      </c>
      <c r="U101" s="100">
        <v>5651.3302195058523</v>
      </c>
      <c r="V101" s="100">
        <v>7.6353396577689621</v>
      </c>
      <c r="W101" s="100">
        <v>5524.9317763616209</v>
      </c>
      <c r="X101" s="100">
        <v>10.949085623135115</v>
      </c>
      <c r="Y101" s="100">
        <v>7922.7583569005692</v>
      </c>
      <c r="Z101" s="100">
        <v>0</v>
      </c>
      <c r="AA101" s="100">
        <v>0</v>
      </c>
      <c r="AB101" s="100">
        <v>7</v>
      </c>
      <c r="AC101" s="100">
        <v>5065.2</v>
      </c>
      <c r="AD101" s="100">
        <v>8.8942307692308251</v>
      </c>
      <c r="AE101" s="100">
        <v>6435.8653846154257</v>
      </c>
      <c r="AF101" s="100">
        <v>7.9274611398963728</v>
      </c>
      <c r="AG101" s="100">
        <v>5736.3108808290153</v>
      </c>
      <c r="AH101" s="100">
        <v>8.0952380952380931</v>
      </c>
      <c r="AI101" s="100">
        <v>5857.7142857142844</v>
      </c>
      <c r="AJ101" s="100">
        <v>9.1666666666666679</v>
      </c>
      <c r="AK101" s="100">
        <v>6633.0000000000009</v>
      </c>
      <c r="AL101" s="100">
        <v>8.7931034482758612</v>
      </c>
      <c r="AM101" s="100">
        <v>6362.689655172413</v>
      </c>
      <c r="AN101" s="100">
        <v>10</v>
      </c>
      <c r="AO101" s="100">
        <v>7236</v>
      </c>
      <c r="AP101" s="100">
        <v>9.5371179039301293</v>
      </c>
      <c r="AQ101" s="100">
        <v>6901.0585152838421</v>
      </c>
      <c r="AR101" s="100">
        <v>6</v>
      </c>
      <c r="AS101" s="100">
        <v>4341.6000000000004</v>
      </c>
      <c r="AT101" s="100">
        <v>6</v>
      </c>
      <c r="AU101" s="100">
        <v>4341.6000000000004</v>
      </c>
      <c r="AV101" s="100">
        <v>2.9891304347826071</v>
      </c>
      <c r="AW101" s="100">
        <v>2162.9347826086946</v>
      </c>
      <c r="AX101" s="100">
        <v>1.4405694070797576E-21</v>
      </c>
      <c r="AY101" s="100">
        <v>1.0423960229629126E-18</v>
      </c>
      <c r="AZ101" s="100">
        <v>6.3440460427166259E-22</v>
      </c>
      <c r="BA101" s="100">
        <v>4.5905517165097509E-19</v>
      </c>
      <c r="BB101" s="100">
        <v>6.7600490619111576E-22</v>
      </c>
      <c r="BC101" s="100">
        <v>4.8915715011989136E-19</v>
      </c>
      <c r="BD101" s="100">
        <v>3.930259610960372</v>
      </c>
      <c r="BE101" s="100">
        <v>2843.9358544909251</v>
      </c>
      <c r="BF101" s="100">
        <v>10.867579908675797</v>
      </c>
      <c r="BG101" s="100">
        <v>7863.7808219178069</v>
      </c>
      <c r="BH101" s="100">
        <v>8.0568720379146903</v>
      </c>
      <c r="BI101" s="100">
        <v>5829.95260663507</v>
      </c>
      <c r="BJ101" s="100">
        <v>8.7553648068669521</v>
      </c>
      <c r="BK101" s="100">
        <v>6335.3819742489268</v>
      </c>
      <c r="BL101" s="100">
        <v>5.1413239067088581</v>
      </c>
      <c r="BM101" s="100">
        <v>3720.2619788945299</v>
      </c>
      <c r="BN101" s="100">
        <v>9.9580192396302394</v>
      </c>
      <c r="BO101" s="100">
        <v>7205.6227217964415</v>
      </c>
      <c r="BP101" s="100">
        <v>6.6476691230248424</v>
      </c>
      <c r="BQ101" s="100">
        <v>4810.2533774207759</v>
      </c>
      <c r="BR101" s="100">
        <v>8</v>
      </c>
      <c r="BS101" s="100">
        <v>5788.8</v>
      </c>
      <c r="BT101" s="100">
        <v>7.9520511421461171</v>
      </c>
      <c r="BU101" s="100">
        <v>5754.1042064569301</v>
      </c>
      <c r="BV101" s="100">
        <v>10.85081704409976</v>
      </c>
      <c r="BW101" s="100">
        <v>7851.6512131105865</v>
      </c>
      <c r="BX101" s="100">
        <v>11</v>
      </c>
      <c r="BY101" s="100">
        <v>7959.6</v>
      </c>
      <c r="BZ101" s="100">
        <v>8.8043889551703849</v>
      </c>
      <c r="CA101" s="100">
        <v>6370.8558479612911</v>
      </c>
      <c r="CB101" s="100">
        <v>8</v>
      </c>
      <c r="CC101" s="100">
        <v>5788.8</v>
      </c>
      <c r="CD101" s="100">
        <v>10</v>
      </c>
      <c r="CE101" s="100">
        <v>7236</v>
      </c>
      <c r="CF101" s="100">
        <v>11.111847557683598</v>
      </c>
      <c r="CG101" s="100">
        <v>8040.5328927398514</v>
      </c>
      <c r="CH101" s="100">
        <v>9.6226415094339615</v>
      </c>
      <c r="CI101" s="100">
        <v>6962.9433962264147</v>
      </c>
      <c r="CJ101" s="100">
        <v>4.0693031772248833</v>
      </c>
      <c r="CK101" s="100">
        <v>2944.5477790399254</v>
      </c>
      <c r="CL101" s="100">
        <v>7</v>
      </c>
      <c r="CM101" s="100">
        <v>5065.2</v>
      </c>
      <c r="CN101" s="100">
        <v>8.8959537572254312</v>
      </c>
      <c r="CO101" s="100">
        <v>6437.112138728322</v>
      </c>
      <c r="CP101" s="100">
        <v>7</v>
      </c>
      <c r="CQ101" s="100">
        <v>5065.2</v>
      </c>
      <c r="CR101" s="100">
        <v>13</v>
      </c>
      <c r="CS101" s="100">
        <v>9406.8000000000011</v>
      </c>
      <c r="CT101" s="100">
        <v>9.7259074935655221</v>
      </c>
      <c r="CU101" s="100">
        <v>7037.6666623440124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10.860710853171492</v>
      </c>
      <c r="G102" s="100">
        <v>5773.5538895459649</v>
      </c>
      <c r="H102" s="100">
        <v>4.9134810360839944</v>
      </c>
      <c r="I102" s="100">
        <v>2612.0065187822515</v>
      </c>
      <c r="J102" s="100">
        <v>7.9999999999999982</v>
      </c>
      <c r="K102" s="100">
        <v>4252.7999999999993</v>
      </c>
      <c r="L102" s="100">
        <v>8.9473684210526301</v>
      </c>
      <c r="M102" s="100">
        <v>4756.4210526315783</v>
      </c>
      <c r="N102" s="100">
        <v>10</v>
      </c>
      <c r="O102" s="100">
        <v>5316</v>
      </c>
      <c r="P102" s="100">
        <v>8.3661837093137272</v>
      </c>
      <c r="Q102" s="100">
        <v>4447.4632598711778</v>
      </c>
      <c r="R102" s="100">
        <v>10.009074791417959</v>
      </c>
      <c r="S102" s="100">
        <v>5320.8241591177875</v>
      </c>
      <c r="T102" s="100">
        <v>7.8100196510583917</v>
      </c>
      <c r="U102" s="100">
        <v>4151.8064465026409</v>
      </c>
      <c r="V102" s="100">
        <v>7.6353396577689621</v>
      </c>
      <c r="W102" s="100">
        <v>4058.9465620699802</v>
      </c>
      <c r="X102" s="100">
        <v>11.944457043420126</v>
      </c>
      <c r="Y102" s="100">
        <v>6349.6733642821391</v>
      </c>
      <c r="Z102" s="100">
        <v>0</v>
      </c>
      <c r="AA102" s="100">
        <v>0</v>
      </c>
      <c r="AB102" s="100">
        <v>6</v>
      </c>
      <c r="AC102" s="100">
        <v>3189.6000000000004</v>
      </c>
      <c r="AD102" s="100">
        <v>8.0048076923077414</v>
      </c>
      <c r="AE102" s="100">
        <v>4255.3557692307959</v>
      </c>
      <c r="AF102" s="100">
        <v>7.9274611398963728</v>
      </c>
      <c r="AG102" s="100">
        <v>4214.2383419689122</v>
      </c>
      <c r="AH102" s="100">
        <v>8.0952380952380931</v>
      </c>
      <c r="AI102" s="100">
        <v>4303.4285714285706</v>
      </c>
      <c r="AJ102" s="100">
        <v>9.1666666666666679</v>
      </c>
      <c r="AK102" s="100">
        <v>4873.0000000000009</v>
      </c>
      <c r="AL102" s="100">
        <v>8.7931034482758612</v>
      </c>
      <c r="AM102" s="100">
        <v>4674.4137931034484</v>
      </c>
      <c r="AN102" s="100">
        <v>8</v>
      </c>
      <c r="AO102" s="100">
        <v>4252.8</v>
      </c>
      <c r="AP102" s="100">
        <v>11.12663755458515</v>
      </c>
      <c r="AQ102" s="100">
        <v>5914.9205240174661</v>
      </c>
      <c r="AR102" s="100">
        <v>7</v>
      </c>
      <c r="AS102" s="100">
        <v>3721.2000000000003</v>
      </c>
      <c r="AT102" s="100">
        <v>7</v>
      </c>
      <c r="AU102" s="100">
        <v>3721.2000000000003</v>
      </c>
      <c r="AV102" s="100">
        <v>2.7173913043478244</v>
      </c>
      <c r="AW102" s="100">
        <v>1444.5652173913036</v>
      </c>
      <c r="AX102" s="100">
        <v>1.5606168576697375E-21</v>
      </c>
      <c r="AY102" s="100">
        <v>8.2962392153723247E-19</v>
      </c>
      <c r="AZ102" s="100">
        <v>7.0489400474629167E-22</v>
      </c>
      <c r="BA102" s="100">
        <v>3.7472165292312867E-19</v>
      </c>
      <c r="BB102" s="100">
        <v>6.0089324994765851E-22</v>
      </c>
      <c r="BC102" s="100">
        <v>3.1943485167217526E-19</v>
      </c>
      <c r="BD102" s="100">
        <v>3.5372336498643349</v>
      </c>
      <c r="BE102" s="100">
        <v>1880.3934082678804</v>
      </c>
      <c r="BF102" s="100">
        <v>9.3150684931506831</v>
      </c>
      <c r="BG102" s="100">
        <v>4951.890410958903</v>
      </c>
      <c r="BH102" s="100">
        <v>8.0568720379146903</v>
      </c>
      <c r="BI102" s="100">
        <v>4283.0331753554492</v>
      </c>
      <c r="BJ102" s="100">
        <v>8.7553648068669521</v>
      </c>
      <c r="BK102" s="100">
        <v>4654.3519313304723</v>
      </c>
      <c r="BL102" s="100">
        <v>4.6271915160379722</v>
      </c>
      <c r="BM102" s="100">
        <v>2459.8150099257859</v>
      </c>
      <c r="BN102" s="100">
        <v>9.0527447633002183</v>
      </c>
      <c r="BO102" s="100">
        <v>4812.4391161703961</v>
      </c>
      <c r="BP102" s="100">
        <v>6.6476691230248424</v>
      </c>
      <c r="BQ102" s="100">
        <v>3533.9009058000065</v>
      </c>
      <c r="BR102" s="100">
        <v>8</v>
      </c>
      <c r="BS102" s="100">
        <v>4252.8</v>
      </c>
      <c r="BT102" s="100">
        <v>7.3840474891356802</v>
      </c>
      <c r="BU102" s="100">
        <v>3925.3596452245279</v>
      </c>
      <c r="BV102" s="100">
        <v>11.75505179777474</v>
      </c>
      <c r="BW102" s="100">
        <v>6248.985535697052</v>
      </c>
      <c r="BX102" s="100">
        <v>12</v>
      </c>
      <c r="BY102" s="100">
        <v>6379.2000000000007</v>
      </c>
      <c r="BZ102" s="100">
        <v>8.8043889551703849</v>
      </c>
      <c r="CA102" s="100">
        <v>4680.413168568577</v>
      </c>
      <c r="CB102" s="100">
        <v>9</v>
      </c>
      <c r="CC102" s="100">
        <v>4784.4000000000005</v>
      </c>
      <c r="CD102" s="100">
        <v>9</v>
      </c>
      <c r="CE102" s="100">
        <v>4784.4000000000005</v>
      </c>
      <c r="CF102" s="100">
        <v>11.111847557683598</v>
      </c>
      <c r="CG102" s="100">
        <v>5907.0581616646014</v>
      </c>
      <c r="CH102" s="100">
        <v>10.424528301886792</v>
      </c>
      <c r="CI102" s="100">
        <v>5541.6792452830186</v>
      </c>
      <c r="CJ102" s="100">
        <v>4.0693031772248833</v>
      </c>
      <c r="CK102" s="100">
        <v>2163.2415690127482</v>
      </c>
      <c r="CL102" s="100">
        <v>8</v>
      </c>
      <c r="CM102" s="100">
        <v>4252.8</v>
      </c>
      <c r="CN102" s="100">
        <v>8.8959537572254312</v>
      </c>
      <c r="CO102" s="100">
        <v>4729.0890173410398</v>
      </c>
      <c r="CP102" s="100">
        <v>8</v>
      </c>
      <c r="CQ102" s="100">
        <v>4252.8</v>
      </c>
      <c r="CR102" s="100">
        <v>14</v>
      </c>
      <c r="CS102" s="100">
        <v>7442.4000000000005</v>
      </c>
      <c r="CT102" s="100">
        <v>10.610080902071479</v>
      </c>
      <c r="CU102" s="100">
        <v>5640.3190075411985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10.860710853171492</v>
      </c>
      <c r="G103" s="100">
        <v>6399.1308346886426</v>
      </c>
      <c r="H103" s="100">
        <v>4.9134810360839944</v>
      </c>
      <c r="I103" s="100">
        <v>2895.0230264606894</v>
      </c>
      <c r="J103" s="100">
        <v>6.9999999999999991</v>
      </c>
      <c r="K103" s="100">
        <v>4124.3999999999987</v>
      </c>
      <c r="L103" s="100">
        <v>8.0526315789473681</v>
      </c>
      <c r="M103" s="100">
        <v>4744.6105263157888</v>
      </c>
      <c r="N103" s="100">
        <v>11</v>
      </c>
      <c r="O103" s="100">
        <v>6481.1999999999989</v>
      </c>
      <c r="P103" s="100">
        <v>7.1710146079831949</v>
      </c>
      <c r="Q103" s="100">
        <v>4225.1618070236982</v>
      </c>
      <c r="R103" s="100">
        <v>9.174985225466461</v>
      </c>
      <c r="S103" s="100">
        <v>5405.901294844838</v>
      </c>
      <c r="T103" s="100">
        <v>8.6777996122871013</v>
      </c>
      <c r="U103" s="100">
        <v>5112.9595315595598</v>
      </c>
      <c r="V103" s="100">
        <v>7.0480058379405799</v>
      </c>
      <c r="W103" s="100">
        <v>4152.685039714589</v>
      </c>
      <c r="X103" s="100">
        <v>11.944457043420126</v>
      </c>
      <c r="Y103" s="100">
        <v>7037.6740899831375</v>
      </c>
      <c r="Z103" s="100">
        <v>0</v>
      </c>
      <c r="AA103" s="100">
        <v>0</v>
      </c>
      <c r="AB103" s="100">
        <v>7</v>
      </c>
      <c r="AC103" s="100">
        <v>4124.3999999999996</v>
      </c>
      <c r="AD103" s="100">
        <v>8.0048076923077414</v>
      </c>
      <c r="AE103" s="100">
        <v>4716.4326923077206</v>
      </c>
      <c r="AF103" s="100">
        <v>7.9274611398963728</v>
      </c>
      <c r="AG103" s="100">
        <v>4670.860103626942</v>
      </c>
      <c r="AH103" s="100">
        <v>8.9947089947089935</v>
      </c>
      <c r="AI103" s="100">
        <v>5299.6825396825379</v>
      </c>
      <c r="AJ103" s="100">
        <v>9.1666666666666679</v>
      </c>
      <c r="AK103" s="100">
        <v>5401</v>
      </c>
      <c r="AL103" s="100">
        <v>8.7931034482758612</v>
      </c>
      <c r="AM103" s="100">
        <v>5180.8965517241368</v>
      </c>
      <c r="AN103" s="100">
        <v>8</v>
      </c>
      <c r="AO103" s="100">
        <v>4713.5999999999995</v>
      </c>
      <c r="AP103" s="100">
        <v>11.12663755458515</v>
      </c>
      <c r="AQ103" s="100">
        <v>6555.8148471615696</v>
      </c>
      <c r="AR103" s="100">
        <v>7</v>
      </c>
      <c r="AS103" s="100">
        <v>4124.3999999999996</v>
      </c>
      <c r="AT103" s="100">
        <v>7</v>
      </c>
      <c r="AU103" s="100">
        <v>4124.3999999999996</v>
      </c>
      <c r="AV103" s="100">
        <v>2.9891304347826071</v>
      </c>
      <c r="AW103" s="100">
        <v>1761.1956521739119</v>
      </c>
      <c r="AX103" s="100">
        <v>1.4405694070797576E-21</v>
      </c>
      <c r="AY103" s="100">
        <v>8.4878349465139309E-19</v>
      </c>
      <c r="AZ103" s="100">
        <v>7.0489400474629167E-22</v>
      </c>
      <c r="BA103" s="100">
        <v>4.1532354759651499E-19</v>
      </c>
      <c r="BB103" s="100">
        <v>5.2578159370420116E-22</v>
      </c>
      <c r="BC103" s="100">
        <v>3.0979051501051531E-19</v>
      </c>
      <c r="BD103" s="100">
        <v>3.930259610960372</v>
      </c>
      <c r="BE103" s="100">
        <v>2315.708962777851</v>
      </c>
      <c r="BF103" s="100">
        <v>10.867579908675797</v>
      </c>
      <c r="BG103" s="100">
        <v>6403.1780821917791</v>
      </c>
      <c r="BH103" s="100">
        <v>8.8625592417061583</v>
      </c>
      <c r="BI103" s="100">
        <v>5221.8199052132677</v>
      </c>
      <c r="BJ103" s="100">
        <v>9.4849785407725307</v>
      </c>
      <c r="BK103" s="100">
        <v>5588.5493562231741</v>
      </c>
      <c r="BL103" s="100">
        <v>4.6271915160379722</v>
      </c>
      <c r="BM103" s="100">
        <v>2726.3412412495727</v>
      </c>
      <c r="BN103" s="100">
        <v>9.0527447633002183</v>
      </c>
      <c r="BO103" s="100">
        <v>5333.8772145364883</v>
      </c>
      <c r="BP103" s="100">
        <v>5.9090392204665267</v>
      </c>
      <c r="BQ103" s="100">
        <v>3481.6059086988771</v>
      </c>
      <c r="BR103" s="100">
        <v>7</v>
      </c>
      <c r="BS103" s="100">
        <v>4124.3999999999996</v>
      </c>
      <c r="BT103" s="100">
        <v>7.9520511421461171</v>
      </c>
      <c r="BU103" s="100">
        <v>4685.348532952492</v>
      </c>
      <c r="BV103" s="100">
        <v>10.85081704409976</v>
      </c>
      <c r="BW103" s="100">
        <v>6393.3014023835776</v>
      </c>
      <c r="BX103" s="100">
        <v>11</v>
      </c>
      <c r="BY103" s="100">
        <v>6481.1999999999989</v>
      </c>
      <c r="BZ103" s="100">
        <v>8.8043889551703849</v>
      </c>
      <c r="CA103" s="100">
        <v>5187.5459723863905</v>
      </c>
      <c r="CB103" s="100">
        <v>9</v>
      </c>
      <c r="CC103" s="100">
        <v>5302.7999999999993</v>
      </c>
      <c r="CD103" s="100">
        <v>9</v>
      </c>
      <c r="CE103" s="100">
        <v>5302.7999999999993</v>
      </c>
      <c r="CF103" s="100">
        <v>11.111847557683598</v>
      </c>
      <c r="CG103" s="100">
        <v>6547.1005809871749</v>
      </c>
      <c r="CH103" s="100">
        <v>10.424528301886792</v>
      </c>
      <c r="CI103" s="100">
        <v>6142.1320754716971</v>
      </c>
      <c r="CJ103" s="100">
        <v>4.0693031772248833</v>
      </c>
      <c r="CK103" s="100">
        <v>2397.6334320209012</v>
      </c>
      <c r="CL103" s="100">
        <v>7</v>
      </c>
      <c r="CM103" s="100">
        <v>4124.3999999999996</v>
      </c>
      <c r="CN103" s="100">
        <v>9.8843930635838113</v>
      </c>
      <c r="CO103" s="100">
        <v>5823.8843930635812</v>
      </c>
      <c r="CP103" s="100">
        <v>8</v>
      </c>
      <c r="CQ103" s="100">
        <v>4713.5999999999995</v>
      </c>
      <c r="CR103" s="100">
        <v>14</v>
      </c>
      <c r="CS103" s="100">
        <v>8248.7999999999993</v>
      </c>
      <c r="CT103" s="100">
        <v>11.494254310577434</v>
      </c>
      <c r="CU103" s="100">
        <v>6772.4146397922232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10.860710853171492</v>
      </c>
      <c r="G104" s="100">
        <v>6868.3135435456516</v>
      </c>
      <c r="H104" s="100">
        <v>4.9134810360839944</v>
      </c>
      <c r="I104" s="100">
        <v>3107.2854072195178</v>
      </c>
      <c r="J104" s="100">
        <v>6.9999999999999991</v>
      </c>
      <c r="K104" s="100">
        <v>4426.7999999999993</v>
      </c>
      <c r="L104" s="100">
        <v>8.9473684210526301</v>
      </c>
      <c r="M104" s="100">
        <v>5658.3157894736833</v>
      </c>
      <c r="N104" s="100">
        <v>9</v>
      </c>
      <c r="O104" s="100">
        <v>5691.5999999999995</v>
      </c>
      <c r="P104" s="100">
        <v>7.1710146079831949</v>
      </c>
      <c r="Q104" s="100">
        <v>4534.9496380885721</v>
      </c>
      <c r="R104" s="100">
        <v>10.009074791417959</v>
      </c>
      <c r="S104" s="100">
        <v>6329.7388980927171</v>
      </c>
      <c r="T104" s="100">
        <v>8.6777996122871013</v>
      </c>
      <c r="U104" s="100">
        <v>5487.840474810363</v>
      </c>
      <c r="V104" s="100">
        <v>7.6353396577689621</v>
      </c>
      <c r="W104" s="100">
        <v>4828.5887995730918</v>
      </c>
      <c r="X104" s="100">
        <v>11.944457043420126</v>
      </c>
      <c r="Y104" s="100">
        <v>7553.6746342588876</v>
      </c>
      <c r="Z104" s="100">
        <v>0</v>
      </c>
      <c r="AA104" s="100">
        <v>0</v>
      </c>
      <c r="AB104" s="100">
        <v>7</v>
      </c>
      <c r="AC104" s="100">
        <v>4426.8</v>
      </c>
      <c r="AD104" s="100">
        <v>9.7836538461539053</v>
      </c>
      <c r="AE104" s="100">
        <v>6187.1826923077297</v>
      </c>
      <c r="AF104" s="100">
        <v>7.9274611398963728</v>
      </c>
      <c r="AG104" s="100">
        <v>5013.3264248704663</v>
      </c>
      <c r="AH104" s="100">
        <v>8.9947089947089935</v>
      </c>
      <c r="AI104" s="100">
        <v>5688.2539682539673</v>
      </c>
      <c r="AJ104" s="100">
        <v>8.3333333333333339</v>
      </c>
      <c r="AK104" s="100">
        <v>5270</v>
      </c>
      <c r="AL104" s="100">
        <v>7.816091954022987</v>
      </c>
      <c r="AM104" s="100">
        <v>4942.8965517241368</v>
      </c>
      <c r="AN104" s="100">
        <v>9</v>
      </c>
      <c r="AO104" s="100">
        <v>5691.5999999999995</v>
      </c>
      <c r="AP104" s="100">
        <v>11.12663755458515</v>
      </c>
      <c r="AQ104" s="100">
        <v>7036.4855895196488</v>
      </c>
      <c r="AR104" s="100">
        <v>7</v>
      </c>
      <c r="AS104" s="100">
        <v>4426.8</v>
      </c>
      <c r="AT104" s="100">
        <v>7</v>
      </c>
      <c r="AU104" s="100">
        <v>4426.8</v>
      </c>
      <c r="AV104" s="100">
        <v>2.7173913043478244</v>
      </c>
      <c r="AW104" s="100">
        <v>1718.4782608695641</v>
      </c>
      <c r="AX104" s="100">
        <v>1.5606168576697375E-21</v>
      </c>
      <c r="AY104" s="100">
        <v>9.8693410079034206E-19</v>
      </c>
      <c r="AZ104" s="100">
        <v>7.0489400474629167E-22</v>
      </c>
      <c r="BA104" s="100">
        <v>4.4577496860155482E-19</v>
      </c>
      <c r="BB104" s="100">
        <v>6.0089324994765851E-22</v>
      </c>
      <c r="BC104" s="100">
        <v>3.8000489126689921E-19</v>
      </c>
      <c r="BD104" s="100">
        <v>3.930259610960372</v>
      </c>
      <c r="BE104" s="100">
        <v>2485.496177971339</v>
      </c>
      <c r="BF104" s="100">
        <v>9.3150684931506831</v>
      </c>
      <c r="BG104" s="100">
        <v>5890.8493150684917</v>
      </c>
      <c r="BH104" s="100">
        <v>8.0568720379146903</v>
      </c>
      <c r="BI104" s="100">
        <v>5095.1658767772497</v>
      </c>
      <c r="BJ104" s="100">
        <v>9.4849785407725307</v>
      </c>
      <c r="BK104" s="100">
        <v>5998.3004291845482</v>
      </c>
      <c r="BL104" s="100">
        <v>5.1413239067088581</v>
      </c>
      <c r="BM104" s="100">
        <v>3251.3732386026818</v>
      </c>
      <c r="BN104" s="100">
        <v>9.9580192396302394</v>
      </c>
      <c r="BO104" s="100">
        <v>6297.4513671421628</v>
      </c>
      <c r="BP104" s="100">
        <v>5.9090392204665267</v>
      </c>
      <c r="BQ104" s="100">
        <v>3736.8764030230313</v>
      </c>
      <c r="BR104" s="100">
        <v>7</v>
      </c>
      <c r="BS104" s="100">
        <v>4426.8</v>
      </c>
      <c r="BT104" s="100">
        <v>7.3840474891356802</v>
      </c>
      <c r="BU104" s="100">
        <v>4669.6716321294043</v>
      </c>
      <c r="BV104" s="100">
        <v>9.9465822904247805</v>
      </c>
      <c r="BW104" s="100">
        <v>6290.2186404646309</v>
      </c>
      <c r="BX104" s="100">
        <v>11</v>
      </c>
      <c r="BY104" s="100">
        <v>6956.4</v>
      </c>
      <c r="BZ104" s="100">
        <v>8.8043889551703849</v>
      </c>
      <c r="CA104" s="100">
        <v>5567.8955752497513</v>
      </c>
      <c r="CB104" s="100">
        <v>9</v>
      </c>
      <c r="CC104" s="100">
        <v>5691.5999999999995</v>
      </c>
      <c r="CD104" s="100">
        <v>9</v>
      </c>
      <c r="CE104" s="100">
        <v>5691.5999999999995</v>
      </c>
      <c r="CF104" s="100">
        <v>12.037834854157232</v>
      </c>
      <c r="CG104" s="100">
        <v>7612.7267617690331</v>
      </c>
      <c r="CH104" s="100">
        <v>11.22641509433962</v>
      </c>
      <c r="CI104" s="100">
        <v>7099.5849056603756</v>
      </c>
      <c r="CJ104" s="100">
        <v>5.0866289715311037</v>
      </c>
      <c r="CK104" s="100">
        <v>3216.7841615962698</v>
      </c>
      <c r="CL104" s="100">
        <v>8</v>
      </c>
      <c r="CM104" s="100">
        <v>5059.2</v>
      </c>
      <c r="CN104" s="100">
        <v>9.8843930635838113</v>
      </c>
      <c r="CO104" s="100">
        <v>6250.890173410402</v>
      </c>
      <c r="CP104" s="100">
        <v>8</v>
      </c>
      <c r="CQ104" s="100">
        <v>5059.2</v>
      </c>
      <c r="CR104" s="100">
        <v>12</v>
      </c>
      <c r="CS104" s="100">
        <v>7588.7999999999993</v>
      </c>
      <c r="CT104" s="100">
        <v>10.610080902071479</v>
      </c>
      <c r="CU104" s="100">
        <v>6709.8151624700031</v>
      </c>
    </row>
    <row r="105" spans="2:99">
      <c r="C105" s="99" t="s">
        <v>271</v>
      </c>
      <c r="D105" s="100">
        <v>9</v>
      </c>
      <c r="E105" s="100">
        <v>5011.2</v>
      </c>
      <c r="F105" s="100">
        <v>10.860710853171492</v>
      </c>
      <c r="G105" s="100">
        <v>6047.2438030458861</v>
      </c>
      <c r="H105" s="100">
        <v>4.9134810360839944</v>
      </c>
      <c r="I105" s="100">
        <v>2735.826240891568</v>
      </c>
      <c r="J105" s="100">
        <v>7.9999999999999982</v>
      </c>
      <c r="K105" s="100">
        <v>4454.3999999999987</v>
      </c>
      <c r="L105" s="100">
        <v>8.0526315789473681</v>
      </c>
      <c r="M105" s="100">
        <v>4483.7052631578945</v>
      </c>
      <c r="N105" s="100">
        <v>10</v>
      </c>
      <c r="O105" s="100">
        <v>5568</v>
      </c>
      <c r="P105" s="100">
        <v>7.1710146079831949</v>
      </c>
      <c r="Q105" s="100">
        <v>3992.8209337250428</v>
      </c>
      <c r="R105" s="100">
        <v>10.009074791417959</v>
      </c>
      <c r="S105" s="100">
        <v>5573.0528438615192</v>
      </c>
      <c r="T105" s="100">
        <v>7.8100196510583917</v>
      </c>
      <c r="U105" s="100">
        <v>4348.6189417093119</v>
      </c>
      <c r="V105" s="100">
        <v>7.0480058379405799</v>
      </c>
      <c r="W105" s="100">
        <v>3924.3296505653148</v>
      </c>
      <c r="X105" s="100">
        <v>11.944457043420126</v>
      </c>
      <c r="Y105" s="100">
        <v>6650.6736817763258</v>
      </c>
      <c r="Z105" s="100">
        <v>0</v>
      </c>
      <c r="AA105" s="100">
        <v>0</v>
      </c>
      <c r="AB105" s="100">
        <v>6</v>
      </c>
      <c r="AC105" s="100">
        <v>3340.7999999999997</v>
      </c>
      <c r="AD105" s="100">
        <v>9.7836538461539053</v>
      </c>
      <c r="AE105" s="100">
        <v>5447.5384615384937</v>
      </c>
      <c r="AF105" s="100">
        <v>9.6891191709844566</v>
      </c>
      <c r="AG105" s="100">
        <v>5394.9015544041449</v>
      </c>
      <c r="AH105" s="100">
        <v>8.9947089947089935</v>
      </c>
      <c r="AI105" s="100">
        <v>5008.2539682539673</v>
      </c>
      <c r="AJ105" s="100">
        <v>10</v>
      </c>
      <c r="AK105" s="100">
        <v>5568</v>
      </c>
      <c r="AL105" s="100">
        <v>7.816091954022987</v>
      </c>
      <c r="AM105" s="100">
        <v>4351.9999999999991</v>
      </c>
      <c r="AN105" s="100">
        <v>9</v>
      </c>
      <c r="AO105" s="100">
        <v>5011.2</v>
      </c>
      <c r="AP105" s="100">
        <v>10.33187772925764</v>
      </c>
      <c r="AQ105" s="100">
        <v>5752.7895196506533</v>
      </c>
      <c r="AR105" s="100">
        <v>7</v>
      </c>
      <c r="AS105" s="100">
        <v>3897.5999999999995</v>
      </c>
      <c r="AT105" s="100">
        <v>7</v>
      </c>
      <c r="AU105" s="100">
        <v>3897.5999999999995</v>
      </c>
      <c r="AV105" s="100">
        <v>2.9891304347826071</v>
      </c>
      <c r="AW105" s="100">
        <v>1664.3478260869556</v>
      </c>
      <c r="AX105" s="100">
        <v>1.5606168576697375E-21</v>
      </c>
      <c r="AY105" s="100">
        <v>8.689514663505098E-19</v>
      </c>
      <c r="AZ105" s="100">
        <v>6.3440460427166259E-22</v>
      </c>
      <c r="BA105" s="100">
        <v>3.5323648365846172E-19</v>
      </c>
      <c r="BB105" s="100">
        <v>6.0089324994765851E-22</v>
      </c>
      <c r="BC105" s="100">
        <v>3.3457736157085624E-19</v>
      </c>
      <c r="BD105" s="100">
        <v>3.930259610960372</v>
      </c>
      <c r="BE105" s="100">
        <v>2188.3685513827349</v>
      </c>
      <c r="BF105" s="100">
        <v>9.3150684931506831</v>
      </c>
      <c r="BG105" s="100">
        <v>5186.6301369862995</v>
      </c>
      <c r="BH105" s="100">
        <v>8.8625592417061583</v>
      </c>
      <c r="BI105" s="100">
        <v>4934.6729857819882</v>
      </c>
      <c r="BJ105" s="100">
        <v>9.4849785407725307</v>
      </c>
      <c r="BK105" s="100">
        <v>5281.2360515021446</v>
      </c>
      <c r="BL105" s="100">
        <v>4.6271915160379722</v>
      </c>
      <c r="BM105" s="100">
        <v>2576.4202361299426</v>
      </c>
      <c r="BN105" s="100">
        <v>10.863293715960262</v>
      </c>
      <c r="BO105" s="100">
        <v>6048.6819410466733</v>
      </c>
      <c r="BP105" s="100">
        <v>5.9090392204665267</v>
      </c>
      <c r="BQ105" s="100">
        <v>3290.1530379557616</v>
      </c>
      <c r="BR105" s="100">
        <v>8</v>
      </c>
      <c r="BS105" s="100">
        <v>4454.3999999999996</v>
      </c>
      <c r="BT105" s="100">
        <v>7.9520511421461171</v>
      </c>
      <c r="BU105" s="100">
        <v>4427.7020759469578</v>
      </c>
      <c r="BV105" s="100">
        <v>11.75505179777474</v>
      </c>
      <c r="BW105" s="100">
        <v>6545.2128410009745</v>
      </c>
      <c r="BX105" s="100">
        <v>12</v>
      </c>
      <c r="BY105" s="100">
        <v>6681.5999999999995</v>
      </c>
      <c r="BZ105" s="100">
        <v>8.0039899592458053</v>
      </c>
      <c r="CA105" s="100">
        <v>4456.6216093080639</v>
      </c>
      <c r="CB105" s="100">
        <v>8</v>
      </c>
      <c r="CC105" s="100">
        <v>4454.3999999999996</v>
      </c>
      <c r="CD105" s="100">
        <v>10</v>
      </c>
      <c r="CE105" s="100">
        <v>5568</v>
      </c>
      <c r="CF105" s="100">
        <v>11.111847557683598</v>
      </c>
      <c r="CG105" s="100">
        <v>6187.0767201182271</v>
      </c>
      <c r="CH105" s="100">
        <v>9.6226415094339615</v>
      </c>
      <c r="CI105" s="100">
        <v>5357.8867924528295</v>
      </c>
      <c r="CJ105" s="100">
        <v>4.5779660743779935</v>
      </c>
      <c r="CK105" s="100">
        <v>2549.0115102136665</v>
      </c>
      <c r="CL105" s="100">
        <v>8</v>
      </c>
      <c r="CM105" s="100">
        <v>4454.3999999999996</v>
      </c>
      <c r="CN105" s="100">
        <v>9.8843930635838113</v>
      </c>
      <c r="CO105" s="100">
        <v>5503.6300578034661</v>
      </c>
      <c r="CP105" s="100">
        <v>8</v>
      </c>
      <c r="CQ105" s="100">
        <v>4454.3999999999996</v>
      </c>
      <c r="CR105" s="100">
        <v>12</v>
      </c>
      <c r="CS105" s="100">
        <v>6681.5999999999995</v>
      </c>
      <c r="CT105" s="100">
        <v>10.610080902071479</v>
      </c>
      <c r="CU105" s="100">
        <v>5907.693046273399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471</v>
      </c>
      <c r="E109" s="100">
        <f>SUM(L$6:L$19)+SUM(N$6:N$19)+SUM(P$6:P$19)+SUM(R$6:R$19)</f>
        <v>456</v>
      </c>
      <c r="F109" s="100">
        <f>SUM(T$6:T$19)+SUM(V$6:V$19)+SUM(X$6:X$19)+SUM(Z$6:Z$19)</f>
        <v>459.75559137680983</v>
      </c>
      <c r="G109" s="100">
        <f>SUM(AB$6:AB$19)+SUM(AD$6:AD$19)+SUM(AF$6:AF$19)+SUM(AH$6:AH$19)</f>
        <v>373.23755034198285</v>
      </c>
      <c r="H109" s="100">
        <f>SUM(AJ$6:AJ$19)+SUM(AL$6:AL$19)+SUM(AN$6:AN$19)+SUM(AP$6:AP$19)</f>
        <v>446.59160648725873</v>
      </c>
      <c r="I109" s="100">
        <f>SUM(AR$6:AR$19)+SUM(AT$6:AT$19)+SUM(AV$6:AV$19)+SUM(AX$6:AX$19)</f>
        <v>358.4534319390674</v>
      </c>
      <c r="J109" s="100">
        <f>SUM(AZ$6:AZ$19)+SUM(BB$6:BB$19)+SUM(BD$6:BD$19)+SUM(BF$6:BF$19)</f>
        <v>553</v>
      </c>
      <c r="K109" s="100">
        <f>SUM(BH$6:BH$19)+SUM(BJ$6:BJ$19)+SUM(BL$6:BL$19)+SUM(BN$6:BN$19)</f>
        <v>350.99307260336104</v>
      </c>
      <c r="L109" s="100">
        <f>SUM(BP$6:BP$19)+SUM(BR$6:BR$19)+SUM(BT$6:BT$19)+SUM(BV$6:BV$19)</f>
        <v>428.4610035689696</v>
      </c>
      <c r="M109" s="100">
        <f>SUM(BX$6:BX$19)+SUM(BZ$6:BZ$19)+SUM(CB$6:CB$19)+SUM(CD$6:CD$19)</f>
        <v>461.36161153538939</v>
      </c>
      <c r="N109" s="100">
        <f>SUM(CF$6:CF$19)+SUM(CH$6:CH$19)+SUM(CJ$6:CJ$19)+SUM(CL$6:CL$19)</f>
        <v>524.37919255253269</v>
      </c>
      <c r="O109" s="100">
        <f>SUM(CN$6:CN$19)+SUM(CP$6:CP$19)+SUM(CR$6:CR$19)+SUM(CT$6:CT$19)</f>
        <v>478.99592281953284</v>
      </c>
    </row>
    <row r="110" spans="2:99">
      <c r="C110" s="99" t="s">
        <v>127</v>
      </c>
      <c r="D110" s="100">
        <f>SUM(D$20:D$36)+SUM(F$20:F$36)+SUM(H$20:H$36)+SUM(J$20:J$36)</f>
        <v>1208</v>
      </c>
      <c r="E110" s="100">
        <f>SUM(L$20:L$36)+SUM(N$20:N$36)+SUM(P$20:P$36)+SUM(R$20:R$36)</f>
        <v>1009</v>
      </c>
      <c r="F110" s="100">
        <f>SUM(T$20:T$36)+SUM(V$20:V$36)+SUM(X$20:X$36)+SUM(Z$20:Z$36)</f>
        <v>1114.5209205668025</v>
      </c>
      <c r="G110" s="100">
        <f>SUM(AB$20:AB$36)+SUM(AD$20:AD$36)+SUM(AF$20:AF$36)+SUM(AH$20:AH$36)</f>
        <v>779.14264770922148</v>
      </c>
      <c r="H110" s="100">
        <f>SUM(AJ$20:AJ$36)+SUM(AL$20:AL$36)+SUM(AN$20:AN$36)+SUM(AP$20:AP$36)</f>
        <v>1161.8845341028507</v>
      </c>
      <c r="I110" s="100">
        <f>SUM(AR$20:AR$36)+SUM(AT$20:AT$36)+SUM(AV$20:AV$36)+SUM(AX$20:AX$36)</f>
        <v>899.43193093087689</v>
      </c>
      <c r="J110" s="100">
        <f>SUM(AZ$20:AZ$36)+SUM(BB$20:BB$36)+SUM(BD$20:BD$36)+SUM(BF$20:BF$36)</f>
        <v>1083</v>
      </c>
      <c r="K110" s="100">
        <f>SUM(BH$20:BH$36)+SUM(BJ$20:BJ$36)+SUM(BL$20:BL$36)+SUM(BN$20:BN$36)</f>
        <v>1051.1503340360832</v>
      </c>
      <c r="L110" s="100">
        <f>SUM(BP$20:BP$36)+SUM(BR$20:BR$36)+SUM(BT$20:BT$36)+SUM(BV$20:BV$36)</f>
        <v>1177.7595645390418</v>
      </c>
      <c r="M110" s="100">
        <f>SUM(BX$20:BX$36)+SUM(BZ$20:BZ$36)+SUM(CB$20:CB$36)+SUM(CD$20:CD$36)</f>
        <v>986.43261916792505</v>
      </c>
      <c r="N110" s="100">
        <f>SUM(CF$20:CF$36)+SUM(CH$20:CH$36)+SUM(CJ$20:CJ$36)+SUM(CL$20:CL$36)</f>
        <v>1139.8736714254248</v>
      </c>
      <c r="O110" s="100">
        <f>SUM(CN$20:CN$36)+SUM(CP$20:CP$36)+SUM(CR$20:CR$36)+SUM(CT$20:CT$36)</f>
        <v>1026.6225901228879</v>
      </c>
    </row>
    <row r="111" spans="2:99">
      <c r="C111" s="99" t="s">
        <v>128</v>
      </c>
      <c r="D111" s="100">
        <f>SUM(D$37:D$48)+SUM(F$37:F$48)+SUM(H$37:H$48)+SUM(J$37:J$48)</f>
        <v>519</v>
      </c>
      <c r="E111" s="100">
        <f>SUM(L$37:L$48)+SUM(N$37:N$48)+SUM(P$37:P$48)+SUM(R$37:R$48)</f>
        <v>577</v>
      </c>
      <c r="F111" s="100">
        <f>SUM(T$37:T$48)+SUM(V$37:V$48)+SUM(X$37:X$48)+SUM(Z$37:Z$48)</f>
        <v>411.68207613112787</v>
      </c>
      <c r="G111" s="100">
        <f>SUM(AB$37:AB$48)+SUM(AD$37:AD$48)+SUM(AF$37:AF$48)+SUM(AH$37:AH$48)</f>
        <v>383.97753414540915</v>
      </c>
      <c r="H111" s="100">
        <f>SUM(AJ$37:AJ$48)+SUM(AL$37:AL$48)+SUM(AN$37:AN$48)+SUM(AP$37:AP$48)</f>
        <v>481.36536023085523</v>
      </c>
      <c r="I111" s="100">
        <f>SUM(AR$37:AR$48)+SUM(AT$37:AT$48)+SUM(AV$37:AV$48)+SUM(AX$37:AX$48)</f>
        <v>406.20056607377467</v>
      </c>
      <c r="J111" s="100">
        <f>SUM(AZ$37:AZ$48)+SUM(BB$37:BB$48)+SUM(BD$37:BD$48)+SUM(BF$37:BF$48)</f>
        <v>532</v>
      </c>
      <c r="K111" s="100">
        <f>SUM(BH$37:BH$48)+SUM(BJ$37:BJ$48)+SUM(BL$37:BL$48)+SUM(BN$37:BN$48)</f>
        <v>402.4787116948055</v>
      </c>
      <c r="L111" s="100">
        <f>SUM(BP$37:BP$48)+SUM(BR$37:BR$48)+SUM(BT$37:BT$48)+SUM(BV$37:BV$48)</f>
        <v>339.22328076740916</v>
      </c>
      <c r="M111" s="100">
        <f>SUM(BX$37:BX$48)+SUM(BZ$37:BZ$48)+SUM(CB$37:CB$48)+SUM(CD$37:CD$48)</f>
        <v>453.09136909915509</v>
      </c>
      <c r="N111" s="100">
        <f>SUM(CF$37:CF$48)+SUM(CH$37:CH$48)+SUM(CJ$37:CJ$48)+SUM(CL$37:CL$48)</f>
        <v>532.96388096620694</v>
      </c>
      <c r="O111" s="100">
        <f>SUM(CN$37:CN$48)+SUM(CP$37:CP$48)+SUM(CR$37:CR$48)+SUM(CT$37:CT$48)</f>
        <v>506.26007947254533</v>
      </c>
    </row>
    <row r="112" spans="2:99">
      <c r="C112" s="99" t="s">
        <v>129</v>
      </c>
      <c r="D112" s="100">
        <f>SUM(D$49:D$70)+SUM(F$49:F$70)+SUM(H$49:H$70)+SUM(J$49:J$70)</f>
        <v>724.36384006347146</v>
      </c>
      <c r="E112" s="100">
        <f>SUM(L$49:L$70)+SUM(N$49:N$70)+SUM(P$49:P$70)+SUM(R$49:R$70)</f>
        <v>696.99934473857695</v>
      </c>
      <c r="F112" s="100">
        <f>SUM(T$49:T$70)+SUM(V$49:V$70)+SUM(X$49:X$70)+SUM(Z$49:Z$70)</f>
        <v>743.23573053024393</v>
      </c>
      <c r="G112" s="100">
        <f>SUM(AB$49:AB$70)+SUM(AD$49:AD$70)+SUM(AF$49:AF$70)+SUM(AH$49:AH$70)</f>
        <v>465.04776308649593</v>
      </c>
      <c r="H112" s="100">
        <f>SUM(AJ$49:AJ$70)+SUM(AL$49:AL$70)+SUM(AN$49:AN$70)+SUM(AP$49:AP$70)</f>
        <v>547.95104558829507</v>
      </c>
      <c r="I112" s="100">
        <f>SUM(AR$49:AR$70)+SUM(AT$49:AT$70)+SUM(AV$49:AV$70)+SUM(AX$49:AX$70)</f>
        <v>459.93579917523925</v>
      </c>
      <c r="J112" s="100">
        <f>SUM(AZ$49:AZ$70)+SUM(BB$49:BB$70)+SUM(BD$49:BD$70)+SUM(BF$49:BF$70)</f>
        <v>565.21178600802955</v>
      </c>
      <c r="K112" s="100">
        <f>SUM(BH$49:BH$70)+SUM(BJ$49:BJ$70)+SUM(BL$49:BL$70)+SUM(BN$49:BN$70)</f>
        <v>611.39809557495505</v>
      </c>
      <c r="L112" s="100">
        <f>SUM(BP$49:BP$70)+SUM(BR$49:BR$70)+SUM(BT$49:BT$70)+SUM(BV$49:BV$70)</f>
        <v>673.64381083185867</v>
      </c>
      <c r="M112" s="100">
        <f>SUM(BX$49:BX$70)+SUM(BZ$49:BZ$70)+SUM(CB$49:CB$70)+SUM(CD$49:CD$70)</f>
        <v>730.8492005618084</v>
      </c>
      <c r="N112" s="100">
        <f>SUM(CF$49:CF$70)+SUM(CH$49:CH$70)+SUM(CJ$49:CJ$70)+SUM(CL$49:CL$70)</f>
        <v>710.24594310200519</v>
      </c>
      <c r="O112" s="100">
        <f>SUM(CN$49:CN$70)+SUM(CP$49:CP$70)+SUM(CR$49:CR$70)+SUM(CT$49:CT$70)</f>
        <v>660.73849052321555</v>
      </c>
    </row>
    <row r="113" spans="2:15">
      <c r="C113" s="99" t="s">
        <v>130</v>
      </c>
      <c r="D113" s="100">
        <f>SUM(D$71:D$86)+SUM(F$71:F$86)+SUM(H$71:H$86)+SUM(J$71:J$86)</f>
        <v>664.88130312618148</v>
      </c>
      <c r="E113" s="100">
        <f>SUM(L$71:L$86)+SUM(N$71:N$86)+SUM(P$71:P$86)+SUM(R$71:R$86)</f>
        <v>672.47357200463603</v>
      </c>
      <c r="F113" s="100">
        <f>SUM(T$71:T$86)+SUM(V$71:V$86)+SUM(X$71:X$86)+SUM(Z$71:Z$86)</f>
        <v>575.50361749778267</v>
      </c>
      <c r="G113" s="100">
        <f>SUM(AB$71:AB$86)+SUM(AD$71:AD$86)+SUM(AF$71:AF$86)+SUM(AH$71:AH$86)</f>
        <v>547.68278312877464</v>
      </c>
      <c r="H113" s="100">
        <f>SUM(AJ$71:AJ$86)+SUM(AL$71:AL$86)+SUM(AN$71:AN$86)+SUM(AP$71:AP$86)</f>
        <v>637</v>
      </c>
      <c r="I113" s="100">
        <f>SUM(AR$71:AR$86)+SUM(AT$71:AT$86)+SUM(AV$71:AV$86)+SUM(AX$71:AX$86)</f>
        <v>559.70771970248779</v>
      </c>
      <c r="J113" s="100">
        <f>SUM(AZ$71:AZ$86)+SUM(BB$71:BB$86)+SUM(BD$71:BD$86)+SUM(BF$71:BF$86)</f>
        <v>468.65843105229874</v>
      </c>
      <c r="K113" s="100">
        <f>SUM(BH$71:BH$86)+SUM(BJ$71:BJ$86)+SUM(BL$71:BL$86)+SUM(BN$71:BN$86)</f>
        <v>696.10893404535773</v>
      </c>
      <c r="L113" s="100">
        <f>SUM(BP$71:BP$86)+SUM(BR$71:BR$86)+SUM(BT$71:BT$86)+SUM(BV$71:BV$86)</f>
        <v>812.07654723402266</v>
      </c>
      <c r="M113" s="100">
        <f>SUM(BX$71:BX$86)+SUM(BZ$71:BZ$86)+SUM(CB$71:CB$86)+SUM(CD$71:CD$86)</f>
        <v>633.94994559435247</v>
      </c>
      <c r="N113" s="100">
        <f>SUM(CF$71:CF$86)+SUM(CH$71:CH$86)+SUM(CJ$71:CJ$86)+SUM(CL$71:CL$86)</f>
        <v>778</v>
      </c>
      <c r="O113" s="100">
        <f>SUM(CN$71:CN$86)+SUM(CP$71:CP$86)+SUM(CR$71:CR$86)+SUM(CT$71:CT$86)</f>
        <v>587.49959752094708</v>
      </c>
    </row>
    <row r="114" spans="2:15">
      <c r="C114" s="99" t="s">
        <v>131</v>
      </c>
      <c r="D114" s="100">
        <f>SUM(D$87:D$94)+SUM(F$87:F$94)+SUM(H$87:H$94)+SUM(J$87:J$94)</f>
        <v>241.832602978767</v>
      </c>
      <c r="E114" s="100">
        <f>SUM(L$87:L$94)+SUM(N$87:N$94)+SUM(P$87:P$94)+SUM(R$87:R$94)</f>
        <v>203.02773470665812</v>
      </c>
      <c r="F114" s="100">
        <f>SUM(T$87:T$94)+SUM(V$87:V$94)+SUM(X$87:X$94)+SUM(Z$87:Z$94)</f>
        <v>134.97888888899513</v>
      </c>
      <c r="G114" s="100">
        <f>SUM(AB$87:AB$94)+SUM(AD$87:AD$94)+SUM(AF$87:AF$94)+SUM(AH$87:AH$94)</f>
        <v>271.75531947423184</v>
      </c>
      <c r="H114" s="100">
        <f>SUM(AJ$87:AJ$94)+SUM(AL$87:AL$94)+SUM(AN$87:AN$94)+SUM(AP$87:AP$94)</f>
        <v>227.27443156151185</v>
      </c>
      <c r="I114" s="100">
        <f>SUM(AR$87:AR$94)+SUM(AT$87:AT$94)+SUM(AV$87:AV$94)+SUM(AX$87:AX$94)</f>
        <v>128.76086956521738</v>
      </c>
      <c r="J114" s="100">
        <f>SUM(AZ$87:AZ$94)+SUM(BB$87:BB$94)+SUM(BD$87:BD$94)+SUM(BF$87:BF$94)</f>
        <v>71.27720072822666</v>
      </c>
      <c r="K114" s="100">
        <f>SUM(BH$87:BH$94)+SUM(BJ$87:BJ$94)+SUM(BL$87:BL$94)+SUM(BN$87:BN$94)</f>
        <v>243.02581829168287</v>
      </c>
      <c r="L114" s="100">
        <f>SUM(BP$87:BP$94)+SUM(BR$87:BR$94)+SUM(BT$87:BT$94)+SUM(BV$87:BV$94)</f>
        <v>235.06383489632299</v>
      </c>
      <c r="M114" s="100">
        <f>SUM(BX$87:BX$94)+SUM(BZ$87:BZ$94)+SUM(CB$87:CB$94)+SUM(CD$87:CD$94)</f>
        <v>246.42713172287148</v>
      </c>
      <c r="N114" s="100">
        <f>SUM(CF$87:CF$94)+SUM(CH$87:CH$94)+SUM(CJ$87:CJ$94)+SUM(CL$87:CL$94)</f>
        <v>224.98409798024909</v>
      </c>
      <c r="O114" s="100">
        <f>SUM(CN$87:CN$94)+SUM(CP$87:CP$94)+SUM(CR$87:CR$94)+SUM(CT$87:CT$94)</f>
        <v>244.2369131941683</v>
      </c>
    </row>
    <row r="115" spans="2:15">
      <c r="C115" s="99" t="s">
        <v>132</v>
      </c>
      <c r="D115" s="100">
        <f>SUM(D$95:D$105)+SUM(F$95:F$105)+SUM(H$95:H$105)+SUM(J$95:J$105)</f>
        <v>360.68116779227296</v>
      </c>
      <c r="E115" s="100">
        <f>SUM(L$95:L$105)+SUM(N$95:N$105)+SUM(P$95:P$105)+SUM(R$95:R$105)</f>
        <v>389.90893305053908</v>
      </c>
      <c r="F115" s="100">
        <f>SUM(T$95:T$105)+SUM(V$95:V$105)+SUM(X$95:X$105)+SUM(Z$95:Z$105)</f>
        <v>291.02394008110178</v>
      </c>
      <c r="G115" s="100">
        <f>SUM(AB$95:AB$105)+SUM(AD$95:AD$105)+SUM(AF$95:AF$105)+SUM(AH$95:AH$105)</f>
        <v>355.86710487746814</v>
      </c>
      <c r="H115" s="100">
        <f>SUM(AJ$95:AJ$105)+SUM(AL$95:AL$105)+SUM(AN$95:AN$105)+SUM(AP$95:AP$105)</f>
        <v>407.5414596195352</v>
      </c>
      <c r="I115" s="100">
        <f>SUM(AR$95:AR$105)+SUM(AT$95:AT$105)+SUM(AV$95:AV$105)+SUM(AX$95:AX$105)</f>
        <v>178.24999999999997</v>
      </c>
      <c r="J115" s="100">
        <f>SUM(AZ$95:AZ$105)+SUM(BB$95:BB$105)+SUM(BD$95:BD$105)+SUM(BF$95:BF$105)</f>
        <v>151.12260288512999</v>
      </c>
      <c r="K115" s="100">
        <f>SUM(BH$95:BH$105)+SUM(BJ$95:BJ$105)+SUM(BL$95:BL$105)+SUM(BN$95:BN$105)</f>
        <v>349.47424722323939</v>
      </c>
      <c r="L115" s="100">
        <f>SUM(BP$95:BP$105)+SUM(BR$95:BR$105)+SUM(BT$95:BT$105)+SUM(BV$95:BV$105)</f>
        <v>354.1772553713634</v>
      </c>
      <c r="M115" s="100">
        <f>SUM(BX$95:BX$105)+SUM(BZ$95:BZ$105)+SUM(CB$95:CB$105)+SUM(CD$95:CD$105)</f>
        <v>407.644687543553</v>
      </c>
      <c r="N115" s="100">
        <f>SUM(CF$95:CF$105)+SUM(CH$95:CH$105)+SUM(CJ$95:CJ$105)+SUM(CL$95:CL$105)</f>
        <v>366.38786402707086</v>
      </c>
      <c r="O115" s="100">
        <f>SUM(CN$95:CN$105)+SUM(CP$95:CP$105)+SUM(CR$95:CR$105)+SUM(CT$95:CT$105)</f>
        <v>446.92944482658766</v>
      </c>
    </row>
    <row r="116" spans="2:15">
      <c r="C116" s="99" t="s">
        <v>278</v>
      </c>
      <c r="D116" s="100">
        <f t="shared" ref="D116:O116" si="0">SUM(D$109:D$115)</f>
        <v>4189.7589139606935</v>
      </c>
      <c r="E116" s="100">
        <f t="shared" si="0"/>
        <v>4004.4095845004099</v>
      </c>
      <c r="F116" s="100">
        <f t="shared" si="0"/>
        <v>3730.7007650728638</v>
      </c>
      <c r="G116" s="100">
        <f t="shared" si="0"/>
        <v>3176.7107027635839</v>
      </c>
      <c r="H116" s="100">
        <f t="shared" si="0"/>
        <v>3909.6084375903069</v>
      </c>
      <c r="I116" s="100">
        <f t="shared" si="0"/>
        <v>2990.7403173866633</v>
      </c>
      <c r="J116" s="100">
        <f t="shared" si="0"/>
        <v>3424.2700206736849</v>
      </c>
      <c r="K116" s="100">
        <f t="shared" si="0"/>
        <v>3704.6292134694845</v>
      </c>
      <c r="L116" s="100">
        <f t="shared" si="0"/>
        <v>4020.4052972089885</v>
      </c>
      <c r="M116" s="100">
        <f t="shared" si="0"/>
        <v>3919.7565652250551</v>
      </c>
      <c r="N116" s="100">
        <f t="shared" si="0"/>
        <v>4276.834650053489</v>
      </c>
      <c r="O116" s="100">
        <f t="shared" si="0"/>
        <v>3951.2830384798849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3297000</v>
      </c>
      <c r="E120" s="100">
        <f>E109*pricing!E15*2000</f>
        <v>3192000</v>
      </c>
      <c r="F120" s="100">
        <f>F109*pricing!F15*2000</f>
        <v>3218289.1396376691</v>
      </c>
      <c r="G120" s="100">
        <f>G109*pricing!G15*2000</f>
        <v>2612662.85239388</v>
      </c>
      <c r="H120" s="100">
        <f>H109*pricing!H15*2000</f>
        <v>3126141.2454108112</v>
      </c>
      <c r="I120" s="100">
        <f>I109*pricing!I15*2000</f>
        <v>2509174.0235734717</v>
      </c>
      <c r="J120" s="100">
        <f>J109*pricing!J15*2000</f>
        <v>3871000</v>
      </c>
      <c r="K120" s="100">
        <f>K109*pricing!K15*2000</f>
        <v>2456951.5082235276</v>
      </c>
      <c r="L120" s="100">
        <f>L109*pricing!L15*2000</f>
        <v>2999227.0249827872</v>
      </c>
      <c r="M120" s="100">
        <f>M109*pricing!M15*2000</f>
        <v>3229531.2807477256</v>
      </c>
      <c r="N120" s="100">
        <f>N109*pricing!N15*2000</f>
        <v>3670654.3478677287</v>
      </c>
      <c r="O120" s="100">
        <f>O109*pricing!O15*2000</f>
        <v>3352971.4597367295</v>
      </c>
    </row>
    <row r="121" spans="2:15">
      <c r="C121" s="99" t="s">
        <v>127</v>
      </c>
      <c r="D121" s="100">
        <f>D110*pricing!D16*2000</f>
        <v>8456000</v>
      </c>
      <c r="E121" s="100">
        <f>E110*pricing!E16*2000</f>
        <v>7063000</v>
      </c>
      <c r="F121" s="100">
        <f>F110*pricing!F16*2000</f>
        <v>7801646.4439676171</v>
      </c>
      <c r="G121" s="100">
        <f>G110*pricing!G16*2000</f>
        <v>5453998.5339645501</v>
      </c>
      <c r="H121" s="100">
        <f>H110*pricing!H16*2000</f>
        <v>8133191.7387199551</v>
      </c>
      <c r="I121" s="100">
        <f>I110*pricing!I16*2000</f>
        <v>6296023.5165161388</v>
      </c>
      <c r="J121" s="100">
        <f>J110*pricing!J16*2000</f>
        <v>7581000</v>
      </c>
      <c r="K121" s="100">
        <f>K110*pricing!K16*2000</f>
        <v>7358052.3382525826</v>
      </c>
      <c r="L121" s="100">
        <f>L110*pricing!L16*2000</f>
        <v>8244316.9517732933</v>
      </c>
      <c r="M121" s="100">
        <f>M110*pricing!M16*2000</f>
        <v>6905028.3341754759</v>
      </c>
      <c r="N121" s="100">
        <f>N110*pricing!N16*2000</f>
        <v>7979115.6999779744</v>
      </c>
      <c r="O121" s="100">
        <f>O110*pricing!O16*2000</f>
        <v>7186358.1308602151</v>
      </c>
    </row>
    <row r="122" spans="2:15">
      <c r="C122" s="99" t="s">
        <v>128</v>
      </c>
      <c r="D122" s="100">
        <f>D111*pricing!D17*2000</f>
        <v>3633000</v>
      </c>
      <c r="E122" s="100">
        <f>E111*pricing!E17*2000</f>
        <v>4039000</v>
      </c>
      <c r="F122" s="100">
        <f>F111*pricing!F17*2000</f>
        <v>2881774.5329178954</v>
      </c>
      <c r="G122" s="100">
        <f>G111*pricing!G17*2000</f>
        <v>2687842.7390178642</v>
      </c>
      <c r="H122" s="100">
        <f>H111*pricing!H17*2000</f>
        <v>3369557.5216159867</v>
      </c>
      <c r="I122" s="100">
        <f>I111*pricing!I17*2000</f>
        <v>2843403.9625164228</v>
      </c>
      <c r="J122" s="100">
        <f>J111*pricing!J17*2000</f>
        <v>3724000</v>
      </c>
      <c r="K122" s="100">
        <f>K111*pricing!K17*2000</f>
        <v>2817350.9818636384</v>
      </c>
      <c r="L122" s="100">
        <f>L111*pricing!L17*2000</f>
        <v>2374562.9653718644</v>
      </c>
      <c r="M122" s="100">
        <f>M111*pricing!M17*2000</f>
        <v>3171639.5836940855</v>
      </c>
      <c r="N122" s="100">
        <f>N111*pricing!N17*2000</f>
        <v>3730747.1667634486</v>
      </c>
      <c r="O122" s="100">
        <f>O111*pricing!O17*2000</f>
        <v>3543820.5563078173</v>
      </c>
    </row>
    <row r="123" spans="2:15">
      <c r="C123" s="99" t="s">
        <v>129</v>
      </c>
      <c r="D123" s="100">
        <f>D112*pricing!D18*2000</f>
        <v>5070546.8804442994</v>
      </c>
      <c r="E123" s="100">
        <f>E112*pricing!E18*2000</f>
        <v>4878995.4131700387</v>
      </c>
      <c r="F123" s="100">
        <f>F112*pricing!F18*2000</f>
        <v>5202650.1137117073</v>
      </c>
      <c r="G123" s="100">
        <f>G112*pricing!G18*2000</f>
        <v>3255334.3416054714</v>
      </c>
      <c r="H123" s="100">
        <f>H112*pricing!H18*2000</f>
        <v>3835657.3191180653</v>
      </c>
      <c r="I123" s="100">
        <f>I112*pricing!I18*2000</f>
        <v>3219550.5942266746</v>
      </c>
      <c r="J123" s="100">
        <f>J112*pricing!J18*2000</f>
        <v>3956482.5020562066</v>
      </c>
      <c r="K123" s="100">
        <f>K112*pricing!K18*2000</f>
        <v>4279786.6690246854</v>
      </c>
      <c r="L123" s="100">
        <f>L112*pricing!L18*2000</f>
        <v>4715506.6758230105</v>
      </c>
      <c r="M123" s="100">
        <f>M112*pricing!M18*2000</f>
        <v>5115944.403932659</v>
      </c>
      <c r="N123" s="100">
        <f>N112*pricing!N18*2000</f>
        <v>4971721.6017140364</v>
      </c>
      <c r="O123" s="100">
        <f>O112*pricing!O18*2000</f>
        <v>4625169.4336625086</v>
      </c>
    </row>
    <row r="124" spans="2:15">
      <c r="C124" s="99" t="s">
        <v>130</v>
      </c>
      <c r="D124" s="100">
        <f>D113*pricing!D19*2000</f>
        <v>4654169.1218832703</v>
      </c>
      <c r="E124" s="100">
        <f>E113*pricing!E19*2000</f>
        <v>4707315.0040324526</v>
      </c>
      <c r="F124" s="100">
        <f>F113*pricing!F19*2000</f>
        <v>4028525.3224844788</v>
      </c>
      <c r="G124" s="100">
        <f>G113*pricing!G19*2000</f>
        <v>3833779.4819014226</v>
      </c>
      <c r="H124" s="100">
        <f>H113*pricing!H19*2000</f>
        <v>4459000</v>
      </c>
      <c r="I124" s="100">
        <f>I113*pricing!I19*2000</f>
        <v>3917954.0379174147</v>
      </c>
      <c r="J124" s="100">
        <f>J113*pricing!J19*2000</f>
        <v>3280609.0173660913</v>
      </c>
      <c r="K124" s="100">
        <f>K113*pricing!K19*2000</f>
        <v>4872762.5383175034</v>
      </c>
      <c r="L124" s="100">
        <f>L113*pricing!L19*2000</f>
        <v>5684535.8306381581</v>
      </c>
      <c r="M124" s="100">
        <f>M113*pricing!M19*2000</f>
        <v>4437649.6191604678</v>
      </c>
      <c r="N124" s="100">
        <f>N113*pricing!N19*2000</f>
        <v>5446000</v>
      </c>
      <c r="O124" s="100">
        <f>O113*pricing!O19*2000</f>
        <v>4112497.1826466299</v>
      </c>
    </row>
    <row r="125" spans="2:15">
      <c r="C125" s="99" t="s">
        <v>131</v>
      </c>
      <c r="D125" s="100">
        <f>D114*pricing!D20*2000</f>
        <v>1692828.220851369</v>
      </c>
      <c r="E125" s="100">
        <f>E114*pricing!E20*2000</f>
        <v>1421194.142946607</v>
      </c>
      <c r="F125" s="100">
        <f>F114*pricing!F20*2000</f>
        <v>944852.22222296591</v>
      </c>
      <c r="G125" s="100">
        <f>G114*pricing!G20*2000</f>
        <v>1902287.236319623</v>
      </c>
      <c r="H125" s="100">
        <f>H114*pricing!H20*2000</f>
        <v>1590921.0209305829</v>
      </c>
      <c r="I125" s="100">
        <f>I114*pricing!I20*2000</f>
        <v>901326.08695652161</v>
      </c>
      <c r="J125" s="100">
        <f>J114*pricing!J20*2000</f>
        <v>498940.40509758663</v>
      </c>
      <c r="K125" s="100">
        <f>K114*pricing!K20*2000</f>
        <v>1701180.7280417802</v>
      </c>
      <c r="L125" s="100">
        <f>L114*pricing!L20*2000</f>
        <v>1645446.8442742608</v>
      </c>
      <c r="M125" s="100">
        <f>M114*pricing!M20*2000</f>
        <v>1724989.9220601004</v>
      </c>
      <c r="N125" s="100">
        <f>N114*pricing!N20*2000</f>
        <v>1574888.6858617435</v>
      </c>
      <c r="O125" s="100">
        <f>O114*pricing!O20*2000</f>
        <v>1709658.392359178</v>
      </c>
    </row>
    <row r="126" spans="2:15">
      <c r="C126" s="99" t="s">
        <v>132</v>
      </c>
      <c r="D126" s="100">
        <f>D115*pricing!D21*2000</f>
        <v>2524768.1745459107</v>
      </c>
      <c r="E126" s="100">
        <f>E115*pricing!E21*2000</f>
        <v>2729362.5313537735</v>
      </c>
      <c r="F126" s="100">
        <f>F115*pricing!F21*2000</f>
        <v>2037167.5805677127</v>
      </c>
      <c r="G126" s="100">
        <f>G115*pricing!G21*2000</f>
        <v>2491069.7341422769</v>
      </c>
      <c r="H126" s="100">
        <f>H115*pricing!H21*2000</f>
        <v>2852790.2173367464</v>
      </c>
      <c r="I126" s="100">
        <f>I115*pricing!I21*2000</f>
        <v>1247749.9999999998</v>
      </c>
      <c r="J126" s="100">
        <f>J115*pricing!J21*2000</f>
        <v>1057858.22019591</v>
      </c>
      <c r="K126" s="100">
        <f>K115*pricing!K21*2000</f>
        <v>2446319.7305626757</v>
      </c>
      <c r="L126" s="100">
        <f>L115*pricing!L21*2000</f>
        <v>2479240.7875995436</v>
      </c>
      <c r="M126" s="100">
        <f>M115*pricing!M21*2000</f>
        <v>2853512.8128048708</v>
      </c>
      <c r="N126" s="100">
        <f>N115*pricing!N21*2000</f>
        <v>2564715.0481894962</v>
      </c>
      <c r="O126" s="100">
        <f>O115*pricing!O21*2000</f>
        <v>3128506.1137861134</v>
      </c>
    </row>
    <row r="127" spans="2:15">
      <c r="C127" s="99" t="s">
        <v>278</v>
      </c>
      <c r="D127" s="100">
        <f t="shared" ref="D127:O127" si="1">SUM(D$120:D$126)</f>
        <v>29328312.397724848</v>
      </c>
      <c r="E127" s="100">
        <f t="shared" si="1"/>
        <v>28030867.091502875</v>
      </c>
      <c r="F127" s="100">
        <f t="shared" si="1"/>
        <v>26114905.355510045</v>
      </c>
      <c r="G127" s="100">
        <f t="shared" si="1"/>
        <v>22236974.919345092</v>
      </c>
      <c r="H127" s="100">
        <f t="shared" si="1"/>
        <v>27367259.063132148</v>
      </c>
      <c r="I127" s="100">
        <f t="shared" si="1"/>
        <v>20935182.221706647</v>
      </c>
      <c r="J127" s="100">
        <f t="shared" si="1"/>
        <v>23969890.144715793</v>
      </c>
      <c r="K127" s="100">
        <f t="shared" si="1"/>
        <v>25932404.494286388</v>
      </c>
      <c r="L127" s="100">
        <f t="shared" si="1"/>
        <v>28142837.080462918</v>
      </c>
      <c r="M127" s="100">
        <f t="shared" si="1"/>
        <v>27438295.956575386</v>
      </c>
      <c r="N127" s="100">
        <f t="shared" si="1"/>
        <v>29937842.550374426</v>
      </c>
      <c r="O127" s="100">
        <f t="shared" si="1"/>
        <v>27658981.26935919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237823.2</v>
      </c>
      <c r="E131" s="106">
        <f>SUM(M$6:M$19)+SUM(O$6:O$19)+SUM(Q$6:Q$19)+SUM(S$6:S$19)</f>
        <v>231235.19999999998</v>
      </c>
      <c r="F131" s="106">
        <f>SUM(U$6:U$19)+SUM(W$6:W$19)+SUM(Y$6:Y$19)+SUM(AA$6:AA$19)</f>
        <v>232496.64919393894</v>
      </c>
      <c r="G131" s="106">
        <f>SUM(AC$6:AC$19)+SUM(AE$6:AE$19)+SUM(AG$6:AG$19)+SUM(AI$6:AI$19)</f>
        <v>187874.79150290493</v>
      </c>
      <c r="H131" s="106">
        <f>SUM(AK$6:AK$19)+SUM(AM$6:AM$19)+SUM(AO$6:AO$19)+SUM(AQ$6:AQ$19)</f>
        <v>226723.66638970189</v>
      </c>
      <c r="I131" s="106">
        <f>SUM(AS$6:AS$19)+SUM(AU$6:AU$19)+SUM(AW$6:AW$19)+SUM(AY$6:AY$19)</f>
        <v>180092.85833433946</v>
      </c>
      <c r="J131" s="106">
        <f>SUM(BA$6:BA$19)+SUM(BC$6:BC$19)+SUM(BE$6:BE$19)+SUM(BG$6:BG$19)</f>
        <v>278030.40000000002</v>
      </c>
      <c r="K131" s="106">
        <f>SUM(BI$6:BI$19)+SUM(BK$6:BK$19)+SUM(BM$6:BM$19)+SUM(BO$6:BO$19)</f>
        <v>176698.5316505261</v>
      </c>
      <c r="L131" s="106">
        <f>SUM(BQ$6:BQ$19)+SUM(BS$6:BS$19)+SUM(BU$6:BU$19)+SUM(BW$6:BW$19)</f>
        <v>216283.7433704969</v>
      </c>
      <c r="M131" s="106">
        <f>SUM(BY$6:BY$19)+SUM(CA$6:CA$19)+SUM(CC$6:CC$19)+SUM(CE$6:CE$19)</f>
        <v>232997.80985921939</v>
      </c>
      <c r="N131" s="106">
        <f>SUM(CG$6:CG$19)+SUM(CI$6:CI$19)+SUM(CK$6:CK$19)+SUM(CM$6:CM$19)</f>
        <v>263944.0102773016</v>
      </c>
      <c r="O131" s="106">
        <f>SUM(CO$6:CO$19)+SUM(CQ$6:CQ$19)+SUM(CS$6:CS$19)+SUM(CU$6:CU$19)</f>
        <v>242406.29484661642</v>
      </c>
    </row>
    <row r="132" spans="2:15">
      <c r="C132" s="105" t="s">
        <v>127</v>
      </c>
      <c r="D132" s="106">
        <f>SUM(E$20:E$36)+SUM(G$20:G$36)+SUM(I$20:I$36)+SUM(K$20:K$36)</f>
        <v>517312.8</v>
      </c>
      <c r="E132" s="106">
        <f>SUM(M$20:M$36)+SUM(O$20:O$36)+SUM(Q$20:Q$36)+SUM(S$20:S$36)</f>
        <v>430998</v>
      </c>
      <c r="F132" s="106">
        <f>SUM(U$20:U$36)+SUM(W$20:W$36)+SUM(Y$20:Y$36)+SUM(AA$20:AA$36)</f>
        <v>476670.53957804263</v>
      </c>
      <c r="G132" s="106">
        <f>SUM(AC$20:AC$36)+SUM(AE$20:AE$36)+SUM(AG$20:AG$36)+SUM(AI$20:AI$36)</f>
        <v>332575.68961884209</v>
      </c>
      <c r="H132" s="106">
        <f>SUM(AK$20:AK$36)+SUM(AM$20:AM$36)+SUM(AO$20:AO$36)+SUM(AQ$20:AQ$36)</f>
        <v>497702.0247354756</v>
      </c>
      <c r="I132" s="106">
        <f>SUM(AS$20:AS$36)+SUM(AU$20:AU$36)+SUM(AW$20:AW$36)+SUM(AY$20:AY$36)</f>
        <v>385456.59766676405</v>
      </c>
      <c r="J132" s="106">
        <f>SUM(BA$20:BA$36)+SUM(BC$20:BC$36)+SUM(BE$20:BE$36)+SUM(BG$20:BG$36)</f>
        <v>461461.2</v>
      </c>
      <c r="K132" s="106">
        <f>SUM(BI$20:BI$36)+SUM(BK$20:BK$36)+SUM(BM$20:BM$36)+SUM(BO$20:BO$36)</f>
        <v>446086.6338650278</v>
      </c>
      <c r="L132" s="106">
        <f>SUM(BQ$20:BQ$36)+SUM(BS$20:BS$36)+SUM(BU$20:BU$36)+SUM(BW$20:BW$36)</f>
        <v>508164.66144230752</v>
      </c>
      <c r="M132" s="106">
        <f>SUM(BY$20:BY$36)+SUM(CA$20:CA$36)+SUM(CC$20:CC$36)+SUM(CE$20:CE$36)</f>
        <v>421904.44756971369</v>
      </c>
      <c r="N132" s="106">
        <f>SUM(CG$20:CG$36)+SUM(CI$20:CI$36)+SUM(CK$20:CK$36)+SUM(CM$20:CM$36)</f>
        <v>485425.88572111761</v>
      </c>
      <c r="O132" s="106">
        <f>SUM(CO$20:CO$36)+SUM(CQ$20:CQ$36)+SUM(CS$20:CS$36)+SUM(CU$20:CU$36)</f>
        <v>440994.69765594666</v>
      </c>
    </row>
    <row r="133" spans="2:15">
      <c r="C133" s="105" t="s">
        <v>128</v>
      </c>
      <c r="D133" s="106">
        <f>SUM(E$37:E$48)+SUM(G$37:G$48)+SUM(I$37:I$48)+SUM(K$37:K$48)</f>
        <v>545323.19999999995</v>
      </c>
      <c r="E133" s="106">
        <f>SUM(M$37:M$48)+SUM(O$37:O$48)+SUM(Q$37:Q$48)+SUM(S$37:S$48)</f>
        <v>607756.80000000005</v>
      </c>
      <c r="F133" s="106">
        <f>SUM(U$37:U$48)+SUM(W$37:W$48)+SUM(Y$37:Y$48)+SUM(AA$37:AA$48)</f>
        <v>432000.17659955972</v>
      </c>
      <c r="G133" s="106">
        <f>SUM(AC$37:AC$48)+SUM(AE$37:AE$48)+SUM(AG$37:AG$48)+SUM(AI$37:AI$48)</f>
        <v>403413.03691016452</v>
      </c>
      <c r="H133" s="106">
        <f>SUM(AK$37:AK$48)+SUM(AM$37:AM$48)+SUM(AO$37:AO$48)+SUM(AQ$37:AQ$48)</f>
        <v>505346.44519848959</v>
      </c>
      <c r="I133" s="106">
        <f>SUM(AS$37:AS$48)+SUM(AU$37:AU$48)+SUM(AW$37:AW$48)+SUM(AY$37:AY$48)</f>
        <v>425904.48496308015</v>
      </c>
      <c r="J133" s="106">
        <f>SUM(BA$37:BA$48)+SUM(BC$37:BC$48)+SUM(BE$37:BE$48)+SUM(BG$37:BG$48)</f>
        <v>560235.6</v>
      </c>
      <c r="K133" s="106">
        <f>SUM(BI$37:BI$48)+SUM(BK$37:BK$48)+SUM(BM$37:BM$48)+SUM(BO$37:BO$48)</f>
        <v>424987.09910028428</v>
      </c>
      <c r="L133" s="106">
        <f>SUM(BQ$37:BQ$48)+SUM(BS$37:BS$48)+SUM(BU$37:BU$48)+SUM(BW$37:BW$48)</f>
        <v>356475.00804758444</v>
      </c>
      <c r="M133" s="106">
        <f>SUM(BY$37:BY$48)+SUM(CA$37:CA$48)+SUM(CC$37:CC$48)+SUM(CE$37:CE$48)</f>
        <v>477073.75691087922</v>
      </c>
      <c r="N133" s="106">
        <f>SUM(CG$37:CG$48)+SUM(CI$37:CI$48)+SUM(CK$37:CK$48)+SUM(CM$37:CM$48)</f>
        <v>561901.44238568633</v>
      </c>
      <c r="O133" s="106">
        <f>SUM(CO$37:CO$48)+SUM(CQ$37:CQ$48)+SUM(CS$37:CS$48)+SUM(CU$37:CU$48)</f>
        <v>534529.43375554238</v>
      </c>
    </row>
    <row r="134" spans="2:15">
      <c r="C134" s="105" t="s">
        <v>129</v>
      </c>
      <c r="D134" s="106">
        <f>SUM(E$49:E$70)+SUM(G$49:G$70)+SUM(I$49:I$70)+SUM(K$49:K$70)</f>
        <v>603414.14290617057</v>
      </c>
      <c r="E134" s="106">
        <f>SUM(M$49:M$70)+SUM(O$49:O$70)+SUM(Q$49:Q$70)+SUM(S$49:S$70)</f>
        <v>577495.19985908398</v>
      </c>
      <c r="F134" s="106">
        <f>SUM(U$49:U$70)+SUM(W$49:W$70)+SUM(Y$49:Y$70)+SUM(AA$49:AA$70)</f>
        <v>610976.73598098662</v>
      </c>
      <c r="G134" s="106">
        <f>SUM(AC$49:AC$70)+SUM(AE$49:AE$70)+SUM(AG$49:AG$70)+SUM(AI$49:AI$70)</f>
        <v>398636.6869732443</v>
      </c>
      <c r="H134" s="106">
        <f>SUM(AK$49:AK$70)+SUM(AM$49:AM$70)+SUM(AO$49:AO$70)+SUM(AQ$49:AQ$70)</f>
        <v>460510.10775469441</v>
      </c>
      <c r="I134" s="106">
        <f>SUM(AS$49:AS$70)+SUM(AU$49:AU$70)+SUM(AW$49:AW$70)+SUM(AY$49:AY$70)</f>
        <v>384056.19364171405</v>
      </c>
      <c r="J134" s="106">
        <f>SUM(BA$49:BA$70)+SUM(BC$49:BC$70)+SUM(BE$49:BE$70)+SUM(BG$49:BG$70)</f>
        <v>451800.51078960678</v>
      </c>
      <c r="K134" s="106">
        <f>SUM(BI$49:BI$70)+SUM(BK$49:BK$70)+SUM(BM$49:BM$70)+SUM(BO$49:BO$70)</f>
        <v>513557.88377757417</v>
      </c>
      <c r="L134" s="106">
        <f>SUM(BQ$49:BQ$70)+SUM(BS$49:BS$70)+SUM(BU$49:BU$70)+SUM(BW$49:BW$70)</f>
        <v>566337.9949322911</v>
      </c>
      <c r="M134" s="106">
        <f>SUM(BY$49:BY$70)+SUM(CA$49:CA$70)+SUM(CC$49:CC$70)+SUM(CE$49:CE$70)</f>
        <v>614036.90853720624</v>
      </c>
      <c r="N134" s="106">
        <f>SUM(CG$49:CG$70)+SUM(CI$49:CI$70)+SUM(CK$49:CK$70)+SUM(CM$49:CM$70)</f>
        <v>591068.45270143601</v>
      </c>
      <c r="O134" s="106">
        <f>SUM(CO$49:CO$70)+SUM(CQ$49:CQ$70)+SUM(CS$49:CS$70)+SUM(CU$49:CU$70)</f>
        <v>559503.13073799829</v>
      </c>
    </row>
    <row r="135" spans="2:15">
      <c r="C135" s="105" t="s">
        <v>130</v>
      </c>
      <c r="D135" s="106">
        <f>SUM(E$71:E$86)+SUM(G$71:G$86)+SUM(I$71:I$86)+SUM(K$71:K$86)</f>
        <v>373778.68780499819</v>
      </c>
      <c r="E135" s="106">
        <f>SUM(M$71:M$86)+SUM(O$71:O$86)+SUM(Q$71:Q$86)+SUM(S$71:S$86)</f>
        <v>375566.66504887713</v>
      </c>
      <c r="F135" s="106">
        <f>SUM(U$71:U$86)+SUM(W$71:W$86)+SUM(Y$71:Y$86)+SUM(AA$71:AA$86)</f>
        <v>321324.00110601331</v>
      </c>
      <c r="G135" s="106">
        <f>SUM(AC$71:AC$86)+SUM(AE$71:AE$86)+SUM(AG$71:AG$86)+SUM(AI$71:AI$86)</f>
        <v>307267.24812179932</v>
      </c>
      <c r="H135" s="106">
        <f>SUM(AK$71:AK$86)+SUM(AM$71:AM$86)+SUM(AO$71:AO$86)+SUM(AQ$71:AQ$86)</f>
        <v>357390</v>
      </c>
      <c r="I135" s="106">
        <f>SUM(AS$71:AS$86)+SUM(AU$71:AU$86)+SUM(AW$71:AW$86)+SUM(AY$71:AY$86)</f>
        <v>313801.39580436976</v>
      </c>
      <c r="J135" s="106">
        <f>SUM(BA$71:BA$86)+SUM(BC$71:BC$86)+SUM(BE$71:BE$86)+SUM(BG$71:BG$86)</f>
        <v>261502.06694420811</v>
      </c>
      <c r="K135" s="106">
        <f>SUM(BI$71:BI$86)+SUM(BK$71:BK$86)+SUM(BM$71:BM$86)+SUM(BO$71:BO$86)</f>
        <v>390452.75813441328</v>
      </c>
      <c r="L135" s="106">
        <f>SUM(BQ$71:BQ$86)+SUM(BS$71:BS$86)+SUM(BU$71:BU$86)+SUM(BW$71:BW$86)</f>
        <v>454204.01073882676</v>
      </c>
      <c r="M135" s="106">
        <f>SUM(BY$71:BY$86)+SUM(CA$71:CA$86)+SUM(CC$71:CC$86)+SUM(CE$71:CE$86)</f>
        <v>353814.68274029728</v>
      </c>
      <c r="N135" s="106">
        <f>SUM(CG$71:CG$86)+SUM(CI$71:CI$86)+SUM(CK$71:CK$86)+SUM(CM$71:CM$86)</f>
        <v>434494.79999999993</v>
      </c>
      <c r="O135" s="106">
        <f>SUM(CO$71:CO$86)+SUM(CQ$71:CQ$86)+SUM(CS$71:CS$86)+SUM(CU$71:CU$86)</f>
        <v>329380.59897391894</v>
      </c>
    </row>
    <row r="136" spans="2:15">
      <c r="C136" s="105" t="s">
        <v>131</v>
      </c>
      <c r="D136" s="106">
        <f>SUM(E$87:E$94)+SUM(G$87:G$94)+SUM(I$87:I$94)+SUM(K$87:K$94)</f>
        <v>243249.01566348574</v>
      </c>
      <c r="E136" s="106">
        <f>SUM(M$87:M$94)+SUM(O$87:O$94)+SUM(Q$87:Q$94)+SUM(S$87:S$94)</f>
        <v>203549.29679737764</v>
      </c>
      <c r="F136" s="106">
        <f>SUM(U$87:U$94)+SUM(W$87:W$94)+SUM(Y$87:Y$94)+SUM(AA$87:AA$94)</f>
        <v>135645.34793460171</v>
      </c>
      <c r="G136" s="106">
        <f>SUM(AC$87:AC$94)+SUM(AE$87:AE$94)+SUM(AG$87:AG$94)+SUM(AI$87:AI$94)</f>
        <v>272228.87358888995</v>
      </c>
      <c r="H136" s="106">
        <f>SUM(AK$87:AK$94)+SUM(AM$87:AM$94)+SUM(AO$87:AO$94)+SUM(AQ$87:AQ$94)</f>
        <v>228575.84433067308</v>
      </c>
      <c r="I136" s="106">
        <f>SUM(AS$87:AS$94)+SUM(AU$87:AU$94)+SUM(AW$87:AW$94)+SUM(AY$87:AY$94)</f>
        <v>128821.47391304346</v>
      </c>
      <c r="J136" s="106">
        <f>SUM(BA$87:BA$94)+SUM(BC$87:BC$94)+SUM(BE$87:BE$94)+SUM(BG$87:BG$94)</f>
        <v>71614.728296180052</v>
      </c>
      <c r="K136" s="106">
        <f>SUM(BI$87:BI$94)+SUM(BK$87:BK$94)+SUM(BM$87:BM$94)+SUM(BO$87:BO$94)</f>
        <v>243875.88204226011</v>
      </c>
      <c r="L136" s="106">
        <f>SUM(BQ$87:BQ$94)+SUM(BS$87:BS$94)+SUM(BU$87:BU$94)+SUM(BW$87:BW$94)</f>
        <v>236889.24494400108</v>
      </c>
      <c r="M136" s="106">
        <f>SUM(BY$87:BY$94)+SUM(CA$87:CA$94)+SUM(CC$87:CC$94)+SUM(CE$87:CE$94)</f>
        <v>247158.01954319159</v>
      </c>
      <c r="N136" s="106">
        <f>SUM(CG$87:CG$94)+SUM(CI$87:CI$94)+SUM(CK$87:CK$94)+SUM(CM$87:CM$94)</f>
        <v>226259.95631526023</v>
      </c>
      <c r="O136" s="106">
        <f>SUM(CO$87:CO$94)+SUM(CQ$87:CQ$94)+SUM(CS$87:CS$94)+SUM(CU$87:CU$94)</f>
        <v>244900.98662770944</v>
      </c>
    </row>
    <row r="137" spans="2:15">
      <c r="C137" s="105" t="s">
        <v>132</v>
      </c>
      <c r="D137" s="106">
        <f>SUM(E$95:E$105)+SUM(G$95:G$105)+SUM(I$95:I$105)+SUM(K$95:K$105)</f>
        <v>299301.38330581016</v>
      </c>
      <c r="E137" s="106">
        <f>SUM(M$95:M$105)+SUM(O$95:O$105)+SUM(Q$95:Q$105)+SUM(S$95:S$105)</f>
        <v>314972.04852979979</v>
      </c>
      <c r="F137" s="106">
        <f>SUM(U$95:U$105)+SUM(W$95:W$105)+SUM(Y$95:Y$105)+SUM(AA$95:AA$105)</f>
        <v>231921.37551340574</v>
      </c>
      <c r="G137" s="106">
        <f>SUM(AC$95:AC$105)+SUM(AE$95:AE$105)+SUM(AG$95:AG$105)+SUM(AI$95:AI$105)</f>
        <v>285520.5490162404</v>
      </c>
      <c r="H137" s="106">
        <f>SUM(AK$95:AK$105)+SUM(AM$95:AM$105)+SUM(AO$95:AO$105)+SUM(AQ$95:AQ$105)</f>
        <v>329954.84574612253</v>
      </c>
      <c r="I137" s="106">
        <f>SUM(AS$95:AS$105)+SUM(AU$95:AU$105)+SUM(AW$95:AW$105)+SUM(AY$95:AY$105)</f>
        <v>143462.54347826086</v>
      </c>
      <c r="J137" s="106">
        <f>SUM(BA$95:BA$105)+SUM(BC$95:BC$105)+SUM(BE$95:BE$105)+SUM(BG$95:BG$105)</f>
        <v>122867.56505813872</v>
      </c>
      <c r="K137" s="106">
        <f>SUM(BI$95:BI$105)+SUM(BK$95:BK$105)+SUM(BM$95:BM$105)+SUM(BO$95:BO$105)</f>
        <v>289196.20664783526</v>
      </c>
      <c r="L137" s="106">
        <f>SUM(BQ$95:BQ$105)+SUM(BS$95:BS$105)+SUM(BU$95:BU$105)+SUM(BW$95:BW$105)</f>
        <v>284288.3244126066</v>
      </c>
      <c r="M137" s="106">
        <f>SUM(BY$95:BY$105)+SUM(CA$95:CA$105)+SUM(CC$95:CC$105)+SUM(CE$95:CE$105)</f>
        <v>331739.56490073341</v>
      </c>
      <c r="N137" s="106">
        <f>SUM(CG$95:CG$105)+SUM(CI$95:CI$105)+SUM(CK$95:CK$105)+SUM(CM$95:CM$105)</f>
        <v>304113.11056964326</v>
      </c>
      <c r="O137" s="106">
        <f>SUM(CO$95:CO$105)+SUM(CQ$95:CQ$105)+SUM(CS$95:CS$105)+SUM(CU$95:CU$105)</f>
        <v>363179.97108419088</v>
      </c>
    </row>
    <row r="138" spans="2:15">
      <c r="C138" s="105" t="s">
        <v>278</v>
      </c>
      <c r="D138" s="100">
        <f t="shared" ref="D138:O138" si="2">SUM(D$131:D$137)</f>
        <v>2820202.4296804648</v>
      </c>
      <c r="E138" s="100">
        <f t="shared" si="2"/>
        <v>2741573.2102351384</v>
      </c>
      <c r="F138" s="100">
        <f t="shared" si="2"/>
        <v>2441034.8259065482</v>
      </c>
      <c r="G138" s="100">
        <f t="shared" si="2"/>
        <v>2187516.8757320857</v>
      </c>
      <c r="H138" s="100">
        <f t="shared" si="2"/>
        <v>2606202.9341551568</v>
      </c>
      <c r="I138" s="100">
        <f t="shared" si="2"/>
        <v>1961595.5478015719</v>
      </c>
      <c r="J138" s="100">
        <f t="shared" si="2"/>
        <v>2207512.0710881338</v>
      </c>
      <c r="K138" s="100">
        <f t="shared" si="2"/>
        <v>2484854.9952179207</v>
      </c>
      <c r="L138" s="100">
        <f t="shared" si="2"/>
        <v>2622642.9878881145</v>
      </c>
      <c r="M138" s="100">
        <f t="shared" si="2"/>
        <v>2678725.1900612409</v>
      </c>
      <c r="N138" s="100">
        <f t="shared" si="2"/>
        <v>2867207.6579704452</v>
      </c>
      <c r="O138" s="100">
        <f t="shared" si="2"/>
        <v>2714895.1136819231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9</v>
      </c>
      <c r="G6" s="100">
        <v>5205.5999999999995</v>
      </c>
      <c r="H6" s="100">
        <v>7</v>
      </c>
      <c r="I6" s="100">
        <v>4048.7999999999997</v>
      </c>
      <c r="J6" s="100">
        <v>6</v>
      </c>
      <c r="K6" s="100">
        <v>3470.3999999999996</v>
      </c>
      <c r="L6" s="100">
        <v>6</v>
      </c>
      <c r="M6" s="100">
        <v>3470.3999999999996</v>
      </c>
      <c r="N6" s="100">
        <v>9</v>
      </c>
      <c r="O6" s="100">
        <v>5205.5999999999995</v>
      </c>
      <c r="P6" s="100">
        <v>6</v>
      </c>
      <c r="Q6" s="100">
        <v>3470.3999999999996</v>
      </c>
      <c r="R6" s="100">
        <v>7</v>
      </c>
      <c r="S6" s="100">
        <v>4048.7999999999997</v>
      </c>
      <c r="T6" s="100">
        <v>7</v>
      </c>
      <c r="U6" s="100">
        <v>4048.7999999999997</v>
      </c>
      <c r="V6" s="100">
        <v>6</v>
      </c>
      <c r="W6" s="100">
        <v>3470.3999999999996</v>
      </c>
      <c r="X6" s="100">
        <v>5.4595801676298459</v>
      </c>
      <c r="Y6" s="100">
        <v>3157.8211689571026</v>
      </c>
      <c r="Z6" s="100">
        <v>6</v>
      </c>
      <c r="AA6" s="100">
        <v>3470.3999999999996</v>
      </c>
      <c r="AB6" s="100">
        <v>5.4390594081709267</v>
      </c>
      <c r="AC6" s="100">
        <v>3145.9519616860639</v>
      </c>
      <c r="AD6" s="100">
        <v>4.0103950363433682</v>
      </c>
      <c r="AE6" s="100">
        <v>2319.612489021004</v>
      </c>
      <c r="AF6" s="100">
        <v>6.9573411284103628</v>
      </c>
      <c r="AG6" s="100">
        <v>4024.1261086725535</v>
      </c>
      <c r="AH6" s="100">
        <v>2.2801974065055894</v>
      </c>
      <c r="AI6" s="100">
        <v>1318.8661799228328</v>
      </c>
      <c r="AJ6" s="100">
        <v>9.483767011542616</v>
      </c>
      <c r="AK6" s="100">
        <v>5485.4108394762488</v>
      </c>
      <c r="AL6" s="100">
        <v>5.0937643655135609</v>
      </c>
      <c r="AM6" s="100">
        <v>2946.2333090130437</v>
      </c>
      <c r="AN6" s="100">
        <v>6</v>
      </c>
      <c r="AO6" s="100">
        <v>3470.3999999999996</v>
      </c>
      <c r="AP6" s="100">
        <v>9.1817000974662228</v>
      </c>
      <c r="AQ6" s="100">
        <v>5310.6953363744633</v>
      </c>
      <c r="AR6" s="100">
        <v>2.6406838928318157</v>
      </c>
      <c r="AS6" s="100">
        <v>1527.371563613922</v>
      </c>
      <c r="AT6" s="100">
        <v>4.4200018744460161</v>
      </c>
      <c r="AU6" s="100">
        <v>2556.5290841795754</v>
      </c>
      <c r="AV6" s="100">
        <v>2.3610922313637888</v>
      </c>
      <c r="AW6" s="100">
        <v>1365.6557466208153</v>
      </c>
      <c r="AX6" s="100">
        <v>10</v>
      </c>
      <c r="AY6" s="100">
        <v>5784</v>
      </c>
      <c r="AZ6" s="100">
        <v>9</v>
      </c>
      <c r="BA6" s="100">
        <v>5205.5999999999995</v>
      </c>
      <c r="BB6" s="100">
        <v>5</v>
      </c>
      <c r="BC6" s="100">
        <v>2892</v>
      </c>
      <c r="BD6" s="100">
        <v>10</v>
      </c>
      <c r="BE6" s="100">
        <v>5784</v>
      </c>
      <c r="BF6" s="100">
        <v>5</v>
      </c>
      <c r="BG6" s="100">
        <v>2892</v>
      </c>
      <c r="BH6" s="100">
        <v>5.379277282635841</v>
      </c>
      <c r="BI6" s="100">
        <v>3111.3739802765704</v>
      </c>
      <c r="BJ6" s="100">
        <v>1.3150984522763063</v>
      </c>
      <c r="BK6" s="100">
        <v>760.65294479661554</v>
      </c>
      <c r="BL6" s="100">
        <v>10</v>
      </c>
      <c r="BM6" s="100">
        <v>5784</v>
      </c>
      <c r="BN6" s="100">
        <v>6</v>
      </c>
      <c r="BO6" s="100">
        <v>3470.3999999999996</v>
      </c>
      <c r="BP6" s="100">
        <v>11</v>
      </c>
      <c r="BQ6" s="100">
        <v>6362.4</v>
      </c>
      <c r="BR6" s="100">
        <v>8</v>
      </c>
      <c r="BS6" s="100">
        <v>4627.2</v>
      </c>
      <c r="BT6" s="100">
        <v>10.399590374252144</v>
      </c>
      <c r="BU6" s="100">
        <v>6015.1230724674397</v>
      </c>
      <c r="BV6" s="100">
        <v>6.5937800233384829</v>
      </c>
      <c r="BW6" s="100">
        <v>3813.8423654989783</v>
      </c>
      <c r="BX6" s="100">
        <v>4.5143930277948563</v>
      </c>
      <c r="BY6" s="100">
        <v>2611.1249272765449</v>
      </c>
      <c r="BZ6" s="100">
        <v>4.7167087379330841</v>
      </c>
      <c r="CA6" s="100">
        <v>2728.1443340204955</v>
      </c>
      <c r="CB6" s="100">
        <v>5.6945673419587504</v>
      </c>
      <c r="CC6" s="100">
        <v>3293.7377505889413</v>
      </c>
      <c r="CD6" s="100">
        <v>5.0963963390869873</v>
      </c>
      <c r="CE6" s="100">
        <v>2947.7556425279136</v>
      </c>
      <c r="CF6" s="100">
        <v>5.7274539702964775</v>
      </c>
      <c r="CG6" s="100">
        <v>3312.7593764194826</v>
      </c>
      <c r="CH6" s="100">
        <v>8.0566642629124079</v>
      </c>
      <c r="CI6" s="100">
        <v>4659.9746096685367</v>
      </c>
      <c r="CJ6" s="100">
        <v>4.8292015195504892</v>
      </c>
      <c r="CK6" s="100">
        <v>2793.210158908003</v>
      </c>
      <c r="CL6" s="100">
        <v>7.0465030842433887</v>
      </c>
      <c r="CM6" s="100">
        <v>4075.697383926376</v>
      </c>
      <c r="CN6" s="100">
        <v>6.7764895991487437</v>
      </c>
      <c r="CO6" s="100">
        <v>3919.5215841476333</v>
      </c>
      <c r="CP6" s="100">
        <v>9</v>
      </c>
      <c r="CQ6" s="100">
        <v>5205.5999999999995</v>
      </c>
      <c r="CR6" s="100">
        <v>9</v>
      </c>
      <c r="CS6" s="100">
        <v>5205.5999999999995</v>
      </c>
      <c r="CT6" s="100">
        <v>10.535614678866533</v>
      </c>
      <c r="CU6" s="100">
        <v>6093.7995302564032</v>
      </c>
    </row>
    <row r="7" spans="1:99">
      <c r="C7" s="99" t="s">
        <v>173</v>
      </c>
      <c r="D7" s="100">
        <v>8</v>
      </c>
      <c r="E7" s="100">
        <v>6307.2</v>
      </c>
      <c r="F7" s="100">
        <v>9</v>
      </c>
      <c r="G7" s="100">
        <v>7095.5999999999995</v>
      </c>
      <c r="H7" s="100">
        <v>7</v>
      </c>
      <c r="I7" s="100">
        <v>5518.8</v>
      </c>
      <c r="J7" s="100">
        <v>6</v>
      </c>
      <c r="K7" s="100">
        <v>4730.3999999999996</v>
      </c>
      <c r="L7" s="100">
        <v>7</v>
      </c>
      <c r="M7" s="100">
        <v>5518.8</v>
      </c>
      <c r="N7" s="100">
        <v>9</v>
      </c>
      <c r="O7" s="100">
        <v>7095.5999999999995</v>
      </c>
      <c r="P7" s="100">
        <v>6</v>
      </c>
      <c r="Q7" s="100">
        <v>4730.3999999999996</v>
      </c>
      <c r="R7" s="100">
        <v>7</v>
      </c>
      <c r="S7" s="100">
        <v>5518.8</v>
      </c>
      <c r="T7" s="100">
        <v>7</v>
      </c>
      <c r="U7" s="100">
        <v>5518.8</v>
      </c>
      <c r="V7" s="100">
        <v>5</v>
      </c>
      <c r="W7" s="100">
        <v>3942</v>
      </c>
      <c r="X7" s="100">
        <v>5.4595801676298459</v>
      </c>
      <c r="Y7" s="100">
        <v>4304.3330041593699</v>
      </c>
      <c r="Z7" s="100">
        <v>6</v>
      </c>
      <c r="AA7" s="100">
        <v>4730.3999999999996</v>
      </c>
      <c r="AB7" s="100">
        <v>5.3414906507996101</v>
      </c>
      <c r="AC7" s="100">
        <v>4211.2312290904129</v>
      </c>
      <c r="AD7" s="100">
        <v>3.4374814597228869</v>
      </c>
      <c r="AE7" s="100">
        <v>2710.1103828455239</v>
      </c>
      <c r="AF7" s="100">
        <v>6.911395978148609</v>
      </c>
      <c r="AG7" s="100">
        <v>5448.9445891723635</v>
      </c>
      <c r="AH7" s="100">
        <v>2.6602303075898543</v>
      </c>
      <c r="AI7" s="100">
        <v>2097.3255745038409</v>
      </c>
      <c r="AJ7" s="100">
        <v>8.5353903103883546</v>
      </c>
      <c r="AK7" s="100">
        <v>6729.3017207101784</v>
      </c>
      <c r="AL7" s="100">
        <v>5.0937643655135609</v>
      </c>
      <c r="AM7" s="100">
        <v>4015.9238257708912</v>
      </c>
      <c r="AN7" s="100">
        <v>5</v>
      </c>
      <c r="AO7" s="100">
        <v>3942</v>
      </c>
      <c r="AP7" s="100">
        <v>7.1817000974662228</v>
      </c>
      <c r="AQ7" s="100">
        <v>5662.0523568423696</v>
      </c>
      <c r="AR7" s="100">
        <v>2.9755820916518148</v>
      </c>
      <c r="AS7" s="100">
        <v>2345.9489210582906</v>
      </c>
      <c r="AT7" s="100">
        <v>4.4010509561599411</v>
      </c>
      <c r="AU7" s="100">
        <v>3469.7885738364976</v>
      </c>
      <c r="AV7" s="100">
        <v>2.3610922313637888</v>
      </c>
      <c r="AW7" s="100">
        <v>1861.485115207211</v>
      </c>
      <c r="AX7" s="100">
        <v>10</v>
      </c>
      <c r="AY7" s="100">
        <v>7884</v>
      </c>
      <c r="AZ7" s="100">
        <v>8</v>
      </c>
      <c r="BA7" s="100">
        <v>6307.2</v>
      </c>
      <c r="BB7" s="100">
        <v>5</v>
      </c>
      <c r="BC7" s="100">
        <v>3942</v>
      </c>
      <c r="BD7" s="100">
        <v>10</v>
      </c>
      <c r="BE7" s="100">
        <v>7884</v>
      </c>
      <c r="BF7" s="100">
        <v>5</v>
      </c>
      <c r="BG7" s="100">
        <v>3942</v>
      </c>
      <c r="BH7" s="100">
        <v>5.3447975296689467</v>
      </c>
      <c r="BI7" s="100">
        <v>4213.8383723909974</v>
      </c>
      <c r="BJ7" s="100">
        <v>1.1272272448082625</v>
      </c>
      <c r="BK7" s="100">
        <v>888.70595980683413</v>
      </c>
      <c r="BL7" s="100">
        <v>9</v>
      </c>
      <c r="BM7" s="100">
        <v>7095.5999999999995</v>
      </c>
      <c r="BN7" s="100">
        <v>6</v>
      </c>
      <c r="BO7" s="100">
        <v>4730.3999999999996</v>
      </c>
      <c r="BP7" s="100">
        <v>11</v>
      </c>
      <c r="BQ7" s="100">
        <v>8672.4</v>
      </c>
      <c r="BR7" s="100">
        <v>8</v>
      </c>
      <c r="BS7" s="100">
        <v>6307.2</v>
      </c>
      <c r="BT7" s="100">
        <v>9.3995903742521438</v>
      </c>
      <c r="BU7" s="100">
        <v>7410.6370510603901</v>
      </c>
      <c r="BV7" s="100">
        <v>5.9505018916482086</v>
      </c>
      <c r="BW7" s="100">
        <v>4691.3756913754478</v>
      </c>
      <c r="BX7" s="100">
        <v>4.4994263632267559</v>
      </c>
      <c r="BY7" s="100">
        <v>3547.3477447679743</v>
      </c>
      <c r="BZ7" s="100">
        <v>3.9461229739686714</v>
      </c>
      <c r="CA7" s="100">
        <v>3111.1233526769006</v>
      </c>
      <c r="CB7" s="100">
        <v>5.0618376372966667</v>
      </c>
      <c r="CC7" s="100">
        <v>3990.7527932446919</v>
      </c>
      <c r="CD7" s="100">
        <v>5.0963963390869873</v>
      </c>
      <c r="CE7" s="100">
        <v>4017.9988737361805</v>
      </c>
      <c r="CF7" s="100">
        <v>4.9092462602541236</v>
      </c>
      <c r="CG7" s="100">
        <v>3870.4497515843509</v>
      </c>
      <c r="CH7" s="100">
        <v>9.0566642629124079</v>
      </c>
      <c r="CI7" s="100">
        <v>7140.2741048801417</v>
      </c>
      <c r="CJ7" s="100">
        <v>4.8292015195504892</v>
      </c>
      <c r="CK7" s="100">
        <v>3807.3424780136056</v>
      </c>
      <c r="CL7" s="100">
        <v>6.0465030842433887</v>
      </c>
      <c r="CM7" s="100">
        <v>4767.0630316174875</v>
      </c>
      <c r="CN7" s="100">
        <v>6.7764895991487437</v>
      </c>
      <c r="CO7" s="100">
        <v>5342.5843999688695</v>
      </c>
      <c r="CP7" s="100">
        <v>8</v>
      </c>
      <c r="CQ7" s="100">
        <v>6307.2</v>
      </c>
      <c r="CR7" s="100">
        <v>9</v>
      </c>
      <c r="CS7" s="100">
        <v>7095.5999999999995</v>
      </c>
      <c r="CT7" s="100">
        <v>9.5843069223998558</v>
      </c>
      <c r="CU7" s="100">
        <v>7556.2675776200458</v>
      </c>
    </row>
    <row r="8" spans="1:99">
      <c r="C8" s="99" t="s">
        <v>174</v>
      </c>
      <c r="D8" s="100">
        <v>7</v>
      </c>
      <c r="E8" s="100">
        <v>2167.1999999999998</v>
      </c>
      <c r="F8" s="100">
        <v>9</v>
      </c>
      <c r="G8" s="100">
        <v>2786.3999999999996</v>
      </c>
      <c r="H8" s="100">
        <v>7</v>
      </c>
      <c r="I8" s="100">
        <v>2167.1999999999998</v>
      </c>
      <c r="J8" s="100">
        <v>6</v>
      </c>
      <c r="K8" s="100">
        <v>1857.6</v>
      </c>
      <c r="L8" s="100">
        <v>7</v>
      </c>
      <c r="M8" s="100">
        <v>2167.1999999999998</v>
      </c>
      <c r="N8" s="100">
        <v>8</v>
      </c>
      <c r="O8" s="100">
        <v>2476.7999999999997</v>
      </c>
      <c r="P8" s="100">
        <v>6</v>
      </c>
      <c r="Q8" s="100">
        <v>1857.6</v>
      </c>
      <c r="R8" s="100">
        <v>8</v>
      </c>
      <c r="S8" s="100">
        <v>2476.7999999999997</v>
      </c>
      <c r="T8" s="100">
        <v>6</v>
      </c>
      <c r="U8" s="100">
        <v>1857.6</v>
      </c>
      <c r="V8" s="100">
        <v>6</v>
      </c>
      <c r="W8" s="100">
        <v>1857.6</v>
      </c>
      <c r="X8" s="100">
        <v>5.5055381843928304</v>
      </c>
      <c r="Y8" s="100">
        <v>1704.5146218880202</v>
      </c>
      <c r="Z8" s="100">
        <v>6</v>
      </c>
      <c r="AA8" s="100">
        <v>1857.6</v>
      </c>
      <c r="AB8" s="100">
        <v>5.3902750294852684</v>
      </c>
      <c r="AC8" s="100">
        <v>1668.8291491286388</v>
      </c>
      <c r="AD8" s="100">
        <v>4.0103950363433682</v>
      </c>
      <c r="AE8" s="100">
        <v>1241.6183032519066</v>
      </c>
      <c r="AF8" s="100">
        <v>7.8331023317959003</v>
      </c>
      <c r="AG8" s="100">
        <v>2425.1284819240104</v>
      </c>
      <c r="AH8" s="100">
        <v>2.2801974065055894</v>
      </c>
      <c r="AI8" s="100">
        <v>705.9491170541304</v>
      </c>
      <c r="AJ8" s="100">
        <v>8.5353903103883546</v>
      </c>
      <c r="AK8" s="100">
        <v>2642.5568400962343</v>
      </c>
      <c r="AL8" s="100">
        <v>4.2448036379279674</v>
      </c>
      <c r="AM8" s="100">
        <v>1314.1912063024986</v>
      </c>
      <c r="AN8" s="100">
        <v>5</v>
      </c>
      <c r="AO8" s="100">
        <v>1547.9999999999998</v>
      </c>
      <c r="AP8" s="100">
        <v>9.1817000974662228</v>
      </c>
      <c r="AQ8" s="100">
        <v>2842.6543501755423</v>
      </c>
      <c r="AR8" s="100">
        <v>2.9755820916518148</v>
      </c>
      <c r="AS8" s="100">
        <v>921.24021557540175</v>
      </c>
      <c r="AT8" s="100">
        <v>4.4200018744460161</v>
      </c>
      <c r="AU8" s="100">
        <v>1368.4325803284864</v>
      </c>
      <c r="AV8" s="100">
        <v>2.3610922313637888</v>
      </c>
      <c r="AW8" s="100">
        <v>730.99415483022892</v>
      </c>
      <c r="AX8" s="100">
        <v>10</v>
      </c>
      <c r="AY8" s="100">
        <v>3095.9999999999995</v>
      </c>
      <c r="AZ8" s="100">
        <v>8</v>
      </c>
      <c r="BA8" s="100">
        <v>2476.7999999999997</v>
      </c>
      <c r="BB8" s="100">
        <v>5</v>
      </c>
      <c r="BC8" s="100">
        <v>1547.9999999999998</v>
      </c>
      <c r="BD8" s="100">
        <v>11</v>
      </c>
      <c r="BE8" s="100">
        <v>3405.5999999999995</v>
      </c>
      <c r="BF8" s="100">
        <v>5</v>
      </c>
      <c r="BG8" s="100">
        <v>1547.9999999999998</v>
      </c>
      <c r="BH8" s="100">
        <v>5.379277282635841</v>
      </c>
      <c r="BI8" s="100">
        <v>1665.4242467040563</v>
      </c>
      <c r="BJ8" s="100">
        <v>1.3150984522763063</v>
      </c>
      <c r="BK8" s="100">
        <v>407.15448082474438</v>
      </c>
      <c r="BL8" s="100">
        <v>9</v>
      </c>
      <c r="BM8" s="100">
        <v>2786.3999999999996</v>
      </c>
      <c r="BN8" s="100">
        <v>7</v>
      </c>
      <c r="BO8" s="100">
        <v>2167.1999999999998</v>
      </c>
      <c r="BP8" s="100">
        <v>11</v>
      </c>
      <c r="BQ8" s="100">
        <v>3405.5999999999995</v>
      </c>
      <c r="BR8" s="100">
        <v>10</v>
      </c>
      <c r="BS8" s="100">
        <v>3095.9999999999995</v>
      </c>
      <c r="BT8" s="100">
        <v>10.399590374252144</v>
      </c>
      <c r="BU8" s="100">
        <v>3219.7131798684632</v>
      </c>
      <c r="BV8" s="100">
        <v>5.9505018916482086</v>
      </c>
      <c r="BW8" s="100">
        <v>1842.2753856542852</v>
      </c>
      <c r="BX8" s="100">
        <v>4.4994263632267559</v>
      </c>
      <c r="BY8" s="100">
        <v>1393.0224020550036</v>
      </c>
      <c r="BZ8" s="100">
        <v>4.7108841032989206</v>
      </c>
      <c r="CA8" s="100">
        <v>1458.4897183813457</v>
      </c>
      <c r="CB8" s="100">
        <v>5.6945673419587504</v>
      </c>
      <c r="CC8" s="100">
        <v>1763.038049070429</v>
      </c>
      <c r="CD8" s="100">
        <v>5.0963963390869873</v>
      </c>
      <c r="CE8" s="100">
        <v>1577.844306581331</v>
      </c>
      <c r="CF8" s="100">
        <v>5.7274539702964775</v>
      </c>
      <c r="CG8" s="100">
        <v>1773.2197492037892</v>
      </c>
      <c r="CH8" s="100">
        <v>8.0647591576141799</v>
      </c>
      <c r="CI8" s="100">
        <v>2496.84943519735</v>
      </c>
      <c r="CJ8" s="100">
        <v>5.6340684394755707</v>
      </c>
      <c r="CK8" s="100">
        <v>1744.3075888616365</v>
      </c>
      <c r="CL8" s="100">
        <v>7.0465030842433887</v>
      </c>
      <c r="CM8" s="100">
        <v>2181.5973548817528</v>
      </c>
      <c r="CN8" s="100">
        <v>6.7764895991487437</v>
      </c>
      <c r="CO8" s="100">
        <v>2098.001179896451</v>
      </c>
      <c r="CP8" s="100">
        <v>9</v>
      </c>
      <c r="CQ8" s="100">
        <v>2786.3999999999996</v>
      </c>
      <c r="CR8" s="100">
        <v>11</v>
      </c>
      <c r="CS8" s="100">
        <v>3405.5999999999995</v>
      </c>
      <c r="CT8" s="100">
        <v>10.632999165933176</v>
      </c>
      <c r="CU8" s="100">
        <v>3291.9765417729109</v>
      </c>
    </row>
    <row r="9" spans="1:99">
      <c r="C9" s="99" t="s">
        <v>175</v>
      </c>
      <c r="D9" s="100">
        <v>7</v>
      </c>
      <c r="E9" s="100">
        <v>4914</v>
      </c>
      <c r="F9" s="100">
        <v>9</v>
      </c>
      <c r="G9" s="100">
        <v>6318</v>
      </c>
      <c r="H9" s="100">
        <v>7</v>
      </c>
      <c r="I9" s="100">
        <v>4914</v>
      </c>
      <c r="J9" s="100">
        <v>6</v>
      </c>
      <c r="K9" s="100">
        <v>4212</v>
      </c>
      <c r="L9" s="100">
        <v>6</v>
      </c>
      <c r="M9" s="100">
        <v>4212</v>
      </c>
      <c r="N9" s="100">
        <v>9</v>
      </c>
      <c r="O9" s="100">
        <v>6318</v>
      </c>
      <c r="P9" s="100">
        <v>6</v>
      </c>
      <c r="Q9" s="100">
        <v>4212</v>
      </c>
      <c r="R9" s="100">
        <v>7</v>
      </c>
      <c r="S9" s="100">
        <v>4914</v>
      </c>
      <c r="T9" s="100">
        <v>6</v>
      </c>
      <c r="U9" s="100">
        <v>4212</v>
      </c>
      <c r="V9" s="100">
        <v>5</v>
      </c>
      <c r="W9" s="100">
        <v>3510</v>
      </c>
      <c r="X9" s="100">
        <v>5.5055381843928304</v>
      </c>
      <c r="Y9" s="100">
        <v>3864.8878054437669</v>
      </c>
      <c r="Z9" s="100">
        <v>6</v>
      </c>
      <c r="AA9" s="100">
        <v>4212</v>
      </c>
      <c r="AB9" s="100">
        <v>5.3902750294852684</v>
      </c>
      <c r="AC9" s="100">
        <v>3783.9730706986584</v>
      </c>
      <c r="AD9" s="100">
        <v>4.0103950363433682</v>
      </c>
      <c r="AE9" s="100">
        <v>2815.2973155130444</v>
      </c>
      <c r="AF9" s="100">
        <v>6.9573411284103628</v>
      </c>
      <c r="AG9" s="100">
        <v>4884.0534721440745</v>
      </c>
      <c r="AH9" s="100">
        <v>2.2801974065055894</v>
      </c>
      <c r="AI9" s="100">
        <v>1600.6985793669237</v>
      </c>
      <c r="AJ9" s="100">
        <v>9.483767011542616</v>
      </c>
      <c r="AK9" s="100">
        <v>6657.6044421029164</v>
      </c>
      <c r="AL9" s="100">
        <v>5.0937643655135609</v>
      </c>
      <c r="AM9" s="100">
        <v>3575.8225845905199</v>
      </c>
      <c r="AN9" s="100">
        <v>6</v>
      </c>
      <c r="AO9" s="100">
        <v>4212</v>
      </c>
      <c r="AP9" s="100">
        <v>8.1557429406853341</v>
      </c>
      <c r="AQ9" s="100">
        <v>5725.3315443611045</v>
      </c>
      <c r="AR9" s="100">
        <v>2.9755820916518148</v>
      </c>
      <c r="AS9" s="100">
        <v>2088.8586283395739</v>
      </c>
      <c r="AT9" s="100">
        <v>4.8963735907175154</v>
      </c>
      <c r="AU9" s="100">
        <v>3437.254260683696</v>
      </c>
      <c r="AV9" s="100">
        <v>2.1249830082274097</v>
      </c>
      <c r="AW9" s="100">
        <v>1491.7380717756416</v>
      </c>
      <c r="AX9" s="100">
        <v>9</v>
      </c>
      <c r="AY9" s="100">
        <v>6318</v>
      </c>
      <c r="AZ9" s="100">
        <v>9</v>
      </c>
      <c r="BA9" s="100">
        <v>6318</v>
      </c>
      <c r="BB9" s="100">
        <v>5</v>
      </c>
      <c r="BC9" s="100">
        <v>3510</v>
      </c>
      <c r="BD9" s="100">
        <v>10</v>
      </c>
      <c r="BE9" s="100">
        <v>7020</v>
      </c>
      <c r="BF9" s="100">
        <v>6</v>
      </c>
      <c r="BG9" s="100">
        <v>4212</v>
      </c>
      <c r="BH9" s="100">
        <v>5.3447975296689467</v>
      </c>
      <c r="BI9" s="100">
        <v>3752.0478658276006</v>
      </c>
      <c r="BJ9" s="100">
        <v>1.1272272448082625</v>
      </c>
      <c r="BK9" s="100">
        <v>791.31352585540026</v>
      </c>
      <c r="BL9" s="100">
        <v>10</v>
      </c>
      <c r="BM9" s="100">
        <v>7020</v>
      </c>
      <c r="BN9" s="100">
        <v>6</v>
      </c>
      <c r="BO9" s="100">
        <v>4212</v>
      </c>
      <c r="BP9" s="100">
        <v>11</v>
      </c>
      <c r="BQ9" s="100">
        <v>7722</v>
      </c>
      <c r="BR9" s="100">
        <v>8</v>
      </c>
      <c r="BS9" s="100">
        <v>5616</v>
      </c>
      <c r="BT9" s="100">
        <v>9.3995903742521438</v>
      </c>
      <c r="BU9" s="100">
        <v>6598.5124427250048</v>
      </c>
      <c r="BV9" s="100">
        <v>6.5937800233384829</v>
      </c>
      <c r="BW9" s="100">
        <v>4628.8335763836149</v>
      </c>
      <c r="BX9" s="100">
        <v>3.7694775221130969</v>
      </c>
      <c r="BY9" s="100">
        <v>2646.1732205233939</v>
      </c>
      <c r="BZ9" s="100">
        <v>4.7108841032989206</v>
      </c>
      <c r="CA9" s="100">
        <v>3307.0406405158424</v>
      </c>
      <c r="CB9" s="100">
        <v>5.6945673419587504</v>
      </c>
      <c r="CC9" s="100">
        <v>3997.5862740550428</v>
      </c>
      <c r="CD9" s="100">
        <v>6.0826254335031322</v>
      </c>
      <c r="CE9" s="100">
        <v>4270.0030543191988</v>
      </c>
      <c r="CF9" s="100">
        <v>4.9092462602541236</v>
      </c>
      <c r="CG9" s="100">
        <v>3446.2908746983949</v>
      </c>
      <c r="CH9" s="100">
        <v>8.0566642629124079</v>
      </c>
      <c r="CI9" s="100">
        <v>5655.7783125645101</v>
      </c>
      <c r="CJ9" s="100">
        <v>5.6340684394755707</v>
      </c>
      <c r="CK9" s="100">
        <v>3955.1160445118508</v>
      </c>
      <c r="CL9" s="100">
        <v>6.0398597864943335</v>
      </c>
      <c r="CM9" s="100">
        <v>4239.9815701190219</v>
      </c>
      <c r="CN9" s="100">
        <v>6.7764895991487437</v>
      </c>
      <c r="CO9" s="100">
        <v>4757.0956986024185</v>
      </c>
      <c r="CP9" s="100">
        <v>8</v>
      </c>
      <c r="CQ9" s="100">
        <v>5616</v>
      </c>
      <c r="CR9" s="100">
        <v>10</v>
      </c>
      <c r="CS9" s="100">
        <v>7020</v>
      </c>
      <c r="CT9" s="100">
        <v>10.584306922399856</v>
      </c>
      <c r="CU9" s="100">
        <v>7430.1834595246992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8</v>
      </c>
      <c r="G10" s="100">
        <v>4358.3999999999996</v>
      </c>
      <c r="H10" s="100">
        <v>7</v>
      </c>
      <c r="I10" s="100">
        <v>3813.5999999999995</v>
      </c>
      <c r="J10" s="100">
        <v>6</v>
      </c>
      <c r="K10" s="100">
        <v>3268.7999999999997</v>
      </c>
      <c r="L10" s="100">
        <v>6</v>
      </c>
      <c r="M10" s="100">
        <v>3268.7999999999997</v>
      </c>
      <c r="N10" s="100">
        <v>9</v>
      </c>
      <c r="O10" s="100">
        <v>4903.2</v>
      </c>
      <c r="P10" s="100">
        <v>6</v>
      </c>
      <c r="Q10" s="100">
        <v>3268.7999999999997</v>
      </c>
      <c r="R10" s="100">
        <v>7</v>
      </c>
      <c r="S10" s="100">
        <v>3813.5999999999995</v>
      </c>
      <c r="T10" s="100">
        <v>6</v>
      </c>
      <c r="U10" s="100">
        <v>3268.7999999999997</v>
      </c>
      <c r="V10" s="100">
        <v>6</v>
      </c>
      <c r="W10" s="100">
        <v>3268.7999999999997</v>
      </c>
      <c r="X10" s="100">
        <v>5.4595801676298459</v>
      </c>
      <c r="Y10" s="100">
        <v>2974.3792753247399</v>
      </c>
      <c r="Z10" s="100">
        <v>7</v>
      </c>
      <c r="AA10" s="100">
        <v>3813.5999999999995</v>
      </c>
      <c r="AB10" s="100">
        <v>5.4390594081709267</v>
      </c>
      <c r="AC10" s="100">
        <v>2963.1995655715205</v>
      </c>
      <c r="AD10" s="100">
        <v>3.4374814597228869</v>
      </c>
      <c r="AE10" s="100">
        <v>1872.7398992570286</v>
      </c>
      <c r="AF10" s="100">
        <v>7.8331023317959003</v>
      </c>
      <c r="AG10" s="100">
        <v>4267.4741503624064</v>
      </c>
      <c r="AH10" s="100">
        <v>2.6602303075898543</v>
      </c>
      <c r="AI10" s="100">
        <v>1449.2934715749525</v>
      </c>
      <c r="AJ10" s="100">
        <v>8.5353903103883546</v>
      </c>
      <c r="AK10" s="100">
        <v>4650.0806410995756</v>
      </c>
      <c r="AL10" s="100">
        <v>4.2448036379279674</v>
      </c>
      <c r="AM10" s="100">
        <v>2312.5690219431563</v>
      </c>
      <c r="AN10" s="100">
        <v>6</v>
      </c>
      <c r="AO10" s="100">
        <v>3268.7999999999997</v>
      </c>
      <c r="AP10" s="100">
        <v>8.1557429406853341</v>
      </c>
      <c r="AQ10" s="100">
        <v>4443.2487540853699</v>
      </c>
      <c r="AR10" s="100">
        <v>2.6232488045322966</v>
      </c>
      <c r="AS10" s="100">
        <v>1429.145948709195</v>
      </c>
      <c r="AT10" s="100">
        <v>4.4010509561599411</v>
      </c>
      <c r="AU10" s="100">
        <v>2397.6925609159357</v>
      </c>
      <c r="AV10" s="100">
        <v>2.3610922313637888</v>
      </c>
      <c r="AW10" s="100">
        <v>1286.3230476469921</v>
      </c>
      <c r="AX10" s="100">
        <v>9</v>
      </c>
      <c r="AY10" s="100">
        <v>4903.2</v>
      </c>
      <c r="AZ10" s="100">
        <v>8</v>
      </c>
      <c r="BA10" s="100">
        <v>4358.3999999999996</v>
      </c>
      <c r="BB10" s="100">
        <v>5</v>
      </c>
      <c r="BC10" s="100">
        <v>2724</v>
      </c>
      <c r="BD10" s="100">
        <v>10</v>
      </c>
      <c r="BE10" s="100">
        <v>5448</v>
      </c>
      <c r="BF10" s="100">
        <v>6</v>
      </c>
      <c r="BG10" s="100">
        <v>3268.7999999999997</v>
      </c>
      <c r="BH10" s="100">
        <v>5.379277282635841</v>
      </c>
      <c r="BI10" s="100">
        <v>2930.6302635800062</v>
      </c>
      <c r="BJ10" s="100">
        <v>1.3150984522763063</v>
      </c>
      <c r="BK10" s="100">
        <v>716.46563680013162</v>
      </c>
      <c r="BL10" s="100">
        <v>9</v>
      </c>
      <c r="BM10" s="100">
        <v>4903.2</v>
      </c>
      <c r="BN10" s="100">
        <v>6</v>
      </c>
      <c r="BO10" s="100">
        <v>3268.7999999999997</v>
      </c>
      <c r="BP10" s="100">
        <v>11</v>
      </c>
      <c r="BQ10" s="100">
        <v>5992.7999999999993</v>
      </c>
      <c r="BR10" s="100">
        <v>9</v>
      </c>
      <c r="BS10" s="100">
        <v>4903.2</v>
      </c>
      <c r="BT10" s="100">
        <v>10.449539171033662</v>
      </c>
      <c r="BU10" s="100">
        <v>5692.9089403791386</v>
      </c>
      <c r="BV10" s="100">
        <v>5.9326131464886807</v>
      </c>
      <c r="BW10" s="100">
        <v>3232.0876422070328</v>
      </c>
      <c r="BX10" s="100">
        <v>4.4844596986586547</v>
      </c>
      <c r="BY10" s="100">
        <v>2443.1336438292346</v>
      </c>
      <c r="BZ10" s="100">
        <v>4.7225333725672467</v>
      </c>
      <c r="CA10" s="100">
        <v>2572.836181374636</v>
      </c>
      <c r="CB10" s="100">
        <v>5.6945673419587504</v>
      </c>
      <c r="CC10" s="100">
        <v>3102.4002878991269</v>
      </c>
      <c r="CD10" s="100">
        <v>6.1101672446708433</v>
      </c>
      <c r="CE10" s="100">
        <v>3328.8191148966753</v>
      </c>
      <c r="CF10" s="100">
        <v>4.9092462602541236</v>
      </c>
      <c r="CG10" s="100">
        <v>2674.5573625864463</v>
      </c>
      <c r="CH10" s="100">
        <v>9.0566642629124079</v>
      </c>
      <c r="CI10" s="100">
        <v>4934.0706904346798</v>
      </c>
      <c r="CJ10" s="100">
        <v>4.8292015195504892</v>
      </c>
      <c r="CK10" s="100">
        <v>2630.9489878511063</v>
      </c>
      <c r="CL10" s="100">
        <v>7.0465030842433887</v>
      </c>
      <c r="CM10" s="100">
        <v>3838.9348802957979</v>
      </c>
      <c r="CN10" s="100">
        <v>7.5294328879430488</v>
      </c>
      <c r="CO10" s="100">
        <v>4102.0350373513729</v>
      </c>
      <c r="CP10" s="100">
        <v>9</v>
      </c>
      <c r="CQ10" s="100">
        <v>4903.2</v>
      </c>
      <c r="CR10" s="100">
        <v>10</v>
      </c>
      <c r="CS10" s="100">
        <v>5448</v>
      </c>
      <c r="CT10" s="100">
        <v>10.584306922399856</v>
      </c>
      <c r="CU10" s="100">
        <v>5766.3304113234408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8</v>
      </c>
      <c r="G11" s="100">
        <v>4262.3999999999996</v>
      </c>
      <c r="H11" s="100">
        <v>7</v>
      </c>
      <c r="I11" s="100">
        <v>3729.5999999999995</v>
      </c>
      <c r="J11" s="100">
        <v>6</v>
      </c>
      <c r="K11" s="100">
        <v>3196.7999999999997</v>
      </c>
      <c r="L11" s="100">
        <v>7</v>
      </c>
      <c r="M11" s="100">
        <v>3729.5999999999995</v>
      </c>
      <c r="N11" s="100">
        <v>8</v>
      </c>
      <c r="O11" s="100">
        <v>4262.3999999999996</v>
      </c>
      <c r="P11" s="100">
        <v>6</v>
      </c>
      <c r="Q11" s="100">
        <v>3196.7999999999997</v>
      </c>
      <c r="R11" s="100">
        <v>7</v>
      </c>
      <c r="S11" s="100">
        <v>3729.5999999999995</v>
      </c>
      <c r="T11" s="100">
        <v>6</v>
      </c>
      <c r="U11" s="100">
        <v>3196.7999999999997</v>
      </c>
      <c r="V11" s="100">
        <v>6</v>
      </c>
      <c r="W11" s="100">
        <v>3196.7999999999997</v>
      </c>
      <c r="X11" s="100">
        <v>5.4595801676298459</v>
      </c>
      <c r="Y11" s="100">
        <v>2908.8643133131818</v>
      </c>
      <c r="Z11" s="100">
        <v>7</v>
      </c>
      <c r="AA11" s="100">
        <v>3729.5999999999995</v>
      </c>
      <c r="AB11" s="100">
        <v>5.3414906507996101</v>
      </c>
      <c r="AC11" s="100">
        <v>2845.9462187460322</v>
      </c>
      <c r="AD11" s="100">
        <v>4.0103950363433682</v>
      </c>
      <c r="AE11" s="100">
        <v>2136.7384753637466</v>
      </c>
      <c r="AF11" s="100">
        <v>7.8790474820576559</v>
      </c>
      <c r="AG11" s="100">
        <v>4197.9564984403187</v>
      </c>
      <c r="AH11" s="100">
        <v>2.6602303075898543</v>
      </c>
      <c r="AI11" s="100">
        <v>1417.3707078838743</v>
      </c>
      <c r="AJ11" s="100">
        <v>9.483767011542616</v>
      </c>
      <c r="AK11" s="100">
        <v>5052.9510637499052</v>
      </c>
      <c r="AL11" s="100">
        <v>5.0937643655135609</v>
      </c>
      <c r="AM11" s="100">
        <v>2713.9576539456252</v>
      </c>
      <c r="AN11" s="100">
        <v>5</v>
      </c>
      <c r="AO11" s="100">
        <v>2664</v>
      </c>
      <c r="AP11" s="100">
        <v>8.1557429406853341</v>
      </c>
      <c r="AQ11" s="100">
        <v>4345.3798387971456</v>
      </c>
      <c r="AR11" s="100">
        <v>2.6406838928318157</v>
      </c>
      <c r="AS11" s="100">
        <v>1406.9563781007912</v>
      </c>
      <c r="AT11" s="100">
        <v>4.8963735907175154</v>
      </c>
      <c r="AU11" s="100">
        <v>2608.7878491342922</v>
      </c>
      <c r="AV11" s="100">
        <v>2.3610922313637888</v>
      </c>
      <c r="AW11" s="100">
        <v>1257.9899408706265</v>
      </c>
      <c r="AX11" s="100">
        <v>10</v>
      </c>
      <c r="AY11" s="100">
        <v>5328</v>
      </c>
      <c r="AZ11" s="100">
        <v>8</v>
      </c>
      <c r="BA11" s="100">
        <v>4262.3999999999996</v>
      </c>
      <c r="BB11" s="100">
        <v>6</v>
      </c>
      <c r="BC11" s="100">
        <v>3196.7999999999997</v>
      </c>
      <c r="BD11" s="100">
        <v>10</v>
      </c>
      <c r="BE11" s="100">
        <v>5328</v>
      </c>
      <c r="BF11" s="100">
        <v>6</v>
      </c>
      <c r="BG11" s="100">
        <v>3196.7999999999997</v>
      </c>
      <c r="BH11" s="100">
        <v>5.379277282635841</v>
      </c>
      <c r="BI11" s="100">
        <v>2866.0789361883758</v>
      </c>
      <c r="BJ11" s="100">
        <v>1.3150984522763063</v>
      </c>
      <c r="BK11" s="100">
        <v>700.68445537281593</v>
      </c>
      <c r="BL11" s="100">
        <v>9</v>
      </c>
      <c r="BM11" s="100">
        <v>4795.2</v>
      </c>
      <c r="BN11" s="100">
        <v>6</v>
      </c>
      <c r="BO11" s="100">
        <v>3196.7999999999997</v>
      </c>
      <c r="BP11" s="100">
        <v>10</v>
      </c>
      <c r="BQ11" s="100">
        <v>5328</v>
      </c>
      <c r="BR11" s="100">
        <v>10</v>
      </c>
      <c r="BS11" s="100">
        <v>5328</v>
      </c>
      <c r="BT11" s="100">
        <v>9.3995903742521438</v>
      </c>
      <c r="BU11" s="100">
        <v>5008.1017514015421</v>
      </c>
      <c r="BV11" s="100">
        <v>6.5937800233384829</v>
      </c>
      <c r="BW11" s="100">
        <v>3513.1659964347432</v>
      </c>
      <c r="BX11" s="100">
        <v>4.4994263632267559</v>
      </c>
      <c r="BY11" s="100">
        <v>2397.2943663272154</v>
      </c>
      <c r="BZ11" s="100">
        <v>4.7108841032989206</v>
      </c>
      <c r="CA11" s="100">
        <v>2509.9590502376645</v>
      </c>
      <c r="CB11" s="100">
        <v>5.0618376372966667</v>
      </c>
      <c r="CC11" s="100">
        <v>2696.9470931516639</v>
      </c>
      <c r="CD11" s="100">
        <v>6.0963963390869873</v>
      </c>
      <c r="CE11" s="100">
        <v>3248.1599694655465</v>
      </c>
      <c r="CF11" s="100">
        <v>4.9092462602541236</v>
      </c>
      <c r="CG11" s="100">
        <v>2615.6464074633968</v>
      </c>
      <c r="CH11" s="100">
        <v>9.0566642629124079</v>
      </c>
      <c r="CI11" s="100">
        <v>4825.3907192797305</v>
      </c>
      <c r="CJ11" s="100">
        <v>5.6340684394755707</v>
      </c>
      <c r="CK11" s="100">
        <v>3001.8316645525838</v>
      </c>
      <c r="CL11" s="100">
        <v>7.0465030842433887</v>
      </c>
      <c r="CM11" s="100">
        <v>3754.3768432848769</v>
      </c>
      <c r="CN11" s="100">
        <v>6.7764895991487437</v>
      </c>
      <c r="CO11" s="100">
        <v>3610.5136584264505</v>
      </c>
      <c r="CP11" s="100">
        <v>9</v>
      </c>
      <c r="CQ11" s="100">
        <v>4795.2</v>
      </c>
      <c r="CR11" s="100">
        <v>10</v>
      </c>
      <c r="CS11" s="100">
        <v>5328</v>
      </c>
      <c r="CT11" s="100">
        <v>11.584306922399856</v>
      </c>
      <c r="CU11" s="100">
        <v>6172.1187282546425</v>
      </c>
    </row>
    <row r="12" spans="1:99">
      <c r="C12" s="99" t="s">
        <v>178</v>
      </c>
      <c r="D12" s="100">
        <v>7</v>
      </c>
      <c r="E12" s="100">
        <v>3939.5999999999995</v>
      </c>
      <c r="F12" s="100">
        <v>8</v>
      </c>
      <c r="G12" s="100">
        <v>4502.3999999999996</v>
      </c>
      <c r="H12" s="100">
        <v>7</v>
      </c>
      <c r="I12" s="100">
        <v>3939.5999999999995</v>
      </c>
      <c r="J12" s="100">
        <v>6</v>
      </c>
      <c r="K12" s="100">
        <v>3376.7999999999997</v>
      </c>
      <c r="L12" s="100">
        <v>6</v>
      </c>
      <c r="M12" s="100">
        <v>3376.7999999999997</v>
      </c>
      <c r="N12" s="100">
        <v>9</v>
      </c>
      <c r="O12" s="100">
        <v>5065.2</v>
      </c>
      <c r="P12" s="100">
        <v>6</v>
      </c>
      <c r="Q12" s="100">
        <v>3376.7999999999997</v>
      </c>
      <c r="R12" s="100">
        <v>7</v>
      </c>
      <c r="S12" s="100">
        <v>3939.5999999999995</v>
      </c>
      <c r="T12" s="100">
        <v>7</v>
      </c>
      <c r="U12" s="100">
        <v>3939.5999999999995</v>
      </c>
      <c r="V12" s="100">
        <v>6</v>
      </c>
      <c r="W12" s="100">
        <v>3376.7999999999997</v>
      </c>
      <c r="X12" s="100">
        <v>5.4595801676298459</v>
      </c>
      <c r="Y12" s="100">
        <v>3072.6517183420769</v>
      </c>
      <c r="Z12" s="100">
        <v>7</v>
      </c>
      <c r="AA12" s="100">
        <v>3939.5999999999995</v>
      </c>
      <c r="AB12" s="100">
        <v>5.3414906507996101</v>
      </c>
      <c r="AC12" s="100">
        <v>3006.1909382700201</v>
      </c>
      <c r="AD12" s="100">
        <v>3.4374814597228869</v>
      </c>
      <c r="AE12" s="100">
        <v>1934.6145655320406</v>
      </c>
      <c r="AF12" s="100">
        <v>7.8790474820576559</v>
      </c>
      <c r="AG12" s="100">
        <v>4434.3279229020482</v>
      </c>
      <c r="AH12" s="100">
        <v>2.2801974065055894</v>
      </c>
      <c r="AI12" s="100">
        <v>1283.2951003813457</v>
      </c>
      <c r="AJ12" s="100">
        <v>9.483767011542616</v>
      </c>
      <c r="AK12" s="100">
        <v>5337.464074096184</v>
      </c>
      <c r="AL12" s="100">
        <v>5.0937643655135609</v>
      </c>
      <c r="AM12" s="100">
        <v>2866.7705849110321</v>
      </c>
      <c r="AN12" s="100">
        <v>6</v>
      </c>
      <c r="AO12" s="100">
        <v>3376.7999999999997</v>
      </c>
      <c r="AP12" s="100">
        <v>8.1817000974662228</v>
      </c>
      <c r="AQ12" s="100">
        <v>4604.6608148539899</v>
      </c>
      <c r="AR12" s="100">
        <v>2.6406838928318157</v>
      </c>
      <c r="AS12" s="100">
        <v>1486.1768948857457</v>
      </c>
      <c r="AT12" s="100">
        <v>4.8963735907175154</v>
      </c>
      <c r="AU12" s="100">
        <v>2755.6790568558176</v>
      </c>
      <c r="AV12" s="100">
        <v>2.3610922313637888</v>
      </c>
      <c r="AW12" s="100">
        <v>1328.8227078115401</v>
      </c>
      <c r="AX12" s="100">
        <v>8</v>
      </c>
      <c r="AY12" s="100">
        <v>4502.3999999999996</v>
      </c>
      <c r="AZ12" s="100">
        <v>8</v>
      </c>
      <c r="BA12" s="100">
        <v>4502.3999999999996</v>
      </c>
      <c r="BB12" s="100">
        <v>6</v>
      </c>
      <c r="BC12" s="100">
        <v>3376.7999999999997</v>
      </c>
      <c r="BD12" s="100">
        <v>10</v>
      </c>
      <c r="BE12" s="100">
        <v>5628</v>
      </c>
      <c r="BF12" s="100">
        <v>5</v>
      </c>
      <c r="BG12" s="100">
        <v>2814</v>
      </c>
      <c r="BH12" s="100">
        <v>5.3447975296689467</v>
      </c>
      <c r="BI12" s="100">
        <v>3008.0520496976828</v>
      </c>
      <c r="BJ12" s="100">
        <v>1.1272272448082625</v>
      </c>
      <c r="BK12" s="100">
        <v>634.40349337809005</v>
      </c>
      <c r="BL12" s="100">
        <v>8</v>
      </c>
      <c r="BM12" s="100">
        <v>4502.3999999999996</v>
      </c>
      <c r="BN12" s="100">
        <v>6</v>
      </c>
      <c r="BO12" s="100">
        <v>3376.7999999999997</v>
      </c>
      <c r="BP12" s="100">
        <v>11</v>
      </c>
      <c r="BQ12" s="100">
        <v>6190.7999999999993</v>
      </c>
      <c r="BR12" s="100">
        <v>10</v>
      </c>
      <c r="BS12" s="100">
        <v>5628</v>
      </c>
      <c r="BT12" s="100">
        <v>10.399590374252144</v>
      </c>
      <c r="BU12" s="100">
        <v>5852.8894626291058</v>
      </c>
      <c r="BV12" s="100">
        <v>6.6116687684980091</v>
      </c>
      <c r="BW12" s="100">
        <v>3721.0471829106791</v>
      </c>
      <c r="BX12" s="100">
        <v>5.2293752043404149</v>
      </c>
      <c r="BY12" s="100">
        <v>2943.0923650027853</v>
      </c>
      <c r="BZ12" s="100">
        <v>4.7225333725672467</v>
      </c>
      <c r="CA12" s="100">
        <v>2657.8417820808463</v>
      </c>
      <c r="CB12" s="100">
        <v>5.6945673419587504</v>
      </c>
      <c r="CC12" s="100">
        <v>3204.9025000543843</v>
      </c>
      <c r="CD12" s="100">
        <v>6.0826254335031322</v>
      </c>
      <c r="CE12" s="100">
        <v>3423.3015939755624</v>
      </c>
      <c r="CF12" s="100">
        <v>4.9092462602541236</v>
      </c>
      <c r="CG12" s="100">
        <v>2762.9237952710205</v>
      </c>
      <c r="CH12" s="100">
        <v>8.0566642629124079</v>
      </c>
      <c r="CI12" s="100">
        <v>4534.2906471671031</v>
      </c>
      <c r="CJ12" s="100">
        <v>5.6340684394755707</v>
      </c>
      <c r="CK12" s="100">
        <v>3170.8537177368507</v>
      </c>
      <c r="CL12" s="100">
        <v>6.0465030842433887</v>
      </c>
      <c r="CM12" s="100">
        <v>3402.9719358121788</v>
      </c>
      <c r="CN12" s="100">
        <v>7.5294328879430488</v>
      </c>
      <c r="CO12" s="100">
        <v>4237.5648293343475</v>
      </c>
      <c r="CP12" s="100">
        <v>9</v>
      </c>
      <c r="CQ12" s="100">
        <v>5065.2</v>
      </c>
      <c r="CR12" s="100">
        <v>9</v>
      </c>
      <c r="CS12" s="100">
        <v>5065.2</v>
      </c>
      <c r="CT12" s="100">
        <v>10.584306922399856</v>
      </c>
      <c r="CU12" s="100">
        <v>5956.8479359266385</v>
      </c>
    </row>
    <row r="13" spans="1:99">
      <c r="C13" s="99" t="s">
        <v>179</v>
      </c>
      <c r="D13" s="100">
        <v>8</v>
      </c>
      <c r="E13" s="100">
        <v>681.6</v>
      </c>
      <c r="F13" s="100">
        <v>8</v>
      </c>
      <c r="G13" s="100">
        <v>681.6</v>
      </c>
      <c r="H13" s="100">
        <v>8</v>
      </c>
      <c r="I13" s="100">
        <v>681.6</v>
      </c>
      <c r="J13" s="100">
        <v>6</v>
      </c>
      <c r="K13" s="100">
        <v>511.20000000000005</v>
      </c>
      <c r="L13" s="100">
        <v>7</v>
      </c>
      <c r="M13" s="100">
        <v>596.4</v>
      </c>
      <c r="N13" s="100">
        <v>9</v>
      </c>
      <c r="O13" s="100">
        <v>766.80000000000007</v>
      </c>
      <c r="P13" s="100">
        <v>7</v>
      </c>
      <c r="Q13" s="100">
        <v>596.4</v>
      </c>
      <c r="R13" s="100">
        <v>8</v>
      </c>
      <c r="S13" s="100">
        <v>681.6</v>
      </c>
      <c r="T13" s="100">
        <v>7</v>
      </c>
      <c r="U13" s="100">
        <v>596.4</v>
      </c>
      <c r="V13" s="100">
        <v>5</v>
      </c>
      <c r="W13" s="100">
        <v>426</v>
      </c>
      <c r="X13" s="100">
        <v>5.4595801676298459</v>
      </c>
      <c r="Y13" s="100">
        <v>465.15623028206289</v>
      </c>
      <c r="Z13" s="100">
        <v>7</v>
      </c>
      <c r="AA13" s="100">
        <v>596.4</v>
      </c>
      <c r="AB13" s="100">
        <v>5.3902750294852684</v>
      </c>
      <c r="AC13" s="100">
        <v>459.2514325121449</v>
      </c>
      <c r="AD13" s="100">
        <v>4.0103950363433682</v>
      </c>
      <c r="AE13" s="100">
        <v>341.68565709645497</v>
      </c>
      <c r="AF13" s="100">
        <v>6.911395978148609</v>
      </c>
      <c r="AG13" s="100">
        <v>588.85093733826147</v>
      </c>
      <c r="AH13" s="100">
        <v>2.2801974065055894</v>
      </c>
      <c r="AI13" s="100">
        <v>194.27281903427624</v>
      </c>
      <c r="AJ13" s="100">
        <v>8.5353903103883546</v>
      </c>
      <c r="AK13" s="100">
        <v>727.21525444508779</v>
      </c>
      <c r="AL13" s="100">
        <v>5.0937643655135609</v>
      </c>
      <c r="AM13" s="100">
        <v>433.98872394175538</v>
      </c>
      <c r="AN13" s="100">
        <v>5</v>
      </c>
      <c r="AO13" s="100">
        <v>426</v>
      </c>
      <c r="AP13" s="100">
        <v>9.1557429406853341</v>
      </c>
      <c r="AQ13" s="100">
        <v>780.06929854639054</v>
      </c>
      <c r="AR13" s="100">
        <v>3.0104522682508525</v>
      </c>
      <c r="AS13" s="100">
        <v>256.49053325497266</v>
      </c>
      <c r="AT13" s="100">
        <v>4.8963735907175154</v>
      </c>
      <c r="AU13" s="100">
        <v>417.17102992913232</v>
      </c>
      <c r="AV13" s="100">
        <v>2.3610922313637888</v>
      </c>
      <c r="AW13" s="100">
        <v>201.1650581121948</v>
      </c>
      <c r="AX13" s="100">
        <v>9</v>
      </c>
      <c r="AY13" s="100">
        <v>766.80000000000007</v>
      </c>
      <c r="AZ13" s="100">
        <v>8</v>
      </c>
      <c r="BA13" s="100">
        <v>681.6</v>
      </c>
      <c r="BB13" s="100">
        <v>6</v>
      </c>
      <c r="BC13" s="100">
        <v>511.20000000000005</v>
      </c>
      <c r="BD13" s="100">
        <v>11</v>
      </c>
      <c r="BE13" s="100">
        <v>937.2</v>
      </c>
      <c r="BF13" s="100">
        <v>6</v>
      </c>
      <c r="BG13" s="100">
        <v>511.20000000000005</v>
      </c>
      <c r="BH13" s="100">
        <v>5.379277282635841</v>
      </c>
      <c r="BI13" s="100">
        <v>458.31442448057368</v>
      </c>
      <c r="BJ13" s="100">
        <v>1.1272272448082625</v>
      </c>
      <c r="BK13" s="100">
        <v>96.039761257663969</v>
      </c>
      <c r="BL13" s="100">
        <v>9</v>
      </c>
      <c r="BM13" s="100">
        <v>766.80000000000007</v>
      </c>
      <c r="BN13" s="100">
        <v>6</v>
      </c>
      <c r="BO13" s="100">
        <v>511.20000000000005</v>
      </c>
      <c r="BP13" s="100">
        <v>11</v>
      </c>
      <c r="BQ13" s="100">
        <v>937.2</v>
      </c>
      <c r="BR13" s="100">
        <v>10</v>
      </c>
      <c r="BS13" s="100">
        <v>852</v>
      </c>
      <c r="BT13" s="100">
        <v>10.449539171033662</v>
      </c>
      <c r="BU13" s="100">
        <v>890.30073737206794</v>
      </c>
      <c r="BV13" s="100">
        <v>6.6116687684980091</v>
      </c>
      <c r="BW13" s="100">
        <v>563.31417907603043</v>
      </c>
      <c r="BX13" s="100">
        <v>4.4994263632267559</v>
      </c>
      <c r="BY13" s="100">
        <v>383.35112614691963</v>
      </c>
      <c r="BZ13" s="100">
        <v>3.9402983393345083</v>
      </c>
      <c r="CA13" s="100">
        <v>335.71341851130012</v>
      </c>
      <c r="CB13" s="100">
        <v>6.3272970466208331</v>
      </c>
      <c r="CC13" s="100">
        <v>539.08570837209504</v>
      </c>
      <c r="CD13" s="100">
        <v>6.0826254335031322</v>
      </c>
      <c r="CE13" s="100">
        <v>518.23968693446693</v>
      </c>
      <c r="CF13" s="100">
        <v>5.7274539702964775</v>
      </c>
      <c r="CG13" s="100">
        <v>487.9790782692599</v>
      </c>
      <c r="CH13" s="100">
        <v>9.0647591576141799</v>
      </c>
      <c r="CI13" s="100">
        <v>772.31748022872819</v>
      </c>
      <c r="CJ13" s="100">
        <v>5.6340684394755707</v>
      </c>
      <c r="CK13" s="100">
        <v>480.02263104331865</v>
      </c>
      <c r="CL13" s="100">
        <v>6.0465030842433887</v>
      </c>
      <c r="CM13" s="100">
        <v>515.16206277753668</v>
      </c>
      <c r="CN13" s="100">
        <v>7.5294328879430488</v>
      </c>
      <c r="CO13" s="100">
        <v>641.50768205274778</v>
      </c>
      <c r="CP13" s="100">
        <v>8</v>
      </c>
      <c r="CQ13" s="100">
        <v>681.6</v>
      </c>
      <c r="CR13" s="100">
        <v>10</v>
      </c>
      <c r="CS13" s="100">
        <v>852</v>
      </c>
      <c r="CT13" s="100">
        <v>10.535614678866533</v>
      </c>
      <c r="CU13" s="100">
        <v>897.63437063942865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8</v>
      </c>
      <c r="G14" s="100">
        <v>3907.2</v>
      </c>
      <c r="H14" s="100">
        <v>7</v>
      </c>
      <c r="I14" s="100">
        <v>3418.7999999999997</v>
      </c>
      <c r="J14" s="100">
        <v>6</v>
      </c>
      <c r="K14" s="100">
        <v>2930.3999999999996</v>
      </c>
      <c r="L14" s="100">
        <v>6</v>
      </c>
      <c r="M14" s="100">
        <v>2930.3999999999996</v>
      </c>
      <c r="N14" s="100">
        <v>8</v>
      </c>
      <c r="O14" s="100">
        <v>3907.2</v>
      </c>
      <c r="P14" s="100">
        <v>6</v>
      </c>
      <c r="Q14" s="100">
        <v>2930.3999999999996</v>
      </c>
      <c r="R14" s="100">
        <v>8</v>
      </c>
      <c r="S14" s="100">
        <v>3907.2</v>
      </c>
      <c r="T14" s="100">
        <v>7</v>
      </c>
      <c r="U14" s="100">
        <v>3418.7999999999997</v>
      </c>
      <c r="V14" s="100">
        <v>6</v>
      </c>
      <c r="W14" s="100">
        <v>2930.3999999999996</v>
      </c>
      <c r="X14" s="100">
        <v>5.5055381843928304</v>
      </c>
      <c r="Y14" s="100">
        <v>2688.9048492574584</v>
      </c>
      <c r="Z14" s="100">
        <v>6</v>
      </c>
      <c r="AA14" s="100">
        <v>2930.3999999999996</v>
      </c>
      <c r="AB14" s="100">
        <v>5.3414906507996101</v>
      </c>
      <c r="AC14" s="100">
        <v>2608.7840338505293</v>
      </c>
      <c r="AD14" s="100">
        <v>3.4374814597228869</v>
      </c>
      <c r="AE14" s="100">
        <v>1678.8659449286579</v>
      </c>
      <c r="AF14" s="100">
        <v>7.8790474820576559</v>
      </c>
      <c r="AG14" s="100">
        <v>3848.1267902369591</v>
      </c>
      <c r="AH14" s="100">
        <v>2.2801974065055894</v>
      </c>
      <c r="AI14" s="100">
        <v>1113.6484133373299</v>
      </c>
      <c r="AJ14" s="100">
        <v>9.483767011542616</v>
      </c>
      <c r="AK14" s="100">
        <v>4631.8718084374132</v>
      </c>
      <c r="AL14" s="100">
        <v>5.0937643655135609</v>
      </c>
      <c r="AM14" s="100">
        <v>2487.7945161168232</v>
      </c>
      <c r="AN14" s="100">
        <v>6</v>
      </c>
      <c r="AO14" s="100">
        <v>2930.3999999999996</v>
      </c>
      <c r="AP14" s="100">
        <v>9.1817000974662228</v>
      </c>
      <c r="AQ14" s="100">
        <v>4484.3423276025032</v>
      </c>
      <c r="AR14" s="100">
        <v>2.6232488045322966</v>
      </c>
      <c r="AS14" s="100">
        <v>1281.1947161335736</v>
      </c>
      <c r="AT14" s="100">
        <v>4.8963735907175154</v>
      </c>
      <c r="AU14" s="100">
        <v>2391.3888617064345</v>
      </c>
      <c r="AV14" s="100">
        <v>2.1249830082274097</v>
      </c>
      <c r="AW14" s="100">
        <v>1037.841701218267</v>
      </c>
      <c r="AX14" s="100">
        <v>10</v>
      </c>
      <c r="AY14" s="100">
        <v>4884</v>
      </c>
      <c r="AZ14" s="100">
        <v>9</v>
      </c>
      <c r="BA14" s="100">
        <v>4395.5999999999995</v>
      </c>
      <c r="BB14" s="100">
        <v>5</v>
      </c>
      <c r="BC14" s="100">
        <v>2442</v>
      </c>
      <c r="BD14" s="100">
        <v>9</v>
      </c>
      <c r="BE14" s="100">
        <v>4395.5999999999995</v>
      </c>
      <c r="BF14" s="100">
        <v>6</v>
      </c>
      <c r="BG14" s="100">
        <v>2930.3999999999996</v>
      </c>
      <c r="BH14" s="100">
        <v>5.3447975296689467</v>
      </c>
      <c r="BI14" s="100">
        <v>2610.3991134903135</v>
      </c>
      <c r="BJ14" s="100">
        <v>1.3150984522763063</v>
      </c>
      <c r="BK14" s="100">
        <v>642.294084091748</v>
      </c>
      <c r="BL14" s="100">
        <v>9</v>
      </c>
      <c r="BM14" s="100">
        <v>4395.5999999999995</v>
      </c>
      <c r="BN14" s="100">
        <v>6</v>
      </c>
      <c r="BO14" s="100">
        <v>2930.3999999999996</v>
      </c>
      <c r="BP14" s="100">
        <v>9</v>
      </c>
      <c r="BQ14" s="100">
        <v>4395.5999999999995</v>
      </c>
      <c r="BR14" s="100">
        <v>8</v>
      </c>
      <c r="BS14" s="100">
        <v>3907.2</v>
      </c>
      <c r="BT14" s="100">
        <v>9.3995903742521438</v>
      </c>
      <c r="BU14" s="100">
        <v>4590.7599387847467</v>
      </c>
      <c r="BV14" s="100">
        <v>6.6116687684980091</v>
      </c>
      <c r="BW14" s="100">
        <v>3229.1390265344276</v>
      </c>
      <c r="BX14" s="100">
        <v>5.2293752043404149</v>
      </c>
      <c r="BY14" s="100">
        <v>2554.0268497998586</v>
      </c>
      <c r="BZ14" s="100">
        <v>3.9344737047003453</v>
      </c>
      <c r="CA14" s="100">
        <v>1921.5969573756486</v>
      </c>
      <c r="CB14" s="100">
        <v>5.6945673419587504</v>
      </c>
      <c r="CC14" s="100">
        <v>2781.2266898126536</v>
      </c>
      <c r="CD14" s="100">
        <v>5.0963963390869873</v>
      </c>
      <c r="CE14" s="100">
        <v>2489.0799720100845</v>
      </c>
      <c r="CF14" s="100">
        <v>5.7274539702964775</v>
      </c>
      <c r="CG14" s="100">
        <v>2797.2885190927996</v>
      </c>
      <c r="CH14" s="100">
        <v>8.0566642629124079</v>
      </c>
      <c r="CI14" s="100">
        <v>3934.8748260064199</v>
      </c>
      <c r="CJ14" s="100">
        <v>4.8292015195504892</v>
      </c>
      <c r="CK14" s="100">
        <v>2358.5820221484587</v>
      </c>
      <c r="CL14" s="100">
        <v>7.0465030842433887</v>
      </c>
      <c r="CM14" s="100">
        <v>3441.5121063444708</v>
      </c>
      <c r="CN14" s="100">
        <v>6.7764895991487437</v>
      </c>
      <c r="CO14" s="100">
        <v>3309.6375202242461</v>
      </c>
      <c r="CP14" s="100">
        <v>9</v>
      </c>
      <c r="CQ14" s="100">
        <v>4395.5999999999995</v>
      </c>
      <c r="CR14" s="100">
        <v>10</v>
      </c>
      <c r="CS14" s="100">
        <v>4884</v>
      </c>
      <c r="CT14" s="100">
        <v>9.5843069223998558</v>
      </c>
      <c r="CU14" s="100">
        <v>4680.9755009000892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8</v>
      </c>
      <c r="G15" s="100">
        <v>6105.5999999999995</v>
      </c>
      <c r="H15" s="100">
        <v>8</v>
      </c>
      <c r="I15" s="100">
        <v>6105.5999999999995</v>
      </c>
      <c r="J15" s="100">
        <v>6</v>
      </c>
      <c r="K15" s="100">
        <v>4579.2</v>
      </c>
      <c r="L15" s="100">
        <v>6</v>
      </c>
      <c r="M15" s="100">
        <v>4579.2</v>
      </c>
      <c r="N15" s="100">
        <v>9</v>
      </c>
      <c r="O15" s="100">
        <v>6868.7999999999993</v>
      </c>
      <c r="P15" s="100">
        <v>6</v>
      </c>
      <c r="Q15" s="100">
        <v>4579.2</v>
      </c>
      <c r="R15" s="100">
        <v>7</v>
      </c>
      <c r="S15" s="100">
        <v>5342.4</v>
      </c>
      <c r="T15" s="100">
        <v>7</v>
      </c>
      <c r="U15" s="100">
        <v>5342.4</v>
      </c>
      <c r="V15" s="100">
        <v>5</v>
      </c>
      <c r="W15" s="100">
        <v>3815.9999999999995</v>
      </c>
      <c r="X15" s="100">
        <v>5.5055381843928304</v>
      </c>
      <c r="Y15" s="100">
        <v>4201.8267423286079</v>
      </c>
      <c r="Z15" s="100">
        <v>6</v>
      </c>
      <c r="AA15" s="100">
        <v>4579.2</v>
      </c>
      <c r="AB15" s="100">
        <v>5.3902750294852684</v>
      </c>
      <c r="AC15" s="100">
        <v>4113.8579025031568</v>
      </c>
      <c r="AD15" s="100">
        <v>3.4374814597228869</v>
      </c>
      <c r="AE15" s="100">
        <v>2623.4858500605069</v>
      </c>
      <c r="AF15" s="100">
        <v>6.9573411284103628</v>
      </c>
      <c r="AG15" s="100">
        <v>5309.8427492027886</v>
      </c>
      <c r="AH15" s="100">
        <v>2.2801974065055894</v>
      </c>
      <c r="AI15" s="100">
        <v>1740.2466606450657</v>
      </c>
      <c r="AJ15" s="100">
        <v>8.5353903103883546</v>
      </c>
      <c r="AK15" s="100">
        <v>6514.2098848883916</v>
      </c>
      <c r="AL15" s="100">
        <v>5.0937643655135609</v>
      </c>
      <c r="AM15" s="100">
        <v>3887.5609637599496</v>
      </c>
      <c r="AN15" s="100">
        <v>6</v>
      </c>
      <c r="AO15" s="100">
        <v>4579.2</v>
      </c>
      <c r="AP15" s="100">
        <v>9.1817000974662228</v>
      </c>
      <c r="AQ15" s="100">
        <v>7007.4735143862208</v>
      </c>
      <c r="AR15" s="100">
        <v>2.6232488045322966</v>
      </c>
      <c r="AS15" s="100">
        <v>2002.0634876190486</v>
      </c>
      <c r="AT15" s="100">
        <v>4.8963735907175154</v>
      </c>
      <c r="AU15" s="100">
        <v>3736.9123244356074</v>
      </c>
      <c r="AV15" s="100">
        <v>2.1249830082274097</v>
      </c>
      <c r="AW15" s="100">
        <v>1621.787031879159</v>
      </c>
      <c r="AX15" s="100">
        <v>9</v>
      </c>
      <c r="AY15" s="100">
        <v>6868.7999999999993</v>
      </c>
      <c r="AZ15" s="100">
        <v>8</v>
      </c>
      <c r="BA15" s="100">
        <v>6105.5999999999995</v>
      </c>
      <c r="BB15" s="100">
        <v>5</v>
      </c>
      <c r="BC15" s="100">
        <v>3815.9999999999995</v>
      </c>
      <c r="BD15" s="100">
        <v>10</v>
      </c>
      <c r="BE15" s="100">
        <v>7631.9999999999991</v>
      </c>
      <c r="BF15" s="100">
        <v>6</v>
      </c>
      <c r="BG15" s="100">
        <v>4579.2</v>
      </c>
      <c r="BH15" s="100">
        <v>6.379277282635841</v>
      </c>
      <c r="BI15" s="100">
        <v>4868.6644221076731</v>
      </c>
      <c r="BJ15" s="100">
        <v>1.3150984522763063</v>
      </c>
      <c r="BK15" s="100">
        <v>1003.6831387772769</v>
      </c>
      <c r="BL15" s="100">
        <v>9</v>
      </c>
      <c r="BM15" s="100">
        <v>6868.7999999999993</v>
      </c>
      <c r="BN15" s="100">
        <v>7</v>
      </c>
      <c r="BO15" s="100">
        <v>5342.4</v>
      </c>
      <c r="BP15" s="100">
        <v>11</v>
      </c>
      <c r="BQ15" s="100">
        <v>8395.1999999999989</v>
      </c>
      <c r="BR15" s="100">
        <v>9</v>
      </c>
      <c r="BS15" s="100">
        <v>6868.7999999999993</v>
      </c>
      <c r="BT15" s="100">
        <v>9.3995903742521438</v>
      </c>
      <c r="BU15" s="100">
        <v>7173.7673736292354</v>
      </c>
      <c r="BV15" s="100">
        <v>5.968390636807734</v>
      </c>
      <c r="BW15" s="100">
        <v>4555.0757340116625</v>
      </c>
      <c r="BX15" s="100">
        <v>4.4994263632267559</v>
      </c>
      <c r="BY15" s="100">
        <v>3433.9622004146599</v>
      </c>
      <c r="BZ15" s="100">
        <v>4.7108841032989206</v>
      </c>
      <c r="CA15" s="100">
        <v>3595.3467476377359</v>
      </c>
      <c r="CB15" s="100">
        <v>5.6945673419587504</v>
      </c>
      <c r="CC15" s="100">
        <v>4346.093795382918</v>
      </c>
      <c r="CD15" s="100">
        <v>5.0826254335031322</v>
      </c>
      <c r="CE15" s="100">
        <v>3879.0597308495903</v>
      </c>
      <c r="CF15" s="100">
        <v>5.7274539702964775</v>
      </c>
      <c r="CG15" s="100">
        <v>4371.1928701302713</v>
      </c>
      <c r="CH15" s="100">
        <v>8.0647591576141799</v>
      </c>
      <c r="CI15" s="100">
        <v>6155.024189091142</v>
      </c>
      <c r="CJ15" s="100">
        <v>5.6340684394755707</v>
      </c>
      <c r="CK15" s="100">
        <v>4299.9210330077549</v>
      </c>
      <c r="CL15" s="100">
        <v>7.0398597864943335</v>
      </c>
      <c r="CM15" s="100">
        <v>5372.8209890524749</v>
      </c>
      <c r="CN15" s="100">
        <v>6.0235463103544395</v>
      </c>
      <c r="CO15" s="100">
        <v>4597.1705440625083</v>
      </c>
      <c r="CP15" s="100">
        <v>9</v>
      </c>
      <c r="CQ15" s="100">
        <v>6868.7999999999993</v>
      </c>
      <c r="CR15" s="100">
        <v>9</v>
      </c>
      <c r="CS15" s="100">
        <v>6868.7999999999993</v>
      </c>
      <c r="CT15" s="100">
        <v>10.535614678866533</v>
      </c>
      <c r="CU15" s="100">
        <v>8040.7811229109375</v>
      </c>
    </row>
    <row r="16" spans="1:99">
      <c r="C16" s="99" t="s">
        <v>182</v>
      </c>
      <c r="D16" s="100">
        <v>7</v>
      </c>
      <c r="E16" s="100">
        <v>2385.6</v>
      </c>
      <c r="F16" s="100">
        <v>8</v>
      </c>
      <c r="G16" s="100">
        <v>2726.4</v>
      </c>
      <c r="H16" s="100">
        <v>7</v>
      </c>
      <c r="I16" s="100">
        <v>2385.6</v>
      </c>
      <c r="J16" s="100">
        <v>6</v>
      </c>
      <c r="K16" s="100">
        <v>2044.8000000000002</v>
      </c>
      <c r="L16" s="100">
        <v>7</v>
      </c>
      <c r="M16" s="100">
        <v>2385.6</v>
      </c>
      <c r="N16" s="100">
        <v>9</v>
      </c>
      <c r="O16" s="100">
        <v>3067.2000000000003</v>
      </c>
      <c r="P16" s="100">
        <v>6</v>
      </c>
      <c r="Q16" s="100">
        <v>2044.8000000000002</v>
      </c>
      <c r="R16" s="100">
        <v>7</v>
      </c>
      <c r="S16" s="100">
        <v>2385.6</v>
      </c>
      <c r="T16" s="100">
        <v>7</v>
      </c>
      <c r="U16" s="100">
        <v>2385.6</v>
      </c>
      <c r="V16" s="100">
        <v>6</v>
      </c>
      <c r="W16" s="100">
        <v>2044.8000000000002</v>
      </c>
      <c r="X16" s="100">
        <v>5.5055381843928304</v>
      </c>
      <c r="Y16" s="100">
        <v>1876.2874132410766</v>
      </c>
      <c r="Z16" s="100">
        <v>6</v>
      </c>
      <c r="AA16" s="100">
        <v>2044.8000000000002</v>
      </c>
      <c r="AB16" s="100">
        <v>5.4390594081709267</v>
      </c>
      <c r="AC16" s="100">
        <v>1853.6314463046519</v>
      </c>
      <c r="AD16" s="100">
        <v>4.0103950363433682</v>
      </c>
      <c r="AE16" s="100">
        <v>1366.7426283858199</v>
      </c>
      <c r="AF16" s="100">
        <v>6.911395978148609</v>
      </c>
      <c r="AG16" s="100">
        <v>2355.4037493530459</v>
      </c>
      <c r="AH16" s="100">
        <v>2.6602303075898543</v>
      </c>
      <c r="AI16" s="100">
        <v>906.60648882662235</v>
      </c>
      <c r="AJ16" s="100">
        <v>9.483767011542616</v>
      </c>
      <c r="AK16" s="100">
        <v>3232.0677975337235</v>
      </c>
      <c r="AL16" s="100">
        <v>5.0937643655135609</v>
      </c>
      <c r="AM16" s="100">
        <v>1735.9548957670215</v>
      </c>
      <c r="AN16" s="100">
        <v>6</v>
      </c>
      <c r="AO16" s="100">
        <v>2044.8000000000002</v>
      </c>
      <c r="AP16" s="100">
        <v>8.1817000974662228</v>
      </c>
      <c r="AQ16" s="100">
        <v>2788.323393216489</v>
      </c>
      <c r="AR16" s="100">
        <v>2.6232488045322966</v>
      </c>
      <c r="AS16" s="100">
        <v>894.00319258460672</v>
      </c>
      <c r="AT16" s="100">
        <v>4.8774226724314396</v>
      </c>
      <c r="AU16" s="100">
        <v>1662.2256467646346</v>
      </c>
      <c r="AV16" s="100">
        <v>2.1249830082274097</v>
      </c>
      <c r="AW16" s="100">
        <v>724.19420920390121</v>
      </c>
      <c r="AX16" s="100">
        <v>9</v>
      </c>
      <c r="AY16" s="100">
        <v>3067.2000000000003</v>
      </c>
      <c r="AZ16" s="100">
        <v>8</v>
      </c>
      <c r="BA16" s="100">
        <v>2726.4</v>
      </c>
      <c r="BB16" s="100">
        <v>5</v>
      </c>
      <c r="BC16" s="100">
        <v>1704</v>
      </c>
      <c r="BD16" s="100">
        <v>10</v>
      </c>
      <c r="BE16" s="100">
        <v>3408</v>
      </c>
      <c r="BF16" s="100">
        <v>5</v>
      </c>
      <c r="BG16" s="100">
        <v>1704</v>
      </c>
      <c r="BH16" s="100">
        <v>6.3447975296689467</v>
      </c>
      <c r="BI16" s="100">
        <v>2162.3069981111771</v>
      </c>
      <c r="BJ16" s="100">
        <v>1.1272272448082625</v>
      </c>
      <c r="BK16" s="100">
        <v>384.15904503065588</v>
      </c>
      <c r="BL16" s="100">
        <v>10</v>
      </c>
      <c r="BM16" s="100">
        <v>3408</v>
      </c>
      <c r="BN16" s="100">
        <v>6</v>
      </c>
      <c r="BO16" s="100">
        <v>2044.8000000000002</v>
      </c>
      <c r="BP16" s="100">
        <v>11</v>
      </c>
      <c r="BQ16" s="100">
        <v>3748.8</v>
      </c>
      <c r="BR16" s="100">
        <v>9</v>
      </c>
      <c r="BS16" s="100">
        <v>3067.2000000000003</v>
      </c>
      <c r="BT16" s="100">
        <v>10.399590374252144</v>
      </c>
      <c r="BU16" s="100">
        <v>3544.1803995451305</v>
      </c>
      <c r="BV16" s="100">
        <v>5.9505018916482086</v>
      </c>
      <c r="BW16" s="100">
        <v>2027.9310446737095</v>
      </c>
      <c r="BX16" s="100">
        <v>4.5143930277948563</v>
      </c>
      <c r="BY16" s="100">
        <v>1538.505143872487</v>
      </c>
      <c r="BZ16" s="100">
        <v>3.9461229739686714</v>
      </c>
      <c r="CA16" s="100">
        <v>1344.8387095285232</v>
      </c>
      <c r="CB16" s="100">
        <v>5.6945673419587504</v>
      </c>
      <c r="CC16" s="100">
        <v>1940.7085501395422</v>
      </c>
      <c r="CD16" s="100">
        <v>6.0963963390869873</v>
      </c>
      <c r="CE16" s="100">
        <v>2077.6518723608451</v>
      </c>
      <c r="CF16" s="100">
        <v>5.7274539702964775</v>
      </c>
      <c r="CG16" s="100">
        <v>1951.9163130770396</v>
      </c>
      <c r="CH16" s="100">
        <v>8.0566642629124079</v>
      </c>
      <c r="CI16" s="100">
        <v>2745.7111808005488</v>
      </c>
      <c r="CJ16" s="100">
        <v>5.6340684394755707</v>
      </c>
      <c r="CK16" s="100">
        <v>1920.0905241732746</v>
      </c>
      <c r="CL16" s="100">
        <v>6.0465030842433887</v>
      </c>
      <c r="CM16" s="100">
        <v>2060.6482511101467</v>
      </c>
      <c r="CN16" s="100">
        <v>7.5294328879430488</v>
      </c>
      <c r="CO16" s="100">
        <v>2566.0307282109911</v>
      </c>
      <c r="CP16" s="100">
        <v>8</v>
      </c>
      <c r="CQ16" s="100">
        <v>2726.4</v>
      </c>
      <c r="CR16" s="100">
        <v>11</v>
      </c>
      <c r="CS16" s="100">
        <v>3748.8</v>
      </c>
      <c r="CT16" s="100">
        <v>11.584306922399856</v>
      </c>
      <c r="CU16" s="100">
        <v>3947.931799153871</v>
      </c>
    </row>
    <row r="17" spans="2:99">
      <c r="C17" s="99" t="s">
        <v>183</v>
      </c>
      <c r="D17" s="100">
        <v>8</v>
      </c>
      <c r="E17" s="100">
        <v>3379.2</v>
      </c>
      <c r="F17" s="100">
        <v>8</v>
      </c>
      <c r="G17" s="100">
        <v>3379.2</v>
      </c>
      <c r="H17" s="100">
        <v>8</v>
      </c>
      <c r="I17" s="100">
        <v>3379.2</v>
      </c>
      <c r="J17" s="100">
        <v>6</v>
      </c>
      <c r="K17" s="100">
        <v>2534.3999999999996</v>
      </c>
      <c r="L17" s="100">
        <v>6</v>
      </c>
      <c r="M17" s="100">
        <v>2534.3999999999996</v>
      </c>
      <c r="N17" s="100">
        <v>8</v>
      </c>
      <c r="O17" s="100">
        <v>3379.2</v>
      </c>
      <c r="P17" s="100">
        <v>6</v>
      </c>
      <c r="Q17" s="100">
        <v>2534.3999999999996</v>
      </c>
      <c r="R17" s="100">
        <v>7</v>
      </c>
      <c r="S17" s="100">
        <v>2956.7999999999997</v>
      </c>
      <c r="T17" s="100">
        <v>7</v>
      </c>
      <c r="U17" s="100">
        <v>2956.7999999999997</v>
      </c>
      <c r="V17" s="100">
        <v>6</v>
      </c>
      <c r="W17" s="100">
        <v>2534.3999999999996</v>
      </c>
      <c r="X17" s="100">
        <v>5.4595801676298459</v>
      </c>
      <c r="Y17" s="100">
        <v>2306.126662806847</v>
      </c>
      <c r="Z17" s="100">
        <v>7</v>
      </c>
      <c r="AA17" s="100">
        <v>2956.7999999999997</v>
      </c>
      <c r="AB17" s="100">
        <v>5.3902750294852684</v>
      </c>
      <c r="AC17" s="100">
        <v>2276.8521724545772</v>
      </c>
      <c r="AD17" s="100">
        <v>4.0103950363433682</v>
      </c>
      <c r="AE17" s="100">
        <v>1693.9908633514387</v>
      </c>
      <c r="AF17" s="100">
        <v>7.0032862786721184</v>
      </c>
      <c r="AG17" s="100">
        <v>2958.1881241111028</v>
      </c>
      <c r="AH17" s="100">
        <v>2.6602303075898543</v>
      </c>
      <c r="AI17" s="100">
        <v>1123.6812819259544</v>
      </c>
      <c r="AJ17" s="100">
        <v>8.5353903103883546</v>
      </c>
      <c r="AK17" s="100">
        <v>3605.3488671080408</v>
      </c>
      <c r="AL17" s="100">
        <v>5.0937643655135609</v>
      </c>
      <c r="AM17" s="100">
        <v>2151.6060679929278</v>
      </c>
      <c r="AN17" s="100">
        <v>6</v>
      </c>
      <c r="AO17" s="100">
        <v>2534.3999999999996</v>
      </c>
      <c r="AP17" s="100">
        <v>8.1817000974662228</v>
      </c>
      <c r="AQ17" s="100">
        <v>3455.9501211697325</v>
      </c>
      <c r="AR17" s="100">
        <v>2.6232488045322966</v>
      </c>
      <c r="AS17" s="100">
        <v>1108.0602950344421</v>
      </c>
      <c r="AT17" s="100">
        <v>4.4010509561599411</v>
      </c>
      <c r="AU17" s="100">
        <v>1859.0039238819591</v>
      </c>
      <c r="AV17" s="100">
        <v>2.3610922313637888</v>
      </c>
      <c r="AW17" s="100">
        <v>997.32535852806427</v>
      </c>
      <c r="AX17" s="100">
        <v>9</v>
      </c>
      <c r="AY17" s="100">
        <v>3801.6</v>
      </c>
      <c r="AZ17" s="100">
        <v>9</v>
      </c>
      <c r="BA17" s="100">
        <v>3801.6</v>
      </c>
      <c r="BB17" s="100">
        <v>5</v>
      </c>
      <c r="BC17" s="100">
        <v>2112</v>
      </c>
      <c r="BD17" s="100">
        <v>11</v>
      </c>
      <c r="BE17" s="100">
        <v>4646.3999999999996</v>
      </c>
      <c r="BF17" s="100">
        <v>6</v>
      </c>
      <c r="BG17" s="100">
        <v>2534.3999999999996</v>
      </c>
      <c r="BH17" s="100">
        <v>5.379277282635841</v>
      </c>
      <c r="BI17" s="100">
        <v>2272.2067241853792</v>
      </c>
      <c r="BJ17" s="100">
        <v>1.3150984522763063</v>
      </c>
      <c r="BK17" s="100">
        <v>555.49758624151173</v>
      </c>
      <c r="BL17" s="100">
        <v>10</v>
      </c>
      <c r="BM17" s="100">
        <v>4224</v>
      </c>
      <c r="BN17" s="100">
        <v>7</v>
      </c>
      <c r="BO17" s="100">
        <v>2956.7999999999997</v>
      </c>
      <c r="BP17" s="100">
        <v>10</v>
      </c>
      <c r="BQ17" s="100">
        <v>4224</v>
      </c>
      <c r="BR17" s="100">
        <v>9</v>
      </c>
      <c r="BS17" s="100">
        <v>3801.6</v>
      </c>
      <c r="BT17" s="100">
        <v>10.349641577470626</v>
      </c>
      <c r="BU17" s="100">
        <v>4371.688602323592</v>
      </c>
      <c r="BV17" s="100">
        <v>5.9326131464886807</v>
      </c>
      <c r="BW17" s="100">
        <v>2505.9357930768188</v>
      </c>
      <c r="BX17" s="100">
        <v>4.5143930277948563</v>
      </c>
      <c r="BY17" s="100">
        <v>1906.8796149405473</v>
      </c>
      <c r="BZ17" s="100">
        <v>4.7167087379330841</v>
      </c>
      <c r="CA17" s="100">
        <v>1992.3377709029346</v>
      </c>
      <c r="CB17" s="100">
        <v>6.3272970466208331</v>
      </c>
      <c r="CC17" s="100">
        <v>2672.6502724926399</v>
      </c>
      <c r="CD17" s="100">
        <v>5.0826254335031322</v>
      </c>
      <c r="CE17" s="100">
        <v>2146.9009831117228</v>
      </c>
      <c r="CF17" s="100">
        <v>4.9092462602541236</v>
      </c>
      <c r="CG17" s="100">
        <v>2073.6656203313419</v>
      </c>
      <c r="CH17" s="100">
        <v>9.0566642629124079</v>
      </c>
      <c r="CI17" s="100">
        <v>3825.5349846542008</v>
      </c>
      <c r="CJ17" s="100">
        <v>4.8292015195504892</v>
      </c>
      <c r="CK17" s="100">
        <v>2039.8547218581266</v>
      </c>
      <c r="CL17" s="100">
        <v>6.0465030842433887</v>
      </c>
      <c r="CM17" s="100">
        <v>2554.042902784407</v>
      </c>
      <c r="CN17" s="100">
        <v>6.7764895991487437</v>
      </c>
      <c r="CO17" s="100">
        <v>2862.3892066804292</v>
      </c>
      <c r="CP17" s="100">
        <v>8</v>
      </c>
      <c r="CQ17" s="100">
        <v>3379.2</v>
      </c>
      <c r="CR17" s="100">
        <v>11</v>
      </c>
      <c r="CS17" s="100">
        <v>4646.3999999999996</v>
      </c>
      <c r="CT17" s="100">
        <v>10.584306922399856</v>
      </c>
      <c r="CU17" s="100">
        <v>4470.8112440216992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9</v>
      </c>
      <c r="G18" s="100">
        <v>5875.2</v>
      </c>
      <c r="H18" s="100">
        <v>6</v>
      </c>
      <c r="I18" s="100">
        <v>3916.7999999999997</v>
      </c>
      <c r="J18" s="100">
        <v>6</v>
      </c>
      <c r="K18" s="100">
        <v>3916.7999999999997</v>
      </c>
      <c r="L18" s="100">
        <v>6</v>
      </c>
      <c r="M18" s="100">
        <v>3916.7999999999997</v>
      </c>
      <c r="N18" s="100">
        <v>8</v>
      </c>
      <c r="O18" s="100">
        <v>5222.3999999999996</v>
      </c>
      <c r="P18" s="100">
        <v>6</v>
      </c>
      <c r="Q18" s="100">
        <v>3916.7999999999997</v>
      </c>
      <c r="R18" s="100">
        <v>7</v>
      </c>
      <c r="S18" s="100">
        <v>4569.5999999999995</v>
      </c>
      <c r="T18" s="100">
        <v>7</v>
      </c>
      <c r="U18" s="100">
        <v>4569.5999999999995</v>
      </c>
      <c r="V18" s="100">
        <v>6</v>
      </c>
      <c r="W18" s="100">
        <v>3916.7999999999997</v>
      </c>
      <c r="X18" s="100">
        <v>5.4595801676298459</v>
      </c>
      <c r="Y18" s="100">
        <v>3564.0139334287633</v>
      </c>
      <c r="Z18" s="100">
        <v>7</v>
      </c>
      <c r="AA18" s="100">
        <v>4569.5999999999995</v>
      </c>
      <c r="AB18" s="100">
        <v>5.3902750294852684</v>
      </c>
      <c r="AC18" s="100">
        <v>3518.7715392479831</v>
      </c>
      <c r="AD18" s="100">
        <v>3.4374814597228869</v>
      </c>
      <c r="AE18" s="100">
        <v>2243.9878969071005</v>
      </c>
      <c r="AF18" s="100">
        <v>6.9573411284103628</v>
      </c>
      <c r="AG18" s="100">
        <v>4541.7522886262841</v>
      </c>
      <c r="AH18" s="100">
        <v>2.6602303075898543</v>
      </c>
      <c r="AI18" s="100">
        <v>1736.5983447946569</v>
      </c>
      <c r="AJ18" s="100">
        <v>8.5353903103883546</v>
      </c>
      <c r="AK18" s="100">
        <v>5571.9027946215174</v>
      </c>
      <c r="AL18" s="100">
        <v>5.0937643655135609</v>
      </c>
      <c r="AM18" s="100">
        <v>3325.2093778072522</v>
      </c>
      <c r="AN18" s="100">
        <v>6</v>
      </c>
      <c r="AO18" s="100">
        <v>3916.7999999999997</v>
      </c>
      <c r="AP18" s="100">
        <v>7.1817000974662228</v>
      </c>
      <c r="AQ18" s="100">
        <v>4688.2138236259498</v>
      </c>
      <c r="AR18" s="100">
        <v>2.9755820916518148</v>
      </c>
      <c r="AS18" s="100">
        <v>1942.4599894303046</v>
      </c>
      <c r="AT18" s="100">
        <v>4.4200018744460161</v>
      </c>
      <c r="AU18" s="100">
        <v>2885.3772236383593</v>
      </c>
      <c r="AV18" s="100">
        <v>2.1249830082274097</v>
      </c>
      <c r="AW18" s="100">
        <v>1387.1889077708529</v>
      </c>
      <c r="AX18" s="100">
        <v>9</v>
      </c>
      <c r="AY18" s="100">
        <v>5875.2</v>
      </c>
      <c r="AZ18" s="100">
        <v>9</v>
      </c>
      <c r="BA18" s="100">
        <v>5875.2</v>
      </c>
      <c r="BB18" s="100">
        <v>5</v>
      </c>
      <c r="BC18" s="100">
        <v>3264</v>
      </c>
      <c r="BD18" s="100">
        <v>10</v>
      </c>
      <c r="BE18" s="100">
        <v>6528</v>
      </c>
      <c r="BF18" s="100">
        <v>5</v>
      </c>
      <c r="BG18" s="100">
        <v>3264</v>
      </c>
      <c r="BH18" s="100">
        <v>5.379277282635841</v>
      </c>
      <c r="BI18" s="100">
        <v>3511.5922101046767</v>
      </c>
      <c r="BJ18" s="100">
        <v>1.1272272448082625</v>
      </c>
      <c r="BK18" s="100">
        <v>735.85394541083372</v>
      </c>
      <c r="BL18" s="100">
        <v>8</v>
      </c>
      <c r="BM18" s="100">
        <v>5222.3999999999996</v>
      </c>
      <c r="BN18" s="100">
        <v>6</v>
      </c>
      <c r="BO18" s="100">
        <v>3916.7999999999997</v>
      </c>
      <c r="BP18" s="100">
        <v>11</v>
      </c>
      <c r="BQ18" s="100">
        <v>7180.7999999999993</v>
      </c>
      <c r="BR18" s="100">
        <v>10</v>
      </c>
      <c r="BS18" s="100">
        <v>6528</v>
      </c>
      <c r="BT18" s="100">
        <v>10.449539171033662</v>
      </c>
      <c r="BU18" s="100">
        <v>6821.4591708507742</v>
      </c>
      <c r="BV18" s="100">
        <v>5.9505018916482086</v>
      </c>
      <c r="BW18" s="100">
        <v>3884.4876348679504</v>
      </c>
      <c r="BX18" s="100">
        <v>3.7545108575449961</v>
      </c>
      <c r="BY18" s="100">
        <v>2450.9446878053732</v>
      </c>
      <c r="BZ18" s="100">
        <v>4.7167087379330841</v>
      </c>
      <c r="CA18" s="100">
        <v>3079.067464122717</v>
      </c>
      <c r="CB18" s="100">
        <v>5.6945673419587504</v>
      </c>
      <c r="CC18" s="100">
        <v>3717.4135608306719</v>
      </c>
      <c r="CD18" s="100">
        <v>6.0963963390869873</v>
      </c>
      <c r="CE18" s="100">
        <v>3979.7275301559848</v>
      </c>
      <c r="CF18" s="100">
        <v>4.9092462602541236</v>
      </c>
      <c r="CG18" s="100">
        <v>3204.7559586938914</v>
      </c>
      <c r="CH18" s="100">
        <v>8.0647591576141799</v>
      </c>
      <c r="CI18" s="100">
        <v>5264.6747780905362</v>
      </c>
      <c r="CJ18" s="100">
        <v>4.8292015195504892</v>
      </c>
      <c r="CK18" s="100">
        <v>3152.5027519625592</v>
      </c>
      <c r="CL18" s="100">
        <v>6.0465030842433887</v>
      </c>
      <c r="CM18" s="100">
        <v>3947.157213394084</v>
      </c>
      <c r="CN18" s="100">
        <v>7.5294328879430488</v>
      </c>
      <c r="CO18" s="100">
        <v>4915.2137892492219</v>
      </c>
      <c r="CP18" s="100">
        <v>9</v>
      </c>
      <c r="CQ18" s="100">
        <v>5875.2</v>
      </c>
      <c r="CR18" s="100">
        <v>10</v>
      </c>
      <c r="CS18" s="100">
        <v>6528</v>
      </c>
      <c r="CT18" s="100">
        <v>10.632999165933176</v>
      </c>
      <c r="CU18" s="100">
        <v>6941.2218555211766</v>
      </c>
    </row>
    <row r="19" spans="2:99">
      <c r="C19" s="99" t="s">
        <v>185</v>
      </c>
      <c r="D19" s="100">
        <v>8</v>
      </c>
      <c r="E19" s="100">
        <v>2640</v>
      </c>
      <c r="F19" s="100">
        <v>8</v>
      </c>
      <c r="G19" s="100">
        <v>2640</v>
      </c>
      <c r="H19" s="100">
        <v>7</v>
      </c>
      <c r="I19" s="100">
        <v>2310</v>
      </c>
      <c r="J19" s="100">
        <v>6</v>
      </c>
      <c r="K19" s="100">
        <v>1980</v>
      </c>
      <c r="L19" s="100">
        <v>7</v>
      </c>
      <c r="M19" s="100">
        <v>2310</v>
      </c>
      <c r="N19" s="100">
        <v>9</v>
      </c>
      <c r="O19" s="100">
        <v>2970</v>
      </c>
      <c r="P19" s="100">
        <v>7</v>
      </c>
      <c r="Q19" s="100">
        <v>2310</v>
      </c>
      <c r="R19" s="100">
        <v>7</v>
      </c>
      <c r="S19" s="100">
        <v>2310</v>
      </c>
      <c r="T19" s="100">
        <v>6</v>
      </c>
      <c r="U19" s="100">
        <v>1980</v>
      </c>
      <c r="V19" s="100">
        <v>6</v>
      </c>
      <c r="W19" s="100">
        <v>1980</v>
      </c>
      <c r="X19" s="100">
        <v>5.5055381843928304</v>
      </c>
      <c r="Y19" s="100">
        <v>1816.8276008496341</v>
      </c>
      <c r="Z19" s="100">
        <v>6</v>
      </c>
      <c r="AA19" s="100">
        <v>1980</v>
      </c>
      <c r="AB19" s="100">
        <v>6.3902750294852684</v>
      </c>
      <c r="AC19" s="100">
        <v>2108.7907597301387</v>
      </c>
      <c r="AD19" s="100">
        <v>4.0103950363433682</v>
      </c>
      <c r="AE19" s="100">
        <v>1323.4303619933116</v>
      </c>
      <c r="AF19" s="100">
        <v>6.911395978148609</v>
      </c>
      <c r="AG19" s="100">
        <v>2280.7606727890411</v>
      </c>
      <c r="AH19" s="100">
        <v>2.6602303075898543</v>
      </c>
      <c r="AI19" s="100">
        <v>877.87600150465198</v>
      </c>
      <c r="AJ19" s="100">
        <v>8.5353903103883546</v>
      </c>
      <c r="AK19" s="100">
        <v>2816.6788024281568</v>
      </c>
      <c r="AL19" s="100">
        <v>5.0937643655135609</v>
      </c>
      <c r="AM19" s="100">
        <v>1680.9422406194751</v>
      </c>
      <c r="AN19" s="100">
        <v>6</v>
      </c>
      <c r="AO19" s="100">
        <v>1980</v>
      </c>
      <c r="AP19" s="100">
        <v>8.1817000974662228</v>
      </c>
      <c r="AQ19" s="100">
        <v>2699.9610321638534</v>
      </c>
      <c r="AR19" s="100">
        <v>2.9930171799513339</v>
      </c>
      <c r="AS19" s="100">
        <v>987.69566938394019</v>
      </c>
      <c r="AT19" s="100">
        <v>4.8963735907175154</v>
      </c>
      <c r="AU19" s="100">
        <v>1615.8032849367801</v>
      </c>
      <c r="AV19" s="100">
        <v>2.1249830082274097</v>
      </c>
      <c r="AW19" s="100">
        <v>701.24439271504525</v>
      </c>
      <c r="AX19" s="100">
        <v>9</v>
      </c>
      <c r="AY19" s="100">
        <v>2970</v>
      </c>
      <c r="AZ19" s="100">
        <v>8</v>
      </c>
      <c r="BA19" s="100">
        <v>2640</v>
      </c>
      <c r="BB19" s="100">
        <v>5</v>
      </c>
      <c r="BC19" s="100">
        <v>1650</v>
      </c>
      <c r="BD19" s="100">
        <v>9</v>
      </c>
      <c r="BE19" s="100">
        <v>2970</v>
      </c>
      <c r="BF19" s="100">
        <v>5</v>
      </c>
      <c r="BG19" s="100">
        <v>1650</v>
      </c>
      <c r="BH19" s="100">
        <v>5.379277282635841</v>
      </c>
      <c r="BI19" s="100">
        <v>1775.1615032698276</v>
      </c>
      <c r="BJ19" s="100">
        <v>1.3150984522763063</v>
      </c>
      <c r="BK19" s="100">
        <v>433.98248925118105</v>
      </c>
      <c r="BL19" s="100">
        <v>10</v>
      </c>
      <c r="BM19" s="100">
        <v>3300</v>
      </c>
      <c r="BN19" s="100">
        <v>6</v>
      </c>
      <c r="BO19" s="100">
        <v>1980</v>
      </c>
      <c r="BP19" s="100">
        <v>11</v>
      </c>
      <c r="BQ19" s="100">
        <v>3630</v>
      </c>
      <c r="BR19" s="100">
        <v>10</v>
      </c>
      <c r="BS19" s="100">
        <v>3300</v>
      </c>
      <c r="BT19" s="100">
        <v>9.3995903742521438</v>
      </c>
      <c r="BU19" s="100">
        <v>3101.8648235032074</v>
      </c>
      <c r="BV19" s="100">
        <v>5.9505018916482086</v>
      </c>
      <c r="BW19" s="100">
        <v>1963.665624243909</v>
      </c>
      <c r="BX19" s="100">
        <v>4.5143930277948563</v>
      </c>
      <c r="BY19" s="100">
        <v>1489.7496991723026</v>
      </c>
      <c r="BZ19" s="100">
        <v>4.7167087379330841</v>
      </c>
      <c r="CA19" s="100">
        <v>1556.5138835179177</v>
      </c>
      <c r="CB19" s="100">
        <v>5.6945673419587504</v>
      </c>
      <c r="CC19" s="100">
        <v>1879.2072228463876</v>
      </c>
      <c r="CD19" s="100">
        <v>5.0963963390869873</v>
      </c>
      <c r="CE19" s="100">
        <v>1681.8107918987057</v>
      </c>
      <c r="CF19" s="100">
        <v>4.9092462602541236</v>
      </c>
      <c r="CG19" s="100">
        <v>1620.0512658838609</v>
      </c>
      <c r="CH19" s="100">
        <v>9.0647591576141799</v>
      </c>
      <c r="CI19" s="100">
        <v>2991.3705220126794</v>
      </c>
      <c r="CJ19" s="100">
        <v>4.8292015195504892</v>
      </c>
      <c r="CK19" s="100">
        <v>1593.6365014516614</v>
      </c>
      <c r="CL19" s="100">
        <v>6.0398597864943335</v>
      </c>
      <c r="CM19" s="100">
        <v>1993.1537295431301</v>
      </c>
      <c r="CN19" s="100">
        <v>7.5294328879430488</v>
      </c>
      <c r="CO19" s="100">
        <v>2484.7128530212062</v>
      </c>
      <c r="CP19" s="100">
        <v>9</v>
      </c>
      <c r="CQ19" s="100">
        <v>2970</v>
      </c>
      <c r="CR19" s="100">
        <v>10</v>
      </c>
      <c r="CS19" s="100">
        <v>3300</v>
      </c>
      <c r="CT19" s="100">
        <v>10.584306922399856</v>
      </c>
      <c r="CU19" s="100">
        <v>3492.8212843919523</v>
      </c>
    </row>
    <row r="20" spans="2:99">
      <c r="B20" s="99" t="s">
        <v>127</v>
      </c>
      <c r="C20" s="99" t="s">
        <v>186</v>
      </c>
      <c r="D20" s="100">
        <v>11</v>
      </c>
      <c r="E20" s="100">
        <v>3154.8</v>
      </c>
      <c r="F20" s="100">
        <v>11</v>
      </c>
      <c r="G20" s="100">
        <v>3154.8</v>
      </c>
      <c r="H20" s="100">
        <v>12</v>
      </c>
      <c r="I20" s="100">
        <v>3441.6000000000004</v>
      </c>
      <c r="J20" s="100">
        <v>9</v>
      </c>
      <c r="K20" s="100">
        <v>2581.2000000000003</v>
      </c>
      <c r="L20" s="100">
        <v>14</v>
      </c>
      <c r="M20" s="100">
        <v>4015.2000000000003</v>
      </c>
      <c r="N20" s="100">
        <v>13</v>
      </c>
      <c r="O20" s="100">
        <v>3728.4</v>
      </c>
      <c r="P20" s="100">
        <v>14</v>
      </c>
      <c r="Q20" s="100">
        <v>4015.2000000000003</v>
      </c>
      <c r="R20" s="100">
        <v>10</v>
      </c>
      <c r="S20" s="100">
        <v>2868</v>
      </c>
      <c r="T20" s="100">
        <v>9</v>
      </c>
      <c r="U20" s="100">
        <v>2581.2000000000003</v>
      </c>
      <c r="V20" s="100">
        <v>9</v>
      </c>
      <c r="W20" s="100">
        <v>2581.2000000000003</v>
      </c>
      <c r="X20" s="100">
        <v>14.735328268207754</v>
      </c>
      <c r="Y20" s="100">
        <v>4226.0921473219842</v>
      </c>
      <c r="Z20" s="100">
        <v>8</v>
      </c>
      <c r="AA20" s="100">
        <v>2294.4</v>
      </c>
      <c r="AB20" s="100">
        <v>8.5366281655422434</v>
      </c>
      <c r="AC20" s="100">
        <v>2448.3049578775153</v>
      </c>
      <c r="AD20" s="100">
        <v>9.1666172259276983</v>
      </c>
      <c r="AE20" s="100">
        <v>2628.9858203960639</v>
      </c>
      <c r="AF20" s="100">
        <v>9.3061504885842599</v>
      </c>
      <c r="AG20" s="100">
        <v>2669.0039601259659</v>
      </c>
      <c r="AH20" s="100">
        <v>4.5603948130111789</v>
      </c>
      <c r="AI20" s="100">
        <v>1307.9212323716063</v>
      </c>
      <c r="AJ20" s="100">
        <v>11.380520413851139</v>
      </c>
      <c r="AK20" s="100">
        <v>3263.9332546925066</v>
      </c>
      <c r="AL20" s="100">
        <v>7.6406465482703414</v>
      </c>
      <c r="AM20" s="100">
        <v>2191.3374300439341</v>
      </c>
      <c r="AN20" s="100">
        <v>16</v>
      </c>
      <c r="AO20" s="100">
        <v>4588.8</v>
      </c>
      <c r="AP20" s="100">
        <v>16.519143135617778</v>
      </c>
      <c r="AQ20" s="100">
        <v>4737.6902512951792</v>
      </c>
      <c r="AR20" s="100">
        <v>4.946469586843631</v>
      </c>
      <c r="AS20" s="100">
        <v>1418.6474775067534</v>
      </c>
      <c r="AT20" s="100">
        <v>6.5908015955370649</v>
      </c>
      <c r="AU20" s="100">
        <v>1890.2418976000304</v>
      </c>
      <c r="AV20" s="100">
        <v>2.3610922313637888</v>
      </c>
      <c r="AW20" s="100">
        <v>677.16125195513462</v>
      </c>
      <c r="AX20" s="100">
        <v>12</v>
      </c>
      <c r="AY20" s="100">
        <v>3441.6000000000004</v>
      </c>
      <c r="AZ20" s="100">
        <v>15</v>
      </c>
      <c r="BA20" s="100">
        <v>4302</v>
      </c>
      <c r="BB20" s="100">
        <v>8</v>
      </c>
      <c r="BC20" s="100">
        <v>2294.4</v>
      </c>
      <c r="BD20" s="100">
        <v>10</v>
      </c>
      <c r="BE20" s="100">
        <v>2868</v>
      </c>
      <c r="BF20" s="100">
        <v>10</v>
      </c>
      <c r="BG20" s="100">
        <v>2868</v>
      </c>
      <c r="BH20" s="100">
        <v>15.448236788569631</v>
      </c>
      <c r="BI20" s="100">
        <v>4430.5543109617702</v>
      </c>
      <c r="BJ20" s="100">
        <v>2.8180681120206561</v>
      </c>
      <c r="BK20" s="100">
        <v>808.22193452752424</v>
      </c>
      <c r="BL20" s="100">
        <v>11</v>
      </c>
      <c r="BM20" s="100">
        <v>3154.8</v>
      </c>
      <c r="BN20" s="100">
        <v>15</v>
      </c>
      <c r="BO20" s="100">
        <v>4302</v>
      </c>
      <c r="BP20" s="100">
        <v>10</v>
      </c>
      <c r="BQ20" s="100">
        <v>2868</v>
      </c>
      <c r="BR20" s="100">
        <v>11</v>
      </c>
      <c r="BS20" s="100">
        <v>3154.8</v>
      </c>
      <c r="BT20" s="100">
        <v>13.899078342067323</v>
      </c>
      <c r="BU20" s="100">
        <v>3986.2556685049085</v>
      </c>
      <c r="BV20" s="100">
        <v>6.8084449652527974</v>
      </c>
      <c r="BW20" s="100">
        <v>1952.6620160345024</v>
      </c>
      <c r="BX20" s="100">
        <v>10.45875040868083</v>
      </c>
      <c r="BY20" s="100">
        <v>2999.5696172096623</v>
      </c>
      <c r="BZ20" s="100">
        <v>7.8572981401323636</v>
      </c>
      <c r="CA20" s="100">
        <v>2253.4731065899618</v>
      </c>
      <c r="CB20" s="100">
        <v>9.4909455699312488</v>
      </c>
      <c r="CC20" s="100">
        <v>2722.0031894562821</v>
      </c>
      <c r="CD20" s="100">
        <v>11.192792678173975</v>
      </c>
      <c r="CE20" s="100">
        <v>3210.0929401002959</v>
      </c>
      <c r="CF20" s="100">
        <v>13.091323360677661</v>
      </c>
      <c r="CG20" s="100">
        <v>3754.5915398423535</v>
      </c>
      <c r="CH20" s="100">
        <v>11.12951831522836</v>
      </c>
      <c r="CI20" s="100">
        <v>3191.9458528074938</v>
      </c>
      <c r="CJ20" s="100">
        <v>11.268136878951141</v>
      </c>
      <c r="CK20" s="100">
        <v>3231.7016568831873</v>
      </c>
      <c r="CL20" s="100">
        <v>14.126222657232056</v>
      </c>
      <c r="CM20" s="100">
        <v>4051.4006580941536</v>
      </c>
      <c r="CN20" s="100">
        <v>11.294149331914573</v>
      </c>
      <c r="CO20" s="100">
        <v>3239.1620283930997</v>
      </c>
      <c r="CP20" s="100">
        <v>9</v>
      </c>
      <c r="CQ20" s="100">
        <v>2581.2000000000003</v>
      </c>
      <c r="CR20" s="100">
        <v>14</v>
      </c>
      <c r="CS20" s="100">
        <v>4015.2000000000003</v>
      </c>
      <c r="CT20" s="100">
        <v>14.730383652999819</v>
      </c>
      <c r="CU20" s="100">
        <v>4224.674031680348</v>
      </c>
    </row>
    <row r="21" spans="2:99">
      <c r="C21" s="99" t="s">
        <v>187</v>
      </c>
      <c r="D21" s="100">
        <v>11</v>
      </c>
      <c r="E21" s="100">
        <v>686.4</v>
      </c>
      <c r="F21" s="100">
        <v>13</v>
      </c>
      <c r="G21" s="100">
        <v>811.19999999999993</v>
      </c>
      <c r="H21" s="100">
        <v>12</v>
      </c>
      <c r="I21" s="100">
        <v>748.8</v>
      </c>
      <c r="J21" s="100">
        <v>10</v>
      </c>
      <c r="K21" s="100">
        <v>624</v>
      </c>
      <c r="L21" s="100">
        <v>14</v>
      </c>
      <c r="M21" s="100">
        <v>873.6</v>
      </c>
      <c r="N21" s="100">
        <v>15</v>
      </c>
      <c r="O21" s="100">
        <v>936</v>
      </c>
      <c r="P21" s="100">
        <v>15</v>
      </c>
      <c r="Q21" s="100">
        <v>936</v>
      </c>
      <c r="R21" s="100">
        <v>9</v>
      </c>
      <c r="S21" s="100">
        <v>561.6</v>
      </c>
      <c r="T21" s="100">
        <v>8</v>
      </c>
      <c r="U21" s="100">
        <v>499.2</v>
      </c>
      <c r="V21" s="100">
        <v>10</v>
      </c>
      <c r="W21" s="100">
        <v>624</v>
      </c>
      <c r="X21" s="100">
        <v>16.781286284970736</v>
      </c>
      <c r="Y21" s="100">
        <v>1047.1522641821739</v>
      </c>
      <c r="Z21" s="100">
        <v>9</v>
      </c>
      <c r="AA21" s="100">
        <v>561.6</v>
      </c>
      <c r="AB21" s="100">
        <v>8.5366281655422434</v>
      </c>
      <c r="AC21" s="100">
        <v>532.68559752983595</v>
      </c>
      <c r="AD21" s="100">
        <v>8.0207900726867365</v>
      </c>
      <c r="AE21" s="100">
        <v>500.49730053565236</v>
      </c>
      <c r="AF21" s="100">
        <v>10.044076241184532</v>
      </c>
      <c r="AG21" s="100">
        <v>626.75035744991476</v>
      </c>
      <c r="AH21" s="100">
        <v>4.180361911926914</v>
      </c>
      <c r="AI21" s="100">
        <v>260.85458330423944</v>
      </c>
      <c r="AJ21" s="100">
        <v>12.3288971150054</v>
      </c>
      <c r="AK21" s="100">
        <v>769.32317997633697</v>
      </c>
      <c r="AL21" s="100">
        <v>7.6406465482703414</v>
      </c>
      <c r="AM21" s="100">
        <v>476.77634461206929</v>
      </c>
      <c r="AN21" s="100">
        <v>16</v>
      </c>
      <c r="AO21" s="100">
        <v>998.4</v>
      </c>
      <c r="AP21" s="100">
        <v>15</v>
      </c>
      <c r="AQ21" s="100">
        <v>936</v>
      </c>
      <c r="AR21" s="100">
        <v>4.5941362997241129</v>
      </c>
      <c r="AS21" s="100">
        <v>286.67410510278461</v>
      </c>
      <c r="AT21" s="100">
        <v>6.5528997589649132</v>
      </c>
      <c r="AU21" s="100">
        <v>408.90094495941059</v>
      </c>
      <c r="AV21" s="100">
        <v>2.8333106776365464</v>
      </c>
      <c r="AW21" s="100">
        <v>176.7985862845205</v>
      </c>
      <c r="AX21" s="100">
        <v>13</v>
      </c>
      <c r="AY21" s="100">
        <v>811.19999999999993</v>
      </c>
      <c r="AZ21" s="100">
        <v>17</v>
      </c>
      <c r="BA21" s="100">
        <v>1060.8</v>
      </c>
      <c r="BB21" s="100">
        <v>9</v>
      </c>
      <c r="BC21" s="100">
        <v>561.6</v>
      </c>
      <c r="BD21" s="100">
        <v>9</v>
      </c>
      <c r="BE21" s="100">
        <v>561.6</v>
      </c>
      <c r="BF21" s="100">
        <v>11</v>
      </c>
      <c r="BG21" s="100">
        <v>686.4</v>
      </c>
      <c r="BH21" s="100">
        <v>14.517196294503421</v>
      </c>
      <c r="BI21" s="100">
        <v>905.87304877701342</v>
      </c>
      <c r="BJ21" s="100">
        <v>2.6301969045526126</v>
      </c>
      <c r="BK21" s="100">
        <v>164.12428684408303</v>
      </c>
      <c r="BL21" s="100">
        <v>11</v>
      </c>
      <c r="BM21" s="100">
        <v>686.4</v>
      </c>
      <c r="BN21" s="100">
        <v>15</v>
      </c>
      <c r="BO21" s="100">
        <v>936</v>
      </c>
      <c r="BP21" s="100">
        <v>10</v>
      </c>
      <c r="BQ21" s="100">
        <v>624</v>
      </c>
      <c r="BR21" s="100">
        <v>12</v>
      </c>
      <c r="BS21" s="100">
        <v>748.8</v>
      </c>
      <c r="BT21" s="100">
        <v>13.849129545285805</v>
      </c>
      <c r="BU21" s="100">
        <v>864.18568362583426</v>
      </c>
      <c r="BV21" s="100">
        <v>6.8084449652527974</v>
      </c>
      <c r="BW21" s="100">
        <v>424.84696583177453</v>
      </c>
      <c r="BX21" s="100">
        <v>9.7437682321352703</v>
      </c>
      <c r="BY21" s="100">
        <v>608.0111376852409</v>
      </c>
      <c r="BZ21" s="100">
        <v>9.3984696680611908</v>
      </c>
      <c r="CA21" s="100">
        <v>586.46450728701825</v>
      </c>
      <c r="CB21" s="100">
        <v>8.858215865269166</v>
      </c>
      <c r="CC21" s="100">
        <v>552.75266999279597</v>
      </c>
      <c r="CD21" s="100">
        <v>10.17902177259012</v>
      </c>
      <c r="CE21" s="100">
        <v>635.17095860962354</v>
      </c>
      <c r="CF21" s="100">
        <v>10.6367002305506</v>
      </c>
      <c r="CG21" s="100">
        <v>663.73009438635745</v>
      </c>
      <c r="CH21" s="100">
        <v>11.12951831522836</v>
      </c>
      <c r="CI21" s="100">
        <v>694.48194287024967</v>
      </c>
      <c r="CJ21" s="100">
        <v>10.463269959026059</v>
      </c>
      <c r="CK21" s="100">
        <v>652.90804544322611</v>
      </c>
      <c r="CL21" s="100">
        <v>14.126222657232056</v>
      </c>
      <c r="CM21" s="100">
        <v>881.47629381128024</v>
      </c>
      <c r="CN21" s="100">
        <v>10.541206043120269</v>
      </c>
      <c r="CO21" s="100">
        <v>657.77125709070481</v>
      </c>
      <c r="CP21" s="100">
        <v>8</v>
      </c>
      <c r="CQ21" s="100">
        <v>499.2</v>
      </c>
      <c r="CR21" s="100">
        <v>13</v>
      </c>
      <c r="CS21" s="100">
        <v>811.19999999999993</v>
      </c>
      <c r="CT21" s="100">
        <v>14.681691409466499</v>
      </c>
      <c r="CU21" s="100">
        <v>916.13754395070953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12</v>
      </c>
      <c r="G22" s="100">
        <v>2246.3999999999996</v>
      </c>
      <c r="H22" s="100">
        <v>11</v>
      </c>
      <c r="I22" s="100">
        <v>2059.1999999999998</v>
      </c>
      <c r="J22" s="100">
        <v>9</v>
      </c>
      <c r="K22" s="100">
        <v>1684.8</v>
      </c>
      <c r="L22" s="100">
        <v>13</v>
      </c>
      <c r="M22" s="100">
        <v>2433.6</v>
      </c>
      <c r="N22" s="100">
        <v>14</v>
      </c>
      <c r="O22" s="100">
        <v>2620.7999999999997</v>
      </c>
      <c r="P22" s="100">
        <v>13</v>
      </c>
      <c r="Q22" s="100">
        <v>2433.6</v>
      </c>
      <c r="R22" s="100">
        <v>10</v>
      </c>
      <c r="S22" s="100">
        <v>1872</v>
      </c>
      <c r="T22" s="100">
        <v>9</v>
      </c>
      <c r="U22" s="100">
        <v>1684.8</v>
      </c>
      <c r="V22" s="100">
        <v>9</v>
      </c>
      <c r="W22" s="100">
        <v>1684.8</v>
      </c>
      <c r="X22" s="100">
        <v>14.827244301733723</v>
      </c>
      <c r="Y22" s="100">
        <v>2775.6601332845526</v>
      </c>
      <c r="Z22" s="100">
        <v>8</v>
      </c>
      <c r="AA22" s="100">
        <v>1497.6</v>
      </c>
      <c r="AB22" s="100">
        <v>9.5366281655422434</v>
      </c>
      <c r="AC22" s="100">
        <v>1785.2567925895078</v>
      </c>
      <c r="AD22" s="100">
        <v>8.5937036493072174</v>
      </c>
      <c r="AE22" s="100">
        <v>1608.741323150311</v>
      </c>
      <c r="AF22" s="100">
        <v>9.1223698875372392</v>
      </c>
      <c r="AG22" s="100">
        <v>1707.707642946971</v>
      </c>
      <c r="AH22" s="100">
        <v>4.5603948130111789</v>
      </c>
      <c r="AI22" s="100">
        <v>853.70590899569265</v>
      </c>
      <c r="AJ22" s="100">
        <v>12.3288971150054</v>
      </c>
      <c r="AK22" s="100">
        <v>2307.9695399290108</v>
      </c>
      <c r="AL22" s="100">
        <v>7.6406465482703414</v>
      </c>
      <c r="AM22" s="100">
        <v>1430.3290338362078</v>
      </c>
      <c r="AN22" s="100">
        <v>16</v>
      </c>
      <c r="AO22" s="100">
        <v>2995.2</v>
      </c>
      <c r="AP22" s="100">
        <v>16.545100292398669</v>
      </c>
      <c r="AQ22" s="100">
        <v>3097.2427747370307</v>
      </c>
      <c r="AR22" s="100">
        <v>4.5941362997241129</v>
      </c>
      <c r="AS22" s="100">
        <v>860.02231530835388</v>
      </c>
      <c r="AT22" s="100">
        <v>6.5528997589649132</v>
      </c>
      <c r="AU22" s="100">
        <v>1226.7028348782317</v>
      </c>
      <c r="AV22" s="100">
        <v>2.3610922313637888</v>
      </c>
      <c r="AW22" s="100">
        <v>441.99646571130125</v>
      </c>
      <c r="AX22" s="100">
        <v>12</v>
      </c>
      <c r="AY22" s="100">
        <v>2246.3999999999996</v>
      </c>
      <c r="AZ22" s="100">
        <v>14</v>
      </c>
      <c r="BA22" s="100">
        <v>2620.7999999999997</v>
      </c>
      <c r="BB22" s="100">
        <v>8</v>
      </c>
      <c r="BC22" s="100">
        <v>1497.6</v>
      </c>
      <c r="BD22" s="100">
        <v>8</v>
      </c>
      <c r="BE22" s="100">
        <v>1497.6</v>
      </c>
      <c r="BF22" s="100">
        <v>11</v>
      </c>
      <c r="BG22" s="100">
        <v>2059.1999999999998</v>
      </c>
      <c r="BH22" s="100">
        <v>14.448236788569631</v>
      </c>
      <c r="BI22" s="100">
        <v>2704.7099268202346</v>
      </c>
      <c r="BJ22" s="100">
        <v>2.8180681120206561</v>
      </c>
      <c r="BK22" s="100">
        <v>527.54235057026676</v>
      </c>
      <c r="BL22" s="100">
        <v>12</v>
      </c>
      <c r="BM22" s="100">
        <v>2246.3999999999996</v>
      </c>
      <c r="BN22" s="100">
        <v>16</v>
      </c>
      <c r="BO22" s="100">
        <v>2995.2</v>
      </c>
      <c r="BP22" s="100">
        <v>10</v>
      </c>
      <c r="BQ22" s="100">
        <v>1872</v>
      </c>
      <c r="BR22" s="100">
        <v>12</v>
      </c>
      <c r="BS22" s="100">
        <v>2246.3999999999996</v>
      </c>
      <c r="BT22" s="100">
        <v>12.899078342067323</v>
      </c>
      <c r="BU22" s="100">
        <v>2414.7074656350028</v>
      </c>
      <c r="BV22" s="100">
        <v>6.8084449652527974</v>
      </c>
      <c r="BW22" s="100">
        <v>1274.5408974953236</v>
      </c>
      <c r="BX22" s="100">
        <v>11.173732585226388</v>
      </c>
      <c r="BY22" s="100">
        <v>2091.7227399543794</v>
      </c>
      <c r="BZ22" s="100">
        <v>8.6337085387309394</v>
      </c>
      <c r="CA22" s="100">
        <v>1616.2302384504317</v>
      </c>
      <c r="CB22" s="100">
        <v>10.756404979255416</v>
      </c>
      <c r="CC22" s="100">
        <v>2013.5990121166137</v>
      </c>
      <c r="CD22" s="100">
        <v>10.192792678173975</v>
      </c>
      <c r="CE22" s="100">
        <v>1908.090789354168</v>
      </c>
      <c r="CF22" s="100">
        <v>11.454907940592955</v>
      </c>
      <c r="CG22" s="100">
        <v>2144.3587664790011</v>
      </c>
      <c r="CH22" s="100">
        <v>12.137613209930132</v>
      </c>
      <c r="CI22" s="100">
        <v>2272.1611928989205</v>
      </c>
      <c r="CJ22" s="100">
        <v>10.463269959026059</v>
      </c>
      <c r="CK22" s="100">
        <v>1958.724136329678</v>
      </c>
      <c r="CL22" s="100">
        <v>14.119579359483</v>
      </c>
      <c r="CM22" s="100">
        <v>2643.1852560952175</v>
      </c>
      <c r="CN22" s="100">
        <v>10.541206043120269</v>
      </c>
      <c r="CO22" s="100">
        <v>1973.3137712721143</v>
      </c>
      <c r="CP22" s="100">
        <v>9</v>
      </c>
      <c r="CQ22" s="100">
        <v>1684.8</v>
      </c>
      <c r="CR22" s="100">
        <v>13</v>
      </c>
      <c r="CS22" s="100">
        <v>2433.6</v>
      </c>
      <c r="CT22" s="100">
        <v>13.77907589653314</v>
      </c>
      <c r="CU22" s="100">
        <v>2579.4430078310038</v>
      </c>
    </row>
    <row r="23" spans="2:99">
      <c r="C23" s="99" t="s">
        <v>189</v>
      </c>
      <c r="D23" s="100">
        <v>10</v>
      </c>
      <c r="E23" s="100">
        <v>2940</v>
      </c>
      <c r="F23" s="100">
        <v>13</v>
      </c>
      <c r="G23" s="100">
        <v>3822</v>
      </c>
      <c r="H23" s="100">
        <v>12</v>
      </c>
      <c r="I23" s="100">
        <v>3528</v>
      </c>
      <c r="J23" s="100">
        <v>10</v>
      </c>
      <c r="K23" s="100">
        <v>2940</v>
      </c>
      <c r="L23" s="100">
        <v>15</v>
      </c>
      <c r="M23" s="100">
        <v>4410</v>
      </c>
      <c r="N23" s="100">
        <v>14</v>
      </c>
      <c r="O23" s="100">
        <v>4116</v>
      </c>
      <c r="P23" s="100">
        <v>14</v>
      </c>
      <c r="Q23" s="100">
        <v>4116</v>
      </c>
      <c r="R23" s="100">
        <v>9</v>
      </c>
      <c r="S23" s="100">
        <v>2646</v>
      </c>
      <c r="T23" s="100">
        <v>9</v>
      </c>
      <c r="U23" s="100">
        <v>2646</v>
      </c>
      <c r="V23" s="100">
        <v>8</v>
      </c>
      <c r="W23" s="100">
        <v>2352</v>
      </c>
      <c r="X23" s="100">
        <v>13.781286284970738</v>
      </c>
      <c r="Y23" s="100">
        <v>4051.6981677813969</v>
      </c>
      <c r="Z23" s="100">
        <v>8</v>
      </c>
      <c r="AA23" s="100">
        <v>2352</v>
      </c>
      <c r="AB23" s="100">
        <v>8.5366281655422434</v>
      </c>
      <c r="AC23" s="100">
        <v>2509.7686806694196</v>
      </c>
      <c r="AD23" s="100">
        <v>9.1666172259276983</v>
      </c>
      <c r="AE23" s="100">
        <v>2694.9854644227435</v>
      </c>
      <c r="AF23" s="100">
        <v>9.2602053383225051</v>
      </c>
      <c r="AG23" s="100">
        <v>2722.5003694668167</v>
      </c>
      <c r="AH23" s="100">
        <v>4.180361911926914</v>
      </c>
      <c r="AI23" s="100">
        <v>1229.0264021065127</v>
      </c>
      <c r="AJ23" s="100">
        <v>12.3288971150054</v>
      </c>
      <c r="AK23" s="100">
        <v>3624.6957518115878</v>
      </c>
      <c r="AL23" s="100">
        <v>7.6406465482703414</v>
      </c>
      <c r="AM23" s="100">
        <v>2246.3500851914805</v>
      </c>
      <c r="AN23" s="100">
        <v>15</v>
      </c>
      <c r="AO23" s="100">
        <v>4410</v>
      </c>
      <c r="AP23" s="100">
        <v>14.51914313561778</v>
      </c>
      <c r="AQ23" s="100">
        <v>4268.6280818716268</v>
      </c>
      <c r="AR23" s="100">
        <v>4.6290064763231511</v>
      </c>
      <c r="AS23" s="100">
        <v>1360.9279040390065</v>
      </c>
      <c r="AT23" s="100">
        <v>7.0103205569503375</v>
      </c>
      <c r="AU23" s="100">
        <v>2061.0342437433992</v>
      </c>
      <c r="AV23" s="100">
        <v>2.5972014545001678</v>
      </c>
      <c r="AW23" s="100">
        <v>763.57722762304934</v>
      </c>
      <c r="AX23" s="100">
        <v>12</v>
      </c>
      <c r="AY23" s="100">
        <v>3528</v>
      </c>
      <c r="AZ23" s="100">
        <v>14</v>
      </c>
      <c r="BA23" s="100">
        <v>4116</v>
      </c>
      <c r="BB23" s="100">
        <v>10</v>
      </c>
      <c r="BC23" s="100">
        <v>2940</v>
      </c>
      <c r="BD23" s="100">
        <v>9</v>
      </c>
      <c r="BE23" s="100">
        <v>2646</v>
      </c>
      <c r="BF23" s="100">
        <v>10</v>
      </c>
      <c r="BG23" s="100">
        <v>2940</v>
      </c>
      <c r="BH23" s="100">
        <v>13.482716541536526</v>
      </c>
      <c r="BI23" s="100">
        <v>3963.9186632117385</v>
      </c>
      <c r="BJ23" s="100">
        <v>3.0059393194887001</v>
      </c>
      <c r="BK23" s="100">
        <v>883.74615992967779</v>
      </c>
      <c r="BL23" s="100">
        <v>12</v>
      </c>
      <c r="BM23" s="100">
        <v>3528</v>
      </c>
      <c r="BN23" s="100">
        <v>13</v>
      </c>
      <c r="BO23" s="100">
        <v>3822</v>
      </c>
      <c r="BP23" s="100">
        <v>10</v>
      </c>
      <c r="BQ23" s="100">
        <v>2940</v>
      </c>
      <c r="BR23" s="100">
        <v>10</v>
      </c>
      <c r="BS23" s="100">
        <v>2940</v>
      </c>
      <c r="BT23" s="100">
        <v>12.799180748504288</v>
      </c>
      <c r="BU23" s="100">
        <v>3762.9591400602608</v>
      </c>
      <c r="BV23" s="100">
        <v>6.8442224555718498</v>
      </c>
      <c r="BW23" s="100">
        <v>2012.2014019381238</v>
      </c>
      <c r="BX23" s="100">
        <v>10.428817079544627</v>
      </c>
      <c r="BY23" s="100">
        <v>3066.0722213861204</v>
      </c>
      <c r="BZ23" s="100">
        <v>9.4101189373295142</v>
      </c>
      <c r="CA23" s="100">
        <v>2766.5749675748771</v>
      </c>
      <c r="CB23" s="100">
        <v>10.756404979255416</v>
      </c>
      <c r="CC23" s="100">
        <v>3162.3830639010926</v>
      </c>
      <c r="CD23" s="100">
        <v>11.17902177259012</v>
      </c>
      <c r="CE23" s="100">
        <v>3286.6324011414954</v>
      </c>
      <c r="CF23" s="100">
        <v>11.454907940592955</v>
      </c>
      <c r="CG23" s="100">
        <v>3367.7429345343289</v>
      </c>
      <c r="CH23" s="100">
        <v>10.12951831522836</v>
      </c>
      <c r="CI23" s="100">
        <v>2978.0783846771378</v>
      </c>
      <c r="CJ23" s="100">
        <v>12.073003798876222</v>
      </c>
      <c r="CK23" s="100">
        <v>3549.4631168696092</v>
      </c>
      <c r="CL23" s="100">
        <v>13.106292763984889</v>
      </c>
      <c r="CM23" s="100">
        <v>3853.2500726115577</v>
      </c>
      <c r="CN23" s="100">
        <v>10.541206043120269</v>
      </c>
      <c r="CO23" s="100">
        <v>3099.1145766773589</v>
      </c>
      <c r="CP23" s="100">
        <v>9</v>
      </c>
      <c r="CQ23" s="100">
        <v>2646</v>
      </c>
      <c r="CR23" s="100">
        <v>12</v>
      </c>
      <c r="CS23" s="100">
        <v>3528</v>
      </c>
      <c r="CT23" s="100">
        <v>12.77907589653314</v>
      </c>
      <c r="CU23" s="100">
        <v>3757.0483135807431</v>
      </c>
    </row>
    <row r="24" spans="2:99">
      <c r="C24" s="99" t="s">
        <v>190</v>
      </c>
      <c r="D24" s="100">
        <v>11</v>
      </c>
      <c r="E24" s="100">
        <v>4039.2</v>
      </c>
      <c r="F24" s="100">
        <v>12</v>
      </c>
      <c r="G24" s="100">
        <v>4406.3999999999996</v>
      </c>
      <c r="H24" s="100">
        <v>13</v>
      </c>
      <c r="I24" s="100">
        <v>4773.5999999999995</v>
      </c>
      <c r="J24" s="100">
        <v>9</v>
      </c>
      <c r="K24" s="100">
        <v>3304.7999999999997</v>
      </c>
      <c r="L24" s="100">
        <v>13</v>
      </c>
      <c r="M24" s="100">
        <v>4773.5999999999995</v>
      </c>
      <c r="N24" s="100">
        <v>13</v>
      </c>
      <c r="O24" s="100">
        <v>4773.5999999999995</v>
      </c>
      <c r="P24" s="100">
        <v>13</v>
      </c>
      <c r="Q24" s="100">
        <v>4773.5999999999995</v>
      </c>
      <c r="R24" s="100">
        <v>9</v>
      </c>
      <c r="S24" s="100">
        <v>3304.7999999999997</v>
      </c>
      <c r="T24" s="100">
        <v>8</v>
      </c>
      <c r="U24" s="100">
        <v>2937.6</v>
      </c>
      <c r="V24" s="100">
        <v>8</v>
      </c>
      <c r="W24" s="100">
        <v>2937.6</v>
      </c>
      <c r="X24" s="100">
        <v>13.735328268207754</v>
      </c>
      <c r="Y24" s="100">
        <v>5043.6125400858873</v>
      </c>
      <c r="Z24" s="100">
        <v>8</v>
      </c>
      <c r="AA24" s="100">
        <v>2937.6</v>
      </c>
      <c r="AB24" s="100">
        <v>8.5854125442279035</v>
      </c>
      <c r="AC24" s="100">
        <v>3152.5634862404859</v>
      </c>
      <c r="AD24" s="100">
        <v>8.0207900726867365</v>
      </c>
      <c r="AE24" s="100">
        <v>2945.2341146905696</v>
      </c>
      <c r="AF24" s="100">
        <v>9.1683150377989957</v>
      </c>
      <c r="AG24" s="100">
        <v>3366.6052818797912</v>
      </c>
      <c r="AH24" s="100">
        <v>4.180361911926914</v>
      </c>
      <c r="AI24" s="100">
        <v>1535.0288940595628</v>
      </c>
      <c r="AJ24" s="100">
        <v>11.380520413851139</v>
      </c>
      <c r="AK24" s="100">
        <v>4178.927095966138</v>
      </c>
      <c r="AL24" s="100">
        <v>7.6406465482703414</v>
      </c>
      <c r="AM24" s="100">
        <v>2805.6454125248692</v>
      </c>
      <c r="AN24" s="100">
        <v>16</v>
      </c>
      <c r="AO24" s="100">
        <v>5875.2</v>
      </c>
      <c r="AP24" s="100">
        <v>15.51914313561778</v>
      </c>
      <c r="AQ24" s="100">
        <v>5698.6293593988485</v>
      </c>
      <c r="AR24" s="100">
        <v>4.2592381009041134</v>
      </c>
      <c r="AS24" s="100">
        <v>1563.9922306519904</v>
      </c>
      <c r="AT24" s="100">
        <v>7.0671733118085633</v>
      </c>
      <c r="AU24" s="100">
        <v>2595.0660400961042</v>
      </c>
      <c r="AV24" s="100">
        <v>2.8333106776365464</v>
      </c>
      <c r="AW24" s="100">
        <v>1040.3916808281399</v>
      </c>
      <c r="AX24" s="100">
        <v>13</v>
      </c>
      <c r="AY24" s="100">
        <v>4773.5999999999995</v>
      </c>
      <c r="AZ24" s="100">
        <v>15</v>
      </c>
      <c r="BA24" s="100">
        <v>5508</v>
      </c>
      <c r="BB24" s="100">
        <v>9</v>
      </c>
      <c r="BC24" s="100">
        <v>3304.7999999999997</v>
      </c>
      <c r="BD24" s="100">
        <v>9</v>
      </c>
      <c r="BE24" s="100">
        <v>3304.7999999999997</v>
      </c>
      <c r="BF24" s="100">
        <v>10</v>
      </c>
      <c r="BG24" s="100">
        <v>3672</v>
      </c>
      <c r="BH24" s="100">
        <v>15.413757035602735</v>
      </c>
      <c r="BI24" s="100">
        <v>5659.9315834733243</v>
      </c>
      <c r="BJ24" s="100">
        <v>2.6301969045526126</v>
      </c>
      <c r="BK24" s="100">
        <v>965.80830335171936</v>
      </c>
      <c r="BL24" s="100">
        <v>10</v>
      </c>
      <c r="BM24" s="100">
        <v>3672</v>
      </c>
      <c r="BN24" s="100">
        <v>15</v>
      </c>
      <c r="BO24" s="100">
        <v>5508</v>
      </c>
      <c r="BP24" s="100">
        <v>11</v>
      </c>
      <c r="BQ24" s="100">
        <v>4039.2</v>
      </c>
      <c r="BR24" s="100">
        <v>11</v>
      </c>
      <c r="BS24" s="100">
        <v>4039.2</v>
      </c>
      <c r="BT24" s="100">
        <v>13.799180748504288</v>
      </c>
      <c r="BU24" s="100">
        <v>5067.0591708507745</v>
      </c>
      <c r="BV24" s="100">
        <v>6.2188330690411027</v>
      </c>
      <c r="BW24" s="100">
        <v>2283.5555029518928</v>
      </c>
      <c r="BX24" s="100">
        <v>10.443783744112729</v>
      </c>
      <c r="BY24" s="100">
        <v>3834.957390838194</v>
      </c>
      <c r="BZ24" s="100">
        <v>9.4042943026953534</v>
      </c>
      <c r="CA24" s="100">
        <v>3453.2568679497335</v>
      </c>
      <c r="CB24" s="100">
        <v>10.756404979255416</v>
      </c>
      <c r="CC24" s="100">
        <v>3949.7519083825887</v>
      </c>
      <c r="CD24" s="100">
        <v>11.192792678173975</v>
      </c>
      <c r="CE24" s="100">
        <v>4109.9934714254832</v>
      </c>
      <c r="CF24" s="100">
        <v>11.454907940592955</v>
      </c>
      <c r="CG24" s="100">
        <v>4206.2421957857332</v>
      </c>
      <c r="CH24" s="100">
        <v>10.145708104631904</v>
      </c>
      <c r="CI24" s="100">
        <v>3725.504016020835</v>
      </c>
      <c r="CJ24" s="100">
        <v>11.268136878951141</v>
      </c>
      <c r="CK24" s="100">
        <v>4137.6598619508586</v>
      </c>
      <c r="CL24" s="100">
        <v>13.112936061733944</v>
      </c>
      <c r="CM24" s="100">
        <v>4815.0701218687036</v>
      </c>
      <c r="CN24" s="100">
        <v>9.7882627543259648</v>
      </c>
      <c r="CO24" s="100">
        <v>3594.2500833884942</v>
      </c>
      <c r="CP24" s="100">
        <v>8</v>
      </c>
      <c r="CQ24" s="100">
        <v>2937.6</v>
      </c>
      <c r="CR24" s="100">
        <v>13</v>
      </c>
      <c r="CS24" s="100">
        <v>4773.5999999999995</v>
      </c>
      <c r="CT24" s="100">
        <v>13.77907589653314</v>
      </c>
      <c r="CU24" s="100">
        <v>5059.6766692069687</v>
      </c>
    </row>
    <row r="25" spans="2:99">
      <c r="C25" s="99" t="s">
        <v>191</v>
      </c>
      <c r="D25" s="100">
        <v>10</v>
      </c>
      <c r="E25" s="100">
        <v>5304</v>
      </c>
      <c r="F25" s="100">
        <v>12</v>
      </c>
      <c r="G25" s="100">
        <v>6364.7999999999993</v>
      </c>
      <c r="H25" s="100">
        <v>11</v>
      </c>
      <c r="I25" s="100">
        <v>5834.4</v>
      </c>
      <c r="J25" s="100">
        <v>9</v>
      </c>
      <c r="K25" s="100">
        <v>4773.5999999999995</v>
      </c>
      <c r="L25" s="100">
        <v>14</v>
      </c>
      <c r="M25" s="100">
        <v>7425.5999999999995</v>
      </c>
      <c r="N25" s="100">
        <v>14</v>
      </c>
      <c r="O25" s="100">
        <v>7425.5999999999995</v>
      </c>
      <c r="P25" s="100">
        <v>15</v>
      </c>
      <c r="Q25" s="100">
        <v>7956</v>
      </c>
      <c r="R25" s="100">
        <v>11</v>
      </c>
      <c r="S25" s="100">
        <v>5834.4</v>
      </c>
      <c r="T25" s="100">
        <v>8</v>
      </c>
      <c r="U25" s="100">
        <v>4243.2</v>
      </c>
      <c r="V25" s="100">
        <v>9</v>
      </c>
      <c r="W25" s="100">
        <v>4773.5999999999995</v>
      </c>
      <c r="X25" s="100">
        <v>14.781286284970738</v>
      </c>
      <c r="Y25" s="100">
        <v>7839.9942455484788</v>
      </c>
      <c r="Z25" s="100">
        <v>9</v>
      </c>
      <c r="AA25" s="100">
        <v>4773.5999999999995</v>
      </c>
      <c r="AB25" s="100">
        <v>8.487843786856585</v>
      </c>
      <c r="AC25" s="100">
        <v>4501.9523445487321</v>
      </c>
      <c r="AD25" s="100">
        <v>8.0207900726867365</v>
      </c>
      <c r="AE25" s="100">
        <v>4254.2270545530446</v>
      </c>
      <c r="AF25" s="100">
        <v>10.135966541708044</v>
      </c>
      <c r="AG25" s="100">
        <v>5376.116653721946</v>
      </c>
      <c r="AH25" s="100">
        <v>4.180361911926914</v>
      </c>
      <c r="AI25" s="100">
        <v>2217.263958086035</v>
      </c>
      <c r="AJ25" s="100">
        <v>11.380520413851139</v>
      </c>
      <c r="AK25" s="100">
        <v>6036.2280275066441</v>
      </c>
      <c r="AL25" s="100">
        <v>7.6406465482703414</v>
      </c>
      <c r="AM25" s="100">
        <v>4052.5989292025888</v>
      </c>
      <c r="AN25" s="100">
        <v>14</v>
      </c>
      <c r="AO25" s="100">
        <v>7425.5999999999995</v>
      </c>
      <c r="AP25" s="100">
        <v>13.493185978836891</v>
      </c>
      <c r="AQ25" s="100">
        <v>7156.7858431750865</v>
      </c>
      <c r="AR25" s="100">
        <v>4.6290064763231511</v>
      </c>
      <c r="AS25" s="100">
        <v>2455.2250350417994</v>
      </c>
      <c r="AT25" s="100">
        <v>6.5149979223927632</v>
      </c>
      <c r="AU25" s="100">
        <v>3455.5548980371213</v>
      </c>
      <c r="AV25" s="100">
        <v>2.3610922313637888</v>
      </c>
      <c r="AW25" s="100">
        <v>1252.3233195153534</v>
      </c>
      <c r="AX25" s="100">
        <v>13</v>
      </c>
      <c r="AY25" s="100">
        <v>6895.2</v>
      </c>
      <c r="AZ25" s="100">
        <v>16</v>
      </c>
      <c r="BA25" s="100">
        <v>8486.4</v>
      </c>
      <c r="BB25" s="100">
        <v>8</v>
      </c>
      <c r="BC25" s="100">
        <v>4243.2</v>
      </c>
      <c r="BD25" s="100">
        <v>8</v>
      </c>
      <c r="BE25" s="100">
        <v>4243.2</v>
      </c>
      <c r="BF25" s="100">
        <v>11</v>
      </c>
      <c r="BG25" s="100">
        <v>5834.4</v>
      </c>
      <c r="BH25" s="100">
        <v>15.517196294503421</v>
      </c>
      <c r="BI25" s="100">
        <v>8230.3209146046138</v>
      </c>
      <c r="BJ25" s="100">
        <v>2.8180681120206561</v>
      </c>
      <c r="BK25" s="100">
        <v>1494.7033266157559</v>
      </c>
      <c r="BL25" s="100">
        <v>10</v>
      </c>
      <c r="BM25" s="100">
        <v>5304</v>
      </c>
      <c r="BN25" s="100">
        <v>14</v>
      </c>
      <c r="BO25" s="100">
        <v>7425.5999999999995</v>
      </c>
      <c r="BP25" s="100">
        <v>9</v>
      </c>
      <c r="BQ25" s="100">
        <v>4773.5999999999995</v>
      </c>
      <c r="BR25" s="100">
        <v>10</v>
      </c>
      <c r="BS25" s="100">
        <v>5304</v>
      </c>
      <c r="BT25" s="100">
        <v>12.899078342067323</v>
      </c>
      <c r="BU25" s="100">
        <v>6841.671152632508</v>
      </c>
      <c r="BV25" s="100">
        <v>5.5397774470317742</v>
      </c>
      <c r="BW25" s="100">
        <v>2938.2979579056528</v>
      </c>
      <c r="BX25" s="100">
        <v>8.9689193973173094</v>
      </c>
      <c r="BY25" s="100">
        <v>4757.1148483371007</v>
      </c>
      <c r="BZ25" s="100">
        <v>7.8572981401323636</v>
      </c>
      <c r="CA25" s="100">
        <v>4167.5109335262059</v>
      </c>
      <c r="CB25" s="100">
        <v>8.858215865269166</v>
      </c>
      <c r="CC25" s="100">
        <v>4698.3976949387652</v>
      </c>
      <c r="CD25" s="100">
        <v>10.165250867006264</v>
      </c>
      <c r="CE25" s="100">
        <v>5391.6490598601222</v>
      </c>
      <c r="CF25" s="100">
        <v>10.6367002305506</v>
      </c>
      <c r="CG25" s="100">
        <v>5641.7058022840383</v>
      </c>
      <c r="CH25" s="100">
        <v>11.137613209930132</v>
      </c>
      <c r="CI25" s="100">
        <v>5907.3900465469414</v>
      </c>
      <c r="CJ25" s="100">
        <v>10.463269959026059</v>
      </c>
      <c r="CK25" s="100">
        <v>5549.718386267421</v>
      </c>
      <c r="CL25" s="100">
        <v>13.119579359483</v>
      </c>
      <c r="CM25" s="100">
        <v>6958.6248922697823</v>
      </c>
      <c r="CN25" s="100">
        <v>9.0353194655316589</v>
      </c>
      <c r="CO25" s="100">
        <v>4792.3334445179917</v>
      </c>
      <c r="CP25" s="100">
        <v>9</v>
      </c>
      <c r="CQ25" s="100">
        <v>4773.5999999999995</v>
      </c>
      <c r="CR25" s="100">
        <v>14</v>
      </c>
      <c r="CS25" s="100">
        <v>7425.5999999999995</v>
      </c>
      <c r="CT25" s="100">
        <v>13.77907589653314</v>
      </c>
      <c r="CU25" s="100">
        <v>7308.4218555211773</v>
      </c>
    </row>
    <row r="26" spans="2:99">
      <c r="C26" s="99" t="s">
        <v>192</v>
      </c>
      <c r="D26" s="100">
        <v>11</v>
      </c>
      <c r="E26" s="100">
        <v>5346</v>
      </c>
      <c r="F26" s="100">
        <v>11</v>
      </c>
      <c r="G26" s="100">
        <v>5346</v>
      </c>
      <c r="H26" s="100">
        <v>12</v>
      </c>
      <c r="I26" s="100">
        <v>5832</v>
      </c>
      <c r="J26" s="100">
        <v>8</v>
      </c>
      <c r="K26" s="100">
        <v>3888</v>
      </c>
      <c r="L26" s="100">
        <v>14</v>
      </c>
      <c r="M26" s="100">
        <v>6804</v>
      </c>
      <c r="N26" s="100">
        <v>13</v>
      </c>
      <c r="O26" s="100">
        <v>6318</v>
      </c>
      <c r="P26" s="100">
        <v>15</v>
      </c>
      <c r="Q26" s="100">
        <v>7290</v>
      </c>
      <c r="R26" s="100">
        <v>9</v>
      </c>
      <c r="S26" s="100">
        <v>4374</v>
      </c>
      <c r="T26" s="100">
        <v>9</v>
      </c>
      <c r="U26" s="100">
        <v>4374</v>
      </c>
      <c r="V26" s="100">
        <v>9</v>
      </c>
      <c r="W26" s="100">
        <v>4374</v>
      </c>
      <c r="X26" s="100">
        <v>15.735328268207754</v>
      </c>
      <c r="Y26" s="100">
        <v>7647.3695383489685</v>
      </c>
      <c r="Z26" s="100">
        <v>8</v>
      </c>
      <c r="AA26" s="100">
        <v>3888</v>
      </c>
      <c r="AB26" s="100">
        <v>9.5854125442279035</v>
      </c>
      <c r="AC26" s="100">
        <v>4658.5104964947614</v>
      </c>
      <c r="AD26" s="100">
        <v>8.0207900726867365</v>
      </c>
      <c r="AE26" s="100">
        <v>3898.1039753257537</v>
      </c>
      <c r="AF26" s="100">
        <v>9.2602053383225051</v>
      </c>
      <c r="AG26" s="100">
        <v>4500.4597944247371</v>
      </c>
      <c r="AH26" s="100">
        <v>4.5603948130111789</v>
      </c>
      <c r="AI26" s="100">
        <v>2216.3518791234328</v>
      </c>
      <c r="AJ26" s="100">
        <v>12.3288971150054</v>
      </c>
      <c r="AK26" s="100">
        <v>5991.8439978926244</v>
      </c>
      <c r="AL26" s="100">
        <v>6.7916858206847479</v>
      </c>
      <c r="AM26" s="100">
        <v>3300.7593088527874</v>
      </c>
      <c r="AN26" s="100">
        <v>16</v>
      </c>
      <c r="AO26" s="100">
        <v>7776</v>
      </c>
      <c r="AP26" s="100">
        <v>15.51914313561778</v>
      </c>
      <c r="AQ26" s="100">
        <v>7542.3035639102409</v>
      </c>
      <c r="AR26" s="100">
        <v>4.6290064763231511</v>
      </c>
      <c r="AS26" s="100">
        <v>2249.6971474930515</v>
      </c>
      <c r="AT26" s="100">
        <v>6.5149979223927632</v>
      </c>
      <c r="AU26" s="100">
        <v>3166.2889902828829</v>
      </c>
      <c r="AV26" s="100">
        <v>2.3610922313637888</v>
      </c>
      <c r="AW26" s="100">
        <v>1147.4908244428013</v>
      </c>
      <c r="AX26" s="100">
        <v>11</v>
      </c>
      <c r="AY26" s="100">
        <v>5346</v>
      </c>
      <c r="AZ26" s="100">
        <v>14</v>
      </c>
      <c r="BA26" s="100">
        <v>6804</v>
      </c>
      <c r="BB26" s="100">
        <v>9</v>
      </c>
      <c r="BC26" s="100">
        <v>4374</v>
      </c>
      <c r="BD26" s="100">
        <v>9</v>
      </c>
      <c r="BE26" s="100">
        <v>4374</v>
      </c>
      <c r="BF26" s="100">
        <v>10</v>
      </c>
      <c r="BG26" s="100">
        <v>4860</v>
      </c>
      <c r="BH26" s="100">
        <v>15.448236788569631</v>
      </c>
      <c r="BI26" s="100">
        <v>7507.8430792448407</v>
      </c>
      <c r="BJ26" s="100">
        <v>2.8180681120206561</v>
      </c>
      <c r="BK26" s="100">
        <v>1369.5811024420389</v>
      </c>
      <c r="BL26" s="100">
        <v>12</v>
      </c>
      <c r="BM26" s="100">
        <v>5832</v>
      </c>
      <c r="BN26" s="100">
        <v>13</v>
      </c>
      <c r="BO26" s="100">
        <v>6318</v>
      </c>
      <c r="BP26" s="100">
        <v>9</v>
      </c>
      <c r="BQ26" s="100">
        <v>4374</v>
      </c>
      <c r="BR26" s="100">
        <v>10</v>
      </c>
      <c r="BS26" s="100">
        <v>4860</v>
      </c>
      <c r="BT26" s="100">
        <v>13.74923195172277</v>
      </c>
      <c r="BU26" s="100">
        <v>6682.126728537266</v>
      </c>
      <c r="BV26" s="100">
        <v>6.1651668335625223</v>
      </c>
      <c r="BW26" s="100">
        <v>2996.2710811113857</v>
      </c>
      <c r="BX26" s="100">
        <v>10.428817079544627</v>
      </c>
      <c r="BY26" s="100">
        <v>5068.4051006586888</v>
      </c>
      <c r="BZ26" s="100">
        <v>8.6278839040967767</v>
      </c>
      <c r="CA26" s="100">
        <v>4193.1515773910332</v>
      </c>
      <c r="CB26" s="100">
        <v>10.123675274593333</v>
      </c>
      <c r="CC26" s="100">
        <v>4920.1061834523598</v>
      </c>
      <c r="CD26" s="100">
        <v>10.17902177259012</v>
      </c>
      <c r="CE26" s="100">
        <v>4947.0045814787982</v>
      </c>
      <c r="CF26" s="100">
        <v>12.273115650635308</v>
      </c>
      <c r="CG26" s="100">
        <v>5964.73420620876</v>
      </c>
      <c r="CH26" s="100">
        <v>12.137613209930132</v>
      </c>
      <c r="CI26" s="100">
        <v>5898.8800200260439</v>
      </c>
      <c r="CJ26" s="100">
        <v>11.268136878951141</v>
      </c>
      <c r="CK26" s="100">
        <v>5476.3145231702547</v>
      </c>
      <c r="CL26" s="100">
        <v>15.119579359483</v>
      </c>
      <c r="CM26" s="100">
        <v>7348.1155687087376</v>
      </c>
      <c r="CN26" s="100">
        <v>10.541206043120269</v>
      </c>
      <c r="CO26" s="100">
        <v>5123.0261369564505</v>
      </c>
      <c r="CP26" s="100">
        <v>9</v>
      </c>
      <c r="CQ26" s="100">
        <v>4374</v>
      </c>
      <c r="CR26" s="100">
        <v>12</v>
      </c>
      <c r="CS26" s="100">
        <v>5832</v>
      </c>
      <c r="CT26" s="100">
        <v>13.632999165933176</v>
      </c>
      <c r="CU26" s="100">
        <v>6625.6375946435237</v>
      </c>
    </row>
    <row r="27" spans="2:99">
      <c r="C27" s="99" t="s">
        <v>193</v>
      </c>
      <c r="D27" s="100">
        <v>11</v>
      </c>
      <c r="E27" s="100">
        <v>4699.2</v>
      </c>
      <c r="F27" s="100">
        <v>12</v>
      </c>
      <c r="G27" s="100">
        <v>5126.3999999999996</v>
      </c>
      <c r="H27" s="100">
        <v>12</v>
      </c>
      <c r="I27" s="100">
        <v>5126.3999999999996</v>
      </c>
      <c r="J27" s="100">
        <v>8</v>
      </c>
      <c r="K27" s="100">
        <v>3417.6</v>
      </c>
      <c r="L27" s="100">
        <v>13</v>
      </c>
      <c r="M27" s="100">
        <v>5553.5999999999995</v>
      </c>
      <c r="N27" s="100">
        <v>13</v>
      </c>
      <c r="O27" s="100">
        <v>5553.5999999999995</v>
      </c>
      <c r="P27" s="100">
        <v>14</v>
      </c>
      <c r="Q27" s="100">
        <v>5980.8</v>
      </c>
      <c r="R27" s="100">
        <v>11</v>
      </c>
      <c r="S27" s="100">
        <v>4699.2</v>
      </c>
      <c r="T27" s="100">
        <v>9</v>
      </c>
      <c r="U27" s="100">
        <v>3844.7999999999997</v>
      </c>
      <c r="V27" s="100">
        <v>8</v>
      </c>
      <c r="W27" s="100">
        <v>3417.6</v>
      </c>
      <c r="X27" s="100">
        <v>15.781286284970738</v>
      </c>
      <c r="Y27" s="100">
        <v>6741.7655009394994</v>
      </c>
      <c r="Z27" s="100">
        <v>8</v>
      </c>
      <c r="AA27" s="100">
        <v>3417.6</v>
      </c>
      <c r="AB27" s="100">
        <v>9.487843786856585</v>
      </c>
      <c r="AC27" s="100">
        <v>4053.2068657451332</v>
      </c>
      <c r="AD27" s="100">
        <v>8.0207900726867365</v>
      </c>
      <c r="AE27" s="100">
        <v>3426.4815190517738</v>
      </c>
      <c r="AF27" s="100">
        <v>9.2142601880607504</v>
      </c>
      <c r="AG27" s="100">
        <v>3936.3319523395526</v>
      </c>
      <c r="AH27" s="100">
        <v>4.180361911926914</v>
      </c>
      <c r="AI27" s="100">
        <v>1785.8506087751775</v>
      </c>
      <c r="AJ27" s="100">
        <v>11.380520413851139</v>
      </c>
      <c r="AK27" s="100">
        <v>4861.7583207972066</v>
      </c>
      <c r="AL27" s="100">
        <v>7.6406465482703414</v>
      </c>
      <c r="AM27" s="100">
        <v>3264.0842054210898</v>
      </c>
      <c r="AN27" s="100">
        <v>15</v>
      </c>
      <c r="AO27" s="100">
        <v>6408</v>
      </c>
      <c r="AP27" s="100">
        <v>14.545100292398669</v>
      </c>
      <c r="AQ27" s="100">
        <v>6213.666844912711</v>
      </c>
      <c r="AR27" s="100">
        <v>4.9813397634426693</v>
      </c>
      <c r="AS27" s="100">
        <v>2128.0283469427081</v>
      </c>
      <c r="AT27" s="100">
        <v>7.0671733118085633</v>
      </c>
      <c r="AU27" s="100">
        <v>3019.0964388046182</v>
      </c>
      <c r="AV27" s="100">
        <v>2.3610922313637888</v>
      </c>
      <c r="AW27" s="100">
        <v>1008.6586012386106</v>
      </c>
      <c r="AX27" s="100">
        <v>11</v>
      </c>
      <c r="AY27" s="100">
        <v>4699.2</v>
      </c>
      <c r="AZ27" s="100">
        <v>14</v>
      </c>
      <c r="BA27" s="100">
        <v>5980.8</v>
      </c>
      <c r="BB27" s="100">
        <v>8</v>
      </c>
      <c r="BC27" s="100">
        <v>3417.6</v>
      </c>
      <c r="BD27" s="100">
        <v>8</v>
      </c>
      <c r="BE27" s="100">
        <v>3417.6</v>
      </c>
      <c r="BF27" s="100">
        <v>11</v>
      </c>
      <c r="BG27" s="100">
        <v>4699.2</v>
      </c>
      <c r="BH27" s="100">
        <v>14.448236788569631</v>
      </c>
      <c r="BI27" s="100">
        <v>6172.2867560769464</v>
      </c>
      <c r="BJ27" s="100">
        <v>3.0059393194887001</v>
      </c>
      <c r="BK27" s="100">
        <v>1284.1372772855727</v>
      </c>
      <c r="BL27" s="100">
        <v>11</v>
      </c>
      <c r="BM27" s="100">
        <v>4699.2</v>
      </c>
      <c r="BN27" s="100">
        <v>15</v>
      </c>
      <c r="BO27" s="100">
        <v>6408</v>
      </c>
      <c r="BP27" s="100">
        <v>9</v>
      </c>
      <c r="BQ27" s="100">
        <v>3844.7999999999997</v>
      </c>
      <c r="BR27" s="100">
        <v>11</v>
      </c>
      <c r="BS27" s="100">
        <v>4699.2</v>
      </c>
      <c r="BT27" s="100">
        <v>12.799180748504288</v>
      </c>
      <c r="BU27" s="100">
        <v>5467.8100157610315</v>
      </c>
      <c r="BV27" s="100">
        <v>6.2009443238815756</v>
      </c>
      <c r="BW27" s="100">
        <v>2649.0434151622089</v>
      </c>
      <c r="BX27" s="100">
        <v>10.428817079544627</v>
      </c>
      <c r="BY27" s="100">
        <v>4455.1906563814646</v>
      </c>
      <c r="BZ27" s="100">
        <v>8.6337085387309394</v>
      </c>
      <c r="CA27" s="100">
        <v>3688.3202877458571</v>
      </c>
      <c r="CB27" s="100">
        <v>10.123675274593333</v>
      </c>
      <c r="CC27" s="100">
        <v>4324.8340773062719</v>
      </c>
      <c r="CD27" s="100">
        <v>10.165250867006264</v>
      </c>
      <c r="CE27" s="100">
        <v>4342.595170385076</v>
      </c>
      <c r="CF27" s="100">
        <v>11.454907940592955</v>
      </c>
      <c r="CG27" s="100">
        <v>4893.5366722213103</v>
      </c>
      <c r="CH27" s="100">
        <v>11.121423420526588</v>
      </c>
      <c r="CI27" s="100">
        <v>4751.0720852489585</v>
      </c>
      <c r="CJ27" s="100">
        <v>10.463269959026059</v>
      </c>
      <c r="CK27" s="100">
        <v>4469.9089264959321</v>
      </c>
      <c r="CL27" s="100">
        <v>14.106292763984889</v>
      </c>
      <c r="CM27" s="100">
        <v>6026.208268774345</v>
      </c>
      <c r="CN27" s="100">
        <v>9.0353194655316589</v>
      </c>
      <c r="CO27" s="100">
        <v>3859.8884756751245</v>
      </c>
      <c r="CP27" s="100">
        <v>8</v>
      </c>
      <c r="CQ27" s="100">
        <v>3417.6</v>
      </c>
      <c r="CR27" s="100">
        <v>13</v>
      </c>
      <c r="CS27" s="100">
        <v>5553.5999999999995</v>
      </c>
      <c r="CT27" s="100">
        <v>12.730383652999819</v>
      </c>
      <c r="CU27" s="100">
        <v>5438.4198965615224</v>
      </c>
    </row>
    <row r="28" spans="2:99">
      <c r="C28" s="99" t="s">
        <v>194</v>
      </c>
      <c r="D28" s="100">
        <v>11</v>
      </c>
      <c r="E28" s="100">
        <v>8118</v>
      </c>
      <c r="F28" s="100">
        <v>12</v>
      </c>
      <c r="G28" s="100">
        <v>8856</v>
      </c>
      <c r="H28" s="100">
        <v>12</v>
      </c>
      <c r="I28" s="100">
        <v>8856</v>
      </c>
      <c r="J28" s="100">
        <v>9</v>
      </c>
      <c r="K28" s="100">
        <v>6642</v>
      </c>
      <c r="L28" s="100">
        <v>13</v>
      </c>
      <c r="M28" s="100">
        <v>9594</v>
      </c>
      <c r="N28" s="100">
        <v>13</v>
      </c>
      <c r="O28" s="100">
        <v>9594</v>
      </c>
      <c r="P28" s="100">
        <v>14</v>
      </c>
      <c r="Q28" s="100">
        <v>10332</v>
      </c>
      <c r="R28" s="100">
        <v>10</v>
      </c>
      <c r="S28" s="100">
        <v>7380</v>
      </c>
      <c r="T28" s="100">
        <v>8</v>
      </c>
      <c r="U28" s="100">
        <v>5904</v>
      </c>
      <c r="V28" s="100">
        <v>8</v>
      </c>
      <c r="W28" s="100">
        <v>5904</v>
      </c>
      <c r="X28" s="100">
        <v>13.735328268207754</v>
      </c>
      <c r="Y28" s="100">
        <v>10136.672261937323</v>
      </c>
      <c r="Z28" s="100">
        <v>8</v>
      </c>
      <c r="AA28" s="100">
        <v>5904</v>
      </c>
      <c r="AB28" s="100">
        <v>8.487843786856585</v>
      </c>
      <c r="AC28" s="100">
        <v>6264.02871470016</v>
      </c>
      <c r="AD28" s="100">
        <v>8.0207900726867365</v>
      </c>
      <c r="AE28" s="100">
        <v>5919.3430736428118</v>
      </c>
      <c r="AF28" s="100">
        <v>10.044076241184532</v>
      </c>
      <c r="AG28" s="100">
        <v>7412.5282659941849</v>
      </c>
      <c r="AH28" s="100">
        <v>4.180361911926914</v>
      </c>
      <c r="AI28" s="100">
        <v>3085.1070910020626</v>
      </c>
      <c r="AJ28" s="100">
        <v>12.3288971150054</v>
      </c>
      <c r="AK28" s="100">
        <v>9098.726070873985</v>
      </c>
      <c r="AL28" s="100">
        <v>7.6406465482703414</v>
      </c>
      <c r="AM28" s="100">
        <v>5638.7971526235124</v>
      </c>
      <c r="AN28" s="100">
        <v>16</v>
      </c>
      <c r="AO28" s="100">
        <v>11808</v>
      </c>
      <c r="AP28" s="100">
        <v>14.441271665275112</v>
      </c>
      <c r="AQ28" s="100">
        <v>10657.658488973033</v>
      </c>
      <c r="AR28" s="100">
        <v>4.5941362997241129</v>
      </c>
      <c r="AS28" s="100">
        <v>3390.4725891963953</v>
      </c>
      <c r="AT28" s="100">
        <v>6.0386262061212639</v>
      </c>
      <c r="AU28" s="100">
        <v>4456.5061401174926</v>
      </c>
      <c r="AV28" s="100">
        <v>2.3610922313637888</v>
      </c>
      <c r="AW28" s="100">
        <v>1742.4860667464761</v>
      </c>
      <c r="AX28" s="100">
        <v>12</v>
      </c>
      <c r="AY28" s="100">
        <v>8856</v>
      </c>
      <c r="AZ28" s="100">
        <v>16</v>
      </c>
      <c r="BA28" s="100">
        <v>11808</v>
      </c>
      <c r="BB28" s="100">
        <v>9</v>
      </c>
      <c r="BC28" s="100">
        <v>6642</v>
      </c>
      <c r="BD28" s="100">
        <v>9</v>
      </c>
      <c r="BE28" s="100">
        <v>6642</v>
      </c>
      <c r="BF28" s="100">
        <v>9</v>
      </c>
      <c r="BG28" s="100">
        <v>6642</v>
      </c>
      <c r="BH28" s="100">
        <v>13.448236788569631</v>
      </c>
      <c r="BI28" s="100">
        <v>9924.7987499643878</v>
      </c>
      <c r="BJ28" s="100">
        <v>2.8180681120206561</v>
      </c>
      <c r="BK28" s="100">
        <v>2079.7342666712443</v>
      </c>
      <c r="BL28" s="100">
        <v>12</v>
      </c>
      <c r="BM28" s="100">
        <v>8856</v>
      </c>
      <c r="BN28" s="100">
        <v>14</v>
      </c>
      <c r="BO28" s="100">
        <v>10332</v>
      </c>
      <c r="BP28" s="100">
        <v>11</v>
      </c>
      <c r="BQ28" s="100">
        <v>8118</v>
      </c>
      <c r="BR28" s="100">
        <v>11</v>
      </c>
      <c r="BS28" s="100">
        <v>8118</v>
      </c>
      <c r="BT28" s="100">
        <v>12.799180748504288</v>
      </c>
      <c r="BU28" s="100">
        <v>9445.795392396165</v>
      </c>
      <c r="BV28" s="100">
        <v>6.1651668335625223</v>
      </c>
      <c r="BW28" s="100">
        <v>4549.8931231691413</v>
      </c>
      <c r="BX28" s="100">
        <v>9.7138349029990696</v>
      </c>
      <c r="BY28" s="100">
        <v>7168.8101584133137</v>
      </c>
      <c r="BZ28" s="100">
        <v>8.6278839040967767</v>
      </c>
      <c r="CA28" s="100">
        <v>6367.3783212234212</v>
      </c>
      <c r="CB28" s="100">
        <v>10.123675274593333</v>
      </c>
      <c r="CC28" s="100">
        <v>7471.2723526498803</v>
      </c>
      <c r="CD28" s="100">
        <v>10.192792678173975</v>
      </c>
      <c r="CE28" s="100">
        <v>7522.2809964923936</v>
      </c>
      <c r="CF28" s="100">
        <v>11.454907940592955</v>
      </c>
      <c r="CG28" s="100">
        <v>8453.7220601576009</v>
      </c>
      <c r="CH28" s="100">
        <v>10.137613209930132</v>
      </c>
      <c r="CI28" s="100">
        <v>7481.5585489284376</v>
      </c>
      <c r="CJ28" s="100">
        <v>11.268136878951141</v>
      </c>
      <c r="CK28" s="100">
        <v>8315.8850166659431</v>
      </c>
      <c r="CL28" s="100">
        <v>13.106292763984889</v>
      </c>
      <c r="CM28" s="100">
        <v>9672.4440598208475</v>
      </c>
      <c r="CN28" s="100">
        <v>9.7882627543259648</v>
      </c>
      <c r="CO28" s="100">
        <v>7223.7379126925616</v>
      </c>
      <c r="CP28" s="100">
        <v>9</v>
      </c>
      <c r="CQ28" s="100">
        <v>6642</v>
      </c>
      <c r="CR28" s="100">
        <v>13</v>
      </c>
      <c r="CS28" s="100">
        <v>9594</v>
      </c>
      <c r="CT28" s="100">
        <v>12.77907589653314</v>
      </c>
      <c r="CU28" s="100">
        <v>9430.9580116414581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12</v>
      </c>
      <c r="G29" s="100">
        <v>4060.7999999999997</v>
      </c>
      <c r="H29" s="100">
        <v>12</v>
      </c>
      <c r="I29" s="100">
        <v>4060.7999999999997</v>
      </c>
      <c r="J29" s="100">
        <v>10</v>
      </c>
      <c r="K29" s="100">
        <v>3384</v>
      </c>
      <c r="L29" s="100">
        <v>13</v>
      </c>
      <c r="M29" s="100">
        <v>4399.2</v>
      </c>
      <c r="N29" s="100">
        <v>14</v>
      </c>
      <c r="O29" s="100">
        <v>4737.5999999999995</v>
      </c>
      <c r="P29" s="100">
        <v>15</v>
      </c>
      <c r="Q29" s="100">
        <v>5076</v>
      </c>
      <c r="R29" s="100">
        <v>11</v>
      </c>
      <c r="S29" s="100">
        <v>3722.3999999999996</v>
      </c>
      <c r="T29" s="100">
        <v>7</v>
      </c>
      <c r="U29" s="100">
        <v>2368.7999999999997</v>
      </c>
      <c r="V29" s="100">
        <v>8</v>
      </c>
      <c r="W29" s="100">
        <v>2707.2</v>
      </c>
      <c r="X29" s="100">
        <v>13.735328268207754</v>
      </c>
      <c r="Y29" s="100">
        <v>4648.0350859615037</v>
      </c>
      <c r="Z29" s="100">
        <v>9</v>
      </c>
      <c r="AA29" s="100">
        <v>3045.6</v>
      </c>
      <c r="AB29" s="100">
        <v>8.5854125442279035</v>
      </c>
      <c r="AC29" s="100">
        <v>2905.3036049667226</v>
      </c>
      <c r="AD29" s="100">
        <v>8.5937036493072174</v>
      </c>
      <c r="AE29" s="100">
        <v>2908.1093149255621</v>
      </c>
      <c r="AF29" s="100">
        <v>10.1819116919698</v>
      </c>
      <c r="AG29" s="100">
        <v>3445.5589165625802</v>
      </c>
      <c r="AH29" s="100">
        <v>4.180361911926914</v>
      </c>
      <c r="AI29" s="100">
        <v>1414.6344709960676</v>
      </c>
      <c r="AJ29" s="100">
        <v>11.380520413851139</v>
      </c>
      <c r="AK29" s="100">
        <v>3851.1681080472254</v>
      </c>
      <c r="AL29" s="100">
        <v>7.6406465482703414</v>
      </c>
      <c r="AM29" s="100">
        <v>2585.5947919346831</v>
      </c>
      <c r="AN29" s="100">
        <v>15</v>
      </c>
      <c r="AO29" s="100">
        <v>5076</v>
      </c>
      <c r="AP29" s="100">
        <v>14.545100292398669</v>
      </c>
      <c r="AQ29" s="100">
        <v>4922.0619389477088</v>
      </c>
      <c r="AR29" s="100">
        <v>4.9290344985441124</v>
      </c>
      <c r="AS29" s="100">
        <v>1667.9852743073275</v>
      </c>
      <c r="AT29" s="100">
        <v>6.0765280426934147</v>
      </c>
      <c r="AU29" s="100">
        <v>2056.2970896474512</v>
      </c>
      <c r="AV29" s="100">
        <v>2.5972014545001678</v>
      </c>
      <c r="AW29" s="100">
        <v>878.89297220285675</v>
      </c>
      <c r="AX29" s="100">
        <v>12</v>
      </c>
      <c r="AY29" s="100">
        <v>4060.7999999999997</v>
      </c>
      <c r="AZ29" s="100">
        <v>17</v>
      </c>
      <c r="BA29" s="100">
        <v>5752.7999999999993</v>
      </c>
      <c r="BB29" s="100">
        <v>9</v>
      </c>
      <c r="BC29" s="100">
        <v>3045.6</v>
      </c>
      <c r="BD29" s="100">
        <v>9</v>
      </c>
      <c r="BE29" s="100">
        <v>3045.6</v>
      </c>
      <c r="BF29" s="100">
        <v>10</v>
      </c>
      <c r="BG29" s="100">
        <v>3384</v>
      </c>
      <c r="BH29" s="100">
        <v>13.482716541536526</v>
      </c>
      <c r="BI29" s="100">
        <v>4562.5512776559599</v>
      </c>
      <c r="BJ29" s="100">
        <v>2.8180681120206561</v>
      </c>
      <c r="BK29" s="100">
        <v>953.63424910778997</v>
      </c>
      <c r="BL29" s="100">
        <v>11</v>
      </c>
      <c r="BM29" s="100">
        <v>3722.3999999999996</v>
      </c>
      <c r="BN29" s="100">
        <v>15</v>
      </c>
      <c r="BO29" s="100">
        <v>5076</v>
      </c>
      <c r="BP29" s="100">
        <v>10</v>
      </c>
      <c r="BQ29" s="100">
        <v>3384</v>
      </c>
      <c r="BR29" s="100">
        <v>11</v>
      </c>
      <c r="BS29" s="100">
        <v>3722.3999999999996</v>
      </c>
      <c r="BT29" s="100">
        <v>13.799180748504288</v>
      </c>
      <c r="BU29" s="100">
        <v>4669.642765293851</v>
      </c>
      <c r="BV29" s="100">
        <v>6.1472780884029969</v>
      </c>
      <c r="BW29" s="100">
        <v>2080.2389051155742</v>
      </c>
      <c r="BX29" s="100">
        <v>10.443783744112729</v>
      </c>
      <c r="BY29" s="100">
        <v>3534.176419007747</v>
      </c>
      <c r="BZ29" s="100">
        <v>9.3984696680611908</v>
      </c>
      <c r="CA29" s="100">
        <v>3180.4421356719067</v>
      </c>
      <c r="CB29" s="100">
        <v>10.123675274593333</v>
      </c>
      <c r="CC29" s="100">
        <v>3425.8517129223837</v>
      </c>
      <c r="CD29" s="100">
        <v>10.17902177259012</v>
      </c>
      <c r="CE29" s="100">
        <v>3444.5809678444966</v>
      </c>
      <c r="CF29" s="100">
        <v>11.454907940592955</v>
      </c>
      <c r="CG29" s="100">
        <v>3876.3408470966556</v>
      </c>
      <c r="CH29" s="100">
        <v>11.137613209930132</v>
      </c>
      <c r="CI29" s="100">
        <v>3768.9683102403565</v>
      </c>
      <c r="CJ29" s="100">
        <v>9.6584030391009783</v>
      </c>
      <c r="CK29" s="100">
        <v>3268.4035884317709</v>
      </c>
      <c r="CL29" s="100">
        <v>15.126222657232056</v>
      </c>
      <c r="CM29" s="100">
        <v>5118.7137472073273</v>
      </c>
      <c r="CN29" s="100">
        <v>9.7882627543259648</v>
      </c>
      <c r="CO29" s="100">
        <v>3312.3481160639062</v>
      </c>
      <c r="CP29" s="100">
        <v>8</v>
      </c>
      <c r="CQ29" s="100">
        <v>2707.2</v>
      </c>
      <c r="CR29" s="100">
        <v>12</v>
      </c>
      <c r="CS29" s="100">
        <v>4060.7999999999997</v>
      </c>
      <c r="CT29" s="100">
        <v>12.730383652999819</v>
      </c>
      <c r="CU29" s="100">
        <v>4307.9618281751382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12</v>
      </c>
      <c r="G30" s="100">
        <v>1670.3999999999999</v>
      </c>
      <c r="H30" s="100">
        <v>13</v>
      </c>
      <c r="I30" s="100">
        <v>1809.6</v>
      </c>
      <c r="J30" s="100">
        <v>10</v>
      </c>
      <c r="K30" s="100">
        <v>1392</v>
      </c>
      <c r="L30" s="100">
        <v>14</v>
      </c>
      <c r="M30" s="100">
        <v>1948.7999999999997</v>
      </c>
      <c r="N30" s="100">
        <v>13</v>
      </c>
      <c r="O30" s="100">
        <v>1809.6</v>
      </c>
      <c r="P30" s="100">
        <v>14</v>
      </c>
      <c r="Q30" s="100">
        <v>1948.7999999999997</v>
      </c>
      <c r="R30" s="100">
        <v>10</v>
      </c>
      <c r="S30" s="100">
        <v>1392</v>
      </c>
      <c r="T30" s="100">
        <v>8</v>
      </c>
      <c r="U30" s="100">
        <v>1113.5999999999999</v>
      </c>
      <c r="V30" s="100">
        <v>10</v>
      </c>
      <c r="W30" s="100">
        <v>1392</v>
      </c>
      <c r="X30" s="100">
        <v>14.689370251444769</v>
      </c>
      <c r="Y30" s="100">
        <v>2044.7603390011118</v>
      </c>
      <c r="Z30" s="100">
        <v>9</v>
      </c>
      <c r="AA30" s="100">
        <v>1252.8</v>
      </c>
      <c r="AB30" s="100">
        <v>9.5854125442279035</v>
      </c>
      <c r="AC30" s="100">
        <v>1334.2894261565241</v>
      </c>
      <c r="AD30" s="100">
        <v>8.0207900726867365</v>
      </c>
      <c r="AE30" s="100">
        <v>1116.4939781179937</v>
      </c>
      <c r="AF30" s="100">
        <v>9.1223698875372392</v>
      </c>
      <c r="AG30" s="100">
        <v>1269.8338883451836</v>
      </c>
      <c r="AH30" s="100">
        <v>4.5603948130111789</v>
      </c>
      <c r="AI30" s="100">
        <v>634.80695797115607</v>
      </c>
      <c r="AJ30" s="100">
        <v>13.277273816159662</v>
      </c>
      <c r="AK30" s="100">
        <v>1848.1965152094247</v>
      </c>
      <c r="AL30" s="100">
        <v>7.6406465482703414</v>
      </c>
      <c r="AM30" s="100">
        <v>1063.5779995192315</v>
      </c>
      <c r="AN30" s="100">
        <v>16</v>
      </c>
      <c r="AO30" s="100">
        <v>2227.1999999999998</v>
      </c>
      <c r="AP30" s="100">
        <v>16.545100292398669</v>
      </c>
      <c r="AQ30" s="100">
        <v>2303.0779607018944</v>
      </c>
      <c r="AR30" s="100">
        <v>4.6290064763231511</v>
      </c>
      <c r="AS30" s="100">
        <v>644.35770150418261</v>
      </c>
      <c r="AT30" s="100">
        <v>6.0386262061212639</v>
      </c>
      <c r="AU30" s="100">
        <v>840.57676789207983</v>
      </c>
      <c r="AV30" s="100">
        <v>2.5972014545001678</v>
      </c>
      <c r="AW30" s="100">
        <v>361.53044246642332</v>
      </c>
      <c r="AX30" s="100">
        <v>12</v>
      </c>
      <c r="AY30" s="100">
        <v>1670.3999999999999</v>
      </c>
      <c r="AZ30" s="100">
        <v>14</v>
      </c>
      <c r="BA30" s="100">
        <v>1948.7999999999997</v>
      </c>
      <c r="BB30" s="100">
        <v>9</v>
      </c>
      <c r="BC30" s="100">
        <v>1252.8</v>
      </c>
      <c r="BD30" s="100">
        <v>8</v>
      </c>
      <c r="BE30" s="100">
        <v>1113.5999999999999</v>
      </c>
      <c r="BF30" s="100">
        <v>11</v>
      </c>
      <c r="BG30" s="100">
        <v>1531.1999999999998</v>
      </c>
      <c r="BH30" s="100">
        <v>15.482716541536526</v>
      </c>
      <c r="BI30" s="100">
        <v>2155.1941425818841</v>
      </c>
      <c r="BJ30" s="100">
        <v>2.8180681120206561</v>
      </c>
      <c r="BK30" s="100">
        <v>392.2750811932753</v>
      </c>
      <c r="BL30" s="100">
        <v>12</v>
      </c>
      <c r="BM30" s="100">
        <v>1670.3999999999999</v>
      </c>
      <c r="BN30" s="100">
        <v>14</v>
      </c>
      <c r="BO30" s="100">
        <v>1948.7999999999997</v>
      </c>
      <c r="BP30" s="100">
        <v>11</v>
      </c>
      <c r="BQ30" s="100">
        <v>1531.1999999999998</v>
      </c>
      <c r="BR30" s="100">
        <v>12</v>
      </c>
      <c r="BS30" s="100">
        <v>1670.3999999999999</v>
      </c>
      <c r="BT30" s="100">
        <v>12.74923195172277</v>
      </c>
      <c r="BU30" s="100">
        <v>1774.6930876798094</v>
      </c>
      <c r="BV30" s="100">
        <v>6.2009443238815756</v>
      </c>
      <c r="BW30" s="100">
        <v>863.17144988431528</v>
      </c>
      <c r="BX30" s="100">
        <v>11.173732585226388</v>
      </c>
      <c r="BY30" s="100">
        <v>1555.383575863513</v>
      </c>
      <c r="BZ30" s="100">
        <v>7.8572981401323636</v>
      </c>
      <c r="CA30" s="100">
        <v>1093.735901106425</v>
      </c>
      <c r="CB30" s="100">
        <v>10.123675274593333</v>
      </c>
      <c r="CC30" s="100">
        <v>1409.2155982233919</v>
      </c>
      <c r="CD30" s="100">
        <v>10.192792678173975</v>
      </c>
      <c r="CE30" s="100">
        <v>1418.8367408018171</v>
      </c>
      <c r="CF30" s="100">
        <v>13.091323360677661</v>
      </c>
      <c r="CG30" s="100">
        <v>1822.3122118063302</v>
      </c>
      <c r="CH30" s="100">
        <v>11.145708104631904</v>
      </c>
      <c r="CI30" s="100">
        <v>1551.482568164761</v>
      </c>
      <c r="CJ30" s="100">
        <v>10.463269959026059</v>
      </c>
      <c r="CK30" s="100">
        <v>1456.4871782964274</v>
      </c>
      <c r="CL30" s="100">
        <v>15.126222657232056</v>
      </c>
      <c r="CM30" s="100">
        <v>2105.5701938867019</v>
      </c>
      <c r="CN30" s="100">
        <v>9.7882627543259648</v>
      </c>
      <c r="CO30" s="100">
        <v>1362.5261754021742</v>
      </c>
      <c r="CP30" s="100">
        <v>8</v>
      </c>
      <c r="CQ30" s="100">
        <v>1113.5999999999999</v>
      </c>
      <c r="CR30" s="100">
        <v>12</v>
      </c>
      <c r="CS30" s="100">
        <v>1670.3999999999999</v>
      </c>
      <c r="CT30" s="100">
        <v>12.730383652999819</v>
      </c>
      <c r="CU30" s="100">
        <v>1772.0694044975746</v>
      </c>
    </row>
    <row r="31" spans="2:99">
      <c r="C31" s="99" t="s">
        <v>197</v>
      </c>
      <c r="D31" s="100">
        <v>11</v>
      </c>
      <c r="E31" s="100">
        <v>3748.8</v>
      </c>
      <c r="F31" s="100">
        <v>11</v>
      </c>
      <c r="G31" s="100">
        <v>3748.8</v>
      </c>
      <c r="H31" s="100">
        <v>11</v>
      </c>
      <c r="I31" s="100">
        <v>3748.8</v>
      </c>
      <c r="J31" s="100">
        <v>9</v>
      </c>
      <c r="K31" s="100">
        <v>3067.2000000000003</v>
      </c>
      <c r="L31" s="100">
        <v>13</v>
      </c>
      <c r="M31" s="100">
        <v>4430.4000000000005</v>
      </c>
      <c r="N31" s="100">
        <v>14</v>
      </c>
      <c r="O31" s="100">
        <v>4771.2</v>
      </c>
      <c r="P31" s="100">
        <v>14</v>
      </c>
      <c r="Q31" s="100">
        <v>4771.2</v>
      </c>
      <c r="R31" s="100">
        <v>9</v>
      </c>
      <c r="S31" s="100">
        <v>3067.2000000000003</v>
      </c>
      <c r="T31" s="100">
        <v>8</v>
      </c>
      <c r="U31" s="100">
        <v>2726.4</v>
      </c>
      <c r="V31" s="100">
        <v>9</v>
      </c>
      <c r="W31" s="100">
        <v>3067.2000000000003</v>
      </c>
      <c r="X31" s="100">
        <v>13.735328268207754</v>
      </c>
      <c r="Y31" s="100">
        <v>4680.9998738052027</v>
      </c>
      <c r="Z31" s="100">
        <v>7</v>
      </c>
      <c r="AA31" s="100">
        <v>2385.6</v>
      </c>
      <c r="AB31" s="100">
        <v>8.5854125442279035</v>
      </c>
      <c r="AC31" s="100">
        <v>2925.9085950728695</v>
      </c>
      <c r="AD31" s="100">
        <v>7.4478764960662547</v>
      </c>
      <c r="AE31" s="100">
        <v>2538.2363098593796</v>
      </c>
      <c r="AF31" s="100">
        <v>9.2142601880607504</v>
      </c>
      <c r="AG31" s="100">
        <v>3140.2198720911038</v>
      </c>
      <c r="AH31" s="100">
        <v>4.180361911926914</v>
      </c>
      <c r="AI31" s="100">
        <v>1424.6673395846924</v>
      </c>
      <c r="AJ31" s="100">
        <v>13.277273816159662</v>
      </c>
      <c r="AK31" s="100">
        <v>4524.8949165472131</v>
      </c>
      <c r="AL31" s="100">
        <v>7.6406465482703414</v>
      </c>
      <c r="AM31" s="100">
        <v>2603.9323436505324</v>
      </c>
      <c r="AN31" s="100">
        <v>16</v>
      </c>
      <c r="AO31" s="100">
        <v>5452.8</v>
      </c>
      <c r="AP31" s="100">
        <v>15.51914313561778</v>
      </c>
      <c r="AQ31" s="100">
        <v>5288.9239806185396</v>
      </c>
      <c r="AR31" s="100">
        <v>4.6115713880236315</v>
      </c>
      <c r="AS31" s="100">
        <v>1571.6235290384536</v>
      </c>
      <c r="AT31" s="100">
        <v>7.0103205569503375</v>
      </c>
      <c r="AU31" s="100">
        <v>2389.1172458086753</v>
      </c>
      <c r="AV31" s="100">
        <v>2.5972014545001678</v>
      </c>
      <c r="AW31" s="100">
        <v>885.12625569365719</v>
      </c>
      <c r="AX31" s="100">
        <v>12</v>
      </c>
      <c r="AY31" s="100">
        <v>4089.6000000000004</v>
      </c>
      <c r="AZ31" s="100">
        <v>16</v>
      </c>
      <c r="BA31" s="100">
        <v>5452.8</v>
      </c>
      <c r="BB31" s="100">
        <v>9</v>
      </c>
      <c r="BC31" s="100">
        <v>3067.2000000000003</v>
      </c>
      <c r="BD31" s="100">
        <v>9</v>
      </c>
      <c r="BE31" s="100">
        <v>3067.2000000000003</v>
      </c>
      <c r="BF31" s="100">
        <v>11</v>
      </c>
      <c r="BG31" s="100">
        <v>3748.8</v>
      </c>
      <c r="BH31" s="100">
        <v>14.517196294503421</v>
      </c>
      <c r="BI31" s="100">
        <v>4947.4604971667659</v>
      </c>
      <c r="BJ31" s="100">
        <v>2.6301969045526126</v>
      </c>
      <c r="BK31" s="100">
        <v>896.37110507153034</v>
      </c>
      <c r="BL31" s="100">
        <v>12</v>
      </c>
      <c r="BM31" s="100">
        <v>4089.6000000000004</v>
      </c>
      <c r="BN31" s="100">
        <v>15</v>
      </c>
      <c r="BO31" s="100">
        <v>5112</v>
      </c>
      <c r="BP31" s="100">
        <v>9</v>
      </c>
      <c r="BQ31" s="100">
        <v>3067.2000000000003</v>
      </c>
      <c r="BR31" s="100">
        <v>12</v>
      </c>
      <c r="BS31" s="100">
        <v>4089.6000000000004</v>
      </c>
      <c r="BT31" s="100">
        <v>12.74923195172277</v>
      </c>
      <c r="BU31" s="100">
        <v>4344.9382491471197</v>
      </c>
      <c r="BV31" s="100">
        <v>6.1472780884029969</v>
      </c>
      <c r="BW31" s="100">
        <v>2094.9923725277413</v>
      </c>
      <c r="BX31" s="100">
        <v>10.45875040868083</v>
      </c>
      <c r="BY31" s="100">
        <v>3564.3421392784271</v>
      </c>
      <c r="BZ31" s="100">
        <v>8.6337085387309394</v>
      </c>
      <c r="CA31" s="100">
        <v>2942.3678699995044</v>
      </c>
      <c r="CB31" s="100">
        <v>9.4909455699312488</v>
      </c>
      <c r="CC31" s="100">
        <v>3234.5142502325698</v>
      </c>
      <c r="CD31" s="100">
        <v>10.17902177259012</v>
      </c>
      <c r="CE31" s="100">
        <v>3469.0106200987129</v>
      </c>
      <c r="CF31" s="100">
        <v>10.6367002305506</v>
      </c>
      <c r="CG31" s="100">
        <v>3624.9874385716448</v>
      </c>
      <c r="CH31" s="100">
        <v>12.12951831522836</v>
      </c>
      <c r="CI31" s="100">
        <v>4133.7398418298253</v>
      </c>
      <c r="CJ31" s="100">
        <v>11.268136878951141</v>
      </c>
      <c r="CK31" s="100">
        <v>3840.1810483465492</v>
      </c>
      <c r="CL31" s="100">
        <v>15.106292763984889</v>
      </c>
      <c r="CM31" s="100">
        <v>5148.2245739660502</v>
      </c>
      <c r="CN31" s="100">
        <v>9.7882627543259648</v>
      </c>
      <c r="CO31" s="100">
        <v>3335.839946674289</v>
      </c>
      <c r="CP31" s="100">
        <v>8</v>
      </c>
      <c r="CQ31" s="100">
        <v>2726.4</v>
      </c>
      <c r="CR31" s="100">
        <v>12</v>
      </c>
      <c r="CS31" s="100">
        <v>4089.6000000000004</v>
      </c>
      <c r="CT31" s="100">
        <v>13.681691409466499</v>
      </c>
      <c r="CU31" s="100">
        <v>4662.7204323461829</v>
      </c>
    </row>
    <row r="32" spans="2:99">
      <c r="C32" s="99" t="s">
        <v>198</v>
      </c>
      <c r="D32" s="100">
        <v>10</v>
      </c>
      <c r="E32" s="100">
        <v>8400</v>
      </c>
      <c r="F32" s="100">
        <v>11</v>
      </c>
      <c r="G32" s="100">
        <v>9240</v>
      </c>
      <c r="H32" s="100">
        <v>11</v>
      </c>
      <c r="I32" s="100">
        <v>9240</v>
      </c>
      <c r="J32" s="100">
        <v>8</v>
      </c>
      <c r="K32" s="100">
        <v>6720</v>
      </c>
      <c r="L32" s="100">
        <v>15</v>
      </c>
      <c r="M32" s="100">
        <v>12600</v>
      </c>
      <c r="N32" s="100">
        <v>15</v>
      </c>
      <c r="O32" s="100">
        <v>12600</v>
      </c>
      <c r="P32" s="100">
        <v>13</v>
      </c>
      <c r="Q32" s="100">
        <v>10920</v>
      </c>
      <c r="R32" s="100">
        <v>9</v>
      </c>
      <c r="S32" s="100">
        <v>7560</v>
      </c>
      <c r="T32" s="100">
        <v>7</v>
      </c>
      <c r="U32" s="100">
        <v>5880</v>
      </c>
      <c r="V32" s="100">
        <v>8</v>
      </c>
      <c r="W32" s="100">
        <v>6720</v>
      </c>
      <c r="X32" s="100">
        <v>15.781286284970738</v>
      </c>
      <c r="Y32" s="100">
        <v>13256.28047937542</v>
      </c>
      <c r="Z32" s="100">
        <v>8</v>
      </c>
      <c r="AA32" s="100">
        <v>6720</v>
      </c>
      <c r="AB32" s="100">
        <v>9.5366281655422434</v>
      </c>
      <c r="AC32" s="100">
        <v>8010.7676590554847</v>
      </c>
      <c r="AD32" s="100">
        <v>7.4478764960662547</v>
      </c>
      <c r="AE32" s="100">
        <v>6256.216256695654</v>
      </c>
      <c r="AF32" s="100">
        <v>10.090021391446289</v>
      </c>
      <c r="AG32" s="100">
        <v>8475.6179688148823</v>
      </c>
      <c r="AH32" s="100">
        <v>4.180361911926914</v>
      </c>
      <c r="AI32" s="100">
        <v>3511.5040060186079</v>
      </c>
      <c r="AJ32" s="100">
        <v>12.3288971150054</v>
      </c>
      <c r="AK32" s="100">
        <v>10356.273576604537</v>
      </c>
      <c r="AL32" s="100">
        <v>6.7916858206847479</v>
      </c>
      <c r="AM32" s="100">
        <v>5705.0160893751881</v>
      </c>
      <c r="AN32" s="100">
        <v>15</v>
      </c>
      <c r="AO32" s="100">
        <v>12600</v>
      </c>
      <c r="AP32" s="100">
        <v>14.51914313561778</v>
      </c>
      <c r="AQ32" s="100">
        <v>12196.080233918936</v>
      </c>
      <c r="AR32" s="100">
        <v>4.9639046751431497</v>
      </c>
      <c r="AS32" s="100">
        <v>4169.6799271202453</v>
      </c>
      <c r="AT32" s="100">
        <v>6.5149979223927632</v>
      </c>
      <c r="AU32" s="100">
        <v>5472.5982548099209</v>
      </c>
      <c r="AV32" s="100">
        <v>2.5972014545001678</v>
      </c>
      <c r="AW32" s="100">
        <v>2181.649221780141</v>
      </c>
      <c r="AX32" s="100">
        <v>12</v>
      </c>
      <c r="AY32" s="100">
        <v>10080</v>
      </c>
      <c r="AZ32" s="100">
        <v>16</v>
      </c>
      <c r="BA32" s="100">
        <v>13440</v>
      </c>
      <c r="BB32" s="100">
        <v>9</v>
      </c>
      <c r="BC32" s="100">
        <v>7560</v>
      </c>
      <c r="BD32" s="100">
        <v>9</v>
      </c>
      <c r="BE32" s="100">
        <v>7560</v>
      </c>
      <c r="BF32" s="100">
        <v>9</v>
      </c>
      <c r="BG32" s="100">
        <v>7560</v>
      </c>
      <c r="BH32" s="100">
        <v>15.448236788569631</v>
      </c>
      <c r="BI32" s="100">
        <v>12976.518902398489</v>
      </c>
      <c r="BJ32" s="100">
        <v>2.8180681120206561</v>
      </c>
      <c r="BK32" s="100">
        <v>2367.1772140973512</v>
      </c>
      <c r="BL32" s="100">
        <v>11</v>
      </c>
      <c r="BM32" s="100">
        <v>9240</v>
      </c>
      <c r="BN32" s="100">
        <v>14</v>
      </c>
      <c r="BO32" s="100">
        <v>11760</v>
      </c>
      <c r="BP32" s="100">
        <v>11</v>
      </c>
      <c r="BQ32" s="100">
        <v>9240</v>
      </c>
      <c r="BR32" s="100">
        <v>10</v>
      </c>
      <c r="BS32" s="100">
        <v>8400</v>
      </c>
      <c r="BT32" s="100">
        <v>13.849129545285805</v>
      </c>
      <c r="BU32" s="100">
        <v>11633.268818040076</v>
      </c>
      <c r="BV32" s="100">
        <v>6.1651668335625223</v>
      </c>
      <c r="BW32" s="100">
        <v>5178.740140192519</v>
      </c>
      <c r="BX32" s="100">
        <v>9.7288015675671708</v>
      </c>
      <c r="BY32" s="100">
        <v>8172.1933167564239</v>
      </c>
      <c r="BZ32" s="100">
        <v>7.8456488708640384</v>
      </c>
      <c r="CA32" s="100">
        <v>6590.3450515257919</v>
      </c>
      <c r="CB32" s="100">
        <v>10.123675274593333</v>
      </c>
      <c r="CC32" s="100">
        <v>8503.8872306583999</v>
      </c>
      <c r="CD32" s="100">
        <v>9.1927926781739746</v>
      </c>
      <c r="CE32" s="100">
        <v>7721.9458496661391</v>
      </c>
      <c r="CF32" s="100">
        <v>10.6367002305506</v>
      </c>
      <c r="CG32" s="100">
        <v>8934.8281936625044</v>
      </c>
      <c r="CH32" s="100">
        <v>10.137613209930132</v>
      </c>
      <c r="CI32" s="100">
        <v>8515.5950963413106</v>
      </c>
      <c r="CJ32" s="100">
        <v>10.463269959026059</v>
      </c>
      <c r="CK32" s="100">
        <v>8789.1467655818888</v>
      </c>
      <c r="CL32" s="100">
        <v>13.106292763984889</v>
      </c>
      <c r="CM32" s="100">
        <v>11009.285921747307</v>
      </c>
      <c r="CN32" s="100">
        <v>9.7882627543259648</v>
      </c>
      <c r="CO32" s="100">
        <v>8222.1407136338112</v>
      </c>
      <c r="CP32" s="100">
        <v>8</v>
      </c>
      <c r="CQ32" s="100">
        <v>6720</v>
      </c>
      <c r="CR32" s="100">
        <v>12</v>
      </c>
      <c r="CS32" s="100">
        <v>10080</v>
      </c>
      <c r="CT32" s="100">
        <v>12.681691409466499</v>
      </c>
      <c r="CU32" s="100">
        <v>10652.620783951859</v>
      </c>
    </row>
    <row r="33" spans="2:99">
      <c r="C33" s="99" t="s">
        <v>199</v>
      </c>
      <c r="D33" s="100">
        <v>10</v>
      </c>
      <c r="E33" s="100">
        <v>4740</v>
      </c>
      <c r="F33" s="100">
        <v>12</v>
      </c>
      <c r="G33" s="100">
        <v>5688</v>
      </c>
      <c r="H33" s="100">
        <v>11</v>
      </c>
      <c r="I33" s="100">
        <v>5214</v>
      </c>
      <c r="J33" s="100">
        <v>10</v>
      </c>
      <c r="K33" s="100">
        <v>4740</v>
      </c>
      <c r="L33" s="100">
        <v>12</v>
      </c>
      <c r="M33" s="100">
        <v>5688</v>
      </c>
      <c r="N33" s="100">
        <v>14</v>
      </c>
      <c r="O33" s="100">
        <v>6636</v>
      </c>
      <c r="P33" s="100">
        <v>13</v>
      </c>
      <c r="Q33" s="100">
        <v>6162</v>
      </c>
      <c r="R33" s="100">
        <v>11</v>
      </c>
      <c r="S33" s="100">
        <v>5214</v>
      </c>
      <c r="T33" s="100">
        <v>8</v>
      </c>
      <c r="U33" s="100">
        <v>3792</v>
      </c>
      <c r="V33" s="100">
        <v>8</v>
      </c>
      <c r="W33" s="100">
        <v>3792</v>
      </c>
      <c r="X33" s="100">
        <v>13.827244301733723</v>
      </c>
      <c r="Y33" s="100">
        <v>6554.1137990217849</v>
      </c>
      <c r="Z33" s="100">
        <v>8</v>
      </c>
      <c r="AA33" s="100">
        <v>3792</v>
      </c>
      <c r="AB33" s="100">
        <v>7.5854125442279026</v>
      </c>
      <c r="AC33" s="100">
        <v>3595.4855459640257</v>
      </c>
      <c r="AD33" s="100">
        <v>7.4478764960662547</v>
      </c>
      <c r="AE33" s="100">
        <v>3530.2934591354046</v>
      </c>
      <c r="AF33" s="100">
        <v>9.1223698875372392</v>
      </c>
      <c r="AG33" s="100">
        <v>4324.0033266926512</v>
      </c>
      <c r="AH33" s="100">
        <v>3.8003290108426495</v>
      </c>
      <c r="AI33" s="100">
        <v>1801.3559511394158</v>
      </c>
      <c r="AJ33" s="100">
        <v>12.3288971150054</v>
      </c>
      <c r="AK33" s="100">
        <v>5843.8972325125596</v>
      </c>
      <c r="AL33" s="100">
        <v>7.6406465482703414</v>
      </c>
      <c r="AM33" s="100">
        <v>3621.6664638801417</v>
      </c>
      <c r="AN33" s="100">
        <v>15</v>
      </c>
      <c r="AO33" s="100">
        <v>7110</v>
      </c>
      <c r="AP33" s="100">
        <v>13.467228822056001</v>
      </c>
      <c r="AQ33" s="100">
        <v>6383.4664616545442</v>
      </c>
      <c r="AR33" s="100">
        <v>4.5941362997241129</v>
      </c>
      <c r="AS33" s="100">
        <v>2177.6206060692293</v>
      </c>
      <c r="AT33" s="100">
        <v>6.5339488406788391</v>
      </c>
      <c r="AU33" s="100">
        <v>3097.0917504817699</v>
      </c>
      <c r="AV33" s="100">
        <v>2.5972014545001678</v>
      </c>
      <c r="AW33" s="100">
        <v>1231.0734894330797</v>
      </c>
      <c r="AX33" s="100">
        <v>11</v>
      </c>
      <c r="AY33" s="100">
        <v>5214</v>
      </c>
      <c r="AZ33" s="100">
        <v>16</v>
      </c>
      <c r="BA33" s="100">
        <v>7584</v>
      </c>
      <c r="BB33" s="100">
        <v>8</v>
      </c>
      <c r="BC33" s="100">
        <v>3792</v>
      </c>
      <c r="BD33" s="100">
        <v>8</v>
      </c>
      <c r="BE33" s="100">
        <v>3792</v>
      </c>
      <c r="BF33" s="100">
        <v>9</v>
      </c>
      <c r="BG33" s="100">
        <v>4266</v>
      </c>
      <c r="BH33" s="100">
        <v>13.482716541536526</v>
      </c>
      <c r="BI33" s="100">
        <v>6390.8076406883129</v>
      </c>
      <c r="BJ33" s="100">
        <v>3.0059393194887001</v>
      </c>
      <c r="BK33" s="100">
        <v>1424.8152374376439</v>
      </c>
      <c r="BL33" s="100">
        <v>11</v>
      </c>
      <c r="BM33" s="100">
        <v>5214</v>
      </c>
      <c r="BN33" s="100">
        <v>14</v>
      </c>
      <c r="BO33" s="100">
        <v>6636</v>
      </c>
      <c r="BP33" s="100">
        <v>11</v>
      </c>
      <c r="BQ33" s="100">
        <v>5214</v>
      </c>
      <c r="BR33" s="100">
        <v>10</v>
      </c>
      <c r="BS33" s="100">
        <v>4740</v>
      </c>
      <c r="BT33" s="100">
        <v>11.899078342067323</v>
      </c>
      <c r="BU33" s="100">
        <v>5640.1631341399116</v>
      </c>
      <c r="BV33" s="100">
        <v>6.2188330690411027</v>
      </c>
      <c r="BW33" s="100">
        <v>2947.7268747254825</v>
      </c>
      <c r="BX33" s="100">
        <v>10.428817079544627</v>
      </c>
      <c r="BY33" s="100">
        <v>4943.2592957041534</v>
      </c>
      <c r="BZ33" s="100">
        <v>8.6220592694626141</v>
      </c>
      <c r="CA33" s="100">
        <v>4086.8560937252792</v>
      </c>
      <c r="CB33" s="100">
        <v>9.4909455699312488</v>
      </c>
      <c r="CC33" s="100">
        <v>4498.7082001474118</v>
      </c>
      <c r="CD33" s="100">
        <v>9.2065635837578306</v>
      </c>
      <c r="CE33" s="100">
        <v>4363.9111387012117</v>
      </c>
      <c r="CF33" s="100">
        <v>12.273115650635308</v>
      </c>
      <c r="CG33" s="100">
        <v>5817.4568184011359</v>
      </c>
      <c r="CH33" s="100">
        <v>12.121423420526588</v>
      </c>
      <c r="CI33" s="100">
        <v>5745.5547013296027</v>
      </c>
      <c r="CJ33" s="100">
        <v>11.268136878951141</v>
      </c>
      <c r="CK33" s="100">
        <v>5341.0968806228411</v>
      </c>
      <c r="CL33" s="100">
        <v>15.112936061733944</v>
      </c>
      <c r="CM33" s="100">
        <v>7163.5316932618889</v>
      </c>
      <c r="CN33" s="100">
        <v>9.0353194655316589</v>
      </c>
      <c r="CO33" s="100">
        <v>4282.7414266620062</v>
      </c>
      <c r="CP33" s="100">
        <v>9</v>
      </c>
      <c r="CQ33" s="100">
        <v>4266</v>
      </c>
      <c r="CR33" s="100">
        <v>14</v>
      </c>
      <c r="CS33" s="100">
        <v>6636</v>
      </c>
      <c r="CT33" s="100">
        <v>13.730383652999819</v>
      </c>
      <c r="CU33" s="100">
        <v>6508.2018515219143</v>
      </c>
    </row>
    <row r="34" spans="2:99">
      <c r="C34" s="99" t="s">
        <v>200</v>
      </c>
      <c r="D34" s="100">
        <v>11</v>
      </c>
      <c r="E34" s="100">
        <v>6032.4</v>
      </c>
      <c r="F34" s="100">
        <v>12</v>
      </c>
      <c r="G34" s="100">
        <v>6580.7999999999993</v>
      </c>
      <c r="H34" s="100">
        <v>12</v>
      </c>
      <c r="I34" s="100">
        <v>6580.7999999999993</v>
      </c>
      <c r="J34" s="100">
        <v>8</v>
      </c>
      <c r="K34" s="100">
        <v>4387.2</v>
      </c>
      <c r="L34" s="100">
        <v>13</v>
      </c>
      <c r="M34" s="100">
        <v>7129.2</v>
      </c>
      <c r="N34" s="100">
        <v>13</v>
      </c>
      <c r="O34" s="100">
        <v>7129.2</v>
      </c>
      <c r="P34" s="100">
        <v>15</v>
      </c>
      <c r="Q34" s="100">
        <v>8226</v>
      </c>
      <c r="R34" s="100">
        <v>11</v>
      </c>
      <c r="S34" s="100">
        <v>6032.4</v>
      </c>
      <c r="T34" s="100">
        <v>9</v>
      </c>
      <c r="U34" s="100">
        <v>4935.5999999999995</v>
      </c>
      <c r="V34" s="100">
        <v>9</v>
      </c>
      <c r="W34" s="100">
        <v>4935.5999999999995</v>
      </c>
      <c r="X34" s="100">
        <v>14.735328268207754</v>
      </c>
      <c r="Y34" s="100">
        <v>8080.8540222851316</v>
      </c>
      <c r="Z34" s="100">
        <v>8</v>
      </c>
      <c r="AA34" s="100">
        <v>4387.2</v>
      </c>
      <c r="AB34" s="100">
        <v>8.5854125442279035</v>
      </c>
      <c r="AC34" s="100">
        <v>4708.2402392545819</v>
      </c>
      <c r="AD34" s="100">
        <v>8.5937036493072174</v>
      </c>
      <c r="AE34" s="100">
        <v>4712.7870812800775</v>
      </c>
      <c r="AF34" s="100">
        <v>9.1223698875372392</v>
      </c>
      <c r="AG34" s="100">
        <v>5002.7076463254216</v>
      </c>
      <c r="AH34" s="100">
        <v>4.5603948130111789</v>
      </c>
      <c r="AI34" s="100">
        <v>2500.9205154553306</v>
      </c>
      <c r="AJ34" s="100">
        <v>11.380520413851139</v>
      </c>
      <c r="AK34" s="100">
        <v>6241.0773949559643</v>
      </c>
      <c r="AL34" s="100">
        <v>6.7916858206847479</v>
      </c>
      <c r="AM34" s="100">
        <v>3724.5605040635155</v>
      </c>
      <c r="AN34" s="100">
        <v>15</v>
      </c>
      <c r="AO34" s="100">
        <v>8226</v>
      </c>
      <c r="AP34" s="100">
        <v>14</v>
      </c>
      <c r="AQ34" s="100">
        <v>7677.5999999999995</v>
      </c>
      <c r="AR34" s="100">
        <v>4.5767012114245942</v>
      </c>
      <c r="AS34" s="100">
        <v>2509.8629443452473</v>
      </c>
      <c r="AT34" s="100">
        <v>6.5149979223927632</v>
      </c>
      <c r="AU34" s="100">
        <v>3572.8248606401912</v>
      </c>
      <c r="AV34" s="100">
        <v>2.8333106776365464</v>
      </c>
      <c r="AW34" s="100">
        <v>1553.7875756158819</v>
      </c>
      <c r="AX34" s="100">
        <v>12</v>
      </c>
      <c r="AY34" s="100">
        <v>6580.7999999999993</v>
      </c>
      <c r="AZ34" s="100">
        <v>15</v>
      </c>
      <c r="BA34" s="100">
        <v>8226</v>
      </c>
      <c r="BB34" s="100">
        <v>9</v>
      </c>
      <c r="BC34" s="100">
        <v>4935.5999999999995</v>
      </c>
      <c r="BD34" s="100">
        <v>9</v>
      </c>
      <c r="BE34" s="100">
        <v>4935.5999999999995</v>
      </c>
      <c r="BF34" s="100">
        <v>10</v>
      </c>
      <c r="BG34" s="100">
        <v>5484</v>
      </c>
      <c r="BH34" s="100">
        <v>15.482716541536526</v>
      </c>
      <c r="BI34" s="100">
        <v>8490.7217513786309</v>
      </c>
      <c r="BJ34" s="100">
        <v>3.0059393194887001</v>
      </c>
      <c r="BK34" s="100">
        <v>1648.4571228076031</v>
      </c>
      <c r="BL34" s="100">
        <v>10</v>
      </c>
      <c r="BM34" s="100">
        <v>5484</v>
      </c>
      <c r="BN34" s="100">
        <v>13</v>
      </c>
      <c r="BO34" s="100">
        <v>7129.2</v>
      </c>
      <c r="BP34" s="100">
        <v>11</v>
      </c>
      <c r="BQ34" s="100">
        <v>6032.4</v>
      </c>
      <c r="BR34" s="100">
        <v>11</v>
      </c>
      <c r="BS34" s="100">
        <v>6032.4</v>
      </c>
      <c r="BT34" s="100">
        <v>13.899078342067323</v>
      </c>
      <c r="BU34" s="100">
        <v>7622.2545627897198</v>
      </c>
      <c r="BV34" s="100">
        <v>6.8621112007313778</v>
      </c>
      <c r="BW34" s="100">
        <v>3763.1817824810873</v>
      </c>
      <c r="BX34" s="100">
        <v>10.443783744112729</v>
      </c>
      <c r="BY34" s="100">
        <v>5727.3710052714205</v>
      </c>
      <c r="BZ34" s="100">
        <v>7.851473505498201</v>
      </c>
      <c r="CA34" s="100">
        <v>4305.7480704152131</v>
      </c>
      <c r="CB34" s="100">
        <v>8.858215865269166</v>
      </c>
      <c r="CC34" s="100">
        <v>4857.8455805136109</v>
      </c>
      <c r="CD34" s="100">
        <v>10.17902177259012</v>
      </c>
      <c r="CE34" s="100">
        <v>5582.1755400884222</v>
      </c>
      <c r="CF34" s="100">
        <v>13.091323360677661</v>
      </c>
      <c r="CG34" s="100">
        <v>7179.281730995629</v>
      </c>
      <c r="CH34" s="100">
        <v>11.121423420526588</v>
      </c>
      <c r="CI34" s="100">
        <v>6098.9886038167806</v>
      </c>
      <c r="CJ34" s="100">
        <v>11.268136878951141</v>
      </c>
      <c r="CK34" s="100">
        <v>6179.4462644168061</v>
      </c>
      <c r="CL34" s="100">
        <v>15.126222657232056</v>
      </c>
      <c r="CM34" s="100">
        <v>8295.2205052260597</v>
      </c>
      <c r="CN34" s="100">
        <v>10.541206043120269</v>
      </c>
      <c r="CO34" s="100">
        <v>5780.7973940471556</v>
      </c>
      <c r="CP34" s="100">
        <v>9</v>
      </c>
      <c r="CQ34" s="100">
        <v>4935.5999999999995</v>
      </c>
      <c r="CR34" s="100">
        <v>12</v>
      </c>
      <c r="CS34" s="100">
        <v>6580.7999999999993</v>
      </c>
      <c r="CT34" s="100">
        <v>12.730383652999819</v>
      </c>
      <c r="CU34" s="100">
        <v>6981.3423953051006</v>
      </c>
    </row>
    <row r="35" spans="2:99">
      <c r="C35" s="99" t="s">
        <v>201</v>
      </c>
      <c r="D35" s="100">
        <v>11</v>
      </c>
      <c r="E35" s="100">
        <v>5530.7999999999993</v>
      </c>
      <c r="F35" s="100">
        <v>11</v>
      </c>
      <c r="G35" s="100">
        <v>5530.7999999999993</v>
      </c>
      <c r="H35" s="100">
        <v>11</v>
      </c>
      <c r="I35" s="100">
        <v>5530.7999999999993</v>
      </c>
      <c r="J35" s="100">
        <v>9</v>
      </c>
      <c r="K35" s="100">
        <v>4525.1999999999989</v>
      </c>
      <c r="L35" s="100">
        <v>13</v>
      </c>
      <c r="M35" s="100">
        <v>6536.3999999999987</v>
      </c>
      <c r="N35" s="100">
        <v>13</v>
      </c>
      <c r="O35" s="100">
        <v>6536.3999999999987</v>
      </c>
      <c r="P35" s="100">
        <v>14</v>
      </c>
      <c r="Q35" s="100">
        <v>7039.1999999999989</v>
      </c>
      <c r="R35" s="100">
        <v>9</v>
      </c>
      <c r="S35" s="100">
        <v>4525.1999999999989</v>
      </c>
      <c r="T35" s="100">
        <v>8</v>
      </c>
      <c r="U35" s="100">
        <v>4022.3999999999992</v>
      </c>
      <c r="V35" s="100">
        <v>9</v>
      </c>
      <c r="W35" s="100">
        <v>4525.1999999999989</v>
      </c>
      <c r="X35" s="100">
        <v>14.689370251444769</v>
      </c>
      <c r="Y35" s="100">
        <v>7385.8153624264287</v>
      </c>
      <c r="Z35" s="100">
        <v>8</v>
      </c>
      <c r="AA35" s="100">
        <v>4022.3999999999992</v>
      </c>
      <c r="AB35" s="100">
        <v>9.487843786856585</v>
      </c>
      <c r="AC35" s="100">
        <v>4770.4878560314901</v>
      </c>
      <c r="AD35" s="100">
        <v>7.4478764960662547</v>
      </c>
      <c r="AE35" s="100">
        <v>3744.7923022221121</v>
      </c>
      <c r="AF35" s="100">
        <v>10.044076241184532</v>
      </c>
      <c r="AG35" s="100">
        <v>5050.1615340675817</v>
      </c>
      <c r="AH35" s="100">
        <v>4.5603948130111789</v>
      </c>
      <c r="AI35" s="100">
        <v>2292.9665119820202</v>
      </c>
      <c r="AJ35" s="100">
        <v>11.380520413851139</v>
      </c>
      <c r="AK35" s="100">
        <v>5722.1256640843512</v>
      </c>
      <c r="AL35" s="100">
        <v>6.7916858206847479</v>
      </c>
      <c r="AM35" s="100">
        <v>3414.8596306402906</v>
      </c>
      <c r="AN35" s="100">
        <v>16</v>
      </c>
      <c r="AO35" s="100">
        <v>8044.7999999999984</v>
      </c>
      <c r="AP35" s="100">
        <v>14.51914313561778</v>
      </c>
      <c r="AQ35" s="100">
        <v>7300.2251685886185</v>
      </c>
      <c r="AR35" s="100">
        <v>4.6115713880236315</v>
      </c>
      <c r="AS35" s="100">
        <v>2318.6980938982815</v>
      </c>
      <c r="AT35" s="100">
        <v>7.0482223935224875</v>
      </c>
      <c r="AU35" s="100">
        <v>3543.8462194631061</v>
      </c>
      <c r="AV35" s="100">
        <v>2.3610922313637888</v>
      </c>
      <c r="AW35" s="100">
        <v>1187.1571739297128</v>
      </c>
      <c r="AX35" s="100">
        <v>12</v>
      </c>
      <c r="AY35" s="100">
        <v>6033.5999999999985</v>
      </c>
      <c r="AZ35" s="100">
        <v>14</v>
      </c>
      <c r="BA35" s="100">
        <v>7039.1999999999989</v>
      </c>
      <c r="BB35" s="100">
        <v>8</v>
      </c>
      <c r="BC35" s="100">
        <v>4022.3999999999992</v>
      </c>
      <c r="BD35" s="100">
        <v>9</v>
      </c>
      <c r="BE35" s="100">
        <v>4525.1999999999989</v>
      </c>
      <c r="BF35" s="100">
        <v>10</v>
      </c>
      <c r="BG35" s="100">
        <v>5027.9999999999991</v>
      </c>
      <c r="BH35" s="100">
        <v>13.448236788569631</v>
      </c>
      <c r="BI35" s="100">
        <v>6761.7734572928084</v>
      </c>
      <c r="BJ35" s="100">
        <v>2.6301969045526126</v>
      </c>
      <c r="BK35" s="100">
        <v>1322.4630036090534</v>
      </c>
      <c r="BL35" s="100">
        <v>10</v>
      </c>
      <c r="BM35" s="100">
        <v>5027.9999999999991</v>
      </c>
      <c r="BN35" s="100">
        <v>14</v>
      </c>
      <c r="BO35" s="100">
        <v>7039.1999999999989</v>
      </c>
      <c r="BP35" s="100">
        <v>10</v>
      </c>
      <c r="BQ35" s="100">
        <v>5027.9999999999991</v>
      </c>
      <c r="BR35" s="100">
        <v>12</v>
      </c>
      <c r="BS35" s="100">
        <v>6033.5999999999985</v>
      </c>
      <c r="BT35" s="100">
        <v>12.849129545285805</v>
      </c>
      <c r="BU35" s="100">
        <v>6460.5423353697015</v>
      </c>
      <c r="BV35" s="100">
        <v>6.1472780884029969</v>
      </c>
      <c r="BW35" s="100">
        <v>3090.8514228490262</v>
      </c>
      <c r="BX35" s="100">
        <v>9.7288015675671708</v>
      </c>
      <c r="BY35" s="100">
        <v>4891.6414281727721</v>
      </c>
      <c r="BZ35" s="100">
        <v>8.6337085387309394</v>
      </c>
      <c r="CA35" s="100">
        <v>4341.0286532739156</v>
      </c>
      <c r="CB35" s="100">
        <v>10.756404979255416</v>
      </c>
      <c r="CC35" s="100">
        <v>5408.3204235696221</v>
      </c>
      <c r="CD35" s="100">
        <v>11.192792678173975</v>
      </c>
      <c r="CE35" s="100">
        <v>5627.7361585858735</v>
      </c>
      <c r="CF35" s="100">
        <v>11.454907940592955</v>
      </c>
      <c r="CG35" s="100">
        <v>5759.5277125301363</v>
      </c>
      <c r="CH35" s="100">
        <v>10.12951831522836</v>
      </c>
      <c r="CI35" s="100">
        <v>5093.121808896818</v>
      </c>
      <c r="CJ35" s="100">
        <v>11.268136878951141</v>
      </c>
      <c r="CK35" s="100">
        <v>5665.6192227366328</v>
      </c>
      <c r="CL35" s="100">
        <v>15.126222657232056</v>
      </c>
      <c r="CM35" s="100">
        <v>7605.4647520562758</v>
      </c>
      <c r="CN35" s="100">
        <v>9.7882627543259648</v>
      </c>
      <c r="CO35" s="100">
        <v>4921.5385128750941</v>
      </c>
      <c r="CP35" s="100">
        <v>8</v>
      </c>
      <c r="CQ35" s="100">
        <v>4022.3999999999992</v>
      </c>
      <c r="CR35" s="100">
        <v>13</v>
      </c>
      <c r="CS35" s="100">
        <v>6536.3999999999987</v>
      </c>
      <c r="CT35" s="100">
        <v>13.632999165933176</v>
      </c>
      <c r="CU35" s="100">
        <v>6854.6719806311994</v>
      </c>
    </row>
    <row r="36" spans="2:99">
      <c r="C36" s="99" t="s">
        <v>202</v>
      </c>
      <c r="D36" s="100">
        <v>10</v>
      </c>
      <c r="E36" s="100">
        <v>7608</v>
      </c>
      <c r="F36" s="100">
        <v>12</v>
      </c>
      <c r="G36" s="100">
        <v>9129.5999999999985</v>
      </c>
      <c r="H36" s="100">
        <v>12</v>
      </c>
      <c r="I36" s="100">
        <v>9129.5999999999985</v>
      </c>
      <c r="J36" s="100">
        <v>9</v>
      </c>
      <c r="K36" s="100">
        <v>6847.2</v>
      </c>
      <c r="L36" s="100">
        <v>13</v>
      </c>
      <c r="M36" s="100">
        <v>9890.4</v>
      </c>
      <c r="N36" s="100">
        <v>13</v>
      </c>
      <c r="O36" s="100">
        <v>9890.4</v>
      </c>
      <c r="P36" s="100">
        <v>14</v>
      </c>
      <c r="Q36" s="100">
        <v>10651.199999999999</v>
      </c>
      <c r="R36" s="100">
        <v>10</v>
      </c>
      <c r="S36" s="100">
        <v>7608</v>
      </c>
      <c r="T36" s="100">
        <v>8</v>
      </c>
      <c r="U36" s="100">
        <v>6086.4</v>
      </c>
      <c r="V36" s="100">
        <v>8</v>
      </c>
      <c r="W36" s="100">
        <v>6086.4</v>
      </c>
      <c r="X36" s="100">
        <v>13.689370251444769</v>
      </c>
      <c r="Y36" s="100">
        <v>10414.87288729918</v>
      </c>
      <c r="Z36" s="100">
        <v>8</v>
      </c>
      <c r="AA36" s="100">
        <v>6086.4</v>
      </c>
      <c r="AB36" s="100">
        <v>8.5366281655422434</v>
      </c>
      <c r="AC36" s="100">
        <v>6494.6667083445382</v>
      </c>
      <c r="AD36" s="100">
        <v>8.0207900726867365</v>
      </c>
      <c r="AE36" s="100">
        <v>6102.2170873000687</v>
      </c>
      <c r="AF36" s="100">
        <v>9.1683150377989957</v>
      </c>
      <c r="AG36" s="100">
        <v>6975.2540807574751</v>
      </c>
      <c r="AH36" s="100">
        <v>4.180361911926914</v>
      </c>
      <c r="AI36" s="100">
        <v>3180.4193425939961</v>
      </c>
      <c r="AJ36" s="100">
        <v>12.3288971150054</v>
      </c>
      <c r="AK36" s="100">
        <v>9379.8249250961071</v>
      </c>
      <c r="AL36" s="100">
        <v>7.6406465482703414</v>
      </c>
      <c r="AM36" s="100">
        <v>5813.0038939240758</v>
      </c>
      <c r="AN36" s="100">
        <v>13</v>
      </c>
      <c r="AO36" s="100">
        <v>9890.4</v>
      </c>
      <c r="AP36" s="100">
        <v>13.51914313561778</v>
      </c>
      <c r="AQ36" s="100">
        <v>10285.364097578005</v>
      </c>
      <c r="AR36" s="100">
        <v>4.9290344985441124</v>
      </c>
      <c r="AS36" s="100">
        <v>3750.0094464923604</v>
      </c>
      <c r="AT36" s="100">
        <v>6.9913696386642616</v>
      </c>
      <c r="AU36" s="100">
        <v>5319.0340210957702</v>
      </c>
      <c r="AV36" s="100">
        <v>2.5972014545001678</v>
      </c>
      <c r="AW36" s="100">
        <v>1975.9508665837275</v>
      </c>
      <c r="AX36" s="100">
        <v>11</v>
      </c>
      <c r="AY36" s="100">
        <v>8368.7999999999993</v>
      </c>
      <c r="AZ36" s="100">
        <v>15</v>
      </c>
      <c r="BA36" s="100">
        <v>11412</v>
      </c>
      <c r="BB36" s="100">
        <v>8</v>
      </c>
      <c r="BC36" s="100">
        <v>6086.4</v>
      </c>
      <c r="BD36" s="100">
        <v>8</v>
      </c>
      <c r="BE36" s="100">
        <v>6086.4</v>
      </c>
      <c r="BF36" s="100">
        <v>10</v>
      </c>
      <c r="BG36" s="100">
        <v>7608</v>
      </c>
      <c r="BH36" s="100">
        <v>15.448236788569631</v>
      </c>
      <c r="BI36" s="100">
        <v>11753.018548743774</v>
      </c>
      <c r="BJ36" s="100">
        <v>2.8180681120206561</v>
      </c>
      <c r="BK36" s="100">
        <v>2143.9862196253152</v>
      </c>
      <c r="BL36" s="100">
        <v>11</v>
      </c>
      <c r="BM36" s="100">
        <v>8368.7999999999993</v>
      </c>
      <c r="BN36" s="100">
        <v>14</v>
      </c>
      <c r="BO36" s="100">
        <v>10651.199999999999</v>
      </c>
      <c r="BP36" s="100">
        <v>9</v>
      </c>
      <c r="BQ36" s="100">
        <v>6847.2</v>
      </c>
      <c r="BR36" s="100">
        <v>10</v>
      </c>
      <c r="BS36" s="100">
        <v>7608</v>
      </c>
      <c r="BT36" s="100">
        <v>12.799180748504288</v>
      </c>
      <c r="BU36" s="100">
        <v>9737.6167134620609</v>
      </c>
      <c r="BV36" s="100">
        <v>6.1651668335625223</v>
      </c>
      <c r="BW36" s="100">
        <v>4690.4589269743665</v>
      </c>
      <c r="BX36" s="100">
        <v>8.9689193973173094</v>
      </c>
      <c r="BY36" s="100">
        <v>6823.5538774790084</v>
      </c>
      <c r="BZ36" s="100">
        <v>7.851473505498201</v>
      </c>
      <c r="CA36" s="100">
        <v>5973.4010429830314</v>
      </c>
      <c r="CB36" s="100">
        <v>10.123675274593333</v>
      </c>
      <c r="CC36" s="100">
        <v>7702.0921489106076</v>
      </c>
      <c r="CD36" s="100">
        <v>11.165250867006264</v>
      </c>
      <c r="CE36" s="100">
        <v>8494.5228596183661</v>
      </c>
      <c r="CF36" s="100">
        <v>12.273115650635308</v>
      </c>
      <c r="CG36" s="100">
        <v>9337.386387003342</v>
      </c>
      <c r="CH36" s="100">
        <v>12.145708104631904</v>
      </c>
      <c r="CI36" s="100">
        <v>9240.4547260039526</v>
      </c>
      <c r="CJ36" s="100">
        <v>11.268136878951141</v>
      </c>
      <c r="CK36" s="100">
        <v>8572.7985375060271</v>
      </c>
      <c r="CL36" s="100">
        <v>15.106292763984889</v>
      </c>
      <c r="CM36" s="100">
        <v>11492.867534839703</v>
      </c>
      <c r="CN36" s="100">
        <v>10.541206043120269</v>
      </c>
      <c r="CO36" s="100">
        <v>8019.7495576059</v>
      </c>
      <c r="CP36" s="100">
        <v>9</v>
      </c>
      <c r="CQ36" s="100">
        <v>6847.2</v>
      </c>
      <c r="CR36" s="100">
        <v>13</v>
      </c>
      <c r="CS36" s="100">
        <v>9890.4</v>
      </c>
      <c r="CT36" s="100">
        <v>12.681691409466499</v>
      </c>
      <c r="CU36" s="100">
        <v>9648.2308243221123</v>
      </c>
    </row>
    <row r="37" spans="2:99">
      <c r="B37" s="99" t="s">
        <v>128</v>
      </c>
      <c r="C37" s="99" t="s">
        <v>203</v>
      </c>
      <c r="D37" s="100">
        <v>5</v>
      </c>
      <c r="E37" s="100">
        <v>4302</v>
      </c>
      <c r="F37" s="100">
        <v>6</v>
      </c>
      <c r="G37" s="100">
        <v>5162.3999999999996</v>
      </c>
      <c r="H37" s="100">
        <v>6</v>
      </c>
      <c r="I37" s="100">
        <v>5162.3999999999996</v>
      </c>
      <c r="J37" s="100">
        <v>6</v>
      </c>
      <c r="K37" s="100">
        <v>5162.3999999999996</v>
      </c>
      <c r="L37" s="100">
        <v>5</v>
      </c>
      <c r="M37" s="100">
        <v>4302</v>
      </c>
      <c r="N37" s="100">
        <v>9</v>
      </c>
      <c r="O37" s="100">
        <v>7743.5999999999995</v>
      </c>
      <c r="P37" s="100">
        <v>6</v>
      </c>
      <c r="Q37" s="100">
        <v>5162.3999999999996</v>
      </c>
      <c r="R37" s="100">
        <v>8</v>
      </c>
      <c r="S37" s="100">
        <v>6883.2</v>
      </c>
      <c r="T37" s="100">
        <v>8</v>
      </c>
      <c r="U37" s="100">
        <v>6883.2</v>
      </c>
      <c r="V37" s="100">
        <v>8</v>
      </c>
      <c r="W37" s="100">
        <v>6883.2</v>
      </c>
      <c r="X37" s="100">
        <v>6.5514962011558149</v>
      </c>
      <c r="Y37" s="100">
        <v>5636.9073314744628</v>
      </c>
      <c r="Z37" s="100">
        <v>5</v>
      </c>
      <c r="AA37" s="100">
        <v>4302</v>
      </c>
      <c r="AB37" s="100">
        <v>6.6829813015992201</v>
      </c>
      <c r="AC37" s="100">
        <v>5750.0371118959692</v>
      </c>
      <c r="AD37" s="100">
        <v>4.0103950363433682</v>
      </c>
      <c r="AE37" s="100">
        <v>3450.5438892698339</v>
      </c>
      <c r="AF37" s="100">
        <v>5.1598735713775321</v>
      </c>
      <c r="AG37" s="100">
        <v>4439.5552208132285</v>
      </c>
      <c r="AH37" s="100">
        <v>2.6602303075898543</v>
      </c>
      <c r="AI37" s="100">
        <v>2288.8621566503107</v>
      </c>
      <c r="AJ37" s="100">
        <v>4.741883505771308</v>
      </c>
      <c r="AK37" s="100">
        <v>4079.9165683656333</v>
      </c>
      <c r="AL37" s="100">
        <v>7.6406465482703414</v>
      </c>
      <c r="AM37" s="100">
        <v>6574.0122901318018</v>
      </c>
      <c r="AN37" s="100">
        <v>5</v>
      </c>
      <c r="AO37" s="100">
        <v>4302</v>
      </c>
      <c r="AP37" s="100">
        <v>7.2336144110280003</v>
      </c>
      <c r="AQ37" s="100">
        <v>6223.801839248491</v>
      </c>
      <c r="AR37" s="100">
        <v>2.3057856940118158</v>
      </c>
      <c r="AS37" s="100">
        <v>1983.8980111277663</v>
      </c>
      <c r="AT37" s="100">
        <v>3.0666903987758203</v>
      </c>
      <c r="AU37" s="100">
        <v>2638.5804191067159</v>
      </c>
      <c r="AV37" s="100">
        <v>1.652764561954652</v>
      </c>
      <c r="AW37" s="100">
        <v>1422.0386291057825</v>
      </c>
      <c r="AX37" s="100">
        <v>5</v>
      </c>
      <c r="AY37" s="100">
        <v>4302</v>
      </c>
      <c r="AZ37" s="100">
        <v>8</v>
      </c>
      <c r="BA37" s="100">
        <v>6883.2</v>
      </c>
      <c r="BB37" s="100">
        <v>5</v>
      </c>
      <c r="BC37" s="100">
        <v>4302</v>
      </c>
      <c r="BD37" s="100">
        <v>6</v>
      </c>
      <c r="BE37" s="100">
        <v>5162.3999999999996</v>
      </c>
      <c r="BF37" s="100">
        <v>6</v>
      </c>
      <c r="BG37" s="100">
        <v>5162.3999999999996</v>
      </c>
      <c r="BH37" s="100">
        <v>10.310317776702052</v>
      </c>
      <c r="BI37" s="100">
        <v>8870.9974150744456</v>
      </c>
      <c r="BJ37" s="100">
        <v>1.3150984522763063</v>
      </c>
      <c r="BK37" s="100">
        <v>1131.510708338534</v>
      </c>
      <c r="BL37" s="100">
        <v>8</v>
      </c>
      <c r="BM37" s="100">
        <v>6883.2</v>
      </c>
      <c r="BN37" s="100">
        <v>8</v>
      </c>
      <c r="BO37" s="100">
        <v>6883.2</v>
      </c>
      <c r="BP37" s="100">
        <v>7</v>
      </c>
      <c r="BQ37" s="100">
        <v>6022.8</v>
      </c>
      <c r="BR37" s="100">
        <v>5</v>
      </c>
      <c r="BS37" s="100">
        <v>4302</v>
      </c>
      <c r="BT37" s="100">
        <v>6.5993855613782157</v>
      </c>
      <c r="BU37" s="100">
        <v>5678.1113370098165</v>
      </c>
      <c r="BV37" s="100">
        <v>4.0206674965773841</v>
      </c>
      <c r="BW37" s="100">
        <v>3459.3823140551813</v>
      </c>
      <c r="BX37" s="100">
        <v>4.544326356931057</v>
      </c>
      <c r="BY37" s="100">
        <v>3909.9383975034812</v>
      </c>
      <c r="BZ37" s="100">
        <v>6.2695295351302347</v>
      </c>
      <c r="CA37" s="100">
        <v>5394.3032120260541</v>
      </c>
      <c r="CB37" s="100">
        <v>5.0618376372966667</v>
      </c>
      <c r="CC37" s="100">
        <v>4355.2051031300516</v>
      </c>
      <c r="CD37" s="100">
        <v>8.1239381502546983</v>
      </c>
      <c r="CE37" s="100">
        <v>6989.836384479142</v>
      </c>
      <c r="CF37" s="100">
        <v>5.7274539702964775</v>
      </c>
      <c r="CG37" s="100">
        <v>4927.9013960430893</v>
      </c>
      <c r="CH37" s="100">
        <v>6.105233631123042</v>
      </c>
      <c r="CI37" s="100">
        <v>5252.9430162182653</v>
      </c>
      <c r="CJ37" s="100">
        <v>7.2438022793257337</v>
      </c>
      <c r="CK37" s="100">
        <v>6232.5674811318613</v>
      </c>
      <c r="CL37" s="100">
        <v>7.073076275239611</v>
      </c>
      <c r="CM37" s="100">
        <v>6085.6748272161612</v>
      </c>
      <c r="CN37" s="100">
        <v>6.0235463103544395</v>
      </c>
      <c r="CO37" s="100">
        <v>5182.6592454289594</v>
      </c>
      <c r="CP37" s="100">
        <v>6</v>
      </c>
      <c r="CQ37" s="100">
        <v>5162.3999999999996</v>
      </c>
      <c r="CR37" s="100">
        <v>8</v>
      </c>
      <c r="CS37" s="100">
        <v>6883.2</v>
      </c>
      <c r="CT37" s="100">
        <v>7.5843069223998558</v>
      </c>
      <c r="CU37" s="100">
        <v>6525.5376760328354</v>
      </c>
    </row>
    <row r="38" spans="2:99">
      <c r="C38" s="99" t="s">
        <v>204</v>
      </c>
      <c r="D38" s="100">
        <v>5</v>
      </c>
      <c r="E38" s="100">
        <v>6210</v>
      </c>
      <c r="F38" s="100">
        <v>5</v>
      </c>
      <c r="G38" s="100">
        <v>6210</v>
      </c>
      <c r="H38" s="100">
        <v>5</v>
      </c>
      <c r="I38" s="100">
        <v>6210</v>
      </c>
      <c r="J38" s="100">
        <v>7</v>
      </c>
      <c r="K38" s="100">
        <v>8694</v>
      </c>
      <c r="L38" s="100">
        <v>6</v>
      </c>
      <c r="M38" s="100">
        <v>7452</v>
      </c>
      <c r="N38" s="100">
        <v>8</v>
      </c>
      <c r="O38" s="100">
        <v>9936</v>
      </c>
      <c r="P38" s="100">
        <v>6</v>
      </c>
      <c r="Q38" s="100">
        <v>7452</v>
      </c>
      <c r="R38" s="100">
        <v>8</v>
      </c>
      <c r="S38" s="100">
        <v>9936</v>
      </c>
      <c r="T38" s="100">
        <v>7</v>
      </c>
      <c r="U38" s="100">
        <v>8694</v>
      </c>
      <c r="V38" s="100">
        <v>8</v>
      </c>
      <c r="W38" s="100">
        <v>9936</v>
      </c>
      <c r="X38" s="100">
        <v>6.5514962011558149</v>
      </c>
      <c r="Y38" s="100">
        <v>8136.958281835522</v>
      </c>
      <c r="Z38" s="100">
        <v>5</v>
      </c>
      <c r="AA38" s="100">
        <v>6210</v>
      </c>
      <c r="AB38" s="100">
        <v>7.6341969229135618</v>
      </c>
      <c r="AC38" s="100">
        <v>9481.6725782586436</v>
      </c>
      <c r="AD38" s="100">
        <v>3.4374814597228869</v>
      </c>
      <c r="AE38" s="100">
        <v>4269.3519729758254</v>
      </c>
      <c r="AF38" s="100">
        <v>5.0679832708540218</v>
      </c>
      <c r="AG38" s="100">
        <v>6294.4352224006952</v>
      </c>
      <c r="AH38" s="100">
        <v>3.0402632086741197</v>
      </c>
      <c r="AI38" s="100">
        <v>3776.0069051732567</v>
      </c>
      <c r="AJ38" s="100">
        <v>4.741883505771308</v>
      </c>
      <c r="AK38" s="100">
        <v>5889.4193141679643</v>
      </c>
      <c r="AL38" s="100">
        <v>6.7916858206847479</v>
      </c>
      <c r="AM38" s="100">
        <v>8435.273789290457</v>
      </c>
      <c r="AN38" s="100">
        <v>5</v>
      </c>
      <c r="AO38" s="100">
        <v>6210</v>
      </c>
      <c r="AP38" s="100">
        <v>7.2076572542471116</v>
      </c>
      <c r="AQ38" s="100">
        <v>8951.9103097749121</v>
      </c>
      <c r="AR38" s="100">
        <v>2.6406838928318157</v>
      </c>
      <c r="AS38" s="100">
        <v>3279.7293948971151</v>
      </c>
      <c r="AT38" s="100">
        <v>3.0856413170618953</v>
      </c>
      <c r="AU38" s="100">
        <v>3832.366515790874</v>
      </c>
      <c r="AV38" s="100">
        <v>1.4166553388182732</v>
      </c>
      <c r="AW38" s="100">
        <v>1759.4859308122952</v>
      </c>
      <c r="AX38" s="100">
        <v>4</v>
      </c>
      <c r="AY38" s="100">
        <v>4968</v>
      </c>
      <c r="AZ38" s="100">
        <v>8</v>
      </c>
      <c r="BA38" s="100">
        <v>9936</v>
      </c>
      <c r="BB38" s="100">
        <v>5</v>
      </c>
      <c r="BC38" s="100">
        <v>6210</v>
      </c>
      <c r="BD38" s="100">
        <v>6</v>
      </c>
      <c r="BE38" s="100">
        <v>7452</v>
      </c>
      <c r="BF38" s="100">
        <v>7</v>
      </c>
      <c r="BG38" s="100">
        <v>8694</v>
      </c>
      <c r="BH38" s="100">
        <v>9.2758380237351581</v>
      </c>
      <c r="BI38" s="100">
        <v>11520.590825479067</v>
      </c>
      <c r="BJ38" s="100">
        <v>1.50296965974435</v>
      </c>
      <c r="BK38" s="100">
        <v>1866.6883174024827</v>
      </c>
      <c r="BL38" s="100">
        <v>7</v>
      </c>
      <c r="BM38" s="100">
        <v>8694</v>
      </c>
      <c r="BN38" s="100">
        <v>9</v>
      </c>
      <c r="BO38" s="100">
        <v>11178</v>
      </c>
      <c r="BP38" s="100">
        <v>8</v>
      </c>
      <c r="BQ38" s="100">
        <v>9936</v>
      </c>
      <c r="BR38" s="100">
        <v>5</v>
      </c>
      <c r="BS38" s="100">
        <v>6210</v>
      </c>
      <c r="BT38" s="100">
        <v>6.4994879678151793</v>
      </c>
      <c r="BU38" s="100">
        <v>8072.364056026453</v>
      </c>
      <c r="BV38" s="100">
        <v>4.0206674965773841</v>
      </c>
      <c r="BW38" s="100">
        <v>4993.6690307491108</v>
      </c>
      <c r="BX38" s="100">
        <v>5.2593085334766156</v>
      </c>
      <c r="BY38" s="100">
        <v>6532.0611985779569</v>
      </c>
      <c r="BZ38" s="100">
        <v>5.4931191365316598</v>
      </c>
      <c r="CA38" s="100">
        <v>6822.4539675723217</v>
      </c>
      <c r="CB38" s="100">
        <v>4.429107932634583</v>
      </c>
      <c r="CC38" s="100">
        <v>5500.9520523321526</v>
      </c>
      <c r="CD38" s="100">
        <v>9.1239381502546983</v>
      </c>
      <c r="CE38" s="100">
        <v>11331.931182616336</v>
      </c>
      <c r="CF38" s="100">
        <v>5.7274539702964775</v>
      </c>
      <c r="CG38" s="100">
        <v>7113.497831108225</v>
      </c>
      <c r="CH38" s="100">
        <v>5.0971387364212699</v>
      </c>
      <c r="CI38" s="100">
        <v>6330.6463106352176</v>
      </c>
      <c r="CJ38" s="100">
        <v>7.2438022793257337</v>
      </c>
      <c r="CK38" s="100">
        <v>8996.8024309225621</v>
      </c>
      <c r="CL38" s="100">
        <v>6.0863628707377222</v>
      </c>
      <c r="CM38" s="100">
        <v>7559.2626854562513</v>
      </c>
      <c r="CN38" s="100">
        <v>6.0235463103544395</v>
      </c>
      <c r="CO38" s="100">
        <v>7481.2445174602135</v>
      </c>
      <c r="CP38" s="100">
        <v>6</v>
      </c>
      <c r="CQ38" s="100">
        <v>7452</v>
      </c>
      <c r="CR38" s="100">
        <v>7</v>
      </c>
      <c r="CS38" s="100">
        <v>8694</v>
      </c>
      <c r="CT38" s="100">
        <v>7.5843069223998558</v>
      </c>
      <c r="CU38" s="100">
        <v>9419.7091976206211</v>
      </c>
    </row>
    <row r="39" spans="2:99">
      <c r="C39" s="99" t="s">
        <v>205</v>
      </c>
      <c r="D39" s="100">
        <v>5</v>
      </c>
      <c r="E39" s="100">
        <v>7116</v>
      </c>
      <c r="F39" s="100">
        <v>5</v>
      </c>
      <c r="G39" s="100">
        <v>7116</v>
      </c>
      <c r="H39" s="100">
        <v>5</v>
      </c>
      <c r="I39" s="100">
        <v>7116</v>
      </c>
      <c r="J39" s="100">
        <v>7</v>
      </c>
      <c r="K39" s="100">
        <v>9962.4</v>
      </c>
      <c r="L39" s="100">
        <v>6</v>
      </c>
      <c r="M39" s="100">
        <v>8539.2000000000007</v>
      </c>
      <c r="N39" s="100">
        <v>9</v>
      </c>
      <c r="O39" s="100">
        <v>12808.800000000001</v>
      </c>
      <c r="P39" s="100">
        <v>6</v>
      </c>
      <c r="Q39" s="100">
        <v>8539.2000000000007</v>
      </c>
      <c r="R39" s="100">
        <v>9</v>
      </c>
      <c r="S39" s="100">
        <v>12808.800000000001</v>
      </c>
      <c r="T39" s="100">
        <v>8</v>
      </c>
      <c r="U39" s="100">
        <v>11385.6</v>
      </c>
      <c r="V39" s="100">
        <v>8</v>
      </c>
      <c r="W39" s="100">
        <v>11385.6</v>
      </c>
      <c r="X39" s="100">
        <v>6.5974542179187994</v>
      </c>
      <c r="Y39" s="100">
        <v>9389.4968429420351</v>
      </c>
      <c r="Z39" s="100">
        <v>5</v>
      </c>
      <c r="AA39" s="100">
        <v>7116</v>
      </c>
      <c r="AB39" s="100">
        <v>7.5366281655422442</v>
      </c>
      <c r="AC39" s="100">
        <v>10726.129205199722</v>
      </c>
      <c r="AD39" s="100">
        <v>3.4374814597228869</v>
      </c>
      <c r="AE39" s="100">
        <v>4892.2236134776131</v>
      </c>
      <c r="AF39" s="100">
        <v>4.2381672177302399</v>
      </c>
      <c r="AG39" s="100">
        <v>6031.7595842736773</v>
      </c>
      <c r="AH39" s="100">
        <v>2.6602303075898543</v>
      </c>
      <c r="AI39" s="100">
        <v>3786.039773761881</v>
      </c>
      <c r="AJ39" s="100">
        <v>4.741883505771308</v>
      </c>
      <c r="AK39" s="100">
        <v>6748.6486054137258</v>
      </c>
      <c r="AL39" s="100">
        <v>6.7916858206847479</v>
      </c>
      <c r="AM39" s="100">
        <v>9665.9272599985343</v>
      </c>
      <c r="AN39" s="100">
        <v>5</v>
      </c>
      <c r="AO39" s="100">
        <v>7116</v>
      </c>
      <c r="AP39" s="100">
        <v>7.2076572542471116</v>
      </c>
      <c r="AQ39" s="100">
        <v>10257.93780424449</v>
      </c>
      <c r="AR39" s="100">
        <v>2.6406838928318157</v>
      </c>
      <c r="AS39" s="100">
        <v>3758.22131627824</v>
      </c>
      <c r="AT39" s="100">
        <v>2.6092696007903964</v>
      </c>
      <c r="AU39" s="100">
        <v>3713.5124958448923</v>
      </c>
      <c r="AV39" s="100">
        <v>1.4166553388182732</v>
      </c>
      <c r="AW39" s="100">
        <v>2016.1838782061666</v>
      </c>
      <c r="AX39" s="100">
        <v>5</v>
      </c>
      <c r="AY39" s="100">
        <v>7116</v>
      </c>
      <c r="AZ39" s="100">
        <v>7</v>
      </c>
      <c r="BA39" s="100">
        <v>9962.4</v>
      </c>
      <c r="BB39" s="100">
        <v>4</v>
      </c>
      <c r="BC39" s="100">
        <v>5692.8</v>
      </c>
      <c r="BD39" s="100">
        <v>5</v>
      </c>
      <c r="BE39" s="100">
        <v>7116</v>
      </c>
      <c r="BF39" s="100">
        <v>7</v>
      </c>
      <c r="BG39" s="100">
        <v>9962.4</v>
      </c>
      <c r="BH39" s="100">
        <v>9.2758380237351581</v>
      </c>
      <c r="BI39" s="100">
        <v>13201.372675379878</v>
      </c>
      <c r="BJ39" s="100">
        <v>1.3150984522763063</v>
      </c>
      <c r="BK39" s="100">
        <v>1871.6481172796391</v>
      </c>
      <c r="BL39" s="100">
        <v>7</v>
      </c>
      <c r="BM39" s="100">
        <v>9962.4</v>
      </c>
      <c r="BN39" s="100">
        <v>8</v>
      </c>
      <c r="BO39" s="100">
        <v>11385.6</v>
      </c>
      <c r="BP39" s="100">
        <v>7</v>
      </c>
      <c r="BQ39" s="100">
        <v>9962.4</v>
      </c>
      <c r="BR39" s="100">
        <v>4</v>
      </c>
      <c r="BS39" s="100">
        <v>5692.8</v>
      </c>
      <c r="BT39" s="100">
        <v>6.5494367645966971</v>
      </c>
      <c r="BU39" s="100">
        <v>9321.1584033740201</v>
      </c>
      <c r="BV39" s="100">
        <v>4.6460568831081321</v>
      </c>
      <c r="BW39" s="100">
        <v>6612.268156039494</v>
      </c>
      <c r="BX39" s="100">
        <v>5.2593085334766156</v>
      </c>
      <c r="BY39" s="100">
        <v>7485.0479048439192</v>
      </c>
      <c r="BZ39" s="100">
        <v>5.4931191365316598</v>
      </c>
      <c r="CA39" s="100">
        <v>7817.8071551118583</v>
      </c>
      <c r="CB39" s="100">
        <v>5.0618376372966667</v>
      </c>
      <c r="CC39" s="100">
        <v>7204.0073254006165</v>
      </c>
      <c r="CD39" s="100">
        <v>8.1101672446708424</v>
      </c>
      <c r="CE39" s="100">
        <v>11542.390022615544</v>
      </c>
      <c r="CF39" s="100">
        <v>4.9092462602541236</v>
      </c>
      <c r="CG39" s="100">
        <v>6986.8392775936691</v>
      </c>
      <c r="CH39" s="100">
        <v>5.0971387364212699</v>
      </c>
      <c r="CI39" s="100">
        <v>7254.2478496747517</v>
      </c>
      <c r="CJ39" s="100">
        <v>7.2438022793257337</v>
      </c>
      <c r="CK39" s="100">
        <v>10309.379403936384</v>
      </c>
      <c r="CL39" s="100">
        <v>6.073076275239611</v>
      </c>
      <c r="CM39" s="100">
        <v>8643.2021549210149</v>
      </c>
      <c r="CN39" s="100">
        <v>5.2706030215601345</v>
      </c>
      <c r="CO39" s="100">
        <v>7501.1222202843837</v>
      </c>
      <c r="CP39" s="100">
        <v>5</v>
      </c>
      <c r="CQ39" s="100">
        <v>7116</v>
      </c>
      <c r="CR39" s="100">
        <v>7</v>
      </c>
      <c r="CS39" s="100">
        <v>9962.4</v>
      </c>
      <c r="CT39" s="100">
        <v>6.5843069223998558</v>
      </c>
      <c r="CU39" s="100">
        <v>9370.7856119594744</v>
      </c>
    </row>
    <row r="40" spans="2:99">
      <c r="C40" s="99" t="s">
        <v>206</v>
      </c>
      <c r="D40" s="100">
        <v>5</v>
      </c>
      <c r="E40" s="100">
        <v>3624</v>
      </c>
      <c r="F40" s="100">
        <v>5</v>
      </c>
      <c r="G40" s="100">
        <v>3624</v>
      </c>
      <c r="H40" s="100">
        <v>6</v>
      </c>
      <c r="I40" s="100">
        <v>4348.7999999999993</v>
      </c>
      <c r="J40" s="100">
        <v>6</v>
      </c>
      <c r="K40" s="100">
        <v>4348.7999999999993</v>
      </c>
      <c r="L40" s="100">
        <v>5</v>
      </c>
      <c r="M40" s="100">
        <v>3624</v>
      </c>
      <c r="N40" s="100">
        <v>8</v>
      </c>
      <c r="O40" s="100">
        <v>5798.4</v>
      </c>
      <c r="P40" s="100">
        <v>6</v>
      </c>
      <c r="Q40" s="100">
        <v>4348.7999999999993</v>
      </c>
      <c r="R40" s="100">
        <v>9</v>
      </c>
      <c r="S40" s="100">
        <v>6523.2</v>
      </c>
      <c r="T40" s="100">
        <v>8</v>
      </c>
      <c r="U40" s="100">
        <v>5798.4</v>
      </c>
      <c r="V40" s="100">
        <v>9</v>
      </c>
      <c r="W40" s="100">
        <v>6523.2</v>
      </c>
      <c r="X40" s="100">
        <v>6.5514962011558149</v>
      </c>
      <c r="Y40" s="100">
        <v>4748.5244465977339</v>
      </c>
      <c r="Z40" s="100">
        <v>6</v>
      </c>
      <c r="AA40" s="100">
        <v>4348.7999999999993</v>
      </c>
      <c r="AB40" s="100">
        <v>7.5366281655422442</v>
      </c>
      <c r="AC40" s="100">
        <v>5462.548094385018</v>
      </c>
      <c r="AD40" s="100">
        <v>4.0103950363433682</v>
      </c>
      <c r="AE40" s="100">
        <v>2906.7343223416733</v>
      </c>
      <c r="AF40" s="100">
        <v>5.1598735713775321</v>
      </c>
      <c r="AG40" s="100">
        <v>3739.8763645344352</v>
      </c>
      <c r="AH40" s="100">
        <v>2.6602303075898543</v>
      </c>
      <c r="AI40" s="100">
        <v>1928.1349269411264</v>
      </c>
      <c r="AJ40" s="100">
        <v>4.741883505771308</v>
      </c>
      <c r="AK40" s="100">
        <v>3436.9171649830437</v>
      </c>
      <c r="AL40" s="100">
        <v>6.7916858206847479</v>
      </c>
      <c r="AM40" s="100">
        <v>4922.6138828323046</v>
      </c>
      <c r="AN40" s="100">
        <v>5</v>
      </c>
      <c r="AO40" s="100">
        <v>3624</v>
      </c>
      <c r="AP40" s="100">
        <v>8.2336144110280003</v>
      </c>
      <c r="AQ40" s="100">
        <v>5967.7237251130946</v>
      </c>
      <c r="AR40" s="100">
        <v>2.2883506057122971</v>
      </c>
      <c r="AS40" s="100">
        <v>1658.5965190202728</v>
      </c>
      <c r="AT40" s="100">
        <v>3.0666903987758203</v>
      </c>
      <c r="AU40" s="100">
        <v>2222.7372010327144</v>
      </c>
      <c r="AV40" s="100">
        <v>1.652764561954652</v>
      </c>
      <c r="AW40" s="100">
        <v>1197.9237545047317</v>
      </c>
      <c r="AX40" s="100">
        <v>5</v>
      </c>
      <c r="AY40" s="100">
        <v>3624</v>
      </c>
      <c r="AZ40" s="100">
        <v>9</v>
      </c>
      <c r="BA40" s="100">
        <v>6523.2</v>
      </c>
      <c r="BB40" s="100">
        <v>5</v>
      </c>
      <c r="BC40" s="100">
        <v>3624</v>
      </c>
      <c r="BD40" s="100">
        <v>6</v>
      </c>
      <c r="BE40" s="100">
        <v>4348.7999999999993</v>
      </c>
      <c r="BF40" s="100">
        <v>7</v>
      </c>
      <c r="BG40" s="100">
        <v>5073.5999999999995</v>
      </c>
      <c r="BH40" s="100">
        <v>9.2758380237351581</v>
      </c>
      <c r="BI40" s="100">
        <v>6723.1273996032423</v>
      </c>
      <c r="BJ40" s="100">
        <v>1.50296965974435</v>
      </c>
      <c r="BK40" s="100">
        <v>1089.3524093827048</v>
      </c>
      <c r="BL40" s="100">
        <v>7</v>
      </c>
      <c r="BM40" s="100">
        <v>5073.5999999999995</v>
      </c>
      <c r="BN40" s="100">
        <v>8</v>
      </c>
      <c r="BO40" s="100">
        <v>5798.4</v>
      </c>
      <c r="BP40" s="100">
        <v>8</v>
      </c>
      <c r="BQ40" s="100">
        <v>5798.4</v>
      </c>
      <c r="BR40" s="100">
        <v>5</v>
      </c>
      <c r="BS40" s="100">
        <v>3624</v>
      </c>
      <c r="BT40" s="100">
        <v>6.5494367645966971</v>
      </c>
      <c r="BU40" s="100">
        <v>4747.0317669796859</v>
      </c>
      <c r="BV40" s="100">
        <v>4.6639456282676583</v>
      </c>
      <c r="BW40" s="100">
        <v>3380.4277913683986</v>
      </c>
      <c r="BX40" s="100">
        <v>4.5293596923629567</v>
      </c>
      <c r="BY40" s="100">
        <v>3282.8799050246707</v>
      </c>
      <c r="BZ40" s="100">
        <v>6.2753541697643973</v>
      </c>
      <c r="CA40" s="100">
        <v>4548.3767022452348</v>
      </c>
      <c r="CB40" s="100">
        <v>4.429107932634583</v>
      </c>
      <c r="CC40" s="100">
        <v>3210.2174295735454</v>
      </c>
      <c r="CD40" s="100">
        <v>9.1239381502546983</v>
      </c>
      <c r="CE40" s="100">
        <v>6613.0303713046051</v>
      </c>
      <c r="CF40" s="100">
        <v>5.7274539702964775</v>
      </c>
      <c r="CG40" s="100">
        <v>4151.2586376708869</v>
      </c>
      <c r="CH40" s="100">
        <v>6.0971387364212699</v>
      </c>
      <c r="CI40" s="100">
        <v>4419.2061561581359</v>
      </c>
      <c r="CJ40" s="100">
        <v>7.2438022793257337</v>
      </c>
      <c r="CK40" s="100">
        <v>5250.3078920552916</v>
      </c>
      <c r="CL40" s="100">
        <v>6.0797195729886671</v>
      </c>
      <c r="CM40" s="100">
        <v>4406.5807465021853</v>
      </c>
      <c r="CN40" s="100">
        <v>6.0235463103544395</v>
      </c>
      <c r="CO40" s="100">
        <v>4365.8663657448978</v>
      </c>
      <c r="CP40" s="100">
        <v>6</v>
      </c>
      <c r="CQ40" s="100">
        <v>4348.7999999999993</v>
      </c>
      <c r="CR40" s="100">
        <v>8</v>
      </c>
      <c r="CS40" s="100">
        <v>5798.4</v>
      </c>
      <c r="CT40" s="100">
        <v>6.5843069223998558</v>
      </c>
      <c r="CU40" s="100">
        <v>4772.305657355415</v>
      </c>
    </row>
    <row r="41" spans="2:99">
      <c r="C41" s="99" t="s">
        <v>207</v>
      </c>
      <c r="D41" s="100">
        <v>6</v>
      </c>
      <c r="E41" s="100">
        <v>3960</v>
      </c>
      <c r="F41" s="100">
        <v>5</v>
      </c>
      <c r="G41" s="100">
        <v>3300</v>
      </c>
      <c r="H41" s="100">
        <v>6</v>
      </c>
      <c r="I41" s="100">
        <v>3960</v>
      </c>
      <c r="J41" s="100">
        <v>7</v>
      </c>
      <c r="K41" s="100">
        <v>4620</v>
      </c>
      <c r="L41" s="100">
        <v>6</v>
      </c>
      <c r="M41" s="100">
        <v>3960</v>
      </c>
      <c r="N41" s="100">
        <v>10</v>
      </c>
      <c r="O41" s="100">
        <v>6600</v>
      </c>
      <c r="P41" s="100">
        <v>6</v>
      </c>
      <c r="Q41" s="100">
        <v>3960</v>
      </c>
      <c r="R41" s="100">
        <v>10</v>
      </c>
      <c r="S41" s="100">
        <v>6600</v>
      </c>
      <c r="T41" s="100">
        <v>8</v>
      </c>
      <c r="U41" s="100">
        <v>5280</v>
      </c>
      <c r="V41" s="100">
        <v>10</v>
      </c>
      <c r="W41" s="100">
        <v>6600</v>
      </c>
      <c r="X41" s="100">
        <v>6.5974542179187994</v>
      </c>
      <c r="Y41" s="100">
        <v>4354.3197838264077</v>
      </c>
      <c r="Z41" s="100">
        <v>5</v>
      </c>
      <c r="AA41" s="100">
        <v>3300</v>
      </c>
      <c r="AB41" s="100">
        <v>6.6341969229135618</v>
      </c>
      <c r="AC41" s="100">
        <v>4378.5699691229511</v>
      </c>
      <c r="AD41" s="100">
        <v>4.0103950363433682</v>
      </c>
      <c r="AE41" s="100">
        <v>2646.8607239866233</v>
      </c>
      <c r="AF41" s="100">
        <v>5.1139284211157765</v>
      </c>
      <c r="AG41" s="100">
        <v>3375.1927579364124</v>
      </c>
      <c r="AH41" s="100">
        <v>3.0402632086741197</v>
      </c>
      <c r="AI41" s="100">
        <v>2006.5737177249191</v>
      </c>
      <c r="AJ41" s="100">
        <v>4.741883505771308</v>
      </c>
      <c r="AK41" s="100">
        <v>3129.6431138090634</v>
      </c>
      <c r="AL41" s="100">
        <v>7.6406465482703414</v>
      </c>
      <c r="AM41" s="100">
        <v>5042.8267218584251</v>
      </c>
      <c r="AN41" s="100">
        <v>5</v>
      </c>
      <c r="AO41" s="100">
        <v>3300</v>
      </c>
      <c r="AP41" s="100">
        <v>7.2336144110280003</v>
      </c>
      <c r="AQ41" s="100">
        <v>4774.1855112784806</v>
      </c>
      <c r="AR41" s="100">
        <v>2.3057856940118158</v>
      </c>
      <c r="AS41" s="100">
        <v>1521.8185580477984</v>
      </c>
      <c r="AT41" s="100">
        <v>3.0856413170618953</v>
      </c>
      <c r="AU41" s="100">
        <v>2036.5232692608508</v>
      </c>
      <c r="AV41" s="100">
        <v>1.652764561954652</v>
      </c>
      <c r="AW41" s="100">
        <v>1090.8246108900703</v>
      </c>
      <c r="AX41" s="100">
        <v>5</v>
      </c>
      <c r="AY41" s="100">
        <v>3300</v>
      </c>
      <c r="AZ41" s="100">
        <v>9</v>
      </c>
      <c r="BA41" s="100">
        <v>5940</v>
      </c>
      <c r="BB41" s="100">
        <v>5</v>
      </c>
      <c r="BC41" s="100">
        <v>3300</v>
      </c>
      <c r="BD41" s="100">
        <v>5</v>
      </c>
      <c r="BE41" s="100">
        <v>3300</v>
      </c>
      <c r="BF41" s="100">
        <v>7</v>
      </c>
      <c r="BG41" s="100">
        <v>4620</v>
      </c>
      <c r="BH41" s="100">
        <v>10.275838023735158</v>
      </c>
      <c r="BI41" s="100">
        <v>6782.0530956652046</v>
      </c>
      <c r="BJ41" s="100">
        <v>1.50296965974435</v>
      </c>
      <c r="BK41" s="100">
        <v>991.959975431271</v>
      </c>
      <c r="BL41" s="100">
        <v>8</v>
      </c>
      <c r="BM41" s="100">
        <v>5280</v>
      </c>
      <c r="BN41" s="100">
        <v>8</v>
      </c>
      <c r="BO41" s="100">
        <v>5280</v>
      </c>
      <c r="BP41" s="100">
        <v>7</v>
      </c>
      <c r="BQ41" s="100">
        <v>4620</v>
      </c>
      <c r="BR41" s="100">
        <v>5</v>
      </c>
      <c r="BS41" s="100">
        <v>3300</v>
      </c>
      <c r="BT41" s="100">
        <v>7.5993855613782157</v>
      </c>
      <c r="BU41" s="100">
        <v>5015.5944705096226</v>
      </c>
      <c r="BV41" s="100">
        <v>4.6460568831081321</v>
      </c>
      <c r="BW41" s="100">
        <v>3066.3975428513672</v>
      </c>
      <c r="BX41" s="100">
        <v>5.2593085334766156</v>
      </c>
      <c r="BY41" s="100">
        <v>3471.1436320945663</v>
      </c>
      <c r="BZ41" s="100">
        <v>5.4931191365316598</v>
      </c>
      <c r="CA41" s="100">
        <v>3625.4586301108957</v>
      </c>
      <c r="CB41" s="100">
        <v>5.0618376372966667</v>
      </c>
      <c r="CC41" s="100">
        <v>3340.8128406157998</v>
      </c>
      <c r="CD41" s="100">
        <v>10.123938150254698</v>
      </c>
      <c r="CE41" s="100">
        <v>6681.7991791681006</v>
      </c>
      <c r="CF41" s="100">
        <v>4.9092462602541236</v>
      </c>
      <c r="CG41" s="100">
        <v>3240.1025317677218</v>
      </c>
      <c r="CH41" s="100">
        <v>6.089043841719497</v>
      </c>
      <c r="CI41" s="100">
        <v>4018.768935534868</v>
      </c>
      <c r="CJ41" s="100">
        <v>6.4389353594006522</v>
      </c>
      <c r="CK41" s="100">
        <v>4249.6973372044304</v>
      </c>
      <c r="CL41" s="100">
        <v>7.073076275239611</v>
      </c>
      <c r="CM41" s="100">
        <v>4668.2303416581435</v>
      </c>
      <c r="CN41" s="100">
        <v>6.0235463103544395</v>
      </c>
      <c r="CO41" s="100">
        <v>3975.5405648339301</v>
      </c>
      <c r="CP41" s="100">
        <v>6</v>
      </c>
      <c r="CQ41" s="100">
        <v>3960</v>
      </c>
      <c r="CR41" s="100">
        <v>7</v>
      </c>
      <c r="CS41" s="100">
        <v>4620</v>
      </c>
      <c r="CT41" s="100">
        <v>6.5843069223998558</v>
      </c>
      <c r="CU41" s="100">
        <v>4345.6425687839046</v>
      </c>
    </row>
    <row r="42" spans="2:99">
      <c r="C42" s="99" t="s">
        <v>208</v>
      </c>
      <c r="D42" s="100">
        <v>6</v>
      </c>
      <c r="E42" s="100">
        <v>5076</v>
      </c>
      <c r="F42" s="100">
        <v>6</v>
      </c>
      <c r="G42" s="100">
        <v>5076</v>
      </c>
      <c r="H42" s="100">
        <v>5</v>
      </c>
      <c r="I42" s="100">
        <v>4230</v>
      </c>
      <c r="J42" s="100">
        <v>7</v>
      </c>
      <c r="K42" s="100">
        <v>5922</v>
      </c>
      <c r="L42" s="100">
        <v>6</v>
      </c>
      <c r="M42" s="100">
        <v>5076</v>
      </c>
      <c r="N42" s="100">
        <v>9</v>
      </c>
      <c r="O42" s="100">
        <v>7614</v>
      </c>
      <c r="P42" s="100">
        <v>5</v>
      </c>
      <c r="Q42" s="100">
        <v>4230</v>
      </c>
      <c r="R42" s="100">
        <v>9</v>
      </c>
      <c r="S42" s="100">
        <v>7614</v>
      </c>
      <c r="T42" s="100">
        <v>8</v>
      </c>
      <c r="U42" s="100">
        <v>6768</v>
      </c>
      <c r="V42" s="100">
        <v>8</v>
      </c>
      <c r="W42" s="100">
        <v>6768</v>
      </c>
      <c r="X42" s="100">
        <v>6.5974542179187994</v>
      </c>
      <c r="Y42" s="100">
        <v>5581.4462683593047</v>
      </c>
      <c r="Z42" s="100">
        <v>5</v>
      </c>
      <c r="AA42" s="100">
        <v>4230</v>
      </c>
      <c r="AB42" s="100">
        <v>7.6341969229135618</v>
      </c>
      <c r="AC42" s="100">
        <v>6458.5305967848735</v>
      </c>
      <c r="AD42" s="100">
        <v>4.0103950363433682</v>
      </c>
      <c r="AE42" s="100">
        <v>3392.7942007464894</v>
      </c>
      <c r="AF42" s="100">
        <v>5.1139284211157765</v>
      </c>
      <c r="AG42" s="100">
        <v>4326.3834442639472</v>
      </c>
      <c r="AH42" s="100">
        <v>2.6602303075898543</v>
      </c>
      <c r="AI42" s="100">
        <v>2250.554840221017</v>
      </c>
      <c r="AJ42" s="100">
        <v>4.741883505771308</v>
      </c>
      <c r="AK42" s="100">
        <v>4011.6334458825268</v>
      </c>
      <c r="AL42" s="100">
        <v>7.6406465482703414</v>
      </c>
      <c r="AM42" s="100">
        <v>6463.986979836709</v>
      </c>
      <c r="AN42" s="100">
        <v>5</v>
      </c>
      <c r="AO42" s="100">
        <v>4230</v>
      </c>
      <c r="AP42" s="100">
        <v>8.2336144110280003</v>
      </c>
      <c r="AQ42" s="100">
        <v>6965.6377917296886</v>
      </c>
      <c r="AR42" s="100">
        <v>2.6406838928318157</v>
      </c>
      <c r="AS42" s="100">
        <v>2234.0185733357162</v>
      </c>
      <c r="AT42" s="100">
        <v>3.1045922353479707</v>
      </c>
      <c r="AU42" s="100">
        <v>2626.4850311043833</v>
      </c>
      <c r="AV42" s="100">
        <v>1.652764561954652</v>
      </c>
      <c r="AW42" s="100">
        <v>1398.2388194136356</v>
      </c>
      <c r="AX42" s="100">
        <v>5</v>
      </c>
      <c r="AY42" s="100">
        <v>4230</v>
      </c>
      <c r="AZ42" s="100">
        <v>8</v>
      </c>
      <c r="BA42" s="100">
        <v>6768</v>
      </c>
      <c r="BB42" s="100">
        <v>5</v>
      </c>
      <c r="BC42" s="100">
        <v>4230</v>
      </c>
      <c r="BD42" s="100">
        <v>5</v>
      </c>
      <c r="BE42" s="100">
        <v>4230</v>
      </c>
      <c r="BF42" s="100">
        <v>7</v>
      </c>
      <c r="BG42" s="100">
        <v>5922</v>
      </c>
      <c r="BH42" s="100">
        <v>9.2758380237351581</v>
      </c>
      <c r="BI42" s="100">
        <v>7847.3589680799441</v>
      </c>
      <c r="BJ42" s="100">
        <v>1.50296965974435</v>
      </c>
      <c r="BK42" s="100">
        <v>1271.5123321437202</v>
      </c>
      <c r="BL42" s="100">
        <v>7</v>
      </c>
      <c r="BM42" s="100">
        <v>5922</v>
      </c>
      <c r="BN42" s="100">
        <v>8</v>
      </c>
      <c r="BO42" s="100">
        <v>6768</v>
      </c>
      <c r="BP42" s="100">
        <v>7</v>
      </c>
      <c r="BQ42" s="100">
        <v>5922</v>
      </c>
      <c r="BR42" s="100">
        <v>5</v>
      </c>
      <c r="BS42" s="100">
        <v>4230</v>
      </c>
      <c r="BT42" s="100">
        <v>6.4994879678151793</v>
      </c>
      <c r="BU42" s="100">
        <v>5498.5668207716417</v>
      </c>
      <c r="BV42" s="100">
        <v>5.3072237599579335</v>
      </c>
      <c r="BW42" s="100">
        <v>4489.911300924412</v>
      </c>
      <c r="BX42" s="100">
        <v>5.2593085334766156</v>
      </c>
      <c r="BY42" s="100">
        <v>4449.3750193212172</v>
      </c>
      <c r="BZ42" s="100">
        <v>6.2753541697643973</v>
      </c>
      <c r="CA42" s="100">
        <v>5308.9496276206801</v>
      </c>
      <c r="CB42" s="100">
        <v>5.0618376372966667</v>
      </c>
      <c r="CC42" s="100">
        <v>4282.3146411529797</v>
      </c>
      <c r="CD42" s="100">
        <v>9.1377090558385543</v>
      </c>
      <c r="CE42" s="100">
        <v>7730.5018612394169</v>
      </c>
      <c r="CF42" s="100">
        <v>4.9092462602541236</v>
      </c>
      <c r="CG42" s="100">
        <v>4153.2223361749884</v>
      </c>
      <c r="CH42" s="100">
        <v>6.105233631123042</v>
      </c>
      <c r="CI42" s="100">
        <v>5165.0276519300933</v>
      </c>
      <c r="CJ42" s="100">
        <v>6.4389353594006522</v>
      </c>
      <c r="CK42" s="100">
        <v>5447.3393140529515</v>
      </c>
      <c r="CL42" s="100">
        <v>7.073076275239611</v>
      </c>
      <c r="CM42" s="100">
        <v>5983.822528852711</v>
      </c>
      <c r="CN42" s="100">
        <v>6.0235463103544395</v>
      </c>
      <c r="CO42" s="100">
        <v>5095.9201785598561</v>
      </c>
      <c r="CP42" s="100">
        <v>7</v>
      </c>
      <c r="CQ42" s="100">
        <v>5922</v>
      </c>
      <c r="CR42" s="100">
        <v>8</v>
      </c>
      <c r="CS42" s="100">
        <v>6768</v>
      </c>
      <c r="CT42" s="100">
        <v>7.5356146788665344</v>
      </c>
      <c r="CU42" s="100">
        <v>6375.1300183210878</v>
      </c>
    </row>
    <row r="43" spans="2:99">
      <c r="C43" s="99" t="s">
        <v>209</v>
      </c>
      <c r="D43" s="100">
        <v>5</v>
      </c>
      <c r="E43" s="100">
        <v>5112</v>
      </c>
      <c r="F43" s="100">
        <v>5</v>
      </c>
      <c r="G43" s="100">
        <v>5112</v>
      </c>
      <c r="H43" s="100">
        <v>5</v>
      </c>
      <c r="I43" s="100">
        <v>5112</v>
      </c>
      <c r="J43" s="100">
        <v>6</v>
      </c>
      <c r="K43" s="100">
        <v>6134.4</v>
      </c>
      <c r="L43" s="100">
        <v>5</v>
      </c>
      <c r="M43" s="100">
        <v>5112</v>
      </c>
      <c r="N43" s="100">
        <v>9</v>
      </c>
      <c r="O43" s="100">
        <v>9201.6</v>
      </c>
      <c r="P43" s="100">
        <v>5</v>
      </c>
      <c r="Q43" s="100">
        <v>5112</v>
      </c>
      <c r="R43" s="100">
        <v>9</v>
      </c>
      <c r="S43" s="100">
        <v>9201.6</v>
      </c>
      <c r="T43" s="100">
        <v>8</v>
      </c>
      <c r="U43" s="100">
        <v>8179.2</v>
      </c>
      <c r="V43" s="100">
        <v>9</v>
      </c>
      <c r="W43" s="100">
        <v>9201.6</v>
      </c>
      <c r="X43" s="100">
        <v>6.5974542179187994</v>
      </c>
      <c r="Y43" s="100">
        <v>6745.23719240018</v>
      </c>
      <c r="Z43" s="100">
        <v>6</v>
      </c>
      <c r="AA43" s="100">
        <v>6134.4</v>
      </c>
      <c r="AB43" s="100">
        <v>6.6341969229135618</v>
      </c>
      <c r="AC43" s="100">
        <v>6782.8029339868253</v>
      </c>
      <c r="AD43" s="100">
        <v>4.0103950363433682</v>
      </c>
      <c r="AE43" s="100">
        <v>4100.2278851574592</v>
      </c>
      <c r="AF43" s="100">
        <v>5.1139284211157765</v>
      </c>
      <c r="AG43" s="100">
        <v>5228.4804177487695</v>
      </c>
      <c r="AH43" s="100">
        <v>3.4202961097583846</v>
      </c>
      <c r="AI43" s="100">
        <v>3496.9107426169721</v>
      </c>
      <c r="AJ43" s="100">
        <v>4.741883505771308</v>
      </c>
      <c r="AK43" s="100">
        <v>4848.101696300585</v>
      </c>
      <c r="AL43" s="100">
        <v>6.7916858206847479</v>
      </c>
      <c r="AM43" s="100">
        <v>6943.8195830680861</v>
      </c>
      <c r="AN43" s="100">
        <v>5</v>
      </c>
      <c r="AO43" s="100">
        <v>5112</v>
      </c>
      <c r="AP43" s="100">
        <v>7.2076572542471116</v>
      </c>
      <c r="AQ43" s="100">
        <v>7369.1087767422468</v>
      </c>
      <c r="AR43" s="100">
        <v>2.6406838928318157</v>
      </c>
      <c r="AS43" s="100">
        <v>2699.8352120312484</v>
      </c>
      <c r="AT43" s="100">
        <v>3.0856413170618953</v>
      </c>
      <c r="AU43" s="100">
        <v>3154.7596825640817</v>
      </c>
      <c r="AV43" s="100">
        <v>1.652764561954652</v>
      </c>
      <c r="AW43" s="100">
        <v>1689.7864881424362</v>
      </c>
      <c r="AX43" s="100">
        <v>5</v>
      </c>
      <c r="AY43" s="100">
        <v>5112</v>
      </c>
      <c r="AZ43" s="100">
        <v>8</v>
      </c>
      <c r="BA43" s="100">
        <v>8179.2</v>
      </c>
      <c r="BB43" s="100">
        <v>5</v>
      </c>
      <c r="BC43" s="100">
        <v>5112</v>
      </c>
      <c r="BD43" s="100">
        <v>6</v>
      </c>
      <c r="BE43" s="100">
        <v>6134.4</v>
      </c>
      <c r="BF43" s="100">
        <v>7</v>
      </c>
      <c r="BG43" s="100">
        <v>7156.8</v>
      </c>
      <c r="BH43" s="100">
        <v>9.2758380237351581</v>
      </c>
      <c r="BI43" s="100">
        <v>9483.6167954668254</v>
      </c>
      <c r="BJ43" s="100">
        <v>1.3150984522763063</v>
      </c>
      <c r="BK43" s="100">
        <v>1344.5566576072956</v>
      </c>
      <c r="BL43" s="100">
        <v>7</v>
      </c>
      <c r="BM43" s="100">
        <v>7156.8</v>
      </c>
      <c r="BN43" s="100">
        <v>9</v>
      </c>
      <c r="BO43" s="100">
        <v>9201.6</v>
      </c>
      <c r="BP43" s="100">
        <v>7</v>
      </c>
      <c r="BQ43" s="100">
        <v>7156.8</v>
      </c>
      <c r="BR43" s="100">
        <v>5</v>
      </c>
      <c r="BS43" s="100">
        <v>5112</v>
      </c>
      <c r="BT43" s="100">
        <v>6.4994879678151793</v>
      </c>
      <c r="BU43" s="100">
        <v>6645.0764982942392</v>
      </c>
      <c r="BV43" s="100">
        <v>4.0027787514178579</v>
      </c>
      <c r="BW43" s="100">
        <v>4092.4409954496177</v>
      </c>
      <c r="BX43" s="100">
        <v>5.274275198044716</v>
      </c>
      <c r="BY43" s="100">
        <v>5392.4189624809178</v>
      </c>
      <c r="BZ43" s="100">
        <v>6.2695295351302347</v>
      </c>
      <c r="CA43" s="100">
        <v>6409.9669967171521</v>
      </c>
      <c r="CB43" s="100">
        <v>4.429107932634583</v>
      </c>
      <c r="CC43" s="100">
        <v>4528.3199503255973</v>
      </c>
      <c r="CD43" s="100">
        <v>9.1239381502546983</v>
      </c>
      <c r="CE43" s="100">
        <v>9328.3143648204041</v>
      </c>
      <c r="CF43" s="100">
        <v>4.9092462602541236</v>
      </c>
      <c r="CG43" s="100">
        <v>5019.2133764838154</v>
      </c>
      <c r="CH43" s="100">
        <v>6.0971387364212699</v>
      </c>
      <c r="CI43" s="100">
        <v>6233.7146441171062</v>
      </c>
      <c r="CJ43" s="100">
        <v>7.2438022793257337</v>
      </c>
      <c r="CK43" s="100">
        <v>7406.0634503826304</v>
      </c>
      <c r="CL43" s="100">
        <v>6.073076275239611</v>
      </c>
      <c r="CM43" s="100">
        <v>6209.1131838049778</v>
      </c>
      <c r="CN43" s="100">
        <v>6.0235463103544395</v>
      </c>
      <c r="CO43" s="100">
        <v>6158.4737477063791</v>
      </c>
      <c r="CP43" s="100">
        <v>6</v>
      </c>
      <c r="CQ43" s="100">
        <v>6134.4</v>
      </c>
      <c r="CR43" s="100">
        <v>8</v>
      </c>
      <c r="CS43" s="100">
        <v>8179.2</v>
      </c>
      <c r="CT43" s="100">
        <v>7.5843069223998558</v>
      </c>
      <c r="CU43" s="100">
        <v>7754.1953974616126</v>
      </c>
    </row>
    <row r="44" spans="2:99">
      <c r="C44" s="99" t="s">
        <v>210</v>
      </c>
      <c r="D44" s="100">
        <v>5</v>
      </c>
      <c r="E44" s="100">
        <v>5112</v>
      </c>
      <c r="F44" s="100">
        <v>5</v>
      </c>
      <c r="G44" s="100">
        <v>5112</v>
      </c>
      <c r="H44" s="100">
        <v>5</v>
      </c>
      <c r="I44" s="100">
        <v>5112</v>
      </c>
      <c r="J44" s="100">
        <v>7</v>
      </c>
      <c r="K44" s="100">
        <v>7156.8</v>
      </c>
      <c r="L44" s="100">
        <v>6</v>
      </c>
      <c r="M44" s="100">
        <v>6134.4</v>
      </c>
      <c r="N44" s="100">
        <v>8</v>
      </c>
      <c r="O44" s="100">
        <v>8179.2</v>
      </c>
      <c r="P44" s="100">
        <v>5</v>
      </c>
      <c r="Q44" s="100">
        <v>5112</v>
      </c>
      <c r="R44" s="100">
        <v>8</v>
      </c>
      <c r="S44" s="100">
        <v>8179.2</v>
      </c>
      <c r="T44" s="100">
        <v>8</v>
      </c>
      <c r="U44" s="100">
        <v>8179.2</v>
      </c>
      <c r="V44" s="100">
        <v>9</v>
      </c>
      <c r="W44" s="100">
        <v>9201.6</v>
      </c>
      <c r="X44" s="100">
        <v>6.5514962011558149</v>
      </c>
      <c r="Y44" s="100">
        <v>6698.2497160617049</v>
      </c>
      <c r="Z44" s="100">
        <v>5</v>
      </c>
      <c r="AA44" s="100">
        <v>5112</v>
      </c>
      <c r="AB44" s="100">
        <v>7.6341969229135618</v>
      </c>
      <c r="AC44" s="100">
        <v>7805.202933986825</v>
      </c>
      <c r="AD44" s="100">
        <v>4.0103950363433682</v>
      </c>
      <c r="AE44" s="100">
        <v>4100.2278851574592</v>
      </c>
      <c r="AF44" s="100">
        <v>4.2381672177302399</v>
      </c>
      <c r="AG44" s="100">
        <v>4333.1021634073968</v>
      </c>
      <c r="AH44" s="100">
        <v>3.0402632086741197</v>
      </c>
      <c r="AI44" s="100">
        <v>3108.3651045484198</v>
      </c>
      <c r="AJ44" s="100">
        <v>4.741883505771308</v>
      </c>
      <c r="AK44" s="100">
        <v>4848.101696300585</v>
      </c>
      <c r="AL44" s="100">
        <v>6.7916858206847479</v>
      </c>
      <c r="AM44" s="100">
        <v>6943.8195830680861</v>
      </c>
      <c r="AN44" s="100">
        <v>5</v>
      </c>
      <c r="AO44" s="100">
        <v>5112</v>
      </c>
      <c r="AP44" s="100">
        <v>7.2336144110280003</v>
      </c>
      <c r="AQ44" s="100">
        <v>7395.6473738350269</v>
      </c>
      <c r="AR44" s="100">
        <v>2.6406838928318157</v>
      </c>
      <c r="AS44" s="100">
        <v>2699.8352120312484</v>
      </c>
      <c r="AT44" s="100">
        <v>3.0666903987758203</v>
      </c>
      <c r="AU44" s="100">
        <v>3135.3842637083985</v>
      </c>
      <c r="AV44" s="100">
        <v>1.4166553388182732</v>
      </c>
      <c r="AW44" s="100">
        <v>1448.3884184078024</v>
      </c>
      <c r="AX44" s="100">
        <v>5</v>
      </c>
      <c r="AY44" s="100">
        <v>5112</v>
      </c>
      <c r="AZ44" s="100">
        <v>9</v>
      </c>
      <c r="BA44" s="100">
        <v>9201.6</v>
      </c>
      <c r="BB44" s="100">
        <v>5</v>
      </c>
      <c r="BC44" s="100">
        <v>5112</v>
      </c>
      <c r="BD44" s="100">
        <v>6</v>
      </c>
      <c r="BE44" s="100">
        <v>6134.4</v>
      </c>
      <c r="BF44" s="100">
        <v>7</v>
      </c>
      <c r="BG44" s="100">
        <v>7156.8</v>
      </c>
      <c r="BH44" s="100">
        <v>10.275838023735158</v>
      </c>
      <c r="BI44" s="100">
        <v>10506.016795466825</v>
      </c>
      <c r="BJ44" s="100">
        <v>1.3150984522763063</v>
      </c>
      <c r="BK44" s="100">
        <v>1344.5566576072956</v>
      </c>
      <c r="BL44" s="100">
        <v>7</v>
      </c>
      <c r="BM44" s="100">
        <v>7156.8</v>
      </c>
      <c r="BN44" s="100">
        <v>8</v>
      </c>
      <c r="BO44" s="100">
        <v>8179.2</v>
      </c>
      <c r="BP44" s="100">
        <v>7</v>
      </c>
      <c r="BQ44" s="100">
        <v>7156.8</v>
      </c>
      <c r="BR44" s="100">
        <v>4</v>
      </c>
      <c r="BS44" s="100">
        <v>4089.6</v>
      </c>
      <c r="BT44" s="100">
        <v>7.5494367645966971</v>
      </c>
      <c r="BU44" s="100">
        <v>7718.544148123663</v>
      </c>
      <c r="BV44" s="100">
        <v>4.6460568831081321</v>
      </c>
      <c r="BW44" s="100">
        <v>4750.1285572897541</v>
      </c>
      <c r="BX44" s="100">
        <v>4.5293596923629567</v>
      </c>
      <c r="BY44" s="100">
        <v>4630.8173494718867</v>
      </c>
      <c r="BZ44" s="100">
        <v>5.4931191365316598</v>
      </c>
      <c r="CA44" s="100">
        <v>5616.1650051899687</v>
      </c>
      <c r="CB44" s="100">
        <v>5.0618376372966667</v>
      </c>
      <c r="CC44" s="100">
        <v>5175.222800372112</v>
      </c>
      <c r="CD44" s="100">
        <v>9.1101672446708424</v>
      </c>
      <c r="CE44" s="100">
        <v>9314.2349909514687</v>
      </c>
      <c r="CF44" s="100">
        <v>4.9092462602541236</v>
      </c>
      <c r="CG44" s="100">
        <v>5019.2133764838154</v>
      </c>
      <c r="CH44" s="100">
        <v>6.105233631123042</v>
      </c>
      <c r="CI44" s="100">
        <v>6241.9908644601983</v>
      </c>
      <c r="CJ44" s="100">
        <v>6.4389353594006522</v>
      </c>
      <c r="CK44" s="100">
        <v>6583.1675114512263</v>
      </c>
      <c r="CL44" s="100">
        <v>7.0797195729886671</v>
      </c>
      <c r="CM44" s="100">
        <v>7238.3052914236132</v>
      </c>
      <c r="CN44" s="100">
        <v>5.2706030215601345</v>
      </c>
      <c r="CO44" s="100">
        <v>5388.6645292430812</v>
      </c>
      <c r="CP44" s="100">
        <v>6</v>
      </c>
      <c r="CQ44" s="100">
        <v>6134.4</v>
      </c>
      <c r="CR44" s="100">
        <v>8</v>
      </c>
      <c r="CS44" s="100">
        <v>8179.2</v>
      </c>
      <c r="CT44" s="100">
        <v>6.5356146788665344</v>
      </c>
      <c r="CU44" s="100">
        <v>6682.0124476731444</v>
      </c>
    </row>
    <row r="45" spans="2:99">
      <c r="C45" s="99" t="s">
        <v>211</v>
      </c>
      <c r="D45" s="100">
        <v>5</v>
      </c>
      <c r="E45" s="100">
        <v>6246</v>
      </c>
      <c r="F45" s="100">
        <v>5</v>
      </c>
      <c r="G45" s="100">
        <v>6246</v>
      </c>
      <c r="H45" s="100">
        <v>6</v>
      </c>
      <c r="I45" s="100">
        <v>7495.2000000000007</v>
      </c>
      <c r="J45" s="100">
        <v>6</v>
      </c>
      <c r="K45" s="100">
        <v>7495.2000000000007</v>
      </c>
      <c r="L45" s="100">
        <v>6</v>
      </c>
      <c r="M45" s="100">
        <v>7495.2000000000007</v>
      </c>
      <c r="N45" s="100">
        <v>9</v>
      </c>
      <c r="O45" s="100">
        <v>11242.800000000001</v>
      </c>
      <c r="P45" s="100">
        <v>5</v>
      </c>
      <c r="Q45" s="100">
        <v>6246</v>
      </c>
      <c r="R45" s="100">
        <v>9</v>
      </c>
      <c r="S45" s="100">
        <v>11242.800000000001</v>
      </c>
      <c r="T45" s="100">
        <v>8</v>
      </c>
      <c r="U45" s="100">
        <v>9993.6</v>
      </c>
      <c r="V45" s="100">
        <v>9</v>
      </c>
      <c r="W45" s="100">
        <v>11242.800000000001</v>
      </c>
      <c r="X45" s="100">
        <v>6.5055381843928304</v>
      </c>
      <c r="Y45" s="100">
        <v>8126.7182999435236</v>
      </c>
      <c r="Z45" s="100">
        <v>5</v>
      </c>
      <c r="AA45" s="100">
        <v>6246</v>
      </c>
      <c r="AB45" s="100">
        <v>6.5854125442279026</v>
      </c>
      <c r="AC45" s="100">
        <v>8226.4973502494959</v>
      </c>
      <c r="AD45" s="100">
        <v>3.4374814597228869</v>
      </c>
      <c r="AE45" s="100">
        <v>4294.1018394858302</v>
      </c>
      <c r="AF45" s="100">
        <v>4.1922220674684834</v>
      </c>
      <c r="AG45" s="100">
        <v>5236.9238066816297</v>
      </c>
      <c r="AH45" s="100">
        <v>3.0402632086741197</v>
      </c>
      <c r="AI45" s="100">
        <v>3797.8968002757106</v>
      </c>
      <c r="AJ45" s="100">
        <v>3.7935068046170461</v>
      </c>
      <c r="AK45" s="100">
        <v>4738.8487003276141</v>
      </c>
      <c r="AL45" s="100">
        <v>6.7916858206847479</v>
      </c>
      <c r="AM45" s="100">
        <v>8484.1739271993865</v>
      </c>
      <c r="AN45" s="100">
        <v>5</v>
      </c>
      <c r="AO45" s="100">
        <v>6246</v>
      </c>
      <c r="AP45" s="100">
        <v>8.1817000974662228</v>
      </c>
      <c r="AQ45" s="100">
        <v>10220.579761754805</v>
      </c>
      <c r="AR45" s="100">
        <v>2.2883506057122971</v>
      </c>
      <c r="AS45" s="100">
        <v>2858.6075766558015</v>
      </c>
      <c r="AT45" s="100">
        <v>2.6092696007903964</v>
      </c>
      <c r="AU45" s="100">
        <v>3259.4995853073633</v>
      </c>
      <c r="AV45" s="100">
        <v>1.4166553388182732</v>
      </c>
      <c r="AW45" s="100">
        <v>1769.685849251787</v>
      </c>
      <c r="AX45" s="100">
        <v>5</v>
      </c>
      <c r="AY45" s="100">
        <v>6246</v>
      </c>
      <c r="AZ45" s="100">
        <v>8</v>
      </c>
      <c r="BA45" s="100">
        <v>9993.6</v>
      </c>
      <c r="BB45" s="100">
        <v>5</v>
      </c>
      <c r="BC45" s="100">
        <v>6246</v>
      </c>
      <c r="BD45" s="100">
        <v>5</v>
      </c>
      <c r="BE45" s="100">
        <v>6246</v>
      </c>
      <c r="BF45" s="100">
        <v>7</v>
      </c>
      <c r="BG45" s="100">
        <v>8744.4</v>
      </c>
      <c r="BH45" s="100">
        <v>10.275838023735158</v>
      </c>
      <c r="BI45" s="100">
        <v>12836.576859249961</v>
      </c>
      <c r="BJ45" s="100">
        <v>1.3150984522763063</v>
      </c>
      <c r="BK45" s="100">
        <v>1642.8209865835618</v>
      </c>
      <c r="BL45" s="100">
        <v>8</v>
      </c>
      <c r="BM45" s="100">
        <v>9993.6</v>
      </c>
      <c r="BN45" s="100">
        <v>9</v>
      </c>
      <c r="BO45" s="100">
        <v>11242.800000000001</v>
      </c>
      <c r="BP45" s="100">
        <v>8</v>
      </c>
      <c r="BQ45" s="100">
        <v>9993.6</v>
      </c>
      <c r="BR45" s="100">
        <v>4</v>
      </c>
      <c r="BS45" s="100">
        <v>4996.8</v>
      </c>
      <c r="BT45" s="100">
        <v>7.5494367645966971</v>
      </c>
      <c r="BU45" s="100">
        <v>9430.7564063341943</v>
      </c>
      <c r="BV45" s="100">
        <v>4.0027787514178579</v>
      </c>
      <c r="BW45" s="100">
        <v>5000.2712162711887</v>
      </c>
      <c r="BX45" s="100">
        <v>4.5293596923629567</v>
      </c>
      <c r="BY45" s="100">
        <v>5658.0761276998055</v>
      </c>
      <c r="BZ45" s="100">
        <v>5.4989437711658224</v>
      </c>
      <c r="CA45" s="100">
        <v>6869.2805589403461</v>
      </c>
      <c r="CB45" s="100">
        <v>5.0618376372966667</v>
      </c>
      <c r="CC45" s="100">
        <v>6323.2475765109966</v>
      </c>
      <c r="CD45" s="100">
        <v>8.1377090558385543</v>
      </c>
      <c r="CE45" s="100">
        <v>10165.626152553523</v>
      </c>
      <c r="CF45" s="100">
        <v>4.9092462602541236</v>
      </c>
      <c r="CG45" s="100">
        <v>6132.6304283094514</v>
      </c>
      <c r="CH45" s="100">
        <v>6.105233631123042</v>
      </c>
      <c r="CI45" s="100">
        <v>7626.6578519989043</v>
      </c>
      <c r="CJ45" s="100">
        <v>6.4389353594006522</v>
      </c>
      <c r="CK45" s="100">
        <v>8043.5180509632946</v>
      </c>
      <c r="CL45" s="100">
        <v>7.0797195729886671</v>
      </c>
      <c r="CM45" s="100">
        <v>8843.9856905774432</v>
      </c>
      <c r="CN45" s="100">
        <v>6.0235463103544395</v>
      </c>
      <c r="CO45" s="100">
        <v>7524.6140508947665</v>
      </c>
      <c r="CP45" s="100">
        <v>6</v>
      </c>
      <c r="CQ45" s="100">
        <v>7495.2000000000007</v>
      </c>
      <c r="CR45" s="100">
        <v>8</v>
      </c>
      <c r="CS45" s="100">
        <v>9993.6</v>
      </c>
      <c r="CT45" s="100">
        <v>6.5843069223998558</v>
      </c>
      <c r="CU45" s="100">
        <v>8225.1162074619006</v>
      </c>
    </row>
    <row r="46" spans="2:99">
      <c r="C46" s="99" t="s">
        <v>212</v>
      </c>
      <c r="D46" s="100">
        <v>5</v>
      </c>
      <c r="E46" s="100">
        <v>6060</v>
      </c>
      <c r="F46" s="100">
        <v>5</v>
      </c>
      <c r="G46" s="100">
        <v>6060</v>
      </c>
      <c r="H46" s="100">
        <v>5</v>
      </c>
      <c r="I46" s="100">
        <v>6060</v>
      </c>
      <c r="J46" s="100">
        <v>7</v>
      </c>
      <c r="K46" s="100">
        <v>8484</v>
      </c>
      <c r="L46" s="100">
        <v>5</v>
      </c>
      <c r="M46" s="100">
        <v>6060</v>
      </c>
      <c r="N46" s="100">
        <v>9</v>
      </c>
      <c r="O46" s="100">
        <v>10908</v>
      </c>
      <c r="P46" s="100">
        <v>5</v>
      </c>
      <c r="Q46" s="100">
        <v>6060</v>
      </c>
      <c r="R46" s="100">
        <v>8</v>
      </c>
      <c r="S46" s="100">
        <v>9696</v>
      </c>
      <c r="T46" s="100">
        <v>7</v>
      </c>
      <c r="U46" s="100">
        <v>8484</v>
      </c>
      <c r="V46" s="100">
        <v>9</v>
      </c>
      <c r="W46" s="100">
        <v>10908</v>
      </c>
      <c r="X46" s="100">
        <v>6.5514962011558149</v>
      </c>
      <c r="Y46" s="100">
        <v>7940.4133958008479</v>
      </c>
      <c r="Z46" s="100">
        <v>5</v>
      </c>
      <c r="AA46" s="100">
        <v>6060</v>
      </c>
      <c r="AB46" s="100">
        <v>6.6341969229135618</v>
      </c>
      <c r="AC46" s="100">
        <v>8040.6466705712364</v>
      </c>
      <c r="AD46" s="100">
        <v>3.4374814597228869</v>
      </c>
      <c r="AE46" s="100">
        <v>4166.2275291841388</v>
      </c>
      <c r="AF46" s="100">
        <v>5.1139284211157765</v>
      </c>
      <c r="AG46" s="100">
        <v>6198.0812463923212</v>
      </c>
      <c r="AH46" s="100">
        <v>3.4202961097583846</v>
      </c>
      <c r="AI46" s="100">
        <v>4145.3988850271626</v>
      </c>
      <c r="AJ46" s="100">
        <v>4.741883505771308</v>
      </c>
      <c r="AK46" s="100">
        <v>5747.1628089948254</v>
      </c>
      <c r="AL46" s="100">
        <v>5.9427250930991544</v>
      </c>
      <c r="AM46" s="100">
        <v>7202.5828128361754</v>
      </c>
      <c r="AN46" s="100">
        <v>4</v>
      </c>
      <c r="AO46" s="100">
        <v>4848</v>
      </c>
      <c r="AP46" s="100">
        <v>7.2336144110280003</v>
      </c>
      <c r="AQ46" s="100">
        <v>8767.1406661659366</v>
      </c>
      <c r="AR46" s="100">
        <v>2.6581189811313339</v>
      </c>
      <c r="AS46" s="100">
        <v>3221.6402051311766</v>
      </c>
      <c r="AT46" s="100">
        <v>2.5903186825043214</v>
      </c>
      <c r="AU46" s="100">
        <v>3139.4662431952374</v>
      </c>
      <c r="AV46" s="100">
        <v>1.4166553388182732</v>
      </c>
      <c r="AW46" s="100">
        <v>1716.9862706477472</v>
      </c>
      <c r="AX46" s="100">
        <v>5</v>
      </c>
      <c r="AY46" s="100">
        <v>6060</v>
      </c>
      <c r="AZ46" s="100">
        <v>9</v>
      </c>
      <c r="BA46" s="100">
        <v>10908</v>
      </c>
      <c r="BB46" s="100">
        <v>5</v>
      </c>
      <c r="BC46" s="100">
        <v>6060</v>
      </c>
      <c r="BD46" s="100">
        <v>5</v>
      </c>
      <c r="BE46" s="100">
        <v>6060</v>
      </c>
      <c r="BF46" s="100">
        <v>6</v>
      </c>
      <c r="BG46" s="100">
        <v>7272</v>
      </c>
      <c r="BH46" s="100">
        <v>10.275838023735158</v>
      </c>
      <c r="BI46" s="100">
        <v>12454.315684767012</v>
      </c>
      <c r="BJ46" s="100">
        <v>1.50296965974435</v>
      </c>
      <c r="BK46" s="100">
        <v>1821.5992276101522</v>
      </c>
      <c r="BL46" s="100">
        <v>7</v>
      </c>
      <c r="BM46" s="100">
        <v>8484</v>
      </c>
      <c r="BN46" s="100">
        <v>9</v>
      </c>
      <c r="BO46" s="100">
        <v>10908</v>
      </c>
      <c r="BP46" s="100">
        <v>7</v>
      </c>
      <c r="BQ46" s="100">
        <v>8484</v>
      </c>
      <c r="BR46" s="100">
        <v>4</v>
      </c>
      <c r="BS46" s="100">
        <v>4848</v>
      </c>
      <c r="BT46" s="100">
        <v>6.4994879678151793</v>
      </c>
      <c r="BU46" s="100">
        <v>7877.3794169919975</v>
      </c>
      <c r="BV46" s="100">
        <v>4.6460568831081321</v>
      </c>
      <c r="BW46" s="100">
        <v>5631.0209423270562</v>
      </c>
      <c r="BX46" s="100">
        <v>4.5293596923629567</v>
      </c>
      <c r="BY46" s="100">
        <v>5489.5839471439031</v>
      </c>
      <c r="BZ46" s="100">
        <v>5.4931191365316598</v>
      </c>
      <c r="CA46" s="100">
        <v>6657.6603934763716</v>
      </c>
      <c r="CB46" s="100">
        <v>4.429107932634583</v>
      </c>
      <c r="CC46" s="100">
        <v>5368.0788143531145</v>
      </c>
      <c r="CD46" s="100">
        <v>8.1239381502546983</v>
      </c>
      <c r="CE46" s="100">
        <v>9846.2130381086936</v>
      </c>
      <c r="CF46" s="100">
        <v>4.9092462602541236</v>
      </c>
      <c r="CG46" s="100">
        <v>5950.0064674279974</v>
      </c>
      <c r="CH46" s="100">
        <v>5.105233631123042</v>
      </c>
      <c r="CI46" s="100">
        <v>6187.5431609211264</v>
      </c>
      <c r="CJ46" s="100">
        <v>6.4389353594006522</v>
      </c>
      <c r="CK46" s="100">
        <v>7803.9896555935902</v>
      </c>
      <c r="CL46" s="100">
        <v>7.073076275239611</v>
      </c>
      <c r="CM46" s="100">
        <v>8572.5684455904084</v>
      </c>
      <c r="CN46" s="100">
        <v>6.0235463103544395</v>
      </c>
      <c r="CO46" s="100">
        <v>7300.5381281495811</v>
      </c>
      <c r="CP46" s="100">
        <v>6</v>
      </c>
      <c r="CQ46" s="100">
        <v>7272</v>
      </c>
      <c r="CR46" s="100">
        <v>8</v>
      </c>
      <c r="CS46" s="100">
        <v>9696</v>
      </c>
      <c r="CT46" s="100">
        <v>7.5356146788665344</v>
      </c>
      <c r="CU46" s="100">
        <v>9133.1649907862393</v>
      </c>
    </row>
    <row r="47" spans="2:99">
      <c r="C47" s="99" t="s">
        <v>213</v>
      </c>
      <c r="D47" s="100">
        <v>5</v>
      </c>
      <c r="E47" s="100">
        <v>7638</v>
      </c>
      <c r="F47" s="100">
        <v>5</v>
      </c>
      <c r="G47" s="100">
        <v>7638</v>
      </c>
      <c r="H47" s="100">
        <v>5</v>
      </c>
      <c r="I47" s="100">
        <v>7638</v>
      </c>
      <c r="J47" s="100">
        <v>7</v>
      </c>
      <c r="K47" s="100">
        <v>10693.199999999999</v>
      </c>
      <c r="L47" s="100">
        <v>6</v>
      </c>
      <c r="M47" s="100">
        <v>9165.5999999999985</v>
      </c>
      <c r="N47" s="100">
        <v>8</v>
      </c>
      <c r="O47" s="100">
        <v>12220.8</v>
      </c>
      <c r="P47" s="100">
        <v>5</v>
      </c>
      <c r="Q47" s="100">
        <v>7638</v>
      </c>
      <c r="R47" s="100">
        <v>9</v>
      </c>
      <c r="S47" s="100">
        <v>13748.4</v>
      </c>
      <c r="T47" s="100">
        <v>8</v>
      </c>
      <c r="U47" s="100">
        <v>12220.8</v>
      </c>
      <c r="V47" s="100">
        <v>9</v>
      </c>
      <c r="W47" s="100">
        <v>13748.4</v>
      </c>
      <c r="X47" s="100">
        <v>5.5974542179187994</v>
      </c>
      <c r="Y47" s="100">
        <v>8550.671063292757</v>
      </c>
      <c r="Z47" s="100">
        <v>5</v>
      </c>
      <c r="AA47" s="100">
        <v>7638</v>
      </c>
      <c r="AB47" s="100">
        <v>6.5366281655422442</v>
      </c>
      <c r="AC47" s="100">
        <v>9985.353185682332</v>
      </c>
      <c r="AD47" s="100">
        <v>4.0103950363433682</v>
      </c>
      <c r="AE47" s="100">
        <v>6126.2794575181288</v>
      </c>
      <c r="AF47" s="100">
        <v>5.1139284211157765</v>
      </c>
      <c r="AG47" s="100">
        <v>7812.0370560964593</v>
      </c>
      <c r="AH47" s="100">
        <v>3.0402632086741197</v>
      </c>
      <c r="AI47" s="100">
        <v>4644.3060775705853</v>
      </c>
      <c r="AJ47" s="100">
        <v>4.741883505771308</v>
      </c>
      <c r="AK47" s="100">
        <v>7243.7012434162498</v>
      </c>
      <c r="AL47" s="100">
        <v>6.7916858206847479</v>
      </c>
      <c r="AM47" s="100">
        <v>10374.979259678021</v>
      </c>
      <c r="AN47" s="100">
        <v>5</v>
      </c>
      <c r="AO47" s="100">
        <v>7638</v>
      </c>
      <c r="AP47" s="100">
        <v>8.2076572542471116</v>
      </c>
      <c r="AQ47" s="100">
        <v>12538.017221587887</v>
      </c>
      <c r="AR47" s="100">
        <v>2.3057856940118158</v>
      </c>
      <c r="AS47" s="100">
        <v>3522.3182261724496</v>
      </c>
      <c r="AT47" s="100">
        <v>3.0856413170618953</v>
      </c>
      <c r="AU47" s="100">
        <v>4713.625675943751</v>
      </c>
      <c r="AV47" s="100">
        <v>1.4166553388182732</v>
      </c>
      <c r="AW47" s="100">
        <v>2164.0826955787938</v>
      </c>
      <c r="AX47" s="100">
        <v>4</v>
      </c>
      <c r="AY47" s="100">
        <v>6110.4</v>
      </c>
      <c r="AZ47" s="100">
        <v>9</v>
      </c>
      <c r="BA47" s="100">
        <v>13748.4</v>
      </c>
      <c r="BB47" s="100">
        <v>5</v>
      </c>
      <c r="BC47" s="100">
        <v>7638</v>
      </c>
      <c r="BD47" s="100">
        <v>6</v>
      </c>
      <c r="BE47" s="100">
        <v>9165.5999999999985</v>
      </c>
      <c r="BF47" s="100">
        <v>7</v>
      </c>
      <c r="BG47" s="100">
        <v>10693.199999999999</v>
      </c>
      <c r="BH47" s="100">
        <v>10.275838023735158</v>
      </c>
      <c r="BI47" s="100">
        <v>15697.370165057826</v>
      </c>
      <c r="BJ47" s="100">
        <v>1.50296965974435</v>
      </c>
      <c r="BK47" s="100">
        <v>2295.9364522254691</v>
      </c>
      <c r="BL47" s="100">
        <v>7</v>
      </c>
      <c r="BM47" s="100">
        <v>10693.199999999999</v>
      </c>
      <c r="BN47" s="100">
        <v>8</v>
      </c>
      <c r="BO47" s="100">
        <v>12220.8</v>
      </c>
      <c r="BP47" s="100">
        <v>8</v>
      </c>
      <c r="BQ47" s="100">
        <v>12220.8</v>
      </c>
      <c r="BR47" s="100">
        <v>5</v>
      </c>
      <c r="BS47" s="100">
        <v>7638</v>
      </c>
      <c r="BT47" s="100">
        <v>7.5494367645966971</v>
      </c>
      <c r="BU47" s="100">
        <v>11532.519601597915</v>
      </c>
      <c r="BV47" s="100">
        <v>4.6460568831081321</v>
      </c>
      <c r="BW47" s="100">
        <v>7097.3164946359821</v>
      </c>
      <c r="BX47" s="100">
        <v>4.5293596923629567</v>
      </c>
      <c r="BY47" s="100">
        <v>6919.0498660536523</v>
      </c>
      <c r="BZ47" s="100">
        <v>6.2695295351302347</v>
      </c>
      <c r="CA47" s="100">
        <v>9577.3333178649464</v>
      </c>
      <c r="CB47" s="100">
        <v>4.429107932634583</v>
      </c>
      <c r="CC47" s="100">
        <v>6765.9052778925889</v>
      </c>
      <c r="CD47" s="100">
        <v>8.1101672446708424</v>
      </c>
      <c r="CE47" s="100">
        <v>12389.091482959178</v>
      </c>
      <c r="CF47" s="100">
        <v>4.9092462602541236</v>
      </c>
      <c r="CG47" s="100">
        <v>7499.3645871641984</v>
      </c>
      <c r="CH47" s="100">
        <v>5.0971387364212699</v>
      </c>
      <c r="CI47" s="100">
        <v>7786.3891337571313</v>
      </c>
      <c r="CJ47" s="100">
        <v>6.4389353594006522</v>
      </c>
      <c r="CK47" s="100">
        <v>9836.1176550204364</v>
      </c>
      <c r="CL47" s="100">
        <v>6.0797195729886671</v>
      </c>
      <c r="CM47" s="100">
        <v>9287.3796196974872</v>
      </c>
      <c r="CN47" s="100">
        <v>6.0235463103544395</v>
      </c>
      <c r="CO47" s="100">
        <v>9201.5693436974416</v>
      </c>
      <c r="CP47" s="100">
        <v>6</v>
      </c>
      <c r="CQ47" s="100">
        <v>9165.5999999999985</v>
      </c>
      <c r="CR47" s="100">
        <v>7</v>
      </c>
      <c r="CS47" s="100">
        <v>10693.199999999999</v>
      </c>
      <c r="CT47" s="100">
        <v>7.5356146788665344</v>
      </c>
      <c r="CU47" s="100">
        <v>11511.404983436518</v>
      </c>
    </row>
    <row r="48" spans="2:99">
      <c r="C48" s="99" t="s">
        <v>214</v>
      </c>
      <c r="D48" s="100">
        <v>5</v>
      </c>
      <c r="E48" s="100">
        <v>4338</v>
      </c>
      <c r="F48" s="100">
        <v>6</v>
      </c>
      <c r="G48" s="100">
        <v>5205.6000000000004</v>
      </c>
      <c r="H48" s="100">
        <v>5</v>
      </c>
      <c r="I48" s="100">
        <v>4338</v>
      </c>
      <c r="J48" s="100">
        <v>7</v>
      </c>
      <c r="K48" s="100">
        <v>6073.2</v>
      </c>
      <c r="L48" s="100">
        <v>5</v>
      </c>
      <c r="M48" s="100">
        <v>4338</v>
      </c>
      <c r="N48" s="100">
        <v>8</v>
      </c>
      <c r="O48" s="100">
        <v>6940.8</v>
      </c>
      <c r="P48" s="100">
        <v>5</v>
      </c>
      <c r="Q48" s="100">
        <v>4338</v>
      </c>
      <c r="R48" s="100">
        <v>10</v>
      </c>
      <c r="S48" s="100">
        <v>8676</v>
      </c>
      <c r="T48" s="100">
        <v>8</v>
      </c>
      <c r="U48" s="100">
        <v>6940.8</v>
      </c>
      <c r="V48" s="100">
        <v>9</v>
      </c>
      <c r="W48" s="100">
        <v>7808.4000000000005</v>
      </c>
      <c r="X48" s="100">
        <v>6.5974542179187994</v>
      </c>
      <c r="Y48" s="100">
        <v>5723.9512794663506</v>
      </c>
      <c r="Z48" s="100">
        <v>6</v>
      </c>
      <c r="AA48" s="100">
        <v>5205.6000000000004</v>
      </c>
      <c r="AB48" s="100">
        <v>7.6829813015992201</v>
      </c>
      <c r="AC48" s="100">
        <v>6665.7545772674839</v>
      </c>
      <c r="AD48" s="100">
        <v>4.0103950363433682</v>
      </c>
      <c r="AE48" s="100">
        <v>3479.4187335315064</v>
      </c>
      <c r="AF48" s="100">
        <v>4.2381672177302399</v>
      </c>
      <c r="AG48" s="100">
        <v>3677.0338781027563</v>
      </c>
      <c r="AH48" s="100">
        <v>3.0402632086741197</v>
      </c>
      <c r="AI48" s="100">
        <v>2637.7323598456665</v>
      </c>
      <c r="AJ48" s="100">
        <v>4.741883505771308</v>
      </c>
      <c r="AK48" s="100">
        <v>4114.0581296071869</v>
      </c>
      <c r="AL48" s="100">
        <v>7.6406465482703414</v>
      </c>
      <c r="AM48" s="100">
        <v>6629.0249452793487</v>
      </c>
      <c r="AN48" s="100">
        <v>5</v>
      </c>
      <c r="AO48" s="100">
        <v>4338</v>
      </c>
      <c r="AP48" s="100">
        <v>8.2336144110280003</v>
      </c>
      <c r="AQ48" s="100">
        <v>7143.483863007893</v>
      </c>
      <c r="AR48" s="100">
        <v>2.6581189811313339</v>
      </c>
      <c r="AS48" s="100">
        <v>2306.1840280295455</v>
      </c>
      <c r="AT48" s="100">
        <v>3.0666903987758203</v>
      </c>
      <c r="AU48" s="100">
        <v>2660.660589977902</v>
      </c>
      <c r="AV48" s="100">
        <v>1.652764561954652</v>
      </c>
      <c r="AW48" s="100">
        <v>1433.9385339518562</v>
      </c>
      <c r="AX48" s="100">
        <v>5</v>
      </c>
      <c r="AY48" s="100">
        <v>4338</v>
      </c>
      <c r="AZ48" s="100">
        <v>9</v>
      </c>
      <c r="BA48" s="100">
        <v>7808.4000000000005</v>
      </c>
      <c r="BB48" s="100">
        <v>5</v>
      </c>
      <c r="BC48" s="100">
        <v>4338</v>
      </c>
      <c r="BD48" s="100">
        <v>6</v>
      </c>
      <c r="BE48" s="100">
        <v>5205.6000000000004</v>
      </c>
      <c r="BF48" s="100">
        <v>7</v>
      </c>
      <c r="BG48" s="100">
        <v>6073.2</v>
      </c>
      <c r="BH48" s="100">
        <v>9.2758380237351581</v>
      </c>
      <c r="BI48" s="100">
        <v>8047.7170693926237</v>
      </c>
      <c r="BJ48" s="100">
        <v>1.3150984522763063</v>
      </c>
      <c r="BK48" s="100">
        <v>1140.9794171949234</v>
      </c>
      <c r="BL48" s="100">
        <v>8</v>
      </c>
      <c r="BM48" s="100">
        <v>6940.8</v>
      </c>
      <c r="BN48" s="100">
        <v>8</v>
      </c>
      <c r="BO48" s="100">
        <v>6940.8</v>
      </c>
      <c r="BP48" s="100">
        <v>7</v>
      </c>
      <c r="BQ48" s="100">
        <v>6073.2</v>
      </c>
      <c r="BR48" s="100">
        <v>5</v>
      </c>
      <c r="BS48" s="100">
        <v>4338</v>
      </c>
      <c r="BT48" s="100">
        <v>6.5494367645966971</v>
      </c>
      <c r="BU48" s="100">
        <v>5682.2913369640946</v>
      </c>
      <c r="BV48" s="100">
        <v>4.6639456282676583</v>
      </c>
      <c r="BW48" s="100">
        <v>4046.4392270850203</v>
      </c>
      <c r="BX48" s="100">
        <v>4.5293596923629567</v>
      </c>
      <c r="BY48" s="100">
        <v>3929.6724690941014</v>
      </c>
      <c r="BZ48" s="100">
        <v>5.4931191365316598</v>
      </c>
      <c r="CA48" s="100">
        <v>4765.8301628548679</v>
      </c>
      <c r="CB48" s="100">
        <v>5.0618376372966667</v>
      </c>
      <c r="CC48" s="100">
        <v>4391.650334118588</v>
      </c>
      <c r="CD48" s="100">
        <v>9.1239381502546983</v>
      </c>
      <c r="CE48" s="100">
        <v>7915.9287391609769</v>
      </c>
      <c r="CF48" s="100">
        <v>5.7274539702964775</v>
      </c>
      <c r="CG48" s="100">
        <v>4969.1390646292239</v>
      </c>
      <c r="CH48" s="100">
        <v>6.0971387364212699</v>
      </c>
      <c r="CI48" s="100">
        <v>5289.8775677190943</v>
      </c>
      <c r="CJ48" s="100">
        <v>7.2438022793257337</v>
      </c>
      <c r="CK48" s="100">
        <v>6284.7228575430072</v>
      </c>
      <c r="CL48" s="100">
        <v>6.0797195729886671</v>
      </c>
      <c r="CM48" s="100">
        <v>5274.7647015249677</v>
      </c>
      <c r="CN48" s="100">
        <v>6.0235463103544395</v>
      </c>
      <c r="CO48" s="100">
        <v>5226.0287788635123</v>
      </c>
      <c r="CP48" s="100">
        <v>6</v>
      </c>
      <c r="CQ48" s="100">
        <v>5205.6000000000004</v>
      </c>
      <c r="CR48" s="100">
        <v>7</v>
      </c>
      <c r="CS48" s="100">
        <v>6073.2</v>
      </c>
      <c r="CT48" s="100">
        <v>7.5356146788665344</v>
      </c>
      <c r="CU48" s="100">
        <v>6537.8992953846055</v>
      </c>
    </row>
    <row r="49" spans="2:99">
      <c r="B49" s="99" t="s">
        <v>129</v>
      </c>
      <c r="C49" s="99" t="s">
        <v>215</v>
      </c>
      <c r="D49" s="100">
        <v>4</v>
      </c>
      <c r="E49" s="100">
        <v>3940.7999999999997</v>
      </c>
      <c r="F49" s="100">
        <v>4.4978140446432873</v>
      </c>
      <c r="G49" s="100">
        <v>4431.2463967825661</v>
      </c>
      <c r="H49" s="100">
        <v>5</v>
      </c>
      <c r="I49" s="100">
        <v>4926</v>
      </c>
      <c r="J49" s="100">
        <v>7.1899383583949401</v>
      </c>
      <c r="K49" s="100">
        <v>7083.5272706906944</v>
      </c>
      <c r="L49" s="100">
        <v>5.3202630882709006</v>
      </c>
      <c r="M49" s="100">
        <v>5241.523194564491</v>
      </c>
      <c r="N49" s="100">
        <v>2.7461369833087206</v>
      </c>
      <c r="O49" s="100">
        <v>2705.4941559557515</v>
      </c>
      <c r="P49" s="100">
        <v>7</v>
      </c>
      <c r="Q49" s="100">
        <v>6896.4</v>
      </c>
      <c r="R49" s="100">
        <v>6</v>
      </c>
      <c r="S49" s="100">
        <v>5911.2</v>
      </c>
      <c r="T49" s="100">
        <v>5</v>
      </c>
      <c r="U49" s="100">
        <v>4926</v>
      </c>
      <c r="V49" s="100">
        <v>7.3714093592835166</v>
      </c>
      <c r="W49" s="100">
        <v>7262.3125007661201</v>
      </c>
      <c r="X49" s="100">
        <v>7</v>
      </c>
      <c r="Y49" s="100">
        <v>6896.4</v>
      </c>
      <c r="Z49" s="100">
        <v>6.2421135523185924</v>
      </c>
      <c r="AA49" s="100">
        <v>6149.7302717442772</v>
      </c>
      <c r="AB49" s="100">
        <v>4</v>
      </c>
      <c r="AC49" s="100">
        <v>3940.7999999999997</v>
      </c>
      <c r="AD49" s="100">
        <v>5</v>
      </c>
      <c r="AE49" s="100">
        <v>4926</v>
      </c>
      <c r="AF49" s="100">
        <v>5</v>
      </c>
      <c r="AG49" s="100">
        <v>4926</v>
      </c>
      <c r="AH49" s="100">
        <v>5</v>
      </c>
      <c r="AI49" s="100">
        <v>4926</v>
      </c>
      <c r="AJ49" s="100">
        <v>6</v>
      </c>
      <c r="AK49" s="100">
        <v>5911.2</v>
      </c>
      <c r="AL49" s="100">
        <v>7</v>
      </c>
      <c r="AM49" s="100">
        <v>6896.4</v>
      </c>
      <c r="AN49" s="100">
        <v>4</v>
      </c>
      <c r="AO49" s="100">
        <v>3940.7999999999997</v>
      </c>
      <c r="AP49" s="100">
        <v>4</v>
      </c>
      <c r="AQ49" s="100">
        <v>3940.7999999999997</v>
      </c>
      <c r="AR49" s="100">
        <v>4</v>
      </c>
      <c r="AS49" s="100">
        <v>3940.7999999999997</v>
      </c>
      <c r="AT49" s="100">
        <v>4.2138775262473107</v>
      </c>
      <c r="AU49" s="100">
        <v>4151.5121388588504</v>
      </c>
      <c r="AV49" s="100">
        <v>6</v>
      </c>
      <c r="AW49" s="100">
        <v>5911.2</v>
      </c>
      <c r="AX49" s="100">
        <v>6</v>
      </c>
      <c r="AY49" s="100">
        <v>5911.2</v>
      </c>
      <c r="AZ49" s="100">
        <v>4.3489142023956848</v>
      </c>
      <c r="BA49" s="100">
        <v>4284.5502722002284</v>
      </c>
      <c r="BB49" s="100">
        <v>6</v>
      </c>
      <c r="BC49" s="100">
        <v>5911.2</v>
      </c>
      <c r="BD49" s="100">
        <v>4.5738643492629301</v>
      </c>
      <c r="BE49" s="100">
        <v>4506.1711568938381</v>
      </c>
      <c r="BF49" s="100">
        <v>4</v>
      </c>
      <c r="BG49" s="100">
        <v>3940.7999999999997</v>
      </c>
      <c r="BH49" s="100">
        <v>3.3830665785177843</v>
      </c>
      <c r="BI49" s="100">
        <v>3332.9971931557207</v>
      </c>
      <c r="BJ49" s="100">
        <v>4.5311302772605435</v>
      </c>
      <c r="BK49" s="100">
        <v>4464.0695491570868</v>
      </c>
      <c r="BL49" s="100">
        <v>4</v>
      </c>
      <c r="BM49" s="100">
        <v>3940.7999999999997</v>
      </c>
      <c r="BN49" s="100">
        <v>4</v>
      </c>
      <c r="BO49" s="100">
        <v>3940.7999999999997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4.2816286405354704</v>
      </c>
      <c r="BU49" s="100">
        <v>4218.2605366555454</v>
      </c>
      <c r="BV49" s="100">
        <v>5</v>
      </c>
      <c r="BW49" s="100">
        <v>4926</v>
      </c>
      <c r="BX49" s="100">
        <v>6.0136979785969134</v>
      </c>
      <c r="BY49" s="100">
        <v>5924.695248513679</v>
      </c>
      <c r="BZ49" s="100">
        <v>7.294430698084466</v>
      </c>
      <c r="CA49" s="100">
        <v>7186.4731237528158</v>
      </c>
      <c r="CB49" s="100">
        <v>6</v>
      </c>
      <c r="CC49" s="100">
        <v>5911.2</v>
      </c>
      <c r="CD49" s="100">
        <v>5</v>
      </c>
      <c r="CE49" s="100">
        <v>4926</v>
      </c>
      <c r="CF49" s="100">
        <v>6</v>
      </c>
      <c r="CG49" s="100">
        <v>5911.2</v>
      </c>
      <c r="CH49" s="100">
        <v>5</v>
      </c>
      <c r="CI49" s="100">
        <v>4926</v>
      </c>
      <c r="CJ49" s="100">
        <v>5</v>
      </c>
      <c r="CK49" s="100">
        <v>4926</v>
      </c>
      <c r="CL49" s="100">
        <v>6</v>
      </c>
      <c r="CM49" s="100">
        <v>5911.2</v>
      </c>
      <c r="CN49" s="100">
        <v>6.3457416158727256</v>
      </c>
      <c r="CO49" s="100">
        <v>6251.8246399578084</v>
      </c>
      <c r="CP49" s="100">
        <v>6.1764539541898396</v>
      </c>
      <c r="CQ49" s="100">
        <v>6085.0424356678295</v>
      </c>
      <c r="CR49" s="100">
        <v>6</v>
      </c>
      <c r="CS49" s="100">
        <v>5911.2</v>
      </c>
      <c r="CT49" s="100">
        <v>7</v>
      </c>
      <c r="CU49" s="100">
        <v>6896.4</v>
      </c>
    </row>
    <row r="50" spans="2:99">
      <c r="C50" s="99" t="s">
        <v>216</v>
      </c>
      <c r="D50" s="100">
        <v>4</v>
      </c>
      <c r="E50" s="100">
        <v>1128</v>
      </c>
      <c r="F50" s="100">
        <v>4</v>
      </c>
      <c r="G50" s="100">
        <v>1128</v>
      </c>
      <c r="H50" s="100">
        <v>6</v>
      </c>
      <c r="I50" s="100">
        <v>1692</v>
      </c>
      <c r="J50" s="100">
        <v>7</v>
      </c>
      <c r="K50" s="100">
        <v>1974</v>
      </c>
      <c r="L50" s="100">
        <v>5</v>
      </c>
      <c r="M50" s="100">
        <v>1410</v>
      </c>
      <c r="N50" s="100">
        <v>4</v>
      </c>
      <c r="O50" s="100">
        <v>1128</v>
      </c>
      <c r="P50" s="100">
        <v>6</v>
      </c>
      <c r="Q50" s="100">
        <v>1692</v>
      </c>
      <c r="R50" s="100">
        <v>7</v>
      </c>
      <c r="S50" s="100">
        <v>1974</v>
      </c>
      <c r="T50" s="100">
        <v>5</v>
      </c>
      <c r="U50" s="100">
        <v>1410</v>
      </c>
      <c r="V50" s="100">
        <v>8</v>
      </c>
      <c r="W50" s="100">
        <v>2256</v>
      </c>
      <c r="X50" s="100">
        <v>6.4136221508668614</v>
      </c>
      <c r="Y50" s="100">
        <v>1808.641446544455</v>
      </c>
      <c r="Z50" s="100">
        <v>6</v>
      </c>
      <c r="AA50" s="100">
        <v>1692</v>
      </c>
      <c r="AB50" s="100">
        <v>4.3902750294852684</v>
      </c>
      <c r="AC50" s="100">
        <v>1238.0575583148457</v>
      </c>
      <c r="AD50" s="100">
        <v>2.864567883102406</v>
      </c>
      <c r="AE50" s="100">
        <v>807.80814303487853</v>
      </c>
      <c r="AF50" s="100">
        <v>5.8977993239778037</v>
      </c>
      <c r="AG50" s="100">
        <v>1663.1794093617407</v>
      </c>
      <c r="AH50" s="100">
        <v>2.2801974065055894</v>
      </c>
      <c r="AI50" s="100">
        <v>643.01566863457617</v>
      </c>
      <c r="AJ50" s="100">
        <v>5.6902602069255694</v>
      </c>
      <c r="AK50" s="100">
        <v>1604.6533783530106</v>
      </c>
      <c r="AL50" s="100">
        <v>5.0937643655135609</v>
      </c>
      <c r="AM50" s="100">
        <v>1436.4415510748242</v>
      </c>
      <c r="AN50" s="100">
        <v>4</v>
      </c>
      <c r="AO50" s="100">
        <v>1128</v>
      </c>
      <c r="AP50" s="100">
        <v>4.2076572542471116</v>
      </c>
      <c r="AQ50" s="100">
        <v>1186.5593456976856</v>
      </c>
      <c r="AR50" s="100">
        <v>1.5313787665747041</v>
      </c>
      <c r="AS50" s="100">
        <v>431.84881217406655</v>
      </c>
      <c r="AT50" s="100">
        <v>2.0570942113745967</v>
      </c>
      <c r="AU50" s="100">
        <v>580.10056760763632</v>
      </c>
      <c r="AV50" s="100">
        <v>1.4166553388182732</v>
      </c>
      <c r="AW50" s="100">
        <v>399.49680554675302</v>
      </c>
      <c r="AX50" s="100">
        <v>6</v>
      </c>
      <c r="AY50" s="100">
        <v>1692</v>
      </c>
      <c r="AZ50" s="100">
        <v>5</v>
      </c>
      <c r="BA50" s="100">
        <v>1410</v>
      </c>
      <c r="BB50" s="100">
        <v>6</v>
      </c>
      <c r="BC50" s="100">
        <v>1692</v>
      </c>
      <c r="BD50" s="100">
        <v>6</v>
      </c>
      <c r="BE50" s="100">
        <v>1692</v>
      </c>
      <c r="BF50" s="100">
        <v>4</v>
      </c>
      <c r="BG50" s="100">
        <v>1128</v>
      </c>
      <c r="BH50" s="100">
        <v>7.2068785178013677</v>
      </c>
      <c r="BI50" s="100">
        <v>2032.3397420199856</v>
      </c>
      <c r="BJ50" s="100">
        <v>0.93935603734021866</v>
      </c>
      <c r="BK50" s="100">
        <v>264.89840252994168</v>
      </c>
      <c r="BL50" s="100">
        <v>4</v>
      </c>
      <c r="BM50" s="100">
        <v>1128</v>
      </c>
      <c r="BN50" s="100">
        <v>5</v>
      </c>
      <c r="BO50" s="100">
        <v>1410</v>
      </c>
      <c r="BP50" s="100">
        <v>5</v>
      </c>
      <c r="BQ50" s="100">
        <v>1410</v>
      </c>
      <c r="BR50" s="100">
        <v>5</v>
      </c>
      <c r="BS50" s="100">
        <v>1410</v>
      </c>
      <c r="BT50" s="100">
        <v>4.4994879678151793</v>
      </c>
      <c r="BU50" s="100">
        <v>1268.8556069238805</v>
      </c>
      <c r="BV50" s="100">
        <v>4.0027787514178579</v>
      </c>
      <c r="BW50" s="100">
        <v>1128.7836078998359</v>
      </c>
      <c r="BX50" s="100">
        <v>4.5592930214991574</v>
      </c>
      <c r="BY50" s="100">
        <v>1285.7206320627624</v>
      </c>
      <c r="BZ50" s="100">
        <v>4.6992348340305954</v>
      </c>
      <c r="CA50" s="100">
        <v>1325.184223196628</v>
      </c>
      <c r="CB50" s="100">
        <v>3.7963782279724998</v>
      </c>
      <c r="CC50" s="100">
        <v>1070.5786602882449</v>
      </c>
      <c r="CD50" s="100">
        <v>5.1514799614224094</v>
      </c>
      <c r="CE50" s="100">
        <v>1452.7173491211195</v>
      </c>
      <c r="CF50" s="100">
        <v>4.9092462602541236</v>
      </c>
      <c r="CG50" s="100">
        <v>1384.4074453916628</v>
      </c>
      <c r="CH50" s="100">
        <v>6.072854052315952</v>
      </c>
      <c r="CI50" s="100">
        <v>1712.5448427530985</v>
      </c>
      <c r="CJ50" s="100">
        <v>4.8292015195504892</v>
      </c>
      <c r="CK50" s="100">
        <v>1361.8348285132379</v>
      </c>
      <c r="CL50" s="100">
        <v>7.0531463819924447</v>
      </c>
      <c r="CM50" s="100">
        <v>1988.9872797218693</v>
      </c>
      <c r="CN50" s="100">
        <v>5.2706030215601345</v>
      </c>
      <c r="CO50" s="100">
        <v>1486.310052079958</v>
      </c>
      <c r="CP50" s="100">
        <v>6</v>
      </c>
      <c r="CQ50" s="100">
        <v>1692</v>
      </c>
      <c r="CR50" s="100">
        <v>6</v>
      </c>
      <c r="CS50" s="100">
        <v>1692</v>
      </c>
      <c r="CT50" s="100">
        <v>7.38953794826657</v>
      </c>
      <c r="CU50" s="100">
        <v>2083.8497014111726</v>
      </c>
    </row>
    <row r="51" spans="2:99">
      <c r="C51" s="99" t="s">
        <v>217</v>
      </c>
      <c r="D51" s="100">
        <v>4</v>
      </c>
      <c r="E51" s="100">
        <v>3417.6</v>
      </c>
      <c r="F51" s="100">
        <v>4</v>
      </c>
      <c r="G51" s="100">
        <v>3417.6</v>
      </c>
      <c r="H51" s="100">
        <v>6</v>
      </c>
      <c r="I51" s="100">
        <v>5126.3999999999996</v>
      </c>
      <c r="J51" s="100">
        <v>6</v>
      </c>
      <c r="K51" s="100">
        <v>5126.3999999999996</v>
      </c>
      <c r="L51" s="100">
        <v>5</v>
      </c>
      <c r="M51" s="100">
        <v>4272</v>
      </c>
      <c r="N51" s="100">
        <v>4</v>
      </c>
      <c r="O51" s="100">
        <v>3417.6</v>
      </c>
      <c r="P51" s="100">
        <v>6</v>
      </c>
      <c r="Q51" s="100">
        <v>5126.3999999999996</v>
      </c>
      <c r="R51" s="100">
        <v>7</v>
      </c>
      <c r="S51" s="100">
        <v>5980.8</v>
      </c>
      <c r="T51" s="100">
        <v>5</v>
      </c>
      <c r="U51" s="100">
        <v>4272</v>
      </c>
      <c r="V51" s="100">
        <v>7</v>
      </c>
      <c r="W51" s="100">
        <v>5980.8</v>
      </c>
      <c r="X51" s="100">
        <v>7.4595801676298459</v>
      </c>
      <c r="Y51" s="100">
        <v>6373.4652952229399</v>
      </c>
      <c r="Z51" s="100">
        <v>6</v>
      </c>
      <c r="AA51" s="100">
        <v>5126.3999999999996</v>
      </c>
      <c r="AB51" s="100">
        <v>4.3902750294852684</v>
      </c>
      <c r="AC51" s="100">
        <v>3751.0509851922134</v>
      </c>
      <c r="AD51" s="100">
        <v>2.2916543064819246</v>
      </c>
      <c r="AE51" s="100">
        <v>1957.9894394581563</v>
      </c>
      <c r="AF51" s="100">
        <v>4.930147820068755</v>
      </c>
      <c r="AG51" s="100">
        <v>4212.3182974667443</v>
      </c>
      <c r="AH51" s="100">
        <v>1.9001645054213248</v>
      </c>
      <c r="AI51" s="100">
        <v>1623.5005534319798</v>
      </c>
      <c r="AJ51" s="100">
        <v>5.6902602069255694</v>
      </c>
      <c r="AK51" s="100">
        <v>4861.7583207972066</v>
      </c>
      <c r="AL51" s="100">
        <v>4.2448036379279674</v>
      </c>
      <c r="AM51" s="100">
        <v>3626.7602282456551</v>
      </c>
      <c r="AN51" s="100">
        <v>4</v>
      </c>
      <c r="AO51" s="100">
        <v>3417.6</v>
      </c>
      <c r="AP51" s="100">
        <v>4.1817000974662228</v>
      </c>
      <c r="AQ51" s="100">
        <v>3572.8445632751409</v>
      </c>
      <c r="AR51" s="100">
        <v>1.5313787665747041</v>
      </c>
      <c r="AS51" s="100">
        <v>1308.4100181614272</v>
      </c>
      <c r="AT51" s="100">
        <v>2.0570942113745967</v>
      </c>
      <c r="AU51" s="100">
        <v>1757.5812941984555</v>
      </c>
      <c r="AV51" s="100">
        <v>1.1805461156818944</v>
      </c>
      <c r="AW51" s="100">
        <v>1008.6586012386106</v>
      </c>
      <c r="AX51" s="100">
        <v>6</v>
      </c>
      <c r="AY51" s="100">
        <v>5126.3999999999996</v>
      </c>
      <c r="AZ51" s="100">
        <v>4</v>
      </c>
      <c r="BA51" s="100">
        <v>3417.6</v>
      </c>
      <c r="BB51" s="100">
        <v>6</v>
      </c>
      <c r="BC51" s="100">
        <v>5126.3999999999996</v>
      </c>
      <c r="BD51" s="100">
        <v>6</v>
      </c>
      <c r="BE51" s="100">
        <v>5126.3999999999996</v>
      </c>
      <c r="BF51" s="100">
        <v>5</v>
      </c>
      <c r="BG51" s="100">
        <v>4272</v>
      </c>
      <c r="BH51" s="100">
        <v>6.1723987648344734</v>
      </c>
      <c r="BI51" s="100">
        <v>5273.6975046745738</v>
      </c>
      <c r="BJ51" s="100">
        <v>0.93935603734021866</v>
      </c>
      <c r="BK51" s="100">
        <v>802.58579830348276</v>
      </c>
      <c r="BL51" s="100">
        <v>4</v>
      </c>
      <c r="BM51" s="100">
        <v>3417.6</v>
      </c>
      <c r="BN51" s="100">
        <v>4</v>
      </c>
      <c r="BO51" s="100">
        <v>3417.6</v>
      </c>
      <c r="BP51" s="100">
        <v>5</v>
      </c>
      <c r="BQ51" s="100">
        <v>4272</v>
      </c>
      <c r="BR51" s="100">
        <v>4</v>
      </c>
      <c r="BS51" s="100">
        <v>3417.6</v>
      </c>
      <c r="BT51" s="100">
        <v>4.5494367645966971</v>
      </c>
      <c r="BU51" s="100">
        <v>3887.0387716714181</v>
      </c>
      <c r="BV51" s="100">
        <v>3.3416118745680565</v>
      </c>
      <c r="BW51" s="100">
        <v>2855.0731856309476</v>
      </c>
      <c r="BX51" s="100">
        <v>4.544326356931057</v>
      </c>
      <c r="BY51" s="100">
        <v>3882.6724393618952</v>
      </c>
      <c r="BZ51" s="100">
        <v>5.4698205979950076</v>
      </c>
      <c r="CA51" s="100">
        <v>4673.4147189269343</v>
      </c>
      <c r="CB51" s="100">
        <v>3.7963782279724998</v>
      </c>
      <c r="CC51" s="100">
        <v>3243.6255579797039</v>
      </c>
      <c r="CD51" s="100">
        <v>5.1514799614224094</v>
      </c>
      <c r="CE51" s="100">
        <v>4401.4244790393068</v>
      </c>
      <c r="CF51" s="100">
        <v>4.9092462602541236</v>
      </c>
      <c r="CG51" s="100">
        <v>4194.4600047611229</v>
      </c>
      <c r="CH51" s="100">
        <v>5.0647591576141799</v>
      </c>
      <c r="CI51" s="100">
        <v>4327.3302242655554</v>
      </c>
      <c r="CJ51" s="100">
        <v>4.0243345996254076</v>
      </c>
      <c r="CK51" s="100">
        <v>3438.3914819199481</v>
      </c>
      <c r="CL51" s="100">
        <v>6.0465030842433887</v>
      </c>
      <c r="CM51" s="100">
        <v>5166.1322351775516</v>
      </c>
      <c r="CN51" s="100">
        <v>4.5176597327658294</v>
      </c>
      <c r="CO51" s="100">
        <v>3859.8884756751245</v>
      </c>
      <c r="CP51" s="100">
        <v>6</v>
      </c>
      <c r="CQ51" s="100">
        <v>5126.3999999999996</v>
      </c>
      <c r="CR51" s="100">
        <v>7</v>
      </c>
      <c r="CS51" s="100">
        <v>5980.8</v>
      </c>
      <c r="CT51" s="100">
        <v>6.3408457047332494</v>
      </c>
      <c r="CU51" s="100">
        <v>5417.6185701240884</v>
      </c>
    </row>
    <row r="52" spans="2:99">
      <c r="C52" s="99" t="s">
        <v>218</v>
      </c>
      <c r="D52" s="100">
        <v>4</v>
      </c>
      <c r="E52" s="100">
        <v>2160</v>
      </c>
      <c r="F52" s="100">
        <v>4</v>
      </c>
      <c r="G52" s="100">
        <v>2160</v>
      </c>
      <c r="H52" s="100">
        <v>6</v>
      </c>
      <c r="I52" s="100">
        <v>3240</v>
      </c>
      <c r="J52" s="100">
        <v>7</v>
      </c>
      <c r="K52" s="100">
        <v>3780</v>
      </c>
      <c r="L52" s="100">
        <v>5</v>
      </c>
      <c r="M52" s="100">
        <v>2700</v>
      </c>
      <c r="N52" s="100">
        <v>5</v>
      </c>
      <c r="O52" s="100">
        <v>2700</v>
      </c>
      <c r="P52" s="100">
        <v>6</v>
      </c>
      <c r="Q52" s="100">
        <v>3240</v>
      </c>
      <c r="R52" s="100">
        <v>7</v>
      </c>
      <c r="S52" s="100">
        <v>3780</v>
      </c>
      <c r="T52" s="100">
        <v>5</v>
      </c>
      <c r="U52" s="100">
        <v>2700</v>
      </c>
      <c r="V52" s="100">
        <v>7</v>
      </c>
      <c r="W52" s="100">
        <v>3780</v>
      </c>
      <c r="X52" s="100">
        <v>7.4595801676298459</v>
      </c>
      <c r="Y52" s="100">
        <v>4028.1732905201166</v>
      </c>
      <c r="Z52" s="100">
        <v>6</v>
      </c>
      <c r="AA52" s="100">
        <v>3240</v>
      </c>
      <c r="AB52" s="100">
        <v>4.3414906507996101</v>
      </c>
      <c r="AC52" s="100">
        <v>2344.4049514317894</v>
      </c>
      <c r="AD52" s="100">
        <v>2.2916543064819246</v>
      </c>
      <c r="AE52" s="100">
        <v>1237.4933255002393</v>
      </c>
      <c r="AF52" s="100">
        <v>4.9760929703305106</v>
      </c>
      <c r="AG52" s="100">
        <v>2687.0902039784755</v>
      </c>
      <c r="AH52" s="100">
        <v>1.9001645054213248</v>
      </c>
      <c r="AI52" s="100">
        <v>1026.0888329275153</v>
      </c>
      <c r="AJ52" s="100">
        <v>5.6902602069255694</v>
      </c>
      <c r="AK52" s="100">
        <v>3072.7405117398075</v>
      </c>
      <c r="AL52" s="100">
        <v>5.0937643655135609</v>
      </c>
      <c r="AM52" s="100">
        <v>2750.6327573773228</v>
      </c>
      <c r="AN52" s="100">
        <v>4</v>
      </c>
      <c r="AO52" s="100">
        <v>2160</v>
      </c>
      <c r="AP52" s="100">
        <v>4.1817000974662228</v>
      </c>
      <c r="AQ52" s="100">
        <v>2258.1180526317603</v>
      </c>
      <c r="AR52" s="100">
        <v>1.548813854874223</v>
      </c>
      <c r="AS52" s="100">
        <v>836.35948163208036</v>
      </c>
      <c r="AT52" s="100">
        <v>2.5334659276460956</v>
      </c>
      <c r="AU52" s="100">
        <v>1368.0716009288917</v>
      </c>
      <c r="AV52" s="100">
        <v>1.1805461156818944</v>
      </c>
      <c r="AW52" s="100">
        <v>637.49490246822302</v>
      </c>
      <c r="AX52" s="100">
        <v>6</v>
      </c>
      <c r="AY52" s="100">
        <v>3240</v>
      </c>
      <c r="AZ52" s="100">
        <v>4</v>
      </c>
      <c r="BA52" s="100">
        <v>2160</v>
      </c>
      <c r="BB52" s="100">
        <v>7</v>
      </c>
      <c r="BC52" s="100">
        <v>3780</v>
      </c>
      <c r="BD52" s="100">
        <v>5</v>
      </c>
      <c r="BE52" s="100">
        <v>2700</v>
      </c>
      <c r="BF52" s="100">
        <v>5</v>
      </c>
      <c r="BG52" s="100">
        <v>2700</v>
      </c>
      <c r="BH52" s="100">
        <v>6.2068785178013677</v>
      </c>
      <c r="BI52" s="100">
        <v>3351.7143996127384</v>
      </c>
      <c r="BJ52" s="100">
        <v>1.1272272448082625</v>
      </c>
      <c r="BK52" s="100">
        <v>608.70271219646179</v>
      </c>
      <c r="BL52" s="100">
        <v>4</v>
      </c>
      <c r="BM52" s="100">
        <v>2160</v>
      </c>
      <c r="BN52" s="100">
        <v>4</v>
      </c>
      <c r="BO52" s="100">
        <v>2160</v>
      </c>
      <c r="BP52" s="100">
        <v>5</v>
      </c>
      <c r="BQ52" s="100">
        <v>2700</v>
      </c>
      <c r="BR52" s="100">
        <v>5</v>
      </c>
      <c r="BS52" s="100">
        <v>2700</v>
      </c>
      <c r="BT52" s="100">
        <v>4.5494367645966971</v>
      </c>
      <c r="BU52" s="100">
        <v>2456.6958528822165</v>
      </c>
      <c r="BV52" s="100">
        <v>3.3595006197275832</v>
      </c>
      <c r="BW52" s="100">
        <v>1814.1303346528948</v>
      </c>
      <c r="BX52" s="100">
        <v>4.544326356931057</v>
      </c>
      <c r="BY52" s="100">
        <v>2453.9362327427707</v>
      </c>
      <c r="BZ52" s="100">
        <v>5.4698205979950076</v>
      </c>
      <c r="CA52" s="100">
        <v>2953.703122917304</v>
      </c>
      <c r="CB52" s="100">
        <v>3.7963782279724998</v>
      </c>
      <c r="CC52" s="100">
        <v>2050.0442431051497</v>
      </c>
      <c r="CD52" s="100">
        <v>4</v>
      </c>
      <c r="CE52" s="100">
        <v>2160</v>
      </c>
      <c r="CF52" s="100">
        <v>5.7274539702964775</v>
      </c>
      <c r="CG52" s="100">
        <v>3092.8251439600976</v>
      </c>
      <c r="CH52" s="100">
        <v>5.072854052315952</v>
      </c>
      <c r="CI52" s="100">
        <v>2739.3411882506139</v>
      </c>
      <c r="CJ52" s="100">
        <v>4.0243345996254076</v>
      </c>
      <c r="CK52" s="100">
        <v>2173.1406837977202</v>
      </c>
      <c r="CL52" s="100">
        <v>7.0531463819924447</v>
      </c>
      <c r="CM52" s="100">
        <v>3808.69904627592</v>
      </c>
      <c r="CN52" s="100">
        <v>4.5176597327658294</v>
      </c>
      <c r="CO52" s="100">
        <v>2439.5362556935479</v>
      </c>
      <c r="CP52" s="100">
        <v>7</v>
      </c>
      <c r="CQ52" s="100">
        <v>3780</v>
      </c>
      <c r="CR52" s="100">
        <v>6</v>
      </c>
      <c r="CS52" s="100">
        <v>3240</v>
      </c>
      <c r="CT52" s="100">
        <v>6.38953794826657</v>
      </c>
      <c r="CU52" s="100">
        <v>3450.350492063948</v>
      </c>
    </row>
    <row r="53" spans="2:99">
      <c r="C53" s="99" t="s">
        <v>219</v>
      </c>
      <c r="D53" s="100">
        <v>3</v>
      </c>
      <c r="E53" s="100">
        <v>1220.4000000000001</v>
      </c>
      <c r="F53" s="100">
        <v>4</v>
      </c>
      <c r="G53" s="100">
        <v>1627.2</v>
      </c>
      <c r="H53" s="100">
        <v>6</v>
      </c>
      <c r="I53" s="100">
        <v>2440.8000000000002</v>
      </c>
      <c r="J53" s="100">
        <v>6</v>
      </c>
      <c r="K53" s="100">
        <v>2440.8000000000002</v>
      </c>
      <c r="L53" s="100">
        <v>6</v>
      </c>
      <c r="M53" s="100">
        <v>2440.8000000000002</v>
      </c>
      <c r="N53" s="100">
        <v>4</v>
      </c>
      <c r="O53" s="100">
        <v>1627.2</v>
      </c>
      <c r="P53" s="100">
        <v>7</v>
      </c>
      <c r="Q53" s="100">
        <v>2847.6</v>
      </c>
      <c r="R53" s="100">
        <v>6</v>
      </c>
      <c r="S53" s="100">
        <v>2440.8000000000002</v>
      </c>
      <c r="T53" s="100">
        <v>5</v>
      </c>
      <c r="U53" s="100">
        <v>2034</v>
      </c>
      <c r="V53" s="100">
        <v>7</v>
      </c>
      <c r="W53" s="100">
        <v>2847.6</v>
      </c>
      <c r="X53" s="100">
        <v>6.4595801676298459</v>
      </c>
      <c r="Y53" s="100">
        <v>2627.7572121918215</v>
      </c>
      <c r="Z53" s="100">
        <v>6</v>
      </c>
      <c r="AA53" s="100">
        <v>2440.8000000000002</v>
      </c>
      <c r="AB53" s="100">
        <v>4.3902750294852684</v>
      </c>
      <c r="AC53" s="100">
        <v>1785.9638819946072</v>
      </c>
      <c r="AD53" s="100">
        <v>2.864567883102406</v>
      </c>
      <c r="AE53" s="100">
        <v>1165.3062148460588</v>
      </c>
      <c r="AF53" s="100">
        <v>4.9760929703305106</v>
      </c>
      <c r="AG53" s="100">
        <v>2024.2746203304519</v>
      </c>
      <c r="AH53" s="100">
        <v>2.2801974065055894</v>
      </c>
      <c r="AI53" s="100">
        <v>927.58430496647384</v>
      </c>
      <c r="AJ53" s="100">
        <v>6.6386369080798309</v>
      </c>
      <c r="AK53" s="100">
        <v>2700.5974942068751</v>
      </c>
      <c r="AL53" s="100">
        <v>5.9427250930991544</v>
      </c>
      <c r="AM53" s="100">
        <v>2417.5005678727362</v>
      </c>
      <c r="AN53" s="100">
        <v>4</v>
      </c>
      <c r="AO53" s="100">
        <v>1627.2</v>
      </c>
      <c r="AP53" s="100">
        <v>4.2076572542471116</v>
      </c>
      <c r="AQ53" s="100">
        <v>1711.674971027725</v>
      </c>
      <c r="AR53" s="100">
        <v>1.8837120536942225</v>
      </c>
      <c r="AS53" s="100">
        <v>766.29406344280972</v>
      </c>
      <c r="AT53" s="100">
        <v>2.0760451296606726</v>
      </c>
      <c r="AU53" s="100">
        <v>844.53515874596167</v>
      </c>
      <c r="AV53" s="100">
        <v>1.1805461156818944</v>
      </c>
      <c r="AW53" s="100">
        <v>480.24615985939465</v>
      </c>
      <c r="AX53" s="100">
        <v>6</v>
      </c>
      <c r="AY53" s="100">
        <v>2440.8000000000002</v>
      </c>
      <c r="AZ53" s="100">
        <v>4</v>
      </c>
      <c r="BA53" s="100">
        <v>1627.2</v>
      </c>
      <c r="BB53" s="100">
        <v>7</v>
      </c>
      <c r="BC53" s="100">
        <v>2847.6</v>
      </c>
      <c r="BD53" s="100">
        <v>6</v>
      </c>
      <c r="BE53" s="100">
        <v>2440.8000000000002</v>
      </c>
      <c r="BF53" s="100">
        <v>4</v>
      </c>
      <c r="BG53" s="100">
        <v>1627.2</v>
      </c>
      <c r="BH53" s="100">
        <v>7.2068785178013677</v>
      </c>
      <c r="BI53" s="100">
        <v>2931.7581810415963</v>
      </c>
      <c r="BJ53" s="100">
        <v>1.1272272448082625</v>
      </c>
      <c r="BK53" s="100">
        <v>458.55604318800118</v>
      </c>
      <c r="BL53" s="100">
        <v>4</v>
      </c>
      <c r="BM53" s="100">
        <v>1627.2</v>
      </c>
      <c r="BN53" s="100">
        <v>5</v>
      </c>
      <c r="BO53" s="100">
        <v>2034</v>
      </c>
      <c r="BP53" s="100">
        <v>6</v>
      </c>
      <c r="BQ53" s="100">
        <v>2440.8000000000002</v>
      </c>
      <c r="BR53" s="100">
        <v>5</v>
      </c>
      <c r="BS53" s="100">
        <v>2034</v>
      </c>
      <c r="BT53" s="100">
        <v>4.5494367645966971</v>
      </c>
      <c r="BU53" s="100">
        <v>1850.7108758379363</v>
      </c>
      <c r="BV53" s="100">
        <v>4.0027787514178579</v>
      </c>
      <c r="BW53" s="100">
        <v>1628.3303960767846</v>
      </c>
      <c r="BX53" s="100">
        <v>4.544326356931057</v>
      </c>
      <c r="BY53" s="100">
        <v>1848.6319619995541</v>
      </c>
      <c r="BZ53" s="100">
        <v>5.4756452326291702</v>
      </c>
      <c r="CA53" s="100">
        <v>2227.4924806335466</v>
      </c>
      <c r="CB53" s="100">
        <v>3.1636485233104166</v>
      </c>
      <c r="CC53" s="100">
        <v>1286.9722192826775</v>
      </c>
      <c r="CD53" s="100">
        <v>5.1514799614224094</v>
      </c>
      <c r="CE53" s="100">
        <v>2095.6220483066363</v>
      </c>
      <c r="CF53" s="100">
        <v>4.9092462602541236</v>
      </c>
      <c r="CG53" s="100">
        <v>1997.0813786713775</v>
      </c>
      <c r="CH53" s="100">
        <v>6.072854052315952</v>
      </c>
      <c r="CI53" s="100">
        <v>2470.4370284821293</v>
      </c>
      <c r="CJ53" s="100">
        <v>4.0243345996254076</v>
      </c>
      <c r="CK53" s="100">
        <v>1637.0993151276159</v>
      </c>
      <c r="CL53" s="100">
        <v>6.0465030842433887</v>
      </c>
      <c r="CM53" s="100">
        <v>2459.7174546702104</v>
      </c>
      <c r="CN53" s="100">
        <v>4.5176597327658294</v>
      </c>
      <c r="CO53" s="100">
        <v>1837.7839792891396</v>
      </c>
      <c r="CP53" s="100">
        <v>7</v>
      </c>
      <c r="CQ53" s="100">
        <v>2847.6</v>
      </c>
      <c r="CR53" s="100">
        <v>7</v>
      </c>
      <c r="CS53" s="100">
        <v>2847.6</v>
      </c>
      <c r="CT53" s="100">
        <v>6.38953794826657</v>
      </c>
      <c r="CU53" s="100">
        <v>2599.2640373548406</v>
      </c>
    </row>
    <row r="54" spans="2:99">
      <c r="C54" s="99" t="s">
        <v>220</v>
      </c>
      <c r="D54" s="100">
        <v>4</v>
      </c>
      <c r="E54" s="100">
        <v>1339.2</v>
      </c>
      <c r="F54" s="100">
        <v>4</v>
      </c>
      <c r="G54" s="100">
        <v>1339.2</v>
      </c>
      <c r="H54" s="100">
        <v>6</v>
      </c>
      <c r="I54" s="100">
        <v>2008.8000000000002</v>
      </c>
      <c r="J54" s="100">
        <v>6</v>
      </c>
      <c r="K54" s="100">
        <v>2008.8000000000002</v>
      </c>
      <c r="L54" s="100">
        <v>5</v>
      </c>
      <c r="M54" s="100">
        <v>1674</v>
      </c>
      <c r="N54" s="100">
        <v>4</v>
      </c>
      <c r="O54" s="100">
        <v>1339.2</v>
      </c>
      <c r="P54" s="100">
        <v>6</v>
      </c>
      <c r="Q54" s="100">
        <v>2008.8000000000002</v>
      </c>
      <c r="R54" s="100">
        <v>6</v>
      </c>
      <c r="S54" s="100">
        <v>2008.8000000000002</v>
      </c>
      <c r="T54" s="100">
        <v>5</v>
      </c>
      <c r="U54" s="100">
        <v>1674</v>
      </c>
      <c r="V54" s="100">
        <v>8</v>
      </c>
      <c r="W54" s="100">
        <v>2678.4</v>
      </c>
      <c r="X54" s="100">
        <v>7.4136221508668614</v>
      </c>
      <c r="Y54" s="100">
        <v>2482.0806961102253</v>
      </c>
      <c r="Z54" s="100">
        <v>7</v>
      </c>
      <c r="AA54" s="100">
        <v>2343.6</v>
      </c>
      <c r="AB54" s="100">
        <v>4.3414906507996101</v>
      </c>
      <c r="AC54" s="100">
        <v>1453.5310698877095</v>
      </c>
      <c r="AD54" s="100">
        <v>2.864567883102406</v>
      </c>
      <c r="AE54" s="100">
        <v>959.05732726268559</v>
      </c>
      <c r="AF54" s="100">
        <v>4.930147820068755</v>
      </c>
      <c r="AG54" s="100">
        <v>1650.6134901590192</v>
      </c>
      <c r="AH54" s="100">
        <v>1.9001645054213248</v>
      </c>
      <c r="AI54" s="100">
        <v>636.17507641505949</v>
      </c>
      <c r="AJ54" s="100">
        <v>6.6386369080798309</v>
      </c>
      <c r="AK54" s="100">
        <v>2222.6156368251272</v>
      </c>
      <c r="AL54" s="100">
        <v>5.0937643655135609</v>
      </c>
      <c r="AM54" s="100">
        <v>1705.3923095739403</v>
      </c>
      <c r="AN54" s="100">
        <v>4</v>
      </c>
      <c r="AO54" s="100">
        <v>1339.2</v>
      </c>
      <c r="AP54" s="100">
        <v>4.1817000974662228</v>
      </c>
      <c r="AQ54" s="100">
        <v>1400.0331926316915</v>
      </c>
      <c r="AR54" s="100">
        <v>1.548813854874223</v>
      </c>
      <c r="AS54" s="100">
        <v>518.54287861188982</v>
      </c>
      <c r="AT54" s="100">
        <v>2.0570942113745967</v>
      </c>
      <c r="AU54" s="100">
        <v>688.71514196821499</v>
      </c>
      <c r="AV54" s="100">
        <v>1.1805461156818944</v>
      </c>
      <c r="AW54" s="100">
        <v>395.24683953029825</v>
      </c>
      <c r="AX54" s="100">
        <v>6</v>
      </c>
      <c r="AY54" s="100">
        <v>2008.8000000000002</v>
      </c>
      <c r="AZ54" s="100">
        <v>4</v>
      </c>
      <c r="BA54" s="100">
        <v>1339.2</v>
      </c>
      <c r="BB54" s="100">
        <v>6</v>
      </c>
      <c r="BC54" s="100">
        <v>2008.8000000000002</v>
      </c>
      <c r="BD54" s="100">
        <v>6</v>
      </c>
      <c r="BE54" s="100">
        <v>2008.8000000000002</v>
      </c>
      <c r="BF54" s="100">
        <v>5</v>
      </c>
      <c r="BG54" s="100">
        <v>1674</v>
      </c>
      <c r="BH54" s="100">
        <v>6.2413582707682629</v>
      </c>
      <c r="BI54" s="100">
        <v>2089.6067490532146</v>
      </c>
      <c r="BJ54" s="100">
        <v>1.1272272448082625</v>
      </c>
      <c r="BK54" s="100">
        <v>377.39568156180633</v>
      </c>
      <c r="BL54" s="100">
        <v>4</v>
      </c>
      <c r="BM54" s="100">
        <v>1339.2</v>
      </c>
      <c r="BN54" s="100">
        <v>5</v>
      </c>
      <c r="BO54" s="100">
        <v>1674</v>
      </c>
      <c r="BP54" s="100">
        <v>6</v>
      </c>
      <c r="BQ54" s="100">
        <v>2008.8000000000002</v>
      </c>
      <c r="BR54" s="100">
        <v>5</v>
      </c>
      <c r="BS54" s="100">
        <v>1674</v>
      </c>
      <c r="BT54" s="100">
        <v>4.5494367645966971</v>
      </c>
      <c r="BU54" s="100">
        <v>1523.1514287869743</v>
      </c>
      <c r="BV54" s="100">
        <v>3.3416118745680565</v>
      </c>
      <c r="BW54" s="100">
        <v>1118.7716556053854</v>
      </c>
      <c r="BX54" s="100">
        <v>4.5592930214991574</v>
      </c>
      <c r="BY54" s="100">
        <v>1526.451303597918</v>
      </c>
      <c r="BZ54" s="100">
        <v>5.4698205979950076</v>
      </c>
      <c r="CA54" s="100">
        <v>1831.2959362087286</v>
      </c>
      <c r="CB54" s="100">
        <v>3.1636485233104166</v>
      </c>
      <c r="CC54" s="100">
        <v>1059.1895256043274</v>
      </c>
      <c r="CD54" s="100">
        <v>5.1514799614224094</v>
      </c>
      <c r="CE54" s="100">
        <v>1724.7154910842228</v>
      </c>
      <c r="CF54" s="100">
        <v>5.7274539702964775</v>
      </c>
      <c r="CG54" s="100">
        <v>1917.5515892552608</v>
      </c>
      <c r="CH54" s="100">
        <v>5.072854052315952</v>
      </c>
      <c r="CI54" s="100">
        <v>1698.3915367153809</v>
      </c>
      <c r="CJ54" s="100">
        <v>4.0243345996254076</v>
      </c>
      <c r="CK54" s="100">
        <v>1347.3472239545865</v>
      </c>
      <c r="CL54" s="100">
        <v>7.0465030842433887</v>
      </c>
      <c r="CM54" s="100">
        <v>2359.1692326046864</v>
      </c>
      <c r="CN54" s="100">
        <v>4.5176597327658294</v>
      </c>
      <c r="CO54" s="100">
        <v>1512.5124785299997</v>
      </c>
      <c r="CP54" s="100">
        <v>6</v>
      </c>
      <c r="CQ54" s="100">
        <v>2008.8000000000002</v>
      </c>
      <c r="CR54" s="100">
        <v>7</v>
      </c>
      <c r="CS54" s="100">
        <v>2343.6</v>
      </c>
      <c r="CT54" s="100">
        <v>6.3408457047332494</v>
      </c>
      <c r="CU54" s="100">
        <v>2122.9151419446921</v>
      </c>
    </row>
    <row r="55" spans="2:99">
      <c r="C55" s="99" t="s">
        <v>221</v>
      </c>
      <c r="D55" s="100">
        <v>4</v>
      </c>
      <c r="E55" s="100">
        <v>2654.4</v>
      </c>
      <c r="F55" s="100">
        <v>4</v>
      </c>
      <c r="G55" s="100">
        <v>2654.4</v>
      </c>
      <c r="H55" s="100">
        <v>6</v>
      </c>
      <c r="I55" s="100">
        <v>3981.6000000000004</v>
      </c>
      <c r="J55" s="100">
        <v>6</v>
      </c>
      <c r="K55" s="100">
        <v>3981.6000000000004</v>
      </c>
      <c r="L55" s="100">
        <v>6</v>
      </c>
      <c r="M55" s="100">
        <v>3981.6000000000004</v>
      </c>
      <c r="N55" s="100">
        <v>4</v>
      </c>
      <c r="O55" s="100">
        <v>2654.4</v>
      </c>
      <c r="P55" s="100">
        <v>6</v>
      </c>
      <c r="Q55" s="100">
        <v>3981.6000000000004</v>
      </c>
      <c r="R55" s="100">
        <v>6</v>
      </c>
      <c r="S55" s="100">
        <v>3981.6000000000004</v>
      </c>
      <c r="T55" s="100">
        <v>5</v>
      </c>
      <c r="U55" s="100">
        <v>3318</v>
      </c>
      <c r="V55" s="100">
        <v>7</v>
      </c>
      <c r="W55" s="100">
        <v>4645.2</v>
      </c>
      <c r="X55" s="100">
        <v>6.4595801676298459</v>
      </c>
      <c r="Y55" s="100">
        <v>4286.577399239166</v>
      </c>
      <c r="Z55" s="100">
        <v>6</v>
      </c>
      <c r="AA55" s="100">
        <v>3981.6000000000004</v>
      </c>
      <c r="AB55" s="100">
        <v>4.3902750294852684</v>
      </c>
      <c r="AC55" s="100">
        <v>2913.3865095664241</v>
      </c>
      <c r="AD55" s="100">
        <v>2.864567883102406</v>
      </c>
      <c r="AE55" s="100">
        <v>1900.9272472267567</v>
      </c>
      <c r="AF55" s="100">
        <v>4.930147820068755</v>
      </c>
      <c r="AG55" s="100">
        <v>3271.6460933976259</v>
      </c>
      <c r="AH55" s="100">
        <v>2.2801974065055894</v>
      </c>
      <c r="AI55" s="100">
        <v>1513.1389989571092</v>
      </c>
      <c r="AJ55" s="100">
        <v>5.6902602069255694</v>
      </c>
      <c r="AK55" s="100">
        <v>3776.056673315808</v>
      </c>
      <c r="AL55" s="100">
        <v>5.0937643655135609</v>
      </c>
      <c r="AM55" s="100">
        <v>3380.222032954799</v>
      </c>
      <c r="AN55" s="100">
        <v>4</v>
      </c>
      <c r="AO55" s="100">
        <v>2654.4</v>
      </c>
      <c r="AP55" s="100">
        <v>4.2076572542471116</v>
      </c>
      <c r="AQ55" s="100">
        <v>2792.2013539183831</v>
      </c>
      <c r="AR55" s="100">
        <v>1.9011471419937414</v>
      </c>
      <c r="AS55" s="100">
        <v>1261.6012434270467</v>
      </c>
      <c r="AT55" s="100">
        <v>2.5334659276460956</v>
      </c>
      <c r="AU55" s="100">
        <v>1681.207989585949</v>
      </c>
      <c r="AV55" s="100">
        <v>1.4166553388182732</v>
      </c>
      <c r="AW55" s="100">
        <v>940.09248283980617</v>
      </c>
      <c r="AX55" s="100">
        <v>6</v>
      </c>
      <c r="AY55" s="100">
        <v>3981.6000000000004</v>
      </c>
      <c r="AZ55" s="100">
        <v>4</v>
      </c>
      <c r="BA55" s="100">
        <v>2654.4</v>
      </c>
      <c r="BB55" s="100">
        <v>6</v>
      </c>
      <c r="BC55" s="100">
        <v>3981.6000000000004</v>
      </c>
      <c r="BD55" s="100">
        <v>6</v>
      </c>
      <c r="BE55" s="100">
        <v>3981.6000000000004</v>
      </c>
      <c r="BF55" s="100">
        <v>5</v>
      </c>
      <c r="BG55" s="100">
        <v>3318</v>
      </c>
      <c r="BH55" s="100">
        <v>6.1723987648344734</v>
      </c>
      <c r="BI55" s="100">
        <v>4096.0038203441563</v>
      </c>
      <c r="BJ55" s="100">
        <v>0.93935603734021866</v>
      </c>
      <c r="BK55" s="100">
        <v>623.35666637896918</v>
      </c>
      <c r="BL55" s="100">
        <v>4</v>
      </c>
      <c r="BM55" s="100">
        <v>2654.4</v>
      </c>
      <c r="BN55" s="100">
        <v>4</v>
      </c>
      <c r="BO55" s="100">
        <v>2654.4</v>
      </c>
      <c r="BP55" s="100">
        <v>5</v>
      </c>
      <c r="BQ55" s="100">
        <v>3318</v>
      </c>
      <c r="BR55" s="100">
        <v>5</v>
      </c>
      <c r="BS55" s="100">
        <v>3318</v>
      </c>
      <c r="BT55" s="100">
        <v>4.4994879678151793</v>
      </c>
      <c r="BU55" s="100">
        <v>2985.8602154421533</v>
      </c>
      <c r="BV55" s="100">
        <v>3.3595006197275832</v>
      </c>
      <c r="BW55" s="100">
        <v>2229.3646112512242</v>
      </c>
      <c r="BX55" s="100">
        <v>4.544326356931057</v>
      </c>
      <c r="BY55" s="100">
        <v>3015.6149704594495</v>
      </c>
      <c r="BZ55" s="100">
        <v>4.6934101993964319</v>
      </c>
      <c r="CA55" s="100">
        <v>3114.5470083194723</v>
      </c>
      <c r="CB55" s="100">
        <v>3.7963782279724998</v>
      </c>
      <c r="CC55" s="100">
        <v>2519.2765920825509</v>
      </c>
      <c r="CD55" s="100">
        <v>5.1377090558385534</v>
      </c>
      <c r="CE55" s="100">
        <v>3409.3837294544642</v>
      </c>
      <c r="CF55" s="100">
        <v>4.9092462602541236</v>
      </c>
      <c r="CG55" s="100">
        <v>3257.7758183046367</v>
      </c>
      <c r="CH55" s="100">
        <v>5.072854052315952</v>
      </c>
      <c r="CI55" s="100">
        <v>3366.345949116866</v>
      </c>
      <c r="CJ55" s="100">
        <v>4.0243345996254076</v>
      </c>
      <c r="CK55" s="100">
        <v>2670.5484403114206</v>
      </c>
      <c r="CL55" s="100">
        <v>6.0465030842433887</v>
      </c>
      <c r="CM55" s="100">
        <v>4012.4594467039128</v>
      </c>
      <c r="CN55" s="100">
        <v>5.2706030215601345</v>
      </c>
      <c r="CO55" s="100">
        <v>3497.5721651073054</v>
      </c>
      <c r="CP55" s="100">
        <v>7</v>
      </c>
      <c r="CQ55" s="100">
        <v>4645.2</v>
      </c>
      <c r="CR55" s="100">
        <v>6</v>
      </c>
      <c r="CS55" s="100">
        <v>3981.6000000000004</v>
      </c>
      <c r="CT55" s="100">
        <v>6.3408457047332494</v>
      </c>
      <c r="CU55" s="100">
        <v>4207.785209660984</v>
      </c>
    </row>
    <row r="56" spans="2:99">
      <c r="C56" s="99" t="s">
        <v>222</v>
      </c>
      <c r="D56" s="100">
        <v>3</v>
      </c>
      <c r="E56" s="100">
        <v>2944.7999999999997</v>
      </c>
      <c r="F56" s="100">
        <v>4.0200036912223389</v>
      </c>
      <c r="G56" s="100">
        <v>3946.0356233038474</v>
      </c>
      <c r="H56" s="100">
        <v>5.4739235123973407</v>
      </c>
      <c r="I56" s="100">
        <v>5373.203319769229</v>
      </c>
      <c r="J56" s="100">
        <v>6</v>
      </c>
      <c r="K56" s="100">
        <v>5889.5999999999995</v>
      </c>
      <c r="L56" s="100">
        <v>6.1695290858725764</v>
      </c>
      <c r="M56" s="100">
        <v>6056.0097506925204</v>
      </c>
      <c r="N56" s="100">
        <v>4</v>
      </c>
      <c r="O56" s="100">
        <v>3926.3999999999996</v>
      </c>
      <c r="P56" s="100">
        <v>6.2885727065657502</v>
      </c>
      <c r="Q56" s="100">
        <v>6172.86296876494</v>
      </c>
      <c r="R56" s="100">
        <v>7</v>
      </c>
      <c r="S56" s="100">
        <v>6871.1999999999989</v>
      </c>
      <c r="T56" s="100">
        <v>5.2294758002372168</v>
      </c>
      <c r="U56" s="100">
        <v>5133.2534455128516</v>
      </c>
      <c r="V56" s="100">
        <v>6.5332201686112041</v>
      </c>
      <c r="W56" s="100">
        <v>6413.0089175087578</v>
      </c>
      <c r="X56" s="100">
        <v>7.0082928807366605</v>
      </c>
      <c r="Y56" s="100">
        <v>6879.340291731105</v>
      </c>
      <c r="Z56" s="100">
        <v>6</v>
      </c>
      <c r="AA56" s="100">
        <v>5889.5999999999995</v>
      </c>
      <c r="AB56" s="100">
        <v>3</v>
      </c>
      <c r="AC56" s="100">
        <v>2944.7999999999997</v>
      </c>
      <c r="AD56" s="100">
        <v>4.1180196005917109</v>
      </c>
      <c r="AE56" s="100">
        <v>4042.2480399408232</v>
      </c>
      <c r="AF56" s="100">
        <v>5.1679508174716098</v>
      </c>
      <c r="AG56" s="100">
        <v>5072.8605224301318</v>
      </c>
      <c r="AH56" s="100">
        <v>6.1446768007614567</v>
      </c>
      <c r="AI56" s="100">
        <v>6031.6147476274455</v>
      </c>
      <c r="AJ56" s="100">
        <v>6.1388888888888893</v>
      </c>
      <c r="AK56" s="100">
        <v>6025.9333333333334</v>
      </c>
      <c r="AL56" s="100">
        <v>6.0269520412207696</v>
      </c>
      <c r="AM56" s="100">
        <v>5916.0561236623071</v>
      </c>
      <c r="AN56" s="100">
        <v>4</v>
      </c>
      <c r="AO56" s="100">
        <v>3926.3999999999996</v>
      </c>
      <c r="AP56" s="100">
        <v>4.2283633035220536</v>
      </c>
      <c r="AQ56" s="100">
        <v>4150.5614187372475</v>
      </c>
      <c r="AR56" s="100">
        <v>4</v>
      </c>
      <c r="AS56" s="100">
        <v>3926.3999999999996</v>
      </c>
      <c r="AT56" s="100">
        <v>4</v>
      </c>
      <c r="AU56" s="100">
        <v>3926.3999999999996</v>
      </c>
      <c r="AV56" s="100">
        <v>5</v>
      </c>
      <c r="AW56" s="100">
        <v>4908</v>
      </c>
      <c r="AX56" s="100">
        <v>2.929133963692736</v>
      </c>
      <c r="AY56" s="100">
        <v>2875.2378987607894</v>
      </c>
      <c r="AZ56" s="100">
        <v>3.2012386187408356E-4</v>
      </c>
      <c r="BA56" s="100">
        <v>0.31423358281560038</v>
      </c>
      <c r="BB56" s="100">
        <v>4.2256349767379035E-4</v>
      </c>
      <c r="BC56" s="100">
        <v>0.41478832931659254</v>
      </c>
      <c r="BD56" s="100">
        <v>3.4553597312478524E-4</v>
      </c>
      <c r="BE56" s="100">
        <v>0.33917811121928915</v>
      </c>
      <c r="BF56" s="100">
        <v>1.7460900129935575</v>
      </c>
      <c r="BG56" s="100">
        <v>1713.961956754476</v>
      </c>
      <c r="BH56" s="100">
        <v>6.1878664001257837</v>
      </c>
      <c r="BI56" s="100">
        <v>6074.0096583634686</v>
      </c>
      <c r="BJ56" s="100">
        <v>4.880970388774835</v>
      </c>
      <c r="BK56" s="100">
        <v>4791.1605336213779</v>
      </c>
      <c r="BL56" s="100">
        <v>3.5827841845703126</v>
      </c>
      <c r="BM56" s="100">
        <v>3516.8609555742187</v>
      </c>
      <c r="BN56" s="100">
        <v>2.8467542283850085</v>
      </c>
      <c r="BO56" s="100">
        <v>2794.3739505827239</v>
      </c>
      <c r="BP56" s="100">
        <v>5.3475003852890159</v>
      </c>
      <c r="BQ56" s="100">
        <v>5249.1063781996972</v>
      </c>
      <c r="BR56" s="100">
        <v>4.1593238072257535</v>
      </c>
      <c r="BS56" s="100">
        <v>4082.7922491727991</v>
      </c>
      <c r="BT56" s="100">
        <v>4.5398261069899197</v>
      </c>
      <c r="BU56" s="100">
        <v>4456.2933066213045</v>
      </c>
      <c r="BV56" s="100">
        <v>3.5849936154027975</v>
      </c>
      <c r="BW56" s="100">
        <v>3519.0297328793858</v>
      </c>
      <c r="BX56" s="100">
        <v>5</v>
      </c>
      <c r="BY56" s="100">
        <v>4908</v>
      </c>
      <c r="BZ56" s="100">
        <v>7.1917125318970045</v>
      </c>
      <c r="CA56" s="100">
        <v>7059.3850213100986</v>
      </c>
      <c r="CB56" s="100">
        <v>6</v>
      </c>
      <c r="CC56" s="100">
        <v>5889.5999999999995</v>
      </c>
      <c r="CD56" s="100">
        <v>5</v>
      </c>
      <c r="CE56" s="100">
        <v>4908</v>
      </c>
      <c r="CF56" s="100">
        <v>7.0959487525403189</v>
      </c>
      <c r="CG56" s="100">
        <v>6965.383295493576</v>
      </c>
      <c r="CH56" s="100">
        <v>5.2859558561765754</v>
      </c>
      <c r="CI56" s="100">
        <v>5188.6942684229261</v>
      </c>
      <c r="CJ56" s="100">
        <v>4.4498649175832465</v>
      </c>
      <c r="CK56" s="100">
        <v>4367.9874030997144</v>
      </c>
      <c r="CL56" s="100">
        <v>6</v>
      </c>
      <c r="CM56" s="100">
        <v>5889.5999999999995</v>
      </c>
      <c r="CN56" s="100">
        <v>6.0182832704066298</v>
      </c>
      <c r="CO56" s="100">
        <v>5907.5468582311469</v>
      </c>
      <c r="CP56" s="100">
        <v>6</v>
      </c>
      <c r="CQ56" s="100">
        <v>5889.5999999999995</v>
      </c>
      <c r="CR56" s="100">
        <v>7</v>
      </c>
      <c r="CS56" s="100">
        <v>6871.1999999999989</v>
      </c>
      <c r="CT56" s="100">
        <v>6.1433751090756816</v>
      </c>
      <c r="CU56" s="100">
        <v>6030.3370070686888</v>
      </c>
    </row>
    <row r="57" spans="2:99">
      <c r="C57" s="99" t="s">
        <v>223</v>
      </c>
      <c r="D57" s="100">
        <v>4</v>
      </c>
      <c r="E57" s="100">
        <v>5644.8</v>
      </c>
      <c r="F57" s="100">
        <v>4</v>
      </c>
      <c r="G57" s="100">
        <v>5644.8</v>
      </c>
      <c r="H57" s="100">
        <v>5</v>
      </c>
      <c r="I57" s="100">
        <v>7056</v>
      </c>
      <c r="J57" s="100">
        <v>6</v>
      </c>
      <c r="K57" s="100">
        <v>8467.2000000000007</v>
      </c>
      <c r="L57" s="100">
        <v>6</v>
      </c>
      <c r="M57" s="100">
        <v>8467.2000000000007</v>
      </c>
      <c r="N57" s="100">
        <v>4</v>
      </c>
      <c r="O57" s="100">
        <v>5644.8</v>
      </c>
      <c r="P57" s="100">
        <v>6</v>
      </c>
      <c r="Q57" s="100">
        <v>8467.2000000000007</v>
      </c>
      <c r="R57" s="100">
        <v>6</v>
      </c>
      <c r="S57" s="100">
        <v>8467.2000000000007</v>
      </c>
      <c r="T57" s="100">
        <v>5</v>
      </c>
      <c r="U57" s="100">
        <v>7056</v>
      </c>
      <c r="V57" s="100">
        <v>7</v>
      </c>
      <c r="W57" s="100">
        <v>9878.4</v>
      </c>
      <c r="X57" s="100">
        <v>7.3676641341038769</v>
      </c>
      <c r="Y57" s="100">
        <v>10397.247626047392</v>
      </c>
      <c r="Z57" s="100">
        <v>6</v>
      </c>
      <c r="AA57" s="100">
        <v>8467.2000000000007</v>
      </c>
      <c r="AB57" s="100">
        <v>4.3414906507996101</v>
      </c>
      <c r="AC57" s="100">
        <v>6126.7116064084103</v>
      </c>
      <c r="AD57" s="100">
        <v>2.2916543064819246</v>
      </c>
      <c r="AE57" s="100">
        <v>3233.9825573072922</v>
      </c>
      <c r="AF57" s="100">
        <v>4.9760929703305106</v>
      </c>
      <c r="AG57" s="100">
        <v>7022.2623997304163</v>
      </c>
      <c r="AH57" s="100">
        <v>1.9001645054213248</v>
      </c>
      <c r="AI57" s="100">
        <v>2681.5121500505734</v>
      </c>
      <c r="AJ57" s="100">
        <v>4.741883505771308</v>
      </c>
      <c r="AK57" s="100">
        <v>6691.7460033444704</v>
      </c>
      <c r="AL57" s="100">
        <v>4.2448036379279674</v>
      </c>
      <c r="AM57" s="100">
        <v>5990.2668938439474</v>
      </c>
      <c r="AN57" s="100">
        <v>4</v>
      </c>
      <c r="AO57" s="100">
        <v>5644.8</v>
      </c>
      <c r="AP57" s="100">
        <v>4.2076572542471116</v>
      </c>
      <c r="AQ57" s="100">
        <v>5937.8459171935237</v>
      </c>
      <c r="AR57" s="100">
        <v>1.8837120536942225</v>
      </c>
      <c r="AS57" s="100">
        <v>2658.2944501732868</v>
      </c>
      <c r="AT57" s="100">
        <v>2.0760451296606726</v>
      </c>
      <c r="AU57" s="100">
        <v>2929.7148869771413</v>
      </c>
      <c r="AV57" s="100">
        <v>1.1805461156818944</v>
      </c>
      <c r="AW57" s="100">
        <v>1665.9866784502894</v>
      </c>
      <c r="AX57" s="100">
        <v>6</v>
      </c>
      <c r="AY57" s="100">
        <v>8467.2000000000007</v>
      </c>
      <c r="AZ57" s="100">
        <v>4</v>
      </c>
      <c r="BA57" s="100">
        <v>5644.8</v>
      </c>
      <c r="BB57" s="100">
        <v>6</v>
      </c>
      <c r="BC57" s="100">
        <v>8467.2000000000007</v>
      </c>
      <c r="BD57" s="100">
        <v>5</v>
      </c>
      <c r="BE57" s="100">
        <v>7056</v>
      </c>
      <c r="BF57" s="100">
        <v>4</v>
      </c>
      <c r="BG57" s="100">
        <v>5644.8</v>
      </c>
      <c r="BH57" s="100">
        <v>6.2068785178013677</v>
      </c>
      <c r="BI57" s="100">
        <v>8759.1469643212895</v>
      </c>
      <c r="BJ57" s="100">
        <v>0.93935603734021866</v>
      </c>
      <c r="BK57" s="100">
        <v>1325.6192398945166</v>
      </c>
      <c r="BL57" s="100">
        <v>4</v>
      </c>
      <c r="BM57" s="100">
        <v>5644.8</v>
      </c>
      <c r="BN57" s="100">
        <v>5</v>
      </c>
      <c r="BO57" s="100">
        <v>7056</v>
      </c>
      <c r="BP57" s="100">
        <v>6</v>
      </c>
      <c r="BQ57" s="100">
        <v>8467.2000000000007</v>
      </c>
      <c r="BR57" s="100">
        <v>5</v>
      </c>
      <c r="BS57" s="100">
        <v>7056</v>
      </c>
      <c r="BT57" s="100">
        <v>4.4994879678151793</v>
      </c>
      <c r="BU57" s="100">
        <v>6349.6774201807812</v>
      </c>
      <c r="BV57" s="100">
        <v>3.3416118745680565</v>
      </c>
      <c r="BW57" s="100">
        <v>4715.6826773904413</v>
      </c>
      <c r="BX57" s="100">
        <v>3.7994108512492981</v>
      </c>
      <c r="BY57" s="100">
        <v>5361.72859328301</v>
      </c>
      <c r="BZ57" s="100">
        <v>4.6934101993964319</v>
      </c>
      <c r="CA57" s="100">
        <v>6623.3404733882453</v>
      </c>
      <c r="CB57" s="100">
        <v>3.7963782279724998</v>
      </c>
      <c r="CC57" s="100">
        <v>5357.4489553147923</v>
      </c>
      <c r="CD57" s="100">
        <v>5</v>
      </c>
      <c r="CE57" s="100">
        <v>7056</v>
      </c>
      <c r="CF57" s="100">
        <v>4.9092462602541236</v>
      </c>
      <c r="CG57" s="100">
        <v>6927.9283224706196</v>
      </c>
      <c r="CH57" s="100">
        <v>5.0647591576141799</v>
      </c>
      <c r="CI57" s="100">
        <v>7147.3881232251306</v>
      </c>
      <c r="CJ57" s="100">
        <v>4.0243345996254076</v>
      </c>
      <c r="CK57" s="100">
        <v>5679.140986991375</v>
      </c>
      <c r="CL57" s="100">
        <v>6.0465030842433887</v>
      </c>
      <c r="CM57" s="100">
        <v>8532.8251524842708</v>
      </c>
      <c r="CN57" s="100">
        <v>3.7647164439715244</v>
      </c>
      <c r="CO57" s="100">
        <v>5312.7678457326156</v>
      </c>
      <c r="CP57" s="100">
        <v>6</v>
      </c>
      <c r="CQ57" s="100">
        <v>8467.2000000000007</v>
      </c>
      <c r="CR57" s="100">
        <v>7</v>
      </c>
      <c r="CS57" s="100">
        <v>9878.4</v>
      </c>
      <c r="CT57" s="100">
        <v>6.3408457047332494</v>
      </c>
      <c r="CU57" s="100">
        <v>8948.2014585195611</v>
      </c>
    </row>
    <row r="58" spans="2:99">
      <c r="C58" s="99" t="s">
        <v>224</v>
      </c>
      <c r="D58" s="100">
        <v>3</v>
      </c>
      <c r="E58" s="100">
        <v>3531.6000000000004</v>
      </c>
      <c r="F58" s="100">
        <v>4.4978140446432873</v>
      </c>
      <c r="G58" s="100">
        <v>5294.8266933540781</v>
      </c>
      <c r="H58" s="100">
        <v>6</v>
      </c>
      <c r="I58" s="100">
        <v>7063.2000000000007</v>
      </c>
      <c r="J58" s="100">
        <v>6.1899383583949401</v>
      </c>
      <c r="K58" s="100">
        <v>7286.795435502524</v>
      </c>
      <c r="L58" s="100">
        <v>5.2846783006852451</v>
      </c>
      <c r="M58" s="100">
        <v>6221.123295566671</v>
      </c>
      <c r="N58" s="100">
        <v>2.7461369833087206</v>
      </c>
      <c r="O58" s="100">
        <v>3232.7524567510259</v>
      </c>
      <c r="P58" s="100">
        <v>6</v>
      </c>
      <c r="Q58" s="100">
        <v>7063.2000000000007</v>
      </c>
      <c r="R58" s="100">
        <v>6</v>
      </c>
      <c r="S58" s="100">
        <v>7063.2000000000007</v>
      </c>
      <c r="T58" s="100">
        <v>5</v>
      </c>
      <c r="U58" s="100">
        <v>5886</v>
      </c>
      <c r="V58" s="100">
        <v>6.3714093592835166</v>
      </c>
      <c r="W58" s="100">
        <v>7500.4230977485558</v>
      </c>
      <c r="X58" s="100">
        <v>6</v>
      </c>
      <c r="Y58" s="100">
        <v>7063.2000000000007</v>
      </c>
      <c r="Z58" s="100">
        <v>6.2690150581317692</v>
      </c>
      <c r="AA58" s="100">
        <v>7379.8845264327192</v>
      </c>
      <c r="AB58" s="100">
        <v>4</v>
      </c>
      <c r="AC58" s="100">
        <v>4708.8</v>
      </c>
      <c r="AD58" s="100">
        <v>5</v>
      </c>
      <c r="AE58" s="100">
        <v>5886</v>
      </c>
      <c r="AF58" s="100">
        <v>4</v>
      </c>
      <c r="AG58" s="100">
        <v>4708.8</v>
      </c>
      <c r="AH58" s="100">
        <v>6</v>
      </c>
      <c r="AI58" s="100">
        <v>7063.2000000000007</v>
      </c>
      <c r="AJ58" s="100">
        <v>6</v>
      </c>
      <c r="AK58" s="100">
        <v>7063.2000000000007</v>
      </c>
      <c r="AL58" s="100">
        <v>5</v>
      </c>
      <c r="AM58" s="100">
        <v>5886</v>
      </c>
      <c r="AN58" s="100">
        <v>4</v>
      </c>
      <c r="AO58" s="100">
        <v>4708.8</v>
      </c>
      <c r="AP58" s="100">
        <v>4</v>
      </c>
      <c r="AQ58" s="100">
        <v>4708.8</v>
      </c>
      <c r="AR58" s="100">
        <v>5</v>
      </c>
      <c r="AS58" s="100">
        <v>5886</v>
      </c>
      <c r="AT58" s="100">
        <v>4.2406122170282243</v>
      </c>
      <c r="AU58" s="100">
        <v>4992.0487018856256</v>
      </c>
      <c r="AV58" s="100">
        <v>5</v>
      </c>
      <c r="AW58" s="100">
        <v>5886</v>
      </c>
      <c r="AX58" s="100">
        <v>5</v>
      </c>
      <c r="AY58" s="100">
        <v>5886</v>
      </c>
      <c r="AZ58" s="100">
        <v>5.398759088452211</v>
      </c>
      <c r="BA58" s="100">
        <v>6355.4191989259434</v>
      </c>
      <c r="BB58" s="100">
        <v>6</v>
      </c>
      <c r="BC58" s="100">
        <v>7063.2000000000007</v>
      </c>
      <c r="BD58" s="100">
        <v>5.4886372191155157</v>
      </c>
      <c r="BE58" s="100">
        <v>6461.2237343427851</v>
      </c>
      <c r="BF58" s="100">
        <v>4</v>
      </c>
      <c r="BG58" s="100">
        <v>4708.8</v>
      </c>
      <c r="BH58" s="100">
        <v>2.8192221487648204</v>
      </c>
      <c r="BI58" s="100">
        <v>3318.7883135259467</v>
      </c>
      <c r="BJ58" s="100">
        <v>4.5311302772605435</v>
      </c>
      <c r="BK58" s="100">
        <v>5334.0465623911123</v>
      </c>
      <c r="BL58" s="100">
        <v>4</v>
      </c>
      <c r="BM58" s="100">
        <v>4708.8</v>
      </c>
      <c r="BN58" s="100">
        <v>4</v>
      </c>
      <c r="BO58" s="100">
        <v>4708.8</v>
      </c>
      <c r="BP58" s="100">
        <v>6</v>
      </c>
      <c r="BQ58" s="100">
        <v>7063.2000000000007</v>
      </c>
      <c r="BR58" s="100">
        <v>5</v>
      </c>
      <c r="BS58" s="100">
        <v>5886</v>
      </c>
      <c r="BT58" s="100">
        <v>3.2816286405354704</v>
      </c>
      <c r="BU58" s="100">
        <v>3863.1332356383559</v>
      </c>
      <c r="BV58" s="100">
        <v>5</v>
      </c>
      <c r="BW58" s="100">
        <v>5886</v>
      </c>
      <c r="BX58" s="100">
        <v>5</v>
      </c>
      <c r="BY58" s="100">
        <v>5886</v>
      </c>
      <c r="BZ58" s="100">
        <v>6.3435024810985441</v>
      </c>
      <c r="CA58" s="100">
        <v>7467.5711207492068</v>
      </c>
      <c r="CB58" s="100">
        <v>5</v>
      </c>
      <c r="CC58" s="100">
        <v>5886</v>
      </c>
      <c r="CD58" s="100">
        <v>5</v>
      </c>
      <c r="CE58" s="100">
        <v>5886</v>
      </c>
      <c r="CF58" s="100">
        <v>6</v>
      </c>
      <c r="CG58" s="100">
        <v>7063.2000000000007</v>
      </c>
      <c r="CH58" s="100">
        <v>5</v>
      </c>
      <c r="CI58" s="100">
        <v>5886</v>
      </c>
      <c r="CJ58" s="100">
        <v>4</v>
      </c>
      <c r="CK58" s="100">
        <v>4708.8</v>
      </c>
      <c r="CL58" s="100">
        <v>7</v>
      </c>
      <c r="CM58" s="100">
        <v>8240.4</v>
      </c>
      <c r="CN58" s="100">
        <v>6.3457416158727256</v>
      </c>
      <c r="CO58" s="100">
        <v>7470.2070302053726</v>
      </c>
      <c r="CP58" s="100">
        <v>7.1985106984635703</v>
      </c>
      <c r="CQ58" s="100">
        <v>8474.0867942313162</v>
      </c>
      <c r="CR58" s="100">
        <v>6</v>
      </c>
      <c r="CS58" s="100">
        <v>7063.2000000000007</v>
      </c>
      <c r="CT58" s="100">
        <v>7</v>
      </c>
      <c r="CU58" s="100">
        <v>8240.4</v>
      </c>
    </row>
    <row r="59" spans="2:99">
      <c r="C59" s="99" t="s">
        <v>225</v>
      </c>
      <c r="D59" s="100">
        <v>3</v>
      </c>
      <c r="E59" s="100">
        <v>910.8</v>
      </c>
      <c r="F59" s="100">
        <v>4</v>
      </c>
      <c r="G59" s="100">
        <v>1214.3999999999999</v>
      </c>
      <c r="H59" s="100">
        <v>5</v>
      </c>
      <c r="I59" s="100">
        <v>1517.9999999999998</v>
      </c>
      <c r="J59" s="100">
        <v>7</v>
      </c>
      <c r="K59" s="100">
        <v>2125.1999999999998</v>
      </c>
      <c r="L59" s="100">
        <v>5</v>
      </c>
      <c r="M59" s="100">
        <v>1517.9999999999998</v>
      </c>
      <c r="N59" s="100">
        <v>4</v>
      </c>
      <c r="O59" s="100">
        <v>1214.3999999999999</v>
      </c>
      <c r="P59" s="100">
        <v>6</v>
      </c>
      <c r="Q59" s="100">
        <v>1821.6</v>
      </c>
      <c r="R59" s="100">
        <v>6</v>
      </c>
      <c r="S59" s="100">
        <v>1821.6</v>
      </c>
      <c r="T59" s="100">
        <v>5</v>
      </c>
      <c r="U59" s="100">
        <v>1517.9999999999998</v>
      </c>
      <c r="V59" s="100">
        <v>6</v>
      </c>
      <c r="W59" s="100">
        <v>1821.6</v>
      </c>
      <c r="X59" s="100">
        <v>6.5055381843928304</v>
      </c>
      <c r="Y59" s="100">
        <v>1975.081392781663</v>
      </c>
      <c r="Z59" s="100">
        <v>7</v>
      </c>
      <c r="AA59" s="100">
        <v>2125.1999999999998</v>
      </c>
      <c r="AB59" s="100">
        <v>4.3902750294852684</v>
      </c>
      <c r="AC59" s="100">
        <v>1332.8874989517274</v>
      </c>
      <c r="AD59" s="100">
        <v>2.864567883102406</v>
      </c>
      <c r="AE59" s="100">
        <v>869.68280930989033</v>
      </c>
      <c r="AF59" s="100">
        <v>5.8518541737160481</v>
      </c>
      <c r="AG59" s="100">
        <v>1776.6229271401919</v>
      </c>
      <c r="AH59" s="100">
        <v>1.9001645054213248</v>
      </c>
      <c r="AI59" s="100">
        <v>576.8899438459141</v>
      </c>
      <c r="AJ59" s="100">
        <v>6.6386369080798309</v>
      </c>
      <c r="AK59" s="100">
        <v>2015.4901652930364</v>
      </c>
      <c r="AL59" s="100">
        <v>5.0937643655135609</v>
      </c>
      <c r="AM59" s="100">
        <v>1546.4668613699168</v>
      </c>
      <c r="AN59" s="100">
        <v>4</v>
      </c>
      <c r="AO59" s="100">
        <v>1214.3999999999999</v>
      </c>
      <c r="AP59" s="100">
        <v>4.2076572542471116</v>
      </c>
      <c r="AQ59" s="100">
        <v>1277.444742389423</v>
      </c>
      <c r="AR59" s="100">
        <v>1.548813854874223</v>
      </c>
      <c r="AS59" s="100">
        <v>470.21988633981402</v>
      </c>
      <c r="AT59" s="100">
        <v>2.0570942113745967</v>
      </c>
      <c r="AU59" s="100">
        <v>624.53380257332753</v>
      </c>
      <c r="AV59" s="100">
        <v>1.4166553388182732</v>
      </c>
      <c r="AW59" s="100">
        <v>430.09656086522767</v>
      </c>
      <c r="AX59" s="100">
        <v>6</v>
      </c>
      <c r="AY59" s="100">
        <v>1821.6</v>
      </c>
      <c r="AZ59" s="100">
        <v>4</v>
      </c>
      <c r="BA59" s="100">
        <v>1214.3999999999999</v>
      </c>
      <c r="BB59" s="100">
        <v>6</v>
      </c>
      <c r="BC59" s="100">
        <v>1821.6</v>
      </c>
      <c r="BD59" s="100">
        <v>6</v>
      </c>
      <c r="BE59" s="100">
        <v>1821.6</v>
      </c>
      <c r="BF59" s="100">
        <v>5</v>
      </c>
      <c r="BG59" s="100">
        <v>1517.9999999999998</v>
      </c>
      <c r="BH59" s="100">
        <v>6.2413582707682629</v>
      </c>
      <c r="BI59" s="100">
        <v>1894.8763710052444</v>
      </c>
      <c r="BJ59" s="100">
        <v>0.93935603734021866</v>
      </c>
      <c r="BK59" s="100">
        <v>285.18849293649038</v>
      </c>
      <c r="BL59" s="100">
        <v>4</v>
      </c>
      <c r="BM59" s="100">
        <v>1214.3999999999999</v>
      </c>
      <c r="BN59" s="100">
        <v>4</v>
      </c>
      <c r="BO59" s="100">
        <v>1214.3999999999999</v>
      </c>
      <c r="BP59" s="100">
        <v>5</v>
      </c>
      <c r="BQ59" s="100">
        <v>1517.9999999999998</v>
      </c>
      <c r="BR59" s="100">
        <v>5</v>
      </c>
      <c r="BS59" s="100">
        <v>1517.9999999999998</v>
      </c>
      <c r="BT59" s="100">
        <v>4.5494367645966971</v>
      </c>
      <c r="BU59" s="100">
        <v>1381.209001731557</v>
      </c>
      <c r="BV59" s="100">
        <v>3.9848900062583317</v>
      </c>
      <c r="BW59" s="100">
        <v>1209.8126059000294</v>
      </c>
      <c r="BX59" s="100">
        <v>3.8293441803854984</v>
      </c>
      <c r="BY59" s="100">
        <v>1162.5888931650372</v>
      </c>
      <c r="BZ59" s="100">
        <v>5.4756452326291702</v>
      </c>
      <c r="CA59" s="100">
        <v>1662.405892626216</v>
      </c>
      <c r="CB59" s="100">
        <v>3.7963782279724998</v>
      </c>
      <c r="CC59" s="100">
        <v>1152.5804300124507</v>
      </c>
      <c r="CD59" s="100">
        <v>5</v>
      </c>
      <c r="CE59" s="100">
        <v>1517.9999999999998</v>
      </c>
      <c r="CF59" s="100">
        <v>5.7274539702964775</v>
      </c>
      <c r="CG59" s="100">
        <v>1738.8550253820104</v>
      </c>
      <c r="CH59" s="100">
        <v>5.0809489470177249</v>
      </c>
      <c r="CI59" s="100">
        <v>1542.576100314581</v>
      </c>
      <c r="CJ59" s="100">
        <v>4.0243345996254076</v>
      </c>
      <c r="CK59" s="100">
        <v>1221.7879844462736</v>
      </c>
      <c r="CL59" s="100">
        <v>7.0465030842433887</v>
      </c>
      <c r="CM59" s="100">
        <v>2139.3183363762923</v>
      </c>
      <c r="CN59" s="100">
        <v>4.5176597327658294</v>
      </c>
      <c r="CO59" s="100">
        <v>1371.5614948677057</v>
      </c>
      <c r="CP59" s="100">
        <v>7</v>
      </c>
      <c r="CQ59" s="100">
        <v>2125.1999999999998</v>
      </c>
      <c r="CR59" s="100">
        <v>6</v>
      </c>
      <c r="CS59" s="100">
        <v>1821.6</v>
      </c>
      <c r="CT59" s="100">
        <v>6.38953794826657</v>
      </c>
      <c r="CU59" s="100">
        <v>1939.8637210937304</v>
      </c>
    </row>
    <row r="60" spans="2:99">
      <c r="C60" s="99" t="s">
        <v>226</v>
      </c>
      <c r="D60" s="100">
        <v>3</v>
      </c>
      <c r="E60" s="100">
        <v>1954.8000000000002</v>
      </c>
      <c r="F60" s="100">
        <v>4</v>
      </c>
      <c r="G60" s="100">
        <v>2606.4</v>
      </c>
      <c r="H60" s="100">
        <v>5</v>
      </c>
      <c r="I60" s="100">
        <v>3258</v>
      </c>
      <c r="J60" s="100">
        <v>7</v>
      </c>
      <c r="K60" s="100">
        <v>4561.2</v>
      </c>
      <c r="L60" s="100">
        <v>5</v>
      </c>
      <c r="M60" s="100">
        <v>3258</v>
      </c>
      <c r="N60" s="100">
        <v>4</v>
      </c>
      <c r="O60" s="100">
        <v>2606.4</v>
      </c>
      <c r="P60" s="100">
        <v>6</v>
      </c>
      <c r="Q60" s="100">
        <v>3909.6000000000004</v>
      </c>
      <c r="R60" s="100">
        <v>6</v>
      </c>
      <c r="S60" s="100">
        <v>3909.6000000000004</v>
      </c>
      <c r="T60" s="100">
        <v>5</v>
      </c>
      <c r="U60" s="100">
        <v>3258</v>
      </c>
      <c r="V60" s="100">
        <v>7</v>
      </c>
      <c r="W60" s="100">
        <v>4561.2</v>
      </c>
      <c r="X60" s="100">
        <v>6.4595801676298459</v>
      </c>
      <c r="Y60" s="100">
        <v>4209.0624372276079</v>
      </c>
      <c r="Z60" s="100">
        <v>7</v>
      </c>
      <c r="AA60" s="100">
        <v>4561.2</v>
      </c>
      <c r="AB60" s="100">
        <v>4.3902750294852684</v>
      </c>
      <c r="AC60" s="100">
        <v>2860.703209212601</v>
      </c>
      <c r="AD60" s="100">
        <v>2.2916543064819246</v>
      </c>
      <c r="AE60" s="100">
        <v>1493.241946103622</v>
      </c>
      <c r="AF60" s="100">
        <v>5.0220381205922662</v>
      </c>
      <c r="AG60" s="100">
        <v>3272.3600393779207</v>
      </c>
      <c r="AH60" s="100">
        <v>1.9001645054213248</v>
      </c>
      <c r="AI60" s="100">
        <v>1238.1471917325352</v>
      </c>
      <c r="AJ60" s="100">
        <v>5.6902602069255694</v>
      </c>
      <c r="AK60" s="100">
        <v>3707.7735508327014</v>
      </c>
      <c r="AL60" s="100">
        <v>5.0937643655135609</v>
      </c>
      <c r="AM60" s="100">
        <v>3319.0968605686362</v>
      </c>
      <c r="AN60" s="100">
        <v>4</v>
      </c>
      <c r="AO60" s="100">
        <v>2606.4</v>
      </c>
      <c r="AP60" s="100">
        <v>4.2076572542471116</v>
      </c>
      <c r="AQ60" s="100">
        <v>2741.7094668674181</v>
      </c>
      <c r="AR60" s="100">
        <v>1.5313787665747041</v>
      </c>
      <c r="AS60" s="100">
        <v>997.84640430007721</v>
      </c>
      <c r="AT60" s="100">
        <v>2.5524168459321714</v>
      </c>
      <c r="AU60" s="100">
        <v>1663.154816809403</v>
      </c>
      <c r="AV60" s="100">
        <v>1.4166553388182732</v>
      </c>
      <c r="AW60" s="100">
        <v>923.09261877398683</v>
      </c>
      <c r="AX60" s="100">
        <v>6</v>
      </c>
      <c r="AY60" s="100">
        <v>3909.6000000000004</v>
      </c>
      <c r="AZ60" s="100">
        <v>5</v>
      </c>
      <c r="BA60" s="100">
        <v>3258</v>
      </c>
      <c r="BB60" s="100">
        <v>6</v>
      </c>
      <c r="BC60" s="100">
        <v>3909.6000000000004</v>
      </c>
      <c r="BD60" s="100">
        <v>6</v>
      </c>
      <c r="BE60" s="100">
        <v>3909.6000000000004</v>
      </c>
      <c r="BF60" s="100">
        <v>5</v>
      </c>
      <c r="BG60" s="100">
        <v>3258</v>
      </c>
      <c r="BH60" s="100">
        <v>6.2068785178013677</v>
      </c>
      <c r="BI60" s="100">
        <v>4044.4020421993714</v>
      </c>
      <c r="BJ60" s="100">
        <v>0.93935603734021866</v>
      </c>
      <c r="BK60" s="100">
        <v>612.08439393088645</v>
      </c>
      <c r="BL60" s="100">
        <v>4</v>
      </c>
      <c r="BM60" s="100">
        <v>2606.4</v>
      </c>
      <c r="BN60" s="100">
        <v>5</v>
      </c>
      <c r="BO60" s="100">
        <v>3258</v>
      </c>
      <c r="BP60" s="100">
        <v>6</v>
      </c>
      <c r="BQ60" s="100">
        <v>3909.6000000000004</v>
      </c>
      <c r="BR60" s="100">
        <v>5</v>
      </c>
      <c r="BS60" s="100">
        <v>3258</v>
      </c>
      <c r="BT60" s="100">
        <v>4.4495391710336616</v>
      </c>
      <c r="BU60" s="100">
        <v>2899.3197238455341</v>
      </c>
      <c r="BV60" s="100">
        <v>3.9848900062583317</v>
      </c>
      <c r="BW60" s="100">
        <v>2596.5543280779289</v>
      </c>
      <c r="BX60" s="100">
        <v>4.544326356931057</v>
      </c>
      <c r="BY60" s="100">
        <v>2961.0830541762771</v>
      </c>
      <c r="BZ60" s="100">
        <v>5.4698205979950076</v>
      </c>
      <c r="CA60" s="100">
        <v>3564.1351016535473</v>
      </c>
      <c r="CB60" s="100">
        <v>3.7963782279724998</v>
      </c>
      <c r="CC60" s="100">
        <v>2473.7200533468808</v>
      </c>
      <c r="CD60" s="100">
        <v>5.1377090558385534</v>
      </c>
      <c r="CE60" s="100">
        <v>3347.7312207844016</v>
      </c>
      <c r="CF60" s="100">
        <v>5.7274539702964775</v>
      </c>
      <c r="CG60" s="100">
        <v>3732.0090070451847</v>
      </c>
      <c r="CH60" s="100">
        <v>5.072854052315952</v>
      </c>
      <c r="CI60" s="100">
        <v>3305.4717004890745</v>
      </c>
      <c r="CJ60" s="100">
        <v>4.0243345996254076</v>
      </c>
      <c r="CK60" s="100">
        <v>2622.2564251159156</v>
      </c>
      <c r="CL60" s="100">
        <v>7.0531463819924447</v>
      </c>
      <c r="CM60" s="100">
        <v>4595.8301825062772</v>
      </c>
      <c r="CN60" s="100">
        <v>3.7647164439715244</v>
      </c>
      <c r="CO60" s="100">
        <v>2453.0892348918455</v>
      </c>
      <c r="CP60" s="100">
        <v>6</v>
      </c>
      <c r="CQ60" s="100">
        <v>3909.6000000000004</v>
      </c>
      <c r="CR60" s="100">
        <v>7</v>
      </c>
      <c r="CS60" s="100">
        <v>4561.2</v>
      </c>
      <c r="CT60" s="100">
        <v>7.38953794826657</v>
      </c>
      <c r="CU60" s="100">
        <v>4815.0229270904974</v>
      </c>
    </row>
    <row r="61" spans="2:99">
      <c r="C61" s="99" t="s">
        <v>227</v>
      </c>
      <c r="D61" s="100">
        <v>4</v>
      </c>
      <c r="E61" s="100">
        <v>3806.3999999999996</v>
      </c>
      <c r="F61" s="100">
        <v>4</v>
      </c>
      <c r="G61" s="100">
        <v>3806.3999999999996</v>
      </c>
      <c r="H61" s="100">
        <v>6</v>
      </c>
      <c r="I61" s="100">
        <v>5709.5999999999995</v>
      </c>
      <c r="J61" s="100">
        <v>6</v>
      </c>
      <c r="K61" s="100">
        <v>5709.5999999999995</v>
      </c>
      <c r="L61" s="100">
        <v>5</v>
      </c>
      <c r="M61" s="100">
        <v>4758</v>
      </c>
      <c r="N61" s="100">
        <v>4</v>
      </c>
      <c r="O61" s="100">
        <v>3806.3999999999996</v>
      </c>
      <c r="P61" s="100">
        <v>7</v>
      </c>
      <c r="Q61" s="100">
        <v>6661.1999999999989</v>
      </c>
      <c r="R61" s="100">
        <v>6</v>
      </c>
      <c r="S61" s="100">
        <v>5709.5999999999995</v>
      </c>
      <c r="T61" s="100">
        <v>5</v>
      </c>
      <c r="U61" s="100">
        <v>4758</v>
      </c>
      <c r="V61" s="100">
        <v>6</v>
      </c>
      <c r="W61" s="100">
        <v>5709.5999999999995</v>
      </c>
      <c r="X61" s="100">
        <v>6.4595801676298459</v>
      </c>
      <c r="Y61" s="100">
        <v>6146.9364875165611</v>
      </c>
      <c r="Z61" s="100">
        <v>6</v>
      </c>
      <c r="AA61" s="100">
        <v>5709.5999999999995</v>
      </c>
      <c r="AB61" s="100">
        <v>4.3902750294852684</v>
      </c>
      <c r="AC61" s="100">
        <v>4177.7857180581814</v>
      </c>
      <c r="AD61" s="100">
        <v>2.864567883102406</v>
      </c>
      <c r="AE61" s="100">
        <v>2725.9227975602494</v>
      </c>
      <c r="AF61" s="100">
        <v>4.9760929703305106</v>
      </c>
      <c r="AG61" s="100">
        <v>4735.2500705665134</v>
      </c>
      <c r="AH61" s="100">
        <v>1.9001645054213248</v>
      </c>
      <c r="AI61" s="100">
        <v>1808.1965433589326</v>
      </c>
      <c r="AJ61" s="100">
        <v>4.741883505771308</v>
      </c>
      <c r="AK61" s="100">
        <v>4512.3763440919765</v>
      </c>
      <c r="AL61" s="100">
        <v>5.0937643655135609</v>
      </c>
      <c r="AM61" s="100">
        <v>4847.2261702227042</v>
      </c>
      <c r="AN61" s="100">
        <v>4</v>
      </c>
      <c r="AO61" s="100">
        <v>3806.3999999999996</v>
      </c>
      <c r="AP61" s="100">
        <v>4.1817000974662228</v>
      </c>
      <c r="AQ61" s="100">
        <v>3979.3058127488571</v>
      </c>
      <c r="AR61" s="100">
        <v>1.5313787665747041</v>
      </c>
      <c r="AS61" s="100">
        <v>1457.2600342724882</v>
      </c>
      <c r="AT61" s="100">
        <v>2.5334659276460956</v>
      </c>
      <c r="AU61" s="100">
        <v>2410.8461767480244</v>
      </c>
      <c r="AV61" s="100">
        <v>1.4166553388182732</v>
      </c>
      <c r="AW61" s="100">
        <v>1348.0892204194686</v>
      </c>
      <c r="AX61" s="100">
        <v>5</v>
      </c>
      <c r="AY61" s="100">
        <v>4758</v>
      </c>
      <c r="AZ61" s="100">
        <v>4</v>
      </c>
      <c r="BA61" s="100">
        <v>3806.3999999999996</v>
      </c>
      <c r="BB61" s="100">
        <v>6</v>
      </c>
      <c r="BC61" s="100">
        <v>5709.5999999999995</v>
      </c>
      <c r="BD61" s="100">
        <v>5</v>
      </c>
      <c r="BE61" s="100">
        <v>4758</v>
      </c>
      <c r="BF61" s="100">
        <v>4</v>
      </c>
      <c r="BG61" s="100">
        <v>3806.3999999999996</v>
      </c>
      <c r="BH61" s="100">
        <v>6.2068785178013677</v>
      </c>
      <c r="BI61" s="100">
        <v>5906.4655975397809</v>
      </c>
      <c r="BJ61" s="100">
        <v>0.93935603734021866</v>
      </c>
      <c r="BK61" s="100">
        <v>893.891205132952</v>
      </c>
      <c r="BL61" s="100">
        <v>4</v>
      </c>
      <c r="BM61" s="100">
        <v>3806.3999999999996</v>
      </c>
      <c r="BN61" s="100">
        <v>5</v>
      </c>
      <c r="BO61" s="100">
        <v>4758</v>
      </c>
      <c r="BP61" s="100">
        <v>5</v>
      </c>
      <c r="BQ61" s="100">
        <v>4758</v>
      </c>
      <c r="BR61" s="100">
        <v>5</v>
      </c>
      <c r="BS61" s="100">
        <v>4758</v>
      </c>
      <c r="BT61" s="100">
        <v>4.4495391710336616</v>
      </c>
      <c r="BU61" s="100">
        <v>4234.1814751556321</v>
      </c>
      <c r="BV61" s="100">
        <v>3.3416118745680565</v>
      </c>
      <c r="BW61" s="100">
        <v>3179.8778598389622</v>
      </c>
      <c r="BX61" s="100">
        <v>3.7994108512492981</v>
      </c>
      <c r="BY61" s="100">
        <v>3615.5193660488317</v>
      </c>
      <c r="BZ61" s="100">
        <v>4.6934101993964319</v>
      </c>
      <c r="CA61" s="100">
        <v>4466.2491457456445</v>
      </c>
      <c r="CB61" s="100">
        <v>3.1636485233104166</v>
      </c>
      <c r="CC61" s="100">
        <v>3010.527934782192</v>
      </c>
      <c r="CD61" s="100">
        <v>4.1377090558385534</v>
      </c>
      <c r="CE61" s="100">
        <v>3937.4439375359671</v>
      </c>
      <c r="CF61" s="100">
        <v>4.9092462602541236</v>
      </c>
      <c r="CG61" s="100">
        <v>4671.6387412578233</v>
      </c>
      <c r="CH61" s="100">
        <v>6.072854052315952</v>
      </c>
      <c r="CI61" s="100">
        <v>5778.9279161838595</v>
      </c>
      <c r="CJ61" s="100">
        <v>4.0243345996254076</v>
      </c>
      <c r="CK61" s="100">
        <v>3829.5568050035376</v>
      </c>
      <c r="CL61" s="100">
        <v>6.0465030842433887</v>
      </c>
      <c r="CM61" s="100">
        <v>5753.8523349660081</v>
      </c>
      <c r="CN61" s="100">
        <v>4.5176597327658294</v>
      </c>
      <c r="CO61" s="100">
        <v>4299.005001699963</v>
      </c>
      <c r="CP61" s="100">
        <v>7</v>
      </c>
      <c r="CQ61" s="100">
        <v>6661.1999999999989</v>
      </c>
      <c r="CR61" s="100">
        <v>7</v>
      </c>
      <c r="CS61" s="100">
        <v>6661.1999999999989</v>
      </c>
      <c r="CT61" s="100">
        <v>6.3408457047332494</v>
      </c>
      <c r="CU61" s="100">
        <v>6033.9487726241596</v>
      </c>
    </row>
    <row r="62" spans="2:99">
      <c r="C62" s="99" t="s">
        <v>228</v>
      </c>
      <c r="D62" s="100">
        <v>4</v>
      </c>
      <c r="E62" s="100">
        <v>6676.8</v>
      </c>
      <c r="F62" s="100">
        <v>4.0225041526251308</v>
      </c>
      <c r="G62" s="100">
        <v>6714.3639315618684</v>
      </c>
      <c r="H62" s="100">
        <v>6.4739235123973407</v>
      </c>
      <c r="I62" s="100">
        <v>10806.27312689364</v>
      </c>
      <c r="J62" s="100">
        <v>6</v>
      </c>
      <c r="K62" s="100">
        <v>10015.200000000001</v>
      </c>
      <c r="L62" s="100">
        <v>5.1506925207756238</v>
      </c>
      <c r="M62" s="100">
        <v>8597.5359556786716</v>
      </c>
      <c r="N62" s="100">
        <v>4</v>
      </c>
      <c r="O62" s="100">
        <v>6676.8</v>
      </c>
      <c r="P62" s="100">
        <v>6.2885727065657502</v>
      </c>
      <c r="Q62" s="100">
        <v>10496.88556179955</v>
      </c>
      <c r="R62" s="100">
        <v>6.2490914914602129</v>
      </c>
      <c r="S62" s="100">
        <v>10430.983517545388</v>
      </c>
      <c r="T62" s="100">
        <v>5.206528220213495</v>
      </c>
      <c r="U62" s="100">
        <v>8690.7369051803653</v>
      </c>
      <c r="V62" s="100">
        <v>7.4847456078283674</v>
      </c>
      <c r="W62" s="100">
        <v>12493.537368587111</v>
      </c>
      <c r="X62" s="100">
        <v>7.0073714495436983</v>
      </c>
      <c r="Y62" s="100">
        <v>11696.704423578341</v>
      </c>
      <c r="Z62" s="100">
        <v>6</v>
      </c>
      <c r="AA62" s="100">
        <v>10015.200000000001</v>
      </c>
      <c r="AB62" s="100">
        <v>3</v>
      </c>
      <c r="AC62" s="100">
        <v>5007.6000000000004</v>
      </c>
      <c r="AD62" s="100">
        <v>4.1180196005917109</v>
      </c>
      <c r="AE62" s="100">
        <v>6873.7983173076836</v>
      </c>
      <c r="AF62" s="100">
        <v>5.146956965287659</v>
      </c>
      <c r="AG62" s="100">
        <v>8591.3005664581615</v>
      </c>
      <c r="AH62" s="100">
        <v>6.1265922006662752</v>
      </c>
      <c r="AI62" s="100">
        <v>10226.507701352148</v>
      </c>
      <c r="AJ62" s="100">
        <v>5.1388888888888893</v>
      </c>
      <c r="AK62" s="100">
        <v>8577.8333333333339</v>
      </c>
      <c r="AL62" s="100">
        <v>6.0269520412207696</v>
      </c>
      <c r="AM62" s="100">
        <v>10060.188347205709</v>
      </c>
      <c r="AN62" s="100">
        <v>4</v>
      </c>
      <c r="AO62" s="100">
        <v>6676.8</v>
      </c>
      <c r="AP62" s="100">
        <v>4.2283633035220536</v>
      </c>
      <c r="AQ62" s="100">
        <v>7057.9840262390117</v>
      </c>
      <c r="AR62" s="100">
        <v>5</v>
      </c>
      <c r="AS62" s="100">
        <v>8346</v>
      </c>
      <c r="AT62" s="100">
        <v>5</v>
      </c>
      <c r="AU62" s="100">
        <v>8346</v>
      </c>
      <c r="AV62" s="100">
        <v>5</v>
      </c>
      <c r="AW62" s="100">
        <v>8346</v>
      </c>
      <c r="AX62" s="100">
        <v>2.929133963692736</v>
      </c>
      <c r="AY62" s="100">
        <v>4889.310412195915</v>
      </c>
      <c r="AZ62" s="100">
        <v>3.2012386187408356E-4</v>
      </c>
      <c r="BA62" s="100">
        <v>0.53435075024022027</v>
      </c>
      <c r="BB62" s="100">
        <v>4.2256349767379035E-4</v>
      </c>
      <c r="BC62" s="100">
        <v>0.70534299031709091</v>
      </c>
      <c r="BD62" s="100">
        <v>2.9056918193957052E-4</v>
      </c>
      <c r="BE62" s="100">
        <v>0.48501807849353112</v>
      </c>
      <c r="BF62" s="100">
        <v>2.1433030541399454</v>
      </c>
      <c r="BG62" s="100">
        <v>3577.601457970397</v>
      </c>
      <c r="BH62" s="100">
        <v>6.1565553334381526</v>
      </c>
      <c r="BI62" s="100">
        <v>10276.522162574965</v>
      </c>
      <c r="BJ62" s="100">
        <v>5.7564703074721564</v>
      </c>
      <c r="BK62" s="100">
        <v>9608.7002372325242</v>
      </c>
      <c r="BL62" s="100">
        <v>3.5827841845703126</v>
      </c>
      <c r="BM62" s="100">
        <v>5980.3833608847663</v>
      </c>
      <c r="BN62" s="100">
        <v>2.2926095728964566</v>
      </c>
      <c r="BO62" s="100">
        <v>3826.8238990787654</v>
      </c>
      <c r="BP62" s="100">
        <v>5.3475003852890159</v>
      </c>
      <c r="BQ62" s="100">
        <v>8926.047643124426</v>
      </c>
      <c r="BR62" s="100">
        <v>3.327459045780603</v>
      </c>
      <c r="BS62" s="100">
        <v>5554.194639216983</v>
      </c>
      <c r="BT62" s="100">
        <v>4.490751006354472</v>
      </c>
      <c r="BU62" s="100">
        <v>7495.9615798068853</v>
      </c>
      <c r="BV62" s="100">
        <v>3.5849936154027975</v>
      </c>
      <c r="BW62" s="100">
        <v>5984.0713428303497</v>
      </c>
      <c r="BX62" s="100">
        <v>5</v>
      </c>
      <c r="BY62" s="100">
        <v>8346</v>
      </c>
      <c r="BZ62" s="100">
        <v>6.1597604432475039</v>
      </c>
      <c r="CA62" s="100">
        <v>10281.872131868733</v>
      </c>
      <c r="CB62" s="100">
        <v>6</v>
      </c>
      <c r="CC62" s="100">
        <v>10015.200000000001</v>
      </c>
      <c r="CD62" s="100">
        <v>5</v>
      </c>
      <c r="CE62" s="100">
        <v>8346</v>
      </c>
      <c r="CF62" s="100">
        <v>6.0959487525403189</v>
      </c>
      <c r="CG62" s="100">
        <v>10175.3576577403</v>
      </c>
      <c r="CH62" s="100">
        <v>5.2541829832680671</v>
      </c>
      <c r="CI62" s="100">
        <v>8770.2822356710585</v>
      </c>
      <c r="CJ62" s="100">
        <v>5.4498649175832465</v>
      </c>
      <c r="CK62" s="100">
        <v>9096.9145204299548</v>
      </c>
      <c r="CL62" s="100">
        <v>6</v>
      </c>
      <c r="CM62" s="100">
        <v>10015.200000000001</v>
      </c>
      <c r="CN62" s="100">
        <v>5.0159978616058005</v>
      </c>
      <c r="CO62" s="100">
        <v>8372.703630592403</v>
      </c>
      <c r="CP62" s="100">
        <v>6</v>
      </c>
      <c r="CQ62" s="100">
        <v>10015.200000000001</v>
      </c>
      <c r="CR62" s="100">
        <v>6</v>
      </c>
      <c r="CS62" s="100">
        <v>10015.200000000001</v>
      </c>
      <c r="CT62" s="100">
        <v>6.1433751090756816</v>
      </c>
      <c r="CU62" s="100">
        <v>10254.521732069128</v>
      </c>
    </row>
    <row r="63" spans="2:99">
      <c r="C63" s="99" t="s">
        <v>229</v>
      </c>
      <c r="D63" s="100">
        <v>4</v>
      </c>
      <c r="E63" s="100">
        <v>3182.4</v>
      </c>
      <c r="F63" s="100">
        <v>4</v>
      </c>
      <c r="G63" s="100">
        <v>3182.4</v>
      </c>
      <c r="H63" s="100">
        <v>6</v>
      </c>
      <c r="I63" s="100">
        <v>4773.6000000000004</v>
      </c>
      <c r="J63" s="100">
        <v>6</v>
      </c>
      <c r="K63" s="100">
        <v>4773.6000000000004</v>
      </c>
      <c r="L63" s="100">
        <v>5</v>
      </c>
      <c r="M63" s="100">
        <v>3978</v>
      </c>
      <c r="N63" s="100">
        <v>4</v>
      </c>
      <c r="O63" s="100">
        <v>3182.4</v>
      </c>
      <c r="P63" s="100">
        <v>7</v>
      </c>
      <c r="Q63" s="100">
        <v>5569.2</v>
      </c>
      <c r="R63" s="100">
        <v>7</v>
      </c>
      <c r="S63" s="100">
        <v>5569.2</v>
      </c>
      <c r="T63" s="100">
        <v>5</v>
      </c>
      <c r="U63" s="100">
        <v>3978</v>
      </c>
      <c r="V63" s="100">
        <v>6</v>
      </c>
      <c r="W63" s="100">
        <v>4773.6000000000004</v>
      </c>
      <c r="X63" s="100">
        <v>6.4136221508668614</v>
      </c>
      <c r="Y63" s="100">
        <v>5102.6777832296748</v>
      </c>
      <c r="Z63" s="100">
        <v>6</v>
      </c>
      <c r="AA63" s="100">
        <v>4773.6000000000004</v>
      </c>
      <c r="AB63" s="100">
        <v>4.3902750294852684</v>
      </c>
      <c r="AC63" s="100">
        <v>3492.9028134584796</v>
      </c>
      <c r="AD63" s="100">
        <v>2.2916543064819246</v>
      </c>
      <c r="AE63" s="100">
        <v>1823.2401662370191</v>
      </c>
      <c r="AF63" s="100">
        <v>4.9760929703305106</v>
      </c>
      <c r="AG63" s="100">
        <v>3958.9795671949541</v>
      </c>
      <c r="AH63" s="100">
        <v>2.2801974065055894</v>
      </c>
      <c r="AI63" s="100">
        <v>1814.1250566158469</v>
      </c>
      <c r="AJ63" s="100">
        <v>5.6902602069255694</v>
      </c>
      <c r="AK63" s="100">
        <v>4527.1710206299831</v>
      </c>
      <c r="AL63" s="100">
        <v>5.0937643655135609</v>
      </c>
      <c r="AM63" s="100">
        <v>4052.5989292025893</v>
      </c>
      <c r="AN63" s="100">
        <v>4</v>
      </c>
      <c r="AO63" s="100">
        <v>3182.4</v>
      </c>
      <c r="AP63" s="100">
        <v>4.1817000974662228</v>
      </c>
      <c r="AQ63" s="100">
        <v>3326.9605975441268</v>
      </c>
      <c r="AR63" s="100">
        <v>1.8837120536942225</v>
      </c>
      <c r="AS63" s="100">
        <v>1498.6813099191234</v>
      </c>
      <c r="AT63" s="100">
        <v>2.5334659276460956</v>
      </c>
      <c r="AU63" s="100">
        <v>2015.6254920352337</v>
      </c>
      <c r="AV63" s="100">
        <v>1.1805461156818944</v>
      </c>
      <c r="AW63" s="100">
        <v>939.24248963651519</v>
      </c>
      <c r="AX63" s="100">
        <v>6</v>
      </c>
      <c r="AY63" s="100">
        <v>4773.6000000000004</v>
      </c>
      <c r="AZ63" s="100">
        <v>5</v>
      </c>
      <c r="BA63" s="100">
        <v>3978</v>
      </c>
      <c r="BB63" s="100">
        <v>6</v>
      </c>
      <c r="BC63" s="100">
        <v>4773.6000000000004</v>
      </c>
      <c r="BD63" s="100">
        <v>6</v>
      </c>
      <c r="BE63" s="100">
        <v>4773.6000000000004</v>
      </c>
      <c r="BF63" s="100">
        <v>4</v>
      </c>
      <c r="BG63" s="100">
        <v>3182.4</v>
      </c>
      <c r="BH63" s="100">
        <v>6.2068785178013677</v>
      </c>
      <c r="BI63" s="100">
        <v>4938.1925487627686</v>
      </c>
      <c r="BJ63" s="100">
        <v>0.93935603734021866</v>
      </c>
      <c r="BK63" s="100">
        <v>747.35166330787797</v>
      </c>
      <c r="BL63" s="100">
        <v>4</v>
      </c>
      <c r="BM63" s="100">
        <v>3182.4</v>
      </c>
      <c r="BN63" s="100">
        <v>4</v>
      </c>
      <c r="BO63" s="100">
        <v>3182.4</v>
      </c>
      <c r="BP63" s="100">
        <v>6</v>
      </c>
      <c r="BQ63" s="100">
        <v>4773.6000000000004</v>
      </c>
      <c r="BR63" s="100">
        <v>4</v>
      </c>
      <c r="BS63" s="100">
        <v>3182.4</v>
      </c>
      <c r="BT63" s="100">
        <v>4.5494367645966971</v>
      </c>
      <c r="BU63" s="100">
        <v>3619.5318899131325</v>
      </c>
      <c r="BV63" s="100">
        <v>3.3416118745680565</v>
      </c>
      <c r="BW63" s="100">
        <v>2658.5864074063456</v>
      </c>
      <c r="BX63" s="100">
        <v>4.5293596923629567</v>
      </c>
      <c r="BY63" s="100">
        <v>3603.5585712439683</v>
      </c>
      <c r="BZ63" s="100">
        <v>4.6934101993964319</v>
      </c>
      <c r="CA63" s="100">
        <v>3734.0771546398014</v>
      </c>
      <c r="CB63" s="100">
        <v>3.7963782279724998</v>
      </c>
      <c r="CC63" s="100">
        <v>3020.3985181749208</v>
      </c>
      <c r="CD63" s="100">
        <v>5.1377090558385534</v>
      </c>
      <c r="CE63" s="100">
        <v>4087.5613248251534</v>
      </c>
      <c r="CF63" s="100">
        <v>4.9092462602541236</v>
      </c>
      <c r="CG63" s="100">
        <v>3905.7963246581808</v>
      </c>
      <c r="CH63" s="100">
        <v>5.072854052315952</v>
      </c>
      <c r="CI63" s="100">
        <v>4035.9626840225715</v>
      </c>
      <c r="CJ63" s="100">
        <v>4.0243345996254076</v>
      </c>
      <c r="CK63" s="100">
        <v>3201.7606074619744</v>
      </c>
      <c r="CL63" s="100">
        <v>6.0465030842433887</v>
      </c>
      <c r="CM63" s="100">
        <v>4810.5978538240406</v>
      </c>
      <c r="CN63" s="100">
        <v>3.7647164439715244</v>
      </c>
      <c r="CO63" s="100">
        <v>2995.208402823745</v>
      </c>
      <c r="CP63" s="100">
        <v>7</v>
      </c>
      <c r="CQ63" s="100">
        <v>5569.2</v>
      </c>
      <c r="CR63" s="100">
        <v>6</v>
      </c>
      <c r="CS63" s="100">
        <v>4773.6000000000004</v>
      </c>
      <c r="CT63" s="100">
        <v>7.3408457047332494</v>
      </c>
      <c r="CU63" s="100">
        <v>5840.3768426857732</v>
      </c>
    </row>
    <row r="64" spans="2:99">
      <c r="C64" s="99" t="s">
        <v>230</v>
      </c>
      <c r="D64" s="100">
        <v>4</v>
      </c>
      <c r="E64" s="100">
        <v>4036.7999999999993</v>
      </c>
      <c r="F64" s="100">
        <v>4</v>
      </c>
      <c r="G64" s="100">
        <v>4036.7999999999993</v>
      </c>
      <c r="H64" s="100">
        <v>5</v>
      </c>
      <c r="I64" s="100">
        <v>5045.9999999999991</v>
      </c>
      <c r="J64" s="100">
        <v>6</v>
      </c>
      <c r="K64" s="100">
        <v>6055.1999999999989</v>
      </c>
      <c r="L64" s="100">
        <v>5</v>
      </c>
      <c r="M64" s="100">
        <v>5045.9999999999991</v>
      </c>
      <c r="N64" s="100">
        <v>5</v>
      </c>
      <c r="O64" s="100">
        <v>5045.9999999999991</v>
      </c>
      <c r="P64" s="100">
        <v>6</v>
      </c>
      <c r="Q64" s="100">
        <v>6055.1999999999989</v>
      </c>
      <c r="R64" s="100">
        <v>6</v>
      </c>
      <c r="S64" s="100">
        <v>6055.1999999999989</v>
      </c>
      <c r="T64" s="100">
        <v>5</v>
      </c>
      <c r="U64" s="100">
        <v>5045.9999999999991</v>
      </c>
      <c r="V64" s="100">
        <v>7</v>
      </c>
      <c r="W64" s="100">
        <v>7064.3999999999987</v>
      </c>
      <c r="X64" s="100">
        <v>7.4136221508668614</v>
      </c>
      <c r="Y64" s="100">
        <v>7481.827474654835</v>
      </c>
      <c r="Z64" s="100">
        <v>6</v>
      </c>
      <c r="AA64" s="100">
        <v>6055.1999999999989</v>
      </c>
      <c r="AB64" s="100">
        <v>4.3414906507996101</v>
      </c>
      <c r="AC64" s="100">
        <v>4381.432364786966</v>
      </c>
      <c r="AD64" s="100">
        <v>2.864567883102406</v>
      </c>
      <c r="AE64" s="100">
        <v>2890.9219076269474</v>
      </c>
      <c r="AF64" s="100">
        <v>4.9760929703305106</v>
      </c>
      <c r="AG64" s="100">
        <v>5021.87302565755</v>
      </c>
      <c r="AH64" s="100">
        <v>1.9001645054213248</v>
      </c>
      <c r="AI64" s="100">
        <v>1917.6460188712006</v>
      </c>
      <c r="AJ64" s="100">
        <v>4.741883505771308</v>
      </c>
      <c r="AK64" s="100">
        <v>4785.5088340244029</v>
      </c>
      <c r="AL64" s="100">
        <v>5.0937643655135609</v>
      </c>
      <c r="AM64" s="100">
        <v>5140.6269976762851</v>
      </c>
      <c r="AN64" s="100">
        <v>4</v>
      </c>
      <c r="AO64" s="100">
        <v>4036.7999999999993</v>
      </c>
      <c r="AP64" s="100">
        <v>4.1817000974662228</v>
      </c>
      <c r="AQ64" s="100">
        <v>4220.1717383629111</v>
      </c>
      <c r="AR64" s="100">
        <v>1.5313787665747041</v>
      </c>
      <c r="AS64" s="100">
        <v>1545.4674512271911</v>
      </c>
      <c r="AT64" s="100">
        <v>2.0570942113745967</v>
      </c>
      <c r="AU64" s="100">
        <v>2076.0194781192426</v>
      </c>
      <c r="AV64" s="100">
        <v>1.4166553388182732</v>
      </c>
      <c r="AW64" s="100">
        <v>1429.6885679354011</v>
      </c>
      <c r="AX64" s="100">
        <v>5</v>
      </c>
      <c r="AY64" s="100">
        <v>5045.9999999999991</v>
      </c>
      <c r="AZ64" s="100">
        <v>5</v>
      </c>
      <c r="BA64" s="100">
        <v>5045.9999999999991</v>
      </c>
      <c r="BB64" s="100">
        <v>6</v>
      </c>
      <c r="BC64" s="100">
        <v>6055.1999999999989</v>
      </c>
      <c r="BD64" s="100">
        <v>6</v>
      </c>
      <c r="BE64" s="100">
        <v>6055.1999999999989</v>
      </c>
      <c r="BF64" s="100">
        <v>5</v>
      </c>
      <c r="BG64" s="100">
        <v>5045.9999999999991</v>
      </c>
      <c r="BH64" s="100">
        <v>5.2068785178013677</v>
      </c>
      <c r="BI64" s="100">
        <v>5254.7818001651394</v>
      </c>
      <c r="BJ64" s="100">
        <v>1.1272272448082625</v>
      </c>
      <c r="BK64" s="100">
        <v>1137.5977354604984</v>
      </c>
      <c r="BL64" s="100">
        <v>4</v>
      </c>
      <c r="BM64" s="100">
        <v>4036.7999999999993</v>
      </c>
      <c r="BN64" s="100">
        <v>4</v>
      </c>
      <c r="BO64" s="100">
        <v>4036.7999999999993</v>
      </c>
      <c r="BP64" s="100">
        <v>6</v>
      </c>
      <c r="BQ64" s="100">
        <v>6055.1999999999989</v>
      </c>
      <c r="BR64" s="100">
        <v>5</v>
      </c>
      <c r="BS64" s="100">
        <v>5045.9999999999991</v>
      </c>
      <c r="BT64" s="100">
        <v>4.4495391710336616</v>
      </c>
      <c r="BU64" s="100">
        <v>4490.4749314071705</v>
      </c>
      <c r="BV64" s="100">
        <v>3.9848900062583317</v>
      </c>
      <c r="BW64" s="100">
        <v>4021.5509943159077</v>
      </c>
      <c r="BX64" s="100">
        <v>3.8143775158173976</v>
      </c>
      <c r="BY64" s="100">
        <v>3849.4697889629169</v>
      </c>
      <c r="BZ64" s="100">
        <v>5.4698205979950076</v>
      </c>
      <c r="CA64" s="100">
        <v>5520.1429474965607</v>
      </c>
      <c r="CB64" s="100">
        <v>3.1636485233104166</v>
      </c>
      <c r="CC64" s="100">
        <v>3192.7540897248718</v>
      </c>
      <c r="CD64" s="100">
        <v>5.1377090558385534</v>
      </c>
      <c r="CE64" s="100">
        <v>5184.9759791522674</v>
      </c>
      <c r="CF64" s="100">
        <v>4.9092462602541236</v>
      </c>
      <c r="CG64" s="100">
        <v>4954.4113258484604</v>
      </c>
      <c r="CH64" s="100">
        <v>5.072854052315952</v>
      </c>
      <c r="CI64" s="100">
        <v>5119.5243095972583</v>
      </c>
      <c r="CJ64" s="100">
        <v>4.0243345996254076</v>
      </c>
      <c r="CK64" s="100">
        <v>4061.3584779419607</v>
      </c>
      <c r="CL64" s="100">
        <v>6.0531463819924447</v>
      </c>
      <c r="CM64" s="100">
        <v>6108.8353287067739</v>
      </c>
      <c r="CN64" s="100">
        <v>4.5176597327658294</v>
      </c>
      <c r="CO64" s="100">
        <v>4559.2222023072745</v>
      </c>
      <c r="CP64" s="100">
        <v>6</v>
      </c>
      <c r="CQ64" s="100">
        <v>6055.1999999999989</v>
      </c>
      <c r="CR64" s="100">
        <v>6</v>
      </c>
      <c r="CS64" s="100">
        <v>6055.1999999999989</v>
      </c>
      <c r="CT64" s="100">
        <v>7.3408457047332494</v>
      </c>
      <c r="CU64" s="100">
        <v>7408.3814852167943</v>
      </c>
    </row>
    <row r="65" spans="2:99">
      <c r="C65" s="99" t="s">
        <v>231</v>
      </c>
      <c r="D65" s="100">
        <v>4</v>
      </c>
      <c r="E65" s="100">
        <v>4104</v>
      </c>
      <c r="F65" s="100">
        <v>4</v>
      </c>
      <c r="G65" s="100">
        <v>4104</v>
      </c>
      <c r="H65" s="100">
        <v>6</v>
      </c>
      <c r="I65" s="100">
        <v>6156</v>
      </c>
      <c r="J65" s="100">
        <v>6</v>
      </c>
      <c r="K65" s="100">
        <v>6156</v>
      </c>
      <c r="L65" s="100">
        <v>5</v>
      </c>
      <c r="M65" s="100">
        <v>5130</v>
      </c>
      <c r="N65" s="100">
        <v>4</v>
      </c>
      <c r="O65" s="100">
        <v>4104</v>
      </c>
      <c r="P65" s="100">
        <v>6</v>
      </c>
      <c r="Q65" s="100">
        <v>6156</v>
      </c>
      <c r="R65" s="100">
        <v>6</v>
      </c>
      <c r="S65" s="100">
        <v>6156</v>
      </c>
      <c r="T65" s="100">
        <v>5</v>
      </c>
      <c r="U65" s="100">
        <v>5130</v>
      </c>
      <c r="V65" s="100">
        <v>6</v>
      </c>
      <c r="W65" s="100">
        <v>6156</v>
      </c>
      <c r="X65" s="100">
        <v>7.4595801676298459</v>
      </c>
      <c r="Y65" s="100">
        <v>7653.5292519882223</v>
      </c>
      <c r="Z65" s="100">
        <v>6</v>
      </c>
      <c r="AA65" s="100">
        <v>6156</v>
      </c>
      <c r="AB65" s="100">
        <v>4.3414906507996101</v>
      </c>
      <c r="AC65" s="100">
        <v>4454.3694077204</v>
      </c>
      <c r="AD65" s="100">
        <v>2.864567883102406</v>
      </c>
      <c r="AE65" s="100">
        <v>2939.0466480630685</v>
      </c>
      <c r="AF65" s="100">
        <v>4.9760929703305106</v>
      </c>
      <c r="AG65" s="100">
        <v>5105.4713875591042</v>
      </c>
      <c r="AH65" s="100">
        <v>2.2801974065055894</v>
      </c>
      <c r="AI65" s="100">
        <v>2339.4825390747346</v>
      </c>
      <c r="AJ65" s="100">
        <v>5.6902602069255694</v>
      </c>
      <c r="AK65" s="100">
        <v>5838.2069723056338</v>
      </c>
      <c r="AL65" s="100">
        <v>4.2448036379279674</v>
      </c>
      <c r="AM65" s="100">
        <v>4355.1685325140943</v>
      </c>
      <c r="AN65" s="100">
        <v>4</v>
      </c>
      <c r="AO65" s="100">
        <v>4104</v>
      </c>
      <c r="AP65" s="100">
        <v>4.1817000974662228</v>
      </c>
      <c r="AQ65" s="100">
        <v>4290.4243000003444</v>
      </c>
      <c r="AR65" s="100">
        <v>1.8837120536942225</v>
      </c>
      <c r="AS65" s="100">
        <v>1932.6885670902723</v>
      </c>
      <c r="AT65" s="100">
        <v>2.5524168459321714</v>
      </c>
      <c r="AU65" s="100">
        <v>2618.7796839264079</v>
      </c>
      <c r="AV65" s="100">
        <v>1.1805461156818944</v>
      </c>
      <c r="AW65" s="100">
        <v>1211.2403146896236</v>
      </c>
      <c r="AX65" s="100">
        <v>6</v>
      </c>
      <c r="AY65" s="100">
        <v>6156</v>
      </c>
      <c r="AZ65" s="100">
        <v>4</v>
      </c>
      <c r="BA65" s="100">
        <v>4104</v>
      </c>
      <c r="BB65" s="100">
        <v>6</v>
      </c>
      <c r="BC65" s="100">
        <v>6156</v>
      </c>
      <c r="BD65" s="100">
        <v>6</v>
      </c>
      <c r="BE65" s="100">
        <v>6156</v>
      </c>
      <c r="BF65" s="100">
        <v>5</v>
      </c>
      <c r="BG65" s="100">
        <v>5130</v>
      </c>
      <c r="BH65" s="100">
        <v>6.1723987648344734</v>
      </c>
      <c r="BI65" s="100">
        <v>6332.8811327201693</v>
      </c>
      <c r="BJ65" s="100">
        <v>1.1272272448082625</v>
      </c>
      <c r="BK65" s="100">
        <v>1156.5351531732774</v>
      </c>
      <c r="BL65" s="100">
        <v>4</v>
      </c>
      <c r="BM65" s="100">
        <v>4104</v>
      </c>
      <c r="BN65" s="100">
        <v>5</v>
      </c>
      <c r="BO65" s="100">
        <v>5130</v>
      </c>
      <c r="BP65" s="100">
        <v>5</v>
      </c>
      <c r="BQ65" s="100">
        <v>5130</v>
      </c>
      <c r="BR65" s="100">
        <v>5</v>
      </c>
      <c r="BS65" s="100">
        <v>5130</v>
      </c>
      <c r="BT65" s="100">
        <v>4.4994879678151793</v>
      </c>
      <c r="BU65" s="100">
        <v>4616.474654978374</v>
      </c>
      <c r="BV65" s="100">
        <v>3.967001261098805</v>
      </c>
      <c r="BW65" s="100">
        <v>4070.1432938873741</v>
      </c>
      <c r="BX65" s="100">
        <v>3.7994108512492981</v>
      </c>
      <c r="BY65" s="100">
        <v>3898.19553338178</v>
      </c>
      <c r="BZ65" s="100">
        <v>4.6934101993964319</v>
      </c>
      <c r="CA65" s="100">
        <v>4815.4388645807394</v>
      </c>
      <c r="CB65" s="100">
        <v>3.7963782279724998</v>
      </c>
      <c r="CC65" s="100">
        <v>3895.084061899785</v>
      </c>
      <c r="CD65" s="100">
        <v>4.1377090558385534</v>
      </c>
      <c r="CE65" s="100">
        <v>4245.2894912903557</v>
      </c>
      <c r="CF65" s="100">
        <v>4.9092462602541236</v>
      </c>
      <c r="CG65" s="100">
        <v>5036.8866630207312</v>
      </c>
      <c r="CH65" s="100">
        <v>6.0809489470177249</v>
      </c>
      <c r="CI65" s="100">
        <v>6239.0536196401854</v>
      </c>
      <c r="CJ65" s="100">
        <v>4.0243345996254076</v>
      </c>
      <c r="CK65" s="100">
        <v>4128.9672992156684</v>
      </c>
      <c r="CL65" s="100">
        <v>7.0465030842433887</v>
      </c>
      <c r="CM65" s="100">
        <v>7229.7121644337167</v>
      </c>
      <c r="CN65" s="100">
        <v>4.5176597327658294</v>
      </c>
      <c r="CO65" s="100">
        <v>4635.1188858177411</v>
      </c>
      <c r="CP65" s="100">
        <v>6</v>
      </c>
      <c r="CQ65" s="100">
        <v>6156</v>
      </c>
      <c r="CR65" s="100">
        <v>6</v>
      </c>
      <c r="CS65" s="100">
        <v>6156</v>
      </c>
      <c r="CT65" s="100">
        <v>6.3408457047332494</v>
      </c>
      <c r="CU65" s="100">
        <v>6505.7076930563135</v>
      </c>
    </row>
    <row r="66" spans="2:99">
      <c r="C66" s="99" t="s">
        <v>232</v>
      </c>
      <c r="D66" s="100">
        <v>4</v>
      </c>
      <c r="E66" s="100">
        <v>4761.5999999999995</v>
      </c>
      <c r="F66" s="100">
        <v>4</v>
      </c>
      <c r="G66" s="100">
        <v>4761.5999999999995</v>
      </c>
      <c r="H66" s="100">
        <v>6</v>
      </c>
      <c r="I66" s="100">
        <v>7142.4</v>
      </c>
      <c r="J66" s="100">
        <v>6</v>
      </c>
      <c r="K66" s="100">
        <v>7142.4</v>
      </c>
      <c r="L66" s="100">
        <v>5</v>
      </c>
      <c r="M66" s="100">
        <v>5951.9999999999991</v>
      </c>
      <c r="N66" s="100">
        <v>4</v>
      </c>
      <c r="O66" s="100">
        <v>4761.5999999999995</v>
      </c>
      <c r="P66" s="100">
        <v>6</v>
      </c>
      <c r="Q66" s="100">
        <v>7142.4</v>
      </c>
      <c r="R66" s="100">
        <v>6</v>
      </c>
      <c r="S66" s="100">
        <v>7142.4</v>
      </c>
      <c r="T66" s="100">
        <v>5</v>
      </c>
      <c r="U66" s="100">
        <v>5951.9999999999991</v>
      </c>
      <c r="V66" s="100">
        <v>7</v>
      </c>
      <c r="W66" s="100">
        <v>8332.7999999999993</v>
      </c>
      <c r="X66" s="100">
        <v>7.4595801676298459</v>
      </c>
      <c r="Y66" s="100">
        <v>8879.8842315465681</v>
      </c>
      <c r="Z66" s="100">
        <v>6</v>
      </c>
      <c r="AA66" s="100">
        <v>7142.4</v>
      </c>
      <c r="AB66" s="100">
        <v>4.3414906507996101</v>
      </c>
      <c r="AC66" s="100">
        <v>5168.1104707118548</v>
      </c>
      <c r="AD66" s="100">
        <v>2.864567883102406</v>
      </c>
      <c r="AE66" s="100">
        <v>3409.9816080451037</v>
      </c>
      <c r="AF66" s="100">
        <v>4.9760929703305106</v>
      </c>
      <c r="AG66" s="100">
        <v>5923.5410718814392</v>
      </c>
      <c r="AH66" s="100">
        <v>1.9001645054213248</v>
      </c>
      <c r="AI66" s="100">
        <v>2261.9558272535446</v>
      </c>
      <c r="AJ66" s="100">
        <v>5.6902602069255694</v>
      </c>
      <c r="AK66" s="100">
        <v>6773.6857503241972</v>
      </c>
      <c r="AL66" s="100">
        <v>5.0937643655135609</v>
      </c>
      <c r="AM66" s="100">
        <v>6063.6171007073426</v>
      </c>
      <c r="AN66" s="100">
        <v>4</v>
      </c>
      <c r="AO66" s="100">
        <v>4761.5999999999995</v>
      </c>
      <c r="AP66" s="100">
        <v>4.1817000974662228</v>
      </c>
      <c r="AQ66" s="100">
        <v>4977.8957960237913</v>
      </c>
      <c r="AR66" s="100">
        <v>1.548813854874223</v>
      </c>
      <c r="AS66" s="100">
        <v>1843.7080128422749</v>
      </c>
      <c r="AT66" s="100">
        <v>2.0570942113745967</v>
      </c>
      <c r="AU66" s="100">
        <v>2448.7649492203195</v>
      </c>
      <c r="AV66" s="100">
        <v>1.4166553388182732</v>
      </c>
      <c r="AW66" s="100">
        <v>1686.3865153292722</v>
      </c>
      <c r="AX66" s="100">
        <v>6</v>
      </c>
      <c r="AY66" s="100">
        <v>7142.4</v>
      </c>
      <c r="AZ66" s="100">
        <v>4</v>
      </c>
      <c r="BA66" s="100">
        <v>4761.5999999999995</v>
      </c>
      <c r="BB66" s="100">
        <v>6</v>
      </c>
      <c r="BC66" s="100">
        <v>7142.4</v>
      </c>
      <c r="BD66" s="100">
        <v>5</v>
      </c>
      <c r="BE66" s="100">
        <v>5951.9999999999991</v>
      </c>
      <c r="BF66" s="100">
        <v>4</v>
      </c>
      <c r="BG66" s="100">
        <v>4761.5999999999995</v>
      </c>
      <c r="BH66" s="100">
        <v>5.2068785178013677</v>
      </c>
      <c r="BI66" s="100">
        <v>6198.2681875907474</v>
      </c>
      <c r="BJ66" s="100">
        <v>1.1272272448082625</v>
      </c>
      <c r="BK66" s="100">
        <v>1341.8513122197555</v>
      </c>
      <c r="BL66" s="100">
        <v>4</v>
      </c>
      <c r="BM66" s="100">
        <v>4761.5999999999995</v>
      </c>
      <c r="BN66" s="100">
        <v>5</v>
      </c>
      <c r="BO66" s="100">
        <v>5951.9999999999991</v>
      </c>
      <c r="BP66" s="100">
        <v>5</v>
      </c>
      <c r="BQ66" s="100">
        <v>5951.9999999999991</v>
      </c>
      <c r="BR66" s="100">
        <v>5</v>
      </c>
      <c r="BS66" s="100">
        <v>5951.9999999999991</v>
      </c>
      <c r="BT66" s="100">
        <v>4.4994879678151793</v>
      </c>
      <c r="BU66" s="100">
        <v>5356.1904768871891</v>
      </c>
      <c r="BV66" s="100">
        <v>3.3416118745680565</v>
      </c>
      <c r="BW66" s="100">
        <v>3977.8547754858141</v>
      </c>
      <c r="BX66" s="100">
        <v>4.544326356931057</v>
      </c>
      <c r="BY66" s="100">
        <v>5409.5660952907292</v>
      </c>
      <c r="BZ66" s="100">
        <v>4.6934101993964319</v>
      </c>
      <c r="CA66" s="100">
        <v>5587.0355013615117</v>
      </c>
      <c r="CB66" s="100">
        <v>3.1636485233104166</v>
      </c>
      <c r="CC66" s="100">
        <v>3766.0072021487194</v>
      </c>
      <c r="CD66" s="100">
        <v>5.1377090558385534</v>
      </c>
      <c r="CE66" s="100">
        <v>6115.928860070213</v>
      </c>
      <c r="CF66" s="100">
        <v>4.9092462602541236</v>
      </c>
      <c r="CG66" s="100">
        <v>5843.9667482065079</v>
      </c>
      <c r="CH66" s="100">
        <v>6.072854052315952</v>
      </c>
      <c r="CI66" s="100">
        <v>7229.1254638769087</v>
      </c>
      <c r="CJ66" s="100">
        <v>4.0243345996254076</v>
      </c>
      <c r="CK66" s="100">
        <v>4790.5679073940846</v>
      </c>
      <c r="CL66" s="100">
        <v>6.0465030842433887</v>
      </c>
      <c r="CM66" s="100">
        <v>7197.7572714833286</v>
      </c>
      <c r="CN66" s="100">
        <v>4.5176597327658294</v>
      </c>
      <c r="CO66" s="100">
        <v>5377.8221458844428</v>
      </c>
      <c r="CP66" s="100">
        <v>7</v>
      </c>
      <c r="CQ66" s="100">
        <v>8332.7999999999993</v>
      </c>
      <c r="CR66" s="100">
        <v>7</v>
      </c>
      <c r="CS66" s="100">
        <v>8332.7999999999993</v>
      </c>
      <c r="CT66" s="100">
        <v>6.3408457047332494</v>
      </c>
      <c r="CU66" s="100">
        <v>7548.1427269144588</v>
      </c>
    </row>
    <row r="67" spans="2:99">
      <c r="C67" s="99" t="s">
        <v>233</v>
      </c>
      <c r="D67" s="100">
        <v>3</v>
      </c>
      <c r="E67" s="100">
        <v>3369.6000000000004</v>
      </c>
      <c r="F67" s="100">
        <v>4</v>
      </c>
      <c r="G67" s="100">
        <v>4492.8</v>
      </c>
      <c r="H67" s="100">
        <v>6</v>
      </c>
      <c r="I67" s="100">
        <v>6739.2000000000007</v>
      </c>
      <c r="J67" s="100">
        <v>6</v>
      </c>
      <c r="K67" s="100">
        <v>6739.2000000000007</v>
      </c>
      <c r="L67" s="100">
        <v>5</v>
      </c>
      <c r="M67" s="100">
        <v>5616</v>
      </c>
      <c r="N67" s="100">
        <v>4</v>
      </c>
      <c r="O67" s="100">
        <v>4492.8</v>
      </c>
      <c r="P67" s="100">
        <v>6</v>
      </c>
      <c r="Q67" s="100">
        <v>6739.2000000000007</v>
      </c>
      <c r="R67" s="100">
        <v>6</v>
      </c>
      <c r="S67" s="100">
        <v>6739.2000000000007</v>
      </c>
      <c r="T67" s="100">
        <v>5</v>
      </c>
      <c r="U67" s="100">
        <v>5616</v>
      </c>
      <c r="V67" s="100">
        <v>7</v>
      </c>
      <c r="W67" s="100">
        <v>7862.4000000000005</v>
      </c>
      <c r="X67" s="100">
        <v>7.4595801676298459</v>
      </c>
      <c r="Y67" s="100">
        <v>8378.600444281843</v>
      </c>
      <c r="Z67" s="100">
        <v>7</v>
      </c>
      <c r="AA67" s="100">
        <v>7862.4000000000005</v>
      </c>
      <c r="AB67" s="100">
        <v>4.3414906507996101</v>
      </c>
      <c r="AC67" s="100">
        <v>4876.3622989781225</v>
      </c>
      <c r="AD67" s="100">
        <v>2.864567883102406</v>
      </c>
      <c r="AE67" s="100">
        <v>3217.4826463006225</v>
      </c>
      <c r="AF67" s="100">
        <v>4.9760929703305106</v>
      </c>
      <c r="AG67" s="100">
        <v>5589.1476242752296</v>
      </c>
      <c r="AH67" s="100">
        <v>1.9001645054213248</v>
      </c>
      <c r="AI67" s="100">
        <v>2134.2647724892322</v>
      </c>
      <c r="AJ67" s="100">
        <v>5.6902602069255694</v>
      </c>
      <c r="AK67" s="100">
        <v>6391.3002644188</v>
      </c>
      <c r="AL67" s="100">
        <v>5.0937643655135609</v>
      </c>
      <c r="AM67" s="100">
        <v>5721.3161353448322</v>
      </c>
      <c r="AN67" s="100">
        <v>4</v>
      </c>
      <c r="AO67" s="100">
        <v>4492.8</v>
      </c>
      <c r="AP67" s="100">
        <v>4.1817000974662228</v>
      </c>
      <c r="AQ67" s="100">
        <v>4696.8855494740619</v>
      </c>
      <c r="AR67" s="100">
        <v>1.8837120536942225</v>
      </c>
      <c r="AS67" s="100">
        <v>2115.7853787093509</v>
      </c>
      <c r="AT67" s="100">
        <v>2.0570942113745967</v>
      </c>
      <c r="AU67" s="100">
        <v>2310.5282182159472</v>
      </c>
      <c r="AV67" s="100">
        <v>1.4166553388182732</v>
      </c>
      <c r="AW67" s="100">
        <v>1591.1872765606845</v>
      </c>
      <c r="AX67" s="100">
        <v>5</v>
      </c>
      <c r="AY67" s="100">
        <v>5616</v>
      </c>
      <c r="AZ67" s="100">
        <v>5</v>
      </c>
      <c r="BA67" s="100">
        <v>5616</v>
      </c>
      <c r="BB67" s="100">
        <v>6</v>
      </c>
      <c r="BC67" s="100">
        <v>6739.2000000000007</v>
      </c>
      <c r="BD67" s="100">
        <v>5</v>
      </c>
      <c r="BE67" s="100">
        <v>5616</v>
      </c>
      <c r="BF67" s="100">
        <v>4</v>
      </c>
      <c r="BG67" s="100">
        <v>4492.8</v>
      </c>
      <c r="BH67" s="100">
        <v>6.2068785178013677</v>
      </c>
      <c r="BI67" s="100">
        <v>6971.5659511944968</v>
      </c>
      <c r="BJ67" s="100">
        <v>0.93935603734021866</v>
      </c>
      <c r="BK67" s="100">
        <v>1055.0847011405338</v>
      </c>
      <c r="BL67" s="100">
        <v>4</v>
      </c>
      <c r="BM67" s="100">
        <v>4492.8</v>
      </c>
      <c r="BN67" s="100">
        <v>5</v>
      </c>
      <c r="BO67" s="100">
        <v>5616</v>
      </c>
      <c r="BP67" s="100">
        <v>6</v>
      </c>
      <c r="BQ67" s="100">
        <v>6739.2000000000007</v>
      </c>
      <c r="BR67" s="100">
        <v>5</v>
      </c>
      <c r="BS67" s="100">
        <v>5616</v>
      </c>
      <c r="BT67" s="100">
        <v>3.4994879678151798</v>
      </c>
      <c r="BU67" s="100">
        <v>3930.62488545001</v>
      </c>
      <c r="BV67" s="100">
        <v>3.3416118745680565</v>
      </c>
      <c r="BW67" s="100">
        <v>3753.2984575148412</v>
      </c>
      <c r="BX67" s="100">
        <v>3.7994108512492981</v>
      </c>
      <c r="BY67" s="100">
        <v>4267.4982681232123</v>
      </c>
      <c r="BZ67" s="100">
        <v>4.6934101993964319</v>
      </c>
      <c r="CA67" s="100">
        <v>5271.6383359620722</v>
      </c>
      <c r="CB67" s="100">
        <v>3.1636485233104166</v>
      </c>
      <c r="CC67" s="100">
        <v>3553.4100213822599</v>
      </c>
      <c r="CD67" s="100">
        <v>5</v>
      </c>
      <c r="CE67" s="100">
        <v>5616</v>
      </c>
      <c r="CF67" s="100">
        <v>4.9092462602541236</v>
      </c>
      <c r="CG67" s="100">
        <v>5514.0653995174316</v>
      </c>
      <c r="CH67" s="100">
        <v>5.072854052315952</v>
      </c>
      <c r="CI67" s="100">
        <v>5697.8296715612778</v>
      </c>
      <c r="CJ67" s="100">
        <v>4.0243345996254076</v>
      </c>
      <c r="CK67" s="100">
        <v>4520.1326222992584</v>
      </c>
      <c r="CL67" s="100">
        <v>6.0531463819924447</v>
      </c>
      <c r="CM67" s="100">
        <v>6798.8940162539138</v>
      </c>
      <c r="CN67" s="100">
        <v>4.5176597327658294</v>
      </c>
      <c r="CO67" s="100">
        <v>5074.2354118425801</v>
      </c>
      <c r="CP67" s="100">
        <v>7</v>
      </c>
      <c r="CQ67" s="100">
        <v>7862.4000000000005</v>
      </c>
      <c r="CR67" s="100">
        <v>7</v>
      </c>
      <c r="CS67" s="100">
        <v>7862.4000000000005</v>
      </c>
      <c r="CT67" s="100">
        <v>6.3408457047332494</v>
      </c>
      <c r="CU67" s="100">
        <v>7122.0378955563856</v>
      </c>
    </row>
    <row r="68" spans="2:99">
      <c r="C68" s="99" t="s">
        <v>234</v>
      </c>
      <c r="D68" s="100">
        <v>3</v>
      </c>
      <c r="E68" s="100">
        <v>3099.6000000000004</v>
      </c>
      <c r="F68" s="100">
        <v>4</v>
      </c>
      <c r="G68" s="100">
        <v>4132.8</v>
      </c>
      <c r="H68" s="100">
        <v>5</v>
      </c>
      <c r="I68" s="100">
        <v>5166</v>
      </c>
      <c r="J68" s="100">
        <v>7</v>
      </c>
      <c r="K68" s="100">
        <v>7232.4000000000005</v>
      </c>
      <c r="L68" s="100">
        <v>5</v>
      </c>
      <c r="M68" s="100">
        <v>5166</v>
      </c>
      <c r="N68" s="100">
        <v>4</v>
      </c>
      <c r="O68" s="100">
        <v>4132.8</v>
      </c>
      <c r="P68" s="100">
        <v>6</v>
      </c>
      <c r="Q68" s="100">
        <v>6199.2000000000007</v>
      </c>
      <c r="R68" s="100">
        <v>6</v>
      </c>
      <c r="S68" s="100">
        <v>6199.2000000000007</v>
      </c>
      <c r="T68" s="100">
        <v>5</v>
      </c>
      <c r="U68" s="100">
        <v>5166</v>
      </c>
      <c r="V68" s="100">
        <v>6</v>
      </c>
      <c r="W68" s="100">
        <v>6199.2000000000007</v>
      </c>
      <c r="X68" s="100">
        <v>7.4595801676298459</v>
      </c>
      <c r="Y68" s="100">
        <v>7707.2382291951571</v>
      </c>
      <c r="Z68" s="100">
        <v>6</v>
      </c>
      <c r="AA68" s="100">
        <v>6199.2000000000007</v>
      </c>
      <c r="AB68" s="100">
        <v>4.3902750294852684</v>
      </c>
      <c r="AC68" s="100">
        <v>4536.0321604641795</v>
      </c>
      <c r="AD68" s="100">
        <v>2.2916543064819246</v>
      </c>
      <c r="AE68" s="100">
        <v>2367.7372294571246</v>
      </c>
      <c r="AF68" s="100">
        <v>4.930147820068755</v>
      </c>
      <c r="AG68" s="100">
        <v>5093.8287276950377</v>
      </c>
      <c r="AH68" s="100">
        <v>1.9001645054213248</v>
      </c>
      <c r="AI68" s="100">
        <v>1963.2499670013128</v>
      </c>
      <c r="AJ68" s="100">
        <v>4.741883505771308</v>
      </c>
      <c r="AK68" s="100">
        <v>4899.3140381629155</v>
      </c>
      <c r="AL68" s="100">
        <v>4.2448036379279674</v>
      </c>
      <c r="AM68" s="100">
        <v>4385.7311187071764</v>
      </c>
      <c r="AN68" s="100">
        <v>4</v>
      </c>
      <c r="AO68" s="100">
        <v>4132.8</v>
      </c>
      <c r="AP68" s="100">
        <v>4.1817000974662228</v>
      </c>
      <c r="AQ68" s="100">
        <v>4320.5325407021019</v>
      </c>
      <c r="AR68" s="100">
        <v>1.8662769653947042</v>
      </c>
      <c r="AS68" s="100">
        <v>1928.2373606458084</v>
      </c>
      <c r="AT68" s="100">
        <v>2.0570942113745967</v>
      </c>
      <c r="AU68" s="100">
        <v>2125.3897391922333</v>
      </c>
      <c r="AV68" s="100">
        <v>1.1805461156818944</v>
      </c>
      <c r="AW68" s="100">
        <v>1219.7402467225334</v>
      </c>
      <c r="AX68" s="100">
        <v>6</v>
      </c>
      <c r="AY68" s="100">
        <v>6199.2000000000007</v>
      </c>
      <c r="AZ68" s="100">
        <v>4</v>
      </c>
      <c r="BA68" s="100">
        <v>4132.8</v>
      </c>
      <c r="BB68" s="100">
        <v>6</v>
      </c>
      <c r="BC68" s="100">
        <v>6199.2000000000007</v>
      </c>
      <c r="BD68" s="100">
        <v>5</v>
      </c>
      <c r="BE68" s="100">
        <v>5166</v>
      </c>
      <c r="BF68" s="100">
        <v>4</v>
      </c>
      <c r="BG68" s="100">
        <v>4132.8</v>
      </c>
      <c r="BH68" s="100">
        <v>5.2068785178013677</v>
      </c>
      <c r="BI68" s="100">
        <v>5379.7468845923731</v>
      </c>
      <c r="BJ68" s="100">
        <v>0.93935603734021866</v>
      </c>
      <c r="BK68" s="100">
        <v>970.54265777991395</v>
      </c>
      <c r="BL68" s="100">
        <v>4</v>
      </c>
      <c r="BM68" s="100">
        <v>4132.8</v>
      </c>
      <c r="BN68" s="100">
        <v>5</v>
      </c>
      <c r="BO68" s="100">
        <v>5166</v>
      </c>
      <c r="BP68" s="100">
        <v>6</v>
      </c>
      <c r="BQ68" s="100">
        <v>6199.2000000000007</v>
      </c>
      <c r="BR68" s="100">
        <v>4</v>
      </c>
      <c r="BS68" s="100">
        <v>4132.8</v>
      </c>
      <c r="BT68" s="100">
        <v>4.4994879678151793</v>
      </c>
      <c r="BU68" s="100">
        <v>4648.8709683466432</v>
      </c>
      <c r="BV68" s="100">
        <v>3.3595006197275832</v>
      </c>
      <c r="BW68" s="100">
        <v>3471.0360403025393</v>
      </c>
      <c r="BX68" s="100">
        <v>3.7994108512492981</v>
      </c>
      <c r="BY68" s="100">
        <v>3925.5512915107752</v>
      </c>
      <c r="BZ68" s="100">
        <v>5.4698205979950076</v>
      </c>
      <c r="CA68" s="100">
        <v>5651.4186418484423</v>
      </c>
      <c r="CB68" s="100">
        <v>3.7963782279724998</v>
      </c>
      <c r="CC68" s="100">
        <v>3922.4179851411868</v>
      </c>
      <c r="CD68" s="100">
        <v>4.1377090558385534</v>
      </c>
      <c r="CE68" s="100">
        <v>4275.0809964923938</v>
      </c>
      <c r="CF68" s="100">
        <v>4.9092462602541236</v>
      </c>
      <c r="CG68" s="100">
        <v>5072.2332360945611</v>
      </c>
      <c r="CH68" s="100">
        <v>5.072854052315952</v>
      </c>
      <c r="CI68" s="100">
        <v>5241.2728068528422</v>
      </c>
      <c r="CJ68" s="100">
        <v>3.2194676797003261</v>
      </c>
      <c r="CK68" s="100">
        <v>3326.3540066663772</v>
      </c>
      <c r="CL68" s="100">
        <v>7.0531463819924447</v>
      </c>
      <c r="CM68" s="100">
        <v>7287.3108418745942</v>
      </c>
      <c r="CN68" s="100">
        <v>4.5176597327658294</v>
      </c>
      <c r="CO68" s="100">
        <v>4667.6460358936556</v>
      </c>
      <c r="CP68" s="100">
        <v>6</v>
      </c>
      <c r="CQ68" s="100">
        <v>6199.2000000000007</v>
      </c>
      <c r="CR68" s="100">
        <v>6</v>
      </c>
      <c r="CS68" s="100">
        <v>6199.2000000000007</v>
      </c>
      <c r="CT68" s="100">
        <v>7.3408457047332494</v>
      </c>
      <c r="CU68" s="100">
        <v>7584.561782130394</v>
      </c>
    </row>
    <row r="69" spans="2:99">
      <c r="C69" s="99" t="s">
        <v>235</v>
      </c>
      <c r="D69" s="100">
        <v>4</v>
      </c>
      <c r="E69" s="100">
        <v>3033.6</v>
      </c>
      <c r="F69" s="100">
        <v>4</v>
      </c>
      <c r="G69" s="100">
        <v>3033.6</v>
      </c>
      <c r="H69" s="100">
        <v>6</v>
      </c>
      <c r="I69" s="100">
        <v>4550.3999999999996</v>
      </c>
      <c r="J69" s="100">
        <v>7</v>
      </c>
      <c r="K69" s="100">
        <v>5308.8</v>
      </c>
      <c r="L69" s="100">
        <v>5</v>
      </c>
      <c r="M69" s="100">
        <v>3792</v>
      </c>
      <c r="N69" s="100">
        <v>4</v>
      </c>
      <c r="O69" s="100">
        <v>3033.6</v>
      </c>
      <c r="P69" s="100">
        <v>7</v>
      </c>
      <c r="Q69" s="100">
        <v>5308.8</v>
      </c>
      <c r="R69" s="100">
        <v>6</v>
      </c>
      <c r="S69" s="100">
        <v>4550.3999999999996</v>
      </c>
      <c r="T69" s="100">
        <v>5</v>
      </c>
      <c r="U69" s="100">
        <v>3792</v>
      </c>
      <c r="V69" s="100">
        <v>6</v>
      </c>
      <c r="W69" s="100">
        <v>4550.3999999999996</v>
      </c>
      <c r="X69" s="100">
        <v>6.4136221508668614</v>
      </c>
      <c r="Y69" s="100">
        <v>4864.0910392174274</v>
      </c>
      <c r="Z69" s="100">
        <v>7</v>
      </c>
      <c r="AA69" s="100">
        <v>5308.8</v>
      </c>
      <c r="AB69" s="100">
        <v>4.3414906507996101</v>
      </c>
      <c r="AC69" s="100">
        <v>3292.586509566424</v>
      </c>
      <c r="AD69" s="100">
        <v>2.2916543064819246</v>
      </c>
      <c r="AE69" s="100">
        <v>1737.9906260358916</v>
      </c>
      <c r="AF69" s="100">
        <v>4.9760929703305106</v>
      </c>
      <c r="AG69" s="100">
        <v>3773.8689086986592</v>
      </c>
      <c r="AH69" s="100">
        <v>2.2801974065055894</v>
      </c>
      <c r="AI69" s="100">
        <v>1729.301713093839</v>
      </c>
      <c r="AJ69" s="100">
        <v>4.741883505771308</v>
      </c>
      <c r="AK69" s="100">
        <v>3596.2444507769601</v>
      </c>
      <c r="AL69" s="100">
        <v>5.0937643655135609</v>
      </c>
      <c r="AM69" s="100">
        <v>3863.1108948054843</v>
      </c>
      <c r="AN69" s="100">
        <v>4</v>
      </c>
      <c r="AO69" s="100">
        <v>3033.6</v>
      </c>
      <c r="AP69" s="100">
        <v>4.1817000974662228</v>
      </c>
      <c r="AQ69" s="100">
        <v>3171.4013539183834</v>
      </c>
      <c r="AR69" s="100">
        <v>1.9011471419937414</v>
      </c>
      <c r="AS69" s="100">
        <v>1441.8299924880534</v>
      </c>
      <c r="AT69" s="100">
        <v>2.0760451296606726</v>
      </c>
      <c r="AU69" s="100">
        <v>1574.472626334654</v>
      </c>
      <c r="AV69" s="100">
        <v>1.1805461156818944</v>
      </c>
      <c r="AW69" s="100">
        <v>895.3261741331487</v>
      </c>
      <c r="AX69" s="100">
        <v>6</v>
      </c>
      <c r="AY69" s="100">
        <v>4550.3999999999996</v>
      </c>
      <c r="AZ69" s="100">
        <v>5</v>
      </c>
      <c r="BA69" s="100">
        <v>3792</v>
      </c>
      <c r="BB69" s="100">
        <v>6</v>
      </c>
      <c r="BC69" s="100">
        <v>4550.3999999999996</v>
      </c>
      <c r="BD69" s="100">
        <v>6</v>
      </c>
      <c r="BE69" s="100">
        <v>4550.3999999999996</v>
      </c>
      <c r="BF69" s="100">
        <v>4</v>
      </c>
      <c r="BG69" s="100">
        <v>3033.6</v>
      </c>
      <c r="BH69" s="100">
        <v>5.2068785178013677</v>
      </c>
      <c r="BI69" s="100">
        <v>3948.8966679005571</v>
      </c>
      <c r="BJ69" s="100">
        <v>1.1272272448082625</v>
      </c>
      <c r="BK69" s="100">
        <v>854.88914246258628</v>
      </c>
      <c r="BL69" s="100">
        <v>4</v>
      </c>
      <c r="BM69" s="100">
        <v>3033.6</v>
      </c>
      <c r="BN69" s="100">
        <v>5</v>
      </c>
      <c r="BO69" s="100">
        <v>3792</v>
      </c>
      <c r="BP69" s="100">
        <v>6</v>
      </c>
      <c r="BQ69" s="100">
        <v>4550.3999999999996</v>
      </c>
      <c r="BR69" s="100">
        <v>5</v>
      </c>
      <c r="BS69" s="100">
        <v>3792</v>
      </c>
      <c r="BT69" s="100">
        <v>4.4994879678151793</v>
      </c>
      <c r="BU69" s="100">
        <v>3412.4116747910321</v>
      </c>
      <c r="BV69" s="100">
        <v>3.3595006197275832</v>
      </c>
      <c r="BW69" s="100">
        <v>2547.8452700013991</v>
      </c>
      <c r="BX69" s="100">
        <v>4.544326356931057</v>
      </c>
      <c r="BY69" s="100">
        <v>3446.4171090965137</v>
      </c>
      <c r="BZ69" s="100">
        <v>5.4698205979950076</v>
      </c>
      <c r="CA69" s="100">
        <v>4148.3119415194133</v>
      </c>
      <c r="CB69" s="100">
        <v>3.1636485233104166</v>
      </c>
      <c r="CC69" s="100">
        <v>2399.31104007862</v>
      </c>
      <c r="CD69" s="100">
        <v>5.1514799614224094</v>
      </c>
      <c r="CE69" s="100">
        <v>3906.8824027427549</v>
      </c>
      <c r="CF69" s="100">
        <v>5.7274539702964775</v>
      </c>
      <c r="CG69" s="100">
        <v>4343.7010910728486</v>
      </c>
      <c r="CH69" s="100">
        <v>6.0809489470177249</v>
      </c>
      <c r="CI69" s="100">
        <v>4611.7916814182427</v>
      </c>
      <c r="CJ69" s="100">
        <v>4.0243345996254076</v>
      </c>
      <c r="CK69" s="100">
        <v>3052.0553603559092</v>
      </c>
      <c r="CL69" s="100">
        <v>6.0531463819924447</v>
      </c>
      <c r="CM69" s="100">
        <v>4590.7062161030699</v>
      </c>
      <c r="CN69" s="100">
        <v>4.5176597327658294</v>
      </c>
      <c r="CO69" s="100">
        <v>3426.1931413296052</v>
      </c>
      <c r="CP69" s="100">
        <v>6</v>
      </c>
      <c r="CQ69" s="100">
        <v>4550.3999999999996</v>
      </c>
      <c r="CR69" s="100">
        <v>7</v>
      </c>
      <c r="CS69" s="100">
        <v>5308.8</v>
      </c>
      <c r="CT69" s="100">
        <v>7.3408457047332494</v>
      </c>
      <c r="CU69" s="100">
        <v>5567.2973824696965</v>
      </c>
    </row>
    <row r="70" spans="2:99">
      <c r="C70" s="99" t="s">
        <v>236</v>
      </c>
      <c r="D70" s="100">
        <v>4</v>
      </c>
      <c r="E70" s="100">
        <v>2140.7999999999997</v>
      </c>
      <c r="F70" s="100">
        <v>4</v>
      </c>
      <c r="G70" s="100">
        <v>2140.7999999999997</v>
      </c>
      <c r="H70" s="100">
        <v>6</v>
      </c>
      <c r="I70" s="100">
        <v>3211.2</v>
      </c>
      <c r="J70" s="100">
        <v>7</v>
      </c>
      <c r="K70" s="100">
        <v>3746.3999999999996</v>
      </c>
      <c r="L70" s="100">
        <v>6</v>
      </c>
      <c r="M70" s="100">
        <v>3211.2</v>
      </c>
      <c r="N70" s="100">
        <v>4</v>
      </c>
      <c r="O70" s="100">
        <v>2140.7999999999997</v>
      </c>
      <c r="P70" s="100">
        <v>6</v>
      </c>
      <c r="Q70" s="100">
        <v>3211.2</v>
      </c>
      <c r="R70" s="100">
        <v>6</v>
      </c>
      <c r="S70" s="100">
        <v>3211.2</v>
      </c>
      <c r="T70" s="100">
        <v>5</v>
      </c>
      <c r="U70" s="100">
        <v>2675.9999999999995</v>
      </c>
      <c r="V70" s="100">
        <v>7</v>
      </c>
      <c r="W70" s="100">
        <v>3746.3999999999996</v>
      </c>
      <c r="X70" s="100">
        <v>7.5055381843928304</v>
      </c>
      <c r="Y70" s="100">
        <v>4016.9640362870423</v>
      </c>
      <c r="Z70" s="100">
        <v>7</v>
      </c>
      <c r="AA70" s="100">
        <v>3746.3999999999996</v>
      </c>
      <c r="AB70" s="100">
        <v>4.3414906507996101</v>
      </c>
      <c r="AC70" s="100">
        <v>2323.5657963079511</v>
      </c>
      <c r="AD70" s="100">
        <v>2.2916543064819246</v>
      </c>
      <c r="AE70" s="100">
        <v>1226.4933848291259</v>
      </c>
      <c r="AF70" s="100">
        <v>4.9760929703305106</v>
      </c>
      <c r="AG70" s="100">
        <v>2663.2049577208891</v>
      </c>
      <c r="AH70" s="100">
        <v>1.9001645054213248</v>
      </c>
      <c r="AI70" s="100">
        <v>1016.9680433014929</v>
      </c>
      <c r="AJ70" s="100">
        <v>5.6902602069255694</v>
      </c>
      <c r="AK70" s="100">
        <v>3045.4272627465643</v>
      </c>
      <c r="AL70" s="100">
        <v>5.9427250930991544</v>
      </c>
      <c r="AM70" s="100">
        <v>3180.5464698266669</v>
      </c>
      <c r="AN70" s="100">
        <v>4</v>
      </c>
      <c r="AO70" s="100">
        <v>2140.7999999999997</v>
      </c>
      <c r="AP70" s="100">
        <v>4.1817000974662228</v>
      </c>
      <c r="AQ70" s="100">
        <v>2238.045892163922</v>
      </c>
      <c r="AR70" s="100">
        <v>1.5313787665747041</v>
      </c>
      <c r="AS70" s="100">
        <v>819.59391587078153</v>
      </c>
      <c r="AT70" s="100">
        <v>2.0760451296606726</v>
      </c>
      <c r="AU70" s="100">
        <v>1111.0993533943918</v>
      </c>
      <c r="AV70" s="100">
        <v>1.1805461156818944</v>
      </c>
      <c r="AW70" s="100">
        <v>631.82828111294975</v>
      </c>
      <c r="AX70" s="100">
        <v>6</v>
      </c>
      <c r="AY70" s="100">
        <v>3211.2</v>
      </c>
      <c r="AZ70" s="100">
        <v>4</v>
      </c>
      <c r="BA70" s="100">
        <v>2140.7999999999997</v>
      </c>
      <c r="BB70" s="100">
        <v>7</v>
      </c>
      <c r="BC70" s="100">
        <v>3746.3999999999996</v>
      </c>
      <c r="BD70" s="100">
        <v>6</v>
      </c>
      <c r="BE70" s="100">
        <v>3211.2</v>
      </c>
      <c r="BF70" s="100">
        <v>4</v>
      </c>
      <c r="BG70" s="100">
        <v>2140.7999999999997</v>
      </c>
      <c r="BH70" s="100">
        <v>5.2068785178013677</v>
      </c>
      <c r="BI70" s="100">
        <v>2786.7213827272917</v>
      </c>
      <c r="BJ70" s="100">
        <v>1.1272272448082625</v>
      </c>
      <c r="BK70" s="100">
        <v>603.29202142138206</v>
      </c>
      <c r="BL70" s="100">
        <v>4</v>
      </c>
      <c r="BM70" s="100">
        <v>2140.7999999999997</v>
      </c>
      <c r="BN70" s="100">
        <v>4</v>
      </c>
      <c r="BO70" s="100">
        <v>2140.7999999999997</v>
      </c>
      <c r="BP70" s="100">
        <v>6</v>
      </c>
      <c r="BQ70" s="100">
        <v>3211.2</v>
      </c>
      <c r="BR70" s="100">
        <v>5</v>
      </c>
      <c r="BS70" s="100">
        <v>2675.9999999999995</v>
      </c>
      <c r="BT70" s="100">
        <v>4.5494367645966971</v>
      </c>
      <c r="BU70" s="100">
        <v>2434.8585564121518</v>
      </c>
      <c r="BV70" s="100">
        <v>3.3237231294085308</v>
      </c>
      <c r="BW70" s="100">
        <v>1778.8566188594455</v>
      </c>
      <c r="BX70" s="100">
        <v>3.8293441803854984</v>
      </c>
      <c r="BY70" s="100">
        <v>2049.4650053423184</v>
      </c>
      <c r="BZ70" s="100">
        <v>5.4698205979950076</v>
      </c>
      <c r="CA70" s="100">
        <v>2927.4479840469276</v>
      </c>
      <c r="CB70" s="100">
        <v>3.7963782279724998</v>
      </c>
      <c r="CC70" s="100">
        <v>2031.8216276108817</v>
      </c>
      <c r="CD70" s="100">
        <v>5.1377090558385534</v>
      </c>
      <c r="CE70" s="100">
        <v>2749.7018866847934</v>
      </c>
      <c r="CF70" s="100">
        <v>5.7274539702964775</v>
      </c>
      <c r="CG70" s="100">
        <v>3065.3333649026745</v>
      </c>
      <c r="CH70" s="100">
        <v>5.0809489470177249</v>
      </c>
      <c r="CI70" s="100">
        <v>2719.3238764438861</v>
      </c>
      <c r="CJ70" s="100">
        <v>4.0243345996254076</v>
      </c>
      <c r="CK70" s="100">
        <v>2153.8238777195179</v>
      </c>
      <c r="CL70" s="100">
        <v>6.0465030842433887</v>
      </c>
      <c r="CM70" s="100">
        <v>3236.0884506870611</v>
      </c>
      <c r="CN70" s="100">
        <v>4.5176597327658294</v>
      </c>
      <c r="CO70" s="100">
        <v>2417.8514889762714</v>
      </c>
      <c r="CP70" s="100">
        <v>6</v>
      </c>
      <c r="CQ70" s="100">
        <v>3211.2</v>
      </c>
      <c r="CR70" s="100">
        <v>7</v>
      </c>
      <c r="CS70" s="100">
        <v>3746.3999999999996</v>
      </c>
      <c r="CT70" s="100">
        <v>7.3408457047332494</v>
      </c>
      <c r="CU70" s="100">
        <v>3928.8206211732345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5.5475954491076163</v>
      </c>
      <c r="G71" s="100">
        <v>3128.8438332966957</v>
      </c>
      <c r="H71" s="100">
        <v>3</v>
      </c>
      <c r="I71" s="100">
        <v>1692</v>
      </c>
      <c r="J71" s="100">
        <v>6</v>
      </c>
      <c r="K71" s="100">
        <v>3384</v>
      </c>
      <c r="L71" s="100">
        <v>4.4626022386135222</v>
      </c>
      <c r="M71" s="100">
        <v>2516.9076625780267</v>
      </c>
      <c r="N71" s="100">
        <v>3.4326712291359005</v>
      </c>
      <c r="O71" s="100">
        <v>1936.0265732326479</v>
      </c>
      <c r="P71" s="100">
        <v>5</v>
      </c>
      <c r="Q71" s="100">
        <v>2820</v>
      </c>
      <c r="R71" s="100">
        <v>3</v>
      </c>
      <c r="S71" s="100">
        <v>1692</v>
      </c>
      <c r="T71" s="100">
        <v>5</v>
      </c>
      <c r="U71" s="100">
        <v>2820</v>
      </c>
      <c r="V71" s="100">
        <v>4</v>
      </c>
      <c r="W71" s="100">
        <v>2256</v>
      </c>
      <c r="X71" s="100">
        <v>5</v>
      </c>
      <c r="Y71" s="100">
        <v>2820</v>
      </c>
      <c r="Z71" s="100">
        <v>5.3228180697581235</v>
      </c>
      <c r="AA71" s="100">
        <v>3002.0693913435816</v>
      </c>
      <c r="AB71" s="100">
        <v>4</v>
      </c>
      <c r="AC71" s="100">
        <v>2256</v>
      </c>
      <c r="AD71" s="100">
        <v>4</v>
      </c>
      <c r="AE71" s="100">
        <v>2256</v>
      </c>
      <c r="AF71" s="100">
        <v>5</v>
      </c>
      <c r="AG71" s="100">
        <v>2820</v>
      </c>
      <c r="AH71" s="100">
        <v>6</v>
      </c>
      <c r="AI71" s="100">
        <v>3384</v>
      </c>
      <c r="AJ71" s="100">
        <v>3</v>
      </c>
      <c r="AK71" s="100">
        <v>1692</v>
      </c>
      <c r="AL71" s="100">
        <v>4</v>
      </c>
      <c r="AM71" s="100">
        <v>2256</v>
      </c>
      <c r="AN71" s="100">
        <v>3</v>
      </c>
      <c r="AO71" s="100">
        <v>1692</v>
      </c>
      <c r="AP71" s="100">
        <v>5</v>
      </c>
      <c r="AQ71" s="100">
        <v>2820</v>
      </c>
      <c r="AR71" s="100">
        <v>7</v>
      </c>
      <c r="AS71" s="100">
        <v>3948</v>
      </c>
      <c r="AT71" s="100">
        <v>4.1871428354663971</v>
      </c>
      <c r="AU71" s="100">
        <v>2361.5485592030482</v>
      </c>
      <c r="AV71" s="100">
        <v>6</v>
      </c>
      <c r="AW71" s="100">
        <v>3384</v>
      </c>
      <c r="AX71" s="100">
        <v>5</v>
      </c>
      <c r="AY71" s="100">
        <v>2820</v>
      </c>
      <c r="AZ71" s="100">
        <v>5.4984488605652642</v>
      </c>
      <c r="BA71" s="100">
        <v>3101.1251573588088</v>
      </c>
      <c r="BB71" s="100">
        <v>5</v>
      </c>
      <c r="BC71" s="100">
        <v>2820</v>
      </c>
      <c r="BD71" s="100">
        <v>3.659091479410344</v>
      </c>
      <c r="BE71" s="100">
        <v>2063.7275943874338</v>
      </c>
      <c r="BF71" s="100">
        <v>3</v>
      </c>
      <c r="BG71" s="100">
        <v>1692</v>
      </c>
      <c r="BH71" s="100">
        <v>2.8192221487648204</v>
      </c>
      <c r="BI71" s="100">
        <v>1590.0412919033586</v>
      </c>
      <c r="BJ71" s="100">
        <v>5.4373563327126524</v>
      </c>
      <c r="BK71" s="100">
        <v>3066.6689716499359</v>
      </c>
      <c r="BL71" s="100">
        <v>3</v>
      </c>
      <c r="BM71" s="100">
        <v>1692</v>
      </c>
      <c r="BN71" s="100">
        <v>5</v>
      </c>
      <c r="BO71" s="100">
        <v>2820</v>
      </c>
      <c r="BP71" s="100">
        <v>4</v>
      </c>
      <c r="BQ71" s="100">
        <v>2256</v>
      </c>
      <c r="BR71" s="100">
        <v>5</v>
      </c>
      <c r="BS71" s="100">
        <v>2820</v>
      </c>
      <c r="BT71" s="100">
        <v>6</v>
      </c>
      <c r="BU71" s="100">
        <v>3384</v>
      </c>
      <c r="BV71" s="100">
        <v>7</v>
      </c>
      <c r="BW71" s="100">
        <v>3948</v>
      </c>
      <c r="BX71" s="100">
        <v>5.0095885850178394</v>
      </c>
      <c r="BY71" s="100">
        <v>2825.4079619500612</v>
      </c>
      <c r="BZ71" s="100">
        <v>5</v>
      </c>
      <c r="CA71" s="100">
        <v>2820</v>
      </c>
      <c r="CB71" s="100">
        <v>6</v>
      </c>
      <c r="CC71" s="100">
        <v>3384</v>
      </c>
      <c r="CD71" s="100">
        <v>7</v>
      </c>
      <c r="CE71" s="100">
        <v>3948</v>
      </c>
      <c r="CF71" s="100">
        <v>4</v>
      </c>
      <c r="CG71" s="100">
        <v>2256</v>
      </c>
      <c r="CH71" s="100">
        <v>4</v>
      </c>
      <c r="CI71" s="100">
        <v>2256</v>
      </c>
      <c r="CJ71" s="100">
        <v>4</v>
      </c>
      <c r="CK71" s="100">
        <v>2256</v>
      </c>
      <c r="CL71" s="100">
        <v>5</v>
      </c>
      <c r="CM71" s="100">
        <v>2820</v>
      </c>
      <c r="CN71" s="100">
        <v>4</v>
      </c>
      <c r="CO71" s="100">
        <v>2256</v>
      </c>
      <c r="CP71" s="100">
        <v>5</v>
      </c>
      <c r="CQ71" s="100">
        <v>2820</v>
      </c>
      <c r="CR71" s="100">
        <v>4</v>
      </c>
      <c r="CS71" s="100">
        <v>2256</v>
      </c>
      <c r="CT71" s="100">
        <v>5</v>
      </c>
      <c r="CU71" s="100">
        <v>2820</v>
      </c>
    </row>
    <row r="72" spans="2:99">
      <c r="C72" s="99" t="s">
        <v>238</v>
      </c>
      <c r="D72" s="100">
        <v>4</v>
      </c>
      <c r="E72" s="100">
        <v>297.59999999999997</v>
      </c>
      <c r="F72" s="100">
        <v>5.5475954491076163</v>
      </c>
      <c r="G72" s="100">
        <v>412.7411014136066</v>
      </c>
      <c r="H72" s="100">
        <v>4</v>
      </c>
      <c r="I72" s="100">
        <v>297.59999999999997</v>
      </c>
      <c r="J72" s="100">
        <v>6</v>
      </c>
      <c r="K72" s="100">
        <v>446.4</v>
      </c>
      <c r="L72" s="100">
        <v>4.4626022386135222</v>
      </c>
      <c r="M72" s="100">
        <v>332.01760655284602</v>
      </c>
      <c r="N72" s="100">
        <v>3.4326712291359005</v>
      </c>
      <c r="O72" s="100">
        <v>255.39073944771096</v>
      </c>
      <c r="P72" s="100">
        <v>5</v>
      </c>
      <c r="Q72" s="100">
        <v>371.99999999999994</v>
      </c>
      <c r="R72" s="100">
        <v>3</v>
      </c>
      <c r="S72" s="100">
        <v>223.2</v>
      </c>
      <c r="T72" s="100">
        <v>6</v>
      </c>
      <c r="U72" s="100">
        <v>446.4</v>
      </c>
      <c r="V72" s="100">
        <v>4</v>
      </c>
      <c r="W72" s="100">
        <v>297.59999999999997</v>
      </c>
      <c r="X72" s="100">
        <v>6</v>
      </c>
      <c r="Y72" s="100">
        <v>446.4</v>
      </c>
      <c r="Z72" s="100">
        <v>5.3497195755713003</v>
      </c>
      <c r="AA72" s="100">
        <v>398.01913642250469</v>
      </c>
      <c r="AB72" s="100">
        <v>4</v>
      </c>
      <c r="AC72" s="100">
        <v>297.59999999999997</v>
      </c>
      <c r="AD72" s="100">
        <v>4</v>
      </c>
      <c r="AE72" s="100">
        <v>297.59999999999997</v>
      </c>
      <c r="AF72" s="100">
        <v>5</v>
      </c>
      <c r="AG72" s="100">
        <v>371.99999999999994</v>
      </c>
      <c r="AH72" s="100">
        <v>6</v>
      </c>
      <c r="AI72" s="100">
        <v>446.4</v>
      </c>
      <c r="AJ72" s="100">
        <v>3</v>
      </c>
      <c r="AK72" s="100">
        <v>223.2</v>
      </c>
      <c r="AL72" s="100">
        <v>5</v>
      </c>
      <c r="AM72" s="100">
        <v>371.99999999999994</v>
      </c>
      <c r="AN72" s="100">
        <v>3</v>
      </c>
      <c r="AO72" s="100">
        <v>223.2</v>
      </c>
      <c r="AP72" s="100">
        <v>4</v>
      </c>
      <c r="AQ72" s="100">
        <v>297.59999999999997</v>
      </c>
      <c r="AR72" s="100">
        <v>6</v>
      </c>
      <c r="AS72" s="100">
        <v>446.4</v>
      </c>
      <c r="AT72" s="100">
        <v>5.1871428354663971</v>
      </c>
      <c r="AU72" s="100">
        <v>385.92342695869991</v>
      </c>
      <c r="AV72" s="100">
        <v>6</v>
      </c>
      <c r="AW72" s="100">
        <v>446.4</v>
      </c>
      <c r="AX72" s="100">
        <v>5</v>
      </c>
      <c r="AY72" s="100">
        <v>371.99999999999994</v>
      </c>
      <c r="AZ72" s="100">
        <v>5</v>
      </c>
      <c r="BA72" s="100">
        <v>371.99999999999994</v>
      </c>
      <c r="BB72" s="100">
        <v>5</v>
      </c>
      <c r="BC72" s="100">
        <v>371.99999999999994</v>
      </c>
      <c r="BD72" s="100">
        <v>2.7443186095577579</v>
      </c>
      <c r="BE72" s="100">
        <v>204.17730455109717</v>
      </c>
      <c r="BF72" s="100">
        <v>4</v>
      </c>
      <c r="BG72" s="100">
        <v>297.59999999999997</v>
      </c>
      <c r="BH72" s="100">
        <v>3.3830665785177843</v>
      </c>
      <c r="BI72" s="100">
        <v>251.70015344172313</v>
      </c>
      <c r="BJ72" s="100">
        <v>5.4373563327126524</v>
      </c>
      <c r="BK72" s="100">
        <v>404.5393111538213</v>
      </c>
      <c r="BL72" s="100">
        <v>3</v>
      </c>
      <c r="BM72" s="100">
        <v>223.2</v>
      </c>
      <c r="BN72" s="100">
        <v>5</v>
      </c>
      <c r="BO72" s="100">
        <v>371.99999999999994</v>
      </c>
      <c r="BP72" s="100">
        <v>4</v>
      </c>
      <c r="BQ72" s="100">
        <v>297.59999999999997</v>
      </c>
      <c r="BR72" s="100">
        <v>6</v>
      </c>
      <c r="BS72" s="100">
        <v>446.4</v>
      </c>
      <c r="BT72" s="100">
        <v>6</v>
      </c>
      <c r="BU72" s="100">
        <v>446.4</v>
      </c>
      <c r="BV72" s="100">
        <v>7</v>
      </c>
      <c r="BW72" s="100">
        <v>520.79999999999995</v>
      </c>
      <c r="BX72" s="100">
        <v>4</v>
      </c>
      <c r="BY72" s="100">
        <v>297.59999999999997</v>
      </c>
      <c r="BZ72" s="100">
        <v>5</v>
      </c>
      <c r="CA72" s="100">
        <v>371.99999999999994</v>
      </c>
      <c r="CB72" s="100">
        <v>6</v>
      </c>
      <c r="CC72" s="100">
        <v>446.4</v>
      </c>
      <c r="CD72" s="100">
        <v>6</v>
      </c>
      <c r="CE72" s="100">
        <v>446.4</v>
      </c>
      <c r="CF72" s="100">
        <v>4</v>
      </c>
      <c r="CG72" s="100">
        <v>297.59999999999997</v>
      </c>
      <c r="CH72" s="100">
        <v>5</v>
      </c>
      <c r="CI72" s="100">
        <v>371.99999999999994</v>
      </c>
      <c r="CJ72" s="100">
        <v>4</v>
      </c>
      <c r="CK72" s="100">
        <v>297.59999999999997</v>
      </c>
      <c r="CL72" s="100">
        <v>6</v>
      </c>
      <c r="CM72" s="100">
        <v>446.4</v>
      </c>
      <c r="CN72" s="100">
        <v>4.6420915723350626</v>
      </c>
      <c r="CO72" s="100">
        <v>345.37161298172862</v>
      </c>
      <c r="CP72" s="100">
        <v>5</v>
      </c>
      <c r="CQ72" s="100">
        <v>371.99999999999994</v>
      </c>
      <c r="CR72" s="100">
        <v>4</v>
      </c>
      <c r="CS72" s="100">
        <v>297.59999999999997</v>
      </c>
      <c r="CT72" s="100">
        <v>5</v>
      </c>
      <c r="CU72" s="100">
        <v>371.99999999999994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5.5973768535719453</v>
      </c>
      <c r="G73" s="100">
        <v>3130.0531365174315</v>
      </c>
      <c r="H73" s="100">
        <v>3</v>
      </c>
      <c r="I73" s="100">
        <v>1677.6</v>
      </c>
      <c r="J73" s="100">
        <v>6</v>
      </c>
      <c r="K73" s="100">
        <v>3355.2</v>
      </c>
      <c r="L73" s="100">
        <v>4.4981870261991785</v>
      </c>
      <c r="M73" s="100">
        <v>2515.3861850505805</v>
      </c>
      <c r="N73" s="100">
        <v>3.4326712291359005</v>
      </c>
      <c r="O73" s="100">
        <v>1919.5497513327953</v>
      </c>
      <c r="P73" s="100">
        <v>6</v>
      </c>
      <c r="Q73" s="100">
        <v>3355.2</v>
      </c>
      <c r="R73" s="100">
        <v>3</v>
      </c>
      <c r="S73" s="100">
        <v>1677.6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6</v>
      </c>
      <c r="Y73" s="100">
        <v>3355.2</v>
      </c>
      <c r="Z73" s="100">
        <v>5.3228180697581235</v>
      </c>
      <c r="AA73" s="100">
        <v>2976.5198646087424</v>
      </c>
      <c r="AB73" s="100">
        <v>4</v>
      </c>
      <c r="AC73" s="100">
        <v>2236.7999999999997</v>
      </c>
      <c r="AD73" s="100">
        <v>4</v>
      </c>
      <c r="AE73" s="100">
        <v>2236.7999999999997</v>
      </c>
      <c r="AF73" s="100">
        <v>4</v>
      </c>
      <c r="AG73" s="100">
        <v>2236.7999999999997</v>
      </c>
      <c r="AH73" s="100">
        <v>6</v>
      </c>
      <c r="AI73" s="100">
        <v>3355.2</v>
      </c>
      <c r="AJ73" s="100">
        <v>3</v>
      </c>
      <c r="AK73" s="100">
        <v>1677.6</v>
      </c>
      <c r="AL73" s="100">
        <v>5</v>
      </c>
      <c r="AM73" s="100">
        <v>2795.9999999999995</v>
      </c>
      <c r="AN73" s="100">
        <v>3</v>
      </c>
      <c r="AO73" s="100">
        <v>1677.6</v>
      </c>
      <c r="AP73" s="100">
        <v>4</v>
      </c>
      <c r="AQ73" s="100">
        <v>2236.7999999999997</v>
      </c>
      <c r="AR73" s="100">
        <v>6</v>
      </c>
      <c r="AS73" s="100">
        <v>3355.2</v>
      </c>
      <c r="AT73" s="100">
        <v>5.2138775262473107</v>
      </c>
      <c r="AU73" s="100">
        <v>2915.6003126774958</v>
      </c>
      <c r="AV73" s="100">
        <v>5</v>
      </c>
      <c r="AW73" s="100">
        <v>2795.9999999999995</v>
      </c>
      <c r="AX73" s="100">
        <v>5</v>
      </c>
      <c r="AY73" s="100">
        <v>2795.9999999999995</v>
      </c>
      <c r="AZ73" s="100">
        <v>5</v>
      </c>
      <c r="BA73" s="100">
        <v>2795.9999999999995</v>
      </c>
      <c r="BB73" s="100">
        <v>5</v>
      </c>
      <c r="BC73" s="100">
        <v>2795.9999999999995</v>
      </c>
      <c r="BD73" s="100">
        <v>2.7443186095577579</v>
      </c>
      <c r="BE73" s="100">
        <v>1534.622966464698</v>
      </c>
      <c r="BF73" s="100">
        <v>3</v>
      </c>
      <c r="BG73" s="100">
        <v>1677.6</v>
      </c>
      <c r="BH73" s="100">
        <v>2.8192221487648204</v>
      </c>
      <c r="BI73" s="100">
        <v>1576.5090255892874</v>
      </c>
      <c r="BJ73" s="100">
        <v>5.4373563327126524</v>
      </c>
      <c r="BK73" s="100">
        <v>3040.569661252915</v>
      </c>
      <c r="BL73" s="100">
        <v>3</v>
      </c>
      <c r="BM73" s="100">
        <v>1677.6</v>
      </c>
      <c r="BN73" s="100">
        <v>5</v>
      </c>
      <c r="BO73" s="100">
        <v>2795.9999999999995</v>
      </c>
      <c r="BP73" s="100">
        <v>4</v>
      </c>
      <c r="BQ73" s="100">
        <v>2236.7999999999997</v>
      </c>
      <c r="BR73" s="100">
        <v>6</v>
      </c>
      <c r="BS73" s="100">
        <v>3355.2</v>
      </c>
      <c r="BT73" s="100">
        <v>6</v>
      </c>
      <c r="BU73" s="100">
        <v>3355.2</v>
      </c>
      <c r="BV73" s="100">
        <v>6</v>
      </c>
      <c r="BW73" s="100">
        <v>3355.2</v>
      </c>
      <c r="BX73" s="100">
        <v>5</v>
      </c>
      <c r="BY73" s="100">
        <v>2795.9999999999995</v>
      </c>
      <c r="BZ73" s="100">
        <v>5</v>
      </c>
      <c r="CA73" s="100">
        <v>2795.9999999999995</v>
      </c>
      <c r="CB73" s="100">
        <v>6</v>
      </c>
      <c r="CC73" s="100">
        <v>3355.2</v>
      </c>
      <c r="CD73" s="100">
        <v>6</v>
      </c>
      <c r="CE73" s="100">
        <v>3355.2</v>
      </c>
      <c r="CF73" s="100">
        <v>4</v>
      </c>
      <c r="CG73" s="100">
        <v>2236.7999999999997</v>
      </c>
      <c r="CH73" s="100">
        <v>5</v>
      </c>
      <c r="CI73" s="100">
        <v>2795.9999999999995</v>
      </c>
      <c r="CJ73" s="100">
        <v>4</v>
      </c>
      <c r="CK73" s="100">
        <v>2236.7999999999997</v>
      </c>
      <c r="CL73" s="100">
        <v>5</v>
      </c>
      <c r="CM73" s="100">
        <v>2795.9999999999995</v>
      </c>
      <c r="CN73" s="100">
        <v>4.6420915723350626</v>
      </c>
      <c r="CO73" s="100">
        <v>2595.8576072497667</v>
      </c>
      <c r="CP73" s="100">
        <v>5.2426241870110299</v>
      </c>
      <c r="CQ73" s="100">
        <v>2931.6754453765675</v>
      </c>
      <c r="CR73" s="100">
        <v>4</v>
      </c>
      <c r="CS73" s="100">
        <v>2236.7999999999997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4</v>
      </c>
      <c r="E74" s="100">
        <v>1612.8</v>
      </c>
      <c r="F74" s="100">
        <v>5</v>
      </c>
      <c r="G74" s="100">
        <v>2016</v>
      </c>
      <c r="H74" s="100">
        <v>3</v>
      </c>
      <c r="I74" s="100">
        <v>1209.5999999999999</v>
      </c>
      <c r="J74" s="100">
        <v>6</v>
      </c>
      <c r="K74" s="100">
        <v>2419.1999999999998</v>
      </c>
      <c r="L74" s="100">
        <v>4.533771813784834</v>
      </c>
      <c r="M74" s="100">
        <v>1828.0167953180451</v>
      </c>
      <c r="N74" s="100">
        <v>3.4326712291359005</v>
      </c>
      <c r="O74" s="100">
        <v>1384.0530395875951</v>
      </c>
      <c r="P74" s="100">
        <v>5</v>
      </c>
      <c r="Q74" s="100">
        <v>2016</v>
      </c>
      <c r="R74" s="100">
        <v>3</v>
      </c>
      <c r="S74" s="100">
        <v>1209.5999999999999</v>
      </c>
      <c r="T74" s="100">
        <v>5</v>
      </c>
      <c r="U74" s="100">
        <v>2016</v>
      </c>
      <c r="V74" s="100">
        <v>5</v>
      </c>
      <c r="W74" s="100">
        <v>2016</v>
      </c>
      <c r="X74" s="100">
        <v>6</v>
      </c>
      <c r="Y74" s="100">
        <v>2419.1999999999998</v>
      </c>
      <c r="Z74" s="100">
        <v>5.3497195755713003</v>
      </c>
      <c r="AA74" s="100">
        <v>2157.006932870348</v>
      </c>
      <c r="AB74" s="100">
        <v>4</v>
      </c>
      <c r="AC74" s="100">
        <v>1612.8</v>
      </c>
      <c r="AD74" s="100">
        <v>4</v>
      </c>
      <c r="AE74" s="100">
        <v>1612.8</v>
      </c>
      <c r="AF74" s="100">
        <v>5</v>
      </c>
      <c r="AG74" s="100">
        <v>2016</v>
      </c>
      <c r="AH74" s="100">
        <v>5</v>
      </c>
      <c r="AI74" s="100">
        <v>2016</v>
      </c>
      <c r="AJ74" s="100">
        <v>3</v>
      </c>
      <c r="AK74" s="100">
        <v>1209.5999999999999</v>
      </c>
      <c r="AL74" s="100">
        <v>4</v>
      </c>
      <c r="AM74" s="100">
        <v>1612.8</v>
      </c>
      <c r="AN74" s="100">
        <v>4</v>
      </c>
      <c r="AO74" s="100">
        <v>1612.8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4.2138775262473107</v>
      </c>
      <c r="AU74" s="100">
        <v>1699.0354185829156</v>
      </c>
      <c r="AV74" s="100">
        <v>6</v>
      </c>
      <c r="AW74" s="100">
        <v>2419.1999999999998</v>
      </c>
      <c r="AX74" s="100">
        <v>5</v>
      </c>
      <c r="AY74" s="100">
        <v>2016</v>
      </c>
      <c r="AZ74" s="100">
        <v>5.4984488605652642</v>
      </c>
      <c r="BA74" s="100">
        <v>2216.9745805799143</v>
      </c>
      <c r="BB74" s="100">
        <v>5</v>
      </c>
      <c r="BC74" s="100">
        <v>2016</v>
      </c>
      <c r="BD74" s="100">
        <v>2.7443186095577579</v>
      </c>
      <c r="BE74" s="100">
        <v>1106.5092633736879</v>
      </c>
      <c r="BF74" s="100">
        <v>4</v>
      </c>
      <c r="BG74" s="100">
        <v>1612.8</v>
      </c>
      <c r="BH74" s="100">
        <v>3.3830665785177843</v>
      </c>
      <c r="BI74" s="100">
        <v>1364.0524444583705</v>
      </c>
      <c r="BJ74" s="100">
        <v>5.4373563327126524</v>
      </c>
      <c r="BK74" s="100">
        <v>2192.3420733497414</v>
      </c>
      <c r="BL74" s="100">
        <v>3</v>
      </c>
      <c r="BM74" s="100">
        <v>1209.5999999999999</v>
      </c>
      <c r="BN74" s="100">
        <v>4</v>
      </c>
      <c r="BO74" s="100">
        <v>1612.8</v>
      </c>
      <c r="BP74" s="100">
        <v>4</v>
      </c>
      <c r="BQ74" s="100">
        <v>1612.8</v>
      </c>
      <c r="BR74" s="100">
        <v>6</v>
      </c>
      <c r="BS74" s="100">
        <v>2419.1999999999998</v>
      </c>
      <c r="BT74" s="100">
        <v>6</v>
      </c>
      <c r="BU74" s="100">
        <v>2419.1999999999998</v>
      </c>
      <c r="BV74" s="100">
        <v>7</v>
      </c>
      <c r="BW74" s="100">
        <v>2822.4</v>
      </c>
      <c r="BX74" s="100">
        <v>5</v>
      </c>
      <c r="BY74" s="100">
        <v>2016</v>
      </c>
      <c r="BZ74" s="100">
        <v>5</v>
      </c>
      <c r="CA74" s="100">
        <v>2016</v>
      </c>
      <c r="CB74" s="100">
        <v>6</v>
      </c>
      <c r="CC74" s="100">
        <v>2419.1999999999998</v>
      </c>
      <c r="CD74" s="100">
        <v>6</v>
      </c>
      <c r="CE74" s="100">
        <v>2419.1999999999998</v>
      </c>
      <c r="CF74" s="100">
        <v>4</v>
      </c>
      <c r="CG74" s="100">
        <v>1612.8</v>
      </c>
      <c r="CH74" s="100">
        <v>4</v>
      </c>
      <c r="CI74" s="100">
        <v>1612.8</v>
      </c>
      <c r="CJ74" s="100">
        <v>4</v>
      </c>
      <c r="CK74" s="100">
        <v>1612.8</v>
      </c>
      <c r="CL74" s="100">
        <v>5</v>
      </c>
      <c r="CM74" s="100">
        <v>2016</v>
      </c>
      <c r="CN74" s="100">
        <v>4.691483231745452</v>
      </c>
      <c r="CO74" s="100">
        <v>1891.6060390397663</v>
      </c>
      <c r="CP74" s="100">
        <v>5</v>
      </c>
      <c r="CQ74" s="100">
        <v>2016</v>
      </c>
      <c r="CR74" s="100">
        <v>4</v>
      </c>
      <c r="CS74" s="100">
        <v>1612.8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6.5475954491076163</v>
      </c>
      <c r="G75" s="100">
        <v>4211.4133928660185</v>
      </c>
      <c r="H75" s="100">
        <v>3</v>
      </c>
      <c r="I75" s="100">
        <v>1929.6</v>
      </c>
      <c r="J75" s="100">
        <v>5</v>
      </c>
      <c r="K75" s="100">
        <v>3215.9999999999995</v>
      </c>
      <c r="L75" s="100">
        <v>4.4981870261991785</v>
      </c>
      <c r="M75" s="100">
        <v>2893.2338952513114</v>
      </c>
      <c r="N75" s="100">
        <v>4.1192054749630804</v>
      </c>
      <c r="O75" s="100">
        <v>2649.472961496253</v>
      </c>
      <c r="P75" s="100">
        <v>5</v>
      </c>
      <c r="Q75" s="100">
        <v>3215.9999999999995</v>
      </c>
      <c r="R75" s="100">
        <v>3</v>
      </c>
      <c r="S75" s="100">
        <v>1929.6</v>
      </c>
      <c r="T75" s="100">
        <v>6</v>
      </c>
      <c r="U75" s="100">
        <v>3859.2</v>
      </c>
      <c r="V75" s="100">
        <v>5</v>
      </c>
      <c r="W75" s="100">
        <v>3215.9999999999995</v>
      </c>
      <c r="X75" s="100">
        <v>5</v>
      </c>
      <c r="Y75" s="100">
        <v>3215.9999999999995</v>
      </c>
      <c r="Z75" s="100">
        <v>5.3228180697581235</v>
      </c>
      <c r="AA75" s="100">
        <v>3423.6365824684249</v>
      </c>
      <c r="AB75" s="100">
        <v>4</v>
      </c>
      <c r="AC75" s="100">
        <v>2572.7999999999997</v>
      </c>
      <c r="AD75" s="100">
        <v>4</v>
      </c>
      <c r="AE75" s="100">
        <v>2572.7999999999997</v>
      </c>
      <c r="AF75" s="100">
        <v>5</v>
      </c>
      <c r="AG75" s="100">
        <v>3215.9999999999995</v>
      </c>
      <c r="AH75" s="100">
        <v>6</v>
      </c>
      <c r="AI75" s="100">
        <v>3859.2</v>
      </c>
      <c r="AJ75" s="100">
        <v>3</v>
      </c>
      <c r="AK75" s="100">
        <v>1929.6</v>
      </c>
      <c r="AL75" s="100">
        <v>4</v>
      </c>
      <c r="AM75" s="100">
        <v>2572.7999999999997</v>
      </c>
      <c r="AN75" s="100">
        <v>4</v>
      </c>
      <c r="AO75" s="100">
        <v>2572.7999999999997</v>
      </c>
      <c r="AP75" s="100">
        <v>4</v>
      </c>
      <c r="AQ75" s="100">
        <v>2572.7999999999997</v>
      </c>
      <c r="AR75" s="100">
        <v>6</v>
      </c>
      <c r="AS75" s="100">
        <v>3859.2</v>
      </c>
      <c r="AT75" s="100">
        <v>5.2138775262473107</v>
      </c>
      <c r="AU75" s="100">
        <v>3353.5660248822701</v>
      </c>
      <c r="AV75" s="100">
        <v>6</v>
      </c>
      <c r="AW75" s="100">
        <v>3859.2</v>
      </c>
      <c r="AX75" s="100">
        <v>5</v>
      </c>
      <c r="AY75" s="100">
        <v>3215.9999999999995</v>
      </c>
      <c r="AZ75" s="100">
        <v>5</v>
      </c>
      <c r="BA75" s="100">
        <v>3215.9999999999995</v>
      </c>
      <c r="BB75" s="100">
        <v>5</v>
      </c>
      <c r="BC75" s="100">
        <v>3215.9999999999995</v>
      </c>
      <c r="BD75" s="100">
        <v>3.659091479410344</v>
      </c>
      <c r="BE75" s="100">
        <v>2353.527639556733</v>
      </c>
      <c r="BF75" s="100">
        <v>4</v>
      </c>
      <c r="BG75" s="100">
        <v>2572.7999999999997</v>
      </c>
      <c r="BH75" s="100">
        <v>2.8192221487648204</v>
      </c>
      <c r="BI75" s="100">
        <v>1813.3236860855322</v>
      </c>
      <c r="BJ75" s="100">
        <v>5.4373563327126524</v>
      </c>
      <c r="BK75" s="100">
        <v>3497.3075932007778</v>
      </c>
      <c r="BL75" s="100">
        <v>3</v>
      </c>
      <c r="BM75" s="100">
        <v>1929.6</v>
      </c>
      <c r="BN75" s="100">
        <v>4</v>
      </c>
      <c r="BO75" s="100">
        <v>2572.7999999999997</v>
      </c>
      <c r="BP75" s="100">
        <v>4</v>
      </c>
      <c r="BQ75" s="100">
        <v>2572.7999999999997</v>
      </c>
      <c r="BR75" s="100">
        <v>6</v>
      </c>
      <c r="BS75" s="100">
        <v>3859.2</v>
      </c>
      <c r="BT75" s="100">
        <v>6</v>
      </c>
      <c r="BU75" s="100">
        <v>3859.2</v>
      </c>
      <c r="BV75" s="100">
        <v>7</v>
      </c>
      <c r="BW75" s="100">
        <v>4502.3999999999996</v>
      </c>
      <c r="BX75" s="100">
        <v>5</v>
      </c>
      <c r="BY75" s="100">
        <v>3215.9999999999995</v>
      </c>
      <c r="BZ75" s="100">
        <v>5</v>
      </c>
      <c r="CA75" s="100">
        <v>3215.9999999999995</v>
      </c>
      <c r="CB75" s="100">
        <v>7</v>
      </c>
      <c r="CC75" s="100">
        <v>4502.3999999999996</v>
      </c>
      <c r="CD75" s="100">
        <v>6</v>
      </c>
      <c r="CE75" s="100">
        <v>3859.2</v>
      </c>
      <c r="CF75" s="100">
        <v>5</v>
      </c>
      <c r="CG75" s="100">
        <v>3215.9999999999995</v>
      </c>
      <c r="CH75" s="100">
        <v>4</v>
      </c>
      <c r="CI75" s="100">
        <v>2572.7999999999997</v>
      </c>
      <c r="CJ75" s="100">
        <v>4</v>
      </c>
      <c r="CK75" s="100">
        <v>2572.7999999999997</v>
      </c>
      <c r="CL75" s="100">
        <v>5</v>
      </c>
      <c r="CM75" s="100">
        <v>3215.9999999999995</v>
      </c>
      <c r="CN75" s="100">
        <v>4.7408748911558414</v>
      </c>
      <c r="CO75" s="100">
        <v>3049.3307299914368</v>
      </c>
      <c r="CP75" s="100">
        <v>5</v>
      </c>
      <c r="CQ75" s="100">
        <v>3215.9999999999995</v>
      </c>
      <c r="CR75" s="100">
        <v>4</v>
      </c>
      <c r="CS75" s="100">
        <v>2572.7999999999997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4</v>
      </c>
      <c r="E76" s="100">
        <v>3115.2</v>
      </c>
      <c r="F76" s="100">
        <v>5</v>
      </c>
      <c r="G76" s="100">
        <v>3894</v>
      </c>
      <c r="H76" s="100">
        <v>3</v>
      </c>
      <c r="I76" s="100">
        <v>2336.3999999999996</v>
      </c>
      <c r="J76" s="100">
        <v>5</v>
      </c>
      <c r="K76" s="100">
        <v>3894</v>
      </c>
      <c r="L76" s="100">
        <v>4.4981870261991785</v>
      </c>
      <c r="M76" s="100">
        <v>3503.1880560039199</v>
      </c>
      <c r="N76" s="100">
        <v>4.1192054749630804</v>
      </c>
      <c r="O76" s="100">
        <v>3208.0372239012468</v>
      </c>
      <c r="P76" s="100">
        <v>5</v>
      </c>
      <c r="Q76" s="100">
        <v>3894</v>
      </c>
      <c r="R76" s="100">
        <v>3</v>
      </c>
      <c r="S76" s="100">
        <v>2336.3999999999996</v>
      </c>
      <c r="T76" s="100">
        <v>6</v>
      </c>
      <c r="U76" s="100">
        <v>4672.7999999999993</v>
      </c>
      <c r="V76" s="100">
        <v>5</v>
      </c>
      <c r="W76" s="100">
        <v>3894</v>
      </c>
      <c r="X76" s="100">
        <v>5</v>
      </c>
      <c r="Y76" s="100">
        <v>3894</v>
      </c>
      <c r="Z76" s="100">
        <v>4.3228180697581235</v>
      </c>
      <c r="AA76" s="100">
        <v>3366.6107127276264</v>
      </c>
      <c r="AB76" s="100">
        <v>4</v>
      </c>
      <c r="AC76" s="100">
        <v>3115.2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6</v>
      </c>
      <c r="AI76" s="100">
        <v>4672.7999999999993</v>
      </c>
      <c r="AJ76" s="100">
        <v>3</v>
      </c>
      <c r="AK76" s="100">
        <v>2336.3999999999996</v>
      </c>
      <c r="AL76" s="100">
        <v>5</v>
      </c>
      <c r="AM76" s="100">
        <v>3894</v>
      </c>
      <c r="AN76" s="100">
        <v>3</v>
      </c>
      <c r="AO76" s="100">
        <v>2336.3999999999996</v>
      </c>
      <c r="AP76" s="100">
        <v>4</v>
      </c>
      <c r="AQ76" s="100">
        <v>3115.2</v>
      </c>
      <c r="AR76" s="100">
        <v>6</v>
      </c>
      <c r="AS76" s="100">
        <v>4672.7999999999993</v>
      </c>
      <c r="AT76" s="100">
        <v>5.2138775262473107</v>
      </c>
      <c r="AU76" s="100">
        <v>4060.5678174414052</v>
      </c>
      <c r="AV76" s="100">
        <v>6</v>
      </c>
      <c r="AW76" s="100">
        <v>4672.7999999999993</v>
      </c>
      <c r="AX76" s="100">
        <v>5</v>
      </c>
      <c r="AY76" s="100">
        <v>3894</v>
      </c>
      <c r="AZ76" s="100">
        <v>5</v>
      </c>
      <c r="BA76" s="100">
        <v>3894</v>
      </c>
      <c r="BB76" s="100">
        <v>6</v>
      </c>
      <c r="BC76" s="100">
        <v>4672.7999999999993</v>
      </c>
      <c r="BD76" s="100">
        <v>3.659091479410344</v>
      </c>
      <c r="BE76" s="100">
        <v>2849.7004441647755</v>
      </c>
      <c r="BF76" s="100">
        <v>4</v>
      </c>
      <c r="BG76" s="100">
        <v>3115.2</v>
      </c>
      <c r="BH76" s="100">
        <v>2.8192221487648204</v>
      </c>
      <c r="BI76" s="100">
        <v>2195.6102094580419</v>
      </c>
      <c r="BJ76" s="100">
        <v>5.4373563327126524</v>
      </c>
      <c r="BK76" s="100">
        <v>4234.6131119166139</v>
      </c>
      <c r="BL76" s="100">
        <v>3</v>
      </c>
      <c r="BM76" s="100">
        <v>2336.3999999999996</v>
      </c>
      <c r="BN76" s="100">
        <v>4</v>
      </c>
      <c r="BO76" s="100">
        <v>3115.2</v>
      </c>
      <c r="BP76" s="100">
        <v>4</v>
      </c>
      <c r="BQ76" s="100">
        <v>3115.2</v>
      </c>
      <c r="BR76" s="100">
        <v>5</v>
      </c>
      <c r="BS76" s="100">
        <v>3894</v>
      </c>
      <c r="BT76" s="100">
        <v>6</v>
      </c>
      <c r="BU76" s="100">
        <v>4672.7999999999993</v>
      </c>
      <c r="BV76" s="100">
        <v>7</v>
      </c>
      <c r="BW76" s="100">
        <v>5451.5999999999995</v>
      </c>
      <c r="BX76" s="100">
        <v>5</v>
      </c>
      <c r="BY76" s="100">
        <v>3894</v>
      </c>
      <c r="BZ76" s="100">
        <v>5</v>
      </c>
      <c r="CA76" s="100">
        <v>3894</v>
      </c>
      <c r="CB76" s="100">
        <v>7</v>
      </c>
      <c r="CC76" s="100">
        <v>5451.5999999999995</v>
      </c>
      <c r="CD76" s="100">
        <v>7</v>
      </c>
      <c r="CE76" s="100">
        <v>5451.5999999999995</v>
      </c>
      <c r="CF76" s="100">
        <v>4</v>
      </c>
      <c r="CG76" s="100">
        <v>3115.2</v>
      </c>
      <c r="CH76" s="100">
        <v>4</v>
      </c>
      <c r="CI76" s="100">
        <v>3115.2</v>
      </c>
      <c r="CJ76" s="100">
        <v>4</v>
      </c>
      <c r="CK76" s="100">
        <v>3115.2</v>
      </c>
      <c r="CL76" s="100">
        <v>6</v>
      </c>
      <c r="CM76" s="100">
        <v>4672.7999999999993</v>
      </c>
      <c r="CN76" s="100">
        <v>4</v>
      </c>
      <c r="CO76" s="100">
        <v>3115.2</v>
      </c>
      <c r="CP76" s="100">
        <v>5.2426241870110299</v>
      </c>
      <c r="CQ76" s="100">
        <v>4082.9557168441897</v>
      </c>
      <c r="CR76" s="100">
        <v>4</v>
      </c>
      <c r="CS76" s="100">
        <v>3115.2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6</v>
      </c>
      <c r="G77" s="100">
        <v>1670.3999999999999</v>
      </c>
      <c r="H77" s="100">
        <v>3</v>
      </c>
      <c r="I77" s="100">
        <v>835.19999999999993</v>
      </c>
      <c r="J77" s="100">
        <v>6</v>
      </c>
      <c r="K77" s="100">
        <v>1670.3999999999999</v>
      </c>
      <c r="L77" s="100">
        <v>4.533771813784834</v>
      </c>
      <c r="M77" s="100">
        <v>1262.2020729576977</v>
      </c>
      <c r="N77" s="100">
        <v>3.4326712291359005</v>
      </c>
      <c r="O77" s="100">
        <v>955.65567019143464</v>
      </c>
      <c r="P77" s="100">
        <v>5</v>
      </c>
      <c r="Q77" s="100">
        <v>1392</v>
      </c>
      <c r="R77" s="100">
        <v>3</v>
      </c>
      <c r="S77" s="100">
        <v>835.19999999999993</v>
      </c>
      <c r="T77" s="100">
        <v>5</v>
      </c>
      <c r="U77" s="100">
        <v>1392</v>
      </c>
      <c r="V77" s="100">
        <v>4</v>
      </c>
      <c r="W77" s="100">
        <v>1113.5999999999999</v>
      </c>
      <c r="X77" s="100">
        <v>5</v>
      </c>
      <c r="Y77" s="100">
        <v>1392</v>
      </c>
      <c r="Z77" s="100">
        <v>5.3497195755713003</v>
      </c>
      <c r="AA77" s="100">
        <v>1489.3619298390499</v>
      </c>
      <c r="AB77" s="100">
        <v>4</v>
      </c>
      <c r="AC77" s="100">
        <v>1113.5999999999999</v>
      </c>
      <c r="AD77" s="100">
        <v>4</v>
      </c>
      <c r="AE77" s="100">
        <v>1113.5999999999999</v>
      </c>
      <c r="AF77" s="100">
        <v>5</v>
      </c>
      <c r="AG77" s="100">
        <v>1392</v>
      </c>
      <c r="AH77" s="100">
        <v>6</v>
      </c>
      <c r="AI77" s="100">
        <v>1670.3999999999999</v>
      </c>
      <c r="AJ77" s="100">
        <v>3</v>
      </c>
      <c r="AK77" s="100">
        <v>835.19999999999993</v>
      </c>
      <c r="AL77" s="100">
        <v>4</v>
      </c>
      <c r="AM77" s="100">
        <v>1113.5999999999999</v>
      </c>
      <c r="AN77" s="100">
        <v>4</v>
      </c>
      <c r="AO77" s="100">
        <v>1113.5999999999999</v>
      </c>
      <c r="AP77" s="100">
        <v>4</v>
      </c>
      <c r="AQ77" s="100">
        <v>1113.5999999999999</v>
      </c>
      <c r="AR77" s="100">
        <v>7</v>
      </c>
      <c r="AS77" s="100">
        <v>1948.7999999999997</v>
      </c>
      <c r="AT77" s="100">
        <v>4.1871428354663971</v>
      </c>
      <c r="AU77" s="100">
        <v>1165.700565393845</v>
      </c>
      <c r="AV77" s="100">
        <v>6</v>
      </c>
      <c r="AW77" s="100">
        <v>1670.3999999999999</v>
      </c>
      <c r="AX77" s="100">
        <v>5</v>
      </c>
      <c r="AY77" s="100">
        <v>1392</v>
      </c>
      <c r="AZ77" s="100">
        <v>5</v>
      </c>
      <c r="BA77" s="100">
        <v>1392</v>
      </c>
      <c r="BB77" s="100">
        <v>6</v>
      </c>
      <c r="BC77" s="100">
        <v>1670.3999999999999</v>
      </c>
      <c r="BD77" s="100">
        <v>3.659091479410344</v>
      </c>
      <c r="BE77" s="100">
        <v>1018.6910678678397</v>
      </c>
      <c r="BF77" s="100">
        <v>4</v>
      </c>
      <c r="BG77" s="100">
        <v>1113.5999999999999</v>
      </c>
      <c r="BH77" s="100">
        <v>3.3830665785177843</v>
      </c>
      <c r="BI77" s="100">
        <v>941.84573545935109</v>
      </c>
      <c r="BJ77" s="100">
        <v>5.4373563327126524</v>
      </c>
      <c r="BK77" s="100">
        <v>1513.7600030272024</v>
      </c>
      <c r="BL77" s="100">
        <v>3</v>
      </c>
      <c r="BM77" s="100">
        <v>835.19999999999993</v>
      </c>
      <c r="BN77" s="100">
        <v>5</v>
      </c>
      <c r="BO77" s="100">
        <v>1392</v>
      </c>
      <c r="BP77" s="100">
        <v>3</v>
      </c>
      <c r="BQ77" s="100">
        <v>835.19999999999993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7</v>
      </c>
      <c r="BW77" s="100">
        <v>1948.7999999999997</v>
      </c>
      <c r="BX77" s="100">
        <v>5</v>
      </c>
      <c r="BY77" s="100">
        <v>1392</v>
      </c>
      <c r="BZ77" s="100">
        <v>5</v>
      </c>
      <c r="CA77" s="100">
        <v>1392</v>
      </c>
      <c r="CB77" s="100">
        <v>6</v>
      </c>
      <c r="CC77" s="100">
        <v>1670.3999999999999</v>
      </c>
      <c r="CD77" s="100">
        <v>6</v>
      </c>
      <c r="CE77" s="100">
        <v>1670.3999999999999</v>
      </c>
      <c r="CF77" s="100">
        <v>5</v>
      </c>
      <c r="CG77" s="100">
        <v>1392</v>
      </c>
      <c r="CH77" s="100">
        <v>5</v>
      </c>
      <c r="CI77" s="100">
        <v>1392</v>
      </c>
      <c r="CJ77" s="100">
        <v>4</v>
      </c>
      <c r="CK77" s="100">
        <v>1113.5999999999999</v>
      </c>
      <c r="CL77" s="100">
        <v>5</v>
      </c>
      <c r="CM77" s="100">
        <v>1392</v>
      </c>
      <c r="CN77" s="100">
        <v>4.7408748911558414</v>
      </c>
      <c r="CO77" s="100">
        <v>1319.8595696977861</v>
      </c>
      <c r="CP77" s="100">
        <v>5</v>
      </c>
      <c r="CQ77" s="100">
        <v>1392</v>
      </c>
      <c r="CR77" s="100">
        <v>4</v>
      </c>
      <c r="CS77" s="100">
        <v>1113.5999999999999</v>
      </c>
      <c r="CT77" s="100">
        <v>5</v>
      </c>
      <c r="CU77" s="100">
        <v>1392</v>
      </c>
    </row>
    <row r="78" spans="2:99">
      <c r="C78" s="99" t="s">
        <v>244</v>
      </c>
      <c r="D78" s="100">
        <v>4</v>
      </c>
      <c r="E78" s="100">
        <v>2208</v>
      </c>
      <c r="F78" s="100">
        <v>5.5973768535719453</v>
      </c>
      <c r="G78" s="100">
        <v>3089.752023171714</v>
      </c>
      <c r="H78" s="100">
        <v>3</v>
      </c>
      <c r="I78" s="100">
        <v>1656</v>
      </c>
      <c r="J78" s="100">
        <v>6</v>
      </c>
      <c r="K78" s="100">
        <v>3312</v>
      </c>
      <c r="L78" s="100">
        <v>4.4981870261991785</v>
      </c>
      <c r="M78" s="100">
        <v>2482.9992384619463</v>
      </c>
      <c r="N78" s="100">
        <v>4.1192054749630804</v>
      </c>
      <c r="O78" s="100">
        <v>2273.8014221796202</v>
      </c>
      <c r="P78" s="100">
        <v>5</v>
      </c>
      <c r="Q78" s="100">
        <v>2760</v>
      </c>
      <c r="R78" s="100">
        <v>3</v>
      </c>
      <c r="S78" s="100">
        <v>1656</v>
      </c>
      <c r="T78" s="100">
        <v>5</v>
      </c>
      <c r="U78" s="100">
        <v>2760</v>
      </c>
      <c r="V78" s="100">
        <v>4</v>
      </c>
      <c r="W78" s="100">
        <v>2208</v>
      </c>
      <c r="X78" s="100">
        <v>5</v>
      </c>
      <c r="Y78" s="100">
        <v>2760</v>
      </c>
      <c r="Z78" s="100">
        <v>5.2959165639449468</v>
      </c>
      <c r="AA78" s="100">
        <v>2923.3459432976106</v>
      </c>
      <c r="AB78" s="100">
        <v>4</v>
      </c>
      <c r="AC78" s="100">
        <v>2208</v>
      </c>
      <c r="AD78" s="100">
        <v>4</v>
      </c>
      <c r="AE78" s="100">
        <v>2208</v>
      </c>
      <c r="AF78" s="100">
        <v>4</v>
      </c>
      <c r="AG78" s="100">
        <v>2208</v>
      </c>
      <c r="AH78" s="100">
        <v>6</v>
      </c>
      <c r="AI78" s="100">
        <v>3312</v>
      </c>
      <c r="AJ78" s="100">
        <v>3</v>
      </c>
      <c r="AK78" s="100">
        <v>1656</v>
      </c>
      <c r="AL78" s="100">
        <v>4</v>
      </c>
      <c r="AM78" s="100">
        <v>2208</v>
      </c>
      <c r="AN78" s="100">
        <v>4</v>
      </c>
      <c r="AO78" s="100">
        <v>2208</v>
      </c>
      <c r="AP78" s="100">
        <v>5</v>
      </c>
      <c r="AQ78" s="100">
        <v>2760</v>
      </c>
      <c r="AR78" s="100">
        <v>6</v>
      </c>
      <c r="AS78" s="100">
        <v>3312</v>
      </c>
      <c r="AT78" s="100">
        <v>5.2138775262473107</v>
      </c>
      <c r="AU78" s="100">
        <v>2878.0603944885156</v>
      </c>
      <c r="AV78" s="100">
        <v>5</v>
      </c>
      <c r="AW78" s="100">
        <v>2760</v>
      </c>
      <c r="AX78" s="100">
        <v>5</v>
      </c>
      <c r="AY78" s="100">
        <v>2760</v>
      </c>
      <c r="AZ78" s="100">
        <v>5</v>
      </c>
      <c r="BA78" s="100">
        <v>2760</v>
      </c>
      <c r="BB78" s="100">
        <v>6</v>
      </c>
      <c r="BC78" s="100">
        <v>3312</v>
      </c>
      <c r="BD78" s="100">
        <v>3.659091479410344</v>
      </c>
      <c r="BE78" s="100">
        <v>2019.8184966345098</v>
      </c>
      <c r="BF78" s="100">
        <v>4</v>
      </c>
      <c r="BG78" s="100">
        <v>2208</v>
      </c>
      <c r="BH78" s="100">
        <v>2.8192221487648204</v>
      </c>
      <c r="BI78" s="100">
        <v>1556.2106261181809</v>
      </c>
      <c r="BJ78" s="100">
        <v>5.4373563327126524</v>
      </c>
      <c r="BK78" s="100">
        <v>3001.4206956573839</v>
      </c>
      <c r="BL78" s="100">
        <v>3</v>
      </c>
      <c r="BM78" s="100">
        <v>1656</v>
      </c>
      <c r="BN78" s="100">
        <v>4</v>
      </c>
      <c r="BO78" s="100">
        <v>2208</v>
      </c>
      <c r="BP78" s="100">
        <v>4</v>
      </c>
      <c r="BQ78" s="100">
        <v>2208</v>
      </c>
      <c r="BR78" s="100">
        <v>5</v>
      </c>
      <c r="BS78" s="100">
        <v>2760</v>
      </c>
      <c r="BT78" s="100">
        <v>6</v>
      </c>
      <c r="BU78" s="100">
        <v>3312</v>
      </c>
      <c r="BV78" s="100">
        <v>6</v>
      </c>
      <c r="BW78" s="100">
        <v>3312</v>
      </c>
      <c r="BX78" s="100">
        <v>5.0095885850178394</v>
      </c>
      <c r="BY78" s="100">
        <v>2765.2928989298475</v>
      </c>
      <c r="BZ78" s="100">
        <v>5</v>
      </c>
      <c r="CA78" s="100">
        <v>2760</v>
      </c>
      <c r="CB78" s="100">
        <v>7</v>
      </c>
      <c r="CC78" s="100">
        <v>3864</v>
      </c>
      <c r="CD78" s="100">
        <v>7</v>
      </c>
      <c r="CE78" s="100">
        <v>3864</v>
      </c>
      <c r="CF78" s="100">
        <v>4</v>
      </c>
      <c r="CG78" s="100">
        <v>2208</v>
      </c>
      <c r="CH78" s="100">
        <v>5</v>
      </c>
      <c r="CI78" s="100">
        <v>2760</v>
      </c>
      <c r="CJ78" s="100">
        <v>4</v>
      </c>
      <c r="CK78" s="100">
        <v>2208</v>
      </c>
      <c r="CL78" s="100">
        <v>5</v>
      </c>
      <c r="CM78" s="100">
        <v>2760</v>
      </c>
      <c r="CN78" s="100">
        <v>4.6420915723350626</v>
      </c>
      <c r="CO78" s="100">
        <v>2562.4345479289545</v>
      </c>
      <c r="CP78" s="100">
        <v>5</v>
      </c>
      <c r="CQ78" s="100">
        <v>2760</v>
      </c>
      <c r="CR78" s="100">
        <v>4</v>
      </c>
      <c r="CS78" s="100">
        <v>2208</v>
      </c>
      <c r="CT78" s="100">
        <v>5</v>
      </c>
      <c r="CU78" s="100">
        <v>2760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5</v>
      </c>
      <c r="G79" s="100">
        <v>3785.9999999999995</v>
      </c>
      <c r="H79" s="100">
        <v>3</v>
      </c>
      <c r="I79" s="100">
        <v>2271.6</v>
      </c>
      <c r="J79" s="100">
        <v>6</v>
      </c>
      <c r="K79" s="100">
        <v>4543.2</v>
      </c>
      <c r="L79" s="100">
        <v>4.4981870261991785</v>
      </c>
      <c r="M79" s="100">
        <v>3406.0272162380179</v>
      </c>
      <c r="N79" s="100">
        <v>3.4326712291359005</v>
      </c>
      <c r="O79" s="100">
        <v>2599.2186547017036</v>
      </c>
      <c r="P79" s="100">
        <v>6</v>
      </c>
      <c r="Q79" s="100">
        <v>4543.2</v>
      </c>
      <c r="R79" s="100">
        <v>3</v>
      </c>
      <c r="S79" s="100">
        <v>2271.6</v>
      </c>
      <c r="T79" s="100">
        <v>5</v>
      </c>
      <c r="U79" s="100">
        <v>3785.9999999999995</v>
      </c>
      <c r="V79" s="100">
        <v>4</v>
      </c>
      <c r="W79" s="100">
        <v>3028.7999999999997</v>
      </c>
      <c r="X79" s="100">
        <v>6</v>
      </c>
      <c r="Y79" s="100">
        <v>4543.2</v>
      </c>
      <c r="Z79" s="100">
        <v>5.3228180697581235</v>
      </c>
      <c r="AA79" s="100">
        <v>4030.4378424208508</v>
      </c>
      <c r="AB79" s="100">
        <v>4</v>
      </c>
      <c r="AC79" s="100">
        <v>3028.7999999999997</v>
      </c>
      <c r="AD79" s="100">
        <v>4</v>
      </c>
      <c r="AE79" s="100">
        <v>3028.7999999999997</v>
      </c>
      <c r="AF79" s="100">
        <v>5</v>
      </c>
      <c r="AG79" s="100">
        <v>3785.9999999999995</v>
      </c>
      <c r="AH79" s="100">
        <v>6</v>
      </c>
      <c r="AI79" s="100">
        <v>4543.2</v>
      </c>
      <c r="AJ79" s="100">
        <v>3</v>
      </c>
      <c r="AK79" s="100">
        <v>2271.6</v>
      </c>
      <c r="AL79" s="100">
        <v>4</v>
      </c>
      <c r="AM79" s="100">
        <v>3028.7999999999997</v>
      </c>
      <c r="AN79" s="100">
        <v>4</v>
      </c>
      <c r="AO79" s="100">
        <v>3028.7999999999997</v>
      </c>
      <c r="AP79" s="100">
        <v>4</v>
      </c>
      <c r="AQ79" s="100">
        <v>3028.7999999999997</v>
      </c>
      <c r="AR79" s="100">
        <v>6</v>
      </c>
      <c r="AS79" s="100">
        <v>4543.2</v>
      </c>
      <c r="AT79" s="100">
        <v>4.1871428354663971</v>
      </c>
      <c r="AU79" s="100">
        <v>3170.5045550151558</v>
      </c>
      <c r="AV79" s="100">
        <v>6</v>
      </c>
      <c r="AW79" s="100">
        <v>4543.2</v>
      </c>
      <c r="AX79" s="100">
        <v>5</v>
      </c>
      <c r="AY79" s="100">
        <v>3785.9999999999995</v>
      </c>
      <c r="AZ79" s="100">
        <v>5</v>
      </c>
      <c r="BA79" s="100">
        <v>3785.9999999999995</v>
      </c>
      <c r="BB79" s="100">
        <v>6</v>
      </c>
      <c r="BC79" s="100">
        <v>4543.2</v>
      </c>
      <c r="BD79" s="100">
        <v>3.659091479410344</v>
      </c>
      <c r="BE79" s="100">
        <v>2770.6640682095122</v>
      </c>
      <c r="BF79" s="100">
        <v>4</v>
      </c>
      <c r="BG79" s="100">
        <v>3028.7999999999997</v>
      </c>
      <c r="BH79" s="100">
        <v>2.8192221487648204</v>
      </c>
      <c r="BI79" s="100">
        <v>2134.7150110447219</v>
      </c>
      <c r="BJ79" s="100">
        <v>5.4373563327126524</v>
      </c>
      <c r="BK79" s="100">
        <v>4117.1662151300197</v>
      </c>
      <c r="BL79" s="100">
        <v>3</v>
      </c>
      <c r="BM79" s="100">
        <v>2271.6</v>
      </c>
      <c r="BN79" s="100">
        <v>4</v>
      </c>
      <c r="BO79" s="100">
        <v>3028.7999999999997</v>
      </c>
      <c r="BP79" s="100">
        <v>3</v>
      </c>
      <c r="BQ79" s="100">
        <v>2271.6</v>
      </c>
      <c r="BR79" s="100">
        <v>6</v>
      </c>
      <c r="BS79" s="100">
        <v>4543.2</v>
      </c>
      <c r="BT79" s="100">
        <v>6</v>
      </c>
      <c r="BU79" s="100">
        <v>4543.2</v>
      </c>
      <c r="BV79" s="100">
        <v>6</v>
      </c>
      <c r="BW79" s="100">
        <v>4543.2</v>
      </c>
      <c r="BX79" s="100">
        <v>5</v>
      </c>
      <c r="BY79" s="100">
        <v>3785.9999999999995</v>
      </c>
      <c r="BZ79" s="100">
        <v>5</v>
      </c>
      <c r="CA79" s="100">
        <v>3785.9999999999995</v>
      </c>
      <c r="CB79" s="100">
        <v>6</v>
      </c>
      <c r="CC79" s="100">
        <v>4543.2</v>
      </c>
      <c r="CD79" s="100">
        <v>6</v>
      </c>
      <c r="CE79" s="100">
        <v>4543.2</v>
      </c>
      <c r="CF79" s="100">
        <v>4</v>
      </c>
      <c r="CG79" s="100">
        <v>3028.7999999999997</v>
      </c>
      <c r="CH79" s="100">
        <v>5</v>
      </c>
      <c r="CI79" s="100">
        <v>3785.9999999999995</v>
      </c>
      <c r="CJ79" s="100">
        <v>4</v>
      </c>
      <c r="CK79" s="100">
        <v>3028.7999999999997</v>
      </c>
      <c r="CL79" s="100">
        <v>6</v>
      </c>
      <c r="CM79" s="100">
        <v>4543.2</v>
      </c>
      <c r="CN79" s="100">
        <v>4</v>
      </c>
      <c r="CO79" s="100">
        <v>3028.7999999999997</v>
      </c>
      <c r="CP79" s="100">
        <v>4</v>
      </c>
      <c r="CQ79" s="100">
        <v>3028.7999999999997</v>
      </c>
      <c r="CR79" s="100">
        <v>4</v>
      </c>
      <c r="CS79" s="100">
        <v>3028.7999999999997</v>
      </c>
      <c r="CT79" s="100">
        <v>6</v>
      </c>
      <c r="CU79" s="100">
        <v>4543.2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5.5475954491076163</v>
      </c>
      <c r="G80" s="100">
        <v>4466.9238556214523</v>
      </c>
      <c r="H80" s="100">
        <v>3</v>
      </c>
      <c r="I80" s="100">
        <v>2415.6</v>
      </c>
      <c r="J80" s="100">
        <v>6</v>
      </c>
      <c r="K80" s="100">
        <v>4831.2</v>
      </c>
      <c r="L80" s="100">
        <v>4.4981870261991785</v>
      </c>
      <c r="M80" s="100">
        <v>3621.9401934955781</v>
      </c>
      <c r="N80" s="100">
        <v>3.4326712291359005</v>
      </c>
      <c r="O80" s="100">
        <v>2763.9868737002266</v>
      </c>
      <c r="P80" s="100">
        <v>5</v>
      </c>
      <c r="Q80" s="100">
        <v>4025.9999999999995</v>
      </c>
      <c r="R80" s="100">
        <v>3</v>
      </c>
      <c r="S80" s="100">
        <v>2415.6</v>
      </c>
      <c r="T80" s="100">
        <v>6</v>
      </c>
      <c r="U80" s="100">
        <v>4831.2</v>
      </c>
      <c r="V80" s="100">
        <v>4</v>
      </c>
      <c r="W80" s="100">
        <v>3220.7999999999997</v>
      </c>
      <c r="X80" s="100">
        <v>5</v>
      </c>
      <c r="Y80" s="100">
        <v>4025.9999999999995</v>
      </c>
      <c r="Z80" s="100">
        <v>4.2959165639449468</v>
      </c>
      <c r="AA80" s="100">
        <v>3459.0720172884708</v>
      </c>
      <c r="AB80" s="100">
        <v>4</v>
      </c>
      <c r="AC80" s="100">
        <v>3220.7999999999997</v>
      </c>
      <c r="AD80" s="100">
        <v>3</v>
      </c>
      <c r="AE80" s="100">
        <v>2415.6</v>
      </c>
      <c r="AF80" s="100">
        <v>4</v>
      </c>
      <c r="AG80" s="100">
        <v>3220.7999999999997</v>
      </c>
      <c r="AH80" s="100">
        <v>6</v>
      </c>
      <c r="AI80" s="100">
        <v>4831.2</v>
      </c>
      <c r="AJ80" s="100">
        <v>3</v>
      </c>
      <c r="AK80" s="100">
        <v>2415.6</v>
      </c>
      <c r="AL80" s="100">
        <v>5</v>
      </c>
      <c r="AM80" s="100">
        <v>4025.9999999999995</v>
      </c>
      <c r="AN80" s="100">
        <v>3</v>
      </c>
      <c r="AO80" s="100">
        <v>2415.6</v>
      </c>
      <c r="AP80" s="100">
        <v>4</v>
      </c>
      <c r="AQ80" s="100">
        <v>3220.7999999999997</v>
      </c>
      <c r="AR80" s="100">
        <v>6</v>
      </c>
      <c r="AS80" s="100">
        <v>4831.2</v>
      </c>
      <c r="AT80" s="100">
        <v>4.2138775262473107</v>
      </c>
      <c r="AU80" s="100">
        <v>3393.0141841343343</v>
      </c>
      <c r="AV80" s="100">
        <v>6</v>
      </c>
      <c r="AW80" s="100">
        <v>4831.2</v>
      </c>
      <c r="AX80" s="100">
        <v>5</v>
      </c>
      <c r="AY80" s="100">
        <v>4025.9999999999995</v>
      </c>
      <c r="AZ80" s="100">
        <v>5</v>
      </c>
      <c r="BA80" s="100">
        <v>4025.9999999999995</v>
      </c>
      <c r="BB80" s="100">
        <v>5</v>
      </c>
      <c r="BC80" s="100">
        <v>4025.9999999999995</v>
      </c>
      <c r="BD80" s="100">
        <v>3.659091479410344</v>
      </c>
      <c r="BE80" s="100">
        <v>2946.3004592212087</v>
      </c>
      <c r="BF80" s="100">
        <v>4</v>
      </c>
      <c r="BG80" s="100">
        <v>3220.7999999999997</v>
      </c>
      <c r="BH80" s="100">
        <v>2.8192221487648204</v>
      </c>
      <c r="BI80" s="100">
        <v>2270.0376741854329</v>
      </c>
      <c r="BJ80" s="100">
        <v>5.4373563327126524</v>
      </c>
      <c r="BK80" s="100">
        <v>4378.1593191002275</v>
      </c>
      <c r="BL80" s="100">
        <v>3</v>
      </c>
      <c r="BM80" s="100">
        <v>2415.6</v>
      </c>
      <c r="BN80" s="100">
        <v>4</v>
      </c>
      <c r="BO80" s="100">
        <v>3220.7999999999997</v>
      </c>
      <c r="BP80" s="100">
        <v>4</v>
      </c>
      <c r="BQ80" s="100">
        <v>3220.7999999999997</v>
      </c>
      <c r="BR80" s="100">
        <v>6</v>
      </c>
      <c r="BS80" s="100">
        <v>4831.2</v>
      </c>
      <c r="BT80" s="100">
        <v>5</v>
      </c>
      <c r="BU80" s="100">
        <v>4025.9999999999995</v>
      </c>
      <c r="BV80" s="100">
        <v>6</v>
      </c>
      <c r="BW80" s="100">
        <v>4831.2</v>
      </c>
      <c r="BX80" s="100">
        <v>4</v>
      </c>
      <c r="BY80" s="100">
        <v>3220.7999999999997</v>
      </c>
      <c r="BZ80" s="100">
        <v>5</v>
      </c>
      <c r="CA80" s="100">
        <v>4025.9999999999995</v>
      </c>
      <c r="CB80" s="100">
        <v>7</v>
      </c>
      <c r="CC80" s="100">
        <v>5636.4</v>
      </c>
      <c r="CD80" s="100">
        <v>7</v>
      </c>
      <c r="CE80" s="100">
        <v>5636.4</v>
      </c>
      <c r="CF80" s="100">
        <v>4</v>
      </c>
      <c r="CG80" s="100">
        <v>3220.7999999999997</v>
      </c>
      <c r="CH80" s="100">
        <v>4</v>
      </c>
      <c r="CI80" s="100">
        <v>3220.7999999999997</v>
      </c>
      <c r="CJ80" s="100">
        <v>4</v>
      </c>
      <c r="CK80" s="100">
        <v>3220.7999999999997</v>
      </c>
      <c r="CL80" s="100">
        <v>5</v>
      </c>
      <c r="CM80" s="100">
        <v>4025.9999999999995</v>
      </c>
      <c r="CN80" s="100">
        <v>4.6420915723350626</v>
      </c>
      <c r="CO80" s="100">
        <v>3737.8121340441921</v>
      </c>
      <c r="CP80" s="100">
        <v>5</v>
      </c>
      <c r="CQ80" s="100">
        <v>4025.9999999999995</v>
      </c>
      <c r="CR80" s="100">
        <v>4</v>
      </c>
      <c r="CS80" s="100">
        <v>3220.7999999999997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4</v>
      </c>
      <c r="E81" s="100">
        <v>3014.4</v>
      </c>
      <c r="F81" s="100">
        <v>5.5475954491076163</v>
      </c>
      <c r="G81" s="100">
        <v>4180.6679304475001</v>
      </c>
      <c r="H81" s="100">
        <v>3</v>
      </c>
      <c r="I81" s="100">
        <v>2260.8000000000002</v>
      </c>
      <c r="J81" s="100">
        <v>5</v>
      </c>
      <c r="K81" s="100">
        <v>3768</v>
      </c>
      <c r="L81" s="100">
        <v>4.4270174510278668</v>
      </c>
      <c r="M81" s="100">
        <v>3336.2003510946006</v>
      </c>
      <c r="N81" s="100">
        <v>3.4326712291359005</v>
      </c>
      <c r="O81" s="100">
        <v>2586.8610382768147</v>
      </c>
      <c r="P81" s="100">
        <v>5</v>
      </c>
      <c r="Q81" s="100">
        <v>3768</v>
      </c>
      <c r="R81" s="100">
        <v>3</v>
      </c>
      <c r="S81" s="100">
        <v>2260.8000000000002</v>
      </c>
      <c r="T81" s="100">
        <v>5</v>
      </c>
      <c r="U81" s="100">
        <v>3768</v>
      </c>
      <c r="V81" s="100">
        <v>4</v>
      </c>
      <c r="W81" s="100">
        <v>3014.4</v>
      </c>
      <c r="X81" s="100">
        <v>6</v>
      </c>
      <c r="Y81" s="100">
        <v>4521.6000000000004</v>
      </c>
      <c r="Z81" s="100">
        <v>4.2959165639449468</v>
      </c>
      <c r="AA81" s="100">
        <v>3237.4027225889122</v>
      </c>
      <c r="AB81" s="100">
        <v>4</v>
      </c>
      <c r="AC81" s="100">
        <v>3014.4</v>
      </c>
      <c r="AD81" s="100">
        <v>4</v>
      </c>
      <c r="AE81" s="100">
        <v>3014.4</v>
      </c>
      <c r="AF81" s="100">
        <v>4</v>
      </c>
      <c r="AG81" s="100">
        <v>3014.4</v>
      </c>
      <c r="AH81" s="100">
        <v>6</v>
      </c>
      <c r="AI81" s="100">
        <v>4521.6000000000004</v>
      </c>
      <c r="AJ81" s="100">
        <v>3</v>
      </c>
      <c r="AK81" s="100">
        <v>2260.8000000000002</v>
      </c>
      <c r="AL81" s="100">
        <v>4</v>
      </c>
      <c r="AM81" s="100">
        <v>3014.4</v>
      </c>
      <c r="AN81" s="100">
        <v>3</v>
      </c>
      <c r="AO81" s="100">
        <v>2260.8000000000002</v>
      </c>
      <c r="AP81" s="100">
        <v>4</v>
      </c>
      <c r="AQ81" s="100">
        <v>3014.4</v>
      </c>
      <c r="AR81" s="100">
        <v>6</v>
      </c>
      <c r="AS81" s="100">
        <v>4521.6000000000004</v>
      </c>
      <c r="AT81" s="100">
        <v>4.1871428354663971</v>
      </c>
      <c r="AU81" s="100">
        <v>3155.4308408074771</v>
      </c>
      <c r="AV81" s="100">
        <v>6</v>
      </c>
      <c r="AW81" s="100">
        <v>4521.6000000000004</v>
      </c>
      <c r="AX81" s="100">
        <v>5</v>
      </c>
      <c r="AY81" s="100">
        <v>3768</v>
      </c>
      <c r="AZ81" s="100">
        <v>5</v>
      </c>
      <c r="BA81" s="100">
        <v>3768</v>
      </c>
      <c r="BB81" s="100">
        <v>6</v>
      </c>
      <c r="BC81" s="100">
        <v>4521.6000000000004</v>
      </c>
      <c r="BD81" s="100">
        <v>3.659091479410344</v>
      </c>
      <c r="BE81" s="100">
        <v>2757.4913388836353</v>
      </c>
      <c r="BF81" s="100">
        <v>4</v>
      </c>
      <c r="BG81" s="100">
        <v>3014.4</v>
      </c>
      <c r="BH81" s="100">
        <v>2.8192221487648204</v>
      </c>
      <c r="BI81" s="100">
        <v>2124.5658113091686</v>
      </c>
      <c r="BJ81" s="100">
        <v>5.4373563327126524</v>
      </c>
      <c r="BK81" s="100">
        <v>4097.5917323322547</v>
      </c>
      <c r="BL81" s="100">
        <v>3</v>
      </c>
      <c r="BM81" s="100">
        <v>2260.8000000000002</v>
      </c>
      <c r="BN81" s="100">
        <v>4</v>
      </c>
      <c r="BO81" s="100">
        <v>3014.4</v>
      </c>
      <c r="BP81" s="100">
        <v>4</v>
      </c>
      <c r="BQ81" s="100">
        <v>3014.4</v>
      </c>
      <c r="BR81" s="100">
        <v>6</v>
      </c>
      <c r="BS81" s="100">
        <v>4521.6000000000004</v>
      </c>
      <c r="BT81" s="100">
        <v>6</v>
      </c>
      <c r="BU81" s="100">
        <v>4521.6000000000004</v>
      </c>
      <c r="BV81" s="100">
        <v>6</v>
      </c>
      <c r="BW81" s="100">
        <v>4521.6000000000004</v>
      </c>
      <c r="BX81" s="100">
        <v>5</v>
      </c>
      <c r="BY81" s="100">
        <v>3768</v>
      </c>
      <c r="BZ81" s="100">
        <v>5</v>
      </c>
      <c r="CA81" s="100">
        <v>3768</v>
      </c>
      <c r="CB81" s="100">
        <v>6</v>
      </c>
      <c r="CC81" s="100">
        <v>4521.6000000000004</v>
      </c>
      <c r="CD81" s="100">
        <v>7</v>
      </c>
      <c r="CE81" s="100">
        <v>5275.2</v>
      </c>
      <c r="CF81" s="100">
        <v>4</v>
      </c>
      <c r="CG81" s="100">
        <v>3014.4</v>
      </c>
      <c r="CH81" s="100">
        <v>5</v>
      </c>
      <c r="CI81" s="100">
        <v>3768</v>
      </c>
      <c r="CJ81" s="100">
        <v>4</v>
      </c>
      <c r="CK81" s="100">
        <v>3014.4</v>
      </c>
      <c r="CL81" s="100">
        <v>5</v>
      </c>
      <c r="CM81" s="100">
        <v>3768</v>
      </c>
      <c r="CN81" s="100">
        <v>4.691483231745452</v>
      </c>
      <c r="CO81" s="100">
        <v>3535.501763443373</v>
      </c>
      <c r="CP81" s="100">
        <v>5.2426241870110299</v>
      </c>
      <c r="CQ81" s="100">
        <v>3950.8415873315121</v>
      </c>
      <c r="CR81" s="100">
        <v>4</v>
      </c>
      <c r="CS81" s="100">
        <v>3014.4</v>
      </c>
      <c r="CT81" s="100">
        <v>5</v>
      </c>
      <c r="CU81" s="100">
        <v>3768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6</v>
      </c>
      <c r="G82" s="100">
        <v>3052.7999999999993</v>
      </c>
      <c r="H82" s="100">
        <v>3</v>
      </c>
      <c r="I82" s="100">
        <v>1526.3999999999996</v>
      </c>
      <c r="J82" s="100">
        <v>6</v>
      </c>
      <c r="K82" s="100">
        <v>3052.7999999999993</v>
      </c>
      <c r="L82" s="100">
        <v>4.4626022386135222</v>
      </c>
      <c r="M82" s="100">
        <v>2270.5720190065595</v>
      </c>
      <c r="N82" s="100">
        <v>3.4326712291359005</v>
      </c>
      <c r="O82" s="100">
        <v>1746.5431213843458</v>
      </c>
      <c r="P82" s="100">
        <v>6</v>
      </c>
      <c r="Q82" s="100">
        <v>3052.7999999999993</v>
      </c>
      <c r="R82" s="100">
        <v>3</v>
      </c>
      <c r="S82" s="100">
        <v>1526.3999999999996</v>
      </c>
      <c r="T82" s="100">
        <v>5</v>
      </c>
      <c r="U82" s="100">
        <v>2543.9999999999995</v>
      </c>
      <c r="V82" s="100">
        <v>5</v>
      </c>
      <c r="W82" s="100">
        <v>2543.9999999999995</v>
      </c>
      <c r="X82" s="100">
        <v>5</v>
      </c>
      <c r="Y82" s="100">
        <v>2543.9999999999995</v>
      </c>
      <c r="Z82" s="100">
        <v>4.2959165639449468</v>
      </c>
      <c r="AA82" s="100">
        <v>2185.7623477351885</v>
      </c>
      <c r="AB82" s="100">
        <v>4</v>
      </c>
      <c r="AC82" s="100">
        <v>2035.1999999999996</v>
      </c>
      <c r="AD82" s="100">
        <v>4</v>
      </c>
      <c r="AE82" s="100">
        <v>2035.1999999999996</v>
      </c>
      <c r="AF82" s="100">
        <v>5</v>
      </c>
      <c r="AG82" s="100">
        <v>2543.9999999999995</v>
      </c>
      <c r="AH82" s="100">
        <v>5</v>
      </c>
      <c r="AI82" s="100">
        <v>2543.9999999999995</v>
      </c>
      <c r="AJ82" s="100">
        <v>3</v>
      </c>
      <c r="AK82" s="100">
        <v>1526.3999999999996</v>
      </c>
      <c r="AL82" s="100">
        <v>4</v>
      </c>
      <c r="AM82" s="100">
        <v>2035.1999999999996</v>
      </c>
      <c r="AN82" s="100">
        <v>4</v>
      </c>
      <c r="AO82" s="100">
        <v>2035.1999999999996</v>
      </c>
      <c r="AP82" s="100">
        <v>4</v>
      </c>
      <c r="AQ82" s="100">
        <v>2035.1999999999996</v>
      </c>
      <c r="AR82" s="100">
        <v>6</v>
      </c>
      <c r="AS82" s="100">
        <v>3052.7999999999993</v>
      </c>
      <c r="AT82" s="100">
        <v>4.2138775262473107</v>
      </c>
      <c r="AU82" s="100">
        <v>2144.0208853546314</v>
      </c>
      <c r="AV82" s="100">
        <v>6</v>
      </c>
      <c r="AW82" s="100">
        <v>3052.7999999999993</v>
      </c>
      <c r="AX82" s="100">
        <v>5</v>
      </c>
      <c r="AY82" s="100">
        <v>2543.9999999999995</v>
      </c>
      <c r="AZ82" s="100">
        <v>5</v>
      </c>
      <c r="BA82" s="100">
        <v>2543.9999999999995</v>
      </c>
      <c r="BB82" s="100">
        <v>6</v>
      </c>
      <c r="BC82" s="100">
        <v>3052.7999999999993</v>
      </c>
      <c r="BD82" s="100">
        <v>3.659091479410344</v>
      </c>
      <c r="BE82" s="100">
        <v>1861.7457447239826</v>
      </c>
      <c r="BF82" s="100">
        <v>4</v>
      </c>
      <c r="BG82" s="100">
        <v>2035.1999999999996</v>
      </c>
      <c r="BH82" s="100">
        <v>2.8192221487648204</v>
      </c>
      <c r="BI82" s="100">
        <v>1434.4202292915404</v>
      </c>
      <c r="BJ82" s="100">
        <v>5.4373563327126524</v>
      </c>
      <c r="BK82" s="100">
        <v>2766.526902084197</v>
      </c>
      <c r="BL82" s="100">
        <v>3</v>
      </c>
      <c r="BM82" s="100">
        <v>1526.3999999999996</v>
      </c>
      <c r="BN82" s="100">
        <v>4</v>
      </c>
      <c r="BO82" s="100">
        <v>2035.1999999999996</v>
      </c>
      <c r="BP82" s="100">
        <v>3</v>
      </c>
      <c r="BQ82" s="100">
        <v>1526.3999999999996</v>
      </c>
      <c r="BR82" s="100">
        <v>5</v>
      </c>
      <c r="BS82" s="100">
        <v>2543.9999999999995</v>
      </c>
      <c r="BT82" s="100">
        <v>6</v>
      </c>
      <c r="BU82" s="100">
        <v>3052.7999999999993</v>
      </c>
      <c r="BV82" s="100">
        <v>6</v>
      </c>
      <c r="BW82" s="100">
        <v>3052.7999999999993</v>
      </c>
      <c r="BX82" s="100">
        <v>5</v>
      </c>
      <c r="BY82" s="100">
        <v>2543.9999999999995</v>
      </c>
      <c r="BZ82" s="100">
        <v>5</v>
      </c>
      <c r="CA82" s="100">
        <v>2543.9999999999995</v>
      </c>
      <c r="CB82" s="100">
        <v>6</v>
      </c>
      <c r="CC82" s="100">
        <v>3052.7999999999993</v>
      </c>
      <c r="CD82" s="100">
        <v>6</v>
      </c>
      <c r="CE82" s="100">
        <v>3052.7999999999993</v>
      </c>
      <c r="CF82" s="100">
        <v>4</v>
      </c>
      <c r="CG82" s="100">
        <v>2035.1999999999996</v>
      </c>
      <c r="CH82" s="100">
        <v>5</v>
      </c>
      <c r="CI82" s="100">
        <v>2543.9999999999995</v>
      </c>
      <c r="CJ82" s="100">
        <v>4</v>
      </c>
      <c r="CK82" s="100">
        <v>2035.1999999999996</v>
      </c>
      <c r="CL82" s="100">
        <v>6</v>
      </c>
      <c r="CM82" s="100">
        <v>3052.7999999999993</v>
      </c>
      <c r="CN82" s="100">
        <v>4.7408748911558414</v>
      </c>
      <c r="CO82" s="100">
        <v>2412.1571446200915</v>
      </c>
      <c r="CP82" s="100">
        <v>5</v>
      </c>
      <c r="CQ82" s="100">
        <v>2543.9999999999995</v>
      </c>
      <c r="CR82" s="100">
        <v>4</v>
      </c>
      <c r="CS82" s="100">
        <v>2035.1999999999996</v>
      </c>
      <c r="CT82" s="100">
        <v>5</v>
      </c>
      <c r="CU82" s="100">
        <v>2543.9999999999995</v>
      </c>
    </row>
    <row r="83" spans="2:99">
      <c r="C83" s="99" t="s">
        <v>249</v>
      </c>
      <c r="D83" s="100">
        <v>4</v>
      </c>
      <c r="E83" s="100">
        <v>3441.6</v>
      </c>
      <c r="F83" s="100">
        <v>6.5973768535719453</v>
      </c>
      <c r="G83" s="100">
        <v>5676.3830448133012</v>
      </c>
      <c r="H83" s="100">
        <v>3</v>
      </c>
      <c r="I83" s="100">
        <v>2581.1999999999998</v>
      </c>
      <c r="J83" s="100">
        <v>6</v>
      </c>
      <c r="K83" s="100">
        <v>5162.3999999999996</v>
      </c>
      <c r="L83" s="100">
        <v>4.4270174510278668</v>
      </c>
      <c r="M83" s="100">
        <v>3809.0058148643766</v>
      </c>
      <c r="N83" s="100">
        <v>4.1192054749630804</v>
      </c>
      <c r="O83" s="100">
        <v>3544.1643906582344</v>
      </c>
      <c r="P83" s="100">
        <v>5</v>
      </c>
      <c r="Q83" s="100">
        <v>4302</v>
      </c>
      <c r="R83" s="100">
        <v>3</v>
      </c>
      <c r="S83" s="100">
        <v>2581.1999999999998</v>
      </c>
      <c r="T83" s="100">
        <v>6</v>
      </c>
      <c r="U83" s="100">
        <v>5162.3999999999996</v>
      </c>
      <c r="V83" s="100">
        <v>4</v>
      </c>
      <c r="W83" s="100">
        <v>3441.6</v>
      </c>
      <c r="X83" s="100">
        <v>5</v>
      </c>
      <c r="Y83" s="100">
        <v>4302</v>
      </c>
      <c r="Z83" s="100">
        <v>4.2959165639449468</v>
      </c>
      <c r="AA83" s="100">
        <v>3696.2066116182323</v>
      </c>
      <c r="AB83" s="100">
        <v>4</v>
      </c>
      <c r="AC83" s="100">
        <v>3441.6</v>
      </c>
      <c r="AD83" s="100">
        <v>4</v>
      </c>
      <c r="AE83" s="100">
        <v>3441.6</v>
      </c>
      <c r="AF83" s="100">
        <v>5</v>
      </c>
      <c r="AG83" s="100">
        <v>4302</v>
      </c>
      <c r="AH83" s="100">
        <v>6</v>
      </c>
      <c r="AI83" s="100">
        <v>5162.3999999999996</v>
      </c>
      <c r="AJ83" s="100">
        <v>3</v>
      </c>
      <c r="AK83" s="100">
        <v>2581.1999999999998</v>
      </c>
      <c r="AL83" s="100">
        <v>4</v>
      </c>
      <c r="AM83" s="100">
        <v>3441.6</v>
      </c>
      <c r="AN83" s="100">
        <v>4</v>
      </c>
      <c r="AO83" s="100">
        <v>3441.6</v>
      </c>
      <c r="AP83" s="100">
        <v>4</v>
      </c>
      <c r="AQ83" s="100">
        <v>3441.6</v>
      </c>
      <c r="AR83" s="100">
        <v>6</v>
      </c>
      <c r="AS83" s="100">
        <v>5162.3999999999996</v>
      </c>
      <c r="AT83" s="100">
        <v>4.2138775262473107</v>
      </c>
      <c r="AU83" s="100">
        <v>3625.6202235831861</v>
      </c>
      <c r="AV83" s="100">
        <v>5</v>
      </c>
      <c r="AW83" s="100">
        <v>4302</v>
      </c>
      <c r="AX83" s="100">
        <v>5</v>
      </c>
      <c r="AY83" s="100">
        <v>4302</v>
      </c>
      <c r="AZ83" s="100">
        <v>5</v>
      </c>
      <c r="BA83" s="100">
        <v>4302</v>
      </c>
      <c r="BB83" s="100">
        <v>5</v>
      </c>
      <c r="BC83" s="100">
        <v>4302</v>
      </c>
      <c r="BD83" s="100">
        <v>3.659091479410344</v>
      </c>
      <c r="BE83" s="100">
        <v>3148.2823088846599</v>
      </c>
      <c r="BF83" s="100">
        <v>4</v>
      </c>
      <c r="BG83" s="100">
        <v>3441.6</v>
      </c>
      <c r="BH83" s="100">
        <v>2.8192221487648204</v>
      </c>
      <c r="BI83" s="100">
        <v>2425.6587367972515</v>
      </c>
      <c r="BJ83" s="100">
        <v>5.4373563327126524</v>
      </c>
      <c r="BK83" s="100">
        <v>4678.3013886659664</v>
      </c>
      <c r="BL83" s="100">
        <v>3</v>
      </c>
      <c r="BM83" s="100">
        <v>2581.1999999999998</v>
      </c>
      <c r="BN83" s="100">
        <v>4</v>
      </c>
      <c r="BO83" s="100">
        <v>3441.6</v>
      </c>
      <c r="BP83" s="100">
        <v>4</v>
      </c>
      <c r="BQ83" s="100">
        <v>3441.6</v>
      </c>
      <c r="BR83" s="100">
        <v>6</v>
      </c>
      <c r="BS83" s="100">
        <v>5162.3999999999996</v>
      </c>
      <c r="BT83" s="100">
        <v>5</v>
      </c>
      <c r="BU83" s="100">
        <v>4302</v>
      </c>
      <c r="BV83" s="100">
        <v>6</v>
      </c>
      <c r="BW83" s="100">
        <v>5162.3999999999996</v>
      </c>
      <c r="BX83" s="100">
        <v>5</v>
      </c>
      <c r="BY83" s="100">
        <v>4302</v>
      </c>
      <c r="BZ83" s="100">
        <v>5</v>
      </c>
      <c r="CA83" s="100">
        <v>4302</v>
      </c>
      <c r="CB83" s="100">
        <v>6</v>
      </c>
      <c r="CC83" s="100">
        <v>5162.3999999999996</v>
      </c>
      <c r="CD83" s="100">
        <v>6</v>
      </c>
      <c r="CE83" s="100">
        <v>5162.3999999999996</v>
      </c>
      <c r="CF83" s="100">
        <v>4</v>
      </c>
      <c r="CG83" s="100">
        <v>3441.6</v>
      </c>
      <c r="CH83" s="100">
        <v>4</v>
      </c>
      <c r="CI83" s="100">
        <v>3441.6</v>
      </c>
      <c r="CJ83" s="100">
        <v>4</v>
      </c>
      <c r="CK83" s="100">
        <v>3441.6</v>
      </c>
      <c r="CL83" s="100">
        <v>5</v>
      </c>
      <c r="CM83" s="100">
        <v>4302</v>
      </c>
      <c r="CN83" s="100">
        <v>4.6420915723350626</v>
      </c>
      <c r="CO83" s="100">
        <v>3994.0555888370877</v>
      </c>
      <c r="CP83" s="100">
        <v>5</v>
      </c>
      <c r="CQ83" s="100">
        <v>4302</v>
      </c>
      <c r="CR83" s="100">
        <v>4</v>
      </c>
      <c r="CS83" s="100">
        <v>3441.6</v>
      </c>
      <c r="CT83" s="100">
        <v>5</v>
      </c>
      <c r="CU83" s="100">
        <v>4302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5</v>
      </c>
      <c r="G84" s="100">
        <v>3905.9999999999995</v>
      </c>
      <c r="H84" s="100">
        <v>3</v>
      </c>
      <c r="I84" s="100">
        <v>2343.6</v>
      </c>
      <c r="J84" s="100">
        <v>6</v>
      </c>
      <c r="K84" s="100">
        <v>4687.2</v>
      </c>
      <c r="L84" s="100">
        <v>4.4626022386135222</v>
      </c>
      <c r="M84" s="100">
        <v>3486.1848688048831</v>
      </c>
      <c r="N84" s="100">
        <v>3.4326712291359005</v>
      </c>
      <c r="O84" s="100">
        <v>2681.6027642009653</v>
      </c>
      <c r="P84" s="100">
        <v>6</v>
      </c>
      <c r="Q84" s="100">
        <v>4687.2</v>
      </c>
      <c r="R84" s="100">
        <v>3</v>
      </c>
      <c r="S84" s="100">
        <v>2343.6</v>
      </c>
      <c r="T84" s="100">
        <v>5</v>
      </c>
      <c r="U84" s="100">
        <v>3905.9999999999995</v>
      </c>
      <c r="V84" s="100">
        <v>4</v>
      </c>
      <c r="W84" s="100">
        <v>3124.7999999999997</v>
      </c>
      <c r="X84" s="100">
        <v>6</v>
      </c>
      <c r="Y84" s="100">
        <v>4687.2</v>
      </c>
      <c r="Z84" s="100">
        <v>4.3228180697581235</v>
      </c>
      <c r="AA84" s="100">
        <v>3376.9854760950457</v>
      </c>
      <c r="AB84" s="100">
        <v>4</v>
      </c>
      <c r="AC84" s="100">
        <v>3124.7999999999997</v>
      </c>
      <c r="AD84" s="100">
        <v>4</v>
      </c>
      <c r="AE84" s="100">
        <v>3124.7999999999997</v>
      </c>
      <c r="AF84" s="100">
        <v>5</v>
      </c>
      <c r="AG84" s="100">
        <v>3905.9999999999995</v>
      </c>
      <c r="AH84" s="100">
        <v>6</v>
      </c>
      <c r="AI84" s="100">
        <v>4687.2</v>
      </c>
      <c r="AJ84" s="100">
        <v>3</v>
      </c>
      <c r="AK84" s="100">
        <v>2343.6</v>
      </c>
      <c r="AL84" s="100">
        <v>5</v>
      </c>
      <c r="AM84" s="100">
        <v>3905.9999999999995</v>
      </c>
      <c r="AN84" s="100">
        <v>4</v>
      </c>
      <c r="AO84" s="100">
        <v>3124.7999999999997</v>
      </c>
      <c r="AP84" s="100">
        <v>5</v>
      </c>
      <c r="AQ84" s="100">
        <v>3905.9999999999995</v>
      </c>
      <c r="AR84" s="100">
        <v>6</v>
      </c>
      <c r="AS84" s="100">
        <v>4687.2</v>
      </c>
      <c r="AT84" s="100">
        <v>4.2138775262473107</v>
      </c>
      <c r="AU84" s="100">
        <v>3291.8811235043991</v>
      </c>
      <c r="AV84" s="100">
        <v>6</v>
      </c>
      <c r="AW84" s="100">
        <v>4687.2</v>
      </c>
      <c r="AX84" s="100">
        <v>5</v>
      </c>
      <c r="AY84" s="100">
        <v>3905.9999999999995</v>
      </c>
      <c r="AZ84" s="100">
        <v>5</v>
      </c>
      <c r="BA84" s="100">
        <v>3905.9999999999995</v>
      </c>
      <c r="BB84" s="100">
        <v>5</v>
      </c>
      <c r="BC84" s="100">
        <v>3905.9999999999995</v>
      </c>
      <c r="BD84" s="100">
        <v>3.659091479410344</v>
      </c>
      <c r="BE84" s="100">
        <v>2858.4822637153607</v>
      </c>
      <c r="BF84" s="100">
        <v>4</v>
      </c>
      <c r="BG84" s="100">
        <v>3124.7999999999997</v>
      </c>
      <c r="BH84" s="100">
        <v>3.3830665785177843</v>
      </c>
      <c r="BI84" s="100">
        <v>2642.8516111380927</v>
      </c>
      <c r="BJ84" s="100">
        <v>5.4373563327126524</v>
      </c>
      <c r="BK84" s="100">
        <v>4247.6627671151236</v>
      </c>
      <c r="BL84" s="100">
        <v>3</v>
      </c>
      <c r="BM84" s="100">
        <v>2343.6</v>
      </c>
      <c r="BN84" s="100">
        <v>4</v>
      </c>
      <c r="BO84" s="100">
        <v>3124.7999999999997</v>
      </c>
      <c r="BP84" s="100">
        <v>3</v>
      </c>
      <c r="BQ84" s="100">
        <v>2343.6</v>
      </c>
      <c r="BR84" s="100">
        <v>5</v>
      </c>
      <c r="BS84" s="100">
        <v>3905.9999999999995</v>
      </c>
      <c r="BT84" s="100">
        <v>5</v>
      </c>
      <c r="BU84" s="100">
        <v>3905.9999999999995</v>
      </c>
      <c r="BV84" s="100">
        <v>6</v>
      </c>
      <c r="BW84" s="100">
        <v>4687.2</v>
      </c>
      <c r="BX84" s="100">
        <v>5</v>
      </c>
      <c r="BY84" s="100">
        <v>3905.9999999999995</v>
      </c>
      <c r="BZ84" s="100">
        <v>6</v>
      </c>
      <c r="CA84" s="100">
        <v>4687.2</v>
      </c>
      <c r="CB84" s="100">
        <v>6</v>
      </c>
      <c r="CC84" s="100">
        <v>4687.2</v>
      </c>
      <c r="CD84" s="100">
        <v>6</v>
      </c>
      <c r="CE84" s="100">
        <v>4687.2</v>
      </c>
      <c r="CF84" s="100">
        <v>4</v>
      </c>
      <c r="CG84" s="100">
        <v>3124.7999999999997</v>
      </c>
      <c r="CH84" s="100">
        <v>5</v>
      </c>
      <c r="CI84" s="100">
        <v>3905.9999999999995</v>
      </c>
      <c r="CJ84" s="100">
        <v>4</v>
      </c>
      <c r="CK84" s="100">
        <v>3124.7999999999997</v>
      </c>
      <c r="CL84" s="100">
        <v>5</v>
      </c>
      <c r="CM84" s="100">
        <v>3905.9999999999995</v>
      </c>
      <c r="CN84" s="100">
        <v>4.7408748911558414</v>
      </c>
      <c r="CO84" s="100">
        <v>3703.571464970943</v>
      </c>
      <c r="CP84" s="100">
        <v>5</v>
      </c>
      <c r="CQ84" s="100">
        <v>3905.9999999999995</v>
      </c>
      <c r="CR84" s="100">
        <v>4</v>
      </c>
      <c r="CS84" s="100">
        <v>3124.7999999999997</v>
      </c>
      <c r="CT84" s="100">
        <v>5</v>
      </c>
      <c r="CU84" s="100">
        <v>3905.9999999999995</v>
      </c>
    </row>
    <row r="85" spans="2:99">
      <c r="C85" s="99" t="s">
        <v>251</v>
      </c>
      <c r="D85" s="100">
        <v>4</v>
      </c>
      <c r="E85" s="100">
        <v>600</v>
      </c>
      <c r="F85" s="100">
        <v>5.5973768535719453</v>
      </c>
      <c r="G85" s="100">
        <v>839.60652803579183</v>
      </c>
      <c r="H85" s="100">
        <v>3</v>
      </c>
      <c r="I85" s="100">
        <v>450</v>
      </c>
      <c r="J85" s="100">
        <v>6</v>
      </c>
      <c r="K85" s="100">
        <v>900</v>
      </c>
      <c r="L85" s="100">
        <v>4.4981870261991785</v>
      </c>
      <c r="M85" s="100">
        <v>674.72805392987675</v>
      </c>
      <c r="N85" s="100">
        <v>4.1192054749630804</v>
      </c>
      <c r="O85" s="100">
        <v>617.88082124446203</v>
      </c>
      <c r="P85" s="100">
        <v>5</v>
      </c>
      <c r="Q85" s="100">
        <v>750</v>
      </c>
      <c r="R85" s="100">
        <v>3</v>
      </c>
      <c r="S85" s="100">
        <v>450</v>
      </c>
      <c r="T85" s="100">
        <v>5</v>
      </c>
      <c r="U85" s="100">
        <v>750</v>
      </c>
      <c r="V85" s="100">
        <v>5</v>
      </c>
      <c r="W85" s="100">
        <v>750</v>
      </c>
      <c r="X85" s="100">
        <v>6</v>
      </c>
      <c r="Y85" s="100">
        <v>900</v>
      </c>
      <c r="Z85" s="100">
        <v>4.2959165639449468</v>
      </c>
      <c r="AA85" s="100">
        <v>644.38748459174201</v>
      </c>
      <c r="AB85" s="100">
        <v>4</v>
      </c>
      <c r="AC85" s="100">
        <v>600</v>
      </c>
      <c r="AD85" s="100">
        <v>4</v>
      </c>
      <c r="AE85" s="100">
        <v>600</v>
      </c>
      <c r="AF85" s="100">
        <v>5</v>
      </c>
      <c r="AG85" s="100">
        <v>750</v>
      </c>
      <c r="AH85" s="100">
        <v>6</v>
      </c>
      <c r="AI85" s="100">
        <v>900</v>
      </c>
      <c r="AJ85" s="100">
        <v>3</v>
      </c>
      <c r="AK85" s="100">
        <v>450</v>
      </c>
      <c r="AL85" s="100">
        <v>4</v>
      </c>
      <c r="AM85" s="100">
        <v>600</v>
      </c>
      <c r="AN85" s="100">
        <v>4</v>
      </c>
      <c r="AO85" s="100">
        <v>600</v>
      </c>
      <c r="AP85" s="100">
        <v>5</v>
      </c>
      <c r="AQ85" s="100">
        <v>750</v>
      </c>
      <c r="AR85" s="100">
        <v>6</v>
      </c>
      <c r="AS85" s="100">
        <v>900</v>
      </c>
      <c r="AT85" s="100">
        <v>5.2138775262473107</v>
      </c>
      <c r="AU85" s="100">
        <v>782.08162893709664</v>
      </c>
      <c r="AV85" s="100">
        <v>6</v>
      </c>
      <c r="AW85" s="100">
        <v>900</v>
      </c>
      <c r="AX85" s="100">
        <v>5</v>
      </c>
      <c r="AY85" s="100">
        <v>750</v>
      </c>
      <c r="AZ85" s="100">
        <v>6</v>
      </c>
      <c r="BA85" s="100">
        <v>900</v>
      </c>
      <c r="BB85" s="100">
        <v>6</v>
      </c>
      <c r="BC85" s="100">
        <v>900</v>
      </c>
      <c r="BD85" s="100">
        <v>3.659091479410344</v>
      </c>
      <c r="BE85" s="100">
        <v>548.86372191155158</v>
      </c>
      <c r="BF85" s="100">
        <v>4</v>
      </c>
      <c r="BG85" s="100">
        <v>600</v>
      </c>
      <c r="BH85" s="100">
        <v>3.3830665785177843</v>
      </c>
      <c r="BI85" s="100">
        <v>507.45998677766761</v>
      </c>
      <c r="BJ85" s="100">
        <v>6.3435823881647613</v>
      </c>
      <c r="BK85" s="100">
        <v>951.53735822471424</v>
      </c>
      <c r="BL85" s="100">
        <v>4</v>
      </c>
      <c r="BM85" s="100">
        <v>600</v>
      </c>
      <c r="BN85" s="100">
        <v>5</v>
      </c>
      <c r="BO85" s="100">
        <v>750</v>
      </c>
      <c r="BP85" s="100">
        <v>3</v>
      </c>
      <c r="BQ85" s="100">
        <v>450</v>
      </c>
      <c r="BR85" s="100">
        <v>6</v>
      </c>
      <c r="BS85" s="100">
        <v>900</v>
      </c>
      <c r="BT85" s="100">
        <v>6</v>
      </c>
      <c r="BU85" s="100">
        <v>900</v>
      </c>
      <c r="BV85" s="100">
        <v>7</v>
      </c>
      <c r="BW85" s="100">
        <v>1050</v>
      </c>
      <c r="BX85" s="100">
        <v>5</v>
      </c>
      <c r="BY85" s="100">
        <v>750</v>
      </c>
      <c r="BZ85" s="100">
        <v>5</v>
      </c>
      <c r="CA85" s="100">
        <v>750</v>
      </c>
      <c r="CB85" s="100">
        <v>6</v>
      </c>
      <c r="CC85" s="100">
        <v>900</v>
      </c>
      <c r="CD85" s="100">
        <v>6</v>
      </c>
      <c r="CE85" s="100">
        <v>900</v>
      </c>
      <c r="CF85" s="100">
        <v>4</v>
      </c>
      <c r="CG85" s="100">
        <v>600</v>
      </c>
      <c r="CH85" s="100">
        <v>5</v>
      </c>
      <c r="CI85" s="100">
        <v>750</v>
      </c>
      <c r="CJ85" s="100">
        <v>4</v>
      </c>
      <c r="CK85" s="100">
        <v>600</v>
      </c>
      <c r="CL85" s="100">
        <v>5</v>
      </c>
      <c r="CM85" s="100">
        <v>750</v>
      </c>
      <c r="CN85" s="100">
        <v>4.6420915723350626</v>
      </c>
      <c r="CO85" s="100">
        <v>696.31373585025938</v>
      </c>
      <c r="CP85" s="100">
        <v>5</v>
      </c>
      <c r="CQ85" s="100">
        <v>750</v>
      </c>
      <c r="CR85" s="100">
        <v>4</v>
      </c>
      <c r="CS85" s="100">
        <v>600</v>
      </c>
      <c r="CT85" s="100">
        <v>5</v>
      </c>
      <c r="CU85" s="100">
        <v>750</v>
      </c>
    </row>
    <row r="86" spans="2:99">
      <c r="C86" s="99" t="s">
        <v>252</v>
      </c>
      <c r="D86" s="100">
        <v>4</v>
      </c>
      <c r="E86" s="100">
        <v>2160</v>
      </c>
      <c r="F86" s="100">
        <v>5.5475954491076163</v>
      </c>
      <c r="G86" s="100">
        <v>2995.701542518113</v>
      </c>
      <c r="H86" s="100">
        <v>3</v>
      </c>
      <c r="I86" s="100">
        <v>1620</v>
      </c>
      <c r="J86" s="100">
        <v>6</v>
      </c>
      <c r="K86" s="100">
        <v>3240</v>
      </c>
      <c r="L86" s="100">
        <v>4.4981870261991785</v>
      </c>
      <c r="M86" s="100">
        <v>2429.0209941475564</v>
      </c>
      <c r="N86" s="100">
        <v>3.4326712291359005</v>
      </c>
      <c r="O86" s="100">
        <v>1853.6424637333862</v>
      </c>
      <c r="P86" s="100">
        <v>5</v>
      </c>
      <c r="Q86" s="100">
        <v>2700</v>
      </c>
      <c r="R86" s="100">
        <v>3</v>
      </c>
      <c r="S86" s="100">
        <v>1620</v>
      </c>
      <c r="T86" s="100">
        <v>6</v>
      </c>
      <c r="U86" s="100">
        <v>3240</v>
      </c>
      <c r="V86" s="100">
        <v>5</v>
      </c>
      <c r="W86" s="100">
        <v>2700</v>
      </c>
      <c r="X86" s="100">
        <v>6</v>
      </c>
      <c r="Y86" s="100">
        <v>3240</v>
      </c>
      <c r="Z86" s="100">
        <v>4.3497195755713003</v>
      </c>
      <c r="AA86" s="100">
        <v>2348.8485708085022</v>
      </c>
      <c r="AB86" s="100">
        <v>4</v>
      </c>
      <c r="AC86" s="100">
        <v>2160</v>
      </c>
      <c r="AD86" s="100">
        <v>4</v>
      </c>
      <c r="AE86" s="100">
        <v>2160</v>
      </c>
      <c r="AF86" s="100">
        <v>5</v>
      </c>
      <c r="AG86" s="100">
        <v>2700</v>
      </c>
      <c r="AH86" s="100">
        <v>5</v>
      </c>
      <c r="AI86" s="100">
        <v>2700</v>
      </c>
      <c r="AJ86" s="100">
        <v>3</v>
      </c>
      <c r="AK86" s="100">
        <v>1620</v>
      </c>
      <c r="AL86" s="100">
        <v>4</v>
      </c>
      <c r="AM86" s="100">
        <v>2160</v>
      </c>
      <c r="AN86" s="100">
        <v>4</v>
      </c>
      <c r="AO86" s="100">
        <v>2160</v>
      </c>
      <c r="AP86" s="100">
        <v>4</v>
      </c>
      <c r="AQ86" s="100">
        <v>2160</v>
      </c>
      <c r="AR86" s="100">
        <v>6</v>
      </c>
      <c r="AS86" s="100">
        <v>3240</v>
      </c>
      <c r="AT86" s="100">
        <v>4.2406122170282243</v>
      </c>
      <c r="AU86" s="100">
        <v>2289.9305971952413</v>
      </c>
      <c r="AV86" s="100">
        <v>6</v>
      </c>
      <c r="AW86" s="100">
        <v>3240</v>
      </c>
      <c r="AX86" s="100">
        <v>5</v>
      </c>
      <c r="AY86" s="100">
        <v>2700</v>
      </c>
      <c r="AZ86" s="100">
        <v>5</v>
      </c>
      <c r="BA86" s="100">
        <v>2700</v>
      </c>
      <c r="BB86" s="100">
        <v>5</v>
      </c>
      <c r="BC86" s="100">
        <v>2700</v>
      </c>
      <c r="BD86" s="100">
        <v>3.659091479410344</v>
      </c>
      <c r="BE86" s="100">
        <v>1975.9093988815857</v>
      </c>
      <c r="BF86" s="100">
        <v>4</v>
      </c>
      <c r="BG86" s="100">
        <v>2160</v>
      </c>
      <c r="BH86" s="100">
        <v>2.8192221487648204</v>
      </c>
      <c r="BI86" s="100">
        <v>1522.3799603330031</v>
      </c>
      <c r="BJ86" s="100">
        <v>6.3435823881647613</v>
      </c>
      <c r="BK86" s="100">
        <v>3425.5344896089709</v>
      </c>
      <c r="BL86" s="100">
        <v>3</v>
      </c>
      <c r="BM86" s="100">
        <v>1620</v>
      </c>
      <c r="BN86" s="100">
        <v>4</v>
      </c>
      <c r="BO86" s="100">
        <v>2160</v>
      </c>
      <c r="BP86" s="100">
        <v>4</v>
      </c>
      <c r="BQ86" s="100">
        <v>2160</v>
      </c>
      <c r="BR86" s="100">
        <v>5</v>
      </c>
      <c r="BS86" s="100">
        <v>2700</v>
      </c>
      <c r="BT86" s="100">
        <v>6</v>
      </c>
      <c r="BU86" s="100">
        <v>3240</v>
      </c>
      <c r="BV86" s="100">
        <v>6</v>
      </c>
      <c r="BW86" s="100">
        <v>3240</v>
      </c>
      <c r="BX86" s="100">
        <v>5</v>
      </c>
      <c r="BY86" s="100">
        <v>2700</v>
      </c>
      <c r="BZ86" s="100">
        <v>6</v>
      </c>
      <c r="CA86" s="100">
        <v>3240</v>
      </c>
      <c r="CB86" s="100">
        <v>6</v>
      </c>
      <c r="CC86" s="100">
        <v>3240</v>
      </c>
      <c r="CD86" s="100">
        <v>7</v>
      </c>
      <c r="CE86" s="100">
        <v>3780</v>
      </c>
      <c r="CF86" s="100">
        <v>4</v>
      </c>
      <c r="CG86" s="100">
        <v>2160</v>
      </c>
      <c r="CH86" s="100">
        <v>4</v>
      </c>
      <c r="CI86" s="100">
        <v>2160</v>
      </c>
      <c r="CJ86" s="100">
        <v>4</v>
      </c>
      <c r="CK86" s="100">
        <v>2160</v>
      </c>
      <c r="CL86" s="100">
        <v>5</v>
      </c>
      <c r="CM86" s="100">
        <v>2700</v>
      </c>
      <c r="CN86" s="100">
        <v>4.7408748911558414</v>
      </c>
      <c r="CO86" s="100">
        <v>2560.0724412241543</v>
      </c>
      <c r="CP86" s="100">
        <v>5</v>
      </c>
      <c r="CQ86" s="100">
        <v>2700</v>
      </c>
      <c r="CR86" s="100">
        <v>4</v>
      </c>
      <c r="CS86" s="100">
        <v>2160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4</v>
      </c>
      <c r="E87" s="100">
        <v>4296</v>
      </c>
      <c r="F87" s="100">
        <v>4</v>
      </c>
      <c r="G87" s="100">
        <v>4296</v>
      </c>
      <c r="H87" s="100">
        <v>4.3791388099178725</v>
      </c>
      <c r="I87" s="100">
        <v>4703.1950818517953</v>
      </c>
      <c r="J87" s="100">
        <v>6</v>
      </c>
      <c r="K87" s="100">
        <v>6444</v>
      </c>
      <c r="L87" s="100">
        <v>4.1695290858725764</v>
      </c>
      <c r="M87" s="100">
        <v>4478.0742382271474</v>
      </c>
      <c r="N87" s="100">
        <v>5</v>
      </c>
      <c r="O87" s="100">
        <v>5370</v>
      </c>
      <c r="P87" s="100">
        <v>3.3366681576600414</v>
      </c>
      <c r="Q87" s="100">
        <v>3583.5816013268845</v>
      </c>
      <c r="R87" s="100">
        <v>3.2214146590757449</v>
      </c>
      <c r="S87" s="100">
        <v>3459.79934384735</v>
      </c>
      <c r="T87" s="100">
        <v>4</v>
      </c>
      <c r="U87" s="100">
        <v>4296</v>
      </c>
      <c r="V87" s="100">
        <v>4.2908473646970204</v>
      </c>
      <c r="W87" s="100">
        <v>4608.3700696845999</v>
      </c>
      <c r="X87" s="100">
        <v>6.0055285871577739</v>
      </c>
      <c r="Y87" s="100">
        <v>6449.937702607449</v>
      </c>
      <c r="Z87" s="100">
        <v>3</v>
      </c>
      <c r="AA87" s="100">
        <v>3222</v>
      </c>
      <c r="AB87" s="100">
        <v>4</v>
      </c>
      <c r="AC87" s="100">
        <v>4296</v>
      </c>
      <c r="AD87" s="100">
        <v>5</v>
      </c>
      <c r="AE87" s="100">
        <v>5370</v>
      </c>
      <c r="AF87" s="100">
        <v>4.1889446696555614</v>
      </c>
      <c r="AG87" s="100">
        <v>4498.9265752100728</v>
      </c>
      <c r="AH87" s="100">
        <v>5.1627614008566391</v>
      </c>
      <c r="AI87" s="100">
        <v>5544.8057445200302</v>
      </c>
      <c r="AJ87" s="100">
        <v>5</v>
      </c>
      <c r="AK87" s="100">
        <v>5370</v>
      </c>
      <c r="AL87" s="100">
        <v>5</v>
      </c>
      <c r="AM87" s="100">
        <v>5370</v>
      </c>
      <c r="AN87" s="100">
        <v>6</v>
      </c>
      <c r="AO87" s="100">
        <v>6444</v>
      </c>
      <c r="AP87" s="100">
        <v>4.3262332907457903</v>
      </c>
      <c r="AQ87" s="100">
        <v>4646.3745542609786</v>
      </c>
      <c r="AR87" s="100">
        <v>7</v>
      </c>
      <c r="AS87" s="100">
        <v>7518</v>
      </c>
      <c r="AT87" s="100">
        <v>7</v>
      </c>
      <c r="AU87" s="100">
        <v>7518</v>
      </c>
      <c r="AV87" s="100">
        <v>5</v>
      </c>
      <c r="AW87" s="100">
        <v>5370</v>
      </c>
      <c r="AX87" s="100">
        <v>2.929133963692736</v>
      </c>
      <c r="AY87" s="100">
        <v>3145.8898770059986</v>
      </c>
      <c r="AZ87" s="100">
        <v>3.2012386187408356E-4</v>
      </c>
      <c r="BA87" s="100">
        <v>0.34381302765276572</v>
      </c>
      <c r="BB87" s="100">
        <v>2.1128174883689517E-4</v>
      </c>
      <c r="BC87" s="100">
        <v>0.22691659825082541</v>
      </c>
      <c r="BD87" s="100">
        <v>2.9319171960848667E-4</v>
      </c>
      <c r="BE87" s="100">
        <v>0.31488790685951468</v>
      </c>
      <c r="BF87" s="100">
        <v>2.0575369550083047</v>
      </c>
      <c r="BG87" s="100">
        <v>2209.7946896789194</v>
      </c>
      <c r="BH87" s="100">
        <v>4</v>
      </c>
      <c r="BI87" s="100">
        <v>4296</v>
      </c>
      <c r="BJ87" s="100">
        <v>5.8283947067990463</v>
      </c>
      <c r="BK87" s="100">
        <v>6259.6959151021756</v>
      </c>
      <c r="BL87" s="100">
        <v>5.9581123640059053</v>
      </c>
      <c r="BM87" s="100">
        <v>6399.0126789423421</v>
      </c>
      <c r="BN87" s="100">
        <v>1.662433966465656</v>
      </c>
      <c r="BO87" s="100">
        <v>1785.4540799841145</v>
      </c>
      <c r="BP87" s="100">
        <v>5.3861115392100176</v>
      </c>
      <c r="BQ87" s="100">
        <v>5784.6837931115588</v>
      </c>
      <c r="BR87" s="100">
        <v>4.9911885686709043</v>
      </c>
      <c r="BS87" s="100">
        <v>5360.5365227525508</v>
      </c>
      <c r="BT87" s="100">
        <v>7.3435257044481306</v>
      </c>
      <c r="BU87" s="100">
        <v>7886.9466065772922</v>
      </c>
      <c r="BV87" s="100">
        <v>3.5001281300678015</v>
      </c>
      <c r="BW87" s="100">
        <v>3759.1376116928191</v>
      </c>
      <c r="BX87" s="100">
        <v>5</v>
      </c>
      <c r="BY87" s="100">
        <v>5370</v>
      </c>
      <c r="BZ87" s="100">
        <v>6.2875687978455073</v>
      </c>
      <c r="CA87" s="100">
        <v>6752.8488888860747</v>
      </c>
      <c r="CB87" s="100">
        <v>7</v>
      </c>
      <c r="CC87" s="100">
        <v>7518</v>
      </c>
      <c r="CD87" s="100">
        <v>4</v>
      </c>
      <c r="CE87" s="100">
        <v>4296</v>
      </c>
      <c r="CF87" s="100">
        <v>4</v>
      </c>
      <c r="CG87" s="100">
        <v>4296</v>
      </c>
      <c r="CH87" s="100">
        <v>7.2224101103595588</v>
      </c>
      <c r="CI87" s="100">
        <v>7756.8684585261663</v>
      </c>
      <c r="CJ87" s="100">
        <v>4.4498649175832465</v>
      </c>
      <c r="CK87" s="100">
        <v>4779.1549214844072</v>
      </c>
      <c r="CL87" s="100">
        <v>7</v>
      </c>
      <c r="CM87" s="100">
        <v>7518</v>
      </c>
      <c r="CN87" s="100">
        <v>6.0137124528049721</v>
      </c>
      <c r="CO87" s="100">
        <v>6458.7271743125402</v>
      </c>
      <c r="CP87" s="100">
        <v>7</v>
      </c>
      <c r="CQ87" s="100">
        <v>7518</v>
      </c>
      <c r="CR87" s="100">
        <v>4</v>
      </c>
      <c r="CS87" s="100">
        <v>4296</v>
      </c>
      <c r="CT87" s="100">
        <v>8.1433751090756807</v>
      </c>
      <c r="CU87" s="100">
        <v>8745.984867147281</v>
      </c>
    </row>
    <row r="88" spans="2:99">
      <c r="C88" s="99" t="s">
        <v>254</v>
      </c>
      <c r="D88" s="100">
        <v>4</v>
      </c>
      <c r="E88" s="100">
        <v>3969.6</v>
      </c>
      <c r="F88" s="100">
        <v>4</v>
      </c>
      <c r="G88" s="100">
        <v>3969.6</v>
      </c>
      <c r="H88" s="100">
        <v>4.3791388099178725</v>
      </c>
      <c r="I88" s="100">
        <v>4345.8573549624962</v>
      </c>
      <c r="J88" s="100">
        <v>6</v>
      </c>
      <c r="K88" s="100">
        <v>5954.4</v>
      </c>
      <c r="L88" s="100">
        <v>4</v>
      </c>
      <c r="M88" s="100">
        <v>3969.6</v>
      </c>
      <c r="N88" s="100">
        <v>6</v>
      </c>
      <c r="O88" s="100">
        <v>5954.4</v>
      </c>
      <c r="P88" s="100">
        <v>3.3366681576600414</v>
      </c>
      <c r="Q88" s="100">
        <v>3311.3094796618252</v>
      </c>
      <c r="R88" s="100">
        <v>3.1937378266912768</v>
      </c>
      <c r="S88" s="100">
        <v>3169.4654192084231</v>
      </c>
      <c r="T88" s="100">
        <v>4</v>
      </c>
      <c r="U88" s="100">
        <v>3969.6</v>
      </c>
      <c r="V88" s="100">
        <v>4.2908473646970204</v>
      </c>
      <c r="W88" s="100">
        <v>4258.2369247253228</v>
      </c>
      <c r="X88" s="100">
        <v>6.0055285871577739</v>
      </c>
      <c r="Y88" s="100">
        <v>5959.886569895375</v>
      </c>
      <c r="Z88" s="100">
        <v>4</v>
      </c>
      <c r="AA88" s="100">
        <v>3969.6</v>
      </c>
      <c r="AB88" s="100">
        <v>4</v>
      </c>
      <c r="AC88" s="100">
        <v>3969.6</v>
      </c>
      <c r="AD88" s="100">
        <v>4</v>
      </c>
      <c r="AE88" s="100">
        <v>3969.6</v>
      </c>
      <c r="AF88" s="100">
        <v>4.1889446696555614</v>
      </c>
      <c r="AG88" s="100">
        <v>4157.1086901661793</v>
      </c>
      <c r="AH88" s="100">
        <v>5</v>
      </c>
      <c r="AI88" s="100">
        <v>4962</v>
      </c>
      <c r="AJ88" s="100">
        <v>4</v>
      </c>
      <c r="AK88" s="100">
        <v>3969.6</v>
      </c>
      <c r="AL88" s="100">
        <v>5.0359360549610255</v>
      </c>
      <c r="AM88" s="100">
        <v>4997.6629409433217</v>
      </c>
      <c r="AN88" s="100">
        <v>5</v>
      </c>
      <c r="AO88" s="100">
        <v>4962</v>
      </c>
      <c r="AP88" s="100">
        <v>4.293609961671212</v>
      </c>
      <c r="AQ88" s="100">
        <v>4260.9785259625105</v>
      </c>
      <c r="AR88" s="100">
        <v>7</v>
      </c>
      <c r="AS88" s="100">
        <v>6946.8</v>
      </c>
      <c r="AT88" s="100">
        <v>6</v>
      </c>
      <c r="AU88" s="100">
        <v>5954.4</v>
      </c>
      <c r="AV88" s="100">
        <v>5</v>
      </c>
      <c r="AW88" s="100">
        <v>4962</v>
      </c>
      <c r="AX88" s="100">
        <v>2.929133963692736</v>
      </c>
      <c r="AY88" s="100">
        <v>2906.8725455686713</v>
      </c>
      <c r="AZ88" s="100">
        <v>3.2012386187408356E-4</v>
      </c>
      <c r="BA88" s="100">
        <v>0.31769092052384051</v>
      </c>
      <c r="BB88" s="100">
        <v>2.8170899844919358E-4</v>
      </c>
      <c r="BC88" s="100">
        <v>0.2795680100609797</v>
      </c>
      <c r="BD88" s="100">
        <v>2.9056918193957052E-4</v>
      </c>
      <c r="BE88" s="100">
        <v>0.28836085615682977</v>
      </c>
      <c r="BF88" s="100">
        <v>2.1718917538504918</v>
      </c>
      <c r="BG88" s="100">
        <v>2155.385376521228</v>
      </c>
      <c r="BH88" s="100">
        <v>4</v>
      </c>
      <c r="BI88" s="100">
        <v>3969.6</v>
      </c>
      <c r="BJ88" s="100">
        <v>4.880970388774835</v>
      </c>
      <c r="BK88" s="100">
        <v>4843.8750138201458</v>
      </c>
      <c r="BL88" s="100">
        <v>5.9581123640059053</v>
      </c>
      <c r="BM88" s="100">
        <v>5912.8307100394604</v>
      </c>
      <c r="BN88" s="100">
        <v>2.2165786219542083</v>
      </c>
      <c r="BO88" s="100">
        <v>2199.7326244273563</v>
      </c>
      <c r="BP88" s="100">
        <v>4.3861115392100176</v>
      </c>
      <c r="BQ88" s="100">
        <v>4352.7770915120218</v>
      </c>
      <c r="BR88" s="100">
        <v>4.1593238072257535</v>
      </c>
      <c r="BS88" s="100">
        <v>4127.7129462908379</v>
      </c>
      <c r="BT88" s="100">
        <v>7.3435257044481306</v>
      </c>
      <c r="BU88" s="100">
        <v>7287.7149090943249</v>
      </c>
      <c r="BV88" s="100">
        <v>3.5001281300678015</v>
      </c>
      <c r="BW88" s="100">
        <v>3473.5271562792864</v>
      </c>
      <c r="BX88" s="100">
        <v>6</v>
      </c>
      <c r="BY88" s="100">
        <v>5954.4</v>
      </c>
      <c r="BZ88" s="100">
        <v>7.2556167091960058</v>
      </c>
      <c r="CA88" s="100">
        <v>7200.4740222061164</v>
      </c>
      <c r="CB88" s="100">
        <v>8</v>
      </c>
      <c r="CC88" s="100">
        <v>7939.2</v>
      </c>
      <c r="CD88" s="100">
        <v>4</v>
      </c>
      <c r="CE88" s="100">
        <v>3969.6</v>
      </c>
      <c r="CF88" s="100">
        <v>4</v>
      </c>
      <c r="CG88" s="100">
        <v>3969.6</v>
      </c>
      <c r="CH88" s="100">
        <v>6.2541829832680671</v>
      </c>
      <c r="CI88" s="100">
        <v>6206.65119259523</v>
      </c>
      <c r="CJ88" s="100">
        <v>5.499849908425829</v>
      </c>
      <c r="CK88" s="100">
        <v>5458.0510491217929</v>
      </c>
      <c r="CL88" s="100">
        <v>7</v>
      </c>
      <c r="CM88" s="100">
        <v>6946.8</v>
      </c>
      <c r="CN88" s="100">
        <v>6.0159978616058005</v>
      </c>
      <c r="CO88" s="100">
        <v>5970.2762778575961</v>
      </c>
      <c r="CP88" s="100">
        <v>7</v>
      </c>
      <c r="CQ88" s="100">
        <v>6946.8</v>
      </c>
      <c r="CR88" s="100">
        <v>4</v>
      </c>
      <c r="CS88" s="100">
        <v>3969.6</v>
      </c>
      <c r="CT88" s="100">
        <v>8.1228929506362988</v>
      </c>
      <c r="CU88" s="100">
        <v>8061.1589642114632</v>
      </c>
    </row>
    <row r="89" spans="2:99">
      <c r="C89" s="99" t="s">
        <v>255</v>
      </c>
      <c r="D89" s="100">
        <v>4</v>
      </c>
      <c r="E89" s="100">
        <v>4248</v>
      </c>
      <c r="F89" s="100">
        <v>4.0200036912223389</v>
      </c>
      <c r="G89" s="100">
        <v>4269.2439200781237</v>
      </c>
      <c r="H89" s="100">
        <v>4.3317464586781389</v>
      </c>
      <c r="I89" s="100">
        <v>4600.3147391161838</v>
      </c>
      <c r="J89" s="100">
        <v>6</v>
      </c>
      <c r="K89" s="100">
        <v>6372</v>
      </c>
      <c r="L89" s="100">
        <v>4.1695290858725764</v>
      </c>
      <c r="M89" s="100">
        <v>4428.0398891966761</v>
      </c>
      <c r="N89" s="100">
        <v>5</v>
      </c>
      <c r="O89" s="100">
        <v>5310</v>
      </c>
      <c r="P89" s="100">
        <v>4.336668157660041</v>
      </c>
      <c r="Q89" s="100">
        <v>4605.5415834349633</v>
      </c>
      <c r="R89" s="100">
        <v>3.2214146590757449</v>
      </c>
      <c r="S89" s="100">
        <v>3421.1423679384411</v>
      </c>
      <c r="T89" s="100">
        <v>5.1835806401897733</v>
      </c>
      <c r="U89" s="100">
        <v>5504.962639881539</v>
      </c>
      <c r="V89" s="100">
        <v>4.2908473646970204</v>
      </c>
      <c r="W89" s="100">
        <v>4556.8799013082353</v>
      </c>
      <c r="X89" s="100">
        <v>6.0055285871577739</v>
      </c>
      <c r="Y89" s="100">
        <v>6377.8713595615563</v>
      </c>
      <c r="Z89" s="100">
        <v>4</v>
      </c>
      <c r="AA89" s="100">
        <v>4248</v>
      </c>
      <c r="AB89" s="100">
        <v>4</v>
      </c>
      <c r="AC89" s="100">
        <v>4248</v>
      </c>
      <c r="AD89" s="100">
        <v>4</v>
      </c>
      <c r="AE89" s="100">
        <v>4248</v>
      </c>
      <c r="AF89" s="100">
        <v>3.2099385218395122</v>
      </c>
      <c r="AG89" s="100">
        <v>3408.9547101935618</v>
      </c>
      <c r="AH89" s="100">
        <v>4</v>
      </c>
      <c r="AI89" s="100">
        <v>4248</v>
      </c>
      <c r="AJ89" s="100">
        <v>4</v>
      </c>
      <c r="AK89" s="100">
        <v>4248</v>
      </c>
      <c r="AL89" s="100">
        <v>4.0359360549610255</v>
      </c>
      <c r="AM89" s="100">
        <v>4286.1640903686093</v>
      </c>
      <c r="AN89" s="100">
        <v>5</v>
      </c>
      <c r="AO89" s="100">
        <v>5310</v>
      </c>
      <c r="AP89" s="100">
        <v>4.293609961671212</v>
      </c>
      <c r="AQ89" s="100">
        <v>4559.8137792948273</v>
      </c>
      <c r="AR89" s="100">
        <v>6</v>
      </c>
      <c r="AS89" s="100">
        <v>6372</v>
      </c>
      <c r="AT89" s="100">
        <v>7</v>
      </c>
      <c r="AU89" s="100">
        <v>7434</v>
      </c>
      <c r="AV89" s="100">
        <v>5</v>
      </c>
      <c r="AW89" s="100">
        <v>5310</v>
      </c>
      <c r="AX89" s="100">
        <v>2.4409449697439469</v>
      </c>
      <c r="AY89" s="100">
        <v>2592.2835578680715</v>
      </c>
      <c r="AZ89" s="100">
        <v>3.2012386187408356E-4</v>
      </c>
      <c r="BA89" s="100">
        <v>0.33997154131027674</v>
      </c>
      <c r="BB89" s="100">
        <v>2.1128174883689517E-4</v>
      </c>
      <c r="BC89" s="100">
        <v>0.22438121726478266</v>
      </c>
      <c r="BD89" s="100">
        <v>2.9319171960848667E-4</v>
      </c>
      <c r="BE89" s="100">
        <v>0.31136960622421284</v>
      </c>
      <c r="BF89" s="100">
        <v>2.1718917538504918</v>
      </c>
      <c r="BG89" s="100">
        <v>2306.5490425892222</v>
      </c>
      <c r="BH89" s="100">
        <v>4</v>
      </c>
      <c r="BI89" s="100">
        <v>4248</v>
      </c>
      <c r="BJ89" s="100">
        <v>5.7924325071356018</v>
      </c>
      <c r="BK89" s="100">
        <v>6151.5633225780093</v>
      </c>
      <c r="BL89" s="100">
        <v>5.9983394554887619</v>
      </c>
      <c r="BM89" s="100">
        <v>6370.2365017290649</v>
      </c>
      <c r="BN89" s="100">
        <v>2.2165786219542083</v>
      </c>
      <c r="BO89" s="100">
        <v>2354.0064965153692</v>
      </c>
      <c r="BP89" s="100">
        <v>5.3861115392100176</v>
      </c>
      <c r="BQ89" s="100">
        <v>5720.0504546410384</v>
      </c>
      <c r="BR89" s="100">
        <v>4.9911885686709043</v>
      </c>
      <c r="BS89" s="100">
        <v>5300.6422599285006</v>
      </c>
      <c r="BT89" s="100">
        <v>7.3435257044481306</v>
      </c>
      <c r="BU89" s="100">
        <v>7798.8242981239146</v>
      </c>
      <c r="BV89" s="100">
        <v>3.5001281300678015</v>
      </c>
      <c r="BW89" s="100">
        <v>3717.1360741320054</v>
      </c>
      <c r="BX89" s="100">
        <v>5</v>
      </c>
      <c r="BY89" s="100">
        <v>5310</v>
      </c>
      <c r="BZ89" s="100">
        <v>6.2556167091960058</v>
      </c>
      <c r="CA89" s="100">
        <v>6643.464945166158</v>
      </c>
      <c r="CB89" s="100">
        <v>8</v>
      </c>
      <c r="CC89" s="100">
        <v>8496</v>
      </c>
      <c r="CD89" s="100">
        <v>4</v>
      </c>
      <c r="CE89" s="100">
        <v>4248</v>
      </c>
      <c r="CF89" s="100">
        <v>4</v>
      </c>
      <c r="CG89" s="100">
        <v>4248</v>
      </c>
      <c r="CH89" s="100">
        <v>6.2224101103595588</v>
      </c>
      <c r="CI89" s="100">
        <v>6608.1995372018519</v>
      </c>
      <c r="CJ89" s="100">
        <v>4.4498649175832465</v>
      </c>
      <c r="CK89" s="100">
        <v>4725.7565424734075</v>
      </c>
      <c r="CL89" s="100">
        <v>7</v>
      </c>
      <c r="CM89" s="100">
        <v>7434</v>
      </c>
      <c r="CN89" s="100">
        <v>6.0137124528049721</v>
      </c>
      <c r="CO89" s="100">
        <v>6386.5626248788803</v>
      </c>
      <c r="CP89" s="100">
        <v>7</v>
      </c>
      <c r="CQ89" s="100">
        <v>7434</v>
      </c>
      <c r="CR89" s="100">
        <v>4</v>
      </c>
      <c r="CS89" s="100">
        <v>4248</v>
      </c>
      <c r="CT89" s="100">
        <v>8.1433751090756807</v>
      </c>
      <c r="CU89" s="100">
        <v>8648.2643658383731</v>
      </c>
    </row>
    <row r="90" spans="2:99">
      <c r="C90" s="99" t="s">
        <v>256</v>
      </c>
      <c r="D90" s="100">
        <v>4</v>
      </c>
      <c r="E90" s="100">
        <v>4435.2</v>
      </c>
      <c r="F90" s="100">
        <v>5</v>
      </c>
      <c r="G90" s="100">
        <v>5544</v>
      </c>
      <c r="H90" s="100">
        <v>4.3791388099178725</v>
      </c>
      <c r="I90" s="100">
        <v>4855.5891124369373</v>
      </c>
      <c r="J90" s="100">
        <v>6</v>
      </c>
      <c r="K90" s="100">
        <v>6652.7999999999993</v>
      </c>
      <c r="L90" s="100">
        <v>3.1695290858725764</v>
      </c>
      <c r="M90" s="100">
        <v>3514.3738504155126</v>
      </c>
      <c r="N90" s="100">
        <v>5</v>
      </c>
      <c r="O90" s="100">
        <v>5544</v>
      </c>
      <c r="P90" s="100">
        <v>4.2885727065657502</v>
      </c>
      <c r="Q90" s="100">
        <v>4755.1694170401033</v>
      </c>
      <c r="R90" s="100">
        <v>3.2214146590757449</v>
      </c>
      <c r="S90" s="100">
        <v>3571.9045739831859</v>
      </c>
      <c r="T90" s="100">
        <v>5</v>
      </c>
      <c r="U90" s="100">
        <v>5544</v>
      </c>
      <c r="V90" s="100">
        <v>4.2908473646970204</v>
      </c>
      <c r="W90" s="100">
        <v>4757.6915579760562</v>
      </c>
      <c r="X90" s="100">
        <v>6.0046071559648118</v>
      </c>
      <c r="Y90" s="100">
        <v>6657.9084145337829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5</v>
      </c>
      <c r="AE90" s="100">
        <v>5544</v>
      </c>
      <c r="AF90" s="100">
        <v>3.1889446696555614</v>
      </c>
      <c r="AG90" s="100">
        <v>3535.9018497140864</v>
      </c>
      <c r="AH90" s="100">
        <v>5</v>
      </c>
      <c r="AI90" s="100">
        <v>5544</v>
      </c>
      <c r="AJ90" s="100">
        <v>5</v>
      </c>
      <c r="AK90" s="100">
        <v>5544</v>
      </c>
      <c r="AL90" s="100">
        <v>5.0314440480908971</v>
      </c>
      <c r="AM90" s="100">
        <v>5578.8651605231862</v>
      </c>
      <c r="AN90" s="100">
        <v>6</v>
      </c>
      <c r="AO90" s="100">
        <v>6652.7999999999993</v>
      </c>
      <c r="AP90" s="100">
        <v>4.293609961671212</v>
      </c>
      <c r="AQ90" s="100">
        <v>4760.7547255010395</v>
      </c>
      <c r="AR90" s="100">
        <v>7</v>
      </c>
      <c r="AS90" s="100">
        <v>7761.5999999999995</v>
      </c>
      <c r="AT90" s="100">
        <v>6</v>
      </c>
      <c r="AU90" s="100">
        <v>6652.7999999999993</v>
      </c>
      <c r="AV90" s="100">
        <v>5</v>
      </c>
      <c r="AW90" s="100">
        <v>5544</v>
      </c>
      <c r="AX90" s="100">
        <v>2.929133963692736</v>
      </c>
      <c r="AY90" s="100">
        <v>3247.8237389425058</v>
      </c>
      <c r="AZ90" s="100">
        <v>2.4009289640556267E-4</v>
      </c>
      <c r="BA90" s="100">
        <v>0.2662150035344879</v>
      </c>
      <c r="BB90" s="100">
        <v>2.8170899844919358E-4</v>
      </c>
      <c r="BC90" s="100">
        <v>0.31235893748046584</v>
      </c>
      <c r="BD90" s="100">
        <v>2.9056918193957052E-4</v>
      </c>
      <c r="BE90" s="100">
        <v>0.32218310893459579</v>
      </c>
      <c r="BF90" s="100">
        <v>2.1718917538504918</v>
      </c>
      <c r="BG90" s="100">
        <v>2408.1935766694251</v>
      </c>
      <c r="BH90" s="100">
        <v>4</v>
      </c>
      <c r="BI90" s="100">
        <v>4435.2</v>
      </c>
      <c r="BJ90" s="100">
        <v>5.8283947067990463</v>
      </c>
      <c r="BK90" s="100">
        <v>6462.5240508987827</v>
      </c>
      <c r="BL90" s="100">
        <v>5.9581123640059053</v>
      </c>
      <c r="BM90" s="100">
        <v>6606.3549892097471</v>
      </c>
      <c r="BN90" s="100">
        <v>2.2165786219542083</v>
      </c>
      <c r="BO90" s="100">
        <v>2457.7423760228262</v>
      </c>
      <c r="BP90" s="100">
        <v>5.3861115392100176</v>
      </c>
      <c r="BQ90" s="100">
        <v>5972.1204746760677</v>
      </c>
      <c r="BR90" s="100">
        <v>4.9911885686709043</v>
      </c>
      <c r="BS90" s="100">
        <v>5534.2298849422987</v>
      </c>
      <c r="BT90" s="100">
        <v>7.3435257044481306</v>
      </c>
      <c r="BU90" s="100">
        <v>8142.5013010920866</v>
      </c>
      <c r="BV90" s="100">
        <v>4.2001537560813613</v>
      </c>
      <c r="BW90" s="100">
        <v>4657.1304847430129</v>
      </c>
      <c r="BX90" s="100">
        <v>6</v>
      </c>
      <c r="BY90" s="100">
        <v>6652.7999999999993</v>
      </c>
      <c r="BZ90" s="100">
        <v>6.2875687978455073</v>
      </c>
      <c r="CA90" s="100">
        <v>6971.6562830510984</v>
      </c>
      <c r="CB90" s="100">
        <v>7</v>
      </c>
      <c r="CC90" s="100">
        <v>7761.5999999999995</v>
      </c>
      <c r="CD90" s="100">
        <v>4</v>
      </c>
      <c r="CE90" s="100">
        <v>4435.2</v>
      </c>
      <c r="CF90" s="100">
        <v>4</v>
      </c>
      <c r="CG90" s="100">
        <v>4435.2</v>
      </c>
      <c r="CH90" s="100">
        <v>6.2541829832680671</v>
      </c>
      <c r="CI90" s="100">
        <v>6934.6380918476325</v>
      </c>
      <c r="CJ90" s="100">
        <v>4.4498649175832465</v>
      </c>
      <c r="CK90" s="100">
        <v>4934.0102206163037</v>
      </c>
      <c r="CL90" s="100">
        <v>6</v>
      </c>
      <c r="CM90" s="100">
        <v>6652.7999999999993</v>
      </c>
      <c r="CN90" s="100">
        <v>7.0159978616058005</v>
      </c>
      <c r="CO90" s="100">
        <v>7779.3384289485111</v>
      </c>
      <c r="CP90" s="100">
        <v>7</v>
      </c>
      <c r="CQ90" s="100">
        <v>7761.5999999999995</v>
      </c>
      <c r="CR90" s="100">
        <v>4</v>
      </c>
      <c r="CS90" s="100">
        <v>4435.2</v>
      </c>
      <c r="CT90" s="100">
        <v>8.1433751090756807</v>
      </c>
      <c r="CU90" s="100">
        <v>9029.3743209431141</v>
      </c>
    </row>
    <row r="91" spans="2:99">
      <c r="C91" s="99" t="s">
        <v>257</v>
      </c>
      <c r="D91" s="100">
        <v>4</v>
      </c>
      <c r="E91" s="100">
        <v>4545.5999999999995</v>
      </c>
      <c r="F91" s="100">
        <v>4.0200036912223389</v>
      </c>
      <c r="G91" s="100">
        <v>4568.3321947050654</v>
      </c>
      <c r="H91" s="100">
        <v>4.3791388099178725</v>
      </c>
      <c r="I91" s="100">
        <v>4976.4533435906696</v>
      </c>
      <c r="J91" s="100">
        <v>6</v>
      </c>
      <c r="K91" s="100">
        <v>6818.4</v>
      </c>
      <c r="L91" s="100">
        <v>4.1695290858725764</v>
      </c>
      <c r="M91" s="100">
        <v>4738.2528531855951</v>
      </c>
      <c r="N91" s="100">
        <v>5</v>
      </c>
      <c r="O91" s="100">
        <v>5681.9999999999991</v>
      </c>
      <c r="P91" s="100">
        <v>3.2885727065657497</v>
      </c>
      <c r="Q91" s="100">
        <v>3737.1340237413174</v>
      </c>
      <c r="R91" s="100">
        <v>3.2214146590757449</v>
      </c>
      <c r="S91" s="100">
        <v>3660.8156185736761</v>
      </c>
      <c r="T91" s="100">
        <v>5</v>
      </c>
      <c r="U91" s="100">
        <v>5681.9999999999991</v>
      </c>
      <c r="V91" s="100">
        <v>4.2908473646970204</v>
      </c>
      <c r="W91" s="100">
        <v>4876.1189452416938</v>
      </c>
      <c r="X91" s="100">
        <v>5.0055285871577739</v>
      </c>
      <c r="Y91" s="100">
        <v>5688.282686446094</v>
      </c>
      <c r="Z91" s="100">
        <v>4</v>
      </c>
      <c r="AA91" s="100">
        <v>4545.5999999999995</v>
      </c>
      <c r="AB91" s="100">
        <v>4</v>
      </c>
      <c r="AC91" s="100">
        <v>4545.5999999999995</v>
      </c>
      <c r="AD91" s="100">
        <v>5</v>
      </c>
      <c r="AE91" s="100">
        <v>5681.9999999999991</v>
      </c>
      <c r="AF91" s="100">
        <v>4.1889446696555614</v>
      </c>
      <c r="AG91" s="100">
        <v>4760.3167225965799</v>
      </c>
      <c r="AH91" s="100">
        <v>5.1446768007614567</v>
      </c>
      <c r="AI91" s="100">
        <v>5846.4107163853187</v>
      </c>
      <c r="AJ91" s="100">
        <v>4</v>
      </c>
      <c r="AK91" s="100">
        <v>4545.5999999999995</v>
      </c>
      <c r="AL91" s="100">
        <v>4.0359360549610255</v>
      </c>
      <c r="AM91" s="100">
        <v>4586.4377328577084</v>
      </c>
      <c r="AN91" s="100">
        <v>5</v>
      </c>
      <c r="AO91" s="100">
        <v>5681.9999999999991</v>
      </c>
      <c r="AP91" s="100">
        <v>4.2609866325966328</v>
      </c>
      <c r="AQ91" s="100">
        <v>4842.185209282813</v>
      </c>
      <c r="AR91" s="100">
        <v>6</v>
      </c>
      <c r="AS91" s="100">
        <v>6818.4</v>
      </c>
      <c r="AT91" s="100">
        <v>7</v>
      </c>
      <c r="AU91" s="100">
        <v>7954.7999999999993</v>
      </c>
      <c r="AV91" s="100">
        <v>5</v>
      </c>
      <c r="AW91" s="100">
        <v>5681.9999999999991</v>
      </c>
      <c r="AX91" s="100">
        <v>2.929133963692736</v>
      </c>
      <c r="AY91" s="100">
        <v>3328.6678363404249</v>
      </c>
      <c r="AZ91" s="100">
        <v>3.2012386187408356E-4</v>
      </c>
      <c r="BA91" s="100">
        <v>0.36378875663370852</v>
      </c>
      <c r="BB91" s="100">
        <v>2.8170899844919358E-4</v>
      </c>
      <c r="BC91" s="100">
        <v>0.32013410583766355</v>
      </c>
      <c r="BD91" s="100">
        <v>2.9319171960848667E-4</v>
      </c>
      <c r="BE91" s="100">
        <v>0.33318307016308424</v>
      </c>
      <c r="BF91" s="100">
        <v>2.1861861037057655</v>
      </c>
      <c r="BG91" s="100">
        <v>2484.3818882512314</v>
      </c>
      <c r="BH91" s="100">
        <v>5</v>
      </c>
      <c r="BI91" s="100">
        <v>5681.9999999999991</v>
      </c>
      <c r="BJ91" s="100">
        <v>5.7924325071356018</v>
      </c>
      <c r="BK91" s="100">
        <v>6582.520301108897</v>
      </c>
      <c r="BL91" s="100">
        <v>5.9581123640059053</v>
      </c>
      <c r="BM91" s="100">
        <v>6770.7988904563099</v>
      </c>
      <c r="BN91" s="100">
        <v>2.2165786219542083</v>
      </c>
      <c r="BO91" s="100">
        <v>2518.9199459887618</v>
      </c>
      <c r="BP91" s="100">
        <v>5.3475003852890159</v>
      </c>
      <c r="BQ91" s="100">
        <v>6076.8994378424368</v>
      </c>
      <c r="BR91" s="100">
        <v>4.9911885686709043</v>
      </c>
      <c r="BS91" s="100">
        <v>5671.9866894376146</v>
      </c>
      <c r="BT91" s="100">
        <v>7.3435257044481306</v>
      </c>
      <c r="BU91" s="100">
        <v>8345.1826105348555</v>
      </c>
      <c r="BV91" s="100">
        <v>3.5001281300678015</v>
      </c>
      <c r="BW91" s="100">
        <v>3977.545607009049</v>
      </c>
      <c r="BX91" s="100">
        <v>5</v>
      </c>
      <c r="BY91" s="100">
        <v>5681.9999999999991</v>
      </c>
      <c r="BZ91" s="100">
        <v>6.2556167091960058</v>
      </c>
      <c r="CA91" s="100">
        <v>7108.8828283303401</v>
      </c>
      <c r="CB91" s="100">
        <v>7</v>
      </c>
      <c r="CC91" s="100">
        <v>7954.7999999999993</v>
      </c>
      <c r="CD91" s="100">
        <v>4</v>
      </c>
      <c r="CE91" s="100">
        <v>4545.5999999999995</v>
      </c>
      <c r="CF91" s="100">
        <v>5</v>
      </c>
      <c r="CG91" s="100">
        <v>5681.9999999999991</v>
      </c>
      <c r="CH91" s="100">
        <v>6.2224101103595588</v>
      </c>
      <c r="CI91" s="100">
        <v>7071.146849412602</v>
      </c>
      <c r="CJ91" s="100">
        <v>5.4498649175832465</v>
      </c>
      <c r="CK91" s="100">
        <v>6193.2264923416005</v>
      </c>
      <c r="CL91" s="100">
        <v>7</v>
      </c>
      <c r="CM91" s="100">
        <v>7954.7999999999993</v>
      </c>
      <c r="CN91" s="100">
        <v>6.0159978616058005</v>
      </c>
      <c r="CO91" s="100">
        <v>6836.5799699288309</v>
      </c>
      <c r="CP91" s="100">
        <v>7</v>
      </c>
      <c r="CQ91" s="100">
        <v>7954.7999999999993</v>
      </c>
      <c r="CR91" s="100">
        <v>4</v>
      </c>
      <c r="CS91" s="100">
        <v>4545.5999999999995</v>
      </c>
      <c r="CT91" s="100">
        <v>8.1228929506362988</v>
      </c>
      <c r="CU91" s="100">
        <v>9230.8555491030893</v>
      </c>
    </row>
    <row r="92" spans="2:99">
      <c r="C92" s="99" t="s">
        <v>258</v>
      </c>
      <c r="D92" s="100">
        <v>4</v>
      </c>
      <c r="E92" s="100">
        <v>3139.2</v>
      </c>
      <c r="F92" s="100">
        <v>5.0225041526251308</v>
      </c>
      <c r="G92" s="100">
        <v>3941.6612589802025</v>
      </c>
      <c r="H92" s="100">
        <v>4.3791388099178725</v>
      </c>
      <c r="I92" s="100">
        <v>3436.7481380235463</v>
      </c>
      <c r="J92" s="100">
        <v>6</v>
      </c>
      <c r="K92" s="100">
        <v>4708.7999999999993</v>
      </c>
      <c r="L92" s="100">
        <v>4</v>
      </c>
      <c r="M92" s="100">
        <v>3139.2</v>
      </c>
      <c r="N92" s="100">
        <v>6</v>
      </c>
      <c r="O92" s="100">
        <v>4708.7999999999993</v>
      </c>
      <c r="P92" s="100">
        <v>4.336668157660041</v>
      </c>
      <c r="Q92" s="100">
        <v>3403.4171701316</v>
      </c>
      <c r="R92" s="100">
        <v>4.2214146590757453</v>
      </c>
      <c r="S92" s="100">
        <v>3312.9662244426449</v>
      </c>
      <c r="T92" s="100">
        <v>5.1835806401897733</v>
      </c>
      <c r="U92" s="100">
        <v>4068.0740864209338</v>
      </c>
      <c r="V92" s="100">
        <v>4.2908473646970204</v>
      </c>
      <c r="W92" s="100">
        <v>3367.4570118142215</v>
      </c>
      <c r="X92" s="100">
        <v>6.0055285871577739</v>
      </c>
      <c r="Y92" s="100">
        <v>4713.138835201421</v>
      </c>
      <c r="Z92" s="100">
        <v>4</v>
      </c>
      <c r="AA92" s="100">
        <v>3139.2</v>
      </c>
      <c r="AB92" s="100">
        <v>4</v>
      </c>
      <c r="AC92" s="100">
        <v>3139.2</v>
      </c>
      <c r="AD92" s="100">
        <v>5</v>
      </c>
      <c r="AE92" s="100">
        <v>3924</v>
      </c>
      <c r="AF92" s="100">
        <v>3.2099385218395122</v>
      </c>
      <c r="AG92" s="100">
        <v>2519.1597519396491</v>
      </c>
      <c r="AH92" s="100">
        <v>5.1446768007614567</v>
      </c>
      <c r="AI92" s="100">
        <v>4037.5423532375912</v>
      </c>
      <c r="AJ92" s="100">
        <v>4</v>
      </c>
      <c r="AK92" s="100">
        <v>3139.2</v>
      </c>
      <c r="AL92" s="100">
        <v>5.0314440480908971</v>
      </c>
      <c r="AM92" s="100">
        <v>3948.6772889417357</v>
      </c>
      <c r="AN92" s="100">
        <v>5</v>
      </c>
      <c r="AO92" s="100">
        <v>3924</v>
      </c>
      <c r="AP92" s="100">
        <v>4.293609961671212</v>
      </c>
      <c r="AQ92" s="100">
        <v>3369.625097919567</v>
      </c>
      <c r="AR92" s="100">
        <v>7</v>
      </c>
      <c r="AS92" s="100">
        <v>5493.5999999999995</v>
      </c>
      <c r="AT92" s="100">
        <v>6</v>
      </c>
      <c r="AU92" s="100">
        <v>4708.7999999999993</v>
      </c>
      <c r="AV92" s="100">
        <v>5</v>
      </c>
      <c r="AW92" s="100">
        <v>3924</v>
      </c>
      <c r="AX92" s="100">
        <v>2.929133963692736</v>
      </c>
      <c r="AY92" s="100">
        <v>2298.7843347060593</v>
      </c>
      <c r="AZ92" s="100">
        <v>3.2012386187408356E-4</v>
      </c>
      <c r="BA92" s="100">
        <v>0.25123320679878075</v>
      </c>
      <c r="BB92" s="100">
        <v>2.8170899844919358E-4</v>
      </c>
      <c r="BC92" s="100">
        <v>0.2210852219829271</v>
      </c>
      <c r="BD92" s="100">
        <v>2.9056918193957052E-4</v>
      </c>
      <c r="BE92" s="100">
        <v>0.22803869398617493</v>
      </c>
      <c r="BF92" s="100">
        <v>2.0575369550083047</v>
      </c>
      <c r="BG92" s="100">
        <v>1614.7550022905175</v>
      </c>
      <c r="BH92" s="100">
        <v>5</v>
      </c>
      <c r="BI92" s="100">
        <v>3924</v>
      </c>
      <c r="BJ92" s="100">
        <v>5.8283947067990463</v>
      </c>
      <c r="BK92" s="100">
        <v>4574.1241658958916</v>
      </c>
      <c r="BL92" s="100">
        <v>5.9581123640059053</v>
      </c>
      <c r="BM92" s="100">
        <v>4675.9265832718338</v>
      </c>
      <c r="BN92" s="100">
        <v>2.2165786219542083</v>
      </c>
      <c r="BO92" s="100">
        <v>1739.5709025096626</v>
      </c>
      <c r="BP92" s="100">
        <v>5.3475003852890159</v>
      </c>
      <c r="BQ92" s="100">
        <v>4196.7183023748194</v>
      </c>
      <c r="BR92" s="100">
        <v>4.9911885686709043</v>
      </c>
      <c r="BS92" s="100">
        <v>3917.0847886929255</v>
      </c>
      <c r="BT92" s="100">
        <v>7.3435257044481306</v>
      </c>
      <c r="BU92" s="100">
        <v>5763.1989728508925</v>
      </c>
      <c r="BV92" s="100">
        <v>3.5001281300678015</v>
      </c>
      <c r="BW92" s="100">
        <v>2746.9005564772106</v>
      </c>
      <c r="BX92" s="100">
        <v>5</v>
      </c>
      <c r="BY92" s="100">
        <v>3924</v>
      </c>
      <c r="BZ92" s="100">
        <v>7.2875687978455073</v>
      </c>
      <c r="CA92" s="100">
        <v>5719.2839925491535</v>
      </c>
      <c r="CB92" s="100">
        <v>8</v>
      </c>
      <c r="CC92" s="100">
        <v>6278.4</v>
      </c>
      <c r="CD92" s="100">
        <v>4</v>
      </c>
      <c r="CE92" s="100">
        <v>3139.2</v>
      </c>
      <c r="CF92" s="100">
        <v>4</v>
      </c>
      <c r="CG92" s="100">
        <v>3139.2</v>
      </c>
      <c r="CH92" s="100">
        <v>7.2541829832680671</v>
      </c>
      <c r="CI92" s="100">
        <v>5693.0828052687784</v>
      </c>
      <c r="CJ92" s="100">
        <v>4.499849908425829</v>
      </c>
      <c r="CK92" s="100">
        <v>3531.4822081325906</v>
      </c>
      <c r="CL92" s="100">
        <v>6</v>
      </c>
      <c r="CM92" s="100">
        <v>4708.7999999999993</v>
      </c>
      <c r="CN92" s="100">
        <v>7.0159978616058005</v>
      </c>
      <c r="CO92" s="100">
        <v>5506.1551217882316</v>
      </c>
      <c r="CP92" s="100">
        <v>7</v>
      </c>
      <c r="CQ92" s="100">
        <v>5493.5999999999995</v>
      </c>
      <c r="CR92" s="100">
        <v>5</v>
      </c>
      <c r="CS92" s="100">
        <v>3924</v>
      </c>
      <c r="CT92" s="100">
        <v>8.1433751090756807</v>
      </c>
      <c r="CU92" s="100">
        <v>6390.9207856025942</v>
      </c>
    </row>
    <row r="93" spans="2:99">
      <c r="C93" s="99" t="s">
        <v>259</v>
      </c>
      <c r="D93" s="100">
        <v>4</v>
      </c>
      <c r="E93" s="100">
        <v>2774.4</v>
      </c>
      <c r="F93" s="100">
        <v>4</v>
      </c>
      <c r="G93" s="100">
        <v>2774.4</v>
      </c>
      <c r="H93" s="100">
        <v>4.3791388099178725</v>
      </c>
      <c r="I93" s="100">
        <v>3037.3706785590366</v>
      </c>
      <c r="J93" s="100">
        <v>6</v>
      </c>
      <c r="K93" s="100">
        <v>4161.6000000000004</v>
      </c>
      <c r="L93" s="100">
        <v>4.1695290858725764</v>
      </c>
      <c r="M93" s="100">
        <v>2891.985373961219</v>
      </c>
      <c r="N93" s="100">
        <v>5</v>
      </c>
      <c r="O93" s="100">
        <v>3468</v>
      </c>
      <c r="P93" s="100">
        <v>3.3366681576600414</v>
      </c>
      <c r="Q93" s="100">
        <v>2314.313034153005</v>
      </c>
      <c r="R93" s="100">
        <v>3.2214146590757449</v>
      </c>
      <c r="S93" s="100">
        <v>2234.3732075349367</v>
      </c>
      <c r="T93" s="100">
        <v>5.1835806401897733</v>
      </c>
      <c r="U93" s="100">
        <v>3595.3315320356269</v>
      </c>
      <c r="V93" s="100">
        <v>4.2908473646970204</v>
      </c>
      <c r="W93" s="100">
        <v>2976.1317321538536</v>
      </c>
      <c r="X93" s="100">
        <v>6.0064500183507361</v>
      </c>
      <c r="Y93" s="100">
        <v>4166.0737327280704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5</v>
      </c>
      <c r="AE93" s="100">
        <v>3468</v>
      </c>
      <c r="AF93" s="100">
        <v>4.2099385218395122</v>
      </c>
      <c r="AG93" s="100">
        <v>2920.0133587478858</v>
      </c>
      <c r="AH93" s="100">
        <v>5</v>
      </c>
      <c r="AI93" s="100">
        <v>3468</v>
      </c>
      <c r="AJ93" s="100">
        <v>5</v>
      </c>
      <c r="AK93" s="100">
        <v>3468</v>
      </c>
      <c r="AL93" s="100">
        <v>5</v>
      </c>
      <c r="AM93" s="100">
        <v>3468</v>
      </c>
      <c r="AN93" s="100">
        <v>6</v>
      </c>
      <c r="AO93" s="100">
        <v>4161.6000000000004</v>
      </c>
      <c r="AP93" s="100">
        <v>4.293609961671212</v>
      </c>
      <c r="AQ93" s="100">
        <v>2978.0478694151529</v>
      </c>
      <c r="AR93" s="100">
        <v>7</v>
      </c>
      <c r="AS93" s="100">
        <v>4855.2</v>
      </c>
      <c r="AT93" s="100">
        <v>7</v>
      </c>
      <c r="AU93" s="100">
        <v>4855.2</v>
      </c>
      <c r="AV93" s="100">
        <v>5</v>
      </c>
      <c r="AW93" s="100">
        <v>3468</v>
      </c>
      <c r="AX93" s="100">
        <v>2.929133963692736</v>
      </c>
      <c r="AY93" s="100">
        <v>2031.6473172172819</v>
      </c>
      <c r="AZ93" s="100">
        <v>3.2012386187408356E-4</v>
      </c>
      <c r="BA93" s="100">
        <v>0.22203791059586436</v>
      </c>
      <c r="BB93" s="100">
        <v>2.8170899844919358E-4</v>
      </c>
      <c r="BC93" s="100">
        <v>0.19539336132436066</v>
      </c>
      <c r="BD93" s="100">
        <v>2.9056918193957052E-4</v>
      </c>
      <c r="BE93" s="100">
        <v>0.20153878459328611</v>
      </c>
      <c r="BF93" s="100">
        <v>2.1718917538504918</v>
      </c>
      <c r="BG93" s="100">
        <v>1506.4241204707012</v>
      </c>
      <c r="BH93" s="100">
        <v>4</v>
      </c>
      <c r="BI93" s="100">
        <v>2774.4</v>
      </c>
      <c r="BJ93" s="100">
        <v>6.7758190248232575</v>
      </c>
      <c r="BK93" s="100">
        <v>4699.7080756174119</v>
      </c>
      <c r="BL93" s="100">
        <v>5.9983394554887619</v>
      </c>
      <c r="BM93" s="100">
        <v>4160.4482463270051</v>
      </c>
      <c r="BN93" s="100">
        <v>2.2165786219542083</v>
      </c>
      <c r="BO93" s="100">
        <v>1537.4189321874389</v>
      </c>
      <c r="BP93" s="100">
        <v>5.3475003852890159</v>
      </c>
      <c r="BQ93" s="100">
        <v>3709.0262672364615</v>
      </c>
      <c r="BR93" s="100">
        <v>4.9911885686709043</v>
      </c>
      <c r="BS93" s="100">
        <v>3461.8883912301394</v>
      </c>
      <c r="BT93" s="100">
        <v>7.3435257044481306</v>
      </c>
      <c r="BU93" s="100">
        <v>5093.4694286052236</v>
      </c>
      <c r="BV93" s="100">
        <v>3.5001281300678015</v>
      </c>
      <c r="BW93" s="100">
        <v>2427.6888710150274</v>
      </c>
      <c r="BX93" s="100">
        <v>6</v>
      </c>
      <c r="BY93" s="100">
        <v>4161.6000000000004</v>
      </c>
      <c r="BZ93" s="100">
        <v>6.2875687978455073</v>
      </c>
      <c r="CA93" s="100">
        <v>4361.0577181856443</v>
      </c>
      <c r="CB93" s="100">
        <v>7</v>
      </c>
      <c r="CC93" s="100">
        <v>4855.2</v>
      </c>
      <c r="CD93" s="100">
        <v>4</v>
      </c>
      <c r="CE93" s="100">
        <v>2774.4</v>
      </c>
      <c r="CF93" s="100">
        <v>5</v>
      </c>
      <c r="CG93" s="100">
        <v>3468</v>
      </c>
      <c r="CH93" s="100">
        <v>7.2224101103595588</v>
      </c>
      <c r="CI93" s="100">
        <v>5009.4636525453898</v>
      </c>
      <c r="CJ93" s="100">
        <v>4.4498649175832465</v>
      </c>
      <c r="CK93" s="100">
        <v>3086.42630683574</v>
      </c>
      <c r="CL93" s="100">
        <v>7</v>
      </c>
      <c r="CM93" s="100">
        <v>4855.2</v>
      </c>
      <c r="CN93" s="100">
        <v>6.0159978616058005</v>
      </c>
      <c r="CO93" s="100">
        <v>4172.6961168097832</v>
      </c>
      <c r="CP93" s="100">
        <v>8</v>
      </c>
      <c r="CQ93" s="100">
        <v>5548.8</v>
      </c>
      <c r="CR93" s="100">
        <v>5</v>
      </c>
      <c r="CS93" s="100">
        <v>3468</v>
      </c>
      <c r="CT93" s="100">
        <v>7.1433751090756816</v>
      </c>
      <c r="CU93" s="100">
        <v>4954.6449756548927</v>
      </c>
    </row>
    <row r="94" spans="2:99">
      <c r="C94" s="99" t="s">
        <v>260</v>
      </c>
      <c r="D94" s="100">
        <v>4</v>
      </c>
      <c r="E94" s="100">
        <v>4771.2</v>
      </c>
      <c r="F94" s="100">
        <v>4</v>
      </c>
      <c r="G94" s="100">
        <v>4771.2</v>
      </c>
      <c r="H94" s="100">
        <v>4.3791388099178725</v>
      </c>
      <c r="I94" s="100">
        <v>5223.4367724700378</v>
      </c>
      <c r="J94" s="100">
        <v>6</v>
      </c>
      <c r="K94" s="100">
        <v>7156.7999999999993</v>
      </c>
      <c r="L94" s="100">
        <v>4.1695290858725764</v>
      </c>
      <c r="M94" s="100">
        <v>4973.414293628809</v>
      </c>
      <c r="N94" s="100">
        <v>6</v>
      </c>
      <c r="O94" s="100">
        <v>7156.7999999999993</v>
      </c>
      <c r="P94" s="100">
        <v>4.336668157660041</v>
      </c>
      <c r="Q94" s="100">
        <v>5172.7777784568971</v>
      </c>
      <c r="R94" s="100">
        <v>4.2214146590757453</v>
      </c>
      <c r="S94" s="100">
        <v>5035.3034053455485</v>
      </c>
      <c r="T94" s="100">
        <v>4</v>
      </c>
      <c r="U94" s="100">
        <v>4771.2</v>
      </c>
      <c r="V94" s="100">
        <v>4.2908473646970204</v>
      </c>
      <c r="W94" s="100">
        <v>5118.1227366106059</v>
      </c>
      <c r="X94" s="100">
        <v>6.0055285871577739</v>
      </c>
      <c r="Y94" s="100">
        <v>7163.3944987617924</v>
      </c>
      <c r="Z94" s="100">
        <v>4</v>
      </c>
      <c r="AA94" s="100">
        <v>4771.2</v>
      </c>
      <c r="AB94" s="100">
        <v>4</v>
      </c>
      <c r="AC94" s="100">
        <v>4771.2</v>
      </c>
      <c r="AD94" s="100">
        <v>5</v>
      </c>
      <c r="AE94" s="100">
        <v>5964</v>
      </c>
      <c r="AF94" s="100">
        <v>4.1679508174716098</v>
      </c>
      <c r="AG94" s="100">
        <v>4971.5317350801361</v>
      </c>
      <c r="AH94" s="100">
        <v>5</v>
      </c>
      <c r="AI94" s="100">
        <v>5964</v>
      </c>
      <c r="AJ94" s="100">
        <v>4</v>
      </c>
      <c r="AK94" s="100">
        <v>4771.2</v>
      </c>
      <c r="AL94" s="100">
        <v>5</v>
      </c>
      <c r="AM94" s="100">
        <v>5964</v>
      </c>
      <c r="AN94" s="100">
        <v>6</v>
      </c>
      <c r="AO94" s="100">
        <v>7156.7999999999993</v>
      </c>
      <c r="AP94" s="100">
        <v>4.293609961671212</v>
      </c>
      <c r="AQ94" s="100">
        <v>5121.4179622814218</v>
      </c>
      <c r="AR94" s="100">
        <v>7</v>
      </c>
      <c r="AS94" s="100">
        <v>8349.6</v>
      </c>
      <c r="AT94" s="100">
        <v>6</v>
      </c>
      <c r="AU94" s="100">
        <v>7156.7999999999993</v>
      </c>
      <c r="AV94" s="100">
        <v>5</v>
      </c>
      <c r="AW94" s="100">
        <v>5964</v>
      </c>
      <c r="AX94" s="100">
        <v>2.4409449697439469</v>
      </c>
      <c r="AY94" s="100">
        <v>2911.5591599105796</v>
      </c>
      <c r="AZ94" s="100">
        <v>2.4009289640556267E-4</v>
      </c>
      <c r="BA94" s="100">
        <v>0.28638280683255513</v>
      </c>
      <c r="BB94" s="100">
        <v>2.1128174883689517E-4</v>
      </c>
      <c r="BC94" s="100">
        <v>0.25201687001264855</v>
      </c>
      <c r="BD94" s="100">
        <v>3.4553597312478524E-4</v>
      </c>
      <c r="BE94" s="100">
        <v>0.4121553087432438</v>
      </c>
      <c r="BF94" s="100">
        <v>2.1575974039952182</v>
      </c>
      <c r="BG94" s="100">
        <v>2573.582183485496</v>
      </c>
      <c r="BH94" s="100">
        <v>4</v>
      </c>
      <c r="BI94" s="100">
        <v>4771.2</v>
      </c>
      <c r="BJ94" s="100">
        <v>5.8283947067990463</v>
      </c>
      <c r="BK94" s="100">
        <v>6952.1092062699017</v>
      </c>
      <c r="BL94" s="100">
        <v>5.193154365182612</v>
      </c>
      <c r="BM94" s="100">
        <v>6194.3945267898189</v>
      </c>
      <c r="BN94" s="100">
        <v>2.2165786219542083</v>
      </c>
      <c r="BO94" s="100">
        <v>2643.9349802669794</v>
      </c>
      <c r="BP94" s="100">
        <v>5.3861115392100176</v>
      </c>
      <c r="BQ94" s="100">
        <v>6424.5538439697084</v>
      </c>
      <c r="BR94" s="100">
        <v>4.9911885686709043</v>
      </c>
      <c r="BS94" s="100">
        <v>5953.4897247106546</v>
      </c>
      <c r="BT94" s="100">
        <v>7.3435257044481306</v>
      </c>
      <c r="BU94" s="100">
        <v>8759.35746026573</v>
      </c>
      <c r="BV94" s="100">
        <v>3.5001281300678015</v>
      </c>
      <c r="BW94" s="100">
        <v>4174.9528335448731</v>
      </c>
      <c r="BX94" s="100">
        <v>5</v>
      </c>
      <c r="BY94" s="100">
        <v>5964</v>
      </c>
      <c r="BZ94" s="100">
        <v>6.2556167091960058</v>
      </c>
      <c r="CA94" s="100">
        <v>7461.6996107289951</v>
      </c>
      <c r="CB94" s="100">
        <v>7</v>
      </c>
      <c r="CC94" s="100">
        <v>8349.6</v>
      </c>
      <c r="CD94" s="100">
        <v>4</v>
      </c>
      <c r="CE94" s="100">
        <v>4771.2</v>
      </c>
      <c r="CF94" s="100">
        <v>4</v>
      </c>
      <c r="CG94" s="100">
        <v>4771.2</v>
      </c>
      <c r="CH94" s="100">
        <v>6.2224101103595588</v>
      </c>
      <c r="CI94" s="100">
        <v>7422.0907796368811</v>
      </c>
      <c r="CJ94" s="100">
        <v>4.499849908425829</v>
      </c>
      <c r="CK94" s="100">
        <v>5367.4209707703285</v>
      </c>
      <c r="CL94" s="100">
        <v>6</v>
      </c>
      <c r="CM94" s="100">
        <v>7156.7999999999993</v>
      </c>
      <c r="CN94" s="100">
        <v>7.0159978616058005</v>
      </c>
      <c r="CO94" s="100">
        <v>8368.6822493233994</v>
      </c>
      <c r="CP94" s="100">
        <v>6</v>
      </c>
      <c r="CQ94" s="100">
        <v>7156.7999999999993</v>
      </c>
      <c r="CR94" s="100">
        <v>5</v>
      </c>
      <c r="CS94" s="100">
        <v>5964</v>
      </c>
      <c r="CT94" s="100">
        <v>7.1228929506362988</v>
      </c>
      <c r="CU94" s="100">
        <v>8496.1867115189762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6</v>
      </c>
      <c r="G95" s="100">
        <v>1972.8000000000002</v>
      </c>
      <c r="H95" s="100">
        <v>9.3791388099178725</v>
      </c>
      <c r="I95" s="100">
        <v>3083.8608407009965</v>
      </c>
      <c r="J95" s="100">
        <v>6</v>
      </c>
      <c r="K95" s="100">
        <v>1972.8000000000002</v>
      </c>
      <c r="L95" s="100">
        <v>10.150692520775623</v>
      </c>
      <c r="M95" s="100">
        <v>3337.5477008310249</v>
      </c>
      <c r="N95" s="100">
        <v>9</v>
      </c>
      <c r="O95" s="100">
        <v>2959.2000000000003</v>
      </c>
      <c r="P95" s="100">
        <v>6</v>
      </c>
      <c r="Q95" s="100">
        <v>1972.8000000000002</v>
      </c>
      <c r="R95" s="100">
        <v>10</v>
      </c>
      <c r="S95" s="100">
        <v>3288</v>
      </c>
      <c r="T95" s="100">
        <v>8</v>
      </c>
      <c r="U95" s="100">
        <v>2630.4</v>
      </c>
      <c r="V95" s="100">
        <v>6.5816947293940409</v>
      </c>
      <c r="W95" s="100">
        <v>2164.0612270247607</v>
      </c>
      <c r="X95" s="100">
        <v>7</v>
      </c>
      <c r="Y95" s="100">
        <v>2301.6</v>
      </c>
      <c r="Z95" s="100">
        <v>11</v>
      </c>
      <c r="AA95" s="100">
        <v>3616.8</v>
      </c>
      <c r="AB95" s="100">
        <v>9</v>
      </c>
      <c r="AC95" s="100">
        <v>2959.2000000000003</v>
      </c>
      <c r="AD95" s="100">
        <v>6</v>
      </c>
      <c r="AE95" s="100">
        <v>1972.8000000000002</v>
      </c>
      <c r="AF95" s="100">
        <v>8</v>
      </c>
      <c r="AG95" s="100">
        <v>2630.4</v>
      </c>
      <c r="AH95" s="100">
        <v>10</v>
      </c>
      <c r="AI95" s="100">
        <v>3288</v>
      </c>
      <c r="AJ95" s="100">
        <v>10</v>
      </c>
      <c r="AK95" s="100">
        <v>3288</v>
      </c>
      <c r="AL95" s="100">
        <v>6</v>
      </c>
      <c r="AM95" s="100">
        <v>1972.8000000000002</v>
      </c>
      <c r="AN95" s="100">
        <v>10</v>
      </c>
      <c r="AO95" s="100">
        <v>3288</v>
      </c>
      <c r="AP95" s="100">
        <v>9</v>
      </c>
      <c r="AQ95" s="100">
        <v>2959.2000000000003</v>
      </c>
      <c r="AR95" s="100">
        <v>11</v>
      </c>
      <c r="AS95" s="100">
        <v>3616.8</v>
      </c>
      <c r="AT95" s="100">
        <v>8</v>
      </c>
      <c r="AU95" s="100">
        <v>2630.4</v>
      </c>
      <c r="AV95" s="100">
        <v>10</v>
      </c>
      <c r="AW95" s="100">
        <v>3288</v>
      </c>
      <c r="AX95" s="100">
        <v>4.3937009455391038</v>
      </c>
      <c r="AY95" s="100">
        <v>1444.6488708932575</v>
      </c>
      <c r="AZ95" s="100">
        <v>5.602167582796462E-4</v>
      </c>
      <c r="BA95" s="100">
        <v>0.18419927012234769</v>
      </c>
      <c r="BB95" s="100">
        <v>4.929907472860887E-4</v>
      </c>
      <c r="BC95" s="100">
        <v>0.16209535770766598</v>
      </c>
      <c r="BD95" s="100">
        <v>5.2092649735609392E-4</v>
      </c>
      <c r="BE95" s="100">
        <v>0.17128063233068369</v>
      </c>
      <c r="BF95" s="100">
        <v>3.7035665190149487</v>
      </c>
      <c r="BG95" s="100">
        <v>1217.7326714521153</v>
      </c>
      <c r="BH95" s="100">
        <v>9.3131106668763053</v>
      </c>
      <c r="BI95" s="100">
        <v>3062.1507872689294</v>
      </c>
      <c r="BJ95" s="100">
        <v>10.026083301968427</v>
      </c>
      <c r="BK95" s="100">
        <v>3296.5761896872191</v>
      </c>
      <c r="BL95" s="100">
        <v>9.2190798167133625</v>
      </c>
      <c r="BM95" s="100">
        <v>3031.2334437353538</v>
      </c>
      <c r="BN95" s="100">
        <v>6.0955912103740726</v>
      </c>
      <c r="BO95" s="100">
        <v>2004.2303899709952</v>
      </c>
      <c r="BP95" s="100">
        <v>12.308889231368013</v>
      </c>
      <c r="BQ95" s="100">
        <v>4047.1627792738032</v>
      </c>
      <c r="BR95" s="100">
        <v>7.486782853006356</v>
      </c>
      <c r="BS95" s="100">
        <v>2461.6542020684901</v>
      </c>
      <c r="BT95" s="100">
        <v>9.736126509531708</v>
      </c>
      <c r="BU95" s="100">
        <v>3201.2383963340258</v>
      </c>
      <c r="BV95" s="100">
        <v>7.7002818861491633</v>
      </c>
      <c r="BW95" s="100">
        <v>2531.8526841658449</v>
      </c>
      <c r="BX95" s="100">
        <v>6</v>
      </c>
      <c r="BY95" s="100">
        <v>1972.8000000000002</v>
      </c>
      <c r="BZ95" s="100">
        <v>8.3195208864950079</v>
      </c>
      <c r="CA95" s="100">
        <v>2735.4584674795587</v>
      </c>
      <c r="CB95" s="100">
        <v>6</v>
      </c>
      <c r="CC95" s="100">
        <v>1972.8000000000002</v>
      </c>
      <c r="CD95" s="100">
        <v>9</v>
      </c>
      <c r="CE95" s="100">
        <v>2959.2000000000003</v>
      </c>
      <c r="CF95" s="100">
        <v>8</v>
      </c>
      <c r="CG95" s="100">
        <v>2630.4</v>
      </c>
      <c r="CH95" s="100">
        <v>8</v>
      </c>
      <c r="CI95" s="100">
        <v>2630.4</v>
      </c>
      <c r="CJ95" s="100">
        <v>5.3998799267406632</v>
      </c>
      <c r="CK95" s="100">
        <v>1775.48051991233</v>
      </c>
      <c r="CL95" s="100">
        <v>10</v>
      </c>
      <c r="CM95" s="100">
        <v>3288</v>
      </c>
      <c r="CN95" s="100">
        <v>10.020568679207459</v>
      </c>
      <c r="CO95" s="100">
        <v>3294.7629817234128</v>
      </c>
      <c r="CP95" s="100">
        <v>8</v>
      </c>
      <c r="CQ95" s="100">
        <v>2630.4</v>
      </c>
      <c r="CR95" s="100">
        <v>10</v>
      </c>
      <c r="CS95" s="100">
        <v>3288</v>
      </c>
      <c r="CT95" s="100">
        <v>10</v>
      </c>
      <c r="CU95" s="100">
        <v>3288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6</v>
      </c>
      <c r="G96" s="100">
        <v>4168.7999999999993</v>
      </c>
      <c r="H96" s="100">
        <v>8.426531161157607</v>
      </c>
      <c r="I96" s="100">
        <v>5854.7538507723048</v>
      </c>
      <c r="J96" s="100">
        <v>5</v>
      </c>
      <c r="K96" s="100">
        <v>3474</v>
      </c>
      <c r="L96" s="100">
        <v>9</v>
      </c>
      <c r="M96" s="100">
        <v>6253.2</v>
      </c>
      <c r="N96" s="100">
        <v>9</v>
      </c>
      <c r="O96" s="100">
        <v>6253.2</v>
      </c>
      <c r="P96" s="100">
        <v>7</v>
      </c>
      <c r="Q96" s="100">
        <v>4863.5999999999995</v>
      </c>
      <c r="R96" s="100">
        <v>10</v>
      </c>
      <c r="S96" s="100">
        <v>6948</v>
      </c>
      <c r="T96" s="100">
        <v>7</v>
      </c>
      <c r="U96" s="100">
        <v>4863.5999999999995</v>
      </c>
      <c r="V96" s="100">
        <v>6.5816947293940409</v>
      </c>
      <c r="W96" s="100">
        <v>4572.9614979829794</v>
      </c>
      <c r="X96" s="100">
        <v>7</v>
      </c>
      <c r="Y96" s="100">
        <v>4863.5999999999995</v>
      </c>
      <c r="Z96" s="100">
        <v>11</v>
      </c>
      <c r="AA96" s="100">
        <v>7642.7999999999993</v>
      </c>
      <c r="AB96" s="100">
        <v>9</v>
      </c>
      <c r="AC96" s="100">
        <v>6253.2</v>
      </c>
      <c r="AD96" s="100">
        <v>5</v>
      </c>
      <c r="AE96" s="100">
        <v>3474</v>
      </c>
      <c r="AF96" s="100">
        <v>9.2099385218395131</v>
      </c>
      <c r="AG96" s="100">
        <v>6399.0652849740936</v>
      </c>
      <c r="AH96" s="100">
        <v>11</v>
      </c>
      <c r="AI96" s="100">
        <v>7642.7999999999993</v>
      </c>
      <c r="AJ96" s="100">
        <v>10</v>
      </c>
      <c r="AK96" s="100">
        <v>6948</v>
      </c>
      <c r="AL96" s="100">
        <v>7.0404280618311539</v>
      </c>
      <c r="AM96" s="100">
        <v>4891.689417360285</v>
      </c>
      <c r="AN96" s="100">
        <v>9</v>
      </c>
      <c r="AO96" s="100">
        <v>6253.2</v>
      </c>
      <c r="AP96" s="100">
        <v>9</v>
      </c>
      <c r="AQ96" s="100">
        <v>6253.2</v>
      </c>
      <c r="AR96" s="100">
        <v>9</v>
      </c>
      <c r="AS96" s="100">
        <v>6253.2</v>
      </c>
      <c r="AT96" s="100">
        <v>8</v>
      </c>
      <c r="AU96" s="100">
        <v>5558.4</v>
      </c>
      <c r="AV96" s="100">
        <v>10</v>
      </c>
      <c r="AW96" s="100">
        <v>6948</v>
      </c>
      <c r="AX96" s="100">
        <v>4.3937009455391038</v>
      </c>
      <c r="AY96" s="100">
        <v>3052.743416960569</v>
      </c>
      <c r="AZ96" s="100">
        <v>4.8018579281112534E-4</v>
      </c>
      <c r="BA96" s="100">
        <v>0.33363308884516985</v>
      </c>
      <c r="BB96" s="100">
        <v>5.6341799689838717E-4</v>
      </c>
      <c r="BC96" s="100">
        <v>0.3914628242449994</v>
      </c>
      <c r="BD96" s="100">
        <v>5.2092649735609392E-4</v>
      </c>
      <c r="BE96" s="100">
        <v>0.36193973036301402</v>
      </c>
      <c r="BF96" s="100">
        <v>3.2920591280132876</v>
      </c>
      <c r="BG96" s="100">
        <v>2287.3226821436319</v>
      </c>
      <c r="BH96" s="100">
        <v>8.3444217335639355</v>
      </c>
      <c r="BI96" s="100">
        <v>5797.7042204802219</v>
      </c>
      <c r="BJ96" s="100">
        <v>8.6347054612082328</v>
      </c>
      <c r="BK96" s="100">
        <v>5999.3933544474794</v>
      </c>
      <c r="BL96" s="100">
        <v>9.2190798167133625</v>
      </c>
      <c r="BM96" s="100">
        <v>6405.4166566524436</v>
      </c>
      <c r="BN96" s="100">
        <v>4.987301899396968</v>
      </c>
      <c r="BO96" s="100">
        <v>3465.1773597010133</v>
      </c>
      <c r="BP96" s="100">
        <v>11.308889231368013</v>
      </c>
      <c r="BQ96" s="100">
        <v>7857.416237954495</v>
      </c>
      <c r="BR96" s="100">
        <v>7.486782853006356</v>
      </c>
      <c r="BS96" s="100">
        <v>5201.8167262688157</v>
      </c>
      <c r="BT96" s="100">
        <v>8.6870514088962612</v>
      </c>
      <c r="BU96" s="100">
        <v>6035.7633189011221</v>
      </c>
      <c r="BV96" s="100">
        <v>7.7002818861491633</v>
      </c>
      <c r="BW96" s="100">
        <v>5350.1558544964382</v>
      </c>
      <c r="BX96" s="100">
        <v>6</v>
      </c>
      <c r="BY96" s="100">
        <v>4168.7999999999993</v>
      </c>
      <c r="BZ96" s="100">
        <v>7.3195208864950079</v>
      </c>
      <c r="CA96" s="100">
        <v>5085.6031119367308</v>
      </c>
      <c r="CB96" s="100">
        <v>6</v>
      </c>
      <c r="CC96" s="100">
        <v>4168.7999999999993</v>
      </c>
      <c r="CD96" s="100">
        <v>9</v>
      </c>
      <c r="CE96" s="100">
        <v>6253.2</v>
      </c>
      <c r="CF96" s="100">
        <v>8</v>
      </c>
      <c r="CG96" s="100">
        <v>5558.4</v>
      </c>
      <c r="CH96" s="100">
        <v>9</v>
      </c>
      <c r="CI96" s="100">
        <v>6253.2</v>
      </c>
      <c r="CJ96" s="100">
        <v>6.4498649175832465</v>
      </c>
      <c r="CK96" s="100">
        <v>4481.3661447368395</v>
      </c>
      <c r="CL96" s="100">
        <v>10</v>
      </c>
      <c r="CM96" s="100">
        <v>6948</v>
      </c>
      <c r="CN96" s="100">
        <v>10.020568679207459</v>
      </c>
      <c r="CO96" s="100">
        <v>6962.2911183133419</v>
      </c>
      <c r="CP96" s="100">
        <v>8</v>
      </c>
      <c r="CQ96" s="100">
        <v>5558.4</v>
      </c>
      <c r="CR96" s="100">
        <v>12</v>
      </c>
      <c r="CS96" s="100">
        <v>8337.5999999999985</v>
      </c>
      <c r="CT96" s="100">
        <v>11</v>
      </c>
      <c r="CU96" s="100">
        <v>7642.7999999999993</v>
      </c>
    </row>
    <row r="97" spans="2:99">
      <c r="C97" s="99" t="s">
        <v>263</v>
      </c>
      <c r="D97" s="100">
        <v>6</v>
      </c>
      <c r="E97" s="100">
        <v>2354.3999999999996</v>
      </c>
      <c r="F97" s="100">
        <v>6</v>
      </c>
      <c r="G97" s="100">
        <v>2354.3999999999996</v>
      </c>
      <c r="H97" s="100">
        <v>9.3791388099178725</v>
      </c>
      <c r="I97" s="100">
        <v>3680.3740690117729</v>
      </c>
      <c r="J97" s="100">
        <v>6</v>
      </c>
      <c r="K97" s="100">
        <v>2354.3999999999996</v>
      </c>
      <c r="L97" s="100">
        <v>9.1695290858725755</v>
      </c>
      <c r="M97" s="100">
        <v>3598.1232132963983</v>
      </c>
      <c r="N97" s="100">
        <v>10</v>
      </c>
      <c r="O97" s="100">
        <v>3924</v>
      </c>
      <c r="P97" s="100">
        <v>6</v>
      </c>
      <c r="Q97" s="100">
        <v>2354.3999999999996</v>
      </c>
      <c r="R97" s="100">
        <v>11</v>
      </c>
      <c r="S97" s="100">
        <v>4316.3999999999996</v>
      </c>
      <c r="T97" s="100">
        <v>8</v>
      </c>
      <c r="U97" s="100">
        <v>3139.2</v>
      </c>
      <c r="V97" s="100">
        <v>5.5816947293940409</v>
      </c>
      <c r="W97" s="100">
        <v>2190.2570118142216</v>
      </c>
      <c r="X97" s="100">
        <v>7</v>
      </c>
      <c r="Y97" s="100">
        <v>2746.7999999999997</v>
      </c>
      <c r="Z97" s="100">
        <v>11</v>
      </c>
      <c r="AA97" s="100">
        <v>4316.3999999999996</v>
      </c>
      <c r="AB97" s="100">
        <v>8</v>
      </c>
      <c r="AC97" s="100">
        <v>3139.2</v>
      </c>
      <c r="AD97" s="100">
        <v>5</v>
      </c>
      <c r="AE97" s="100">
        <v>1962</v>
      </c>
      <c r="AF97" s="100">
        <v>8.1889446696555606</v>
      </c>
      <c r="AG97" s="100">
        <v>3213.3418883728418</v>
      </c>
      <c r="AH97" s="100">
        <v>10</v>
      </c>
      <c r="AI97" s="100">
        <v>3924</v>
      </c>
      <c r="AJ97" s="100">
        <v>11</v>
      </c>
      <c r="AK97" s="100">
        <v>4316.3999999999996</v>
      </c>
      <c r="AL97" s="100">
        <v>6</v>
      </c>
      <c r="AM97" s="100">
        <v>2354.3999999999996</v>
      </c>
      <c r="AN97" s="100">
        <v>9</v>
      </c>
      <c r="AO97" s="100">
        <v>3531.6</v>
      </c>
      <c r="AP97" s="100">
        <v>9</v>
      </c>
      <c r="AQ97" s="100">
        <v>3531.6</v>
      </c>
      <c r="AR97" s="100">
        <v>10</v>
      </c>
      <c r="AS97" s="100">
        <v>3924</v>
      </c>
      <c r="AT97" s="100">
        <v>9</v>
      </c>
      <c r="AU97" s="100">
        <v>3531.6</v>
      </c>
      <c r="AV97" s="100">
        <v>10</v>
      </c>
      <c r="AW97" s="100">
        <v>3924</v>
      </c>
      <c r="AX97" s="100">
        <v>4.8818899394878938</v>
      </c>
      <c r="AY97" s="100">
        <v>1915.6536122550494</v>
      </c>
      <c r="AZ97" s="100">
        <v>5.602167582796462E-4</v>
      </c>
      <c r="BA97" s="100">
        <v>0.21982905594893315</v>
      </c>
      <c r="BB97" s="100">
        <v>5.6341799689838717E-4</v>
      </c>
      <c r="BC97" s="100">
        <v>0.2210852219829271</v>
      </c>
      <c r="BD97" s="100">
        <v>5.2354903502501002E-4</v>
      </c>
      <c r="BE97" s="100">
        <v>0.20544064134381393</v>
      </c>
      <c r="BF97" s="100">
        <v>3.7035665190149487</v>
      </c>
      <c r="BG97" s="100">
        <v>1453.2795020614658</v>
      </c>
      <c r="BH97" s="100">
        <v>9.3444217335639355</v>
      </c>
      <c r="BI97" s="100">
        <v>3666.751088250488</v>
      </c>
      <c r="BJ97" s="100">
        <v>9.5461675795690013</v>
      </c>
      <c r="BK97" s="100">
        <v>3745.9161582228758</v>
      </c>
      <c r="BL97" s="100">
        <v>8.4541218178900692</v>
      </c>
      <c r="BM97" s="100">
        <v>3317.397401340063</v>
      </c>
      <c r="BN97" s="100">
        <v>6.0955912103740726</v>
      </c>
      <c r="BO97" s="100">
        <v>2391.9099909507859</v>
      </c>
      <c r="BP97" s="100">
        <v>12.347500385289015</v>
      </c>
      <c r="BQ97" s="100">
        <v>4845.1591511874094</v>
      </c>
      <c r="BR97" s="100">
        <v>7.486782853006356</v>
      </c>
      <c r="BS97" s="100">
        <v>2937.813591519694</v>
      </c>
      <c r="BT97" s="100">
        <v>8.736126509531708</v>
      </c>
      <c r="BU97" s="100">
        <v>3428.0560423402421</v>
      </c>
      <c r="BV97" s="100">
        <v>7.8336419345327277</v>
      </c>
      <c r="BW97" s="100">
        <v>3073.921095110642</v>
      </c>
      <c r="BX97" s="100">
        <v>6</v>
      </c>
      <c r="BY97" s="100">
        <v>2354.3999999999996</v>
      </c>
      <c r="BZ97" s="100">
        <v>7.3195208864950079</v>
      </c>
      <c r="CA97" s="100">
        <v>2872.1799958606407</v>
      </c>
      <c r="CB97" s="100">
        <v>5</v>
      </c>
      <c r="CC97" s="100">
        <v>1962</v>
      </c>
      <c r="CD97" s="100">
        <v>9</v>
      </c>
      <c r="CE97" s="100">
        <v>3531.6</v>
      </c>
      <c r="CF97" s="100">
        <v>8</v>
      </c>
      <c r="CG97" s="100">
        <v>3139.2</v>
      </c>
      <c r="CH97" s="100">
        <v>9</v>
      </c>
      <c r="CI97" s="100">
        <v>3531.6</v>
      </c>
      <c r="CJ97" s="100">
        <v>6.499849908425829</v>
      </c>
      <c r="CK97" s="100">
        <v>2550.5411040662952</v>
      </c>
      <c r="CL97" s="100">
        <v>11</v>
      </c>
      <c r="CM97" s="100">
        <v>4316.3999999999996</v>
      </c>
      <c r="CN97" s="100">
        <v>9.0228540880082875</v>
      </c>
      <c r="CO97" s="100">
        <v>3540.5679441344519</v>
      </c>
      <c r="CP97" s="100">
        <v>8</v>
      </c>
      <c r="CQ97" s="100">
        <v>3139.2</v>
      </c>
      <c r="CR97" s="100">
        <v>12</v>
      </c>
      <c r="CS97" s="100">
        <v>4708.7999999999993</v>
      </c>
      <c r="CT97" s="100">
        <v>11</v>
      </c>
      <c r="CU97" s="100">
        <v>4316.3999999999996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7</v>
      </c>
      <c r="G98" s="100">
        <v>3679.2000000000003</v>
      </c>
      <c r="H98" s="100">
        <v>9.426531161157607</v>
      </c>
      <c r="I98" s="100">
        <v>4954.5847783044383</v>
      </c>
      <c r="J98" s="100">
        <v>5</v>
      </c>
      <c r="K98" s="100">
        <v>2628</v>
      </c>
      <c r="L98" s="100">
        <v>9.1695290858725755</v>
      </c>
      <c r="M98" s="100">
        <v>4819.5044875346257</v>
      </c>
      <c r="N98" s="100">
        <v>9</v>
      </c>
      <c r="O98" s="100">
        <v>4730.4000000000005</v>
      </c>
      <c r="P98" s="100">
        <v>7</v>
      </c>
      <c r="Q98" s="100">
        <v>3679.2000000000003</v>
      </c>
      <c r="R98" s="100">
        <v>10</v>
      </c>
      <c r="S98" s="100">
        <v>5256</v>
      </c>
      <c r="T98" s="100">
        <v>8</v>
      </c>
      <c r="U98" s="100">
        <v>4204.8</v>
      </c>
      <c r="V98" s="100">
        <v>6.5332201686112041</v>
      </c>
      <c r="W98" s="100">
        <v>3433.8605206220491</v>
      </c>
      <c r="X98" s="100">
        <v>7</v>
      </c>
      <c r="Y98" s="100">
        <v>3679.2000000000003</v>
      </c>
      <c r="Z98" s="100">
        <v>12</v>
      </c>
      <c r="AA98" s="100">
        <v>6307.2000000000007</v>
      </c>
      <c r="AB98" s="100">
        <v>8</v>
      </c>
      <c r="AC98" s="100">
        <v>4204.8</v>
      </c>
      <c r="AD98" s="100">
        <v>6</v>
      </c>
      <c r="AE98" s="100">
        <v>3153.6000000000004</v>
      </c>
      <c r="AF98" s="100">
        <v>9.2099385218395131</v>
      </c>
      <c r="AG98" s="100">
        <v>4840.7436870788479</v>
      </c>
      <c r="AH98" s="100">
        <v>10</v>
      </c>
      <c r="AI98" s="100">
        <v>5256</v>
      </c>
      <c r="AJ98" s="100">
        <v>11</v>
      </c>
      <c r="AK98" s="100">
        <v>5781.6</v>
      </c>
      <c r="AL98" s="100">
        <v>6</v>
      </c>
      <c r="AM98" s="100">
        <v>3153.6000000000004</v>
      </c>
      <c r="AN98" s="100">
        <v>9</v>
      </c>
      <c r="AO98" s="100">
        <v>4730.4000000000005</v>
      </c>
      <c r="AP98" s="100">
        <v>9</v>
      </c>
      <c r="AQ98" s="100">
        <v>4730.4000000000005</v>
      </c>
      <c r="AR98" s="100">
        <v>9</v>
      </c>
      <c r="AS98" s="100">
        <v>4730.4000000000005</v>
      </c>
      <c r="AT98" s="100">
        <v>9</v>
      </c>
      <c r="AU98" s="100">
        <v>4730.4000000000005</v>
      </c>
      <c r="AV98" s="100">
        <v>10</v>
      </c>
      <c r="AW98" s="100">
        <v>5256</v>
      </c>
      <c r="AX98" s="100">
        <v>4.8818899394878938</v>
      </c>
      <c r="AY98" s="100">
        <v>2565.9213521948373</v>
      </c>
      <c r="AZ98" s="100">
        <v>5.602167582796462E-4</v>
      </c>
      <c r="BA98" s="100">
        <v>0.29444992815178206</v>
      </c>
      <c r="BB98" s="100">
        <v>5.6341799689838717E-4</v>
      </c>
      <c r="BC98" s="100">
        <v>0.29613249916979228</v>
      </c>
      <c r="BD98" s="100">
        <v>5.7589328854130875E-4</v>
      </c>
      <c r="BE98" s="100">
        <v>0.3026895124573119</v>
      </c>
      <c r="BF98" s="100">
        <v>3.7035665190149487</v>
      </c>
      <c r="BG98" s="100">
        <v>1946.5945623942571</v>
      </c>
      <c r="BH98" s="100">
        <v>9.3444217335639355</v>
      </c>
      <c r="BI98" s="100">
        <v>4911.4280631612046</v>
      </c>
      <c r="BJ98" s="100">
        <v>9.5461675795690013</v>
      </c>
      <c r="BK98" s="100">
        <v>5017.4656798214673</v>
      </c>
      <c r="BL98" s="100">
        <v>7.6087096361010635</v>
      </c>
      <c r="BM98" s="100">
        <v>3999.1377847347194</v>
      </c>
      <c r="BN98" s="100">
        <v>6.0955912103740726</v>
      </c>
      <c r="BO98" s="100">
        <v>3203.8427401726126</v>
      </c>
      <c r="BP98" s="100">
        <v>11.347500385289015</v>
      </c>
      <c r="BQ98" s="100">
        <v>5964.2462025079067</v>
      </c>
      <c r="BR98" s="100">
        <v>7.486782853006356</v>
      </c>
      <c r="BS98" s="100">
        <v>3935.053067540141</v>
      </c>
      <c r="BT98" s="100">
        <v>8.6379763082608143</v>
      </c>
      <c r="BU98" s="100">
        <v>4540.1203476218843</v>
      </c>
      <c r="BV98" s="100">
        <v>7.0002562601356031</v>
      </c>
      <c r="BW98" s="100">
        <v>3679.3346903272732</v>
      </c>
      <c r="BX98" s="100">
        <v>6</v>
      </c>
      <c r="BY98" s="100">
        <v>3153.6000000000004</v>
      </c>
      <c r="BZ98" s="100">
        <v>8.3195208864950079</v>
      </c>
      <c r="CA98" s="100">
        <v>4372.740177941776</v>
      </c>
      <c r="CB98" s="100">
        <v>5</v>
      </c>
      <c r="CC98" s="100">
        <v>2628</v>
      </c>
      <c r="CD98" s="100">
        <v>9</v>
      </c>
      <c r="CE98" s="100">
        <v>4730.4000000000005</v>
      </c>
      <c r="CF98" s="100">
        <v>8</v>
      </c>
      <c r="CG98" s="100">
        <v>4204.8</v>
      </c>
      <c r="CH98" s="100">
        <v>10</v>
      </c>
      <c r="CI98" s="100">
        <v>5256</v>
      </c>
      <c r="CJ98" s="100">
        <v>5.3998799267406632</v>
      </c>
      <c r="CK98" s="100">
        <v>2838.1768894948927</v>
      </c>
      <c r="CL98" s="100">
        <v>12</v>
      </c>
      <c r="CM98" s="100">
        <v>6307.2000000000007</v>
      </c>
      <c r="CN98" s="100">
        <v>8.0228540880082875</v>
      </c>
      <c r="CO98" s="100">
        <v>4216.8121086571564</v>
      </c>
      <c r="CP98" s="100">
        <v>9</v>
      </c>
      <c r="CQ98" s="100">
        <v>4730.4000000000005</v>
      </c>
      <c r="CR98" s="100">
        <v>12</v>
      </c>
      <c r="CS98" s="100">
        <v>6307.2000000000007</v>
      </c>
      <c r="CT98" s="100">
        <v>10.245785901272598</v>
      </c>
      <c r="CU98" s="100">
        <v>5385.1850697088776</v>
      </c>
    </row>
    <row r="99" spans="2:99">
      <c r="C99" s="99" t="s">
        <v>265</v>
      </c>
      <c r="D99" s="100">
        <v>5</v>
      </c>
      <c r="E99" s="100">
        <v>21042</v>
      </c>
      <c r="F99" s="100">
        <v>5</v>
      </c>
      <c r="G99" s="100">
        <v>21042</v>
      </c>
      <c r="H99" s="100">
        <v>7.3791388099178725</v>
      </c>
      <c r="I99" s="100">
        <v>31054.367767658372</v>
      </c>
      <c r="J99" s="100">
        <v>5</v>
      </c>
      <c r="K99" s="100">
        <v>21042</v>
      </c>
      <c r="L99" s="100">
        <v>8.1318559556786703</v>
      </c>
      <c r="M99" s="100">
        <v>34222.102603878113</v>
      </c>
      <c r="N99" s="100">
        <v>8</v>
      </c>
      <c r="O99" s="100">
        <v>33667.199999999997</v>
      </c>
      <c r="P99" s="100">
        <v>5</v>
      </c>
      <c r="Q99" s="100">
        <v>21042</v>
      </c>
      <c r="R99" s="100">
        <v>8</v>
      </c>
      <c r="S99" s="100">
        <v>33667.199999999997</v>
      </c>
      <c r="T99" s="100">
        <v>7</v>
      </c>
      <c r="U99" s="100">
        <v>29458.799999999996</v>
      </c>
      <c r="V99" s="100">
        <v>4.4362710470455307</v>
      </c>
      <c r="W99" s="100">
        <v>18669.60307438641</v>
      </c>
      <c r="X99" s="100">
        <v>5</v>
      </c>
      <c r="Y99" s="100">
        <v>21042</v>
      </c>
      <c r="Z99" s="100">
        <v>8</v>
      </c>
      <c r="AA99" s="100">
        <v>33667.199999999997</v>
      </c>
      <c r="AB99" s="100">
        <v>8</v>
      </c>
      <c r="AC99" s="100">
        <v>33667.199999999997</v>
      </c>
      <c r="AD99" s="100">
        <v>5</v>
      </c>
      <c r="AE99" s="100">
        <v>21042</v>
      </c>
      <c r="AF99" s="100">
        <v>8.146956965287659</v>
      </c>
      <c r="AG99" s="100">
        <v>34285.65369271658</v>
      </c>
      <c r="AH99" s="100">
        <v>8</v>
      </c>
      <c r="AI99" s="100">
        <v>33667.199999999997</v>
      </c>
      <c r="AJ99" s="100">
        <v>9</v>
      </c>
      <c r="AK99" s="100">
        <v>37875.599999999999</v>
      </c>
      <c r="AL99" s="100">
        <v>5</v>
      </c>
      <c r="AM99" s="100">
        <v>21042</v>
      </c>
      <c r="AN99" s="100">
        <v>7</v>
      </c>
      <c r="AO99" s="100">
        <v>29458.799999999996</v>
      </c>
      <c r="AP99" s="100">
        <v>8</v>
      </c>
      <c r="AQ99" s="100">
        <v>33667.199999999997</v>
      </c>
      <c r="AR99" s="100">
        <v>9</v>
      </c>
      <c r="AS99" s="100">
        <v>37875.599999999999</v>
      </c>
      <c r="AT99" s="100">
        <v>7</v>
      </c>
      <c r="AU99" s="100">
        <v>29458.799999999996</v>
      </c>
      <c r="AV99" s="100">
        <v>9</v>
      </c>
      <c r="AW99" s="100">
        <v>37875.599999999999</v>
      </c>
      <c r="AX99" s="100">
        <v>3.9055119515903147</v>
      </c>
      <c r="AY99" s="100">
        <v>16435.956497072679</v>
      </c>
      <c r="AZ99" s="100">
        <v>4.0015482734260448E-4</v>
      </c>
      <c r="BA99" s="100">
        <v>1.6840115753886165</v>
      </c>
      <c r="BB99" s="100">
        <v>4.2256349767379035E-4</v>
      </c>
      <c r="BC99" s="100">
        <v>1.7783162236103791</v>
      </c>
      <c r="BD99" s="100">
        <v>4.0574783964783225E-4</v>
      </c>
      <c r="BE99" s="100">
        <v>1.7075492083739372</v>
      </c>
      <c r="BF99" s="100">
        <v>2.4690443460099654</v>
      </c>
      <c r="BG99" s="100">
        <v>10390.726225748338</v>
      </c>
      <c r="BH99" s="100">
        <v>6</v>
      </c>
      <c r="BI99" s="100">
        <v>25250.399999999998</v>
      </c>
      <c r="BJ99" s="100">
        <v>7.2916969468861295</v>
      </c>
      <c r="BK99" s="100">
        <v>30686.377431275585</v>
      </c>
      <c r="BL99" s="100">
        <v>7.568482544618206</v>
      </c>
      <c r="BM99" s="100">
        <v>31851.201940771254</v>
      </c>
      <c r="BN99" s="100">
        <v>4.4331572439084166</v>
      </c>
      <c r="BO99" s="100">
        <v>18656.498945264178</v>
      </c>
      <c r="BP99" s="100">
        <v>9.2702780774470117</v>
      </c>
      <c r="BQ99" s="100">
        <v>39013.038261128</v>
      </c>
      <c r="BR99" s="100">
        <v>4.9911885686709043</v>
      </c>
      <c r="BS99" s="100">
        <v>21004.917972394633</v>
      </c>
      <c r="BT99" s="100">
        <v>7.5398261069899197</v>
      </c>
      <c r="BU99" s="100">
        <v>31730.604188656376</v>
      </c>
      <c r="BV99" s="100">
        <v>5.6002050081084818</v>
      </c>
      <c r="BW99" s="100">
        <v>23567.902756123731</v>
      </c>
      <c r="BX99" s="100">
        <v>5</v>
      </c>
      <c r="BY99" s="100">
        <v>21042</v>
      </c>
      <c r="BZ99" s="100">
        <v>6</v>
      </c>
      <c r="CA99" s="100">
        <v>25250.399999999998</v>
      </c>
      <c r="CB99" s="100">
        <v>5</v>
      </c>
      <c r="CC99" s="100">
        <v>21042</v>
      </c>
      <c r="CD99" s="100">
        <v>7</v>
      </c>
      <c r="CE99" s="100">
        <v>29458.799999999996</v>
      </c>
      <c r="CF99" s="100">
        <v>6</v>
      </c>
      <c r="CG99" s="100">
        <v>25250.399999999998</v>
      </c>
      <c r="CH99" s="100">
        <v>7</v>
      </c>
      <c r="CI99" s="100">
        <v>29458.799999999996</v>
      </c>
      <c r="CJ99" s="100">
        <v>5.3998799267406632</v>
      </c>
      <c r="CK99" s="100">
        <v>22724.854683695405</v>
      </c>
      <c r="CL99" s="100">
        <v>8</v>
      </c>
      <c r="CM99" s="100">
        <v>33667.199999999997</v>
      </c>
      <c r="CN99" s="100">
        <v>8.0182832704066289</v>
      </c>
      <c r="CO99" s="100">
        <v>33744.143315179252</v>
      </c>
      <c r="CP99" s="100">
        <v>7</v>
      </c>
      <c r="CQ99" s="100">
        <v>29458.799999999996</v>
      </c>
      <c r="CR99" s="100">
        <v>9</v>
      </c>
      <c r="CS99" s="100">
        <v>37875.599999999999</v>
      </c>
      <c r="CT99" s="100">
        <v>9</v>
      </c>
      <c r="CU99" s="100">
        <v>37875.599999999999</v>
      </c>
    </row>
    <row r="100" spans="2:99">
      <c r="C100" s="99" t="s">
        <v>266</v>
      </c>
      <c r="D100" s="100">
        <v>6</v>
      </c>
      <c r="E100" s="100">
        <v>1944</v>
      </c>
      <c r="F100" s="100">
        <v>6</v>
      </c>
      <c r="G100" s="100">
        <v>1944</v>
      </c>
      <c r="H100" s="100">
        <v>8.3791388099178725</v>
      </c>
      <c r="I100" s="100">
        <v>2714.8409744133905</v>
      </c>
      <c r="J100" s="100">
        <v>6</v>
      </c>
      <c r="K100" s="100">
        <v>1944</v>
      </c>
      <c r="L100" s="100">
        <v>8</v>
      </c>
      <c r="M100" s="100">
        <v>2592</v>
      </c>
      <c r="N100" s="100">
        <v>9</v>
      </c>
      <c r="O100" s="100">
        <v>2916</v>
      </c>
      <c r="P100" s="100">
        <v>6</v>
      </c>
      <c r="Q100" s="100">
        <v>1944</v>
      </c>
      <c r="R100" s="100">
        <v>11</v>
      </c>
      <c r="S100" s="100">
        <v>3564</v>
      </c>
      <c r="T100" s="100">
        <v>8</v>
      </c>
      <c r="U100" s="100">
        <v>2592</v>
      </c>
      <c r="V100" s="100">
        <v>6.5332201686112041</v>
      </c>
      <c r="W100" s="100">
        <v>2116.7633346300299</v>
      </c>
      <c r="X100" s="100">
        <v>8</v>
      </c>
      <c r="Y100" s="100">
        <v>2592</v>
      </c>
      <c r="Z100" s="100">
        <v>10</v>
      </c>
      <c r="AA100" s="100">
        <v>3240</v>
      </c>
      <c r="AB100" s="100">
        <v>9</v>
      </c>
      <c r="AC100" s="100">
        <v>2916</v>
      </c>
      <c r="AD100" s="100">
        <v>6</v>
      </c>
      <c r="AE100" s="100">
        <v>1944</v>
      </c>
      <c r="AF100" s="100">
        <v>9</v>
      </c>
      <c r="AG100" s="100">
        <v>2916</v>
      </c>
      <c r="AH100" s="100">
        <v>11</v>
      </c>
      <c r="AI100" s="100">
        <v>3564</v>
      </c>
      <c r="AJ100" s="100">
        <v>10</v>
      </c>
      <c r="AK100" s="100">
        <v>3240</v>
      </c>
      <c r="AL100" s="100">
        <v>7</v>
      </c>
      <c r="AM100" s="100">
        <v>2268</v>
      </c>
      <c r="AN100" s="100">
        <v>10</v>
      </c>
      <c r="AO100" s="100">
        <v>3240</v>
      </c>
      <c r="AP100" s="100">
        <v>10</v>
      </c>
      <c r="AQ100" s="100">
        <v>3240</v>
      </c>
      <c r="AR100" s="100">
        <v>11</v>
      </c>
      <c r="AS100" s="100">
        <v>3564</v>
      </c>
      <c r="AT100" s="100">
        <v>9</v>
      </c>
      <c r="AU100" s="100">
        <v>2916</v>
      </c>
      <c r="AV100" s="100">
        <v>11</v>
      </c>
      <c r="AW100" s="100">
        <v>3564</v>
      </c>
      <c r="AX100" s="100">
        <v>4.3937009455391038</v>
      </c>
      <c r="AY100" s="100">
        <v>1423.5591063546697</v>
      </c>
      <c r="AZ100" s="100">
        <v>5.602167582796462E-4</v>
      </c>
      <c r="BA100" s="100">
        <v>0.18151022968260538</v>
      </c>
      <c r="BB100" s="100">
        <v>5.6341799689838717E-4</v>
      </c>
      <c r="BC100" s="100">
        <v>0.18254743099507745</v>
      </c>
      <c r="BD100" s="100">
        <v>5.2092649735609392E-4</v>
      </c>
      <c r="BE100" s="100">
        <v>0.16878018514337442</v>
      </c>
      <c r="BF100" s="100">
        <v>3.7035665190149487</v>
      </c>
      <c r="BG100" s="100">
        <v>1199.9555521608434</v>
      </c>
      <c r="BH100" s="100">
        <v>8.3131106668763053</v>
      </c>
      <c r="BI100" s="100">
        <v>2693.4478560679231</v>
      </c>
      <c r="BJ100" s="100">
        <v>9.5821297792324458</v>
      </c>
      <c r="BK100" s="100">
        <v>3104.6100484713124</v>
      </c>
      <c r="BL100" s="100">
        <v>9.2190798167133625</v>
      </c>
      <c r="BM100" s="100">
        <v>2986.9818606151293</v>
      </c>
      <c r="BN100" s="100">
        <v>5.5414465548855203</v>
      </c>
      <c r="BO100" s="100">
        <v>1795.4286837829086</v>
      </c>
      <c r="BP100" s="100">
        <v>12.347500385289015</v>
      </c>
      <c r="BQ100" s="100">
        <v>4000.5901248336409</v>
      </c>
      <c r="BR100" s="100">
        <v>6.6549180915612061</v>
      </c>
      <c r="BS100" s="100">
        <v>2156.1934616658309</v>
      </c>
      <c r="BT100" s="100">
        <v>9.736126509531708</v>
      </c>
      <c r="BU100" s="100">
        <v>3154.5049890882733</v>
      </c>
      <c r="BV100" s="100">
        <v>8.4003075121627226</v>
      </c>
      <c r="BW100" s="100">
        <v>2721.6996339407219</v>
      </c>
      <c r="BX100" s="100">
        <v>7</v>
      </c>
      <c r="BY100" s="100">
        <v>2268</v>
      </c>
      <c r="BZ100" s="100">
        <v>8</v>
      </c>
      <c r="CA100" s="100">
        <v>2592</v>
      </c>
      <c r="CB100" s="100">
        <v>6</v>
      </c>
      <c r="CC100" s="100">
        <v>1944</v>
      </c>
      <c r="CD100" s="100">
        <v>10</v>
      </c>
      <c r="CE100" s="100">
        <v>3240</v>
      </c>
      <c r="CF100" s="100">
        <v>8</v>
      </c>
      <c r="CG100" s="100">
        <v>2592</v>
      </c>
      <c r="CH100" s="100">
        <v>9</v>
      </c>
      <c r="CI100" s="100">
        <v>2916</v>
      </c>
      <c r="CJ100" s="100">
        <v>6.4498649175832465</v>
      </c>
      <c r="CK100" s="100">
        <v>2089.7562332969719</v>
      </c>
      <c r="CL100" s="100">
        <v>11</v>
      </c>
      <c r="CM100" s="100">
        <v>3564</v>
      </c>
      <c r="CN100" s="100">
        <v>10.022854088008287</v>
      </c>
      <c r="CO100" s="100">
        <v>3247.4047245146853</v>
      </c>
      <c r="CP100" s="100">
        <v>10</v>
      </c>
      <c r="CQ100" s="100">
        <v>3240</v>
      </c>
      <c r="CR100" s="100">
        <v>10</v>
      </c>
      <c r="CS100" s="100">
        <v>3240</v>
      </c>
      <c r="CT100" s="100">
        <v>10</v>
      </c>
      <c r="CU100" s="100">
        <v>3240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6</v>
      </c>
      <c r="G101" s="100">
        <v>4341.6000000000004</v>
      </c>
      <c r="H101" s="100">
        <v>8.3791388099178725</v>
      </c>
      <c r="I101" s="100">
        <v>6063.1448428565727</v>
      </c>
      <c r="J101" s="100">
        <v>5</v>
      </c>
      <c r="K101" s="100">
        <v>3618</v>
      </c>
      <c r="L101" s="100">
        <v>9.1695290858725755</v>
      </c>
      <c r="M101" s="100">
        <v>6635.0712465373963</v>
      </c>
      <c r="N101" s="100">
        <v>9</v>
      </c>
      <c r="O101" s="100">
        <v>6512.4000000000005</v>
      </c>
      <c r="P101" s="100">
        <v>6</v>
      </c>
      <c r="Q101" s="100">
        <v>4341.6000000000004</v>
      </c>
      <c r="R101" s="100">
        <v>11</v>
      </c>
      <c r="S101" s="100">
        <v>7959.6</v>
      </c>
      <c r="T101" s="100">
        <v>8</v>
      </c>
      <c r="U101" s="100">
        <v>5788.8</v>
      </c>
      <c r="V101" s="100">
        <v>6.6301692901768776</v>
      </c>
      <c r="W101" s="100">
        <v>4797.5904983719884</v>
      </c>
      <c r="X101" s="100">
        <v>7</v>
      </c>
      <c r="Y101" s="100">
        <v>5065.2</v>
      </c>
      <c r="Z101" s="100">
        <v>12</v>
      </c>
      <c r="AA101" s="100">
        <v>8683.2000000000007</v>
      </c>
      <c r="AB101" s="100">
        <v>8</v>
      </c>
      <c r="AC101" s="100">
        <v>5788.8</v>
      </c>
      <c r="AD101" s="100">
        <v>6</v>
      </c>
      <c r="AE101" s="100">
        <v>4341.6000000000004</v>
      </c>
      <c r="AF101" s="100">
        <v>10.188944669655561</v>
      </c>
      <c r="AG101" s="100">
        <v>7372.7203629627638</v>
      </c>
      <c r="AH101" s="100">
        <v>10</v>
      </c>
      <c r="AI101" s="100">
        <v>7236</v>
      </c>
      <c r="AJ101" s="100">
        <v>10</v>
      </c>
      <c r="AK101" s="100">
        <v>7236</v>
      </c>
      <c r="AL101" s="100">
        <v>6</v>
      </c>
      <c r="AM101" s="100">
        <v>4341.6000000000004</v>
      </c>
      <c r="AN101" s="100">
        <v>10</v>
      </c>
      <c r="AO101" s="100">
        <v>7236</v>
      </c>
      <c r="AP101" s="100">
        <v>10</v>
      </c>
      <c r="AQ101" s="100">
        <v>7236</v>
      </c>
      <c r="AR101" s="100">
        <v>10</v>
      </c>
      <c r="AS101" s="100">
        <v>7236</v>
      </c>
      <c r="AT101" s="100">
        <v>8</v>
      </c>
      <c r="AU101" s="100">
        <v>5788.8</v>
      </c>
      <c r="AV101" s="100">
        <v>11</v>
      </c>
      <c r="AW101" s="100">
        <v>7959.6</v>
      </c>
      <c r="AX101" s="100">
        <v>4.8818899394878938</v>
      </c>
      <c r="AY101" s="100">
        <v>3532.53556021344</v>
      </c>
      <c r="AZ101" s="100">
        <v>4.8018579281112534E-4</v>
      </c>
      <c r="BA101" s="100">
        <v>0.34746243967813029</v>
      </c>
      <c r="BB101" s="100">
        <v>5.6341799689838717E-4</v>
      </c>
      <c r="BC101" s="100">
        <v>0.40768926255567295</v>
      </c>
      <c r="BD101" s="100">
        <v>5.7589328854130875E-4</v>
      </c>
      <c r="BE101" s="100">
        <v>0.416716383588491</v>
      </c>
      <c r="BF101" s="100">
        <v>3.7035665190149487</v>
      </c>
      <c r="BG101" s="100">
        <v>2679.900733159217</v>
      </c>
      <c r="BH101" s="100">
        <v>8.3131106668763053</v>
      </c>
      <c r="BI101" s="100">
        <v>6015.3668785516948</v>
      </c>
      <c r="BJ101" s="100">
        <v>8.6347054612082328</v>
      </c>
      <c r="BK101" s="100">
        <v>6248.0728717302773</v>
      </c>
      <c r="BL101" s="100">
        <v>8.4541218178900692</v>
      </c>
      <c r="BM101" s="100">
        <v>6117.4025474252539</v>
      </c>
      <c r="BN101" s="100">
        <v>6.0955912103740726</v>
      </c>
      <c r="BO101" s="100">
        <v>4410.7697998266794</v>
      </c>
      <c r="BP101" s="100">
        <v>10.347500385289015</v>
      </c>
      <c r="BQ101" s="100">
        <v>7487.4512787951317</v>
      </c>
      <c r="BR101" s="100">
        <v>7.486782853006356</v>
      </c>
      <c r="BS101" s="100">
        <v>5417.4360724353992</v>
      </c>
      <c r="BT101" s="100">
        <v>8.6870514088962612</v>
      </c>
      <c r="BU101" s="100">
        <v>6285.9503994773349</v>
      </c>
      <c r="BV101" s="100">
        <v>7.7002818861491633</v>
      </c>
      <c r="BW101" s="100">
        <v>5571.9239728175344</v>
      </c>
      <c r="BX101" s="100">
        <v>6</v>
      </c>
      <c r="BY101" s="100">
        <v>4341.6000000000004</v>
      </c>
      <c r="BZ101" s="100">
        <v>7</v>
      </c>
      <c r="CA101" s="100">
        <v>5065.2</v>
      </c>
      <c r="CB101" s="100">
        <v>6</v>
      </c>
      <c r="CC101" s="100">
        <v>4341.6000000000004</v>
      </c>
      <c r="CD101" s="100">
        <v>9</v>
      </c>
      <c r="CE101" s="100">
        <v>6512.4000000000005</v>
      </c>
      <c r="CF101" s="100">
        <v>7</v>
      </c>
      <c r="CG101" s="100">
        <v>5065.2</v>
      </c>
      <c r="CH101" s="100">
        <v>9</v>
      </c>
      <c r="CI101" s="100">
        <v>6512.4000000000005</v>
      </c>
      <c r="CJ101" s="100">
        <v>6.3998799267406632</v>
      </c>
      <c r="CK101" s="100">
        <v>4630.9531149895438</v>
      </c>
      <c r="CL101" s="100">
        <v>11</v>
      </c>
      <c r="CM101" s="100">
        <v>7959.6</v>
      </c>
      <c r="CN101" s="100">
        <v>9.0205686792074591</v>
      </c>
      <c r="CO101" s="100">
        <v>6527.2834962745173</v>
      </c>
      <c r="CP101" s="100">
        <v>9</v>
      </c>
      <c r="CQ101" s="100">
        <v>6512.4000000000005</v>
      </c>
      <c r="CR101" s="100">
        <v>10</v>
      </c>
      <c r="CS101" s="100">
        <v>7236</v>
      </c>
      <c r="CT101" s="100">
        <v>11</v>
      </c>
      <c r="CU101" s="100">
        <v>7959.6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6</v>
      </c>
      <c r="G102" s="100">
        <v>3189.6000000000004</v>
      </c>
      <c r="H102" s="100">
        <v>8.3791388099178725</v>
      </c>
      <c r="I102" s="100">
        <v>4454.3501913523414</v>
      </c>
      <c r="J102" s="100">
        <v>6</v>
      </c>
      <c r="K102" s="100">
        <v>3189.6000000000004</v>
      </c>
      <c r="L102" s="100">
        <v>9.18836565096953</v>
      </c>
      <c r="M102" s="100">
        <v>4884.5351800554026</v>
      </c>
      <c r="N102" s="100">
        <v>10</v>
      </c>
      <c r="O102" s="100">
        <v>5316</v>
      </c>
      <c r="P102" s="100">
        <v>6</v>
      </c>
      <c r="Q102" s="100">
        <v>3189.6000000000004</v>
      </c>
      <c r="R102" s="100">
        <v>10</v>
      </c>
      <c r="S102" s="100">
        <v>5316</v>
      </c>
      <c r="T102" s="100">
        <v>8</v>
      </c>
      <c r="U102" s="100">
        <v>4252.8</v>
      </c>
      <c r="V102" s="100">
        <v>5.6301692901768776</v>
      </c>
      <c r="W102" s="100">
        <v>2992.9979946580283</v>
      </c>
      <c r="X102" s="100">
        <v>7</v>
      </c>
      <c r="Y102" s="100">
        <v>3721.2000000000003</v>
      </c>
      <c r="Z102" s="100">
        <v>11</v>
      </c>
      <c r="AA102" s="100">
        <v>5847.6</v>
      </c>
      <c r="AB102" s="100">
        <v>9</v>
      </c>
      <c r="AC102" s="100">
        <v>4784.4000000000005</v>
      </c>
      <c r="AD102" s="100">
        <v>6</v>
      </c>
      <c r="AE102" s="100">
        <v>3189.6000000000004</v>
      </c>
      <c r="AF102" s="100">
        <v>9.1889446696555606</v>
      </c>
      <c r="AG102" s="100">
        <v>4884.842986388896</v>
      </c>
      <c r="AH102" s="100">
        <v>10</v>
      </c>
      <c r="AI102" s="100">
        <v>5316</v>
      </c>
      <c r="AJ102" s="100">
        <v>10</v>
      </c>
      <c r="AK102" s="100">
        <v>5316</v>
      </c>
      <c r="AL102" s="100">
        <v>6</v>
      </c>
      <c r="AM102" s="100">
        <v>3189.6000000000004</v>
      </c>
      <c r="AN102" s="100">
        <v>10</v>
      </c>
      <c r="AO102" s="100">
        <v>5316</v>
      </c>
      <c r="AP102" s="100">
        <v>9</v>
      </c>
      <c r="AQ102" s="100">
        <v>4784.4000000000005</v>
      </c>
      <c r="AR102" s="100">
        <v>11</v>
      </c>
      <c r="AS102" s="100">
        <v>5847.6</v>
      </c>
      <c r="AT102" s="100">
        <v>8</v>
      </c>
      <c r="AU102" s="100">
        <v>4252.8</v>
      </c>
      <c r="AV102" s="100">
        <v>11</v>
      </c>
      <c r="AW102" s="100">
        <v>5847.6</v>
      </c>
      <c r="AX102" s="100">
        <v>4.8818899394878938</v>
      </c>
      <c r="AY102" s="100">
        <v>2595.2126918317645</v>
      </c>
      <c r="AZ102" s="100">
        <v>5.602167582796462E-4</v>
      </c>
      <c r="BA102" s="100">
        <v>0.29781122870145993</v>
      </c>
      <c r="BB102" s="100">
        <v>5.6341799689838717E-4</v>
      </c>
      <c r="BC102" s="100">
        <v>0.29951300715118262</v>
      </c>
      <c r="BD102" s="100">
        <v>5.1830395968717783E-4</v>
      </c>
      <c r="BE102" s="100">
        <v>0.27553038496970372</v>
      </c>
      <c r="BF102" s="100">
        <v>3.7035665190149487</v>
      </c>
      <c r="BG102" s="100">
        <v>1968.8159615083468</v>
      </c>
      <c r="BH102" s="100">
        <v>9.3131106668763053</v>
      </c>
      <c r="BI102" s="100">
        <v>4950.849630511444</v>
      </c>
      <c r="BJ102" s="100">
        <v>10.457629697929766</v>
      </c>
      <c r="BK102" s="100">
        <v>5559.2759474194636</v>
      </c>
      <c r="BL102" s="100">
        <v>9.2190798167133625</v>
      </c>
      <c r="BM102" s="100">
        <v>4900.8628305648235</v>
      </c>
      <c r="BN102" s="100">
        <v>6.0955912103740726</v>
      </c>
      <c r="BO102" s="100">
        <v>3240.4162874348572</v>
      </c>
      <c r="BP102" s="100">
        <v>11.347500385289015</v>
      </c>
      <c r="BQ102" s="100">
        <v>6032.3312048196403</v>
      </c>
      <c r="BR102" s="100">
        <v>7.486782853006356</v>
      </c>
      <c r="BS102" s="100">
        <v>3979.9737646581789</v>
      </c>
      <c r="BT102" s="100">
        <v>8.6379763082608143</v>
      </c>
      <c r="BU102" s="100">
        <v>4591.948205471449</v>
      </c>
      <c r="BV102" s="100">
        <v>7.7002818861491633</v>
      </c>
      <c r="BW102" s="100">
        <v>4093.4698506768955</v>
      </c>
      <c r="BX102" s="100">
        <v>7</v>
      </c>
      <c r="BY102" s="100">
        <v>3721.2000000000003</v>
      </c>
      <c r="BZ102" s="100">
        <v>8</v>
      </c>
      <c r="CA102" s="100">
        <v>4252.8</v>
      </c>
      <c r="CB102" s="100">
        <v>6</v>
      </c>
      <c r="CC102" s="100">
        <v>3189.6000000000004</v>
      </c>
      <c r="CD102" s="100">
        <v>10</v>
      </c>
      <c r="CE102" s="100">
        <v>5316</v>
      </c>
      <c r="CF102" s="100">
        <v>8</v>
      </c>
      <c r="CG102" s="100">
        <v>4252.8</v>
      </c>
      <c r="CH102" s="100">
        <v>8</v>
      </c>
      <c r="CI102" s="100">
        <v>4252.8</v>
      </c>
      <c r="CJ102" s="100">
        <v>6.3998799267406632</v>
      </c>
      <c r="CK102" s="100">
        <v>3402.1761690553367</v>
      </c>
      <c r="CL102" s="100">
        <v>11</v>
      </c>
      <c r="CM102" s="100">
        <v>5847.6</v>
      </c>
      <c r="CN102" s="100">
        <v>10.020568679207459</v>
      </c>
      <c r="CO102" s="100">
        <v>5326.9343098666859</v>
      </c>
      <c r="CP102" s="100">
        <v>9</v>
      </c>
      <c r="CQ102" s="100">
        <v>4784.4000000000005</v>
      </c>
      <c r="CR102" s="100">
        <v>11</v>
      </c>
      <c r="CS102" s="100">
        <v>5847.6</v>
      </c>
      <c r="CT102" s="100">
        <v>11</v>
      </c>
      <c r="CU102" s="100">
        <v>5847.6</v>
      </c>
    </row>
    <row r="103" spans="2:99">
      <c r="C103" s="99" t="s">
        <v>269</v>
      </c>
      <c r="D103" s="100">
        <v>6</v>
      </c>
      <c r="E103" s="100">
        <v>3535.2</v>
      </c>
      <c r="F103" s="100">
        <v>7</v>
      </c>
      <c r="G103" s="100">
        <v>4124.3999999999996</v>
      </c>
      <c r="H103" s="100">
        <v>8.3791388099178725</v>
      </c>
      <c r="I103" s="100">
        <v>4936.9885868036099</v>
      </c>
      <c r="J103" s="100">
        <v>5</v>
      </c>
      <c r="K103" s="100">
        <v>2945.9999999999995</v>
      </c>
      <c r="L103" s="100">
        <v>8.1695290858725755</v>
      </c>
      <c r="M103" s="100">
        <v>4813.4865373961211</v>
      </c>
      <c r="N103" s="100">
        <v>9</v>
      </c>
      <c r="O103" s="100">
        <v>5302.7999999999993</v>
      </c>
      <c r="P103" s="100">
        <v>7</v>
      </c>
      <c r="Q103" s="100">
        <v>4124.3999999999996</v>
      </c>
      <c r="R103" s="100">
        <v>11</v>
      </c>
      <c r="S103" s="100">
        <v>6481.1999999999989</v>
      </c>
      <c r="T103" s="100">
        <v>7</v>
      </c>
      <c r="U103" s="100">
        <v>4124.3999999999996</v>
      </c>
      <c r="V103" s="100">
        <v>6.5816947293940409</v>
      </c>
      <c r="W103" s="100">
        <v>3877.9345345589686</v>
      </c>
      <c r="X103" s="100">
        <v>7</v>
      </c>
      <c r="Y103" s="100">
        <v>4124.3999999999996</v>
      </c>
      <c r="Z103" s="100">
        <v>11</v>
      </c>
      <c r="AA103" s="100">
        <v>6481.1999999999989</v>
      </c>
      <c r="AB103" s="100">
        <v>9</v>
      </c>
      <c r="AC103" s="100">
        <v>5302.7999999999993</v>
      </c>
      <c r="AD103" s="100">
        <v>6</v>
      </c>
      <c r="AE103" s="100">
        <v>3535.2</v>
      </c>
      <c r="AF103" s="100">
        <v>9.1889446696555606</v>
      </c>
      <c r="AG103" s="100">
        <v>5414.126199361056</v>
      </c>
      <c r="AH103" s="100">
        <v>10</v>
      </c>
      <c r="AI103" s="100">
        <v>5891.9999999999991</v>
      </c>
      <c r="AJ103" s="100">
        <v>10</v>
      </c>
      <c r="AK103" s="100">
        <v>5891.9999999999991</v>
      </c>
      <c r="AL103" s="100">
        <v>6.0404280618311539</v>
      </c>
      <c r="AM103" s="100">
        <v>3559.0202140309157</v>
      </c>
      <c r="AN103" s="100">
        <v>10</v>
      </c>
      <c r="AO103" s="100">
        <v>5891.9999999999991</v>
      </c>
      <c r="AP103" s="100">
        <v>9</v>
      </c>
      <c r="AQ103" s="100">
        <v>5302.7999999999993</v>
      </c>
      <c r="AR103" s="100">
        <v>10</v>
      </c>
      <c r="AS103" s="100">
        <v>5891.9999999999991</v>
      </c>
      <c r="AT103" s="100">
        <v>9</v>
      </c>
      <c r="AU103" s="100">
        <v>5302.7999999999993</v>
      </c>
      <c r="AV103" s="100">
        <v>11</v>
      </c>
      <c r="AW103" s="100">
        <v>6481.1999999999989</v>
      </c>
      <c r="AX103" s="100">
        <v>4.3937009455391038</v>
      </c>
      <c r="AY103" s="100">
        <v>2588.7685971116398</v>
      </c>
      <c r="AZ103" s="100">
        <v>4.8018579281112534E-4</v>
      </c>
      <c r="BA103" s="100">
        <v>0.28292546912431504</v>
      </c>
      <c r="BB103" s="100">
        <v>4.929907472860887E-4</v>
      </c>
      <c r="BC103" s="100">
        <v>0.2904701483009634</v>
      </c>
      <c r="BD103" s="100">
        <v>5.2092649735609392E-4</v>
      </c>
      <c r="BE103" s="100">
        <v>0.30692989224221051</v>
      </c>
      <c r="BF103" s="100">
        <v>3.7035665190149487</v>
      </c>
      <c r="BG103" s="100">
        <v>2182.1413930036074</v>
      </c>
      <c r="BH103" s="100">
        <v>9.3444217335639355</v>
      </c>
      <c r="BI103" s="100">
        <v>5505.7332854158703</v>
      </c>
      <c r="BJ103" s="100">
        <v>8.2031590652468953</v>
      </c>
      <c r="BK103" s="100">
        <v>4833.3013212434698</v>
      </c>
      <c r="BL103" s="100">
        <v>9.2190798167133625</v>
      </c>
      <c r="BM103" s="100">
        <v>5431.8818280075129</v>
      </c>
      <c r="BN103" s="100">
        <v>4.987301899396968</v>
      </c>
      <c r="BO103" s="100">
        <v>2938.518279124693</v>
      </c>
      <c r="BP103" s="100">
        <v>10.308889231368013</v>
      </c>
      <c r="BQ103" s="100">
        <v>6073.9975351220328</v>
      </c>
      <c r="BR103" s="100">
        <v>7.486782853006356</v>
      </c>
      <c r="BS103" s="100">
        <v>4411.2124569913449</v>
      </c>
      <c r="BT103" s="100">
        <v>8.6870514088962612</v>
      </c>
      <c r="BU103" s="100">
        <v>5118.4106901216765</v>
      </c>
      <c r="BV103" s="100">
        <v>6.3002306341220429</v>
      </c>
      <c r="BW103" s="100">
        <v>3712.0958896247071</v>
      </c>
      <c r="BX103" s="100">
        <v>6</v>
      </c>
      <c r="BY103" s="100">
        <v>3535.2</v>
      </c>
      <c r="BZ103" s="100">
        <v>8</v>
      </c>
      <c r="CA103" s="100">
        <v>4713.5999999999995</v>
      </c>
      <c r="CB103" s="100">
        <v>6</v>
      </c>
      <c r="CC103" s="100">
        <v>3535.2</v>
      </c>
      <c r="CD103" s="100">
        <v>9</v>
      </c>
      <c r="CE103" s="100">
        <v>5302.7999999999993</v>
      </c>
      <c r="CF103" s="100">
        <v>8</v>
      </c>
      <c r="CG103" s="100">
        <v>4713.5999999999995</v>
      </c>
      <c r="CH103" s="100">
        <v>9</v>
      </c>
      <c r="CI103" s="100">
        <v>5302.7999999999993</v>
      </c>
      <c r="CJ103" s="100">
        <v>6.3998799267406632</v>
      </c>
      <c r="CK103" s="100">
        <v>3770.8092528355983</v>
      </c>
      <c r="CL103" s="100">
        <v>11</v>
      </c>
      <c r="CM103" s="100">
        <v>6481.1999999999989</v>
      </c>
      <c r="CN103" s="100">
        <v>9.0228540880082875</v>
      </c>
      <c r="CO103" s="100">
        <v>5316.2656286544825</v>
      </c>
      <c r="CP103" s="100">
        <v>8</v>
      </c>
      <c r="CQ103" s="100">
        <v>4713.5999999999995</v>
      </c>
      <c r="CR103" s="100">
        <v>10</v>
      </c>
      <c r="CS103" s="100">
        <v>5891.9999999999991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7</v>
      </c>
      <c r="G104" s="100">
        <v>4426.8</v>
      </c>
      <c r="H104" s="100">
        <v>9.3791388099178725</v>
      </c>
      <c r="I104" s="100">
        <v>5931.367383392062</v>
      </c>
      <c r="J104" s="100">
        <v>5</v>
      </c>
      <c r="K104" s="100">
        <v>3162</v>
      </c>
      <c r="L104" s="100">
        <v>10</v>
      </c>
      <c r="M104" s="100">
        <v>6324</v>
      </c>
      <c r="N104" s="100">
        <v>9</v>
      </c>
      <c r="O104" s="100">
        <v>5691.5999999999995</v>
      </c>
      <c r="P104" s="100">
        <v>7</v>
      </c>
      <c r="Q104" s="100">
        <v>4426.8</v>
      </c>
      <c r="R104" s="100">
        <v>10</v>
      </c>
      <c r="S104" s="100">
        <v>6324</v>
      </c>
      <c r="T104" s="100">
        <v>7</v>
      </c>
      <c r="U104" s="100">
        <v>4426.8</v>
      </c>
      <c r="V104" s="100">
        <v>6.6301692901768776</v>
      </c>
      <c r="W104" s="100">
        <v>4192.9190591078568</v>
      </c>
      <c r="X104" s="100">
        <v>7</v>
      </c>
      <c r="Y104" s="100">
        <v>4426.8</v>
      </c>
      <c r="Z104" s="100">
        <v>11</v>
      </c>
      <c r="AA104" s="100">
        <v>6956.4</v>
      </c>
      <c r="AB104" s="100">
        <v>8</v>
      </c>
      <c r="AC104" s="100">
        <v>5059.2</v>
      </c>
      <c r="AD104" s="100">
        <v>6</v>
      </c>
      <c r="AE104" s="100">
        <v>3794.3999999999996</v>
      </c>
      <c r="AF104" s="100">
        <v>9.1889446696555606</v>
      </c>
      <c r="AG104" s="100">
        <v>5811.0886090901759</v>
      </c>
      <c r="AH104" s="100">
        <v>10</v>
      </c>
      <c r="AI104" s="100">
        <v>6324</v>
      </c>
      <c r="AJ104" s="100">
        <v>11</v>
      </c>
      <c r="AK104" s="100">
        <v>6956.4</v>
      </c>
      <c r="AL104" s="100">
        <v>6.0359360549610255</v>
      </c>
      <c r="AM104" s="100">
        <v>3817.1259611573523</v>
      </c>
      <c r="AN104" s="100">
        <v>9</v>
      </c>
      <c r="AO104" s="100">
        <v>5691.5999999999995</v>
      </c>
      <c r="AP104" s="100">
        <v>10</v>
      </c>
      <c r="AQ104" s="100">
        <v>6324</v>
      </c>
      <c r="AR104" s="100">
        <v>11</v>
      </c>
      <c r="AS104" s="100">
        <v>6956.4</v>
      </c>
      <c r="AT104" s="100">
        <v>9</v>
      </c>
      <c r="AU104" s="100">
        <v>5691.5999999999995</v>
      </c>
      <c r="AV104" s="100">
        <v>10</v>
      </c>
      <c r="AW104" s="100">
        <v>6324</v>
      </c>
      <c r="AX104" s="100">
        <v>3.9055119515903147</v>
      </c>
      <c r="AY104" s="100">
        <v>2469.8457581857151</v>
      </c>
      <c r="AZ104" s="100">
        <v>5.602167582796462E-4</v>
      </c>
      <c r="BA104" s="100">
        <v>0.35428107793604824</v>
      </c>
      <c r="BB104" s="100">
        <v>5.6341799689838717E-4</v>
      </c>
      <c r="BC104" s="100">
        <v>0.35630554123854002</v>
      </c>
      <c r="BD104" s="100">
        <v>5.2092649735609392E-4</v>
      </c>
      <c r="BE104" s="100">
        <v>0.32943391692799379</v>
      </c>
      <c r="BF104" s="100">
        <v>3.2920591280132876</v>
      </c>
      <c r="BG104" s="100">
        <v>2081.8981925556031</v>
      </c>
      <c r="BH104" s="100">
        <v>9.3131106668763053</v>
      </c>
      <c r="BI104" s="100">
        <v>5889.611185732575</v>
      </c>
      <c r="BJ104" s="100">
        <v>8.6706676608716808</v>
      </c>
      <c r="BK104" s="100">
        <v>5483.3302287352508</v>
      </c>
      <c r="BL104" s="100">
        <v>9.2593069081962192</v>
      </c>
      <c r="BM104" s="100">
        <v>5855.5856887432892</v>
      </c>
      <c r="BN104" s="100">
        <v>6.0955912103740726</v>
      </c>
      <c r="BO104" s="100">
        <v>3854.8518814405634</v>
      </c>
      <c r="BP104" s="100">
        <v>11.308889231368013</v>
      </c>
      <c r="BQ104" s="100">
        <v>7151.7415499171311</v>
      </c>
      <c r="BR104" s="100">
        <v>6.6549180915612061</v>
      </c>
      <c r="BS104" s="100">
        <v>4208.5702011033063</v>
      </c>
      <c r="BT104" s="100">
        <v>8.6379763082608143</v>
      </c>
      <c r="BU104" s="100">
        <v>5462.6562173441389</v>
      </c>
      <c r="BV104" s="100">
        <v>7.0002562601356031</v>
      </c>
      <c r="BW104" s="100">
        <v>4426.9620589097549</v>
      </c>
      <c r="BX104" s="100">
        <v>6</v>
      </c>
      <c r="BY104" s="100">
        <v>3794.3999999999996</v>
      </c>
      <c r="BZ104" s="100">
        <v>8</v>
      </c>
      <c r="CA104" s="100">
        <v>5059.2</v>
      </c>
      <c r="CB104" s="100">
        <v>5</v>
      </c>
      <c r="CC104" s="100">
        <v>3162</v>
      </c>
      <c r="CD104" s="100">
        <v>9</v>
      </c>
      <c r="CE104" s="100">
        <v>5691.5999999999995</v>
      </c>
      <c r="CF104" s="100">
        <v>8</v>
      </c>
      <c r="CG104" s="100">
        <v>5059.2</v>
      </c>
      <c r="CH104" s="100">
        <v>9</v>
      </c>
      <c r="CI104" s="100">
        <v>5691.5999999999995</v>
      </c>
      <c r="CJ104" s="100">
        <v>6.499849908425829</v>
      </c>
      <c r="CK104" s="100">
        <v>4110.5050820884944</v>
      </c>
      <c r="CL104" s="100">
        <v>11</v>
      </c>
      <c r="CM104" s="100">
        <v>6956.4</v>
      </c>
      <c r="CN104" s="100">
        <v>9.0228540880082875</v>
      </c>
      <c r="CO104" s="100">
        <v>5706.0529252564411</v>
      </c>
      <c r="CP104" s="100">
        <v>9</v>
      </c>
      <c r="CQ104" s="100">
        <v>5691.5999999999995</v>
      </c>
      <c r="CR104" s="100">
        <v>10</v>
      </c>
      <c r="CS104" s="100">
        <v>6324</v>
      </c>
      <c r="CT104" s="100">
        <v>10</v>
      </c>
      <c r="CU104" s="100">
        <v>6324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6</v>
      </c>
      <c r="G105" s="100">
        <v>3340.7999999999997</v>
      </c>
      <c r="H105" s="100">
        <v>8.3791388099178725</v>
      </c>
      <c r="I105" s="100">
        <v>4665.5044893622708</v>
      </c>
      <c r="J105" s="100">
        <v>6</v>
      </c>
      <c r="K105" s="100">
        <v>3340.7999999999997</v>
      </c>
      <c r="L105" s="100">
        <v>9.1695290858725755</v>
      </c>
      <c r="M105" s="100">
        <v>5105.5937950138496</v>
      </c>
      <c r="N105" s="100">
        <v>10</v>
      </c>
      <c r="O105" s="100">
        <v>5568</v>
      </c>
      <c r="P105" s="100">
        <v>6.5771454131314995</v>
      </c>
      <c r="Q105" s="100">
        <v>3662.1545660316187</v>
      </c>
      <c r="R105" s="100">
        <v>10</v>
      </c>
      <c r="S105" s="100">
        <v>5568</v>
      </c>
      <c r="T105" s="100">
        <v>7</v>
      </c>
      <c r="U105" s="100">
        <v>3897.5999999999995</v>
      </c>
      <c r="V105" s="100">
        <v>6.5816947293940409</v>
      </c>
      <c r="W105" s="100">
        <v>3664.6876253266018</v>
      </c>
      <c r="X105" s="100">
        <v>6</v>
      </c>
      <c r="Y105" s="100">
        <v>3340.7999999999997</v>
      </c>
      <c r="Z105" s="100">
        <v>11</v>
      </c>
      <c r="AA105" s="100">
        <v>6124.7999999999993</v>
      </c>
      <c r="AB105" s="100">
        <v>9</v>
      </c>
      <c r="AC105" s="100">
        <v>5011.2</v>
      </c>
      <c r="AD105" s="100">
        <v>6</v>
      </c>
      <c r="AE105" s="100">
        <v>3340.7999999999997</v>
      </c>
      <c r="AF105" s="100">
        <v>9</v>
      </c>
      <c r="AG105" s="100">
        <v>5011.2</v>
      </c>
      <c r="AH105" s="100">
        <v>10</v>
      </c>
      <c r="AI105" s="100">
        <v>5568</v>
      </c>
      <c r="AJ105" s="100">
        <v>10</v>
      </c>
      <c r="AK105" s="100">
        <v>5568</v>
      </c>
      <c r="AL105" s="100">
        <v>6.0359360549610255</v>
      </c>
      <c r="AM105" s="100">
        <v>3360.8091954022989</v>
      </c>
      <c r="AN105" s="100">
        <v>10</v>
      </c>
      <c r="AO105" s="100">
        <v>5568</v>
      </c>
      <c r="AP105" s="100">
        <v>9</v>
      </c>
      <c r="AQ105" s="100">
        <v>5011.2</v>
      </c>
      <c r="AR105" s="100">
        <v>11</v>
      </c>
      <c r="AS105" s="100">
        <v>6124.7999999999993</v>
      </c>
      <c r="AT105" s="100">
        <v>9</v>
      </c>
      <c r="AU105" s="100">
        <v>5011.2</v>
      </c>
      <c r="AV105" s="100">
        <v>10</v>
      </c>
      <c r="AW105" s="100">
        <v>5568</v>
      </c>
      <c r="AX105" s="100">
        <v>4.3937009455391038</v>
      </c>
      <c r="AY105" s="100">
        <v>2446.4126864761729</v>
      </c>
      <c r="AZ105" s="100">
        <v>5.602167582796462E-4</v>
      </c>
      <c r="BA105" s="100">
        <v>0.31192869101010701</v>
      </c>
      <c r="BB105" s="100">
        <v>5.6341799689838717E-4</v>
      </c>
      <c r="BC105" s="100">
        <v>0.31371114067302197</v>
      </c>
      <c r="BD105" s="100">
        <v>5.7589328854130875E-4</v>
      </c>
      <c r="BE105" s="100">
        <v>0.32065738305980068</v>
      </c>
      <c r="BF105" s="100">
        <v>3.2920591280132876</v>
      </c>
      <c r="BG105" s="100">
        <v>1833.0185224777983</v>
      </c>
      <c r="BH105" s="100">
        <v>9.3444217335639355</v>
      </c>
      <c r="BI105" s="100">
        <v>5202.9740212483985</v>
      </c>
      <c r="BJ105" s="100">
        <v>9.5821297792324458</v>
      </c>
      <c r="BK105" s="100">
        <v>5335.3298610766251</v>
      </c>
      <c r="BL105" s="100">
        <v>8.4138947264072126</v>
      </c>
      <c r="BM105" s="100">
        <v>4684.8565836635353</v>
      </c>
      <c r="BN105" s="100">
        <v>5.5414465548855203</v>
      </c>
      <c r="BO105" s="100">
        <v>3085.4774417602575</v>
      </c>
      <c r="BP105" s="100">
        <v>10.308889231368013</v>
      </c>
      <c r="BQ105" s="100">
        <v>5739.9895240257092</v>
      </c>
      <c r="BR105" s="100">
        <v>7.486782853006356</v>
      </c>
      <c r="BS105" s="100">
        <v>4168.6406925539386</v>
      </c>
      <c r="BT105" s="100">
        <v>8.6870514088962612</v>
      </c>
      <c r="BU105" s="100">
        <v>4836.9502244734376</v>
      </c>
      <c r="BV105" s="100">
        <v>7.0002562601356031</v>
      </c>
      <c r="BW105" s="100">
        <v>3897.7426856435036</v>
      </c>
      <c r="BX105" s="100">
        <v>6</v>
      </c>
      <c r="BY105" s="100">
        <v>3340.7999999999997</v>
      </c>
      <c r="BZ105" s="100">
        <v>7</v>
      </c>
      <c r="CA105" s="100">
        <v>3897.5999999999995</v>
      </c>
      <c r="CB105" s="100">
        <v>6</v>
      </c>
      <c r="CC105" s="100">
        <v>3340.7999999999997</v>
      </c>
      <c r="CD105" s="100">
        <v>8</v>
      </c>
      <c r="CE105" s="100">
        <v>4454.3999999999996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5.4498649175832465</v>
      </c>
      <c r="CK105" s="100">
        <v>3034.4847861103513</v>
      </c>
      <c r="CL105" s="100">
        <v>12</v>
      </c>
      <c r="CM105" s="100">
        <v>6681.5999999999995</v>
      </c>
      <c r="CN105" s="100">
        <v>9.0228540880082875</v>
      </c>
      <c r="CO105" s="100">
        <v>5023.925156203014</v>
      </c>
      <c r="CP105" s="100">
        <v>9</v>
      </c>
      <c r="CQ105" s="100">
        <v>5011.2</v>
      </c>
      <c r="CR105" s="100">
        <v>11</v>
      </c>
      <c r="CS105" s="100">
        <v>6124.7999999999993</v>
      </c>
      <c r="CT105" s="100">
        <v>10</v>
      </c>
      <c r="CU105" s="100">
        <v>5568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406</v>
      </c>
      <c r="E109" s="100">
        <f>SUM(L$6:L$19)+SUM(N$6:N$19)+SUM(P$6:P$19)+SUM(R$6:R$19)</f>
        <v>398</v>
      </c>
      <c r="F109" s="100">
        <f>SUM(T$6:T$19)+SUM(V$6:V$19)+SUM(X$6:X$19)+SUM(Z$6:Z$19)</f>
        <v>339.70987044739576</v>
      </c>
      <c r="G109" s="100">
        <f>SUM(AB$6:AB$19)+SUM(AD$6:AD$19)+SUM(AF$6:AF$19)+SUM(AH$6:AH$19)</f>
        <v>265.48769089653325</v>
      </c>
      <c r="H109" s="100">
        <f>SUM(AJ$6:AJ$19)+SUM(AL$6:AL$19)+SUM(AN$6:AN$19)+SUM(AP$6:AP$19)</f>
        <v>392.24047695178473</v>
      </c>
      <c r="I109" s="100">
        <f>SUM(AR$6:AR$19)+SUM(AT$6:AT$19)+SUM(AV$6:AV$19)+SUM(AX$6:AX$19)</f>
        <v>266.19792571551307</v>
      </c>
      <c r="J109" s="100">
        <f>SUM(AZ$6:AZ$19)+SUM(BB$6:BB$19)+SUM(BD$6:BD$19)+SUM(BF$6:BF$19)</f>
        <v>408</v>
      </c>
      <c r="K109" s="100">
        <f>SUM(BH$6:BH$19)+SUM(BJ$6:BJ$19)+SUM(BL$6:BL$19)+SUM(BN$6:BN$19)</f>
        <v>310.42163427912732</v>
      </c>
      <c r="L109" s="100">
        <f>SUM(BP$6:BP$19)+SUM(BR$6:BR$19)+SUM(BT$6:BT$19)+SUM(BV$6:BV$19)</f>
        <v>504.89663559662864</v>
      </c>
      <c r="M109" s="100">
        <f>SUM(BX$6:BX$19)+SUM(BZ$6:BZ$19)+SUM(CB$6:CB$19)+SUM(CD$6:CD$19)</f>
        <v>283.96276642865041</v>
      </c>
      <c r="N109" s="100">
        <f>SUM(CF$6:CF$19)+SUM(CH$6:CH$19)+SUM(CJ$6:CJ$19)+SUM(CL$6:CL$19)</f>
        <v>356.3464710574371</v>
      </c>
      <c r="O109" s="100">
        <f>SUM(CN$6:CN$19)+SUM(CP$6:CP$19)+SUM(CR$6:CR$19)+SUM(CT$6:CT$19)</f>
        <v>506.76717550211862</v>
      </c>
    </row>
    <row r="110" spans="2:99">
      <c r="C110" s="99" t="s">
        <v>127</v>
      </c>
      <c r="D110" s="100">
        <f>SUM(D$20:D$36)+SUM(F$20:F$36)+SUM(H$20:H$36)+SUM(J$20:J$36)</f>
        <v>737</v>
      </c>
      <c r="E110" s="100">
        <f>SUM(L$20:L$36)+SUM(N$20:N$36)+SUM(P$20:P$36)+SUM(R$20:R$36)</f>
        <v>867</v>
      </c>
      <c r="F110" s="100">
        <f>SUM(T$20:T$36)+SUM(V$20:V$36)+SUM(X$20:X$36)+SUM(Z$20:Z$36)</f>
        <v>674.7763286601097</v>
      </c>
      <c r="G110" s="100">
        <f>SUM(AB$20:AB$36)+SUM(AD$20:AD$36)+SUM(AF$20:AF$36)+SUM(AH$20:AH$36)</f>
        <v>522.92884043976539</v>
      </c>
      <c r="H110" s="100">
        <f>SUM(AJ$20:AJ$36)+SUM(AL$20:AL$36)+SUM(AN$20:AN$36)+SUM(AP$20:AP$36)</f>
        <v>845.07974858027887</v>
      </c>
      <c r="I110" s="100">
        <f>SUM(AR$20:AR$36)+SUM(AT$20:AT$36)+SUM(AV$20:AV$36)+SUM(AX$20:AX$36)</f>
        <v>438.54832591739728</v>
      </c>
      <c r="J110" s="100">
        <f>SUM(AZ$20:AZ$36)+SUM(BB$20:BB$36)+SUM(BD$20:BD$36)+SUM(BF$20:BF$36)</f>
        <v>726</v>
      </c>
      <c r="K110" s="100">
        <f>SUM(BH$20:BH$36)+SUM(BJ$20:BJ$36)+SUM(BL$20:BL$36)+SUM(BN$20:BN$36)</f>
        <v>728.87198083970384</v>
      </c>
      <c r="L110" s="100">
        <f>SUM(BP$20:BP$36)+SUM(BR$20:BR$36)+SUM(BT$20:BT$36)+SUM(BV$20:BV$36)</f>
        <v>688.69906307678593</v>
      </c>
      <c r="M110" s="100">
        <f>SUM(BX$20:BX$36)+SUM(BZ$20:BZ$36)+SUM(CB$20:CB$36)+SUM(CD$20:CD$36)</f>
        <v>663.37396142653051</v>
      </c>
      <c r="N110" s="100">
        <f>SUM(CF$20:CF$36)+SUM(CH$20:CH$36)+SUM(CJ$20:CJ$36)+SUM(CL$20:CL$36)</f>
        <v>817.00310018340247</v>
      </c>
      <c r="O110" s="100">
        <f>SUM(CN$20:CN$36)+SUM(CP$20:CP$36)+SUM(CR$20:CR$36)+SUM(CT$20:CT$36)</f>
        <v>759.43562863790999</v>
      </c>
    </row>
    <row r="111" spans="2:99">
      <c r="C111" s="99" t="s">
        <v>128</v>
      </c>
      <c r="D111" s="100">
        <f>SUM(D$37:D$48)+SUM(F$37:F$48)+SUM(H$37:H$48)+SUM(J$37:J$48)</f>
        <v>269</v>
      </c>
      <c r="E111" s="100">
        <f>SUM(L$37:L$48)+SUM(N$37:N$48)+SUM(P$37:P$48)+SUM(R$37:R$48)</f>
        <v>342</v>
      </c>
      <c r="F111" s="100">
        <f>SUM(T$37:T$48)+SUM(V$37:V$48)+SUM(X$37:X$48)+SUM(Z$37:Z$48)</f>
        <v>339.84774449768469</v>
      </c>
      <c r="G111" s="100">
        <f>SUM(AB$37:AB$48)+SUM(AD$37:AD$48)+SUM(AF$37:AF$48)+SUM(AH$37:AH$48)</f>
        <v>224.78671625294101</v>
      </c>
      <c r="H111" s="100">
        <f>SUM(AJ$37:AJ$48)+SUM(AL$37:AL$48)+SUM(AN$37:AN$48)+SUM(AP$37:AP$48)</f>
        <v>290.64896739072583</v>
      </c>
      <c r="I111" s="100">
        <f>SUM(AR$37:AR$48)+SUM(AT$37:AT$48)+SUM(AV$37:AV$48)+SUM(AX$37:AX$48)</f>
        <v>141.95301210730329</v>
      </c>
      <c r="J111" s="100">
        <f>SUM(AZ$37:AZ$48)+SUM(BB$37:BB$48)+SUM(BD$37:BD$48)+SUM(BF$37:BF$48)</f>
        <v>309</v>
      </c>
      <c r="K111" s="100">
        <f>SUM(BH$37:BH$48)+SUM(BJ$37:BJ$48)+SUM(BL$37:BL$48)+SUM(BN$37:BN$48)</f>
        <v>322.25294470991275</v>
      </c>
      <c r="L111" s="100">
        <f>SUM(BP$37:BP$48)+SUM(BR$37:BR$48)+SUM(BT$37:BT$48)+SUM(BV$37:BV$48)</f>
        <v>280.40563550962167</v>
      </c>
      <c r="M111" s="100">
        <f>SUM(BX$37:BX$48)+SUM(BZ$37:BZ$48)+SUM(CB$37:CB$48)+SUM(CD$37:CD$48)</f>
        <v>290.90083940005741</v>
      </c>
      <c r="N111" s="100">
        <f>SUM(CF$37:CF$48)+SUM(CH$37:CH$48)+SUM(CJ$37:CJ$48)+SUM(CL$37:CL$48)</f>
        <v>292.40167459855826</v>
      </c>
      <c r="O111" s="100">
        <f>SUM(CN$37:CN$48)+SUM(CP$37:CP$48)+SUM(CR$37:CR$48)+SUM(CT$37:CT$48)</f>
        <v>319.5448909977963</v>
      </c>
    </row>
    <row r="112" spans="2:99">
      <c r="C112" s="99" t="s">
        <v>129</v>
      </c>
      <c r="D112" s="100">
        <f>SUM(D$49:D$70)+SUM(F$49:F$70)+SUM(H$49:H$70)+SUM(J$49:J$70)</f>
        <v>436.36585967471865</v>
      </c>
      <c r="E112" s="100">
        <f>SUM(L$49:L$70)+SUM(N$49:N$70)+SUM(P$49:P$70)+SUM(R$49:R$70)</f>
        <v>478.24367386681348</v>
      </c>
      <c r="F112" s="100">
        <f>SUM(T$49:T$70)+SUM(V$49:V$70)+SUM(X$49:X$70)+SUM(Z$49:Z$70)</f>
        <v>551.76623438971035</v>
      </c>
      <c r="G112" s="100">
        <f>SUM(AB$49:AB$70)+SUM(AD$49:AD$70)+SUM(AF$49:AF$70)+SUM(AH$49:AH$70)</f>
        <v>328.09948446709996</v>
      </c>
      <c r="H112" s="100">
        <f>SUM(AJ$49:AJ$70)+SUM(AL$49:AL$70)+SUM(AN$49:AN$70)+SUM(AP$49:AP$70)</f>
        <v>417.73252060876547</v>
      </c>
      <c r="I112" s="100">
        <f>SUM(AR$49:AR$70)+SUM(AT$49:AT$70)+SUM(AV$49:AV$70)+SUM(AX$49:AX$70)</f>
        <v>271.92175268691278</v>
      </c>
      <c r="J112" s="100">
        <f>SUM(AZ$49:AZ$70)+SUM(BB$49:BB$70)+SUM(BD$49:BD$70)+SUM(BF$49:BF$70)</f>
        <v>414.70168940623398</v>
      </c>
      <c r="K112" s="100">
        <f>SUM(BH$49:BH$70)+SUM(BJ$49:BJ$70)+SUM(BL$49:BL$70)+SUM(BN$49:BN$70)</f>
        <v>348.65205578136272</v>
      </c>
      <c r="L112" s="100">
        <f>SUM(BP$49:BP$70)+SUM(BR$49:BR$70)+SUM(BT$49:BT$70)+SUM(BV$49:BV$70)</f>
        <v>403.21642136960941</v>
      </c>
      <c r="M112" s="100">
        <f>SUM(BX$49:BX$70)+SUM(BZ$49:BZ$70)+SUM(CB$49:CB$70)+SUM(CD$49:CD$70)</f>
        <v>411.09689745919144</v>
      </c>
      <c r="N112" s="100">
        <f>SUM(CF$49:CF$70)+SUM(CH$49:CH$70)+SUM(CJ$49:CJ$70)+SUM(CL$49:CL$70)</f>
        <v>468.5565892494925</v>
      </c>
      <c r="O112" s="100">
        <f>SUM(CN$49:CN$70)+SUM(CP$49:CP$70)+SUM(CR$49:CR$70)+SUM(CT$49:CT$70)</f>
        <v>536.33109503841843</v>
      </c>
    </row>
    <row r="113" spans="2:15">
      <c r="C113" s="99" t="s">
        <v>130</v>
      </c>
      <c r="D113" s="100">
        <f>SUM(D$71:D$86)+SUM(F$71:F$86)+SUM(H$71:H$86)+SUM(J$71:J$86)</f>
        <v>295.67508010893346</v>
      </c>
      <c r="E113" s="100">
        <f>SUM(L$71:L$86)+SUM(N$71:N$86)+SUM(P$71:P$86)+SUM(R$71:R$86)</f>
        <v>262.11289458898318</v>
      </c>
      <c r="F113" s="100">
        <f>SUM(T$71:T$86)+SUM(V$71:V$86)+SUM(X$71:X$86)+SUM(Z$71:Z$86)</f>
        <v>321.11128610450362</v>
      </c>
      <c r="G113" s="100">
        <f>SUM(AB$71:AB$86)+SUM(AD$71:AD$86)+SUM(AF$71:AF$86)+SUM(AH$71:AH$86)</f>
        <v>295</v>
      </c>
      <c r="H113" s="100">
        <f>SUM(AJ$71:AJ$86)+SUM(AL$71:AL$86)+SUM(AN$71:AN$86)+SUM(AP$71:AP$86)</f>
        <v>244</v>
      </c>
      <c r="I113" s="100">
        <f>SUM(AR$71:AR$86)+SUM(AT$71:AT$86)+SUM(AV$71:AV$86)+SUM(AX$71:AX$86)</f>
        <v>344.31510165683329</v>
      </c>
      <c r="J113" s="100">
        <f>SUM(AZ$71:AZ$86)+SUM(BB$71:BB$86)+SUM(BD$71:BD$86)+SUM(BF$71:BF$86)</f>
        <v>286.79804278213828</v>
      </c>
      <c r="K113" s="100">
        <f>SUM(BH$71:BH$86)+SUM(BJ$71:BJ$86)+SUM(BL$71:BL$86)+SUM(BN$71:BN$86)</f>
        <v>254.7369299633086</v>
      </c>
      <c r="L113" s="100">
        <f>SUM(BP$71:BP$86)+SUM(BR$71:BR$86)+SUM(BT$71:BT$86)+SUM(BV$71:BV$86)</f>
        <v>344</v>
      </c>
      <c r="M113" s="100">
        <f>SUM(BX$71:BX$86)+SUM(BZ$71:BZ$86)+SUM(CB$71:CB$86)+SUM(CD$71:CD$86)</f>
        <v>362.01917717003568</v>
      </c>
      <c r="N113" s="100">
        <f>SUM(CF$71:CF$86)+SUM(CH$71:CH$86)+SUM(CJ$71:CJ$86)+SUM(CL$71:CL$86)</f>
        <v>287</v>
      </c>
      <c r="O113" s="100">
        <f>SUM(CN$71:CN$86)+SUM(CP$71:CP$86)+SUM(CR$71:CR$86)+SUM(CT$71:CT$86)</f>
        <v>299.66776291431358</v>
      </c>
    </row>
    <row r="114" spans="2:15">
      <c r="C114" s="99" t="s">
        <v>131</v>
      </c>
      <c r="D114" s="100">
        <f>SUM(D$87:D$94)+SUM(F$87:F$94)+SUM(H$87:H$94)+SUM(J$87:J$94)</f>
        <v>149.04822966317306</v>
      </c>
      <c r="E114" s="100">
        <f>SUM(L$87:L$94)+SUM(N$87:N$94)+SUM(P$87:P$94)+SUM(R$87:R$94)</f>
        <v>133.35796931454871</v>
      </c>
      <c r="F114" s="100">
        <f>SUM(T$87:T$94)+SUM(V$87:V$94)+SUM(X$87:X$94)+SUM(Z$87:Z$94)</f>
        <v>149.92174953540768</v>
      </c>
      <c r="G114" s="100">
        <f>SUM(AB$87:AB$94)+SUM(AD$87:AD$94)+SUM(AF$87:AF$94)+SUM(AH$87:AH$94)</f>
        <v>140.00566006399194</v>
      </c>
      <c r="H114" s="100">
        <f>SUM(AJ$87:AJ$94)+SUM(AL$87:AL$94)+SUM(AN$87:AN$94)+SUM(AP$87:AP$94)</f>
        <v>151.51957595443457</v>
      </c>
      <c r="I114" s="100">
        <f>SUM(AR$87:AR$94)+SUM(AT$87:AT$94)+SUM(AV$87:AV$94)+SUM(AX$87:AX$94)</f>
        <v>168.45669372164431</v>
      </c>
      <c r="J114" s="100">
        <f>SUM(AZ$87:AZ$94)+SUM(BB$87:BB$94)+SUM(BD$87:BD$94)+SUM(BF$87:BF$94)</f>
        <v>17.153255140182079</v>
      </c>
      <c r="K114" s="100">
        <f>SUM(BH$87:BH$94)+SUM(BJ$87:BJ$94)+SUM(BL$87:BL$94)+SUM(BN$87:BN$94)</f>
        <v>144.71411267140024</v>
      </c>
      <c r="L114" s="100">
        <f>SUM(BP$87:BP$94)+SUM(BR$87:BR$94)+SUM(BT$87:BT$94)+SUM(BV$87:BV$94)</f>
        <v>168.51995894198026</v>
      </c>
      <c r="M114" s="100">
        <f>SUM(BX$87:BX$94)+SUM(BZ$87:BZ$94)+SUM(CB$87:CB$94)+SUM(CD$87:CD$94)</f>
        <v>186.17274202816606</v>
      </c>
      <c r="N114" s="100">
        <f>SUM(CF$87:CF$94)+SUM(CH$87:CH$94)+SUM(CJ$87:CJ$94)+SUM(CL$87:CL$94)</f>
        <v>177.62347381479572</v>
      </c>
      <c r="O114" s="100">
        <f>SUM(CN$87:CN$94)+SUM(CP$87:CP$94)+SUM(CR$87:CR$94)+SUM(CT$87:CT$94)</f>
        <v>205.20896647253204</v>
      </c>
    </row>
    <row r="115" spans="2:15">
      <c r="C115" s="99" t="s">
        <v>132</v>
      </c>
      <c r="D115" s="100">
        <f>SUM(D$95:D$105)+SUM(F$95:F$105)+SUM(H$95:H$105)+SUM(J$95:J$105)</f>
        <v>290.26531161157607</v>
      </c>
      <c r="E115" s="100">
        <f>SUM(L$95:L$105)+SUM(N$95:N$105)+SUM(P$95:P$105)+SUM(R$95:R$105)</f>
        <v>381.8957049699182</v>
      </c>
      <c r="F115" s="100">
        <f>SUM(T$95:T$105)+SUM(V$95:V$105)+SUM(X$95:X$105)+SUM(Z$95:Z$105)</f>
        <v>345.30169290176877</v>
      </c>
      <c r="G115" s="100">
        <f>SUM(AB$95:AB$105)+SUM(AD$95:AD$105)+SUM(AF$95:AF$105)+SUM(AH$95:AH$105)</f>
        <v>365.51155735724444</v>
      </c>
      <c r="H115" s="100">
        <f>SUM(AJ$95:AJ$105)+SUM(AL$95:AL$105)+SUM(AN$95:AN$105)+SUM(AP$95:AP$105)</f>
        <v>383.15272823358436</v>
      </c>
      <c r="I115" s="100">
        <f>SUM(AR$95:AR$105)+SUM(AT$95:AT$105)+SUM(AV$95:AV$105)+SUM(AX$95:AX$105)</f>
        <v>367.30708838882771</v>
      </c>
      <c r="J115" s="100">
        <f>SUM(AZ$95:AZ$105)+SUM(BB$95:BB$105)+SUM(BD$95:BD$105)+SUM(BF$95:BF$105)</f>
        <v>38.287645394822391</v>
      </c>
      <c r="K115" s="100">
        <f>SUM(BH$95:BH$105)+SUM(BJ$95:BJ$105)+SUM(BL$95:BL$105)+SUM(BN$95:BN$105)</f>
        <v>354.38114226451097</v>
      </c>
      <c r="L115" s="100">
        <f>SUM(BP$95:BP$105)+SUM(BR$95:BR$105)+SUM(BT$95:BT$105)+SUM(BV$95:BV$105)</f>
        <v>377.0941353464583</v>
      </c>
      <c r="M115" s="100">
        <f>SUM(BX$95:BX$105)+SUM(BZ$95:BZ$105)+SUM(CB$95:CB$105)+SUM(CD$95:CD$105)</f>
        <v>310.27808354598005</v>
      </c>
      <c r="N115" s="100">
        <f>SUM(CF$95:CF$105)+SUM(CH$95:CH$105)+SUM(CJ$95:CJ$105)+SUM(CL$95:CL$105)</f>
        <v>365.74857413004537</v>
      </c>
      <c r="O115" s="100">
        <f>SUM(CN$95:CN$105)+SUM(CP$95:CP$105)+SUM(CR$95:CR$105)+SUM(CT$95:CT$105)</f>
        <v>426.48346841655876</v>
      </c>
    </row>
    <row r="116" spans="2:15">
      <c r="C116" s="99" t="s">
        <v>278</v>
      </c>
      <c r="D116" s="100">
        <f t="shared" ref="D116:O116" si="0">SUM(D$109:D$115)</f>
        <v>2583.3544810584012</v>
      </c>
      <c r="E116" s="100">
        <f t="shared" si="0"/>
        <v>2862.6102427402639</v>
      </c>
      <c r="F116" s="100">
        <f t="shared" si="0"/>
        <v>2722.4349065365805</v>
      </c>
      <c r="G116" s="100">
        <f t="shared" si="0"/>
        <v>2141.8199494775758</v>
      </c>
      <c r="H116" s="100">
        <f t="shared" si="0"/>
        <v>2724.3740177195737</v>
      </c>
      <c r="I116" s="100">
        <f t="shared" si="0"/>
        <v>1998.6999001944318</v>
      </c>
      <c r="J116" s="100">
        <f t="shared" si="0"/>
        <v>2199.9406327233764</v>
      </c>
      <c r="K116" s="100">
        <f t="shared" si="0"/>
        <v>2464.0308005093261</v>
      </c>
      <c r="L116" s="100">
        <f t="shared" si="0"/>
        <v>2766.8318498410845</v>
      </c>
      <c r="M116" s="100">
        <f t="shared" si="0"/>
        <v>2507.8044674586117</v>
      </c>
      <c r="N116" s="100">
        <f t="shared" si="0"/>
        <v>2764.6798830337311</v>
      </c>
      <c r="O116" s="100">
        <f t="shared" si="0"/>
        <v>3053.4389879796481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3085600</v>
      </c>
      <c r="E120" s="100">
        <f>E109*pricing!E24*2000</f>
        <v>3024799.9999999995</v>
      </c>
      <c r="F120" s="100">
        <f>F109*pricing!F24*2000</f>
        <v>2581795.0154002076</v>
      </c>
      <c r="G120" s="100">
        <f>G109*pricing!G24*2000</f>
        <v>2017706.4508136525</v>
      </c>
      <c r="H120" s="100">
        <f>H109*pricing!H24*2000</f>
        <v>2981027.6248335638</v>
      </c>
      <c r="I120" s="100">
        <f>I109*pricing!I24*2000</f>
        <v>2023104.2354378991</v>
      </c>
      <c r="J120" s="100">
        <f>J109*pricing!J24*2000</f>
        <v>3100799.9999999995</v>
      </c>
      <c r="K120" s="100">
        <f>K109*pricing!K24*2000</f>
        <v>2359204.4205213673</v>
      </c>
      <c r="L120" s="100">
        <f>L109*pricing!L24*2000</f>
        <v>3837214.4305343777</v>
      </c>
      <c r="M120" s="100">
        <f>M109*pricing!M24*2000</f>
        <v>2158117.0248577432</v>
      </c>
      <c r="N120" s="100">
        <f>N109*pricing!N24*2000</f>
        <v>2708233.180036522</v>
      </c>
      <c r="O120" s="100">
        <f>O109*pricing!O24*2000</f>
        <v>3851430.533816101</v>
      </c>
    </row>
    <row r="121" spans="2:15">
      <c r="C121" s="99" t="s">
        <v>127</v>
      </c>
      <c r="D121" s="100">
        <f>D110*pricing!D25*2000</f>
        <v>5601200</v>
      </c>
      <c r="E121" s="100">
        <f>E110*pricing!E25*2000</f>
        <v>6589200</v>
      </c>
      <c r="F121" s="100">
        <f>F110*pricing!F25*2000</f>
        <v>5128300.0978168342</v>
      </c>
      <c r="G121" s="100">
        <f>G110*pricing!G25*2000</f>
        <v>3974259.1873422167</v>
      </c>
      <c r="H121" s="100">
        <f>H110*pricing!H25*2000</f>
        <v>6422606.0892101191</v>
      </c>
      <c r="I121" s="100">
        <f>I110*pricing!I25*2000</f>
        <v>3332967.2769722193</v>
      </c>
      <c r="J121" s="100">
        <f>J110*pricing!J25*2000</f>
        <v>5517599.9999999991</v>
      </c>
      <c r="K121" s="100">
        <f>K110*pricing!K25*2000</f>
        <v>5539427.0543817496</v>
      </c>
      <c r="L121" s="100">
        <f>L110*pricing!L25*2000</f>
        <v>5234112.8793835733</v>
      </c>
      <c r="M121" s="100">
        <f>M110*pricing!M25*2000</f>
        <v>5041642.1068416322</v>
      </c>
      <c r="N121" s="100">
        <f>N110*pricing!N25*2000</f>
        <v>6209223.5613938579</v>
      </c>
      <c r="O121" s="100">
        <f>O110*pricing!O25*2000</f>
        <v>5771710.7776481155</v>
      </c>
    </row>
    <row r="122" spans="2:15">
      <c r="C122" s="99" t="s">
        <v>128</v>
      </c>
      <c r="D122" s="100">
        <f>D111*pricing!D26*2000</f>
        <v>2044399.9999999998</v>
      </c>
      <c r="E122" s="100">
        <f>E111*pricing!E26*2000</f>
        <v>2599200</v>
      </c>
      <c r="F122" s="100">
        <f>F111*pricing!F26*2000</f>
        <v>2582842.8581824037</v>
      </c>
      <c r="G122" s="100">
        <f>G111*pricing!G26*2000</f>
        <v>1708379.0435223517</v>
      </c>
      <c r="H122" s="100">
        <f>H111*pricing!H26*2000</f>
        <v>2208932.1521695158</v>
      </c>
      <c r="I122" s="100">
        <f>I111*pricing!I26*2000</f>
        <v>1078842.8920155049</v>
      </c>
      <c r="J122" s="100">
        <f>J111*pricing!J26*2000</f>
        <v>2348400</v>
      </c>
      <c r="K122" s="100">
        <f>K111*pricing!K26*2000</f>
        <v>2449122.3797953366</v>
      </c>
      <c r="L122" s="100">
        <f>L111*pricing!L26*2000</f>
        <v>2131082.8298731246</v>
      </c>
      <c r="M122" s="100">
        <f>M111*pricing!M26*2000</f>
        <v>2210846.3794404361</v>
      </c>
      <c r="N122" s="100">
        <f>N111*pricing!N26*2000</f>
        <v>2222252.7269490431</v>
      </c>
      <c r="O122" s="100">
        <f>O111*pricing!O26*2000</f>
        <v>2428541.171583252</v>
      </c>
    </row>
    <row r="123" spans="2:15">
      <c r="C123" s="99" t="s">
        <v>129</v>
      </c>
      <c r="D123" s="100">
        <f>D112*pricing!D27*2000</f>
        <v>3316380.5335278618</v>
      </c>
      <c r="E123" s="100">
        <f>E112*pricing!E27*2000</f>
        <v>3634651.9213877823</v>
      </c>
      <c r="F123" s="100">
        <f>F112*pricing!F27*2000</f>
        <v>4193423.3813617984</v>
      </c>
      <c r="G123" s="100">
        <f>G112*pricing!G27*2000</f>
        <v>2493556.0819499595</v>
      </c>
      <c r="H123" s="100">
        <f>H112*pricing!H27*2000</f>
        <v>3174767.1566266175</v>
      </c>
      <c r="I123" s="100">
        <f>I112*pricing!I27*2000</f>
        <v>2066605.3204205369</v>
      </c>
      <c r="J123" s="100">
        <f>J112*pricing!J27*2000</f>
        <v>3151732.839487378</v>
      </c>
      <c r="K123" s="100">
        <f>K112*pricing!K27*2000</f>
        <v>2649755.6239383565</v>
      </c>
      <c r="L123" s="100">
        <f>L112*pricing!L27*2000</f>
        <v>3064444.802409031</v>
      </c>
      <c r="M123" s="100">
        <f>M112*pricing!M27*2000</f>
        <v>3124336.4206898548</v>
      </c>
      <c r="N123" s="100">
        <f>N112*pricing!N27*2000</f>
        <v>3561030.0782961431</v>
      </c>
      <c r="O123" s="100">
        <f>O112*pricing!O27*2000</f>
        <v>4076116.32229198</v>
      </c>
    </row>
    <row r="124" spans="2:15">
      <c r="C124" s="99" t="s">
        <v>130</v>
      </c>
      <c r="D124" s="100">
        <f>D113*pricing!D28*2000</f>
        <v>2247130.6088278946</v>
      </c>
      <c r="E124" s="100">
        <f>E113*pricing!E28*2000</f>
        <v>1992057.998876272</v>
      </c>
      <c r="F124" s="100">
        <f>F113*pricing!F28*2000</f>
        <v>2440445.7743942277</v>
      </c>
      <c r="G124" s="100">
        <f>G113*pricing!G28*2000</f>
        <v>2242000</v>
      </c>
      <c r="H124" s="100">
        <f>H113*pricing!H28*2000</f>
        <v>1854399.9999999998</v>
      </c>
      <c r="I124" s="100">
        <f>I113*pricing!I28*2000</f>
        <v>2616794.7725919331</v>
      </c>
      <c r="J124" s="100">
        <f>J113*pricing!J28*2000</f>
        <v>2179665.1251442507</v>
      </c>
      <c r="K124" s="100">
        <f>K113*pricing!K28*2000</f>
        <v>1936000.6677211451</v>
      </c>
      <c r="L124" s="100">
        <f>L113*pricing!L28*2000</f>
        <v>2614400</v>
      </c>
      <c r="M124" s="100">
        <f>M113*pricing!M28*2000</f>
        <v>2751345.7464922708</v>
      </c>
      <c r="N124" s="100">
        <f>N113*pricing!N28*2000</f>
        <v>2181200</v>
      </c>
      <c r="O124" s="100">
        <f>O113*pricing!O28*2000</f>
        <v>2277474.9981487831</v>
      </c>
    </row>
    <row r="125" spans="2:15">
      <c r="C125" s="99" t="s">
        <v>131</v>
      </c>
      <c r="D125" s="100">
        <f>D114*pricing!D29*2000</f>
        <v>1132766.545440115</v>
      </c>
      <c r="E125" s="100">
        <f>E114*pricing!E29*2000</f>
        <v>1013520.5667905702</v>
      </c>
      <c r="F125" s="100">
        <f>F114*pricing!F29*2000</f>
        <v>1139405.2964690984</v>
      </c>
      <c r="G125" s="100">
        <f>G114*pricing!G29*2000</f>
        <v>1064043.0164863388</v>
      </c>
      <c r="H125" s="100">
        <f>H114*pricing!H29*2000</f>
        <v>1151548.7772537025</v>
      </c>
      <c r="I125" s="100">
        <f>I114*pricing!I29*2000</f>
        <v>1280270.8722844969</v>
      </c>
      <c r="J125" s="100">
        <f>J114*pricing!J29*2000</f>
        <v>130364.73906538379</v>
      </c>
      <c r="K125" s="100">
        <f>K114*pricing!K29*2000</f>
        <v>1099827.2563026419</v>
      </c>
      <c r="L125" s="100">
        <f>L114*pricing!L29*2000</f>
        <v>1280751.6879590498</v>
      </c>
      <c r="M125" s="100">
        <f>M114*pricing!M29*2000</f>
        <v>1414912.839414062</v>
      </c>
      <c r="N125" s="100">
        <f>N114*pricing!N29*2000</f>
        <v>1349938.4009924475</v>
      </c>
      <c r="O125" s="100">
        <f>O114*pricing!O29*2000</f>
        <v>1559588.1451912434</v>
      </c>
    </row>
    <row r="126" spans="2:15">
      <c r="C126" s="99" t="s">
        <v>132</v>
      </c>
      <c r="D126" s="100">
        <f>D115*pricing!D30*2000</f>
        <v>2206016.3682479779</v>
      </c>
      <c r="E126" s="100">
        <f>E115*pricing!E30*2000</f>
        <v>2902407.357771378</v>
      </c>
      <c r="F126" s="100">
        <f>F115*pricing!F30*2000</f>
        <v>2624292.8660534425</v>
      </c>
      <c r="G126" s="100">
        <f>G115*pricing!G30*2000</f>
        <v>2777887.8359150575</v>
      </c>
      <c r="H126" s="100">
        <f>H115*pricing!H30*2000</f>
        <v>2911960.7345752409</v>
      </c>
      <c r="I126" s="100">
        <f>I115*pricing!I30*2000</f>
        <v>2791533.8717550905</v>
      </c>
      <c r="J126" s="100">
        <f>J115*pricing!J30*2000</f>
        <v>290986.10500065016</v>
      </c>
      <c r="K126" s="100">
        <f>K115*pricing!K30*2000</f>
        <v>2693296.6812102832</v>
      </c>
      <c r="L126" s="100">
        <f>L115*pricing!L30*2000</f>
        <v>2865915.4286330831</v>
      </c>
      <c r="M126" s="100">
        <f>M115*pricing!M30*2000</f>
        <v>2358113.4349494483</v>
      </c>
      <c r="N126" s="100">
        <f>N115*pricing!N30*2000</f>
        <v>2779689.1633883449</v>
      </c>
      <c r="O126" s="100">
        <f>O115*pricing!O30*2000</f>
        <v>3241274.3599658464</v>
      </c>
    </row>
    <row r="127" spans="2:15">
      <c r="C127" s="99" t="s">
        <v>278</v>
      </c>
      <c r="D127" s="100">
        <f t="shared" ref="D127:O127" si="1">SUM(D$120:D$126)</f>
        <v>19633494.056043848</v>
      </c>
      <c r="E127" s="100">
        <f t="shared" si="1"/>
        <v>21755837.844826002</v>
      </c>
      <c r="F127" s="100">
        <f t="shared" si="1"/>
        <v>20690505.289678015</v>
      </c>
      <c r="G127" s="100">
        <f t="shared" si="1"/>
        <v>16277831.616029577</v>
      </c>
      <c r="H127" s="100">
        <f t="shared" si="1"/>
        <v>20705242.534668762</v>
      </c>
      <c r="I127" s="100">
        <f t="shared" si="1"/>
        <v>15190119.241477679</v>
      </c>
      <c r="J127" s="100">
        <f t="shared" si="1"/>
        <v>16719548.808697661</v>
      </c>
      <c r="K127" s="100">
        <f t="shared" si="1"/>
        <v>18726634.08387088</v>
      </c>
      <c r="L127" s="100">
        <f t="shared" si="1"/>
        <v>21027922.058792237</v>
      </c>
      <c r="M127" s="100">
        <f t="shared" si="1"/>
        <v>19059313.952685446</v>
      </c>
      <c r="N127" s="100">
        <f t="shared" si="1"/>
        <v>21011567.111056361</v>
      </c>
      <c r="O127" s="100">
        <f t="shared" si="1"/>
        <v>23206136.308645323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206114.39999999997</v>
      </c>
      <c r="E131" s="106">
        <f>SUM(M$6:M$19)+SUM(O$6:O$19)+SUM(Q$6:Q$19)+SUM(S$6:S$19)</f>
        <v>200123.99999999997</v>
      </c>
      <c r="F131" s="106">
        <f>SUM(U$6:U$19)+SUM(W$6:W$19)+SUM(Y$6:Y$19)+SUM(AA$6:AA$19)</f>
        <v>171879.79533962271</v>
      </c>
      <c r="G131" s="106">
        <f>SUM(AC$6:AC$19)+SUM(AE$6:AE$19)+SUM(AG$6:AG$19)+SUM(AI$6:AI$19)</f>
        <v>133998.84732933383</v>
      </c>
      <c r="H131" s="106">
        <f>SUM(AK$6:AK$19)+SUM(AM$6:AM$19)+SUM(AO$6:AO$19)+SUM(AQ$6:AQ$19)</f>
        <v>198835.14630947667</v>
      </c>
      <c r="I131" s="106">
        <f>SUM(AS$6:AS$19)+SUM(AU$6:AU$19)+SUM(AW$6:AW$19)+SUM(AY$6:AY$19)</f>
        <v>134882.66813914155</v>
      </c>
      <c r="J131" s="106">
        <f>SUM(BA$6:BA$19)+SUM(BC$6:BC$19)+SUM(BE$6:BE$19)+SUM(BG$6:BG$19)</f>
        <v>206407.19999999998</v>
      </c>
      <c r="K131" s="106">
        <f>SUM(BI$6:BI$19)+SUM(BK$6:BK$19)+SUM(BM$6:BM$19)+SUM(BO$6:BO$19)</f>
        <v>157134.18165731043</v>
      </c>
      <c r="L131" s="106">
        <f>SUM(BQ$6:BQ$19)+SUM(BS$6:BS$19)+SUM(BU$6:BU$19)+SUM(BW$6:BW$19)</f>
        <v>254480.08382348911</v>
      </c>
      <c r="M131" s="106">
        <f>SUM(BY$6:BY$19)+SUM(CA$6:CA$19)+SUM(CC$6:CC$19)+SUM(CE$6:CE$19)</f>
        <v>143421.56167358381</v>
      </c>
      <c r="N131" s="106">
        <f>SUM(CG$6:CG$19)+SUM(CI$6:CI$19)+SUM(CK$6:CK$19)+SUM(CM$6:CM$19)</f>
        <v>179992.17450380619</v>
      </c>
      <c r="O131" s="106">
        <f>SUM(CO$6:CO$19)+SUM(CQ$6:CQ$19)+SUM(CS$6:CS$19)+SUM(CU$6:CU$19)</f>
        <v>255155.2800734468</v>
      </c>
    </row>
    <row r="132" spans="2:15">
      <c r="C132" s="105" t="s">
        <v>127</v>
      </c>
      <c r="D132" s="106">
        <f>SUM(E$20:E$36)+SUM(G$20:G$36)+SUM(I$20:I$36)+SUM(K$20:K$36)</f>
        <v>313876.80000000005</v>
      </c>
      <c r="E132" s="106">
        <f>SUM(M$20:M$36)+SUM(O$20:O$36)+SUM(Q$20:Q$36)+SUM(S$20:S$36)</f>
        <v>372970.8</v>
      </c>
      <c r="F132" s="106">
        <f>SUM(U$20:U$36)+SUM(W$20:W$36)+SUM(Y$20:Y$36)+SUM(AA$20:AA$36)</f>
        <v>287408.54864860605</v>
      </c>
      <c r="G132" s="106">
        <f>SUM(AC$20:AC$36)+SUM(AE$20:AE$36)+SUM(AG$20:AG$36)+SUM(AI$20:AI$36)</f>
        <v>224690.92017211913</v>
      </c>
      <c r="H132" s="106">
        <f>SUM(AK$20:AK$36)+SUM(AM$20:AM$36)+SUM(AO$20:AO$36)+SUM(AQ$20:AQ$36)</f>
        <v>359417.55824208161</v>
      </c>
      <c r="I132" s="106">
        <f>SUM(AS$20:AS$36)+SUM(AU$20:AU$36)+SUM(AW$20:AW$36)+SUM(AY$20:AY$36)</f>
        <v>188295.55533446727</v>
      </c>
      <c r="J132" s="106">
        <f>SUM(BA$20:BA$36)+SUM(BC$20:BC$36)+SUM(BE$20:BE$36)+SUM(BG$20:BG$36)</f>
        <v>311131.2</v>
      </c>
      <c r="K132" s="106">
        <f>SUM(BI$20:BI$36)+SUM(BK$20:BK$36)+SUM(BM$20:BM$36)+SUM(BO$20:BO$36)</f>
        <v>312460.26149222895</v>
      </c>
      <c r="L132" s="106">
        <f>SUM(BQ$20:BQ$36)+SUM(BS$20:BS$36)+SUM(BU$20:BU$36)+SUM(BW$20:BW$36)</f>
        <v>294410.7643202761</v>
      </c>
      <c r="M132" s="106">
        <f>SUM(BY$20:BY$36)+SUM(CA$20:CA$36)+SUM(CC$20:CC$36)+SUM(CE$20:CE$36)</f>
        <v>283199.82609646436</v>
      </c>
      <c r="N132" s="106">
        <f>SUM(CG$20:CG$36)+SUM(CI$20:CI$36)+SUM(CK$20:CK$36)+SUM(CM$20:CM$36)</f>
        <v>351135.58062887623</v>
      </c>
      <c r="O132" s="106">
        <f>SUM(CO$20:CO$36)+SUM(CQ$20:CQ$36)+SUM(CS$20:CS$36)+SUM(CU$20:CU$36)</f>
        <v>325934.11595499673</v>
      </c>
    </row>
    <row r="133" spans="2:15">
      <c r="C133" s="105" t="s">
        <v>128</v>
      </c>
      <c r="D133" s="106">
        <f>SUM(E$37:E$48)+SUM(G$37:G$48)+SUM(I$37:I$48)+SUM(K$37:K$48)</f>
        <v>282184.8</v>
      </c>
      <c r="E133" s="106">
        <f>SUM(M$37:M$48)+SUM(O$37:O$48)+SUM(Q$37:Q$48)+SUM(S$37:S$48)</f>
        <v>359760</v>
      </c>
      <c r="F133" s="106">
        <f>SUM(U$37:U$48)+SUM(W$37:W$48)+SUM(Y$37:Y$48)+SUM(AA$37:AA$48)</f>
        <v>356549.29390200082</v>
      </c>
      <c r="G133" s="106">
        <f>SUM(AC$37:AC$48)+SUM(AE$37:AE$48)+SUM(AG$37:AG$48)+SUM(AI$37:AI$48)</f>
        <v>236148.38071323271</v>
      </c>
      <c r="H133" s="106">
        <f>SUM(AK$37:AK$48)+SUM(AM$37:AM$48)+SUM(AO$37:AO$48)+SUM(AQ$37:AQ$48)</f>
        <v>305170.36816712929</v>
      </c>
      <c r="I133" s="106">
        <f>SUM(AS$37:AS$48)+SUM(AU$37:AU$48)+SUM(AW$37:AW$48)+SUM(AY$37:AY$48)</f>
        <v>148504.26768450867</v>
      </c>
      <c r="J133" s="106">
        <f>SUM(BA$37:BA$48)+SUM(BC$37:BC$48)+SUM(BE$37:BE$48)+SUM(BG$37:BG$48)</f>
        <v>324802.8</v>
      </c>
      <c r="K133" s="106">
        <f>SUM(BI$37:BI$48)+SUM(BK$37:BK$48)+SUM(BM$37:BM$48)+SUM(BO$37:BO$48)</f>
        <v>340011.03500748996</v>
      </c>
      <c r="L133" s="106">
        <f>SUM(BQ$37:BQ$48)+SUM(BS$37:BS$48)+SUM(BU$37:BU$48)+SUM(BW$37:BW$48)</f>
        <v>295567.06783202395</v>
      </c>
      <c r="M133" s="106">
        <f>SUM(BY$37:BY$48)+SUM(CA$37:CA$48)+SUM(CC$37:CC$48)+SUM(CE$37:CE$48)</f>
        <v>304858.48242479633</v>
      </c>
      <c r="N133" s="106">
        <f>SUM(CG$37:CG$48)+SUM(CI$37:CI$48)+SUM(CK$37:CK$48)+SUM(CM$37:CM$48)</f>
        <v>306185.96571146499</v>
      </c>
      <c r="O133" s="106">
        <f>SUM(CO$37:CO$48)+SUM(CQ$37:CQ$48)+SUM(CS$37:CS$48)+SUM(CU$37:CU$48)</f>
        <v>335963.94572314434</v>
      </c>
    </row>
    <row r="134" spans="2:15">
      <c r="C134" s="105" t="s">
        <v>129</v>
      </c>
      <c r="D134" s="106">
        <f>SUM(E$49:E$70)+SUM(G$49:G$70)+SUM(I$49:I$70)+SUM(K$49:K$70)</f>
        <v>369517.0717978584</v>
      </c>
      <c r="E134" s="106">
        <f>SUM(M$49:M$70)+SUM(O$49:O$70)+SUM(Q$49:Q$70)+SUM(S$49:S$70)</f>
        <v>404800.77085731894</v>
      </c>
      <c r="F134" s="106">
        <f>SUM(U$49:U$70)+SUM(W$49:W$70)+SUM(Y$49:Y$70)+SUM(AA$49:AA$70)</f>
        <v>467824.76752259291</v>
      </c>
      <c r="G134" s="106">
        <f>SUM(AC$49:AC$70)+SUM(AE$49:AE$70)+SUM(AG$49:AG$70)+SUM(AI$49:AI$70)</f>
        <v>283647.25675454788</v>
      </c>
      <c r="H134" s="106">
        <f>SUM(AK$49:AK$70)+SUM(AM$49:AM$70)+SUM(AO$49:AO$70)+SUM(AQ$49:AQ$70)</f>
        <v>351836.40085316065</v>
      </c>
      <c r="I134" s="106">
        <f>SUM(AS$49:AS$70)+SUM(AU$49:AU$70)+SUM(AW$49:AW$70)+SUM(AY$49:AY$70)</f>
        <v>240763.8601257226</v>
      </c>
      <c r="J134" s="106">
        <f>SUM(BA$49:BA$70)+SUM(BC$49:BC$70)+SUM(BE$49:BE$70)+SUM(BG$49:BG$70)</f>
        <v>331177.32068893005</v>
      </c>
      <c r="K134" s="106">
        <f>SUM(BI$49:BI$70)+SUM(BK$49:BK$70)+SUM(BM$49:BM$70)+SUM(BO$49:BO$70)</f>
        <v>297064.02532662754</v>
      </c>
      <c r="L134" s="106">
        <f>SUM(BQ$49:BQ$70)+SUM(BS$49:BS$70)+SUM(BU$49:BU$70)+SUM(BW$49:BW$70)</f>
        <v>340162.58217488759</v>
      </c>
      <c r="M134" s="106">
        <f>SUM(BY$49:BY$70)+SUM(CA$49:CA$70)+SUM(CC$49:CC$70)+SUM(CE$49:CE$70)</f>
        <v>352778.57314566028</v>
      </c>
      <c r="N134" s="106">
        <f>SUM(CG$49:CG$70)+SUM(CI$49:CI$70)+SUM(CK$49:CK$70)+SUM(CM$49:CM$70)</f>
        <v>396968.80191297806</v>
      </c>
      <c r="O134" s="106">
        <f>SUM(CO$49:CO$70)+SUM(CQ$49:CQ$70)+SUM(CS$49:CS$70)+SUM(CU$49:CU$70)</f>
        <v>454738.14128755691</v>
      </c>
    </row>
    <row r="135" spans="2:15">
      <c r="C135" s="105" t="s">
        <v>130</v>
      </c>
      <c r="D135" s="106">
        <f>SUM(E$71:E$86)+SUM(G$71:G$86)+SUM(I$71:I$86)+SUM(K$71:K$86)</f>
        <v>165480.88638870165</v>
      </c>
      <c r="E135" s="106">
        <f>SUM(M$71:M$86)+SUM(O$71:O$86)+SUM(Q$71:Q$86)+SUM(S$71:S$86)</f>
        <v>148026.71853302524</v>
      </c>
      <c r="F135" s="106">
        <f>SUM(U$71:U$86)+SUM(W$71:W$86)+SUM(Y$71:Y$86)+SUM(AA$71:AA$86)</f>
        <v>179594.87356672483</v>
      </c>
      <c r="G135" s="106">
        <f>SUM(AC$71:AC$86)+SUM(AE$71:AE$86)+SUM(AG$71:AG$86)+SUM(AI$71:AI$86)</f>
        <v>165476.4</v>
      </c>
      <c r="H135" s="106">
        <f>SUM(AK$71:AK$86)+SUM(AM$71:AM$86)+SUM(AO$71:AO$86)+SUM(AQ$71:AQ$86)</f>
        <v>137058</v>
      </c>
      <c r="I135" s="106">
        <f>SUM(AS$71:AS$86)+SUM(AU$71:AU$86)+SUM(AW$71:AW$86)+SUM(AY$71:AY$86)</f>
        <v>192706.4865581597</v>
      </c>
      <c r="J135" s="106">
        <f>SUM(BA$71:BA$86)+SUM(BC$71:BC$86)+SUM(BE$71:BE$86)+SUM(BG$71:BG$86)</f>
        <v>161440.61381937098</v>
      </c>
      <c r="K135" s="106">
        <f>SUM(BI$71:BI$86)+SUM(BK$71:BK$86)+SUM(BM$71:BM$86)+SUM(BO$71:BO$86)</f>
        <v>140808.28378686059</v>
      </c>
      <c r="L135" s="106">
        <f>SUM(BQ$71:BQ$86)+SUM(BS$71:BS$86)+SUM(BU$71:BU$86)+SUM(BW$71:BW$86)</f>
        <v>192177.6</v>
      </c>
      <c r="M135" s="106">
        <f>SUM(BY$71:BY$86)+SUM(CA$71:CA$86)+SUM(CC$71:CC$86)+SUM(CE$71:CE$86)</f>
        <v>205436.30086087988</v>
      </c>
      <c r="N135" s="106">
        <f>SUM(CG$71:CG$86)+SUM(CI$71:CI$86)+SUM(CK$71:CK$86)+SUM(CM$71:CM$86)</f>
        <v>160618.79999999999</v>
      </c>
      <c r="O135" s="106">
        <f>SUM(CO$71:CO$86)+SUM(CQ$71:CQ$86)+SUM(CS$71:CS$86)+SUM(CU$71:CU$86)</f>
        <v>168627.81712943182</v>
      </c>
    </row>
    <row r="136" spans="2:15">
      <c r="C136" s="105" t="s">
        <v>131</v>
      </c>
      <c r="D136" s="106">
        <f>SUM(E$87:E$94)+SUM(G$87:G$94)+SUM(I$87:I$94)+SUM(K$87:K$94)</f>
        <v>149761.40259477409</v>
      </c>
      <c r="E136" s="106">
        <f>SUM(M$87:M$94)+SUM(O$87:O$94)+SUM(Q$87:Q$94)+SUM(S$87:S$94)</f>
        <v>134075.95474743575</v>
      </c>
      <c r="F136" s="106">
        <f>SUM(U$87:U$94)+SUM(W$87:W$94)+SUM(Y$87:Y$94)+SUM(AA$87:AA$94)</f>
        <v>150231.87093758822</v>
      </c>
      <c r="G136" s="106">
        <f>SUM(AC$87:AC$94)+SUM(AE$87:AE$94)+SUM(AG$87:AG$94)+SUM(AI$87:AI$94)</f>
        <v>140735.47220779111</v>
      </c>
      <c r="H136" s="106">
        <f>SUM(AK$87:AK$94)+SUM(AM$87:AM$94)+SUM(AO$87:AO$94)+SUM(AQ$87:AQ$94)</f>
        <v>152087.80493755286</v>
      </c>
      <c r="I136" s="106">
        <f>SUM(AS$87:AS$94)+SUM(AU$87:AU$94)+SUM(AW$87:AW$94)+SUM(AY$87:AY$94)</f>
        <v>169037.5283675596</v>
      </c>
      <c r="J136" s="106">
        <f>SUM(BA$87:BA$94)+SUM(BC$87:BC$94)+SUM(BE$87:BE$94)+SUM(BG$87:BG$94)</f>
        <v>17265.900584788498</v>
      </c>
      <c r="K136" s="106">
        <f>SUM(BI$87:BI$94)+SUM(BK$87:BK$94)+SUM(BM$87:BM$94)+SUM(BO$87:BO$94)</f>
        <v>144953.3035159593</v>
      </c>
      <c r="L136" s="106">
        <f>SUM(BQ$87:BQ$94)+SUM(BS$87:BS$94)+SUM(BU$87:BU$94)+SUM(BW$87:BW$94)</f>
        <v>169575.61565538723</v>
      </c>
      <c r="M136" s="106">
        <f>SUM(BY$87:BY$94)+SUM(CA$87:CA$94)+SUM(CC$87:CC$94)+SUM(CE$87:CE$94)</f>
        <v>186570.16828910357</v>
      </c>
      <c r="N136" s="106">
        <f>SUM(CG$87:CG$94)+SUM(CI$87:CI$94)+SUM(CK$87:CK$94)+SUM(CM$87:CM$94)</f>
        <v>178014.07007881068</v>
      </c>
      <c r="O136" s="106">
        <f>SUM(CO$87:CO$94)+SUM(CQ$87:CQ$94)+SUM(CS$87:CS$94)+SUM(CU$87:CU$94)</f>
        <v>205701.20850386756</v>
      </c>
    </row>
    <row r="137" spans="2:15">
      <c r="C137" s="105" t="s">
        <v>132</v>
      </c>
      <c r="D137" s="106">
        <f>SUM(E$95:E$105)+SUM(G$95:G$105)+SUM(I$95:I$105)+SUM(K$95:K$105)</f>
        <v>235347.73777462813</v>
      </c>
      <c r="E137" s="106">
        <f>SUM(M$95:M$105)+SUM(O$95:O$105)+SUM(Q$95:Q$105)+SUM(S$95:S$105)</f>
        <v>309714.91933057457</v>
      </c>
      <c r="F137" s="106">
        <f>SUM(U$95:U$105)+SUM(W$95:W$105)+SUM(Y$95:Y$105)+SUM(AA$95:AA$105)</f>
        <v>272840.03637848393</v>
      </c>
      <c r="G137" s="106">
        <f>SUM(AC$95:AC$105)+SUM(AE$95:AE$105)+SUM(AG$95:AG$105)+SUM(AI$95:AI$105)</f>
        <v>301293.18271094526</v>
      </c>
      <c r="H137" s="106">
        <f>SUM(AK$95:AK$105)+SUM(AM$95:AM$105)+SUM(AO$95:AO$105)+SUM(AQ$95:AQ$105)</f>
        <v>309614.24478795088</v>
      </c>
      <c r="I137" s="106">
        <f>SUM(AS$95:AS$105)+SUM(AU$95:AU$105)+SUM(AW$95:AW$105)+SUM(AY$95:AY$105)</f>
        <v>300400.85814954981</v>
      </c>
      <c r="J137" s="106">
        <f>SUM(BA$95:BA$105)+SUM(BC$95:BC$105)+SUM(BE$95:BE$105)+SUM(BG$95:BG$105)</f>
        <v>29255.144317248243</v>
      </c>
      <c r="K137" s="106">
        <f>SUM(BI$95:BI$105)+SUM(BK$95:BK$105)+SUM(BM$95:BM$105)+SUM(BO$95:BO$105)</f>
        <v>279885.14647450269</v>
      </c>
      <c r="L137" s="106">
        <f>SUM(BQ$95:BQ$105)+SUM(BS$95:BS$105)+SUM(BU$95:BU$105)+SUM(BW$95:BW$105)</f>
        <v>299109.67025043163</v>
      </c>
      <c r="M137" s="106">
        <f>SUM(BY$95:BY$105)+SUM(CA$95:CA$105)+SUM(CC$95:CC$105)+SUM(CE$95:CE$105)</f>
        <v>248326.78175321867</v>
      </c>
      <c r="N137" s="106">
        <f>SUM(CG$95:CG$105)+SUM(CI$95:CI$105)+SUM(CK$95:CK$105)+SUM(CM$95:CM$105)</f>
        <v>291163.50398028205</v>
      </c>
      <c r="O137" s="106">
        <f>SUM(CO$95:CO$105)+SUM(CQ$95:CQ$105)+SUM(CS$95:CS$105)+SUM(CU$95:CU$105)</f>
        <v>347486.82877848635</v>
      </c>
    </row>
    <row r="138" spans="2:15">
      <c r="C138" s="105" t="s">
        <v>278</v>
      </c>
      <c r="D138" s="100">
        <f t="shared" ref="D138:O138" si="2">SUM(D$131:D$137)</f>
        <v>1722283.0985559623</v>
      </c>
      <c r="E138" s="100">
        <f t="shared" si="2"/>
        <v>1929473.1634683544</v>
      </c>
      <c r="F138" s="100">
        <f t="shared" si="2"/>
        <v>1886329.1862956195</v>
      </c>
      <c r="G138" s="100">
        <f t="shared" si="2"/>
        <v>1485990.4598879698</v>
      </c>
      <c r="H138" s="100">
        <f t="shared" si="2"/>
        <v>1814019.5232973518</v>
      </c>
      <c r="I138" s="100">
        <f t="shared" si="2"/>
        <v>1374591.2243591091</v>
      </c>
      <c r="J138" s="100">
        <f t="shared" si="2"/>
        <v>1381480.1794103377</v>
      </c>
      <c r="K138" s="100">
        <f t="shared" si="2"/>
        <v>1672316.2372609794</v>
      </c>
      <c r="L138" s="100">
        <f t="shared" si="2"/>
        <v>1845483.3840564957</v>
      </c>
      <c r="M138" s="100">
        <f t="shared" si="2"/>
        <v>1724591.694243707</v>
      </c>
      <c r="N138" s="100">
        <f t="shared" si="2"/>
        <v>1864078.8968162183</v>
      </c>
      <c r="O138" s="100">
        <f t="shared" si="2"/>
        <v>2093607.3374509304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4.7186295054729808</v>
      </c>
      <c r="E6" s="100">
        <v>2729.255305965572</v>
      </c>
      <c r="F6" s="100">
        <v>1.4773648851908607</v>
      </c>
      <c r="G6" s="100">
        <v>854.50784959439386</v>
      </c>
      <c r="H6" s="100">
        <v>7</v>
      </c>
      <c r="I6" s="100">
        <v>4048.7999999999997</v>
      </c>
      <c r="J6" s="100">
        <v>6</v>
      </c>
      <c r="K6" s="100">
        <v>3470.3999999999996</v>
      </c>
      <c r="L6" s="100">
        <v>0.91647227299216472</v>
      </c>
      <c r="M6" s="100">
        <v>530.08756269866808</v>
      </c>
      <c r="N6" s="100">
        <v>7</v>
      </c>
      <c r="O6" s="100">
        <v>4048.7999999999997</v>
      </c>
      <c r="P6" s="100">
        <v>3.8751583087677282</v>
      </c>
      <c r="Q6" s="100">
        <v>2241.3915657912539</v>
      </c>
      <c r="R6" s="100">
        <v>6</v>
      </c>
      <c r="S6" s="100">
        <v>3470.3999999999996</v>
      </c>
      <c r="T6" s="100">
        <v>5</v>
      </c>
      <c r="U6" s="100">
        <v>2892</v>
      </c>
      <c r="V6" s="100">
        <v>1.789557741732803</v>
      </c>
      <c r="W6" s="100">
        <v>1035.0801978182533</v>
      </c>
      <c r="X6" s="100">
        <v>2.7085054300034792</v>
      </c>
      <c r="Y6" s="100">
        <v>1566.5995407140124</v>
      </c>
      <c r="Z6" s="100">
        <v>9</v>
      </c>
      <c r="AA6" s="100">
        <v>5205.5999999999995</v>
      </c>
      <c r="AB6" s="100">
        <v>0.57730519311426542</v>
      </c>
      <c r="AC6" s="100">
        <v>333.9133236972911</v>
      </c>
      <c r="AD6" s="100">
        <v>7.2364119607990496</v>
      </c>
      <c r="AE6" s="100">
        <v>4185.54067812617</v>
      </c>
      <c r="AF6" s="100">
        <v>2.5393822613411881</v>
      </c>
      <c r="AG6" s="100">
        <v>1468.7786999597431</v>
      </c>
      <c r="AH6" s="100">
        <v>6.7027878154782803</v>
      </c>
      <c r="AI6" s="100">
        <v>3876.8924724726371</v>
      </c>
      <c r="AJ6" s="100">
        <v>6.731309183954469</v>
      </c>
      <c r="AK6" s="100">
        <v>3893.3892319992647</v>
      </c>
      <c r="AL6" s="100">
        <v>8.5385509245323199</v>
      </c>
      <c r="AM6" s="100">
        <v>4938.6978547494937</v>
      </c>
      <c r="AN6" s="100">
        <v>5</v>
      </c>
      <c r="AO6" s="100">
        <v>2892</v>
      </c>
      <c r="AP6" s="100">
        <v>2.0474608580626836</v>
      </c>
      <c r="AQ6" s="100">
        <v>1184.2513603034561</v>
      </c>
      <c r="AR6" s="100">
        <v>3.5614883726855737</v>
      </c>
      <c r="AS6" s="100">
        <v>2059.964874761336</v>
      </c>
      <c r="AT6" s="100">
        <v>2.1351999259145997</v>
      </c>
      <c r="AU6" s="100">
        <v>1234.9996371490045</v>
      </c>
      <c r="AV6" s="100">
        <v>9.2625316052042024</v>
      </c>
      <c r="AW6" s="100">
        <v>5357.4482804501104</v>
      </c>
      <c r="AX6" s="100">
        <v>7</v>
      </c>
      <c r="AY6" s="100">
        <v>4048.7999999999997</v>
      </c>
      <c r="AZ6" s="100">
        <v>7.8956738236209505</v>
      </c>
      <c r="BA6" s="100">
        <v>4566.8577395823577</v>
      </c>
      <c r="BB6" s="100">
        <v>4.6624857790535916</v>
      </c>
      <c r="BC6" s="100">
        <v>2696.7817746045971</v>
      </c>
      <c r="BD6" s="100">
        <v>8.2362120234945486</v>
      </c>
      <c r="BE6" s="100">
        <v>4763.8250343892469</v>
      </c>
      <c r="BF6" s="100">
        <v>1.5312601707021156</v>
      </c>
      <c r="BG6" s="100">
        <v>885.68088273410365</v>
      </c>
      <c r="BH6" s="100">
        <v>5.7350648785638744E-4</v>
      </c>
      <c r="BI6" s="100">
        <v>0.33171615257613446</v>
      </c>
      <c r="BJ6" s="100">
        <v>5.7476205226754606</v>
      </c>
      <c r="BK6" s="100">
        <v>3324.4237103154865</v>
      </c>
      <c r="BL6" s="100">
        <v>8</v>
      </c>
      <c r="BM6" s="100">
        <v>4627.2</v>
      </c>
      <c r="BN6" s="100">
        <v>8</v>
      </c>
      <c r="BO6" s="100">
        <v>4627.2</v>
      </c>
      <c r="BP6" s="100">
        <v>7.7890678208039068</v>
      </c>
      <c r="BQ6" s="100">
        <v>4505.1968275529798</v>
      </c>
      <c r="BR6" s="100">
        <v>6.5297162948856071</v>
      </c>
      <c r="BS6" s="100">
        <v>3776.787904961835</v>
      </c>
      <c r="BT6" s="100">
        <v>5.1565508333595246E-4</v>
      </c>
      <c r="BU6" s="100">
        <v>0.29825490020151491</v>
      </c>
      <c r="BV6" s="100">
        <v>6.2779729011449312</v>
      </c>
      <c r="BW6" s="100">
        <v>3631.1795260222279</v>
      </c>
      <c r="BX6" s="100">
        <v>7.7552153818606122</v>
      </c>
      <c r="BY6" s="100">
        <v>4485.6165768681776</v>
      </c>
      <c r="BZ6" s="100">
        <v>6.7417080486042673</v>
      </c>
      <c r="CA6" s="100">
        <v>3899.4039353127082</v>
      </c>
      <c r="CB6" s="100">
        <v>7.464011800651992</v>
      </c>
      <c r="CC6" s="100">
        <v>4317.184425497112</v>
      </c>
      <c r="CD6" s="100">
        <v>1.6965179841949334</v>
      </c>
      <c r="CE6" s="100">
        <v>981.26600205834939</v>
      </c>
      <c r="CF6" s="100">
        <v>11.72522335845064</v>
      </c>
      <c r="CG6" s="100">
        <v>6781.8691905278492</v>
      </c>
      <c r="CH6" s="100">
        <v>6.9728554796542666</v>
      </c>
      <c r="CI6" s="100">
        <v>4033.0996094320276</v>
      </c>
      <c r="CJ6" s="100">
        <v>7.6596358767686548</v>
      </c>
      <c r="CK6" s="100">
        <v>4430.3333911229902</v>
      </c>
      <c r="CL6" s="100">
        <v>2.8252404808608986</v>
      </c>
      <c r="CM6" s="100">
        <v>1634.1190941299437</v>
      </c>
      <c r="CN6" s="100">
        <v>9</v>
      </c>
      <c r="CO6" s="100">
        <v>5205.5999999999995</v>
      </c>
      <c r="CP6" s="100">
        <v>6.5524136530409569</v>
      </c>
      <c r="CQ6" s="100">
        <v>3789.9160569188894</v>
      </c>
      <c r="CR6" s="100">
        <v>5.3740263391650069</v>
      </c>
      <c r="CS6" s="100">
        <v>3108.3368345730401</v>
      </c>
      <c r="CT6" s="100">
        <v>5.2911896321950825E-4</v>
      </c>
      <c r="CU6" s="100">
        <v>0.30604240832616358</v>
      </c>
    </row>
    <row r="7" spans="1:99">
      <c r="C7" s="99" t="s">
        <v>173</v>
      </c>
      <c r="D7" s="100">
        <v>5.5050677563851442</v>
      </c>
      <c r="E7" s="100">
        <v>4340.1954191340474</v>
      </c>
      <c r="F7" s="100">
        <v>1.7728378622290328</v>
      </c>
      <c r="G7" s="100">
        <v>1397.7053705813694</v>
      </c>
      <c r="H7" s="100">
        <v>6</v>
      </c>
      <c r="I7" s="100">
        <v>4730.3999999999996</v>
      </c>
      <c r="J7" s="100">
        <v>5</v>
      </c>
      <c r="K7" s="100">
        <v>3942</v>
      </c>
      <c r="L7" s="100">
        <v>0.91647227299216472</v>
      </c>
      <c r="M7" s="100">
        <v>722.54674002702268</v>
      </c>
      <c r="N7" s="100">
        <v>7</v>
      </c>
      <c r="O7" s="100">
        <v>5518.8</v>
      </c>
      <c r="P7" s="100">
        <v>3.8751583087677282</v>
      </c>
      <c r="Q7" s="100">
        <v>3055.1748106324767</v>
      </c>
      <c r="R7" s="100">
        <v>6</v>
      </c>
      <c r="S7" s="100">
        <v>4730.3999999999996</v>
      </c>
      <c r="T7" s="100">
        <v>5</v>
      </c>
      <c r="U7" s="100">
        <v>3942</v>
      </c>
      <c r="V7" s="100">
        <v>1.789557741732803</v>
      </c>
      <c r="W7" s="100">
        <v>1410.8873235821418</v>
      </c>
      <c r="X7" s="100">
        <v>2.7085054300034792</v>
      </c>
      <c r="Y7" s="100">
        <v>2135.3856810147431</v>
      </c>
      <c r="Z7" s="100">
        <v>7</v>
      </c>
      <c r="AA7" s="100">
        <v>5518.8</v>
      </c>
      <c r="AB7" s="100">
        <v>0.5669491837219891</v>
      </c>
      <c r="AC7" s="100">
        <v>446.9827364464162</v>
      </c>
      <c r="AD7" s="100">
        <v>7.8244107410184744</v>
      </c>
      <c r="AE7" s="100">
        <v>6168.7654282189651</v>
      </c>
      <c r="AF7" s="100">
        <v>2.5226125935304604</v>
      </c>
      <c r="AG7" s="100">
        <v>1988.827768739415</v>
      </c>
      <c r="AH7" s="100">
        <v>6.8609468257975603</v>
      </c>
      <c r="AI7" s="100">
        <v>5409.1704774587961</v>
      </c>
      <c r="AJ7" s="100">
        <v>5.9833859412928607</v>
      </c>
      <c r="AK7" s="100">
        <v>4717.3014761152908</v>
      </c>
      <c r="AL7" s="100">
        <v>9.5385509245323199</v>
      </c>
      <c r="AM7" s="100">
        <v>7520.1935489012803</v>
      </c>
      <c r="AN7" s="100">
        <v>5</v>
      </c>
      <c r="AO7" s="100">
        <v>3942</v>
      </c>
      <c r="AP7" s="100">
        <v>2.0474608580626836</v>
      </c>
      <c r="AQ7" s="100">
        <v>1614.2181404966198</v>
      </c>
      <c r="AR7" s="100">
        <v>3.1531403929058834</v>
      </c>
      <c r="AS7" s="100">
        <v>2485.9358857669986</v>
      </c>
      <c r="AT7" s="100">
        <v>1.8959211014585098</v>
      </c>
      <c r="AU7" s="100">
        <v>1494.7441963898891</v>
      </c>
      <c r="AV7" s="100">
        <v>11.262531605204202</v>
      </c>
      <c r="AW7" s="100">
        <v>8879.3799175429922</v>
      </c>
      <c r="AX7" s="100">
        <v>8</v>
      </c>
      <c r="AY7" s="100">
        <v>6307.2</v>
      </c>
      <c r="AZ7" s="100">
        <v>7.8956738236209505</v>
      </c>
      <c r="BA7" s="100">
        <v>6224.949242542757</v>
      </c>
      <c r="BB7" s="100">
        <v>4.6624857790535916</v>
      </c>
      <c r="BC7" s="100">
        <v>3675.9037882058515</v>
      </c>
      <c r="BD7" s="100">
        <v>8.2362120234945486</v>
      </c>
      <c r="BE7" s="100">
        <v>6493.4295593231018</v>
      </c>
      <c r="BF7" s="100">
        <v>1.5312601707021156</v>
      </c>
      <c r="BG7" s="100">
        <v>1207.2455185815479</v>
      </c>
      <c r="BH7" s="100">
        <v>5.1025205662414872E-4</v>
      </c>
      <c r="BI7" s="100">
        <v>0.40228272144247884</v>
      </c>
      <c r="BJ7" s="100">
        <v>5.6408175908646809</v>
      </c>
      <c r="BK7" s="100">
        <v>4447.2205886377142</v>
      </c>
      <c r="BL7" s="100">
        <v>8</v>
      </c>
      <c r="BM7" s="100">
        <v>6307.2</v>
      </c>
      <c r="BN7" s="100">
        <v>9</v>
      </c>
      <c r="BO7" s="100">
        <v>7095.5999999999995</v>
      </c>
      <c r="BP7" s="100">
        <v>7.7890678208039068</v>
      </c>
      <c r="BQ7" s="100">
        <v>6140.9010699217997</v>
      </c>
      <c r="BR7" s="100">
        <v>5.7135017580249059</v>
      </c>
      <c r="BS7" s="100">
        <v>4504.5247860268355</v>
      </c>
      <c r="BT7" s="100">
        <v>5.1565508333595246E-4</v>
      </c>
      <c r="BU7" s="100">
        <v>0.40654246770206492</v>
      </c>
      <c r="BV7" s="100">
        <v>5.5940594367282399</v>
      </c>
      <c r="BW7" s="100">
        <v>4410.3564599165438</v>
      </c>
      <c r="BX7" s="100">
        <v>7.753315340750996</v>
      </c>
      <c r="BY7" s="100">
        <v>6112.7138146480847</v>
      </c>
      <c r="BZ7" s="100">
        <v>6.6652806622023197</v>
      </c>
      <c r="CA7" s="100">
        <v>5254.9072740803085</v>
      </c>
      <c r="CB7" s="100">
        <v>7.3013438228017709</v>
      </c>
      <c r="CC7" s="100">
        <v>5756.3794698969159</v>
      </c>
      <c r="CD7" s="100">
        <v>1.6965179841949334</v>
      </c>
      <c r="CE7" s="100">
        <v>1337.5347787392855</v>
      </c>
      <c r="CF7" s="100">
        <v>9.6217523517898869</v>
      </c>
      <c r="CG7" s="100">
        <v>7585.7895541511461</v>
      </c>
      <c r="CH7" s="100">
        <v>6.9728554796542666</v>
      </c>
      <c r="CI7" s="100">
        <v>5497.3992601594236</v>
      </c>
      <c r="CJ7" s="100">
        <v>8.6596358767686539</v>
      </c>
      <c r="CK7" s="100">
        <v>6827.2569252444064</v>
      </c>
      <c r="CL7" s="100">
        <v>2.5309467497827409</v>
      </c>
      <c r="CM7" s="100">
        <v>1995.3984175287128</v>
      </c>
      <c r="CN7" s="100">
        <v>9</v>
      </c>
      <c r="CO7" s="100">
        <v>7095.5999999999995</v>
      </c>
      <c r="CP7" s="100">
        <v>7.4884727463325227</v>
      </c>
      <c r="CQ7" s="100">
        <v>5903.9119132085607</v>
      </c>
      <c r="CR7" s="100">
        <v>6.2696973956925079</v>
      </c>
      <c r="CS7" s="100">
        <v>4943.0294267639729</v>
      </c>
      <c r="CT7" s="100">
        <v>5.3213737377158868E-4</v>
      </c>
      <c r="CU7" s="100">
        <v>0.41953710548152051</v>
      </c>
    </row>
    <row r="8" spans="1:99">
      <c r="C8" s="99" t="s">
        <v>174</v>
      </c>
      <c r="D8" s="100">
        <v>5.5050677563851442</v>
      </c>
      <c r="E8" s="100">
        <v>1704.3689773768406</v>
      </c>
      <c r="F8" s="100">
        <v>1.7728378622290328</v>
      </c>
      <c r="G8" s="100">
        <v>548.87060214610847</v>
      </c>
      <c r="H8" s="100">
        <v>6</v>
      </c>
      <c r="I8" s="100">
        <v>1857.6</v>
      </c>
      <c r="J8" s="100">
        <v>6</v>
      </c>
      <c r="K8" s="100">
        <v>1857.6</v>
      </c>
      <c r="L8" s="100">
        <v>0.91647227299216472</v>
      </c>
      <c r="M8" s="100">
        <v>283.73981571837419</v>
      </c>
      <c r="N8" s="100">
        <v>8</v>
      </c>
      <c r="O8" s="100">
        <v>2476.7999999999997</v>
      </c>
      <c r="P8" s="100">
        <v>4.3057314541863647</v>
      </c>
      <c r="Q8" s="100">
        <v>1333.0544582160983</v>
      </c>
      <c r="R8" s="100">
        <v>7</v>
      </c>
      <c r="S8" s="100">
        <v>2167.1999999999998</v>
      </c>
      <c r="T8" s="100">
        <v>5</v>
      </c>
      <c r="U8" s="100">
        <v>1547.9999999999998</v>
      </c>
      <c r="V8" s="100">
        <v>1.789557741732803</v>
      </c>
      <c r="W8" s="100">
        <v>554.04707684047571</v>
      </c>
      <c r="X8" s="100">
        <v>2.7085054300034792</v>
      </c>
      <c r="Y8" s="100">
        <v>838.55328112907705</v>
      </c>
      <c r="Z8" s="100">
        <v>9</v>
      </c>
      <c r="AA8" s="100">
        <v>2786.3999999999996</v>
      </c>
      <c r="AB8" s="100">
        <v>0.67826781858793173</v>
      </c>
      <c r="AC8" s="100">
        <v>209.99171663482363</v>
      </c>
      <c r="AD8" s="100">
        <v>7.2364119607990496</v>
      </c>
      <c r="AE8" s="100">
        <v>2240.3931430633857</v>
      </c>
      <c r="AF8" s="100">
        <v>2.8590291528766287</v>
      </c>
      <c r="AG8" s="100">
        <v>885.15542573060418</v>
      </c>
      <c r="AH8" s="100">
        <v>6.7027878154782803</v>
      </c>
      <c r="AI8" s="100">
        <v>2075.1831076720755</v>
      </c>
      <c r="AJ8" s="100">
        <v>6.731309183954469</v>
      </c>
      <c r="AK8" s="100">
        <v>2084.0133233523034</v>
      </c>
      <c r="AL8" s="100">
        <v>8.4487924371102672</v>
      </c>
      <c r="AM8" s="100">
        <v>2615.7461385293386</v>
      </c>
      <c r="AN8" s="100">
        <v>5</v>
      </c>
      <c r="AO8" s="100">
        <v>1547.9999999999998</v>
      </c>
      <c r="AP8" s="100">
        <v>2.0474608580626836</v>
      </c>
      <c r="AQ8" s="100">
        <v>633.89388165620676</v>
      </c>
      <c r="AR8" s="100">
        <v>3.6415314207725418</v>
      </c>
      <c r="AS8" s="100">
        <v>1127.4181278711787</v>
      </c>
      <c r="AT8" s="100">
        <v>1.9050758485536143</v>
      </c>
      <c r="AU8" s="100">
        <v>589.81148271219888</v>
      </c>
      <c r="AV8" s="100">
        <v>10.262531605204202</v>
      </c>
      <c r="AW8" s="100">
        <v>3177.2797849712206</v>
      </c>
      <c r="AX8" s="100">
        <v>8</v>
      </c>
      <c r="AY8" s="100">
        <v>2476.7999999999997</v>
      </c>
      <c r="AZ8" s="100">
        <v>6.9087145956683313</v>
      </c>
      <c r="BA8" s="100">
        <v>2138.9380388189152</v>
      </c>
      <c r="BB8" s="100">
        <v>5.4395667422291911</v>
      </c>
      <c r="BC8" s="100">
        <v>1684.0898633941574</v>
      </c>
      <c r="BD8" s="100">
        <v>8.2362120234945486</v>
      </c>
      <c r="BE8" s="100">
        <v>2549.9312424739119</v>
      </c>
      <c r="BF8" s="100">
        <v>1.8375122048425387</v>
      </c>
      <c r="BG8" s="100">
        <v>568.89377861924993</v>
      </c>
      <c r="BH8" s="100">
        <v>5.7350648785638744E-4</v>
      </c>
      <c r="BI8" s="100">
        <v>0.17755760864033754</v>
      </c>
      <c r="BJ8" s="100">
        <v>5.7476205226754606</v>
      </c>
      <c r="BK8" s="100">
        <v>1779.4633138203224</v>
      </c>
      <c r="BL8" s="100">
        <v>8</v>
      </c>
      <c r="BM8" s="100">
        <v>2476.7999999999997</v>
      </c>
      <c r="BN8" s="100">
        <v>9</v>
      </c>
      <c r="BO8" s="100">
        <v>2786.3999999999996</v>
      </c>
      <c r="BP8" s="100">
        <v>8.5679746028842967</v>
      </c>
      <c r="BQ8" s="100">
        <v>2652.6449370529781</v>
      </c>
      <c r="BR8" s="100">
        <v>5.7135017580249059</v>
      </c>
      <c r="BS8" s="100">
        <v>1768.9001442845106</v>
      </c>
      <c r="BT8" s="100">
        <v>4.607957689610982E-4</v>
      </c>
      <c r="BU8" s="100">
        <v>0.14266237007035598</v>
      </c>
      <c r="BV8" s="100">
        <v>6.7655273651344965</v>
      </c>
      <c r="BW8" s="100">
        <v>2094.6072722456397</v>
      </c>
      <c r="BX8" s="100">
        <v>7.753315340750996</v>
      </c>
      <c r="BY8" s="100">
        <v>2400.4264294965083</v>
      </c>
      <c r="BZ8" s="100">
        <v>6.1137402910736309</v>
      </c>
      <c r="CA8" s="100">
        <v>1892.8139941163959</v>
      </c>
      <c r="CB8" s="100">
        <v>7.464011800651992</v>
      </c>
      <c r="CC8" s="100">
        <v>2310.8580534818566</v>
      </c>
      <c r="CD8" s="100">
        <v>1.8661697826144266</v>
      </c>
      <c r="CE8" s="100">
        <v>577.76616469742635</v>
      </c>
      <c r="CF8" s="100">
        <v>9.7258408996675545</v>
      </c>
      <c r="CG8" s="100">
        <v>3011.1203425370745</v>
      </c>
      <c r="CH8" s="100">
        <v>7.6718248224467693</v>
      </c>
      <c r="CI8" s="100">
        <v>2375.1969650295196</v>
      </c>
      <c r="CJ8" s="100">
        <v>7.7695751895634304</v>
      </c>
      <c r="CK8" s="100">
        <v>2405.4604786888376</v>
      </c>
      <c r="CL8" s="100">
        <v>2.8252404808608986</v>
      </c>
      <c r="CM8" s="100">
        <v>874.69445287453414</v>
      </c>
      <c r="CN8" s="100">
        <v>9</v>
      </c>
      <c r="CO8" s="100">
        <v>2786.3999999999996</v>
      </c>
      <c r="CP8" s="100">
        <v>7.4884727463325227</v>
      </c>
      <c r="CQ8" s="100">
        <v>2318.4311622645487</v>
      </c>
      <c r="CR8" s="100">
        <v>5.3740263391650069</v>
      </c>
      <c r="CS8" s="100">
        <v>1663.7985546054861</v>
      </c>
      <c r="CT8" s="100">
        <v>5.9714534021699703E-4</v>
      </c>
      <c r="CU8" s="100">
        <v>0.18487619733118227</v>
      </c>
    </row>
    <row r="9" spans="1:99">
      <c r="C9" s="99" t="s">
        <v>175</v>
      </c>
      <c r="D9" s="100">
        <v>5.5050677563851442</v>
      </c>
      <c r="E9" s="100">
        <v>3864.5575649823713</v>
      </c>
      <c r="F9" s="100">
        <v>1.7728378622290328</v>
      </c>
      <c r="G9" s="100">
        <v>1244.532179284781</v>
      </c>
      <c r="H9" s="100">
        <v>6</v>
      </c>
      <c r="I9" s="100">
        <v>4212</v>
      </c>
      <c r="J9" s="100">
        <v>5</v>
      </c>
      <c r="K9" s="100">
        <v>3510</v>
      </c>
      <c r="L9" s="100">
        <v>0.91647227299216472</v>
      </c>
      <c r="M9" s="100">
        <v>643.36353564049966</v>
      </c>
      <c r="N9" s="100">
        <v>7</v>
      </c>
      <c r="O9" s="100">
        <v>4914</v>
      </c>
      <c r="P9" s="100">
        <v>3.8751583087677282</v>
      </c>
      <c r="Q9" s="100">
        <v>2720.3611327549452</v>
      </c>
      <c r="R9" s="100">
        <v>6</v>
      </c>
      <c r="S9" s="100">
        <v>4212</v>
      </c>
      <c r="T9" s="100">
        <v>4</v>
      </c>
      <c r="U9" s="100">
        <v>2808</v>
      </c>
      <c r="V9" s="100">
        <v>1.789557741732803</v>
      </c>
      <c r="W9" s="100">
        <v>1256.2695346964276</v>
      </c>
      <c r="X9" s="100">
        <v>2.7085054300034792</v>
      </c>
      <c r="Y9" s="100">
        <v>1901.3708118624425</v>
      </c>
      <c r="Z9" s="100">
        <v>9</v>
      </c>
      <c r="AA9" s="100">
        <v>6318</v>
      </c>
      <c r="AB9" s="100">
        <v>0.57212718841812726</v>
      </c>
      <c r="AC9" s="100">
        <v>401.63328626952534</v>
      </c>
      <c r="AD9" s="100">
        <v>7.2364119607990496</v>
      </c>
      <c r="AE9" s="100">
        <v>5079.9611964809328</v>
      </c>
      <c r="AF9" s="100">
        <v>2.5393822613411881</v>
      </c>
      <c r="AG9" s="100">
        <v>1782.6463474615141</v>
      </c>
      <c r="AH9" s="100">
        <v>6.7027878154782803</v>
      </c>
      <c r="AI9" s="100">
        <v>4705.3570464657523</v>
      </c>
      <c r="AJ9" s="100">
        <v>5.9833859412928607</v>
      </c>
      <c r="AK9" s="100">
        <v>4200.3369307875882</v>
      </c>
      <c r="AL9" s="100">
        <v>8.5385509245323199</v>
      </c>
      <c r="AM9" s="100">
        <v>5994.0627490216884</v>
      </c>
      <c r="AN9" s="100">
        <v>6</v>
      </c>
      <c r="AO9" s="100">
        <v>4212</v>
      </c>
      <c r="AP9" s="100">
        <v>2.0400606238877401</v>
      </c>
      <c r="AQ9" s="100">
        <v>1432.1225579691936</v>
      </c>
      <c r="AR9" s="100">
        <v>3.1531403929058834</v>
      </c>
      <c r="AS9" s="100">
        <v>2213.5045558199304</v>
      </c>
      <c r="AT9" s="100">
        <v>2.1351999259145997</v>
      </c>
      <c r="AU9" s="100">
        <v>1498.9103479920491</v>
      </c>
      <c r="AV9" s="100">
        <v>10.136278444683782</v>
      </c>
      <c r="AW9" s="100">
        <v>7115.6674681680151</v>
      </c>
      <c r="AX9" s="100">
        <v>7</v>
      </c>
      <c r="AY9" s="100">
        <v>4914</v>
      </c>
      <c r="AZ9" s="100">
        <v>6.9087145956683313</v>
      </c>
      <c r="BA9" s="100">
        <v>4849.9176461591687</v>
      </c>
      <c r="BB9" s="100">
        <v>5.4395667422291911</v>
      </c>
      <c r="BC9" s="100">
        <v>3818.575853044892</v>
      </c>
      <c r="BD9" s="100">
        <v>7.412590821145093</v>
      </c>
      <c r="BE9" s="100">
        <v>5203.6387564438555</v>
      </c>
      <c r="BF9" s="100">
        <v>1.8375122048425387</v>
      </c>
      <c r="BG9" s="100">
        <v>1289.9335677994623</v>
      </c>
      <c r="BH9" s="100">
        <v>5.1025205662414872E-4</v>
      </c>
      <c r="BI9" s="100">
        <v>0.35819694375015243</v>
      </c>
      <c r="BJ9" s="100">
        <v>6.6408175908646809</v>
      </c>
      <c r="BK9" s="100">
        <v>4661.8539487870057</v>
      </c>
      <c r="BL9" s="100">
        <v>8</v>
      </c>
      <c r="BM9" s="100">
        <v>5616</v>
      </c>
      <c r="BN9" s="100">
        <v>9</v>
      </c>
      <c r="BO9" s="100">
        <v>6318</v>
      </c>
      <c r="BP9" s="100">
        <v>8.5679746028842967</v>
      </c>
      <c r="BQ9" s="100">
        <v>6014.7181712247766</v>
      </c>
      <c r="BR9" s="100">
        <v>5.7135017580249059</v>
      </c>
      <c r="BS9" s="100">
        <v>4010.8782341334841</v>
      </c>
      <c r="BT9" s="100">
        <v>4.607957689610982E-4</v>
      </c>
      <c r="BU9" s="100">
        <v>0.32347862981069092</v>
      </c>
      <c r="BV9" s="100">
        <v>6.2779729011449312</v>
      </c>
      <c r="BW9" s="100">
        <v>4407.1369766037415</v>
      </c>
      <c r="BX9" s="100">
        <v>7.6606472115414581</v>
      </c>
      <c r="BY9" s="100">
        <v>5377.7743425021035</v>
      </c>
      <c r="BZ9" s="100">
        <v>6.1137402910736309</v>
      </c>
      <c r="CA9" s="100">
        <v>4291.845684333689</v>
      </c>
      <c r="CB9" s="100">
        <v>7.464011800651992</v>
      </c>
      <c r="CC9" s="100">
        <v>5239.736284057698</v>
      </c>
      <c r="CD9" s="100">
        <v>1.8801873360034234</v>
      </c>
      <c r="CE9" s="100">
        <v>1319.8915098744033</v>
      </c>
      <c r="CF9" s="100">
        <v>10.621443581181431</v>
      </c>
      <c r="CG9" s="100">
        <v>7456.2533939893647</v>
      </c>
      <c r="CH9" s="100">
        <v>6.9728554796542666</v>
      </c>
      <c r="CI9" s="100">
        <v>4894.9445467172955</v>
      </c>
      <c r="CJ9" s="100">
        <v>8.7695751895634295</v>
      </c>
      <c r="CK9" s="100">
        <v>6156.2417830735276</v>
      </c>
      <c r="CL9" s="100">
        <v>2.5421559716799482</v>
      </c>
      <c r="CM9" s="100">
        <v>1784.5934921193236</v>
      </c>
      <c r="CN9" s="100">
        <v>11.171924063719702</v>
      </c>
      <c r="CO9" s="100">
        <v>7842.6906927312311</v>
      </c>
      <c r="CP9" s="100">
        <v>7.4884727463325227</v>
      </c>
      <c r="CQ9" s="100">
        <v>5256.9078679254308</v>
      </c>
      <c r="CR9" s="100">
        <v>5.3740263391650069</v>
      </c>
      <c r="CS9" s="100">
        <v>3772.566490093835</v>
      </c>
      <c r="CT9" s="100">
        <v>5.3213737377158868E-4</v>
      </c>
      <c r="CU9" s="100">
        <v>0.37356043638765524</v>
      </c>
    </row>
    <row r="10" spans="1:99">
      <c r="C10" s="99" t="s">
        <v>176</v>
      </c>
      <c r="D10" s="100">
        <v>4.7186295054729808</v>
      </c>
      <c r="E10" s="100">
        <v>2570.7093545816797</v>
      </c>
      <c r="F10" s="100">
        <v>1.7728378622290328</v>
      </c>
      <c r="G10" s="100">
        <v>965.84206734237705</v>
      </c>
      <c r="H10" s="100">
        <v>6</v>
      </c>
      <c r="I10" s="100">
        <v>3268.7999999999997</v>
      </c>
      <c r="J10" s="100">
        <v>5</v>
      </c>
      <c r="K10" s="100">
        <v>2724</v>
      </c>
      <c r="L10" s="100">
        <v>0.91647227299216472</v>
      </c>
      <c r="M10" s="100">
        <v>499.2940943261313</v>
      </c>
      <c r="N10" s="100">
        <v>7</v>
      </c>
      <c r="O10" s="100">
        <v>3813.5999999999995</v>
      </c>
      <c r="P10" s="100">
        <v>3.8751583087677282</v>
      </c>
      <c r="Q10" s="100">
        <v>2111.1862466166581</v>
      </c>
      <c r="R10" s="100">
        <v>7</v>
      </c>
      <c r="S10" s="100">
        <v>3813.5999999999995</v>
      </c>
      <c r="T10" s="100">
        <v>5</v>
      </c>
      <c r="U10" s="100">
        <v>2724</v>
      </c>
      <c r="V10" s="100">
        <v>1.789557741732803</v>
      </c>
      <c r="W10" s="100">
        <v>974.95105769603106</v>
      </c>
      <c r="X10" s="100">
        <v>3.2502065160041749</v>
      </c>
      <c r="Y10" s="100">
        <v>1770.7125099190744</v>
      </c>
      <c r="Z10" s="100">
        <v>8</v>
      </c>
      <c r="AA10" s="100">
        <v>4358.3999999999996</v>
      </c>
      <c r="AB10" s="100">
        <v>0.68344582328406978</v>
      </c>
      <c r="AC10" s="100">
        <v>372.3412845251612</v>
      </c>
      <c r="AD10" s="100">
        <v>7.1148855271225351</v>
      </c>
      <c r="AE10" s="100">
        <v>3876.1896351763567</v>
      </c>
      <c r="AF10" s="100">
        <v>2.5226125935304604</v>
      </c>
      <c r="AG10" s="100">
        <v>1374.3193409553946</v>
      </c>
      <c r="AH10" s="100">
        <v>7.8199191180579932</v>
      </c>
      <c r="AI10" s="100">
        <v>4260.2919355179947</v>
      </c>
      <c r="AJ10" s="100">
        <v>5.9833859412928607</v>
      </c>
      <c r="AK10" s="100">
        <v>3259.7486608163504</v>
      </c>
      <c r="AL10" s="100">
        <v>9.4487924371102672</v>
      </c>
      <c r="AM10" s="100">
        <v>5147.7021197376735</v>
      </c>
      <c r="AN10" s="100">
        <v>5</v>
      </c>
      <c r="AO10" s="100">
        <v>2724</v>
      </c>
      <c r="AP10" s="100">
        <v>2.3251547980074654</v>
      </c>
      <c r="AQ10" s="100">
        <v>1266.744333954467</v>
      </c>
      <c r="AR10" s="100">
        <v>3.5573212627516417</v>
      </c>
      <c r="AS10" s="100">
        <v>1938.0286239470943</v>
      </c>
      <c r="AT10" s="100">
        <v>2.1260451788194952</v>
      </c>
      <c r="AU10" s="100">
        <v>1158.2694134208609</v>
      </c>
      <c r="AV10" s="100">
        <v>9.2625316052042024</v>
      </c>
      <c r="AW10" s="100">
        <v>5046.2272185152488</v>
      </c>
      <c r="AX10" s="100">
        <v>8</v>
      </c>
      <c r="AY10" s="100">
        <v>4358.3999999999996</v>
      </c>
      <c r="AZ10" s="100">
        <v>7.8956738236209505</v>
      </c>
      <c r="BA10" s="100">
        <v>4301.5630991086937</v>
      </c>
      <c r="BB10" s="100">
        <v>4.6624857790535916</v>
      </c>
      <c r="BC10" s="100">
        <v>2540.1222524283967</v>
      </c>
      <c r="BD10" s="100">
        <v>7.412590821145093</v>
      </c>
      <c r="BE10" s="100">
        <v>4038.3794793598463</v>
      </c>
      <c r="BF10" s="100">
        <v>1.8375122048425387</v>
      </c>
      <c r="BG10" s="100">
        <v>1001.076649198215</v>
      </c>
      <c r="BH10" s="100">
        <v>5.1236036000726858E-4</v>
      </c>
      <c r="BI10" s="100">
        <v>0.27913392413195992</v>
      </c>
      <c r="BJ10" s="100">
        <v>6.7476205226754606</v>
      </c>
      <c r="BK10" s="100">
        <v>3676.1036607535907</v>
      </c>
      <c r="BL10" s="100">
        <v>8</v>
      </c>
      <c r="BM10" s="100">
        <v>4358.3999999999996</v>
      </c>
      <c r="BN10" s="100">
        <v>8</v>
      </c>
      <c r="BO10" s="100">
        <v>4358.3999999999996</v>
      </c>
      <c r="BP10" s="100">
        <v>7.0101610387235151</v>
      </c>
      <c r="BQ10" s="100">
        <v>3819.1357338965709</v>
      </c>
      <c r="BR10" s="100">
        <v>6.5297162948856071</v>
      </c>
      <c r="BS10" s="100">
        <v>3557.3894374536785</v>
      </c>
      <c r="BT10" s="100">
        <v>5.1839524008123544E-4</v>
      </c>
      <c r="BU10" s="100">
        <v>0.28242172679625704</v>
      </c>
      <c r="BV10" s="100">
        <v>6.1770631541334629</v>
      </c>
      <c r="BW10" s="100">
        <v>3365.2640063719105</v>
      </c>
      <c r="BX10" s="100">
        <v>8.4043340484247278</v>
      </c>
      <c r="BY10" s="100">
        <v>4578.6811895817909</v>
      </c>
      <c r="BZ10" s="100">
        <v>6.7422857410853041</v>
      </c>
      <c r="CA10" s="100">
        <v>3673.1972717432732</v>
      </c>
      <c r="CB10" s="100">
        <v>7.464011800651992</v>
      </c>
      <c r="CC10" s="100">
        <v>4066.3936289952048</v>
      </c>
      <c r="CD10" s="100">
        <v>1.8661697826144266</v>
      </c>
      <c r="CE10" s="100">
        <v>1016.6892975683395</v>
      </c>
      <c r="CF10" s="100">
        <v>10.621443581181431</v>
      </c>
      <c r="CG10" s="100">
        <v>5786.5624630276434</v>
      </c>
      <c r="CH10" s="100">
        <v>6.9728554796542666</v>
      </c>
      <c r="CI10" s="100">
        <v>3798.8116653156439</v>
      </c>
      <c r="CJ10" s="100">
        <v>7.6596358767686548</v>
      </c>
      <c r="CK10" s="100">
        <v>4172.9696256635625</v>
      </c>
      <c r="CL10" s="100">
        <v>2.5440241753294828</v>
      </c>
      <c r="CM10" s="100">
        <v>1385.9843707195021</v>
      </c>
      <c r="CN10" s="100">
        <v>10</v>
      </c>
      <c r="CO10" s="100">
        <v>5448</v>
      </c>
      <c r="CP10" s="100">
        <v>6.5524136530409569</v>
      </c>
      <c r="CQ10" s="100">
        <v>3569.754958176713</v>
      </c>
      <c r="CR10" s="100">
        <v>6.2696973956925079</v>
      </c>
      <c r="CS10" s="100">
        <v>3415.731141173278</v>
      </c>
      <c r="CT10" s="100">
        <v>4.7014781787826058E-4</v>
      </c>
      <c r="CU10" s="100">
        <v>0.25613653118007634</v>
      </c>
    </row>
    <row r="11" spans="1:99">
      <c r="C11" s="99" t="s">
        <v>177</v>
      </c>
      <c r="D11" s="100">
        <v>5.5050677563851442</v>
      </c>
      <c r="E11" s="100">
        <v>2933.1001006020047</v>
      </c>
      <c r="F11" s="100">
        <v>1.4773648851908607</v>
      </c>
      <c r="G11" s="100">
        <v>787.14001082969048</v>
      </c>
      <c r="H11" s="100">
        <v>6</v>
      </c>
      <c r="I11" s="100">
        <v>3196.7999999999997</v>
      </c>
      <c r="J11" s="100">
        <v>6</v>
      </c>
      <c r="K11" s="100">
        <v>3196.7999999999997</v>
      </c>
      <c r="L11" s="100">
        <v>0.91647227299216472</v>
      </c>
      <c r="M11" s="100">
        <v>488.2964270502253</v>
      </c>
      <c r="N11" s="100">
        <v>7</v>
      </c>
      <c r="O11" s="100">
        <v>3729.5999999999995</v>
      </c>
      <c r="P11" s="100">
        <v>4.3057314541863647</v>
      </c>
      <c r="Q11" s="100">
        <v>2294.0937187904951</v>
      </c>
      <c r="R11" s="100">
        <v>7</v>
      </c>
      <c r="S11" s="100">
        <v>3729.5999999999995</v>
      </c>
      <c r="T11" s="100">
        <v>5</v>
      </c>
      <c r="U11" s="100">
        <v>2664</v>
      </c>
      <c r="V11" s="100">
        <v>1.789557741732803</v>
      </c>
      <c r="W11" s="100">
        <v>953.47636479523737</v>
      </c>
      <c r="X11" s="100">
        <v>2.7085054300034792</v>
      </c>
      <c r="Y11" s="100">
        <v>1443.0916931058537</v>
      </c>
      <c r="Z11" s="100">
        <v>8</v>
      </c>
      <c r="AA11" s="100">
        <v>4262.3999999999996</v>
      </c>
      <c r="AB11" s="100">
        <v>0.5669491837219891</v>
      </c>
      <c r="AC11" s="100">
        <v>302.07052508707579</v>
      </c>
      <c r="AD11" s="100">
        <v>7.2364119607990496</v>
      </c>
      <c r="AE11" s="100">
        <v>3855.5602927137334</v>
      </c>
      <c r="AF11" s="100">
        <v>2.5393822613411881</v>
      </c>
      <c r="AG11" s="100">
        <v>1352.9828688425848</v>
      </c>
      <c r="AH11" s="100">
        <v>6.8609468257975603</v>
      </c>
      <c r="AI11" s="100">
        <v>3655.5124687849398</v>
      </c>
      <c r="AJ11" s="100">
        <v>5.9833859412928607</v>
      </c>
      <c r="AK11" s="100">
        <v>3187.9480295208359</v>
      </c>
      <c r="AL11" s="100">
        <v>9.5385509245323199</v>
      </c>
      <c r="AM11" s="100">
        <v>5082.1399325908196</v>
      </c>
      <c r="AN11" s="100">
        <v>5</v>
      </c>
      <c r="AO11" s="100">
        <v>2664</v>
      </c>
      <c r="AP11" s="100">
        <v>2.0400606238877401</v>
      </c>
      <c r="AQ11" s="100">
        <v>1086.9443004073878</v>
      </c>
      <c r="AR11" s="100">
        <v>3.5614883726855737</v>
      </c>
      <c r="AS11" s="100">
        <v>1897.5610049668735</v>
      </c>
      <c r="AT11" s="100">
        <v>1.9050758485536143</v>
      </c>
      <c r="AU11" s="100">
        <v>1015.0244121093656</v>
      </c>
      <c r="AV11" s="100">
        <v>10.262531605204202</v>
      </c>
      <c r="AW11" s="100">
        <v>5467.8768392527982</v>
      </c>
      <c r="AX11" s="100">
        <v>7</v>
      </c>
      <c r="AY11" s="100">
        <v>3729.5999999999995</v>
      </c>
      <c r="AZ11" s="100">
        <v>6.9087145956683313</v>
      </c>
      <c r="BA11" s="100">
        <v>3680.9631365720866</v>
      </c>
      <c r="BB11" s="100">
        <v>5.4395667422291911</v>
      </c>
      <c r="BC11" s="100">
        <v>2898.2011602597127</v>
      </c>
      <c r="BD11" s="100">
        <v>7.412590821145093</v>
      </c>
      <c r="BE11" s="100">
        <v>3949.4283895061053</v>
      </c>
      <c r="BF11" s="100">
        <v>1.5312601707021156</v>
      </c>
      <c r="BG11" s="100">
        <v>815.85541895008714</v>
      </c>
      <c r="BH11" s="100">
        <v>5.7350648785638744E-4</v>
      </c>
      <c r="BI11" s="100">
        <v>0.30556425672988319</v>
      </c>
      <c r="BJ11" s="100">
        <v>5.7476205226754606</v>
      </c>
      <c r="BK11" s="100">
        <v>3062.3322144814852</v>
      </c>
      <c r="BL11" s="100">
        <v>8</v>
      </c>
      <c r="BM11" s="100">
        <v>4262.3999999999996</v>
      </c>
      <c r="BN11" s="100">
        <v>8</v>
      </c>
      <c r="BO11" s="100">
        <v>4262.3999999999996</v>
      </c>
      <c r="BP11" s="100">
        <v>7.7890678208039068</v>
      </c>
      <c r="BQ11" s="100">
        <v>4150.015334924321</v>
      </c>
      <c r="BR11" s="100">
        <v>5.7135017580249059</v>
      </c>
      <c r="BS11" s="100">
        <v>3044.1537366756697</v>
      </c>
      <c r="BT11" s="100">
        <v>4.607957689610982E-4</v>
      </c>
      <c r="BU11" s="100">
        <v>0.2455119857024731</v>
      </c>
      <c r="BV11" s="100">
        <v>6.8637068653480595</v>
      </c>
      <c r="BW11" s="100">
        <v>3656.9830178574457</v>
      </c>
      <c r="BX11" s="100">
        <v>7.1003965919676482</v>
      </c>
      <c r="BY11" s="100">
        <v>3783.0913042003626</v>
      </c>
      <c r="BZ11" s="100">
        <v>7.3685204211728328</v>
      </c>
      <c r="CA11" s="100">
        <v>3925.947680400885</v>
      </c>
      <c r="CB11" s="100">
        <v>7.3013438228017709</v>
      </c>
      <c r="CC11" s="100">
        <v>3890.1559887887834</v>
      </c>
      <c r="CD11" s="100">
        <v>2.0521753933210829</v>
      </c>
      <c r="CE11" s="100">
        <v>1093.3990495614728</v>
      </c>
      <c r="CF11" s="100">
        <v>10.621443581181431</v>
      </c>
      <c r="CG11" s="100">
        <v>5659.1051400534661</v>
      </c>
      <c r="CH11" s="100">
        <v>8.3595688663920935</v>
      </c>
      <c r="CI11" s="100">
        <v>4453.9782920137068</v>
      </c>
      <c r="CJ11" s="100">
        <v>8.7695751895634295</v>
      </c>
      <c r="CK11" s="100">
        <v>4672.4296609993944</v>
      </c>
      <c r="CL11" s="100">
        <v>2.8252404808608986</v>
      </c>
      <c r="CM11" s="100">
        <v>1505.2881282026867</v>
      </c>
      <c r="CN11" s="100">
        <v>12.171924063719702</v>
      </c>
      <c r="CO11" s="100">
        <v>6485.201141149857</v>
      </c>
      <c r="CP11" s="100">
        <v>6.5524136530409569</v>
      </c>
      <c r="CQ11" s="100">
        <v>3491.1259943402215</v>
      </c>
      <c r="CR11" s="100">
        <v>6.2696973956925079</v>
      </c>
      <c r="CS11" s="100">
        <v>3340.4947724249678</v>
      </c>
      <c r="CT11" s="100">
        <v>4.7014781787826058E-4</v>
      </c>
      <c r="CU11" s="100">
        <v>0.25049475736553722</v>
      </c>
    </row>
    <row r="12" spans="1:99">
      <c r="C12" s="99" t="s">
        <v>178</v>
      </c>
      <c r="D12" s="100">
        <v>4.7186295054729808</v>
      </c>
      <c r="E12" s="100">
        <v>2655.6446856801936</v>
      </c>
      <c r="F12" s="100">
        <v>1.7728378622290328</v>
      </c>
      <c r="G12" s="100">
        <v>997.75314886249964</v>
      </c>
      <c r="H12" s="100">
        <v>6</v>
      </c>
      <c r="I12" s="100">
        <v>3376.7999999999997</v>
      </c>
      <c r="J12" s="100">
        <v>5</v>
      </c>
      <c r="K12" s="100">
        <v>2814</v>
      </c>
      <c r="L12" s="100">
        <v>0.91647227299216472</v>
      </c>
      <c r="M12" s="100">
        <v>515.79059523999024</v>
      </c>
      <c r="N12" s="100">
        <v>7</v>
      </c>
      <c r="O12" s="100">
        <v>3939.5999999999995</v>
      </c>
      <c r="P12" s="100">
        <v>4.3057314541863647</v>
      </c>
      <c r="Q12" s="100">
        <v>2423.2656624160859</v>
      </c>
      <c r="R12" s="100">
        <v>6</v>
      </c>
      <c r="S12" s="100">
        <v>3376.7999999999997</v>
      </c>
      <c r="T12" s="100">
        <v>5</v>
      </c>
      <c r="U12" s="100">
        <v>2814</v>
      </c>
      <c r="V12" s="100">
        <v>1.789557741732803</v>
      </c>
      <c r="W12" s="100">
        <v>1007.1630970472214</v>
      </c>
      <c r="X12" s="100">
        <v>2.7085054300034792</v>
      </c>
      <c r="Y12" s="100">
        <v>1524.346856005958</v>
      </c>
      <c r="Z12" s="100">
        <v>9</v>
      </c>
      <c r="AA12" s="100">
        <v>5065.2</v>
      </c>
      <c r="AB12" s="100">
        <v>0.5669491837219891</v>
      </c>
      <c r="AC12" s="100">
        <v>319.07900059873543</v>
      </c>
      <c r="AD12" s="100">
        <v>6.4053603132265966</v>
      </c>
      <c r="AE12" s="100">
        <v>3604.9367842839283</v>
      </c>
      <c r="AF12" s="100">
        <v>2.5393822613411881</v>
      </c>
      <c r="AG12" s="100">
        <v>1429.1643366828205</v>
      </c>
      <c r="AH12" s="100">
        <v>7.6617601077387159</v>
      </c>
      <c r="AI12" s="100">
        <v>4312.0385886353488</v>
      </c>
      <c r="AJ12" s="100">
        <v>5.9833859412928607</v>
      </c>
      <c r="AK12" s="100">
        <v>3367.4496077596218</v>
      </c>
      <c r="AL12" s="100">
        <v>8.5385509245323199</v>
      </c>
      <c r="AM12" s="100">
        <v>4805.496460326789</v>
      </c>
      <c r="AN12" s="100">
        <v>6</v>
      </c>
      <c r="AO12" s="100">
        <v>3376.7999999999997</v>
      </c>
      <c r="AP12" s="100">
        <v>2.0474608580626836</v>
      </c>
      <c r="AQ12" s="100">
        <v>1152.3109709176783</v>
      </c>
      <c r="AR12" s="100">
        <v>3.0730973448189163</v>
      </c>
      <c r="AS12" s="100">
        <v>1729.5391856640858</v>
      </c>
      <c r="AT12" s="100">
        <v>1.9050758485536143</v>
      </c>
      <c r="AU12" s="100">
        <v>1072.1766875659741</v>
      </c>
      <c r="AV12" s="100">
        <v>10.262531605204202</v>
      </c>
      <c r="AW12" s="100">
        <v>5775.7527874089246</v>
      </c>
      <c r="AX12" s="100">
        <v>7</v>
      </c>
      <c r="AY12" s="100">
        <v>3939.5999999999995</v>
      </c>
      <c r="AZ12" s="100">
        <v>6.9087145956683313</v>
      </c>
      <c r="BA12" s="100">
        <v>3888.2245744421366</v>
      </c>
      <c r="BB12" s="100">
        <v>5.4395667422291911</v>
      </c>
      <c r="BC12" s="100">
        <v>3061.3881625265885</v>
      </c>
      <c r="BD12" s="100">
        <v>8.2362120234945486</v>
      </c>
      <c r="BE12" s="100">
        <v>4635.3401268227317</v>
      </c>
      <c r="BF12" s="100">
        <v>1.5312601707021156</v>
      </c>
      <c r="BG12" s="100">
        <v>861.79322407115058</v>
      </c>
      <c r="BH12" s="100">
        <v>5.1025205662414872E-4</v>
      </c>
      <c r="BI12" s="100">
        <v>0.28716985746807089</v>
      </c>
      <c r="BJ12" s="100">
        <v>5.6408175908646809</v>
      </c>
      <c r="BK12" s="100">
        <v>3174.6521401386422</v>
      </c>
      <c r="BL12" s="100">
        <v>7</v>
      </c>
      <c r="BM12" s="100">
        <v>3939.5999999999995</v>
      </c>
      <c r="BN12" s="100">
        <v>9</v>
      </c>
      <c r="BO12" s="100">
        <v>5065.2</v>
      </c>
      <c r="BP12" s="100">
        <v>7.7890678208039068</v>
      </c>
      <c r="BQ12" s="100">
        <v>4383.6873695484383</v>
      </c>
      <c r="BR12" s="100">
        <v>5.7135017580249059</v>
      </c>
      <c r="BS12" s="100">
        <v>3215.5587894164169</v>
      </c>
      <c r="BT12" s="100">
        <v>4.607957689610982E-4</v>
      </c>
      <c r="BU12" s="100">
        <v>0.25933585877130605</v>
      </c>
      <c r="BV12" s="100">
        <v>6.8664371121459649</v>
      </c>
      <c r="BW12" s="100">
        <v>3864.4308067157485</v>
      </c>
      <c r="BX12" s="100">
        <v>7.1930647211771843</v>
      </c>
      <c r="BY12" s="100">
        <v>4048.2568250785189</v>
      </c>
      <c r="BZ12" s="100">
        <v>6.7422857410853041</v>
      </c>
      <c r="CA12" s="100">
        <v>3794.558415082809</v>
      </c>
      <c r="CB12" s="100">
        <v>7.464011800651992</v>
      </c>
      <c r="CC12" s="100">
        <v>4200.7458414069406</v>
      </c>
      <c r="CD12" s="100">
        <v>1.71053553758393</v>
      </c>
      <c r="CE12" s="100">
        <v>962.68940055223572</v>
      </c>
      <c r="CF12" s="100">
        <v>9.6217523517898869</v>
      </c>
      <c r="CG12" s="100">
        <v>5415.1222235873474</v>
      </c>
      <c r="CH12" s="100">
        <v>6.9728554796542666</v>
      </c>
      <c r="CI12" s="100">
        <v>3924.3230639494209</v>
      </c>
      <c r="CJ12" s="100">
        <v>8.7695751895634295</v>
      </c>
      <c r="CK12" s="100">
        <v>4935.5169166862979</v>
      </c>
      <c r="CL12" s="100">
        <v>2.5309467497827409</v>
      </c>
      <c r="CM12" s="100">
        <v>1424.4168307777265</v>
      </c>
      <c r="CN12" s="100">
        <v>10</v>
      </c>
      <c r="CO12" s="100">
        <v>5628</v>
      </c>
      <c r="CP12" s="100">
        <v>7.4884727463325227</v>
      </c>
      <c r="CQ12" s="100">
        <v>4214.5124616359435</v>
      </c>
      <c r="CR12" s="100">
        <v>5.3740263391650069</v>
      </c>
      <c r="CS12" s="100">
        <v>3024.5020236820656</v>
      </c>
      <c r="CT12" s="100">
        <v>5.3213737377158868E-4</v>
      </c>
      <c r="CU12" s="100">
        <v>0.29948691395865007</v>
      </c>
    </row>
    <row r="13" spans="1:99">
      <c r="C13" s="99" t="s">
        <v>179</v>
      </c>
      <c r="D13" s="100">
        <v>5.5050677563851442</v>
      </c>
      <c r="E13" s="100">
        <v>469.03177284401431</v>
      </c>
      <c r="F13" s="100">
        <v>1.7728378622290328</v>
      </c>
      <c r="G13" s="100">
        <v>151.0457858619136</v>
      </c>
      <c r="H13" s="100">
        <v>6</v>
      </c>
      <c r="I13" s="100">
        <v>511.20000000000005</v>
      </c>
      <c r="J13" s="100">
        <v>6</v>
      </c>
      <c r="K13" s="100">
        <v>511.20000000000005</v>
      </c>
      <c r="L13" s="100">
        <v>0.91647227299216472</v>
      </c>
      <c r="M13" s="100">
        <v>78.083437658932439</v>
      </c>
      <c r="N13" s="100">
        <v>7</v>
      </c>
      <c r="O13" s="100">
        <v>596.4</v>
      </c>
      <c r="P13" s="100">
        <v>3.8751583087677282</v>
      </c>
      <c r="Q13" s="100">
        <v>330.16348790701045</v>
      </c>
      <c r="R13" s="100">
        <v>6</v>
      </c>
      <c r="S13" s="100">
        <v>511.20000000000005</v>
      </c>
      <c r="T13" s="100">
        <v>5</v>
      </c>
      <c r="U13" s="100">
        <v>426</v>
      </c>
      <c r="V13" s="100">
        <v>1.789557741732803</v>
      </c>
      <c r="W13" s="100">
        <v>152.47031959563483</v>
      </c>
      <c r="X13" s="100">
        <v>3.2502065160041749</v>
      </c>
      <c r="Y13" s="100">
        <v>276.91759516355569</v>
      </c>
      <c r="Z13" s="100">
        <v>9</v>
      </c>
      <c r="AA13" s="100">
        <v>766.80000000000007</v>
      </c>
      <c r="AB13" s="100">
        <v>0.67826781858793173</v>
      </c>
      <c r="AC13" s="100">
        <v>57.788418143691786</v>
      </c>
      <c r="AD13" s="100">
        <v>7.2364119607990496</v>
      </c>
      <c r="AE13" s="100">
        <v>616.54229906007902</v>
      </c>
      <c r="AF13" s="100">
        <v>2.5226125935304604</v>
      </c>
      <c r="AG13" s="100">
        <v>214.92659296879523</v>
      </c>
      <c r="AH13" s="100">
        <v>7.6617601077387159</v>
      </c>
      <c r="AI13" s="100">
        <v>652.78196117933862</v>
      </c>
      <c r="AJ13" s="100">
        <v>6.731309183954469</v>
      </c>
      <c r="AK13" s="100">
        <v>573.50754247292082</v>
      </c>
      <c r="AL13" s="100">
        <v>9.5385509245323199</v>
      </c>
      <c r="AM13" s="100">
        <v>812.68453877015372</v>
      </c>
      <c r="AN13" s="100">
        <v>6</v>
      </c>
      <c r="AO13" s="100">
        <v>511.20000000000005</v>
      </c>
      <c r="AP13" s="100">
        <v>2.0400606238877401</v>
      </c>
      <c r="AQ13" s="100">
        <v>173.81316515523545</v>
      </c>
      <c r="AR13" s="100">
        <v>3.1614746127737487</v>
      </c>
      <c r="AS13" s="100">
        <v>269.35763700832342</v>
      </c>
      <c r="AT13" s="100">
        <v>1.9050758485536143</v>
      </c>
      <c r="AU13" s="100">
        <v>162.31246229676793</v>
      </c>
      <c r="AV13" s="100">
        <v>10.262531605204202</v>
      </c>
      <c r="AW13" s="100">
        <v>874.36769276339805</v>
      </c>
      <c r="AX13" s="100">
        <v>7</v>
      </c>
      <c r="AY13" s="100">
        <v>596.4</v>
      </c>
      <c r="AZ13" s="100">
        <v>7.8956738236209505</v>
      </c>
      <c r="BA13" s="100">
        <v>672.71140977250502</v>
      </c>
      <c r="BB13" s="100">
        <v>4.6624857790535916</v>
      </c>
      <c r="BC13" s="100">
        <v>397.24378837536602</v>
      </c>
      <c r="BD13" s="100">
        <v>8.2362120234945486</v>
      </c>
      <c r="BE13" s="100">
        <v>701.72526440173556</v>
      </c>
      <c r="BF13" s="100">
        <v>1.8375122048425387</v>
      </c>
      <c r="BG13" s="100">
        <v>156.55603985258432</v>
      </c>
      <c r="BH13" s="100">
        <v>6.3465261570550631E-4</v>
      </c>
      <c r="BI13" s="100">
        <v>5.4072402858109138E-2</v>
      </c>
      <c r="BJ13" s="100">
        <v>5.6408175908646809</v>
      </c>
      <c r="BK13" s="100">
        <v>480.59765874167084</v>
      </c>
      <c r="BL13" s="100">
        <v>8</v>
      </c>
      <c r="BM13" s="100">
        <v>681.6</v>
      </c>
      <c r="BN13" s="100">
        <v>8</v>
      </c>
      <c r="BO13" s="100">
        <v>681.6</v>
      </c>
      <c r="BP13" s="100">
        <v>7.7890678208039068</v>
      </c>
      <c r="BQ13" s="100">
        <v>663.62857833249291</v>
      </c>
      <c r="BR13" s="100">
        <v>5.7135017580249059</v>
      </c>
      <c r="BS13" s="100">
        <v>486.79034978372198</v>
      </c>
      <c r="BT13" s="100">
        <v>5.7325455445608969E-4</v>
      </c>
      <c r="BU13" s="100">
        <v>4.8841288039658842E-2</v>
      </c>
      <c r="BV13" s="100">
        <v>6.8664371121459649</v>
      </c>
      <c r="BW13" s="100">
        <v>585.0204419548362</v>
      </c>
      <c r="BX13" s="100">
        <v>7.753315340750996</v>
      </c>
      <c r="BY13" s="100">
        <v>660.58246703198483</v>
      </c>
      <c r="BZ13" s="100">
        <v>6.6647029697212847</v>
      </c>
      <c r="CA13" s="100">
        <v>567.83269302025349</v>
      </c>
      <c r="CB13" s="100">
        <v>7.6266797785022131</v>
      </c>
      <c r="CC13" s="100">
        <v>649.79311712838853</v>
      </c>
      <c r="CD13" s="100">
        <v>1.8801873360034234</v>
      </c>
      <c r="CE13" s="100">
        <v>160.19196102749169</v>
      </c>
      <c r="CF13" s="100">
        <v>10.725532129059097</v>
      </c>
      <c r="CG13" s="100">
        <v>913.81533739583506</v>
      </c>
      <c r="CH13" s="100">
        <v>7.6718248224467693</v>
      </c>
      <c r="CI13" s="100">
        <v>653.6394748724648</v>
      </c>
      <c r="CJ13" s="100">
        <v>7.7695751895634304</v>
      </c>
      <c r="CK13" s="100">
        <v>661.96780615080434</v>
      </c>
      <c r="CL13" s="100">
        <v>3.1064567863923145</v>
      </c>
      <c r="CM13" s="100">
        <v>264.67011820062521</v>
      </c>
      <c r="CN13" s="100">
        <v>10</v>
      </c>
      <c r="CO13" s="100">
        <v>852</v>
      </c>
      <c r="CP13" s="100">
        <v>6.5524136530409569</v>
      </c>
      <c r="CQ13" s="100">
        <v>558.26564323908951</v>
      </c>
      <c r="CR13" s="100">
        <v>6.2696973956925079</v>
      </c>
      <c r="CS13" s="100">
        <v>534.17821811300166</v>
      </c>
      <c r="CT13" s="100">
        <v>5.9110851911283629E-4</v>
      </c>
      <c r="CU13" s="100">
        <v>5.0362445828413656E-2</v>
      </c>
    </row>
    <row r="14" spans="1:99">
      <c r="C14" s="99" t="s">
        <v>180</v>
      </c>
      <c r="D14" s="100">
        <v>5.5050677563851442</v>
      </c>
      <c r="E14" s="100">
        <v>2688.6750922185042</v>
      </c>
      <c r="F14" s="100">
        <v>1.4773648851908607</v>
      </c>
      <c r="G14" s="100">
        <v>721.54500992721637</v>
      </c>
      <c r="H14" s="100">
        <v>6</v>
      </c>
      <c r="I14" s="100">
        <v>2930.3999999999996</v>
      </c>
      <c r="J14" s="100">
        <v>5</v>
      </c>
      <c r="K14" s="100">
        <v>2442</v>
      </c>
      <c r="L14" s="100">
        <v>1.069217651824192</v>
      </c>
      <c r="M14" s="100">
        <v>522.20590115093535</v>
      </c>
      <c r="N14" s="100">
        <v>7</v>
      </c>
      <c r="O14" s="100">
        <v>3418.7999999999997</v>
      </c>
      <c r="P14" s="100">
        <v>4.3057314541863647</v>
      </c>
      <c r="Q14" s="100">
        <v>2102.9192422246206</v>
      </c>
      <c r="R14" s="100">
        <v>6</v>
      </c>
      <c r="S14" s="100">
        <v>2930.3999999999996</v>
      </c>
      <c r="T14" s="100">
        <v>5</v>
      </c>
      <c r="U14" s="100">
        <v>2442</v>
      </c>
      <c r="V14" s="100">
        <v>1.789557741732803</v>
      </c>
      <c r="W14" s="100">
        <v>874.02000106230093</v>
      </c>
      <c r="X14" s="100">
        <v>2.7085054300034792</v>
      </c>
      <c r="Y14" s="100">
        <v>1322.8340520136992</v>
      </c>
      <c r="Z14" s="100">
        <v>9</v>
      </c>
      <c r="AA14" s="100">
        <v>4395.5999999999995</v>
      </c>
      <c r="AB14" s="100">
        <v>0.67308981389179356</v>
      </c>
      <c r="AC14" s="100">
        <v>328.73706510475193</v>
      </c>
      <c r="AD14" s="100">
        <v>7.1148855271225351</v>
      </c>
      <c r="AE14" s="100">
        <v>3474.9100914466458</v>
      </c>
      <c r="AF14" s="100">
        <v>2.2029657019950193</v>
      </c>
      <c r="AG14" s="100">
        <v>1075.9284488543674</v>
      </c>
      <c r="AH14" s="100">
        <v>6.7027878154782803</v>
      </c>
      <c r="AI14" s="100">
        <v>3273.641569079592</v>
      </c>
      <c r="AJ14" s="100">
        <v>5.9833859412928607</v>
      </c>
      <c r="AK14" s="100">
        <v>2922.2856937274332</v>
      </c>
      <c r="AL14" s="100">
        <v>8.5385509245323199</v>
      </c>
      <c r="AM14" s="100">
        <v>4170.2282715415849</v>
      </c>
      <c r="AN14" s="100">
        <v>6</v>
      </c>
      <c r="AO14" s="100">
        <v>2930.3999999999996</v>
      </c>
      <c r="AP14" s="100">
        <v>2.0474608580626836</v>
      </c>
      <c r="AQ14" s="100">
        <v>999.97988307781463</v>
      </c>
      <c r="AR14" s="100">
        <v>3.0689302348849834</v>
      </c>
      <c r="AS14" s="100">
        <v>1498.8655267178258</v>
      </c>
      <c r="AT14" s="100">
        <v>1.9050758485536143</v>
      </c>
      <c r="AU14" s="100">
        <v>930.4390444335852</v>
      </c>
      <c r="AV14" s="100">
        <v>9.1362784446837821</v>
      </c>
      <c r="AW14" s="100">
        <v>4462.1583923835587</v>
      </c>
      <c r="AX14" s="100">
        <v>7</v>
      </c>
      <c r="AY14" s="100">
        <v>3418.7999999999997</v>
      </c>
      <c r="AZ14" s="100">
        <v>6.9087145956683313</v>
      </c>
      <c r="BA14" s="100">
        <v>3374.2162085244127</v>
      </c>
      <c r="BB14" s="100">
        <v>5.4395667422291911</v>
      </c>
      <c r="BC14" s="100">
        <v>2656.6843969047368</v>
      </c>
      <c r="BD14" s="100">
        <v>8.2362120234945486</v>
      </c>
      <c r="BE14" s="100">
        <v>4022.5659522747374</v>
      </c>
      <c r="BF14" s="100">
        <v>1.5312601707021156</v>
      </c>
      <c r="BG14" s="100">
        <v>747.86746737091323</v>
      </c>
      <c r="BH14" s="100">
        <v>5.1025205662414872E-4</v>
      </c>
      <c r="BI14" s="100">
        <v>0.24920710445523422</v>
      </c>
      <c r="BJ14" s="100">
        <v>6.7476205226754606</v>
      </c>
      <c r="BK14" s="100">
        <v>3295.5378632746947</v>
      </c>
      <c r="BL14" s="100">
        <v>8</v>
      </c>
      <c r="BM14" s="100">
        <v>3907.2</v>
      </c>
      <c r="BN14" s="100">
        <v>9</v>
      </c>
      <c r="BO14" s="100">
        <v>4395.5999999999995</v>
      </c>
      <c r="BP14" s="100">
        <v>8.5679746028842967</v>
      </c>
      <c r="BQ14" s="100">
        <v>4184.59879604869</v>
      </c>
      <c r="BR14" s="100">
        <v>6.5297162948856071</v>
      </c>
      <c r="BS14" s="100">
        <v>3189.1134384221305</v>
      </c>
      <c r="BT14" s="100">
        <v>5.1565508333595246E-4</v>
      </c>
      <c r="BU14" s="100">
        <v>0.25184594270127919</v>
      </c>
      <c r="BV14" s="100">
        <v>6.2807031479428366</v>
      </c>
      <c r="BW14" s="100">
        <v>3067.4954174552813</v>
      </c>
      <c r="BX14" s="100">
        <v>7.845983469960534</v>
      </c>
      <c r="BY14" s="100">
        <v>3831.9783267287248</v>
      </c>
      <c r="BZ14" s="100">
        <v>6.0367352121906475</v>
      </c>
      <c r="CA14" s="100">
        <v>2948.3414776339123</v>
      </c>
      <c r="CB14" s="100">
        <v>7.464011800651992</v>
      </c>
      <c r="CC14" s="100">
        <v>3645.4233634384327</v>
      </c>
      <c r="CD14" s="100">
        <v>2.03582158103392</v>
      </c>
      <c r="CE14" s="100">
        <v>994.29526017696651</v>
      </c>
      <c r="CF14" s="100">
        <v>11.72522335845064</v>
      </c>
      <c r="CG14" s="100">
        <v>5726.5990882672922</v>
      </c>
      <c r="CH14" s="100">
        <v>7.6662121730231796</v>
      </c>
      <c r="CI14" s="100">
        <v>3744.1780253045208</v>
      </c>
      <c r="CJ14" s="100">
        <v>8.6596358767686539</v>
      </c>
      <c r="CK14" s="100">
        <v>4229.3661622138106</v>
      </c>
      <c r="CL14" s="100">
        <v>2.8252404808608986</v>
      </c>
      <c r="CM14" s="100">
        <v>1379.8474508524628</v>
      </c>
      <c r="CN14" s="100">
        <v>11.171924063719702</v>
      </c>
      <c r="CO14" s="100">
        <v>5456.367712720702</v>
      </c>
      <c r="CP14" s="100">
        <v>7.4884727463325227</v>
      </c>
      <c r="CQ14" s="100">
        <v>3657.3700893088039</v>
      </c>
      <c r="CR14" s="100">
        <v>6.2696973956925079</v>
      </c>
      <c r="CS14" s="100">
        <v>3062.1202080562207</v>
      </c>
      <c r="CT14" s="100">
        <v>4.7014781787826058E-4</v>
      </c>
      <c r="CU14" s="100">
        <v>0.22962019425174246</v>
      </c>
    </row>
    <row r="15" spans="1:99">
      <c r="C15" s="99" t="s">
        <v>181</v>
      </c>
      <c r="D15" s="100">
        <v>4.7186295054729808</v>
      </c>
      <c r="E15" s="100">
        <v>3601.2580385769784</v>
      </c>
      <c r="F15" s="100">
        <v>1.7728378622290328</v>
      </c>
      <c r="G15" s="100">
        <v>1353.0298564531977</v>
      </c>
      <c r="H15" s="100">
        <v>6</v>
      </c>
      <c r="I15" s="100">
        <v>4579.2</v>
      </c>
      <c r="J15" s="100">
        <v>5</v>
      </c>
      <c r="K15" s="100">
        <v>3815.9999999999995</v>
      </c>
      <c r="L15" s="100">
        <v>0.91647227299216472</v>
      </c>
      <c r="M15" s="100">
        <v>699.45163874762</v>
      </c>
      <c r="N15" s="100">
        <v>7</v>
      </c>
      <c r="O15" s="100">
        <v>5342.4</v>
      </c>
      <c r="P15" s="100">
        <v>4.3057314541863647</v>
      </c>
      <c r="Q15" s="100">
        <v>3286.1342458350332</v>
      </c>
      <c r="R15" s="100">
        <v>6</v>
      </c>
      <c r="S15" s="100">
        <v>4579.2</v>
      </c>
      <c r="T15" s="100">
        <v>5</v>
      </c>
      <c r="U15" s="100">
        <v>3815.9999999999995</v>
      </c>
      <c r="V15" s="100">
        <v>1.789557741732803</v>
      </c>
      <c r="W15" s="100">
        <v>1365.7904684904752</v>
      </c>
      <c r="X15" s="100">
        <v>2.7085054300034792</v>
      </c>
      <c r="Y15" s="100">
        <v>2067.1313441786551</v>
      </c>
      <c r="Z15" s="100">
        <v>8</v>
      </c>
      <c r="AA15" s="100">
        <v>6105.5999999999995</v>
      </c>
      <c r="AB15" s="100">
        <v>0.57212718841812726</v>
      </c>
      <c r="AC15" s="100">
        <v>436.64747020071468</v>
      </c>
      <c r="AD15" s="100">
        <v>6.4053603132265966</v>
      </c>
      <c r="AE15" s="100">
        <v>4888.5709910545384</v>
      </c>
      <c r="AF15" s="100">
        <v>2.2029657019950193</v>
      </c>
      <c r="AG15" s="100">
        <v>1681.3034237625986</v>
      </c>
      <c r="AH15" s="100">
        <v>6.7027878154782803</v>
      </c>
      <c r="AI15" s="100">
        <v>5115.5676607730229</v>
      </c>
      <c r="AJ15" s="100">
        <v>5.9833859412928607</v>
      </c>
      <c r="AK15" s="100">
        <v>4566.520150394711</v>
      </c>
      <c r="AL15" s="100">
        <v>9.5385509245323199</v>
      </c>
      <c r="AM15" s="100">
        <v>7279.8220656030662</v>
      </c>
      <c r="AN15" s="100">
        <v>5</v>
      </c>
      <c r="AO15" s="100">
        <v>3815.9999999999995</v>
      </c>
      <c r="AP15" s="100">
        <v>1.7623666839429581</v>
      </c>
      <c r="AQ15" s="100">
        <v>1345.0382531852656</v>
      </c>
      <c r="AR15" s="100">
        <v>3.5573212627516417</v>
      </c>
      <c r="AS15" s="100">
        <v>2714.9475877320529</v>
      </c>
      <c r="AT15" s="100">
        <v>1.9050758485536143</v>
      </c>
      <c r="AU15" s="100">
        <v>1453.9538876161184</v>
      </c>
      <c r="AV15" s="100">
        <v>10.136278444683782</v>
      </c>
      <c r="AW15" s="100">
        <v>7736.0077089826618</v>
      </c>
      <c r="AX15" s="100">
        <v>7</v>
      </c>
      <c r="AY15" s="100">
        <v>5342.4</v>
      </c>
      <c r="AZ15" s="100">
        <v>6.9087145956683313</v>
      </c>
      <c r="BA15" s="100">
        <v>5272.7309794140701</v>
      </c>
      <c r="BB15" s="100">
        <v>5.4395667422291911</v>
      </c>
      <c r="BC15" s="100">
        <v>4151.4773376693183</v>
      </c>
      <c r="BD15" s="100">
        <v>8.2362120234945486</v>
      </c>
      <c r="BE15" s="100">
        <v>6285.8770163310392</v>
      </c>
      <c r="BF15" s="100">
        <v>1.5312601707021156</v>
      </c>
      <c r="BG15" s="100">
        <v>1168.6577622798545</v>
      </c>
      <c r="BH15" s="100">
        <v>5.1236036000726858E-4</v>
      </c>
      <c r="BI15" s="100">
        <v>0.39103342675754732</v>
      </c>
      <c r="BJ15" s="100">
        <v>5.7476205226754606</v>
      </c>
      <c r="BK15" s="100">
        <v>4386.5839829059114</v>
      </c>
      <c r="BL15" s="100">
        <v>7</v>
      </c>
      <c r="BM15" s="100">
        <v>5342.4</v>
      </c>
      <c r="BN15" s="100">
        <v>9</v>
      </c>
      <c r="BO15" s="100">
        <v>6868.7999999999993</v>
      </c>
      <c r="BP15" s="100">
        <v>7.0101610387235151</v>
      </c>
      <c r="BQ15" s="100">
        <v>5350.1549047537865</v>
      </c>
      <c r="BR15" s="100">
        <v>4.8972872211642047</v>
      </c>
      <c r="BS15" s="100">
        <v>3737.6096071925208</v>
      </c>
      <c r="BT15" s="100">
        <v>4.607957689610982E-4</v>
      </c>
      <c r="BU15" s="100">
        <v>0.35167933087111014</v>
      </c>
      <c r="BV15" s="100">
        <v>5.5967896835261461</v>
      </c>
      <c r="BW15" s="100">
        <v>4271.4698864671545</v>
      </c>
      <c r="BX15" s="100">
        <v>7.1003965919676482</v>
      </c>
      <c r="BY15" s="100">
        <v>5419.0226789897088</v>
      </c>
      <c r="BZ15" s="100">
        <v>6.1137402910736309</v>
      </c>
      <c r="CA15" s="100">
        <v>4666.0065901473945</v>
      </c>
      <c r="CB15" s="100">
        <v>6.464011800651992</v>
      </c>
      <c r="CC15" s="100">
        <v>4933.3338062575995</v>
      </c>
      <c r="CD15" s="100">
        <v>1.8801873360034234</v>
      </c>
      <c r="CE15" s="100">
        <v>1434.9589748378125</v>
      </c>
      <c r="CF15" s="100">
        <v>11.72522335845064</v>
      </c>
      <c r="CG15" s="100">
        <v>8948.6904671695265</v>
      </c>
      <c r="CH15" s="100">
        <v>6.2851114357089433</v>
      </c>
      <c r="CI15" s="100">
        <v>4796.7970477330655</v>
      </c>
      <c r="CJ15" s="100">
        <v>7.7695751895634304</v>
      </c>
      <c r="CK15" s="100">
        <v>5929.7397846748099</v>
      </c>
      <c r="CL15" s="100">
        <v>2.5421559716799482</v>
      </c>
      <c r="CM15" s="100">
        <v>1940.1734375861363</v>
      </c>
      <c r="CN15" s="100">
        <v>11.041710278861956</v>
      </c>
      <c r="CO15" s="100">
        <v>8427.0332848274447</v>
      </c>
      <c r="CP15" s="100">
        <v>6.5524136530409569</v>
      </c>
      <c r="CQ15" s="100">
        <v>5000.8021000008575</v>
      </c>
      <c r="CR15" s="100">
        <v>6.2696973956925079</v>
      </c>
      <c r="CS15" s="100">
        <v>4785.0330523925213</v>
      </c>
      <c r="CT15" s="100">
        <v>5.2911896321950825E-4</v>
      </c>
      <c r="CU15" s="100">
        <v>0.40382359272912866</v>
      </c>
    </row>
    <row r="16" spans="1:99">
      <c r="C16" s="99" t="s">
        <v>182</v>
      </c>
      <c r="D16" s="100">
        <v>5.5050677563851442</v>
      </c>
      <c r="E16" s="100">
        <v>1876.1270913760573</v>
      </c>
      <c r="F16" s="100">
        <v>1.7728378622290328</v>
      </c>
      <c r="G16" s="100">
        <v>604.1831434476544</v>
      </c>
      <c r="H16" s="100">
        <v>6</v>
      </c>
      <c r="I16" s="100">
        <v>2044.8000000000002</v>
      </c>
      <c r="J16" s="100">
        <v>5</v>
      </c>
      <c r="K16" s="100">
        <v>1704</v>
      </c>
      <c r="L16" s="100">
        <v>0.91647227299216472</v>
      </c>
      <c r="M16" s="100">
        <v>312.33375063572976</v>
      </c>
      <c r="N16" s="100">
        <v>8</v>
      </c>
      <c r="O16" s="100">
        <v>2726.4</v>
      </c>
      <c r="P16" s="100">
        <v>3.8751583087677282</v>
      </c>
      <c r="Q16" s="100">
        <v>1320.6539516280418</v>
      </c>
      <c r="R16" s="100">
        <v>7</v>
      </c>
      <c r="S16" s="100">
        <v>2385.6</v>
      </c>
      <c r="T16" s="100">
        <v>5</v>
      </c>
      <c r="U16" s="100">
        <v>1704</v>
      </c>
      <c r="V16" s="100">
        <v>1.789557741732803</v>
      </c>
      <c r="W16" s="100">
        <v>609.88127838253934</v>
      </c>
      <c r="X16" s="100">
        <v>2.7085054300034792</v>
      </c>
      <c r="Y16" s="100">
        <v>923.05865054518574</v>
      </c>
      <c r="Z16" s="100">
        <v>8</v>
      </c>
      <c r="AA16" s="100">
        <v>2726.4</v>
      </c>
      <c r="AB16" s="100">
        <v>0.68344582328406978</v>
      </c>
      <c r="AC16" s="100">
        <v>232.91833657521099</v>
      </c>
      <c r="AD16" s="100">
        <v>7.2364119607990496</v>
      </c>
      <c r="AE16" s="100">
        <v>2466.1691962403161</v>
      </c>
      <c r="AF16" s="100">
        <v>2.1861960341842921</v>
      </c>
      <c r="AG16" s="100">
        <v>745.05560845000673</v>
      </c>
      <c r="AH16" s="100">
        <v>7.8199191180579932</v>
      </c>
      <c r="AI16" s="100">
        <v>2665.0284354341643</v>
      </c>
      <c r="AJ16" s="100">
        <v>6.731309183954469</v>
      </c>
      <c r="AK16" s="100">
        <v>2294.0301698916833</v>
      </c>
      <c r="AL16" s="100">
        <v>9.5385509245323199</v>
      </c>
      <c r="AM16" s="100">
        <v>3250.7381550806149</v>
      </c>
      <c r="AN16" s="100">
        <v>5</v>
      </c>
      <c r="AO16" s="100">
        <v>1704</v>
      </c>
      <c r="AP16" s="100">
        <v>2.0474608580626836</v>
      </c>
      <c r="AQ16" s="100">
        <v>697.77466042776257</v>
      </c>
      <c r="AR16" s="100">
        <v>3.0689302348849834</v>
      </c>
      <c r="AS16" s="100">
        <v>1045.8914240488023</v>
      </c>
      <c r="AT16" s="100">
        <v>1.8959211014585098</v>
      </c>
      <c r="AU16" s="100">
        <v>646.12991137706013</v>
      </c>
      <c r="AV16" s="100">
        <v>11.136278444683782</v>
      </c>
      <c r="AW16" s="100">
        <v>3795.2436939482332</v>
      </c>
      <c r="AX16" s="100">
        <v>8</v>
      </c>
      <c r="AY16" s="100">
        <v>2726.4</v>
      </c>
      <c r="AZ16" s="100">
        <v>7.8956738236209505</v>
      </c>
      <c r="BA16" s="100">
        <v>2690.8456390900201</v>
      </c>
      <c r="BB16" s="100">
        <v>5.4395667422291911</v>
      </c>
      <c r="BC16" s="100">
        <v>1853.8043457517083</v>
      </c>
      <c r="BD16" s="100">
        <v>8.2362120234945486</v>
      </c>
      <c r="BE16" s="100">
        <v>2806.9010576069422</v>
      </c>
      <c r="BF16" s="100">
        <v>1.8375122048425387</v>
      </c>
      <c r="BG16" s="100">
        <v>626.22415941033728</v>
      </c>
      <c r="BH16" s="100">
        <v>5.7139818447326759E-4</v>
      </c>
      <c r="BI16" s="100">
        <v>0.19473250126848959</v>
      </c>
      <c r="BJ16" s="100">
        <v>5.6408175908646809</v>
      </c>
      <c r="BK16" s="100">
        <v>1922.3906349666834</v>
      </c>
      <c r="BL16" s="100">
        <v>9</v>
      </c>
      <c r="BM16" s="100">
        <v>3067.2000000000003</v>
      </c>
      <c r="BN16" s="100">
        <v>9</v>
      </c>
      <c r="BO16" s="100">
        <v>3067.2000000000003</v>
      </c>
      <c r="BP16" s="100">
        <v>8.5679746028842967</v>
      </c>
      <c r="BQ16" s="100">
        <v>2919.9657446629685</v>
      </c>
      <c r="BR16" s="100">
        <v>5.7135017580249059</v>
      </c>
      <c r="BS16" s="100">
        <v>1947.1613991348879</v>
      </c>
      <c r="BT16" s="100">
        <v>5.1565508333595246E-4</v>
      </c>
      <c r="BU16" s="100">
        <v>0.17573525240089261</v>
      </c>
      <c r="BV16" s="100">
        <v>6.1797934009313691</v>
      </c>
      <c r="BW16" s="100">
        <v>2106.0735910374106</v>
      </c>
      <c r="BX16" s="100">
        <v>7.1022966330772626</v>
      </c>
      <c r="BY16" s="100">
        <v>2420.4626925527314</v>
      </c>
      <c r="BZ16" s="100">
        <v>7.2926707272519211</v>
      </c>
      <c r="CA16" s="100">
        <v>2485.3421838474546</v>
      </c>
      <c r="CB16" s="100">
        <v>7.464011800651992</v>
      </c>
      <c r="CC16" s="100">
        <v>2543.7352216621989</v>
      </c>
      <c r="CD16" s="100">
        <v>1.8825235949015893</v>
      </c>
      <c r="CE16" s="100">
        <v>641.56404114246163</v>
      </c>
      <c r="CF16" s="100">
        <v>9.7258408996675545</v>
      </c>
      <c r="CG16" s="100">
        <v>3314.5665786067025</v>
      </c>
      <c r="CH16" s="100">
        <v>7.6662121730231796</v>
      </c>
      <c r="CI16" s="100">
        <v>2612.6451085662998</v>
      </c>
      <c r="CJ16" s="100">
        <v>7.7695751895634304</v>
      </c>
      <c r="CK16" s="100">
        <v>2647.8712246032173</v>
      </c>
      <c r="CL16" s="100">
        <v>2.8121630553141568</v>
      </c>
      <c r="CM16" s="100">
        <v>958.38516925106467</v>
      </c>
      <c r="CN16" s="100">
        <v>11.302137848577447</v>
      </c>
      <c r="CO16" s="100">
        <v>3851.7685787951941</v>
      </c>
      <c r="CP16" s="100">
        <v>7.4884727463325227</v>
      </c>
      <c r="CQ16" s="100">
        <v>2552.0715119501237</v>
      </c>
      <c r="CR16" s="100">
        <v>6.2696973956925079</v>
      </c>
      <c r="CS16" s="100">
        <v>2136.7128724520066</v>
      </c>
      <c r="CT16" s="100">
        <v>5.3213737377158868E-4</v>
      </c>
      <c r="CU16" s="100">
        <v>0.18135241698135743</v>
      </c>
    </row>
    <row r="17" spans="2:99">
      <c r="C17" s="99" t="s">
        <v>183</v>
      </c>
      <c r="D17" s="100">
        <v>4.7186295054729808</v>
      </c>
      <c r="E17" s="100">
        <v>1993.1491031117869</v>
      </c>
      <c r="F17" s="100">
        <v>1.7728378622290328</v>
      </c>
      <c r="G17" s="100">
        <v>748.84671300554339</v>
      </c>
      <c r="H17" s="100">
        <v>7</v>
      </c>
      <c r="I17" s="100">
        <v>2956.7999999999997</v>
      </c>
      <c r="J17" s="100">
        <v>5</v>
      </c>
      <c r="K17" s="100">
        <v>2112</v>
      </c>
      <c r="L17" s="100">
        <v>0.91647227299216472</v>
      </c>
      <c r="M17" s="100">
        <v>387.11788811189035</v>
      </c>
      <c r="N17" s="100">
        <v>7</v>
      </c>
      <c r="O17" s="100">
        <v>2956.7999999999997</v>
      </c>
      <c r="P17" s="100">
        <v>4.3057314541863647</v>
      </c>
      <c r="Q17" s="100">
        <v>1818.7409662483203</v>
      </c>
      <c r="R17" s="100">
        <v>7</v>
      </c>
      <c r="S17" s="100">
        <v>2956.7999999999997</v>
      </c>
      <c r="T17" s="100">
        <v>4</v>
      </c>
      <c r="U17" s="100">
        <v>1689.6</v>
      </c>
      <c r="V17" s="100">
        <v>1.789557741732803</v>
      </c>
      <c r="W17" s="100">
        <v>755.90919010793596</v>
      </c>
      <c r="X17" s="100">
        <v>3.2502065160041749</v>
      </c>
      <c r="Y17" s="100">
        <v>1372.8872323601634</v>
      </c>
      <c r="Z17" s="100">
        <v>8</v>
      </c>
      <c r="AA17" s="100">
        <v>3379.2</v>
      </c>
      <c r="AB17" s="100">
        <v>0.67826781858793173</v>
      </c>
      <c r="AC17" s="100">
        <v>286.50032657154236</v>
      </c>
      <c r="AD17" s="100">
        <v>6.5268867469031102</v>
      </c>
      <c r="AE17" s="100">
        <v>2756.9569618918736</v>
      </c>
      <c r="AF17" s="100">
        <v>2.5561519291519161</v>
      </c>
      <c r="AG17" s="100">
        <v>1079.7185748737693</v>
      </c>
      <c r="AH17" s="100">
        <v>6.8609468257975603</v>
      </c>
      <c r="AI17" s="100">
        <v>2898.0639392168891</v>
      </c>
      <c r="AJ17" s="100">
        <v>6.731309183954469</v>
      </c>
      <c r="AK17" s="100">
        <v>2843.3049993023674</v>
      </c>
      <c r="AL17" s="100">
        <v>9.5385509245323199</v>
      </c>
      <c r="AM17" s="100">
        <v>4029.0839105224518</v>
      </c>
      <c r="AN17" s="100">
        <v>6</v>
      </c>
      <c r="AO17" s="100">
        <v>2534.3999999999996</v>
      </c>
      <c r="AP17" s="100">
        <v>2.0474608580626836</v>
      </c>
      <c r="AQ17" s="100">
        <v>864.84746644567747</v>
      </c>
      <c r="AR17" s="100">
        <v>3.0689302348849834</v>
      </c>
      <c r="AS17" s="100">
        <v>1296.3161312154168</v>
      </c>
      <c r="AT17" s="100">
        <v>2.1260451788194952</v>
      </c>
      <c r="AU17" s="100">
        <v>898.04148353335472</v>
      </c>
      <c r="AV17" s="100">
        <v>11.262531605204202</v>
      </c>
      <c r="AW17" s="100">
        <v>4757.2933500382551</v>
      </c>
      <c r="AX17" s="100">
        <v>7</v>
      </c>
      <c r="AY17" s="100">
        <v>2956.7999999999997</v>
      </c>
      <c r="AZ17" s="100">
        <v>6.9087145956683313</v>
      </c>
      <c r="BA17" s="100">
        <v>2918.2410452103031</v>
      </c>
      <c r="BB17" s="100">
        <v>5.4395667422291911</v>
      </c>
      <c r="BC17" s="100">
        <v>2297.67299191761</v>
      </c>
      <c r="BD17" s="100">
        <v>8.2362120234945486</v>
      </c>
      <c r="BE17" s="100">
        <v>3478.9759587240969</v>
      </c>
      <c r="BF17" s="100">
        <v>1.8375122048425387</v>
      </c>
      <c r="BG17" s="100">
        <v>776.16515532548829</v>
      </c>
      <c r="BH17" s="100">
        <v>5.1236036000726858E-4</v>
      </c>
      <c r="BI17" s="100">
        <v>0.21642101606707023</v>
      </c>
      <c r="BJ17" s="100">
        <v>6.7476205226754606</v>
      </c>
      <c r="BK17" s="100">
        <v>2850.1949087781145</v>
      </c>
      <c r="BL17" s="100">
        <v>8</v>
      </c>
      <c r="BM17" s="100">
        <v>3379.2</v>
      </c>
      <c r="BN17" s="100">
        <v>9</v>
      </c>
      <c r="BO17" s="100">
        <v>3801.6</v>
      </c>
      <c r="BP17" s="100">
        <v>7.7890678208039068</v>
      </c>
      <c r="BQ17" s="100">
        <v>3290.1022475075702</v>
      </c>
      <c r="BR17" s="100">
        <v>6.5297162948856071</v>
      </c>
      <c r="BS17" s="100">
        <v>2758.1521629596805</v>
      </c>
      <c r="BT17" s="100">
        <v>5.1291492659066948E-4</v>
      </c>
      <c r="BU17" s="100">
        <v>0.21665526499189877</v>
      </c>
      <c r="BV17" s="100">
        <v>6.1770631541334629</v>
      </c>
      <c r="BW17" s="100">
        <v>2609.1914763059744</v>
      </c>
      <c r="BX17" s="100">
        <v>7.7552153818606122</v>
      </c>
      <c r="BY17" s="100">
        <v>3275.8029772979226</v>
      </c>
      <c r="BZ17" s="100">
        <v>6.7417080486042673</v>
      </c>
      <c r="CA17" s="100">
        <v>2847.6974797304424</v>
      </c>
      <c r="CB17" s="100">
        <v>7.6266797785022131</v>
      </c>
      <c r="CC17" s="100">
        <v>3221.5095384393348</v>
      </c>
      <c r="CD17" s="100">
        <v>1.71053553758393</v>
      </c>
      <c r="CE17" s="100">
        <v>722.53021107545203</v>
      </c>
      <c r="CF17" s="100">
        <v>10.621443581181431</v>
      </c>
      <c r="CG17" s="100">
        <v>4486.4977686910361</v>
      </c>
      <c r="CH17" s="100">
        <v>7.6662121730231796</v>
      </c>
      <c r="CI17" s="100">
        <v>3238.208021884991</v>
      </c>
      <c r="CJ17" s="100">
        <v>8.6596358767686539</v>
      </c>
      <c r="CK17" s="100">
        <v>3657.8301943470792</v>
      </c>
      <c r="CL17" s="100">
        <v>2.5309467497827409</v>
      </c>
      <c r="CM17" s="100">
        <v>1069.0719071082297</v>
      </c>
      <c r="CN17" s="100">
        <v>11.171924063719702</v>
      </c>
      <c r="CO17" s="100">
        <v>4719.0207245152023</v>
      </c>
      <c r="CP17" s="100">
        <v>6.5524136530409569</v>
      </c>
      <c r="CQ17" s="100">
        <v>2767.7395270444999</v>
      </c>
      <c r="CR17" s="100">
        <v>5.3740263391650069</v>
      </c>
      <c r="CS17" s="100">
        <v>2269.9887256632987</v>
      </c>
      <c r="CT17" s="100">
        <v>5.3213737377158868E-4</v>
      </c>
      <c r="CU17" s="100">
        <v>0.22477482668111903</v>
      </c>
    </row>
    <row r="18" spans="2:99">
      <c r="C18" s="99" t="s">
        <v>184</v>
      </c>
      <c r="D18" s="100">
        <v>5.5050677563851442</v>
      </c>
      <c r="E18" s="100">
        <v>3593.7082313682217</v>
      </c>
      <c r="F18" s="100">
        <v>1.7728378622290328</v>
      </c>
      <c r="G18" s="100">
        <v>1157.3085564631126</v>
      </c>
      <c r="H18" s="100">
        <v>6</v>
      </c>
      <c r="I18" s="100">
        <v>3916.7999999999997</v>
      </c>
      <c r="J18" s="100">
        <v>6</v>
      </c>
      <c r="K18" s="100">
        <v>3916.7999999999997</v>
      </c>
      <c r="L18" s="100">
        <v>0.91647227299216472</v>
      </c>
      <c r="M18" s="100">
        <v>598.2730998092851</v>
      </c>
      <c r="N18" s="100">
        <v>8</v>
      </c>
      <c r="O18" s="100">
        <v>5222.3999999999996</v>
      </c>
      <c r="P18" s="100">
        <v>4.3057314541863647</v>
      </c>
      <c r="Q18" s="100">
        <v>2810.7814932928586</v>
      </c>
      <c r="R18" s="100">
        <v>7</v>
      </c>
      <c r="S18" s="100">
        <v>4569.5999999999995</v>
      </c>
      <c r="T18" s="100">
        <v>5</v>
      </c>
      <c r="U18" s="100">
        <v>3264</v>
      </c>
      <c r="V18" s="100">
        <v>1.789557741732803</v>
      </c>
      <c r="W18" s="100">
        <v>1168.2232938031736</v>
      </c>
      <c r="X18" s="100">
        <v>2.7085054300034792</v>
      </c>
      <c r="Y18" s="100">
        <v>1768.1123447062712</v>
      </c>
      <c r="Z18" s="100">
        <v>8</v>
      </c>
      <c r="AA18" s="100">
        <v>5222.3999999999996</v>
      </c>
      <c r="AB18" s="100">
        <v>0.57212718841812726</v>
      </c>
      <c r="AC18" s="100">
        <v>373.48462859935347</v>
      </c>
      <c r="AD18" s="100">
        <v>7.1148855271225351</v>
      </c>
      <c r="AE18" s="100">
        <v>4644.5972721055905</v>
      </c>
      <c r="AF18" s="100">
        <v>2.5393822613411881</v>
      </c>
      <c r="AG18" s="100">
        <v>1657.7087402035274</v>
      </c>
      <c r="AH18" s="100">
        <v>6.8609468257975603</v>
      </c>
      <c r="AI18" s="100">
        <v>4478.8260878806468</v>
      </c>
      <c r="AJ18" s="100">
        <v>5.9833859412928607</v>
      </c>
      <c r="AK18" s="100">
        <v>3905.954342475979</v>
      </c>
      <c r="AL18" s="100">
        <v>9.5385509245323199</v>
      </c>
      <c r="AM18" s="100">
        <v>6226.7660435346979</v>
      </c>
      <c r="AN18" s="100">
        <v>6</v>
      </c>
      <c r="AO18" s="100">
        <v>3916.7999999999997</v>
      </c>
      <c r="AP18" s="100">
        <v>1.7623666839429581</v>
      </c>
      <c r="AQ18" s="100">
        <v>1150.4729712779631</v>
      </c>
      <c r="AR18" s="100">
        <v>3.1531403929058834</v>
      </c>
      <c r="AS18" s="100">
        <v>2058.3700484889605</v>
      </c>
      <c r="AT18" s="100">
        <v>2.1351999259145997</v>
      </c>
      <c r="AU18" s="100">
        <v>1393.8585116370507</v>
      </c>
      <c r="AV18" s="100">
        <v>10.136278444683782</v>
      </c>
      <c r="AW18" s="100">
        <v>6616.9625686895724</v>
      </c>
      <c r="AX18" s="100">
        <v>7</v>
      </c>
      <c r="AY18" s="100">
        <v>4569.5999999999995</v>
      </c>
      <c r="AZ18" s="100">
        <v>6.9087145956683313</v>
      </c>
      <c r="BA18" s="100">
        <v>4510.0088880522862</v>
      </c>
      <c r="BB18" s="100">
        <v>4.6624857790535916</v>
      </c>
      <c r="BC18" s="100">
        <v>3043.6707165661842</v>
      </c>
      <c r="BD18" s="100">
        <v>8.2362120234945486</v>
      </c>
      <c r="BE18" s="100">
        <v>5376.5992089372412</v>
      </c>
      <c r="BF18" s="100">
        <v>1.5312601707021156</v>
      </c>
      <c r="BG18" s="100">
        <v>999.60663943434099</v>
      </c>
      <c r="BH18" s="100">
        <v>5.1236036000726858E-4</v>
      </c>
      <c r="BI18" s="100">
        <v>0.33446884301274493</v>
      </c>
      <c r="BJ18" s="100">
        <v>6.6408175908646809</v>
      </c>
      <c r="BK18" s="100">
        <v>4335.1257233164633</v>
      </c>
      <c r="BL18" s="100">
        <v>7</v>
      </c>
      <c r="BM18" s="100">
        <v>4569.5999999999995</v>
      </c>
      <c r="BN18" s="100">
        <v>8</v>
      </c>
      <c r="BO18" s="100">
        <v>5222.3999999999996</v>
      </c>
      <c r="BP18" s="100">
        <v>7.0101610387235151</v>
      </c>
      <c r="BQ18" s="100">
        <v>4576.2331260787105</v>
      </c>
      <c r="BR18" s="100">
        <v>4.8972872211642047</v>
      </c>
      <c r="BS18" s="100">
        <v>3196.9490979759926</v>
      </c>
      <c r="BT18" s="100">
        <v>5.1839524008123544E-4</v>
      </c>
      <c r="BU18" s="100">
        <v>0.33840841272503047</v>
      </c>
      <c r="BV18" s="100">
        <v>6.1797934009313691</v>
      </c>
      <c r="BW18" s="100">
        <v>4034.1691321279973</v>
      </c>
      <c r="BX18" s="100">
        <v>7.0058284216484932</v>
      </c>
      <c r="BY18" s="100">
        <v>4573.4047936521356</v>
      </c>
      <c r="BZ18" s="100">
        <v>6.1143179835546659</v>
      </c>
      <c r="CA18" s="100">
        <v>3991.4267796644858</v>
      </c>
      <c r="CB18" s="100">
        <v>7.464011800651992</v>
      </c>
      <c r="CC18" s="100">
        <v>4872.5069034656199</v>
      </c>
      <c r="CD18" s="100">
        <v>1.7128717964820961</v>
      </c>
      <c r="CE18" s="100">
        <v>1118.1627087435122</v>
      </c>
      <c r="CF18" s="100">
        <v>9.6217523517898869</v>
      </c>
      <c r="CG18" s="100">
        <v>6281.0799352484373</v>
      </c>
      <c r="CH18" s="100">
        <v>6.9784681290778572</v>
      </c>
      <c r="CI18" s="100">
        <v>4555.5439946620245</v>
      </c>
      <c r="CJ18" s="100">
        <v>7.6596358767686548</v>
      </c>
      <c r="CK18" s="100">
        <v>5000.2103003545772</v>
      </c>
      <c r="CL18" s="100">
        <v>2.5309467497827409</v>
      </c>
      <c r="CM18" s="100">
        <v>1652.2020382581732</v>
      </c>
      <c r="CN18" s="100">
        <v>9</v>
      </c>
      <c r="CO18" s="100">
        <v>5875.2</v>
      </c>
      <c r="CP18" s="100">
        <v>6.5524136530409569</v>
      </c>
      <c r="CQ18" s="100">
        <v>4277.415632705136</v>
      </c>
      <c r="CR18" s="100">
        <v>6.2696973956925079</v>
      </c>
      <c r="CS18" s="100">
        <v>4092.8584599080691</v>
      </c>
      <c r="CT18" s="100">
        <v>4.7316622843034096E-4</v>
      </c>
      <c r="CU18" s="100">
        <v>0.30888291391932654</v>
      </c>
    </row>
    <row r="19" spans="2:99">
      <c r="C19" s="99" t="s">
        <v>185</v>
      </c>
      <c r="D19" s="100">
        <v>5.5050677563851442</v>
      </c>
      <c r="E19" s="100">
        <v>1816.6723596070976</v>
      </c>
      <c r="F19" s="100">
        <v>1.7728378622290328</v>
      </c>
      <c r="G19" s="100">
        <v>585.0364945355808</v>
      </c>
      <c r="H19" s="100">
        <v>6</v>
      </c>
      <c r="I19" s="100">
        <v>1980</v>
      </c>
      <c r="J19" s="100">
        <v>5</v>
      </c>
      <c r="K19" s="100">
        <v>1650</v>
      </c>
      <c r="L19" s="100">
        <v>0.91647227299216472</v>
      </c>
      <c r="M19" s="100">
        <v>302.43585008741434</v>
      </c>
      <c r="N19" s="100">
        <v>7</v>
      </c>
      <c r="O19" s="100">
        <v>2310</v>
      </c>
      <c r="P19" s="100">
        <v>3.8751583087677282</v>
      </c>
      <c r="Q19" s="100">
        <v>1278.8022418933504</v>
      </c>
      <c r="R19" s="100">
        <v>6</v>
      </c>
      <c r="S19" s="100">
        <v>1980</v>
      </c>
      <c r="T19" s="100">
        <v>5</v>
      </c>
      <c r="U19" s="100">
        <v>1650</v>
      </c>
      <c r="V19" s="100">
        <v>1.789557741732803</v>
      </c>
      <c r="W19" s="100">
        <v>590.55405477182501</v>
      </c>
      <c r="X19" s="100">
        <v>3.2502065160041749</v>
      </c>
      <c r="Y19" s="100">
        <v>1072.5681502813777</v>
      </c>
      <c r="Z19" s="100">
        <v>8</v>
      </c>
      <c r="AA19" s="100">
        <v>2640</v>
      </c>
      <c r="AB19" s="100">
        <v>0.67826781858793173</v>
      </c>
      <c r="AC19" s="100">
        <v>223.82838013401746</v>
      </c>
      <c r="AD19" s="100">
        <v>7.2364119607990496</v>
      </c>
      <c r="AE19" s="100">
        <v>2388.0159470636863</v>
      </c>
      <c r="AF19" s="100">
        <v>2.5226125935304604</v>
      </c>
      <c r="AG19" s="100">
        <v>832.46215586505195</v>
      </c>
      <c r="AH19" s="100">
        <v>6.8609468257975603</v>
      </c>
      <c r="AI19" s="100">
        <v>2264.112452513195</v>
      </c>
      <c r="AJ19" s="100">
        <v>6.731309183954469</v>
      </c>
      <c r="AK19" s="100">
        <v>2221.3320307049748</v>
      </c>
      <c r="AL19" s="100">
        <v>9.5385509245323199</v>
      </c>
      <c r="AM19" s="100">
        <v>3147.7218050956658</v>
      </c>
      <c r="AN19" s="100">
        <v>5</v>
      </c>
      <c r="AO19" s="100">
        <v>1650</v>
      </c>
      <c r="AP19" s="100">
        <v>2.3325550321824089</v>
      </c>
      <c r="AQ19" s="100">
        <v>769.74316062019489</v>
      </c>
      <c r="AR19" s="100">
        <v>3.6456985307064742</v>
      </c>
      <c r="AS19" s="100">
        <v>1203.0805151331365</v>
      </c>
      <c r="AT19" s="100">
        <v>1.9050758485536143</v>
      </c>
      <c r="AU19" s="100">
        <v>628.67503002269268</v>
      </c>
      <c r="AV19" s="100">
        <v>10.136278444683782</v>
      </c>
      <c r="AW19" s="100">
        <v>3344.9718867456481</v>
      </c>
      <c r="AX19" s="100">
        <v>7</v>
      </c>
      <c r="AY19" s="100">
        <v>2310</v>
      </c>
      <c r="AZ19" s="100">
        <v>7.8956738236209505</v>
      </c>
      <c r="BA19" s="100">
        <v>2605.5723617949138</v>
      </c>
      <c r="BB19" s="100">
        <v>5.4395667422291911</v>
      </c>
      <c r="BC19" s="100">
        <v>1795.0570249356331</v>
      </c>
      <c r="BD19" s="100">
        <v>7.412590821145093</v>
      </c>
      <c r="BE19" s="100">
        <v>2446.1549709778806</v>
      </c>
      <c r="BF19" s="100">
        <v>1.5312601707021156</v>
      </c>
      <c r="BG19" s="100">
        <v>505.31585633169817</v>
      </c>
      <c r="BH19" s="100">
        <v>5.7350648785638744E-4</v>
      </c>
      <c r="BI19" s="100">
        <v>0.18925714099260785</v>
      </c>
      <c r="BJ19" s="100">
        <v>5.7476205226754606</v>
      </c>
      <c r="BK19" s="100">
        <v>1896.7147724829019</v>
      </c>
      <c r="BL19" s="100">
        <v>9</v>
      </c>
      <c r="BM19" s="100">
        <v>2970</v>
      </c>
      <c r="BN19" s="100">
        <v>9</v>
      </c>
      <c r="BO19" s="100">
        <v>2970</v>
      </c>
      <c r="BP19" s="100">
        <v>7.7890678208039068</v>
      </c>
      <c r="BQ19" s="100">
        <v>2570.3923808652894</v>
      </c>
      <c r="BR19" s="100">
        <v>5.7135017580249059</v>
      </c>
      <c r="BS19" s="100">
        <v>1885.455580148219</v>
      </c>
      <c r="BT19" s="100">
        <v>4.607957689610982E-4</v>
      </c>
      <c r="BU19" s="100">
        <v>0.15206260375716241</v>
      </c>
      <c r="BV19" s="100">
        <v>6.7655273651344965</v>
      </c>
      <c r="BW19" s="100">
        <v>2232.624030494384</v>
      </c>
      <c r="BX19" s="100">
        <v>7.7552153818606122</v>
      </c>
      <c r="BY19" s="100">
        <v>2559.2210760140019</v>
      </c>
      <c r="BZ19" s="100">
        <v>6.1143179835546659</v>
      </c>
      <c r="CA19" s="100">
        <v>2017.7249345730397</v>
      </c>
      <c r="CB19" s="100">
        <v>8.464011800651992</v>
      </c>
      <c r="CC19" s="100">
        <v>2793.1238942151572</v>
      </c>
      <c r="CD19" s="100">
        <v>2.03582158103392</v>
      </c>
      <c r="CE19" s="100">
        <v>671.82112174119356</v>
      </c>
      <c r="CF19" s="100">
        <v>10.621443581181431</v>
      </c>
      <c r="CG19" s="100">
        <v>3505.0763817898724</v>
      </c>
      <c r="CH19" s="100">
        <v>7.6718248224467693</v>
      </c>
      <c r="CI19" s="100">
        <v>2531.7021914074339</v>
      </c>
      <c r="CJ19" s="100">
        <v>7.6596358767686548</v>
      </c>
      <c r="CK19" s="100">
        <v>2527.6798393336562</v>
      </c>
      <c r="CL19" s="100">
        <v>2.8233722772113641</v>
      </c>
      <c r="CM19" s="100">
        <v>931.71285147975016</v>
      </c>
      <c r="CN19" s="100">
        <v>11</v>
      </c>
      <c r="CO19" s="100">
        <v>3630</v>
      </c>
      <c r="CP19" s="100">
        <v>7.4884727463325227</v>
      </c>
      <c r="CQ19" s="100">
        <v>2471.1960062897324</v>
      </c>
      <c r="CR19" s="100">
        <v>6.2696973956925079</v>
      </c>
      <c r="CS19" s="100">
        <v>2069.0001405785274</v>
      </c>
      <c r="CT19" s="100">
        <v>5.3213737377158868E-4</v>
      </c>
      <c r="CU19" s="100">
        <v>0.17560533334462428</v>
      </c>
    </row>
    <row r="20" spans="2:99">
      <c r="B20" s="99" t="s">
        <v>127</v>
      </c>
      <c r="C20" s="99" t="s">
        <v>186</v>
      </c>
      <c r="D20" s="100">
        <v>6.2915060072973068</v>
      </c>
      <c r="E20" s="100">
        <v>1804.4039228928677</v>
      </c>
      <c r="F20" s="100">
        <v>2.3637838163053773</v>
      </c>
      <c r="G20" s="100">
        <v>677.93319851638228</v>
      </c>
      <c r="H20" s="100">
        <v>9</v>
      </c>
      <c r="I20" s="100">
        <v>2581.2000000000003</v>
      </c>
      <c r="J20" s="100">
        <v>9</v>
      </c>
      <c r="K20" s="100">
        <v>2581.2000000000003</v>
      </c>
      <c r="L20" s="100">
        <v>1.3747084094882471</v>
      </c>
      <c r="M20" s="100">
        <v>394.26637184122927</v>
      </c>
      <c r="N20" s="100">
        <v>8</v>
      </c>
      <c r="O20" s="100">
        <v>2294.4</v>
      </c>
      <c r="P20" s="100">
        <v>3.4445851633490916</v>
      </c>
      <c r="Q20" s="100">
        <v>987.90702484851954</v>
      </c>
      <c r="R20" s="100">
        <v>6</v>
      </c>
      <c r="S20" s="100">
        <v>1720.8000000000002</v>
      </c>
      <c r="T20" s="100">
        <v>8</v>
      </c>
      <c r="U20" s="100">
        <v>2294.4</v>
      </c>
      <c r="V20" s="100">
        <v>2.5053808384259248</v>
      </c>
      <c r="W20" s="100">
        <v>718.54322446055528</v>
      </c>
      <c r="X20" s="100">
        <v>5.2736378954614143</v>
      </c>
      <c r="Y20" s="100">
        <v>1512.4793484183338</v>
      </c>
      <c r="Z20" s="100">
        <v>10</v>
      </c>
      <c r="AA20" s="100">
        <v>2868</v>
      </c>
      <c r="AB20" s="100">
        <v>1.0122237231857594</v>
      </c>
      <c r="AC20" s="100">
        <v>290.3057638096758</v>
      </c>
      <c r="AD20" s="100">
        <v>6.2015742221998513</v>
      </c>
      <c r="AE20" s="100">
        <v>1778.6114869269175</v>
      </c>
      <c r="AF20" s="100">
        <v>2.8786229184908363</v>
      </c>
      <c r="AG20" s="100">
        <v>825.58905302317191</v>
      </c>
      <c r="AH20" s="100">
        <v>10.528658754175259</v>
      </c>
      <c r="AI20" s="100">
        <v>3019.6193306974646</v>
      </c>
      <c r="AJ20" s="100">
        <v>6.2909693781589624</v>
      </c>
      <c r="AK20" s="100">
        <v>1804.2500176559904</v>
      </c>
      <c r="AL20" s="100">
        <v>11.80782638679848</v>
      </c>
      <c r="AM20" s="100">
        <v>3386.4846077338043</v>
      </c>
      <c r="AN20" s="100">
        <v>8</v>
      </c>
      <c r="AO20" s="100">
        <v>2294.4</v>
      </c>
      <c r="AP20" s="100">
        <v>2.1436639023369528</v>
      </c>
      <c r="AQ20" s="100">
        <v>614.80280719023813</v>
      </c>
      <c r="AR20" s="100">
        <v>6.5545426694175219</v>
      </c>
      <c r="AS20" s="100">
        <v>1879.8428375889453</v>
      </c>
      <c r="AT20" s="100">
        <v>1.5729941531631075</v>
      </c>
      <c r="AU20" s="100">
        <v>451.13472312717926</v>
      </c>
      <c r="AV20" s="100">
        <v>7.2625316052042015</v>
      </c>
      <c r="AW20" s="100">
        <v>2082.894064372565</v>
      </c>
      <c r="AX20" s="100">
        <v>11</v>
      </c>
      <c r="AY20" s="100">
        <v>3154.8</v>
      </c>
      <c r="AZ20" s="100">
        <v>11.843510735431424</v>
      </c>
      <c r="BA20" s="100">
        <v>3396.7188789217325</v>
      </c>
      <c r="BB20" s="100">
        <v>5.4395667422291911</v>
      </c>
      <c r="BC20" s="100">
        <v>1560.067741671332</v>
      </c>
      <c r="BD20" s="100">
        <v>5.7653484164461846</v>
      </c>
      <c r="BE20" s="100">
        <v>1653.5019258367658</v>
      </c>
      <c r="BF20" s="100">
        <v>2.1437642389829619</v>
      </c>
      <c r="BG20" s="100">
        <v>614.83158374031348</v>
      </c>
      <c r="BH20" s="100">
        <v>4.5543083892438926E-4</v>
      </c>
      <c r="BI20" s="100">
        <v>0.13061756460351484</v>
      </c>
      <c r="BJ20" s="100">
        <v>8.602043977161701</v>
      </c>
      <c r="BK20" s="100">
        <v>2467.066212649976</v>
      </c>
      <c r="BL20" s="100">
        <v>9</v>
      </c>
      <c r="BM20" s="100">
        <v>2581.2000000000003</v>
      </c>
      <c r="BN20" s="100">
        <v>10</v>
      </c>
      <c r="BO20" s="100">
        <v>2868</v>
      </c>
      <c r="BP20" s="100">
        <v>8.5679746028842967</v>
      </c>
      <c r="BQ20" s="100">
        <v>2457.2951161072165</v>
      </c>
      <c r="BR20" s="100">
        <v>6.5297162948856071</v>
      </c>
      <c r="BS20" s="100">
        <v>1872.7226333731921</v>
      </c>
      <c r="BT20" s="100">
        <v>4.8819733641392824E-4</v>
      </c>
      <c r="BU20" s="100">
        <v>0.14001499608351461</v>
      </c>
      <c r="BV20" s="100">
        <v>6.8964698269229272</v>
      </c>
      <c r="BW20" s="100">
        <v>1977.9075463614956</v>
      </c>
      <c r="BX20" s="100">
        <v>7.8569419545208783</v>
      </c>
      <c r="BY20" s="100">
        <v>2253.3709525565878</v>
      </c>
      <c r="BZ20" s="100">
        <v>5.798414388923212</v>
      </c>
      <c r="CA20" s="100">
        <v>1662.9852467431772</v>
      </c>
      <c r="CB20" s="100">
        <v>13.440019667753319</v>
      </c>
      <c r="CC20" s="100">
        <v>3854.5976407116518</v>
      </c>
      <c r="CD20" s="100">
        <v>1.6965179841949334</v>
      </c>
      <c r="CE20" s="100">
        <v>486.56135786710689</v>
      </c>
      <c r="CF20" s="100">
        <v>10.662637830566547</v>
      </c>
      <c r="CG20" s="100">
        <v>3058.044529806486</v>
      </c>
      <c r="CH20" s="100">
        <v>4.853496853582393</v>
      </c>
      <c r="CI20" s="100">
        <v>1391.9828976074305</v>
      </c>
      <c r="CJ20" s="100">
        <v>14.539150379126861</v>
      </c>
      <c r="CK20" s="100">
        <v>4169.8283287335835</v>
      </c>
      <c r="CL20" s="100">
        <v>1.9685141387199099</v>
      </c>
      <c r="CM20" s="100">
        <v>564.56985498487018</v>
      </c>
      <c r="CN20" s="100">
        <v>7.9532067728661691</v>
      </c>
      <c r="CO20" s="100">
        <v>2280.9797024580175</v>
      </c>
      <c r="CP20" s="100">
        <v>10.296650026207219</v>
      </c>
      <c r="CQ20" s="100">
        <v>2953.0792275162307</v>
      </c>
      <c r="CR20" s="100">
        <v>8.0610395087475109</v>
      </c>
      <c r="CS20" s="100">
        <v>2311.9061311087862</v>
      </c>
      <c r="CT20" s="100">
        <v>6.6517171721448582E-4</v>
      </c>
      <c r="CU20" s="100">
        <v>0.19077124849711455</v>
      </c>
    </row>
    <row r="21" spans="2:99">
      <c r="C21" s="99" t="s">
        <v>187</v>
      </c>
      <c r="D21" s="100">
        <v>5.5050677563851442</v>
      </c>
      <c r="E21" s="100">
        <v>343.51622799843301</v>
      </c>
      <c r="F21" s="100">
        <v>2.3637838163053773</v>
      </c>
      <c r="G21" s="100">
        <v>147.50011013745555</v>
      </c>
      <c r="H21" s="100">
        <v>9</v>
      </c>
      <c r="I21" s="100">
        <v>561.6</v>
      </c>
      <c r="J21" s="100">
        <v>9</v>
      </c>
      <c r="K21" s="100">
        <v>561.6</v>
      </c>
      <c r="L21" s="100">
        <v>1.3747084094882471</v>
      </c>
      <c r="M21" s="100">
        <v>85.78180475206662</v>
      </c>
      <c r="N21" s="100">
        <v>8</v>
      </c>
      <c r="O21" s="100">
        <v>499.2</v>
      </c>
      <c r="P21" s="100">
        <v>4.3057314541863647</v>
      </c>
      <c r="Q21" s="100">
        <v>268.67764274122914</v>
      </c>
      <c r="R21" s="100">
        <v>6</v>
      </c>
      <c r="S21" s="100">
        <v>374.4</v>
      </c>
      <c r="T21" s="100">
        <v>8</v>
      </c>
      <c r="U21" s="100">
        <v>499.2</v>
      </c>
      <c r="V21" s="100">
        <v>2.5053808384259248</v>
      </c>
      <c r="W21" s="100">
        <v>156.33576431777772</v>
      </c>
      <c r="X21" s="100">
        <v>5.2985334030523603</v>
      </c>
      <c r="Y21" s="100">
        <v>330.62848435046726</v>
      </c>
      <c r="Z21" s="100">
        <v>11</v>
      </c>
      <c r="AA21" s="100">
        <v>686.4</v>
      </c>
      <c r="AB21" s="100">
        <v>1.0122237231857594</v>
      </c>
      <c r="AC21" s="100">
        <v>63.162760326791386</v>
      </c>
      <c r="AD21" s="100">
        <v>6.6680465687427644</v>
      </c>
      <c r="AE21" s="100">
        <v>416.08610588954849</v>
      </c>
      <c r="AF21" s="100">
        <v>2.993186495362453</v>
      </c>
      <c r="AG21" s="100">
        <v>186.77483731061707</v>
      </c>
      <c r="AH21" s="100">
        <v>9.4115274515955445</v>
      </c>
      <c r="AI21" s="100">
        <v>587.27931297956195</v>
      </c>
      <c r="AJ21" s="100">
        <v>6.316601331231138</v>
      </c>
      <c r="AK21" s="100">
        <v>394.15592306882303</v>
      </c>
      <c r="AL21" s="100">
        <v>11.80782638679848</v>
      </c>
      <c r="AM21" s="100">
        <v>736.80836653622509</v>
      </c>
      <c r="AN21" s="100">
        <v>9</v>
      </c>
      <c r="AO21" s="100">
        <v>561.6</v>
      </c>
      <c r="AP21" s="100">
        <v>1.710565044718352</v>
      </c>
      <c r="AQ21" s="100">
        <v>106.73925879042517</v>
      </c>
      <c r="AR21" s="100">
        <v>6.4703325113966219</v>
      </c>
      <c r="AS21" s="100">
        <v>403.74874871114918</v>
      </c>
      <c r="AT21" s="100">
        <v>1.5546846589728984</v>
      </c>
      <c r="AU21" s="100">
        <v>97.012322719908866</v>
      </c>
      <c r="AV21" s="100">
        <v>7.515037926245042</v>
      </c>
      <c r="AW21" s="100">
        <v>468.93836659769062</v>
      </c>
      <c r="AX21" s="100">
        <v>9</v>
      </c>
      <c r="AY21" s="100">
        <v>561.6</v>
      </c>
      <c r="AZ21" s="100">
        <v>11.843510735431424</v>
      </c>
      <c r="BA21" s="100">
        <v>739.03506989092091</v>
      </c>
      <c r="BB21" s="100">
        <v>5.4395667422291911</v>
      </c>
      <c r="BC21" s="100">
        <v>339.42896471510153</v>
      </c>
      <c r="BD21" s="100">
        <v>5.7653484164461846</v>
      </c>
      <c r="BE21" s="100">
        <v>359.7577411862419</v>
      </c>
      <c r="BF21" s="100">
        <v>1.8375122048425387</v>
      </c>
      <c r="BG21" s="100">
        <v>114.66076158217442</v>
      </c>
      <c r="BH21" s="100">
        <v>4.5964744569062881E-4</v>
      </c>
      <c r="BI21" s="100">
        <v>2.8682000611095236E-2</v>
      </c>
      <c r="BJ21" s="100">
        <v>9.4952410453509213</v>
      </c>
      <c r="BK21" s="100">
        <v>592.50304122989746</v>
      </c>
      <c r="BL21" s="100">
        <v>8</v>
      </c>
      <c r="BM21" s="100">
        <v>499.2</v>
      </c>
      <c r="BN21" s="100">
        <v>11</v>
      </c>
      <c r="BO21" s="100">
        <v>686.4</v>
      </c>
      <c r="BP21" s="100">
        <v>8.5679746028842967</v>
      </c>
      <c r="BQ21" s="100">
        <v>534.64161521998005</v>
      </c>
      <c r="BR21" s="100">
        <v>6.5297162948856071</v>
      </c>
      <c r="BS21" s="100">
        <v>407.45429680086187</v>
      </c>
      <c r="BT21" s="100">
        <v>4.8545717966864521E-4</v>
      </c>
      <c r="BU21" s="100">
        <v>3.0292528011323459E-2</v>
      </c>
      <c r="BV21" s="100">
        <v>8.0679377553291847</v>
      </c>
      <c r="BW21" s="100">
        <v>503.43931593254109</v>
      </c>
      <c r="BX21" s="100">
        <v>7.1132551176376078</v>
      </c>
      <c r="BY21" s="100">
        <v>443.86711934058673</v>
      </c>
      <c r="BZ21" s="100">
        <v>6.5786592267767086</v>
      </c>
      <c r="CA21" s="100">
        <v>410.50833575086659</v>
      </c>
      <c r="CB21" s="100">
        <v>15.277351689903098</v>
      </c>
      <c r="CC21" s="100">
        <v>953.30674544995327</v>
      </c>
      <c r="CD21" s="100">
        <v>1.6965179841949334</v>
      </c>
      <c r="CE21" s="100">
        <v>105.86272221376385</v>
      </c>
      <c r="CF21" s="100">
        <v>9.3506809575420053</v>
      </c>
      <c r="CG21" s="100">
        <v>583.48249175062108</v>
      </c>
      <c r="CH21" s="100">
        <v>4.853496853582393</v>
      </c>
      <c r="CI21" s="100">
        <v>302.8582036635413</v>
      </c>
      <c r="CJ21" s="100">
        <v>12.429211066332085</v>
      </c>
      <c r="CK21" s="100">
        <v>775.58277053912207</v>
      </c>
      <c r="CL21" s="100">
        <v>1.9685141387199099</v>
      </c>
      <c r="CM21" s="100">
        <v>122.83528225612237</v>
      </c>
      <c r="CN21" s="100">
        <v>7.8229929880084246</v>
      </c>
      <c r="CO21" s="100">
        <v>488.15476245172567</v>
      </c>
      <c r="CP21" s="100">
        <v>10.296650026207219</v>
      </c>
      <c r="CQ21" s="100">
        <v>642.51096163533043</v>
      </c>
      <c r="CR21" s="100">
        <v>8.9567105652750119</v>
      </c>
      <c r="CS21" s="100">
        <v>558.89873927316069</v>
      </c>
      <c r="CT21" s="100">
        <v>7.2414286255573354E-4</v>
      </c>
      <c r="CU21" s="100">
        <v>4.5186514623477773E-2</v>
      </c>
    </row>
    <row r="22" spans="2:99">
      <c r="C22" s="99" t="s">
        <v>188</v>
      </c>
      <c r="D22" s="100">
        <v>6.2915060072973068</v>
      </c>
      <c r="E22" s="100">
        <v>1177.7699245660558</v>
      </c>
      <c r="F22" s="100">
        <v>2.0683108392672049</v>
      </c>
      <c r="G22" s="100">
        <v>387.18778911082075</v>
      </c>
      <c r="H22" s="100">
        <v>10</v>
      </c>
      <c r="I22" s="100">
        <v>1872</v>
      </c>
      <c r="J22" s="100">
        <v>8</v>
      </c>
      <c r="K22" s="100">
        <v>1497.6</v>
      </c>
      <c r="L22" s="100">
        <v>1.2219630306562195</v>
      </c>
      <c r="M22" s="100">
        <v>228.75147933884426</v>
      </c>
      <c r="N22" s="100">
        <v>7</v>
      </c>
      <c r="O22" s="100">
        <v>1310.3999999999999</v>
      </c>
      <c r="P22" s="100">
        <v>3.8751583087677282</v>
      </c>
      <c r="Q22" s="100">
        <v>725.42963540131871</v>
      </c>
      <c r="R22" s="100">
        <v>6</v>
      </c>
      <c r="S22" s="100">
        <v>1123.1999999999998</v>
      </c>
      <c r="T22" s="100">
        <v>8</v>
      </c>
      <c r="U22" s="100">
        <v>1497.6</v>
      </c>
      <c r="V22" s="100">
        <v>2.5053808384259248</v>
      </c>
      <c r="W22" s="100">
        <v>469.00729295333309</v>
      </c>
      <c r="X22" s="100">
        <v>5.3234289106433073</v>
      </c>
      <c r="Y22" s="100">
        <v>996.54589207242702</v>
      </c>
      <c r="Z22" s="100">
        <v>11</v>
      </c>
      <c r="AA22" s="100">
        <v>2059.1999999999998</v>
      </c>
      <c r="AB22" s="100">
        <v>1.0122237231857594</v>
      </c>
      <c r="AC22" s="100">
        <v>189.48828098037416</v>
      </c>
      <c r="AD22" s="100">
        <v>6.0800477885233368</v>
      </c>
      <c r="AE22" s="100">
        <v>1138.1849460115686</v>
      </c>
      <c r="AF22" s="100">
        <v>3.3296030547086217</v>
      </c>
      <c r="AG22" s="100">
        <v>623.30169184145393</v>
      </c>
      <c r="AH22" s="100">
        <v>9.5696864619148236</v>
      </c>
      <c r="AI22" s="100">
        <v>1791.4453056704549</v>
      </c>
      <c r="AJ22" s="100">
        <v>5.5686780885695306</v>
      </c>
      <c r="AK22" s="100">
        <v>1042.4565381802161</v>
      </c>
      <c r="AL22" s="100">
        <v>10.80782638679848</v>
      </c>
      <c r="AM22" s="100">
        <v>2023.2250996086752</v>
      </c>
      <c r="AN22" s="100">
        <v>8</v>
      </c>
      <c r="AO22" s="100">
        <v>1497.6</v>
      </c>
      <c r="AP22" s="100">
        <v>1.8659699623921711</v>
      </c>
      <c r="AQ22" s="100">
        <v>349.30957695981442</v>
      </c>
      <c r="AR22" s="100">
        <v>6.4703325113966219</v>
      </c>
      <c r="AS22" s="100">
        <v>1211.2462461334476</v>
      </c>
      <c r="AT22" s="100">
        <v>1.3245605816119133</v>
      </c>
      <c r="AU22" s="100">
        <v>247.95774087775015</v>
      </c>
      <c r="AV22" s="100">
        <v>7.2625316052042015</v>
      </c>
      <c r="AW22" s="100">
        <v>1359.5459164942265</v>
      </c>
      <c r="AX22" s="100">
        <v>9</v>
      </c>
      <c r="AY22" s="100">
        <v>1684.8</v>
      </c>
      <c r="AZ22" s="100">
        <v>9.8695922795261897</v>
      </c>
      <c r="BA22" s="100">
        <v>1847.5876747273026</v>
      </c>
      <c r="BB22" s="100">
        <v>5.4395667422291911</v>
      </c>
      <c r="BC22" s="100">
        <v>1018.2868941453045</v>
      </c>
      <c r="BD22" s="100">
        <v>5.7653484164461846</v>
      </c>
      <c r="BE22" s="100">
        <v>1079.2732235587257</v>
      </c>
      <c r="BF22" s="100">
        <v>1.8375122048425387</v>
      </c>
      <c r="BG22" s="100">
        <v>343.98228474652325</v>
      </c>
      <c r="BH22" s="100">
        <v>4.5543083892438926E-4</v>
      </c>
      <c r="BI22" s="100">
        <v>8.5256653046645661E-2</v>
      </c>
      <c r="BJ22" s="100">
        <v>9.602043977161701</v>
      </c>
      <c r="BK22" s="100">
        <v>1797.5026325246704</v>
      </c>
      <c r="BL22" s="100">
        <v>9</v>
      </c>
      <c r="BM22" s="100">
        <v>1684.8</v>
      </c>
      <c r="BN22" s="100">
        <v>10</v>
      </c>
      <c r="BO22" s="100">
        <v>1872</v>
      </c>
      <c r="BP22" s="100">
        <v>9.3468813849646875</v>
      </c>
      <c r="BQ22" s="100">
        <v>1749.7361952653894</v>
      </c>
      <c r="BR22" s="100">
        <v>7.3459308317463075</v>
      </c>
      <c r="BS22" s="100">
        <v>1375.1582517029087</v>
      </c>
      <c r="BT22" s="100">
        <v>4.8819733641392824E-4</v>
      </c>
      <c r="BU22" s="100">
        <v>9.1390541376687354E-2</v>
      </c>
      <c r="BV22" s="100">
        <v>7.4822037911260555</v>
      </c>
      <c r="BW22" s="100">
        <v>1400.6685496987975</v>
      </c>
      <c r="BX22" s="100">
        <v>8.6006287914041497</v>
      </c>
      <c r="BY22" s="100">
        <v>1610.0377097508567</v>
      </c>
      <c r="BZ22" s="100">
        <v>6.5028095328557969</v>
      </c>
      <c r="CA22" s="100">
        <v>1217.3259445506051</v>
      </c>
      <c r="CB22" s="100">
        <v>15.765355623453761</v>
      </c>
      <c r="CC22" s="100">
        <v>2951.2745727105439</v>
      </c>
      <c r="CD22" s="100">
        <v>1.8661697826144266</v>
      </c>
      <c r="CE22" s="100">
        <v>349.34698330542062</v>
      </c>
      <c r="CF22" s="100">
        <v>9.454769505419673</v>
      </c>
      <c r="CG22" s="100">
        <v>1769.9328514145627</v>
      </c>
      <c r="CH22" s="100">
        <v>5.5468535469513061</v>
      </c>
      <c r="CI22" s="100">
        <v>1038.3709839892845</v>
      </c>
      <c r="CJ22" s="100">
        <v>14.429211066332085</v>
      </c>
      <c r="CK22" s="100">
        <v>2701.1483116173663</v>
      </c>
      <c r="CL22" s="100">
        <v>1.9685141387199099</v>
      </c>
      <c r="CM22" s="100">
        <v>368.50584676836712</v>
      </c>
      <c r="CN22" s="100">
        <v>8.8229929880084246</v>
      </c>
      <c r="CO22" s="100">
        <v>1651.6642873551771</v>
      </c>
      <c r="CP22" s="100">
        <v>11.232709119498784</v>
      </c>
      <c r="CQ22" s="100">
        <v>2102.763147170172</v>
      </c>
      <c r="CR22" s="100">
        <v>8.9567105652750119</v>
      </c>
      <c r="CS22" s="100">
        <v>1676.6962178194822</v>
      </c>
      <c r="CT22" s="100">
        <v>6.6819012776656614E-4</v>
      </c>
      <c r="CU22" s="100">
        <v>0.12508519191790118</v>
      </c>
    </row>
    <row r="23" spans="2:99">
      <c r="C23" s="99" t="s">
        <v>189</v>
      </c>
      <c r="D23" s="100">
        <v>5.5050677563851442</v>
      </c>
      <c r="E23" s="100">
        <v>1618.4899203772325</v>
      </c>
      <c r="F23" s="100">
        <v>2.0683108392672049</v>
      </c>
      <c r="G23" s="100">
        <v>608.0833867445582</v>
      </c>
      <c r="H23" s="100">
        <v>10</v>
      </c>
      <c r="I23" s="100">
        <v>2940</v>
      </c>
      <c r="J23" s="100">
        <v>8</v>
      </c>
      <c r="K23" s="100">
        <v>2352</v>
      </c>
      <c r="L23" s="100">
        <v>1.3747084094882471</v>
      </c>
      <c r="M23" s="100">
        <v>404.16427238954464</v>
      </c>
      <c r="N23" s="100">
        <v>7</v>
      </c>
      <c r="O23" s="100">
        <v>2058</v>
      </c>
      <c r="P23" s="100">
        <v>3.4445851633490916</v>
      </c>
      <c r="Q23" s="100">
        <v>1012.708038024633</v>
      </c>
      <c r="R23" s="100">
        <v>5</v>
      </c>
      <c r="S23" s="100">
        <v>1470</v>
      </c>
      <c r="T23" s="100">
        <v>8</v>
      </c>
      <c r="U23" s="100">
        <v>2352</v>
      </c>
      <c r="V23" s="100">
        <v>2.5053808384259248</v>
      </c>
      <c r="W23" s="100">
        <v>736.58196649722186</v>
      </c>
      <c r="X23" s="100">
        <v>5.2985334030523603</v>
      </c>
      <c r="Y23" s="100">
        <v>1557.768820497394</v>
      </c>
      <c r="Z23" s="100">
        <v>10</v>
      </c>
      <c r="AA23" s="100">
        <v>2940</v>
      </c>
      <c r="AB23" s="100">
        <v>1.0122237231857594</v>
      </c>
      <c r="AC23" s="100">
        <v>297.59377461661325</v>
      </c>
      <c r="AD23" s="100">
        <v>6.2015742221998513</v>
      </c>
      <c r="AE23" s="100">
        <v>1823.2628213267562</v>
      </c>
      <c r="AF23" s="100">
        <v>3.379912058140806</v>
      </c>
      <c r="AG23" s="100">
        <v>993.69414509339697</v>
      </c>
      <c r="AH23" s="100">
        <v>10.37049974385598</v>
      </c>
      <c r="AI23" s="100">
        <v>3048.9269246936583</v>
      </c>
      <c r="AJ23" s="100">
        <v>5.5686780885695306</v>
      </c>
      <c r="AK23" s="100">
        <v>1637.1913580394421</v>
      </c>
      <c r="AL23" s="100">
        <v>10.80782638679848</v>
      </c>
      <c r="AM23" s="100">
        <v>3177.5009577187529</v>
      </c>
      <c r="AN23" s="100">
        <v>9</v>
      </c>
      <c r="AO23" s="100">
        <v>2646</v>
      </c>
      <c r="AP23" s="100">
        <v>1.9956592188380771</v>
      </c>
      <c r="AQ23" s="100">
        <v>586.72381033839463</v>
      </c>
      <c r="AR23" s="100">
        <v>6.4786667312644868</v>
      </c>
      <c r="AS23" s="100">
        <v>1904.7280189917592</v>
      </c>
      <c r="AT23" s="100">
        <v>1.5455299118777939</v>
      </c>
      <c r="AU23" s="100">
        <v>454.38579409207142</v>
      </c>
      <c r="AV23" s="100">
        <v>7.3887847657246217</v>
      </c>
      <c r="AW23" s="100">
        <v>2172.3027211230387</v>
      </c>
      <c r="AX23" s="100">
        <v>11</v>
      </c>
      <c r="AY23" s="100">
        <v>3234</v>
      </c>
      <c r="AZ23" s="100">
        <v>9.8695922795261897</v>
      </c>
      <c r="BA23" s="100">
        <v>2901.6601301807</v>
      </c>
      <c r="BB23" s="100">
        <v>6.2166477054047897</v>
      </c>
      <c r="BC23" s="100">
        <v>1827.6944253890081</v>
      </c>
      <c r="BD23" s="100">
        <v>5.7653484164461846</v>
      </c>
      <c r="BE23" s="100">
        <v>1695.0124344351782</v>
      </c>
      <c r="BF23" s="100">
        <v>1.5312601707021156</v>
      </c>
      <c r="BG23" s="100">
        <v>450.19049018642198</v>
      </c>
      <c r="BH23" s="100">
        <v>4.5753914230750906E-4</v>
      </c>
      <c r="BI23" s="100">
        <v>0.13451650783840766</v>
      </c>
      <c r="BJ23" s="100">
        <v>8.7088469089724825</v>
      </c>
      <c r="BK23" s="100">
        <v>2560.4009912379097</v>
      </c>
      <c r="BL23" s="100">
        <v>8</v>
      </c>
      <c r="BM23" s="100">
        <v>2352</v>
      </c>
      <c r="BN23" s="100">
        <v>11</v>
      </c>
      <c r="BO23" s="100">
        <v>3234</v>
      </c>
      <c r="BP23" s="100">
        <v>7.7890678208039068</v>
      </c>
      <c r="BQ23" s="100">
        <v>2289.9859393163488</v>
      </c>
      <c r="BR23" s="100">
        <v>7.3459308317463075</v>
      </c>
      <c r="BS23" s="100">
        <v>2159.7036645334142</v>
      </c>
      <c r="BT23" s="100">
        <v>5.3757633729821649E-4</v>
      </c>
      <c r="BU23" s="100">
        <v>0.15804744316567565</v>
      </c>
      <c r="BV23" s="100">
        <v>7.4876642847218671</v>
      </c>
      <c r="BW23" s="100">
        <v>2201.3732997082288</v>
      </c>
      <c r="BX23" s="100">
        <v>8.5060606210849965</v>
      </c>
      <c r="BY23" s="100">
        <v>2500.781822598989</v>
      </c>
      <c r="BZ23" s="100">
        <v>5.9524245466891799</v>
      </c>
      <c r="CA23" s="100">
        <v>1750.0128167266189</v>
      </c>
      <c r="CB23" s="100">
        <v>13.765355623453761</v>
      </c>
      <c r="CC23" s="100">
        <v>4047.0145532954057</v>
      </c>
      <c r="CD23" s="100">
        <v>1.7268893498710927</v>
      </c>
      <c r="CE23" s="100">
        <v>507.70546886210127</v>
      </c>
      <c r="CF23" s="100">
        <v>9.454769505419673</v>
      </c>
      <c r="CG23" s="100">
        <v>2779.7022345933838</v>
      </c>
      <c r="CH23" s="100">
        <v>4.853496853582393</v>
      </c>
      <c r="CI23" s="100">
        <v>1426.9280749532236</v>
      </c>
      <c r="CJ23" s="100">
        <v>13.649089691921636</v>
      </c>
      <c r="CK23" s="100">
        <v>4012.8323694249611</v>
      </c>
      <c r="CL23" s="100">
        <v>1.9685141387199099</v>
      </c>
      <c r="CM23" s="100">
        <v>578.74315678365349</v>
      </c>
      <c r="CN23" s="100">
        <v>7.8229929880084246</v>
      </c>
      <c r="CO23" s="100">
        <v>2299.959938474477</v>
      </c>
      <c r="CP23" s="100">
        <v>11.232709119498784</v>
      </c>
      <c r="CQ23" s="100">
        <v>3302.4164811326427</v>
      </c>
      <c r="CR23" s="100">
        <v>8.9567105652750119</v>
      </c>
      <c r="CS23" s="100">
        <v>2633.2729061908535</v>
      </c>
      <c r="CT23" s="100">
        <v>6.6819012776656614E-4</v>
      </c>
      <c r="CU23" s="100">
        <v>0.19644789756337044</v>
      </c>
    </row>
    <row r="24" spans="2:99">
      <c r="C24" s="99" t="s">
        <v>190</v>
      </c>
      <c r="D24" s="100">
        <v>6.2915060072973068</v>
      </c>
      <c r="E24" s="100">
        <v>2310.2410058795708</v>
      </c>
      <c r="F24" s="100">
        <v>2.0683108392672049</v>
      </c>
      <c r="G24" s="100">
        <v>759.48374017891763</v>
      </c>
      <c r="H24" s="100">
        <v>10</v>
      </c>
      <c r="I24" s="100">
        <v>3672</v>
      </c>
      <c r="J24" s="100">
        <v>9</v>
      </c>
      <c r="K24" s="100">
        <v>3304.7999999999997</v>
      </c>
      <c r="L24" s="100">
        <v>1.3747084094882471</v>
      </c>
      <c r="M24" s="100">
        <v>504.79292796408436</v>
      </c>
      <c r="N24" s="100">
        <v>7</v>
      </c>
      <c r="O24" s="100">
        <v>2570.4</v>
      </c>
      <c r="P24" s="100">
        <v>3.4445851633490916</v>
      </c>
      <c r="Q24" s="100">
        <v>1264.8516719817865</v>
      </c>
      <c r="R24" s="100">
        <v>5</v>
      </c>
      <c r="S24" s="100">
        <v>1836</v>
      </c>
      <c r="T24" s="100">
        <v>7</v>
      </c>
      <c r="U24" s="100">
        <v>2570.4</v>
      </c>
      <c r="V24" s="100">
        <v>2.1474692900793637</v>
      </c>
      <c r="W24" s="100">
        <v>788.55072331714234</v>
      </c>
      <c r="X24" s="100">
        <v>5.2736378954614143</v>
      </c>
      <c r="Y24" s="100">
        <v>1936.4798352134312</v>
      </c>
      <c r="Z24" s="100">
        <v>10</v>
      </c>
      <c r="AA24" s="100">
        <v>3672</v>
      </c>
      <c r="AB24" s="100">
        <v>1.0174017278818976</v>
      </c>
      <c r="AC24" s="100">
        <v>373.5899144782328</v>
      </c>
      <c r="AD24" s="100">
        <v>5.958521354846825</v>
      </c>
      <c r="AE24" s="100">
        <v>2187.969041499754</v>
      </c>
      <c r="AF24" s="100">
        <v>3.3463727225193498</v>
      </c>
      <c r="AG24" s="100">
        <v>1228.7880637091052</v>
      </c>
      <c r="AH24" s="100">
        <v>9.4115274515955445</v>
      </c>
      <c r="AI24" s="100">
        <v>3455.9128802258838</v>
      </c>
      <c r="AJ24" s="100">
        <v>5.5430461354973541</v>
      </c>
      <c r="AK24" s="100">
        <v>2035.4065409546283</v>
      </c>
      <c r="AL24" s="100">
        <v>11.80782638679848</v>
      </c>
      <c r="AM24" s="100">
        <v>4335.8338492324019</v>
      </c>
      <c r="AN24" s="100">
        <v>7</v>
      </c>
      <c r="AO24" s="100">
        <v>2570.4</v>
      </c>
      <c r="AP24" s="100">
        <v>1.8585697282172273</v>
      </c>
      <c r="AQ24" s="100">
        <v>682.4668042013659</v>
      </c>
      <c r="AR24" s="100">
        <v>6.390289463309653</v>
      </c>
      <c r="AS24" s="100">
        <v>2346.5142909273045</v>
      </c>
      <c r="AT24" s="100">
        <v>1.5729941531631075</v>
      </c>
      <c r="AU24" s="100">
        <v>577.60345304149303</v>
      </c>
      <c r="AV24" s="100">
        <v>7.515037926245042</v>
      </c>
      <c r="AW24" s="100">
        <v>2759.5219265171795</v>
      </c>
      <c r="AX24" s="100">
        <v>10</v>
      </c>
      <c r="AY24" s="100">
        <v>3672</v>
      </c>
      <c r="AZ24" s="100">
        <v>9.8695922795261897</v>
      </c>
      <c r="BA24" s="100">
        <v>3624.1142850420169</v>
      </c>
      <c r="BB24" s="100">
        <v>4.6624857790535916</v>
      </c>
      <c r="BC24" s="100">
        <v>1712.0647780684787</v>
      </c>
      <c r="BD24" s="100">
        <v>5.7653484164461846</v>
      </c>
      <c r="BE24" s="100">
        <v>2117.0359385190391</v>
      </c>
      <c r="BF24" s="100">
        <v>1.8375122048425387</v>
      </c>
      <c r="BG24" s="100">
        <v>674.73448161818021</v>
      </c>
      <c r="BH24" s="100">
        <v>4.5332253554126951E-4</v>
      </c>
      <c r="BI24" s="100">
        <v>0.16646003505075416</v>
      </c>
      <c r="BJ24" s="100">
        <v>8.4952410453509213</v>
      </c>
      <c r="BK24" s="100">
        <v>3119.4525118528582</v>
      </c>
      <c r="BL24" s="100">
        <v>8</v>
      </c>
      <c r="BM24" s="100">
        <v>2937.6</v>
      </c>
      <c r="BN24" s="100">
        <v>10</v>
      </c>
      <c r="BO24" s="100">
        <v>3672</v>
      </c>
      <c r="BP24" s="100">
        <v>8.5679746028842967</v>
      </c>
      <c r="BQ24" s="100">
        <v>3146.1602741791135</v>
      </c>
      <c r="BR24" s="100">
        <v>7.3459308317463075</v>
      </c>
      <c r="BS24" s="100">
        <v>2697.4258014172442</v>
      </c>
      <c r="BT24" s="100">
        <v>5.3757633729821649E-4</v>
      </c>
      <c r="BU24" s="100">
        <v>0.19739803105590509</v>
      </c>
      <c r="BV24" s="100">
        <v>7.3922150313062103</v>
      </c>
      <c r="BW24" s="100">
        <v>2714.4213594956404</v>
      </c>
      <c r="BX24" s="100">
        <v>7.8550419134112621</v>
      </c>
      <c r="BY24" s="100">
        <v>2884.3713906046155</v>
      </c>
      <c r="BZ24" s="100">
        <v>5.9518468542081431</v>
      </c>
      <c r="CA24" s="100">
        <v>2185.5181648652301</v>
      </c>
      <c r="CB24" s="100">
        <v>13.765355623453761</v>
      </c>
      <c r="CC24" s="100">
        <v>5054.6385849322205</v>
      </c>
      <c r="CD24" s="100">
        <v>1.52686618577544</v>
      </c>
      <c r="CE24" s="100">
        <v>560.6652634167416</v>
      </c>
      <c r="CF24" s="100">
        <v>8.4550782760281287</v>
      </c>
      <c r="CG24" s="100">
        <v>3104.7047429575287</v>
      </c>
      <c r="CH24" s="100">
        <v>4.853496853582393</v>
      </c>
      <c r="CI24" s="100">
        <v>1782.2040446354547</v>
      </c>
      <c r="CJ24" s="100">
        <v>12.539150379126861</v>
      </c>
      <c r="CK24" s="100">
        <v>4604.3760192153832</v>
      </c>
      <c r="CL24" s="100">
        <v>1.9685141387199099</v>
      </c>
      <c r="CM24" s="100">
        <v>722.83839173795093</v>
      </c>
      <c r="CN24" s="100">
        <v>7.6927792031506801</v>
      </c>
      <c r="CO24" s="100">
        <v>2824.7885233969296</v>
      </c>
      <c r="CP24" s="100">
        <v>11.232709119498784</v>
      </c>
      <c r="CQ24" s="100">
        <v>4124.6507886799536</v>
      </c>
      <c r="CR24" s="100">
        <v>8.0610395087475109</v>
      </c>
      <c r="CS24" s="100">
        <v>2960.0137076120859</v>
      </c>
      <c r="CT24" s="100">
        <v>6.062005718732381E-4</v>
      </c>
      <c r="CU24" s="100">
        <v>0.22259684999185303</v>
      </c>
    </row>
    <row r="25" spans="2:99">
      <c r="C25" s="99" t="s">
        <v>191</v>
      </c>
      <c r="D25" s="100">
        <v>6.2915060072973068</v>
      </c>
      <c r="E25" s="100">
        <v>3337.0147862704912</v>
      </c>
      <c r="F25" s="100">
        <v>2.3637838163053773</v>
      </c>
      <c r="G25" s="100">
        <v>1253.7509361683719</v>
      </c>
      <c r="H25" s="100">
        <v>9</v>
      </c>
      <c r="I25" s="100">
        <v>4773.5999999999995</v>
      </c>
      <c r="J25" s="100">
        <v>9</v>
      </c>
      <c r="K25" s="100">
        <v>4773.5999999999995</v>
      </c>
      <c r="L25" s="100">
        <v>1.2219630306562195</v>
      </c>
      <c r="M25" s="100">
        <v>648.12919146005879</v>
      </c>
      <c r="N25" s="100">
        <v>7</v>
      </c>
      <c r="O25" s="100">
        <v>3712.7999999999997</v>
      </c>
      <c r="P25" s="100">
        <v>3.8751583087677282</v>
      </c>
      <c r="Q25" s="100">
        <v>2055.383966970403</v>
      </c>
      <c r="R25" s="100">
        <v>5</v>
      </c>
      <c r="S25" s="100">
        <v>2652</v>
      </c>
      <c r="T25" s="100">
        <v>7</v>
      </c>
      <c r="U25" s="100">
        <v>3712.7999999999997</v>
      </c>
      <c r="V25" s="100">
        <v>2.1474692900793637</v>
      </c>
      <c r="W25" s="100">
        <v>1139.0177114580945</v>
      </c>
      <c r="X25" s="100">
        <v>4.7568323170516651</v>
      </c>
      <c r="Y25" s="100">
        <v>2523.0238609642029</v>
      </c>
      <c r="Z25" s="100">
        <v>11</v>
      </c>
      <c r="AA25" s="100">
        <v>5834.4</v>
      </c>
      <c r="AB25" s="100">
        <v>1.0070457184896211</v>
      </c>
      <c r="AC25" s="100">
        <v>534.13704908689499</v>
      </c>
      <c r="AD25" s="100">
        <v>5.958521354846825</v>
      </c>
      <c r="AE25" s="100">
        <v>3160.3997266107558</v>
      </c>
      <c r="AF25" s="100">
        <v>3.0267258309839096</v>
      </c>
      <c r="AG25" s="100">
        <v>1605.3753807538656</v>
      </c>
      <c r="AH25" s="100">
        <v>9.4115274515955445</v>
      </c>
      <c r="AI25" s="100">
        <v>4991.874160326277</v>
      </c>
      <c r="AJ25" s="100">
        <v>5.5430461354973541</v>
      </c>
      <c r="AK25" s="100">
        <v>2940.0316702677965</v>
      </c>
      <c r="AL25" s="100">
        <v>10.80782638679848</v>
      </c>
      <c r="AM25" s="100">
        <v>5732.4711155579134</v>
      </c>
      <c r="AN25" s="100">
        <v>7</v>
      </c>
      <c r="AO25" s="100">
        <v>3712.7999999999997</v>
      </c>
      <c r="AP25" s="100">
        <v>1.710565044718352</v>
      </c>
      <c r="AQ25" s="100">
        <v>907.28369971861389</v>
      </c>
      <c r="AR25" s="100">
        <v>6.4786667312644868</v>
      </c>
      <c r="AS25" s="100">
        <v>3436.2848342626835</v>
      </c>
      <c r="AT25" s="100">
        <v>1.5363751647826893</v>
      </c>
      <c r="AU25" s="100">
        <v>814.89338740073833</v>
      </c>
      <c r="AV25" s="100">
        <v>7.2625316052042015</v>
      </c>
      <c r="AW25" s="100">
        <v>3852.0467634003085</v>
      </c>
      <c r="AX25" s="100">
        <v>10</v>
      </c>
      <c r="AY25" s="100">
        <v>5304</v>
      </c>
      <c r="AZ25" s="100">
        <v>9.8695922795261897</v>
      </c>
      <c r="BA25" s="100">
        <v>5234.831745060691</v>
      </c>
      <c r="BB25" s="100">
        <v>5.4395667422291911</v>
      </c>
      <c r="BC25" s="100">
        <v>2885.1462000783627</v>
      </c>
      <c r="BD25" s="100">
        <v>5.7653484164461846</v>
      </c>
      <c r="BE25" s="100">
        <v>3057.9408000830563</v>
      </c>
      <c r="BF25" s="100">
        <v>1.8375122048425387</v>
      </c>
      <c r="BG25" s="100">
        <v>974.61647344848245</v>
      </c>
      <c r="BH25" s="100">
        <v>5.2079357353974768E-4</v>
      </c>
      <c r="BI25" s="100">
        <v>0.27622891140548217</v>
      </c>
      <c r="BJ25" s="100">
        <v>8.602043977161701</v>
      </c>
      <c r="BK25" s="100">
        <v>4562.5241254865659</v>
      </c>
      <c r="BL25" s="100">
        <v>8</v>
      </c>
      <c r="BM25" s="100">
        <v>4243.2</v>
      </c>
      <c r="BN25" s="100">
        <v>10</v>
      </c>
      <c r="BO25" s="100">
        <v>5304</v>
      </c>
      <c r="BP25" s="100">
        <v>7.7890678208039068</v>
      </c>
      <c r="BQ25" s="100">
        <v>4131.321572154392</v>
      </c>
      <c r="BR25" s="100">
        <v>7.3459308317463075</v>
      </c>
      <c r="BS25" s="100">
        <v>3896.2817131582415</v>
      </c>
      <c r="BT25" s="100">
        <v>4.8819733641392824E-4</v>
      </c>
      <c r="BU25" s="100">
        <v>0.25893986723394752</v>
      </c>
      <c r="BV25" s="100">
        <v>6.1171071090905791</v>
      </c>
      <c r="BW25" s="100">
        <v>3244.5136106616428</v>
      </c>
      <c r="BX25" s="100">
        <v>7.0148868650992222</v>
      </c>
      <c r="BY25" s="100">
        <v>3720.6959932486275</v>
      </c>
      <c r="BZ25" s="100">
        <v>5.798414388923212</v>
      </c>
      <c r="CA25" s="100">
        <v>3075.4789918848714</v>
      </c>
      <c r="CB25" s="100">
        <v>14.277351689903098</v>
      </c>
      <c r="CC25" s="100">
        <v>7572.7073363246027</v>
      </c>
      <c r="CD25" s="100">
        <v>1.5549012925534331</v>
      </c>
      <c r="CE25" s="100">
        <v>824.71964557034084</v>
      </c>
      <c r="CF25" s="100">
        <v>8.3509897281504628</v>
      </c>
      <c r="CG25" s="100">
        <v>4429.3649518110051</v>
      </c>
      <c r="CH25" s="100">
        <v>4.853496853582393</v>
      </c>
      <c r="CI25" s="100">
        <v>2574.2947311401012</v>
      </c>
      <c r="CJ25" s="100">
        <v>13.429211066332085</v>
      </c>
      <c r="CK25" s="100">
        <v>7122.8535495825381</v>
      </c>
      <c r="CL25" s="100">
        <v>1.9685141387199099</v>
      </c>
      <c r="CM25" s="100">
        <v>1044.0998991770402</v>
      </c>
      <c r="CN25" s="100">
        <v>7.5625654182929356</v>
      </c>
      <c r="CO25" s="100">
        <v>4011.1846978625726</v>
      </c>
      <c r="CP25" s="100">
        <v>11.232709119498784</v>
      </c>
      <c r="CQ25" s="100">
        <v>5957.8289169821546</v>
      </c>
      <c r="CR25" s="100">
        <v>8.0610395087475109</v>
      </c>
      <c r="CS25" s="100">
        <v>4275.5753554396797</v>
      </c>
      <c r="CT25" s="100">
        <v>6.6819012776656614E-4</v>
      </c>
      <c r="CU25" s="100">
        <v>0.35440804376738666</v>
      </c>
    </row>
    <row r="26" spans="2:99">
      <c r="C26" s="99" t="s">
        <v>192</v>
      </c>
      <c r="D26" s="100">
        <v>5.5050677563851442</v>
      </c>
      <c r="E26" s="100">
        <v>2675.4629296031799</v>
      </c>
      <c r="F26" s="100">
        <v>2.3637838163053773</v>
      </c>
      <c r="G26" s="100">
        <v>1148.7989347244134</v>
      </c>
      <c r="H26" s="100">
        <v>9</v>
      </c>
      <c r="I26" s="100">
        <v>4374</v>
      </c>
      <c r="J26" s="100">
        <v>9</v>
      </c>
      <c r="K26" s="100">
        <v>4374</v>
      </c>
      <c r="L26" s="100">
        <v>1.3747084094882471</v>
      </c>
      <c r="M26" s="100">
        <v>668.1082870112881</v>
      </c>
      <c r="N26" s="100">
        <v>8</v>
      </c>
      <c r="O26" s="100">
        <v>3888</v>
      </c>
      <c r="P26" s="100">
        <v>3.4445851633490916</v>
      </c>
      <c r="Q26" s="100">
        <v>1674.0683893876585</v>
      </c>
      <c r="R26" s="100">
        <v>5</v>
      </c>
      <c r="S26" s="100">
        <v>2430</v>
      </c>
      <c r="T26" s="100">
        <v>7</v>
      </c>
      <c r="U26" s="100">
        <v>3402</v>
      </c>
      <c r="V26" s="100">
        <v>2.1474692900793637</v>
      </c>
      <c r="W26" s="100">
        <v>1043.6700749785707</v>
      </c>
      <c r="X26" s="100">
        <v>4.7319368094607182</v>
      </c>
      <c r="Y26" s="100">
        <v>2299.721289397909</v>
      </c>
      <c r="Z26" s="100">
        <v>11</v>
      </c>
      <c r="AA26" s="100">
        <v>5346</v>
      </c>
      <c r="AB26" s="100">
        <v>1.1235423580517021</v>
      </c>
      <c r="AC26" s="100">
        <v>546.04158601312724</v>
      </c>
      <c r="AD26" s="100">
        <v>5.2489961409508847</v>
      </c>
      <c r="AE26" s="100">
        <v>2551.0121245021301</v>
      </c>
      <c r="AF26" s="100">
        <v>3.0434954987946372</v>
      </c>
      <c r="AG26" s="100">
        <v>1479.1388124141936</v>
      </c>
      <c r="AH26" s="100">
        <v>10.528658754175259</v>
      </c>
      <c r="AI26" s="100">
        <v>5116.928154529176</v>
      </c>
      <c r="AJ26" s="100">
        <v>5.5686780885695306</v>
      </c>
      <c r="AK26" s="100">
        <v>2706.3775510447917</v>
      </c>
      <c r="AL26" s="100">
        <v>10.718067899376425</v>
      </c>
      <c r="AM26" s="100">
        <v>5208.9809990969425</v>
      </c>
      <c r="AN26" s="100">
        <v>8</v>
      </c>
      <c r="AO26" s="100">
        <v>3888</v>
      </c>
      <c r="AP26" s="100">
        <v>1.8585697282172273</v>
      </c>
      <c r="AQ26" s="100">
        <v>903.26488791357247</v>
      </c>
      <c r="AR26" s="100">
        <v>6.4786667312644868</v>
      </c>
      <c r="AS26" s="100">
        <v>3148.6320313945407</v>
      </c>
      <c r="AT26" s="100">
        <v>1.5363751647826893</v>
      </c>
      <c r="AU26" s="100">
        <v>746.67833008438697</v>
      </c>
      <c r="AV26" s="100">
        <v>7.2625316052042015</v>
      </c>
      <c r="AW26" s="100">
        <v>3529.5903601292421</v>
      </c>
      <c r="AX26" s="100">
        <v>9</v>
      </c>
      <c r="AY26" s="100">
        <v>4374</v>
      </c>
      <c r="AZ26" s="100">
        <v>10.856551507478807</v>
      </c>
      <c r="BA26" s="100">
        <v>5276.2840326347005</v>
      </c>
      <c r="BB26" s="100">
        <v>4.6624857790535916</v>
      </c>
      <c r="BC26" s="100">
        <v>2265.9680886200454</v>
      </c>
      <c r="BD26" s="100">
        <v>4.941727214096729</v>
      </c>
      <c r="BE26" s="100">
        <v>2401.6794260510101</v>
      </c>
      <c r="BF26" s="100">
        <v>1.8375122048425387</v>
      </c>
      <c r="BG26" s="100">
        <v>893.03093155347381</v>
      </c>
      <c r="BH26" s="100">
        <v>4.5543083892438926E-4</v>
      </c>
      <c r="BI26" s="100">
        <v>0.22133938771725317</v>
      </c>
      <c r="BJ26" s="100">
        <v>9.602043977161701</v>
      </c>
      <c r="BK26" s="100">
        <v>4666.5933729005865</v>
      </c>
      <c r="BL26" s="100">
        <v>8</v>
      </c>
      <c r="BM26" s="100">
        <v>3888</v>
      </c>
      <c r="BN26" s="100">
        <v>10</v>
      </c>
      <c r="BO26" s="100">
        <v>4860</v>
      </c>
      <c r="BP26" s="100">
        <v>8.5679746028842967</v>
      </c>
      <c r="BQ26" s="100">
        <v>4164.0356570017684</v>
      </c>
      <c r="BR26" s="100">
        <v>6.5297162948856071</v>
      </c>
      <c r="BS26" s="100">
        <v>3173.4421193144049</v>
      </c>
      <c r="BT26" s="100">
        <v>5.3483618055293351E-4</v>
      </c>
      <c r="BU26" s="100">
        <v>0.25993038374872568</v>
      </c>
      <c r="BV26" s="100">
        <v>6.7982903267093642</v>
      </c>
      <c r="BW26" s="100">
        <v>3303.9690987807512</v>
      </c>
      <c r="BX26" s="100">
        <v>7.8531418723016468</v>
      </c>
      <c r="BY26" s="100">
        <v>3816.6269499386003</v>
      </c>
      <c r="BZ26" s="100">
        <v>6.502231840374761</v>
      </c>
      <c r="CA26" s="100">
        <v>3160.084674422134</v>
      </c>
      <c r="CB26" s="100">
        <v>14.602687645603542</v>
      </c>
      <c r="CC26" s="100">
        <v>7096.9061957633212</v>
      </c>
      <c r="CD26" s="100">
        <v>1.52686618577544</v>
      </c>
      <c r="CE26" s="100">
        <v>742.05696628686383</v>
      </c>
      <c r="CF26" s="100">
        <v>10.558549282688881</v>
      </c>
      <c r="CG26" s="100">
        <v>5131.454951386796</v>
      </c>
      <c r="CH26" s="100">
        <v>4.1601401602134791</v>
      </c>
      <c r="CI26" s="100">
        <v>2021.8281178637508</v>
      </c>
      <c r="CJ26" s="100">
        <v>12.539150379126861</v>
      </c>
      <c r="CK26" s="100">
        <v>6094.0270842556547</v>
      </c>
      <c r="CL26" s="100">
        <v>1.9685141387199099</v>
      </c>
      <c r="CM26" s="100">
        <v>956.69787141787617</v>
      </c>
      <c r="CN26" s="100">
        <v>7.8229929880084246</v>
      </c>
      <c r="CO26" s="100">
        <v>3801.9745921720942</v>
      </c>
      <c r="CP26" s="100">
        <v>10.296650026207219</v>
      </c>
      <c r="CQ26" s="100">
        <v>5004.1719127367087</v>
      </c>
      <c r="CR26" s="100">
        <v>8.9567105652750119</v>
      </c>
      <c r="CS26" s="100">
        <v>4352.9613347236555</v>
      </c>
      <c r="CT26" s="100">
        <v>6.5913489611032507E-4</v>
      </c>
      <c r="CU26" s="100">
        <v>0.32033955950961801</v>
      </c>
    </row>
    <row r="27" spans="2:99">
      <c r="C27" s="99" t="s">
        <v>193</v>
      </c>
      <c r="D27" s="100">
        <v>4.7186295054729808</v>
      </c>
      <c r="E27" s="100">
        <v>2015.7985247380573</v>
      </c>
      <c r="F27" s="100">
        <v>2.0683108392672049</v>
      </c>
      <c r="G27" s="100">
        <v>883.58239053494992</v>
      </c>
      <c r="H27" s="100">
        <v>9</v>
      </c>
      <c r="I27" s="100">
        <v>3844.7999999999997</v>
      </c>
      <c r="J27" s="100">
        <v>8</v>
      </c>
      <c r="K27" s="100">
        <v>3417.6</v>
      </c>
      <c r="L27" s="100">
        <v>1.3747084094882471</v>
      </c>
      <c r="M27" s="100">
        <v>587.2754325333791</v>
      </c>
      <c r="N27" s="100">
        <v>8</v>
      </c>
      <c r="O27" s="100">
        <v>3417.6</v>
      </c>
      <c r="P27" s="100">
        <v>3.4445851633490916</v>
      </c>
      <c r="Q27" s="100">
        <v>1471.5267817827319</v>
      </c>
      <c r="R27" s="100">
        <v>6</v>
      </c>
      <c r="S27" s="100">
        <v>2563.1999999999998</v>
      </c>
      <c r="T27" s="100">
        <v>8</v>
      </c>
      <c r="U27" s="100">
        <v>3417.6</v>
      </c>
      <c r="V27" s="100">
        <v>2.5053808384259248</v>
      </c>
      <c r="W27" s="100">
        <v>1070.2986941755551</v>
      </c>
      <c r="X27" s="100">
        <v>4.7568323170516651</v>
      </c>
      <c r="Y27" s="100">
        <v>2032.1187658444712</v>
      </c>
      <c r="Z27" s="100">
        <v>10</v>
      </c>
      <c r="AA27" s="100">
        <v>4272</v>
      </c>
      <c r="AB27" s="100">
        <v>1.0070457184896211</v>
      </c>
      <c r="AC27" s="100">
        <v>430.20993093876615</v>
      </c>
      <c r="AD27" s="100">
        <v>5.958521354846825</v>
      </c>
      <c r="AE27" s="100">
        <v>2545.4803227905636</v>
      </c>
      <c r="AF27" s="100">
        <v>3.0267258309839096</v>
      </c>
      <c r="AG27" s="100">
        <v>1293.017274996326</v>
      </c>
      <c r="AH27" s="100">
        <v>10.37049974385598</v>
      </c>
      <c r="AI27" s="100">
        <v>4430.2774905752749</v>
      </c>
      <c r="AJ27" s="100">
        <v>5.5430461354973541</v>
      </c>
      <c r="AK27" s="100">
        <v>2367.9893090844698</v>
      </c>
      <c r="AL27" s="100">
        <v>11.80782638679848</v>
      </c>
      <c r="AM27" s="100">
        <v>5044.3034324403106</v>
      </c>
      <c r="AN27" s="100">
        <v>8</v>
      </c>
      <c r="AO27" s="100">
        <v>3417.6</v>
      </c>
      <c r="AP27" s="100">
        <v>1.710565044718352</v>
      </c>
      <c r="AQ27" s="100">
        <v>730.75338710367998</v>
      </c>
      <c r="AR27" s="100">
        <v>6.0744858614187294</v>
      </c>
      <c r="AS27" s="100">
        <v>2595.0203599980809</v>
      </c>
      <c r="AT27" s="100">
        <v>1.3428700758021224</v>
      </c>
      <c r="AU27" s="100">
        <v>573.67409638266668</v>
      </c>
      <c r="AV27" s="100">
        <v>8.2625316052042024</v>
      </c>
      <c r="AW27" s="100">
        <v>3529.7535017432351</v>
      </c>
      <c r="AX27" s="100">
        <v>11</v>
      </c>
      <c r="AY27" s="100">
        <v>4699.2</v>
      </c>
      <c r="AZ27" s="100">
        <v>10.856551507478807</v>
      </c>
      <c r="BA27" s="100">
        <v>4637.9188039949458</v>
      </c>
      <c r="BB27" s="100">
        <v>5.4395667422291911</v>
      </c>
      <c r="BC27" s="100">
        <v>2323.7829122803105</v>
      </c>
      <c r="BD27" s="100">
        <v>5.7653484164461846</v>
      </c>
      <c r="BE27" s="100">
        <v>2462.95684350581</v>
      </c>
      <c r="BF27" s="100">
        <v>1.8375122048425387</v>
      </c>
      <c r="BG27" s="100">
        <v>784.98521390873248</v>
      </c>
      <c r="BH27" s="100">
        <v>5.1657696677350807E-4</v>
      </c>
      <c r="BI27" s="100">
        <v>0.22068168020564263</v>
      </c>
      <c r="BJ27" s="100">
        <v>9.7088469089724825</v>
      </c>
      <c r="BK27" s="100">
        <v>4147.6193995130443</v>
      </c>
      <c r="BL27" s="100">
        <v>7</v>
      </c>
      <c r="BM27" s="100">
        <v>2990.4</v>
      </c>
      <c r="BN27" s="100">
        <v>11</v>
      </c>
      <c r="BO27" s="100">
        <v>4699.2</v>
      </c>
      <c r="BP27" s="100">
        <v>8.5679746028842967</v>
      </c>
      <c r="BQ27" s="100">
        <v>3660.2387503521713</v>
      </c>
      <c r="BR27" s="100">
        <v>6.5297162948856071</v>
      </c>
      <c r="BS27" s="100">
        <v>2789.4948011751312</v>
      </c>
      <c r="BT27" s="100">
        <v>4.8271702292336223E-4</v>
      </c>
      <c r="BU27" s="100">
        <v>0.20621671219286034</v>
      </c>
      <c r="BV27" s="100">
        <v>6.8037508203051758</v>
      </c>
      <c r="BW27" s="100">
        <v>2906.5623504343712</v>
      </c>
      <c r="BX27" s="100">
        <v>7.2002231235182972</v>
      </c>
      <c r="BY27" s="100">
        <v>3075.9353183670164</v>
      </c>
      <c r="BZ27" s="100">
        <v>5.8754194678061955</v>
      </c>
      <c r="CA27" s="100">
        <v>2509.9791966468065</v>
      </c>
      <c r="CB27" s="100">
        <v>13.602687645603542</v>
      </c>
      <c r="CC27" s="100">
        <v>5811.0681622018328</v>
      </c>
      <c r="CD27" s="100">
        <v>1.7245530909729265</v>
      </c>
      <c r="CE27" s="100">
        <v>736.7290804636342</v>
      </c>
      <c r="CF27" s="100">
        <v>9.454769505419673</v>
      </c>
      <c r="CG27" s="100">
        <v>4039.0775327152842</v>
      </c>
      <c r="CH27" s="100">
        <v>4.853496853582393</v>
      </c>
      <c r="CI27" s="100">
        <v>2073.4138558503982</v>
      </c>
      <c r="CJ27" s="100">
        <v>13.429211066332085</v>
      </c>
      <c r="CK27" s="100">
        <v>5736.9589675370662</v>
      </c>
      <c r="CL27" s="100">
        <v>1.9984053971124627</v>
      </c>
      <c r="CM27" s="100">
        <v>853.71878564644408</v>
      </c>
      <c r="CN27" s="100">
        <v>8.5625654182929356</v>
      </c>
      <c r="CO27" s="100">
        <v>3657.9279466947419</v>
      </c>
      <c r="CP27" s="100">
        <v>11.232709119498784</v>
      </c>
      <c r="CQ27" s="100">
        <v>4798.6133358498801</v>
      </c>
      <c r="CR27" s="100">
        <v>8.9567105652750119</v>
      </c>
      <c r="CS27" s="100">
        <v>3826.3067534854849</v>
      </c>
      <c r="CT27" s="100">
        <v>7.2716127310781386E-4</v>
      </c>
      <c r="CU27" s="100">
        <v>0.31064329587165807</v>
      </c>
    </row>
    <row r="28" spans="2:99">
      <c r="C28" s="99" t="s">
        <v>194</v>
      </c>
      <c r="D28" s="100">
        <v>5.5050677563851442</v>
      </c>
      <c r="E28" s="100">
        <v>4062.7400042122363</v>
      </c>
      <c r="F28" s="100">
        <v>2.0683108392672049</v>
      </c>
      <c r="G28" s="100">
        <v>1526.4133993791972</v>
      </c>
      <c r="H28" s="100">
        <v>8</v>
      </c>
      <c r="I28" s="100">
        <v>5904</v>
      </c>
      <c r="J28" s="100">
        <v>8</v>
      </c>
      <c r="K28" s="100">
        <v>5904</v>
      </c>
      <c r="L28" s="100">
        <v>1.2219630306562195</v>
      </c>
      <c r="M28" s="100">
        <v>901.80871662429001</v>
      </c>
      <c r="N28" s="100">
        <v>7</v>
      </c>
      <c r="O28" s="100">
        <v>5166</v>
      </c>
      <c r="P28" s="100">
        <v>3.8751583087677282</v>
      </c>
      <c r="Q28" s="100">
        <v>2859.8668318705832</v>
      </c>
      <c r="R28" s="100">
        <v>5</v>
      </c>
      <c r="S28" s="100">
        <v>3690</v>
      </c>
      <c r="T28" s="100">
        <v>7</v>
      </c>
      <c r="U28" s="100">
        <v>5166</v>
      </c>
      <c r="V28" s="100">
        <v>2.1474692900793637</v>
      </c>
      <c r="W28" s="100">
        <v>1584.8323360785705</v>
      </c>
      <c r="X28" s="100">
        <v>4.1902357234600212</v>
      </c>
      <c r="Y28" s="100">
        <v>3092.3939639134956</v>
      </c>
      <c r="Z28" s="100">
        <v>10</v>
      </c>
      <c r="AA28" s="100">
        <v>7380</v>
      </c>
      <c r="AB28" s="100">
        <v>1.0070457184896211</v>
      </c>
      <c r="AC28" s="100">
        <v>743.19974024534042</v>
      </c>
      <c r="AD28" s="100">
        <v>5.958521354846825</v>
      </c>
      <c r="AE28" s="100">
        <v>4397.388759876957</v>
      </c>
      <c r="AF28" s="100">
        <v>2.993186495362453</v>
      </c>
      <c r="AG28" s="100">
        <v>2208.9716335774901</v>
      </c>
      <c r="AH28" s="100">
        <v>10.37049974385598</v>
      </c>
      <c r="AI28" s="100">
        <v>7653.4288109657136</v>
      </c>
      <c r="AJ28" s="100">
        <v>5.5686780885695306</v>
      </c>
      <c r="AK28" s="100">
        <v>4109.6844293643135</v>
      </c>
      <c r="AL28" s="100">
        <v>11.80782638679848</v>
      </c>
      <c r="AM28" s="100">
        <v>8714.1758734572777</v>
      </c>
      <c r="AN28" s="100">
        <v>7</v>
      </c>
      <c r="AO28" s="100">
        <v>5166</v>
      </c>
      <c r="AP28" s="100">
        <v>2.1214631998121214</v>
      </c>
      <c r="AQ28" s="100">
        <v>1565.6398414613457</v>
      </c>
      <c r="AR28" s="100">
        <v>6.4703325113966219</v>
      </c>
      <c r="AS28" s="100">
        <v>4775.1053934107067</v>
      </c>
      <c r="AT28" s="100">
        <v>1.5363751647826893</v>
      </c>
      <c r="AU28" s="100">
        <v>1133.8448716096248</v>
      </c>
      <c r="AV28" s="100">
        <v>7.2625316052042015</v>
      </c>
      <c r="AW28" s="100">
        <v>5359.748324640701</v>
      </c>
      <c r="AX28" s="100">
        <v>9</v>
      </c>
      <c r="AY28" s="100">
        <v>6642</v>
      </c>
      <c r="AZ28" s="100">
        <v>9.8695922795261897</v>
      </c>
      <c r="BA28" s="100">
        <v>7283.759102290328</v>
      </c>
      <c r="BB28" s="100">
        <v>5.4395667422291911</v>
      </c>
      <c r="BC28" s="100">
        <v>4014.4002557651429</v>
      </c>
      <c r="BD28" s="100">
        <v>4.941727214096729</v>
      </c>
      <c r="BE28" s="100">
        <v>3646.9946840033858</v>
      </c>
      <c r="BF28" s="100">
        <v>1.8375122048425387</v>
      </c>
      <c r="BG28" s="100">
        <v>1356.0840071737937</v>
      </c>
      <c r="BH28" s="100">
        <v>5.1657696677350807E-4</v>
      </c>
      <c r="BI28" s="100">
        <v>0.38123380147884894</v>
      </c>
      <c r="BJ28" s="100">
        <v>9.602043977161701</v>
      </c>
      <c r="BK28" s="100">
        <v>7086.3084551453358</v>
      </c>
      <c r="BL28" s="100">
        <v>8</v>
      </c>
      <c r="BM28" s="100">
        <v>5904</v>
      </c>
      <c r="BN28" s="100">
        <v>11</v>
      </c>
      <c r="BO28" s="100">
        <v>8118</v>
      </c>
      <c r="BP28" s="100">
        <v>7.7890678208039068</v>
      </c>
      <c r="BQ28" s="100">
        <v>5748.3320517532829</v>
      </c>
      <c r="BR28" s="100">
        <v>6.5297162948856071</v>
      </c>
      <c r="BS28" s="100">
        <v>4818.9306256255777</v>
      </c>
      <c r="BT28" s="100">
        <v>4.8271702292336223E-4</v>
      </c>
      <c r="BU28" s="100">
        <v>0.35624516291744135</v>
      </c>
      <c r="BV28" s="100">
        <v>7.3840242909124925</v>
      </c>
      <c r="BW28" s="100">
        <v>5449.409926693419</v>
      </c>
      <c r="BX28" s="100">
        <v>7.7623737842017251</v>
      </c>
      <c r="BY28" s="100">
        <v>5728.631852740873</v>
      </c>
      <c r="BZ28" s="100">
        <v>5.8748417753251596</v>
      </c>
      <c r="CA28" s="100">
        <v>4335.6332301899674</v>
      </c>
      <c r="CB28" s="100">
        <v>14.602687645603542</v>
      </c>
      <c r="CC28" s="100">
        <v>10776.783482455414</v>
      </c>
      <c r="CD28" s="100">
        <v>1.52686618577544</v>
      </c>
      <c r="CE28" s="100">
        <v>1126.8272451022747</v>
      </c>
      <c r="CF28" s="100">
        <v>9.454769505419673</v>
      </c>
      <c r="CG28" s="100">
        <v>6977.6198949997188</v>
      </c>
      <c r="CH28" s="100">
        <v>4.853496853582393</v>
      </c>
      <c r="CI28" s="100">
        <v>3581.8806779438059</v>
      </c>
      <c r="CJ28" s="100">
        <v>13.539150379126861</v>
      </c>
      <c r="CK28" s="100">
        <v>9991.8929797956225</v>
      </c>
      <c r="CL28" s="100">
        <v>1.9685141387199099</v>
      </c>
      <c r="CM28" s="100">
        <v>1452.7634343752934</v>
      </c>
      <c r="CN28" s="100">
        <v>7.6927792031506801</v>
      </c>
      <c r="CO28" s="100">
        <v>5677.2710519252023</v>
      </c>
      <c r="CP28" s="100">
        <v>10.296650026207219</v>
      </c>
      <c r="CQ28" s="100">
        <v>7598.927719340928</v>
      </c>
      <c r="CR28" s="100">
        <v>8.0610395087475109</v>
      </c>
      <c r="CS28" s="100">
        <v>5949.0471574556632</v>
      </c>
      <c r="CT28" s="100">
        <v>7.3017968365989418E-4</v>
      </c>
      <c r="CU28" s="100">
        <v>0.53887260654100189</v>
      </c>
    </row>
    <row r="29" spans="2:99">
      <c r="C29" s="99" t="s">
        <v>195</v>
      </c>
      <c r="D29" s="100">
        <v>5.5050677563851442</v>
      </c>
      <c r="E29" s="100">
        <v>1862.9149287607327</v>
      </c>
      <c r="F29" s="100">
        <v>2.3637838163053773</v>
      </c>
      <c r="G29" s="100">
        <v>799.90444343773959</v>
      </c>
      <c r="H29" s="100">
        <v>9</v>
      </c>
      <c r="I29" s="100">
        <v>3045.6</v>
      </c>
      <c r="J29" s="100">
        <v>9</v>
      </c>
      <c r="K29" s="100">
        <v>3045.6</v>
      </c>
      <c r="L29" s="100">
        <v>1.2219630306562195</v>
      </c>
      <c r="M29" s="100">
        <v>413.51228957406465</v>
      </c>
      <c r="N29" s="100">
        <v>8</v>
      </c>
      <c r="O29" s="100">
        <v>2707.2</v>
      </c>
      <c r="P29" s="100">
        <v>3.8751583087677282</v>
      </c>
      <c r="Q29" s="100">
        <v>1311.3535716869992</v>
      </c>
      <c r="R29" s="100">
        <v>6</v>
      </c>
      <c r="S29" s="100">
        <v>2030.3999999999999</v>
      </c>
      <c r="T29" s="100">
        <v>8</v>
      </c>
      <c r="U29" s="100">
        <v>2707.2</v>
      </c>
      <c r="V29" s="100">
        <v>2.5053808384259248</v>
      </c>
      <c r="W29" s="100">
        <v>847.82087572333296</v>
      </c>
      <c r="X29" s="100">
        <v>4.7319368094607182</v>
      </c>
      <c r="Y29" s="100">
        <v>1601.287416321507</v>
      </c>
      <c r="Z29" s="100">
        <v>10</v>
      </c>
      <c r="AA29" s="100">
        <v>3384</v>
      </c>
      <c r="AB29" s="100">
        <v>1.0174017278818976</v>
      </c>
      <c r="AC29" s="100">
        <v>344.28874471523415</v>
      </c>
      <c r="AD29" s="100">
        <v>6.7895730024192771</v>
      </c>
      <c r="AE29" s="100">
        <v>2297.5915040186833</v>
      </c>
      <c r="AF29" s="100">
        <v>3.379912058140806</v>
      </c>
      <c r="AG29" s="100">
        <v>1143.7622404748486</v>
      </c>
      <c r="AH29" s="100">
        <v>10.37049974385598</v>
      </c>
      <c r="AI29" s="100">
        <v>3509.3771133208634</v>
      </c>
      <c r="AJ29" s="100">
        <v>5.5430461354973541</v>
      </c>
      <c r="AK29" s="100">
        <v>1875.7668122523046</v>
      </c>
      <c r="AL29" s="100">
        <v>11.80782638679848</v>
      </c>
      <c r="AM29" s="100">
        <v>3995.7684492926055</v>
      </c>
      <c r="AN29" s="100">
        <v>8</v>
      </c>
      <c r="AO29" s="100">
        <v>2707.2</v>
      </c>
      <c r="AP29" s="100">
        <v>1.710565044718352</v>
      </c>
      <c r="AQ29" s="100">
        <v>578.85521113269033</v>
      </c>
      <c r="AR29" s="100">
        <v>6.5503755594835891</v>
      </c>
      <c r="AS29" s="100">
        <v>2216.6470893292462</v>
      </c>
      <c r="AT29" s="100">
        <v>1.5546846589728984</v>
      </c>
      <c r="AU29" s="100">
        <v>526.10528859642875</v>
      </c>
      <c r="AV29" s="100">
        <v>7.3887847657246217</v>
      </c>
      <c r="AW29" s="100">
        <v>2500.3647647212119</v>
      </c>
      <c r="AX29" s="100">
        <v>10</v>
      </c>
      <c r="AY29" s="100">
        <v>3384</v>
      </c>
      <c r="AZ29" s="100">
        <v>10.856551507478807</v>
      </c>
      <c r="BA29" s="100">
        <v>3673.8570301308282</v>
      </c>
      <c r="BB29" s="100">
        <v>5.4395667422291911</v>
      </c>
      <c r="BC29" s="100">
        <v>1840.7493855703581</v>
      </c>
      <c r="BD29" s="100">
        <v>4.941727214096729</v>
      </c>
      <c r="BE29" s="100">
        <v>1672.2804892503329</v>
      </c>
      <c r="BF29" s="100">
        <v>1.8375122048425387</v>
      </c>
      <c r="BG29" s="100">
        <v>621.81413011871507</v>
      </c>
      <c r="BH29" s="100">
        <v>4.5753914230750906E-4</v>
      </c>
      <c r="BI29" s="100">
        <v>0.15483124575686105</v>
      </c>
      <c r="BJ29" s="100">
        <v>8.602043977161701</v>
      </c>
      <c r="BK29" s="100">
        <v>2910.9316818715192</v>
      </c>
      <c r="BL29" s="100">
        <v>8</v>
      </c>
      <c r="BM29" s="100">
        <v>2707.2</v>
      </c>
      <c r="BN29" s="100">
        <v>10</v>
      </c>
      <c r="BO29" s="100">
        <v>3384</v>
      </c>
      <c r="BP29" s="100">
        <v>8.5679746028842967</v>
      </c>
      <c r="BQ29" s="100">
        <v>2899.402605616046</v>
      </c>
      <c r="BR29" s="100">
        <v>6.5297162948856071</v>
      </c>
      <c r="BS29" s="100">
        <v>2209.6559941892892</v>
      </c>
      <c r="BT29" s="100">
        <v>4.8271702292336223E-4</v>
      </c>
      <c r="BU29" s="100">
        <v>0.16335144055726578</v>
      </c>
      <c r="BV29" s="100">
        <v>7.381294044114588</v>
      </c>
      <c r="BW29" s="100">
        <v>2497.8299045283766</v>
      </c>
      <c r="BX29" s="100">
        <v>7.2021231646279134</v>
      </c>
      <c r="BY29" s="100">
        <v>2437.1984789100857</v>
      </c>
      <c r="BZ29" s="100">
        <v>5.9512691617271072</v>
      </c>
      <c r="CA29" s="100">
        <v>2013.9094843284529</v>
      </c>
      <c r="CB29" s="100">
        <v>13.602687645603542</v>
      </c>
      <c r="CC29" s="100">
        <v>4603.1494992722382</v>
      </c>
      <c r="CD29" s="100">
        <v>1.6965179841949334</v>
      </c>
      <c r="CE29" s="100">
        <v>574.10168585156543</v>
      </c>
      <c r="CF29" s="100">
        <v>9.454769505419673</v>
      </c>
      <c r="CG29" s="100">
        <v>3199.4940006340171</v>
      </c>
      <c r="CH29" s="100">
        <v>4.1601401602134791</v>
      </c>
      <c r="CI29" s="100">
        <v>1407.7914302162412</v>
      </c>
      <c r="CJ29" s="100">
        <v>13.31927175353731</v>
      </c>
      <c r="CK29" s="100">
        <v>4507.2415613970252</v>
      </c>
      <c r="CL29" s="100">
        <v>1.9685141387199099</v>
      </c>
      <c r="CM29" s="100">
        <v>666.14518454281745</v>
      </c>
      <c r="CN29" s="100">
        <v>7.6927792031506801</v>
      </c>
      <c r="CO29" s="100">
        <v>2603.2364823461899</v>
      </c>
      <c r="CP29" s="100">
        <v>11.232709119498784</v>
      </c>
      <c r="CQ29" s="100">
        <v>3801.1487660383882</v>
      </c>
      <c r="CR29" s="100">
        <v>8.9567105652750119</v>
      </c>
      <c r="CS29" s="100">
        <v>3030.9508552890638</v>
      </c>
      <c r="CT29" s="100">
        <v>6.0318216132115778E-4</v>
      </c>
      <c r="CU29" s="100">
        <v>0.20411684339107977</v>
      </c>
    </row>
    <row r="30" spans="2:99">
      <c r="C30" s="99" t="s">
        <v>196</v>
      </c>
      <c r="D30" s="100">
        <v>5.5050677563851442</v>
      </c>
      <c r="E30" s="100">
        <v>766.30543168881206</v>
      </c>
      <c r="F30" s="100">
        <v>2.6592567933435496</v>
      </c>
      <c r="G30" s="100">
        <v>370.16854563342207</v>
      </c>
      <c r="H30" s="100">
        <v>9</v>
      </c>
      <c r="I30" s="100">
        <v>1252.8</v>
      </c>
      <c r="J30" s="100">
        <v>8</v>
      </c>
      <c r="K30" s="100">
        <v>1113.5999999999999</v>
      </c>
      <c r="L30" s="100">
        <v>1.2219630306562195</v>
      </c>
      <c r="M30" s="100">
        <v>170.09725386734573</v>
      </c>
      <c r="N30" s="100">
        <v>9</v>
      </c>
      <c r="O30" s="100">
        <v>1252.8</v>
      </c>
      <c r="P30" s="100">
        <v>3.4445851633490916</v>
      </c>
      <c r="Q30" s="100">
        <v>479.48625473819351</v>
      </c>
      <c r="R30" s="100">
        <v>6</v>
      </c>
      <c r="S30" s="100">
        <v>835.19999999999993</v>
      </c>
      <c r="T30" s="100">
        <v>8</v>
      </c>
      <c r="U30" s="100">
        <v>1113.5999999999999</v>
      </c>
      <c r="V30" s="100">
        <v>2.1474692900793637</v>
      </c>
      <c r="W30" s="100">
        <v>298.9277251790474</v>
      </c>
      <c r="X30" s="100">
        <v>4.7070413018697712</v>
      </c>
      <c r="Y30" s="100">
        <v>655.22014922027211</v>
      </c>
      <c r="Z30" s="100">
        <v>11</v>
      </c>
      <c r="AA30" s="100">
        <v>1531.1999999999998</v>
      </c>
      <c r="AB30" s="100">
        <v>1.1235423580517021</v>
      </c>
      <c r="AC30" s="100">
        <v>156.39709624079691</v>
      </c>
      <c r="AD30" s="100">
        <v>5.958521354846825</v>
      </c>
      <c r="AE30" s="100">
        <v>829.42617259467795</v>
      </c>
      <c r="AF30" s="100">
        <v>2.993186495362453</v>
      </c>
      <c r="AG30" s="100">
        <v>416.65156015445342</v>
      </c>
      <c r="AH30" s="100">
        <v>10.528658754175259</v>
      </c>
      <c r="AI30" s="100">
        <v>1465.5892985811959</v>
      </c>
      <c r="AJ30" s="100">
        <v>6.3422332843033118</v>
      </c>
      <c r="AK30" s="100">
        <v>882.83887317502092</v>
      </c>
      <c r="AL30" s="100">
        <v>10.80782638679848</v>
      </c>
      <c r="AM30" s="100">
        <v>1504.4494330423483</v>
      </c>
      <c r="AN30" s="100">
        <v>8</v>
      </c>
      <c r="AO30" s="100">
        <v>1113.5999999999999</v>
      </c>
      <c r="AP30" s="100">
        <v>1.8659699623921711</v>
      </c>
      <c r="AQ30" s="100">
        <v>259.74301876499021</v>
      </c>
      <c r="AR30" s="100">
        <v>6.4786667312644868</v>
      </c>
      <c r="AS30" s="100">
        <v>901.83040899201649</v>
      </c>
      <c r="AT30" s="100">
        <v>1.5363751647826893</v>
      </c>
      <c r="AU30" s="100">
        <v>213.86342293775033</v>
      </c>
      <c r="AV30" s="100">
        <v>8.3887847657246226</v>
      </c>
      <c r="AW30" s="100">
        <v>1167.7188393888673</v>
      </c>
      <c r="AX30" s="100">
        <v>10</v>
      </c>
      <c r="AY30" s="100">
        <v>1392</v>
      </c>
      <c r="AZ30" s="100">
        <v>11.843510735431424</v>
      </c>
      <c r="BA30" s="100">
        <v>1648.6166943720541</v>
      </c>
      <c r="BB30" s="100">
        <v>5.4395667422291911</v>
      </c>
      <c r="BC30" s="100">
        <v>757.18769051830338</v>
      </c>
      <c r="BD30" s="100">
        <v>4.941727214096729</v>
      </c>
      <c r="BE30" s="100">
        <v>687.88842820226466</v>
      </c>
      <c r="BF30" s="100">
        <v>1.8375122048425387</v>
      </c>
      <c r="BG30" s="100">
        <v>255.78169891408137</v>
      </c>
      <c r="BH30" s="100">
        <v>4.5753914230750906E-4</v>
      </c>
      <c r="BI30" s="100">
        <v>6.3689448609205251E-2</v>
      </c>
      <c r="BJ30" s="100">
        <v>9.602043977161701</v>
      </c>
      <c r="BK30" s="100">
        <v>1336.6045216209086</v>
      </c>
      <c r="BL30" s="100">
        <v>8</v>
      </c>
      <c r="BM30" s="100">
        <v>1113.5999999999999</v>
      </c>
      <c r="BN30" s="100">
        <v>12</v>
      </c>
      <c r="BO30" s="100">
        <v>1670.3999999999999</v>
      </c>
      <c r="BP30" s="100">
        <v>8.5679746028842967</v>
      </c>
      <c r="BQ30" s="100">
        <v>1192.6620647214941</v>
      </c>
      <c r="BR30" s="100">
        <v>7.3459308317463075</v>
      </c>
      <c r="BS30" s="100">
        <v>1022.5535717790859</v>
      </c>
      <c r="BT30" s="100">
        <v>4.7997686617807925E-4</v>
      </c>
      <c r="BU30" s="100">
        <v>6.6812779771988628E-2</v>
      </c>
      <c r="BV30" s="100">
        <v>7.389484784508304</v>
      </c>
      <c r="BW30" s="100">
        <v>1028.6162820035559</v>
      </c>
      <c r="BX30" s="100">
        <v>7.2947912938374513</v>
      </c>
      <c r="BY30" s="100">
        <v>1015.4349481021732</v>
      </c>
      <c r="BZ30" s="100">
        <v>5.798414388923212</v>
      </c>
      <c r="CA30" s="100">
        <v>807.13928293811102</v>
      </c>
      <c r="CB30" s="100">
        <v>15.602687645603542</v>
      </c>
      <c r="CC30" s="100">
        <v>2171.894120268013</v>
      </c>
      <c r="CD30" s="100">
        <v>1.6965179841949334</v>
      </c>
      <c r="CE30" s="100">
        <v>236.1553033999347</v>
      </c>
      <c r="CF30" s="100">
        <v>9.6629466011750047</v>
      </c>
      <c r="CG30" s="100">
        <v>1345.0821668835606</v>
      </c>
      <c r="CH30" s="100">
        <v>4.853496853582393</v>
      </c>
      <c r="CI30" s="100">
        <v>675.60676201866909</v>
      </c>
      <c r="CJ30" s="100">
        <v>12.429211066332085</v>
      </c>
      <c r="CK30" s="100">
        <v>1730.146180433426</v>
      </c>
      <c r="CL30" s="100">
        <v>2.2497304442513255</v>
      </c>
      <c r="CM30" s="100">
        <v>313.16247783978446</v>
      </c>
      <c r="CN30" s="100">
        <v>7.6927792031506801</v>
      </c>
      <c r="CO30" s="100">
        <v>1070.8348650785747</v>
      </c>
      <c r="CP30" s="100">
        <v>10.296650026207219</v>
      </c>
      <c r="CQ30" s="100">
        <v>1433.2936836480449</v>
      </c>
      <c r="CR30" s="100">
        <v>8.9567105652750119</v>
      </c>
      <c r="CS30" s="100">
        <v>1246.7741106862816</v>
      </c>
      <c r="CT30" s="100">
        <v>6.6517171721448582E-4</v>
      </c>
      <c r="CU30" s="100">
        <v>9.2591903036256418E-2</v>
      </c>
    </row>
    <row r="31" spans="2:99">
      <c r="C31" s="99" t="s">
        <v>197</v>
      </c>
      <c r="D31" s="100">
        <v>5.5050677563851442</v>
      </c>
      <c r="E31" s="100">
        <v>1876.1270913760573</v>
      </c>
      <c r="F31" s="100">
        <v>2.0683108392672049</v>
      </c>
      <c r="G31" s="100">
        <v>704.88033402226347</v>
      </c>
      <c r="H31" s="100">
        <v>9</v>
      </c>
      <c r="I31" s="100">
        <v>3067.2000000000003</v>
      </c>
      <c r="J31" s="100">
        <v>8</v>
      </c>
      <c r="K31" s="100">
        <v>2726.4</v>
      </c>
      <c r="L31" s="100">
        <v>1.2219630306562195</v>
      </c>
      <c r="M31" s="100">
        <v>416.44500084763962</v>
      </c>
      <c r="N31" s="100">
        <v>8</v>
      </c>
      <c r="O31" s="100">
        <v>2726.4</v>
      </c>
      <c r="P31" s="100">
        <v>3.8751583087677282</v>
      </c>
      <c r="Q31" s="100">
        <v>1320.6539516280418</v>
      </c>
      <c r="R31" s="100">
        <v>6</v>
      </c>
      <c r="S31" s="100">
        <v>2044.8000000000002</v>
      </c>
      <c r="T31" s="100">
        <v>7</v>
      </c>
      <c r="U31" s="100">
        <v>2385.6</v>
      </c>
      <c r="V31" s="100">
        <v>2.5053808384259248</v>
      </c>
      <c r="W31" s="100">
        <v>853.83378973555523</v>
      </c>
      <c r="X31" s="100">
        <v>5.2736378954614143</v>
      </c>
      <c r="Y31" s="100">
        <v>1797.25579477325</v>
      </c>
      <c r="Z31" s="100">
        <v>11</v>
      </c>
      <c r="AA31" s="100">
        <v>3748.8</v>
      </c>
      <c r="AB31" s="100">
        <v>1.1235423580517021</v>
      </c>
      <c r="AC31" s="100">
        <v>382.90323562402011</v>
      </c>
      <c r="AD31" s="100">
        <v>5.8369949211703105</v>
      </c>
      <c r="AE31" s="100">
        <v>1989.2478691348419</v>
      </c>
      <c r="AF31" s="100">
        <v>3.3631423903300779</v>
      </c>
      <c r="AG31" s="100">
        <v>1146.1589266244905</v>
      </c>
      <c r="AH31" s="100">
        <v>9.4115274515955445</v>
      </c>
      <c r="AI31" s="100">
        <v>3207.4485555037618</v>
      </c>
      <c r="AJ31" s="100">
        <v>6.3422332843033118</v>
      </c>
      <c r="AK31" s="100">
        <v>2161.4331032905689</v>
      </c>
      <c r="AL31" s="100">
        <v>10.80782638679848</v>
      </c>
      <c r="AM31" s="100">
        <v>3683.3072326209222</v>
      </c>
      <c r="AN31" s="100">
        <v>8</v>
      </c>
      <c r="AO31" s="100">
        <v>2726.4</v>
      </c>
      <c r="AP31" s="100">
        <v>1.8585697282172273</v>
      </c>
      <c r="AQ31" s="100">
        <v>633.40056337643114</v>
      </c>
      <c r="AR31" s="100">
        <v>6.4744996213305548</v>
      </c>
      <c r="AS31" s="100">
        <v>2206.5094709494533</v>
      </c>
      <c r="AT31" s="100">
        <v>1.3154058345168087</v>
      </c>
      <c r="AU31" s="100">
        <v>448.29030840332842</v>
      </c>
      <c r="AV31" s="100">
        <v>8.3887847657246226</v>
      </c>
      <c r="AW31" s="100">
        <v>2858.8978481589515</v>
      </c>
      <c r="AX31" s="100">
        <v>9</v>
      </c>
      <c r="AY31" s="100">
        <v>3067.2000000000003</v>
      </c>
      <c r="AZ31" s="100">
        <v>10.856551507478807</v>
      </c>
      <c r="BA31" s="100">
        <v>3699.9127537487775</v>
      </c>
      <c r="BB31" s="100">
        <v>5.4395667422291911</v>
      </c>
      <c r="BC31" s="100">
        <v>1853.8043457517083</v>
      </c>
      <c r="BD31" s="100">
        <v>4.941727214096729</v>
      </c>
      <c r="BE31" s="100">
        <v>1684.1406345641653</v>
      </c>
      <c r="BF31" s="100">
        <v>1.5312601707021156</v>
      </c>
      <c r="BG31" s="100">
        <v>521.85346617528103</v>
      </c>
      <c r="BH31" s="100">
        <v>5.2079357353974768E-4</v>
      </c>
      <c r="BI31" s="100">
        <v>0.17748644986234602</v>
      </c>
      <c r="BJ31" s="100">
        <v>8.4952410453509213</v>
      </c>
      <c r="BK31" s="100">
        <v>2895.1781482555939</v>
      </c>
      <c r="BL31" s="100">
        <v>8</v>
      </c>
      <c r="BM31" s="100">
        <v>2726.4</v>
      </c>
      <c r="BN31" s="100">
        <v>11</v>
      </c>
      <c r="BO31" s="100">
        <v>3748.8</v>
      </c>
      <c r="BP31" s="100">
        <v>8.5679746028842967</v>
      </c>
      <c r="BQ31" s="100">
        <v>2919.9657446629685</v>
      </c>
      <c r="BR31" s="100">
        <v>6.5297162948856071</v>
      </c>
      <c r="BS31" s="100">
        <v>2225.3273132970148</v>
      </c>
      <c r="BT31" s="100">
        <v>4.7997686617807925E-4</v>
      </c>
      <c r="BU31" s="100">
        <v>0.16357611599348942</v>
      </c>
      <c r="BV31" s="100">
        <v>6.7955600799114588</v>
      </c>
      <c r="BW31" s="100">
        <v>2315.9268752338253</v>
      </c>
      <c r="BX31" s="100">
        <v>7.8569419545208783</v>
      </c>
      <c r="BY31" s="100">
        <v>2677.6458181007156</v>
      </c>
      <c r="BZ31" s="100">
        <v>6.5028095328557969</v>
      </c>
      <c r="CA31" s="100">
        <v>2216.1574887972556</v>
      </c>
      <c r="CB31" s="100">
        <v>13.440019667753319</v>
      </c>
      <c r="CC31" s="100">
        <v>4580.3587027703315</v>
      </c>
      <c r="CD31" s="100">
        <v>1.52686618577544</v>
      </c>
      <c r="CE31" s="100">
        <v>520.35599611226996</v>
      </c>
      <c r="CF31" s="100">
        <v>9.3506809575420053</v>
      </c>
      <c r="CG31" s="100">
        <v>3186.7120703303153</v>
      </c>
      <c r="CH31" s="100">
        <v>4.853496853582393</v>
      </c>
      <c r="CI31" s="100">
        <v>1654.0717277008796</v>
      </c>
      <c r="CJ31" s="100">
        <v>13.539150379126861</v>
      </c>
      <c r="CK31" s="100">
        <v>4614.1424492064343</v>
      </c>
      <c r="CL31" s="100">
        <v>1.9984053971124627</v>
      </c>
      <c r="CM31" s="100">
        <v>681.05655933592732</v>
      </c>
      <c r="CN31" s="100">
        <v>8.6927792031506801</v>
      </c>
      <c r="CO31" s="100">
        <v>2962.499152433752</v>
      </c>
      <c r="CP31" s="100">
        <v>10.296650026207219</v>
      </c>
      <c r="CQ31" s="100">
        <v>3509.0983289314204</v>
      </c>
      <c r="CR31" s="100">
        <v>8.9567105652750119</v>
      </c>
      <c r="CS31" s="100">
        <v>3052.4469606457242</v>
      </c>
      <c r="CT31" s="100">
        <v>7.2414286255573354E-4</v>
      </c>
      <c r="CU31" s="100">
        <v>0.246787887558994</v>
      </c>
    </row>
    <row r="32" spans="2:99">
      <c r="C32" s="99" t="s">
        <v>198</v>
      </c>
      <c r="D32" s="100">
        <v>5.5050677563851442</v>
      </c>
      <c r="E32" s="100">
        <v>4624.2569153635213</v>
      </c>
      <c r="F32" s="100">
        <v>2.3637838163053773</v>
      </c>
      <c r="G32" s="100">
        <v>1985.5784056965169</v>
      </c>
      <c r="H32" s="100">
        <v>10</v>
      </c>
      <c r="I32" s="100">
        <v>8400</v>
      </c>
      <c r="J32" s="100">
        <v>8</v>
      </c>
      <c r="K32" s="100">
        <v>6720</v>
      </c>
      <c r="L32" s="100">
        <v>1.3747084094882471</v>
      </c>
      <c r="M32" s="100">
        <v>1154.7550639701276</v>
      </c>
      <c r="N32" s="100">
        <v>8</v>
      </c>
      <c r="O32" s="100">
        <v>6720</v>
      </c>
      <c r="P32" s="100">
        <v>3.8751583087677282</v>
      </c>
      <c r="Q32" s="100">
        <v>3255.1329793648915</v>
      </c>
      <c r="R32" s="100">
        <v>5</v>
      </c>
      <c r="S32" s="100">
        <v>4200</v>
      </c>
      <c r="T32" s="100">
        <v>7</v>
      </c>
      <c r="U32" s="100">
        <v>5880</v>
      </c>
      <c r="V32" s="100">
        <v>2.1474692900793637</v>
      </c>
      <c r="W32" s="100">
        <v>1803.8742036666656</v>
      </c>
      <c r="X32" s="100">
        <v>4.7568323170516651</v>
      </c>
      <c r="Y32" s="100">
        <v>3995.7391463233985</v>
      </c>
      <c r="Z32" s="100">
        <v>10</v>
      </c>
      <c r="AA32" s="100">
        <v>8400</v>
      </c>
      <c r="AB32" s="100">
        <v>1.0122237231857594</v>
      </c>
      <c r="AC32" s="100">
        <v>850.26792747603793</v>
      </c>
      <c r="AD32" s="100">
        <v>5.8369949211703105</v>
      </c>
      <c r="AE32" s="100">
        <v>4903.075733783061</v>
      </c>
      <c r="AF32" s="100">
        <v>2.6735396038270127</v>
      </c>
      <c r="AG32" s="100">
        <v>2245.7732672146908</v>
      </c>
      <c r="AH32" s="100">
        <v>8.4525551593351107</v>
      </c>
      <c r="AI32" s="100">
        <v>7100.1463338414933</v>
      </c>
      <c r="AJ32" s="100">
        <v>5.5686780885695306</v>
      </c>
      <c r="AK32" s="100">
        <v>4677.6895943984055</v>
      </c>
      <c r="AL32" s="100">
        <v>10.718067899376425</v>
      </c>
      <c r="AM32" s="100">
        <v>9003.1770354761975</v>
      </c>
      <c r="AN32" s="100">
        <v>8</v>
      </c>
      <c r="AO32" s="100">
        <v>6720</v>
      </c>
      <c r="AP32" s="100">
        <v>1.710565044718352</v>
      </c>
      <c r="AQ32" s="100">
        <v>1436.8746375634157</v>
      </c>
      <c r="AR32" s="100">
        <v>6.5587097793514548</v>
      </c>
      <c r="AS32" s="100">
        <v>5509.3162146552222</v>
      </c>
      <c r="AT32" s="100">
        <v>1.5363751647826893</v>
      </c>
      <c r="AU32" s="100">
        <v>1290.5551384174589</v>
      </c>
      <c r="AV32" s="100">
        <v>7.3887847657246217</v>
      </c>
      <c r="AW32" s="100">
        <v>6206.579203208682</v>
      </c>
      <c r="AX32" s="100">
        <v>9</v>
      </c>
      <c r="AY32" s="100">
        <v>7560</v>
      </c>
      <c r="AZ32" s="100">
        <v>9.8695922795261897</v>
      </c>
      <c r="BA32" s="100">
        <v>8290.4575148019994</v>
      </c>
      <c r="BB32" s="100">
        <v>5.4395667422291911</v>
      </c>
      <c r="BC32" s="100">
        <v>4569.236063472521</v>
      </c>
      <c r="BD32" s="100">
        <v>4.941727214096729</v>
      </c>
      <c r="BE32" s="100">
        <v>4151.0508598412525</v>
      </c>
      <c r="BF32" s="100">
        <v>1.8375122048425387</v>
      </c>
      <c r="BG32" s="100">
        <v>1543.5102520677326</v>
      </c>
      <c r="BH32" s="100">
        <v>4.5543083892438926E-4</v>
      </c>
      <c r="BI32" s="100">
        <v>0.38256190469648699</v>
      </c>
      <c r="BJ32" s="100">
        <v>7.602043977161701</v>
      </c>
      <c r="BK32" s="100">
        <v>6385.7169408158288</v>
      </c>
      <c r="BL32" s="100">
        <v>7</v>
      </c>
      <c r="BM32" s="100">
        <v>5880</v>
      </c>
      <c r="BN32" s="100">
        <v>10</v>
      </c>
      <c r="BO32" s="100">
        <v>8400</v>
      </c>
      <c r="BP32" s="100">
        <v>8.5679746028842967</v>
      </c>
      <c r="BQ32" s="100">
        <v>7197.0986664228094</v>
      </c>
      <c r="BR32" s="100">
        <v>6.5297162948856071</v>
      </c>
      <c r="BS32" s="100">
        <v>5484.9616877039098</v>
      </c>
      <c r="BT32" s="100">
        <v>4.8545717966864521E-4</v>
      </c>
      <c r="BU32" s="100">
        <v>0.40778403092166199</v>
      </c>
      <c r="BV32" s="100">
        <v>6.7982903267093642</v>
      </c>
      <c r="BW32" s="100">
        <v>5710.5638744358657</v>
      </c>
      <c r="BX32" s="100">
        <v>7.1113550765279916</v>
      </c>
      <c r="BY32" s="100">
        <v>5973.5382642835129</v>
      </c>
      <c r="BZ32" s="100">
        <v>5.7972590039611411</v>
      </c>
      <c r="CA32" s="100">
        <v>4869.6975633273587</v>
      </c>
      <c r="CB32" s="100">
        <v>14.602687645603542</v>
      </c>
      <c r="CC32" s="100">
        <v>12266.257622306975</v>
      </c>
      <c r="CD32" s="100">
        <v>1.6965179841949334</v>
      </c>
      <c r="CE32" s="100">
        <v>1425.0751067237441</v>
      </c>
      <c r="CF32" s="100">
        <v>8.3509897281504628</v>
      </c>
      <c r="CG32" s="100">
        <v>7014.831371646389</v>
      </c>
      <c r="CH32" s="100">
        <v>4.853496853582393</v>
      </c>
      <c r="CI32" s="100">
        <v>4076.9373570092102</v>
      </c>
      <c r="CJ32" s="100">
        <v>12.429211066332085</v>
      </c>
      <c r="CK32" s="100">
        <v>10440.537295718952</v>
      </c>
      <c r="CL32" s="100">
        <v>1.9685141387199099</v>
      </c>
      <c r="CM32" s="100">
        <v>1653.5518765247243</v>
      </c>
      <c r="CN32" s="100">
        <v>6.6927792031506801</v>
      </c>
      <c r="CO32" s="100">
        <v>5621.9345306465711</v>
      </c>
      <c r="CP32" s="100">
        <v>10.296650026207219</v>
      </c>
      <c r="CQ32" s="100">
        <v>8649.1860220140643</v>
      </c>
      <c r="CR32" s="100">
        <v>7.165368452220009</v>
      </c>
      <c r="CS32" s="100">
        <v>6018.9094998648079</v>
      </c>
      <c r="CT32" s="100">
        <v>6.0016375076907746E-4</v>
      </c>
      <c r="CU32" s="100">
        <v>0.50413755064602506</v>
      </c>
    </row>
    <row r="33" spans="2:99">
      <c r="C33" s="99" t="s">
        <v>199</v>
      </c>
      <c r="D33" s="100">
        <v>5.5050677563851442</v>
      </c>
      <c r="E33" s="100">
        <v>2609.4021165265585</v>
      </c>
      <c r="F33" s="100">
        <v>2.0683108392672049</v>
      </c>
      <c r="G33" s="100">
        <v>980.37933781265519</v>
      </c>
      <c r="H33" s="100">
        <v>9</v>
      </c>
      <c r="I33" s="100">
        <v>4266</v>
      </c>
      <c r="J33" s="100">
        <v>8</v>
      </c>
      <c r="K33" s="100">
        <v>3792</v>
      </c>
      <c r="L33" s="100">
        <v>1.3747084094882471</v>
      </c>
      <c r="M33" s="100">
        <v>651.6117860974291</v>
      </c>
      <c r="N33" s="100">
        <v>8</v>
      </c>
      <c r="O33" s="100">
        <v>3792</v>
      </c>
      <c r="P33" s="100">
        <v>3.8751583087677282</v>
      </c>
      <c r="Q33" s="100">
        <v>1836.8250383559032</v>
      </c>
      <c r="R33" s="100">
        <v>6</v>
      </c>
      <c r="S33" s="100">
        <v>2844</v>
      </c>
      <c r="T33" s="100">
        <v>8</v>
      </c>
      <c r="U33" s="100">
        <v>3792</v>
      </c>
      <c r="V33" s="100">
        <v>2.5053808384259248</v>
      </c>
      <c r="W33" s="100">
        <v>1187.5505174138884</v>
      </c>
      <c r="X33" s="100">
        <v>4.7817278246426111</v>
      </c>
      <c r="Y33" s="100">
        <v>2266.5389888805976</v>
      </c>
      <c r="Z33" s="100">
        <v>11</v>
      </c>
      <c r="AA33" s="100">
        <v>5214</v>
      </c>
      <c r="AB33" s="100">
        <v>0.91126109771209318</v>
      </c>
      <c r="AC33" s="100">
        <v>431.93776031553216</v>
      </c>
      <c r="AD33" s="100">
        <v>5.8369949211703105</v>
      </c>
      <c r="AE33" s="100">
        <v>2766.7355926347273</v>
      </c>
      <c r="AF33" s="100">
        <v>3.3296030547086217</v>
      </c>
      <c r="AG33" s="100">
        <v>1578.2318479318867</v>
      </c>
      <c r="AH33" s="100">
        <v>9.2533684412762671</v>
      </c>
      <c r="AI33" s="100">
        <v>4386.0966411649506</v>
      </c>
      <c r="AJ33" s="100">
        <v>5.5686780885695306</v>
      </c>
      <c r="AK33" s="100">
        <v>2639.5534139819574</v>
      </c>
      <c r="AL33" s="100">
        <v>10.80782638679848</v>
      </c>
      <c r="AM33" s="100">
        <v>5122.9097073424791</v>
      </c>
      <c r="AN33" s="100">
        <v>8</v>
      </c>
      <c r="AO33" s="100">
        <v>3792</v>
      </c>
      <c r="AP33" s="100">
        <v>1.9956592188380771</v>
      </c>
      <c r="AQ33" s="100">
        <v>945.9424697292485</v>
      </c>
      <c r="AR33" s="100">
        <v>5.9819414835299636</v>
      </c>
      <c r="AS33" s="100">
        <v>2835.4402631932026</v>
      </c>
      <c r="AT33" s="100">
        <v>1.5455299118777939</v>
      </c>
      <c r="AU33" s="100">
        <v>732.58117823007433</v>
      </c>
      <c r="AV33" s="100">
        <v>7.3887847657246217</v>
      </c>
      <c r="AW33" s="100">
        <v>3502.2839789534705</v>
      </c>
      <c r="AX33" s="100">
        <v>10</v>
      </c>
      <c r="AY33" s="100">
        <v>4740</v>
      </c>
      <c r="AZ33" s="100">
        <v>9.8695922795261897</v>
      </c>
      <c r="BA33" s="100">
        <v>4678.1867404954137</v>
      </c>
      <c r="BB33" s="100">
        <v>5.4395667422291911</v>
      </c>
      <c r="BC33" s="100">
        <v>2578.3546358166368</v>
      </c>
      <c r="BD33" s="100">
        <v>4.941727214096729</v>
      </c>
      <c r="BE33" s="100">
        <v>2342.3786994818497</v>
      </c>
      <c r="BF33" s="100">
        <v>1.8375122048425387</v>
      </c>
      <c r="BG33" s="100">
        <v>870.98078509536333</v>
      </c>
      <c r="BH33" s="100">
        <v>5.1868527015662793E-4</v>
      </c>
      <c r="BI33" s="100">
        <v>0.24585681805424164</v>
      </c>
      <c r="BJ33" s="100">
        <v>9.7088469089724825</v>
      </c>
      <c r="BK33" s="100">
        <v>4601.9934348529569</v>
      </c>
      <c r="BL33" s="100">
        <v>8</v>
      </c>
      <c r="BM33" s="100">
        <v>3792</v>
      </c>
      <c r="BN33" s="100">
        <v>10</v>
      </c>
      <c r="BO33" s="100">
        <v>4740</v>
      </c>
      <c r="BP33" s="100">
        <v>8.5679746028842967</v>
      </c>
      <c r="BQ33" s="100">
        <v>4061.2199617671567</v>
      </c>
      <c r="BR33" s="100">
        <v>6.5297162948856071</v>
      </c>
      <c r="BS33" s="100">
        <v>3095.0855237757778</v>
      </c>
      <c r="BT33" s="100">
        <v>4.8819733641392824E-4</v>
      </c>
      <c r="BU33" s="100">
        <v>0.23140553746020198</v>
      </c>
      <c r="BV33" s="100">
        <v>7.3922150313062103</v>
      </c>
      <c r="BW33" s="100">
        <v>3503.9099248391435</v>
      </c>
      <c r="BX33" s="100">
        <v>7.2002231235182972</v>
      </c>
      <c r="BY33" s="100">
        <v>3412.9057605476728</v>
      </c>
      <c r="BZ33" s="100">
        <v>5.8742640828441246</v>
      </c>
      <c r="CA33" s="100">
        <v>2784.4011752681149</v>
      </c>
      <c r="CB33" s="100">
        <v>14.440019667753319</v>
      </c>
      <c r="CC33" s="100">
        <v>6844.5693225150735</v>
      </c>
      <c r="CD33" s="100">
        <v>1.52686618577544</v>
      </c>
      <c r="CE33" s="100">
        <v>723.73457205755858</v>
      </c>
      <c r="CF33" s="100">
        <v>9.5588580532973371</v>
      </c>
      <c r="CG33" s="100">
        <v>4530.8987172629377</v>
      </c>
      <c r="CH33" s="100">
        <v>4.853496853582393</v>
      </c>
      <c r="CI33" s="100">
        <v>2300.5575085980545</v>
      </c>
      <c r="CJ33" s="100">
        <v>11.539150379126861</v>
      </c>
      <c r="CK33" s="100">
        <v>5469.5572797061322</v>
      </c>
      <c r="CL33" s="100">
        <v>1.7190572952305816</v>
      </c>
      <c r="CM33" s="100">
        <v>814.83315793929569</v>
      </c>
      <c r="CN33" s="100">
        <v>7.5625654182929356</v>
      </c>
      <c r="CO33" s="100">
        <v>3584.6560082708515</v>
      </c>
      <c r="CP33" s="100">
        <v>11.232709119498784</v>
      </c>
      <c r="CQ33" s="100">
        <v>5324.3041226424239</v>
      </c>
      <c r="CR33" s="100">
        <v>8.0610395087475109</v>
      </c>
      <c r="CS33" s="100">
        <v>3820.9327271463203</v>
      </c>
      <c r="CT33" s="100">
        <v>7.2716127310781386E-4</v>
      </c>
      <c r="CU33" s="100">
        <v>0.34467444345310377</v>
      </c>
    </row>
    <row r="34" spans="2:99">
      <c r="C34" s="99" t="s">
        <v>200</v>
      </c>
      <c r="D34" s="100">
        <v>5.5050677563851442</v>
      </c>
      <c r="E34" s="100">
        <v>3018.9791576016128</v>
      </c>
      <c r="F34" s="100">
        <v>2.3637838163053773</v>
      </c>
      <c r="G34" s="100">
        <v>1296.2990448618689</v>
      </c>
      <c r="H34" s="100">
        <v>9</v>
      </c>
      <c r="I34" s="100">
        <v>4935.5999999999995</v>
      </c>
      <c r="J34" s="100">
        <v>8</v>
      </c>
      <c r="K34" s="100">
        <v>4387.2</v>
      </c>
      <c r="L34" s="100">
        <v>1.2219630306562195</v>
      </c>
      <c r="M34" s="100">
        <v>670.12452601187078</v>
      </c>
      <c r="N34" s="100">
        <v>8</v>
      </c>
      <c r="O34" s="100">
        <v>4387.2</v>
      </c>
      <c r="P34" s="100">
        <v>3.4445851633490916</v>
      </c>
      <c r="Q34" s="100">
        <v>1889.0105035806419</v>
      </c>
      <c r="R34" s="100">
        <v>5</v>
      </c>
      <c r="S34" s="100">
        <v>2742</v>
      </c>
      <c r="T34" s="100">
        <v>8</v>
      </c>
      <c r="U34" s="100">
        <v>4387.2</v>
      </c>
      <c r="V34" s="100">
        <v>2.1474692900793637</v>
      </c>
      <c r="W34" s="100">
        <v>1177.6721586795229</v>
      </c>
      <c r="X34" s="100">
        <v>4.7319368094607182</v>
      </c>
      <c r="Y34" s="100">
        <v>2594.9941463082578</v>
      </c>
      <c r="Z34" s="100">
        <v>11</v>
      </c>
      <c r="AA34" s="100">
        <v>6032.4</v>
      </c>
      <c r="AB34" s="100">
        <v>1.1235423580517021</v>
      </c>
      <c r="AC34" s="100">
        <v>616.15062915555336</v>
      </c>
      <c r="AD34" s="100">
        <v>6.0800477885233368</v>
      </c>
      <c r="AE34" s="100">
        <v>3334.298207226198</v>
      </c>
      <c r="AF34" s="100">
        <v>3.3296030547086217</v>
      </c>
      <c r="AG34" s="100">
        <v>1825.9543152022081</v>
      </c>
      <c r="AH34" s="100">
        <v>9.5696864619148236</v>
      </c>
      <c r="AI34" s="100">
        <v>5248.0160557140889</v>
      </c>
      <c r="AJ34" s="100">
        <v>5.5430461354973541</v>
      </c>
      <c r="AK34" s="100">
        <v>3039.8065007067489</v>
      </c>
      <c r="AL34" s="100">
        <v>12.718067899376425</v>
      </c>
      <c r="AM34" s="100">
        <v>6974.5884360180316</v>
      </c>
      <c r="AN34" s="100">
        <v>7</v>
      </c>
      <c r="AO34" s="100">
        <v>3838.7999999999997</v>
      </c>
      <c r="AP34" s="100">
        <v>1.710565044718352</v>
      </c>
      <c r="AQ34" s="100">
        <v>938.0738705235442</v>
      </c>
      <c r="AR34" s="100">
        <v>5.9777743735960325</v>
      </c>
      <c r="AS34" s="100">
        <v>3278.2114664800642</v>
      </c>
      <c r="AT34" s="100">
        <v>1.5363751647826893</v>
      </c>
      <c r="AU34" s="100">
        <v>842.54814036682683</v>
      </c>
      <c r="AV34" s="100">
        <v>7.515037926245042</v>
      </c>
      <c r="AW34" s="100">
        <v>4121.2467987527807</v>
      </c>
      <c r="AX34" s="100">
        <v>10</v>
      </c>
      <c r="AY34" s="100">
        <v>5484</v>
      </c>
      <c r="AZ34" s="100">
        <v>9.8695922795261897</v>
      </c>
      <c r="BA34" s="100">
        <v>5412.4844060921623</v>
      </c>
      <c r="BB34" s="100">
        <v>5.4395667422291911</v>
      </c>
      <c r="BC34" s="100">
        <v>2983.0584014384881</v>
      </c>
      <c r="BD34" s="100">
        <v>5.7653484164461846</v>
      </c>
      <c r="BE34" s="100">
        <v>3161.7170715790876</v>
      </c>
      <c r="BF34" s="100">
        <v>1.8375122048425387</v>
      </c>
      <c r="BG34" s="100">
        <v>1007.6916931356482</v>
      </c>
      <c r="BH34" s="100">
        <v>5.1868527015662793E-4</v>
      </c>
      <c r="BI34" s="100">
        <v>0.28444700215389473</v>
      </c>
      <c r="BJ34" s="100">
        <v>8.7088469089724825</v>
      </c>
      <c r="BK34" s="100">
        <v>4775.9316448805093</v>
      </c>
      <c r="BL34" s="100">
        <v>8</v>
      </c>
      <c r="BM34" s="100">
        <v>4387.2</v>
      </c>
      <c r="BN34" s="100">
        <v>11</v>
      </c>
      <c r="BO34" s="100">
        <v>6032.4</v>
      </c>
      <c r="BP34" s="100">
        <v>8.5679746028842967</v>
      </c>
      <c r="BQ34" s="100">
        <v>4698.6772722217484</v>
      </c>
      <c r="BR34" s="100">
        <v>7.3459308317463075</v>
      </c>
      <c r="BS34" s="100">
        <v>4028.5084681296748</v>
      </c>
      <c r="BT34" s="100">
        <v>4.8819733641392824E-4</v>
      </c>
      <c r="BU34" s="100">
        <v>0.26772741928939825</v>
      </c>
      <c r="BV34" s="100">
        <v>6.318926603113515</v>
      </c>
      <c r="BW34" s="100">
        <v>3465.2993491474513</v>
      </c>
      <c r="BX34" s="100">
        <v>7.2021231646279134</v>
      </c>
      <c r="BY34" s="100">
        <v>3949.6443434819475</v>
      </c>
      <c r="BZ34" s="100">
        <v>5.1704466313925757</v>
      </c>
      <c r="CA34" s="100">
        <v>2835.4729326556885</v>
      </c>
      <c r="CB34" s="100">
        <v>14.277351689903098</v>
      </c>
      <c r="CC34" s="100">
        <v>7829.6996667428584</v>
      </c>
      <c r="CD34" s="100">
        <v>1.6965179841949334</v>
      </c>
      <c r="CE34" s="100">
        <v>930.37046253250139</v>
      </c>
      <c r="CF34" s="100">
        <v>9.6629466011750047</v>
      </c>
      <c r="CG34" s="100">
        <v>5299.1599160843725</v>
      </c>
      <c r="CH34" s="100">
        <v>4.1601401602134791</v>
      </c>
      <c r="CI34" s="100">
        <v>2281.4208638610717</v>
      </c>
      <c r="CJ34" s="100">
        <v>12.539150379126861</v>
      </c>
      <c r="CK34" s="100">
        <v>6876.4700679131702</v>
      </c>
      <c r="CL34" s="100">
        <v>1.687297833188494</v>
      </c>
      <c r="CM34" s="100">
        <v>925.31413172057012</v>
      </c>
      <c r="CN34" s="100">
        <v>7.8229929880084246</v>
      </c>
      <c r="CO34" s="100">
        <v>4290.1293546238203</v>
      </c>
      <c r="CP34" s="100">
        <v>11.232709119498784</v>
      </c>
      <c r="CQ34" s="100">
        <v>6160.017681133133</v>
      </c>
      <c r="CR34" s="100">
        <v>7.165368452220009</v>
      </c>
      <c r="CS34" s="100">
        <v>3929.4880591974529</v>
      </c>
      <c r="CT34" s="100">
        <v>6.6517171721448582E-4</v>
      </c>
      <c r="CU34" s="100">
        <v>0.36478016972042399</v>
      </c>
    </row>
    <row r="35" spans="2:99">
      <c r="C35" s="99" t="s">
        <v>201</v>
      </c>
      <c r="D35" s="100">
        <v>5.5050677563851442</v>
      </c>
      <c r="E35" s="100">
        <v>2767.9480679104499</v>
      </c>
      <c r="F35" s="100">
        <v>2.0683108392672049</v>
      </c>
      <c r="G35" s="100">
        <v>1039.9466899835504</v>
      </c>
      <c r="H35" s="100">
        <v>9</v>
      </c>
      <c r="I35" s="100">
        <v>4525.1999999999989</v>
      </c>
      <c r="J35" s="100">
        <v>9</v>
      </c>
      <c r="K35" s="100">
        <v>4525.1999999999989</v>
      </c>
      <c r="L35" s="100">
        <v>1.2219630306562195</v>
      </c>
      <c r="M35" s="100">
        <v>614.40301181394705</v>
      </c>
      <c r="N35" s="100">
        <v>8</v>
      </c>
      <c r="O35" s="100">
        <v>4022.3999999999992</v>
      </c>
      <c r="P35" s="100">
        <v>3.4445851633490916</v>
      </c>
      <c r="Q35" s="100">
        <v>1731.9374201319229</v>
      </c>
      <c r="R35" s="100">
        <v>5</v>
      </c>
      <c r="S35" s="100">
        <v>2513.9999999999995</v>
      </c>
      <c r="T35" s="100">
        <v>7</v>
      </c>
      <c r="U35" s="100">
        <v>3519.5999999999995</v>
      </c>
      <c r="V35" s="100">
        <v>2.5053808384259248</v>
      </c>
      <c r="W35" s="100">
        <v>1259.7054855605547</v>
      </c>
      <c r="X35" s="100">
        <v>4.7070413018697712</v>
      </c>
      <c r="Y35" s="100">
        <v>2366.7003665801203</v>
      </c>
      <c r="Z35" s="100">
        <v>10</v>
      </c>
      <c r="AA35" s="100">
        <v>5027.9999999999991</v>
      </c>
      <c r="AB35" s="100">
        <v>1.0070457184896211</v>
      </c>
      <c r="AC35" s="100">
        <v>506.3425872565814</v>
      </c>
      <c r="AD35" s="100">
        <v>5.8369949211703105</v>
      </c>
      <c r="AE35" s="100">
        <v>2934.8410463644313</v>
      </c>
      <c r="AF35" s="100">
        <v>2.993186495362453</v>
      </c>
      <c r="AG35" s="100">
        <v>1504.974169868241</v>
      </c>
      <c r="AH35" s="100">
        <v>9.5696864619148236</v>
      </c>
      <c r="AI35" s="100">
        <v>4811.6383530507719</v>
      </c>
      <c r="AJ35" s="100">
        <v>4.7951228928357468</v>
      </c>
      <c r="AK35" s="100">
        <v>2410.9877905178132</v>
      </c>
      <c r="AL35" s="100">
        <v>11.718067899376425</v>
      </c>
      <c r="AM35" s="100">
        <v>5891.844539806465</v>
      </c>
      <c r="AN35" s="100">
        <v>9</v>
      </c>
      <c r="AO35" s="100">
        <v>4525.1999999999989</v>
      </c>
      <c r="AP35" s="100">
        <v>1.9956592188380771</v>
      </c>
      <c r="AQ35" s="100">
        <v>1003.417455231785</v>
      </c>
      <c r="AR35" s="100">
        <v>6.4744996213305548</v>
      </c>
      <c r="AS35" s="100">
        <v>3255.3784096050022</v>
      </c>
      <c r="AT35" s="100">
        <v>1.563839406068003</v>
      </c>
      <c r="AU35" s="100">
        <v>786.29845337099175</v>
      </c>
      <c r="AV35" s="100">
        <v>7.2625316052042015</v>
      </c>
      <c r="AW35" s="100">
        <v>3651.6008910966716</v>
      </c>
      <c r="AX35" s="100">
        <v>10</v>
      </c>
      <c r="AY35" s="100">
        <v>5027.9999999999991</v>
      </c>
      <c r="AZ35" s="100">
        <v>8.8826330515735687</v>
      </c>
      <c r="BA35" s="100">
        <v>4466.1878983311899</v>
      </c>
      <c r="BB35" s="100">
        <v>5.4395667422291911</v>
      </c>
      <c r="BC35" s="100">
        <v>2735.0141579928368</v>
      </c>
      <c r="BD35" s="100">
        <v>5.7653484164461846</v>
      </c>
      <c r="BE35" s="100">
        <v>2898.8171837891409</v>
      </c>
      <c r="BF35" s="100">
        <v>1.8375122048425387</v>
      </c>
      <c r="BG35" s="100">
        <v>923.90113659482824</v>
      </c>
      <c r="BH35" s="100">
        <v>4.5543083892438926E-4</v>
      </c>
      <c r="BI35" s="100">
        <v>0.22899062581118287</v>
      </c>
      <c r="BJ35" s="100">
        <v>8.4952410453509213</v>
      </c>
      <c r="BK35" s="100">
        <v>4271.4071976024425</v>
      </c>
      <c r="BL35" s="100">
        <v>8</v>
      </c>
      <c r="BM35" s="100">
        <v>4022.3999999999992</v>
      </c>
      <c r="BN35" s="100">
        <v>11</v>
      </c>
      <c r="BO35" s="100">
        <v>5530.7999999999993</v>
      </c>
      <c r="BP35" s="100">
        <v>7.7890678208039068</v>
      </c>
      <c r="BQ35" s="100">
        <v>3916.3433003002037</v>
      </c>
      <c r="BR35" s="100">
        <v>6.5297162948856071</v>
      </c>
      <c r="BS35" s="100">
        <v>3283.1413530684827</v>
      </c>
      <c r="BT35" s="100">
        <v>4.8545717966864521E-4</v>
      </c>
      <c r="BU35" s="100">
        <v>0.24408786993739476</v>
      </c>
      <c r="BV35" s="100">
        <v>7.381294044114588</v>
      </c>
      <c r="BW35" s="100">
        <v>3711.314645380814</v>
      </c>
      <c r="BX35" s="100">
        <v>7.7642738253113404</v>
      </c>
      <c r="BY35" s="100">
        <v>3903.8768793665413</v>
      </c>
      <c r="BZ35" s="100">
        <v>5.8754194678061955</v>
      </c>
      <c r="CA35" s="100">
        <v>2954.1609084129545</v>
      </c>
      <c r="CB35" s="100">
        <v>15.765355623453761</v>
      </c>
      <c r="CC35" s="100">
        <v>7926.8208074725499</v>
      </c>
      <c r="CD35" s="100">
        <v>1.8661697826144266</v>
      </c>
      <c r="CE35" s="100">
        <v>938.31016669853352</v>
      </c>
      <c r="CF35" s="100">
        <v>10.454460734811216</v>
      </c>
      <c r="CG35" s="100">
        <v>5256.5028574630778</v>
      </c>
      <c r="CH35" s="100">
        <v>4.853496853582393</v>
      </c>
      <c r="CI35" s="100">
        <v>2440.3382179812265</v>
      </c>
      <c r="CJ35" s="100">
        <v>12.539150379126861</v>
      </c>
      <c r="CK35" s="100">
        <v>6304.6848106249845</v>
      </c>
      <c r="CL35" s="100">
        <v>1.687297833188494</v>
      </c>
      <c r="CM35" s="100">
        <v>848.37335052717458</v>
      </c>
      <c r="CN35" s="100">
        <v>7.6927792031506801</v>
      </c>
      <c r="CO35" s="100">
        <v>3867.9293833441611</v>
      </c>
      <c r="CP35" s="100">
        <v>10.296650026207219</v>
      </c>
      <c r="CQ35" s="100">
        <v>5177.1556331769889</v>
      </c>
      <c r="CR35" s="100">
        <v>8.9567105652750119</v>
      </c>
      <c r="CS35" s="100">
        <v>4503.4340722202751</v>
      </c>
      <c r="CT35" s="100">
        <v>7.2112445200365311E-4</v>
      </c>
      <c r="CU35" s="100">
        <v>0.36258137446743671</v>
      </c>
    </row>
    <row r="36" spans="2:99">
      <c r="C36" s="99" t="s">
        <v>202</v>
      </c>
      <c r="D36" s="100">
        <v>5.5050677563851442</v>
      </c>
      <c r="E36" s="100">
        <v>4188.2555490578179</v>
      </c>
      <c r="F36" s="100">
        <v>2.0683108392672049</v>
      </c>
      <c r="G36" s="100">
        <v>1573.5708865144895</v>
      </c>
      <c r="H36" s="100">
        <v>10</v>
      </c>
      <c r="I36" s="100">
        <v>7608</v>
      </c>
      <c r="J36" s="100">
        <v>8</v>
      </c>
      <c r="K36" s="100">
        <v>6086.4</v>
      </c>
      <c r="L36" s="100">
        <v>1.2219630306562195</v>
      </c>
      <c r="M36" s="100">
        <v>929.66947372325171</v>
      </c>
      <c r="N36" s="100">
        <v>7</v>
      </c>
      <c r="O36" s="100">
        <v>5325.5999999999995</v>
      </c>
      <c r="P36" s="100">
        <v>3.4445851633490916</v>
      </c>
      <c r="Q36" s="100">
        <v>2620.6403922759887</v>
      </c>
      <c r="R36" s="100">
        <v>5</v>
      </c>
      <c r="S36" s="100">
        <v>3804</v>
      </c>
      <c r="T36" s="100">
        <v>8</v>
      </c>
      <c r="U36" s="100">
        <v>6086.4</v>
      </c>
      <c r="V36" s="100">
        <v>2.1474692900793637</v>
      </c>
      <c r="W36" s="100">
        <v>1633.7946358923798</v>
      </c>
      <c r="X36" s="100">
        <v>4.7070413018697712</v>
      </c>
      <c r="Y36" s="100">
        <v>3581.1170224625216</v>
      </c>
      <c r="Z36" s="100">
        <v>10</v>
      </c>
      <c r="AA36" s="100">
        <v>7608</v>
      </c>
      <c r="AB36" s="100">
        <v>1.0122237231857594</v>
      </c>
      <c r="AC36" s="100">
        <v>770.09980859972563</v>
      </c>
      <c r="AD36" s="100">
        <v>5.958521354846825</v>
      </c>
      <c r="AE36" s="100">
        <v>4533.243046767464</v>
      </c>
      <c r="AF36" s="100">
        <v>3.0099561631731815</v>
      </c>
      <c r="AG36" s="100">
        <v>2289.9746489421564</v>
      </c>
      <c r="AH36" s="100">
        <v>9.4115274515955445</v>
      </c>
      <c r="AI36" s="100">
        <v>7160.2900851738896</v>
      </c>
      <c r="AJ36" s="100">
        <v>5.5686780885695306</v>
      </c>
      <c r="AK36" s="100">
        <v>4236.650289783699</v>
      </c>
      <c r="AL36" s="100">
        <v>11.80782638679848</v>
      </c>
      <c r="AM36" s="100">
        <v>8983.3943150762825</v>
      </c>
      <c r="AN36" s="100">
        <v>8</v>
      </c>
      <c r="AO36" s="100">
        <v>6086.4</v>
      </c>
      <c r="AP36" s="100">
        <v>1.710565044718352</v>
      </c>
      <c r="AQ36" s="100">
        <v>1301.3978860217221</v>
      </c>
      <c r="AR36" s="100">
        <v>6.5503755594835891</v>
      </c>
      <c r="AS36" s="100">
        <v>4983.525725655114</v>
      </c>
      <c r="AT36" s="100">
        <v>1.5363751647826893</v>
      </c>
      <c r="AU36" s="100">
        <v>1168.8742253666699</v>
      </c>
      <c r="AV36" s="100">
        <v>7.3887847657246217</v>
      </c>
      <c r="AW36" s="100">
        <v>5621.3874497632914</v>
      </c>
      <c r="AX36" s="100">
        <v>9</v>
      </c>
      <c r="AY36" s="100">
        <v>6847.2</v>
      </c>
      <c r="AZ36" s="100">
        <v>8.8826330515735687</v>
      </c>
      <c r="BA36" s="100">
        <v>6757.907225637171</v>
      </c>
      <c r="BB36" s="100">
        <v>5.4395667422291911</v>
      </c>
      <c r="BC36" s="100">
        <v>4138.4223774879683</v>
      </c>
      <c r="BD36" s="100">
        <v>5.7653484164461846</v>
      </c>
      <c r="BE36" s="100">
        <v>4386.2770752322567</v>
      </c>
      <c r="BF36" s="100">
        <v>1.8375122048425387</v>
      </c>
      <c r="BG36" s="100">
        <v>1397.9792854442035</v>
      </c>
      <c r="BH36" s="100">
        <v>4.5543083892438926E-4</v>
      </c>
      <c r="BI36" s="100">
        <v>0.34649178225367533</v>
      </c>
      <c r="BJ36" s="100">
        <v>8.602043977161701</v>
      </c>
      <c r="BK36" s="100">
        <v>6544.4350578246222</v>
      </c>
      <c r="BL36" s="100">
        <v>8</v>
      </c>
      <c r="BM36" s="100">
        <v>6086.4</v>
      </c>
      <c r="BN36" s="100">
        <v>11</v>
      </c>
      <c r="BO36" s="100">
        <v>8368.7999999999993</v>
      </c>
      <c r="BP36" s="100">
        <v>8.5679746028842967</v>
      </c>
      <c r="BQ36" s="100">
        <v>6518.5150778743728</v>
      </c>
      <c r="BR36" s="100">
        <v>6.5297162948856071</v>
      </c>
      <c r="BS36" s="100">
        <v>4967.8081571489693</v>
      </c>
      <c r="BT36" s="100">
        <v>4.8271702292336223E-4</v>
      </c>
      <c r="BU36" s="100">
        <v>0.36725111104009395</v>
      </c>
      <c r="BV36" s="100">
        <v>7.3840242909124925</v>
      </c>
      <c r="BW36" s="100">
        <v>5617.7656805262241</v>
      </c>
      <c r="BX36" s="100">
        <v>7.0148868650992222</v>
      </c>
      <c r="BY36" s="100">
        <v>5336.9259269674876</v>
      </c>
      <c r="BZ36" s="100">
        <v>5.7978366964421761</v>
      </c>
      <c r="CA36" s="100">
        <v>4410.9941586532077</v>
      </c>
      <c r="CB36" s="100">
        <v>14.602687645603542</v>
      </c>
      <c r="CC36" s="100">
        <v>11109.724760775174</v>
      </c>
      <c r="CD36" s="100">
        <v>1.5549012925534331</v>
      </c>
      <c r="CE36" s="100">
        <v>1182.9689033746517</v>
      </c>
      <c r="CF36" s="100">
        <v>8.5591668239057945</v>
      </c>
      <c r="CG36" s="100">
        <v>6511.8141196275283</v>
      </c>
      <c r="CH36" s="100">
        <v>4.853496853582393</v>
      </c>
      <c r="CI36" s="100">
        <v>3692.5404062054845</v>
      </c>
      <c r="CJ36" s="100">
        <v>12.539150379126861</v>
      </c>
      <c r="CK36" s="100">
        <v>9539.7856084397154</v>
      </c>
      <c r="CL36" s="100">
        <v>1.9984053971124627</v>
      </c>
      <c r="CM36" s="100">
        <v>1520.3868261231614</v>
      </c>
      <c r="CN36" s="100">
        <v>8.8229929880084246</v>
      </c>
      <c r="CO36" s="100">
        <v>6712.5330652768089</v>
      </c>
      <c r="CP36" s="100">
        <v>9.3605909329156525</v>
      </c>
      <c r="CQ36" s="100">
        <v>7121.537581762228</v>
      </c>
      <c r="CR36" s="100">
        <v>8.0610395087475109</v>
      </c>
      <c r="CS36" s="100">
        <v>6132.8388582551061</v>
      </c>
      <c r="CT36" s="100">
        <v>6.0016375076907746E-4</v>
      </c>
      <c r="CU36" s="100">
        <v>0.45660458158511408</v>
      </c>
    </row>
    <row r="37" spans="2:99">
      <c r="B37" s="99" t="s">
        <v>128</v>
      </c>
      <c r="C37" s="99" t="s">
        <v>203</v>
      </c>
      <c r="D37" s="100">
        <v>12.583012014594614</v>
      </c>
      <c r="E37" s="100">
        <v>10826.423537357205</v>
      </c>
      <c r="F37" s="100">
        <v>3.5456757244580657</v>
      </c>
      <c r="G37" s="100">
        <v>3050.6993933237195</v>
      </c>
      <c r="H37" s="100">
        <v>15</v>
      </c>
      <c r="I37" s="100">
        <v>12906</v>
      </c>
      <c r="J37" s="100">
        <v>11</v>
      </c>
      <c r="K37" s="100">
        <v>9464.4</v>
      </c>
      <c r="L37" s="100">
        <v>2.9021621978085212</v>
      </c>
      <c r="M37" s="100">
        <v>2497.0203549944517</v>
      </c>
      <c r="N37" s="100">
        <v>15</v>
      </c>
      <c r="O37" s="100">
        <v>12906</v>
      </c>
      <c r="P37" s="100">
        <v>7.3197434721168202</v>
      </c>
      <c r="Q37" s="100">
        <v>6297.9072834093122</v>
      </c>
      <c r="R37" s="100">
        <v>18</v>
      </c>
      <c r="S37" s="100">
        <v>15487.199999999999</v>
      </c>
      <c r="T37" s="100">
        <v>20</v>
      </c>
      <c r="U37" s="100">
        <v>17208</v>
      </c>
      <c r="V37" s="100">
        <v>6.8003194185846532</v>
      </c>
      <c r="W37" s="100">
        <v>5850.9948277502353</v>
      </c>
      <c r="X37" s="100">
        <v>7.5838152040097411</v>
      </c>
      <c r="Y37" s="100">
        <v>6525.114601529981</v>
      </c>
      <c r="Z37" s="100">
        <v>11</v>
      </c>
      <c r="AA37" s="100">
        <v>9464.4</v>
      </c>
      <c r="AB37" s="100">
        <v>1.6646015182930003</v>
      </c>
      <c r="AC37" s="100">
        <v>1432.2231463392975</v>
      </c>
      <c r="AD37" s="100">
        <v>15.750714527550324</v>
      </c>
      <c r="AE37" s="100">
        <v>13551.914779504299</v>
      </c>
      <c r="AF37" s="100">
        <v>5.5839009632674337</v>
      </c>
      <c r="AG37" s="100">
        <v>4804.3883887952998</v>
      </c>
      <c r="AH37" s="100">
        <v>12.614780579360167</v>
      </c>
      <c r="AI37" s="100">
        <v>10853.757210481486</v>
      </c>
      <c r="AJ37" s="100">
        <v>11.347008405284988</v>
      </c>
      <c r="AK37" s="100">
        <v>9762.9660319072045</v>
      </c>
      <c r="AL37" s="100">
        <v>12.80782638679848</v>
      </c>
      <c r="AM37" s="100">
        <v>11019.853823201413</v>
      </c>
      <c r="AN37" s="100">
        <v>14</v>
      </c>
      <c r="AO37" s="100">
        <v>12045.6</v>
      </c>
      <c r="AP37" s="100">
        <v>4.9132030676098237</v>
      </c>
      <c r="AQ37" s="100">
        <v>4227.3199193714918</v>
      </c>
      <c r="AR37" s="100">
        <v>5.9234004639318956</v>
      </c>
      <c r="AS37" s="100">
        <v>5096.4937591670032</v>
      </c>
      <c r="AT37" s="100">
        <v>3.0923152237389591</v>
      </c>
      <c r="AU37" s="100">
        <v>2660.6280185050005</v>
      </c>
      <c r="AV37" s="100">
        <v>14.883772123642942</v>
      </c>
      <c r="AW37" s="100">
        <v>12805.997535182387</v>
      </c>
      <c r="AX37" s="100">
        <v>10</v>
      </c>
      <c r="AY37" s="100">
        <v>8604</v>
      </c>
      <c r="AZ37" s="100">
        <v>12.830469963384045</v>
      </c>
      <c r="BA37" s="100">
        <v>11039.336356495633</v>
      </c>
      <c r="BB37" s="100">
        <v>17.095781189863171</v>
      </c>
      <c r="BC37" s="100">
        <v>14709.210135758272</v>
      </c>
      <c r="BD37" s="100">
        <v>9.883454428193458</v>
      </c>
      <c r="BE37" s="100">
        <v>8503.7241900176505</v>
      </c>
      <c r="BF37" s="100">
        <v>4.2875284779659237</v>
      </c>
      <c r="BG37" s="100">
        <v>3688.9895024418806</v>
      </c>
      <c r="BH37" s="100">
        <v>1.1807511595813367E-3</v>
      </c>
      <c r="BI37" s="100">
        <v>1.0159182977037822</v>
      </c>
      <c r="BJ37" s="100">
        <v>16.747620522675462</v>
      </c>
      <c r="BK37" s="100">
        <v>14409.652697709967</v>
      </c>
      <c r="BL37" s="100">
        <v>11</v>
      </c>
      <c r="BM37" s="100">
        <v>9464.4</v>
      </c>
      <c r="BN37" s="100">
        <v>11</v>
      </c>
      <c r="BO37" s="100">
        <v>9464.4</v>
      </c>
      <c r="BP37" s="100">
        <v>12.462508513286249</v>
      </c>
      <c r="BQ37" s="100">
        <v>10722.742324831488</v>
      </c>
      <c r="BR37" s="100">
        <v>13.875647126631915</v>
      </c>
      <c r="BS37" s="100">
        <v>11938.606787754099</v>
      </c>
      <c r="BT37" s="100">
        <v>1.020349539690773E-3</v>
      </c>
      <c r="BU37" s="100">
        <v>0.87790874394994112</v>
      </c>
      <c r="BV37" s="100">
        <v>11.742594542321971</v>
      </c>
      <c r="BW37" s="100">
        <v>10103.328344213824</v>
      </c>
      <c r="BX37" s="100">
        <v>9.7177717104298917</v>
      </c>
      <c r="BY37" s="100">
        <v>8361.1707796538794</v>
      </c>
      <c r="BZ37" s="100">
        <v>10.660058596667842</v>
      </c>
      <c r="CA37" s="100">
        <v>9171.9144165730104</v>
      </c>
      <c r="CB37" s="100">
        <v>18.301343822801769</v>
      </c>
      <c r="CC37" s="100">
        <v>15746.476225138642</v>
      </c>
      <c r="CD37" s="100">
        <v>2.7354551047953883</v>
      </c>
      <c r="CE37" s="100">
        <v>2353.5855721659523</v>
      </c>
      <c r="CF37" s="100">
        <v>18.723061964191444</v>
      </c>
      <c r="CG37" s="100">
        <v>16109.322513990319</v>
      </c>
      <c r="CH37" s="100">
        <v>10.4003504005337</v>
      </c>
      <c r="CI37" s="100">
        <v>8948.4614846191944</v>
      </c>
      <c r="CJ37" s="100">
        <v>17.989453815152981</v>
      </c>
      <c r="CK37" s="100">
        <v>15478.126062557625</v>
      </c>
      <c r="CL37" s="100">
        <v>4.2182445829712352</v>
      </c>
      <c r="CM37" s="100">
        <v>3629.3776391884508</v>
      </c>
      <c r="CN37" s="100">
        <v>22.041710278861956</v>
      </c>
      <c r="CO37" s="100">
        <v>18964.687523932826</v>
      </c>
      <c r="CP37" s="100">
        <v>9.3605909329156525</v>
      </c>
      <c r="CQ37" s="100">
        <v>8053.8524386806275</v>
      </c>
      <c r="CR37" s="100">
        <v>10.748052678330014</v>
      </c>
      <c r="CS37" s="100">
        <v>9247.624524435143</v>
      </c>
      <c r="CT37" s="100">
        <v>9.0407470913155691E-4</v>
      </c>
      <c r="CU37" s="100">
        <v>0.77786587973679155</v>
      </c>
    </row>
    <row r="38" spans="2:99">
      <c r="C38" s="99" t="s">
        <v>204</v>
      </c>
      <c r="D38" s="100">
        <v>11.796573763682451</v>
      </c>
      <c r="E38" s="100">
        <v>14651.344614493604</v>
      </c>
      <c r="F38" s="100">
        <v>3.2502027474198933</v>
      </c>
      <c r="G38" s="100">
        <v>4036.7518122955075</v>
      </c>
      <c r="H38" s="100">
        <v>16</v>
      </c>
      <c r="I38" s="100">
        <v>19872</v>
      </c>
      <c r="J38" s="100">
        <v>10</v>
      </c>
      <c r="K38" s="100">
        <v>12420</v>
      </c>
      <c r="L38" s="100">
        <v>3.0549075766405487</v>
      </c>
      <c r="M38" s="100">
        <v>3794.1952101875613</v>
      </c>
      <c r="N38" s="100">
        <v>13</v>
      </c>
      <c r="O38" s="100">
        <v>16146</v>
      </c>
      <c r="P38" s="100">
        <v>6.4585971812795471</v>
      </c>
      <c r="Q38" s="100">
        <v>8021.5776991491975</v>
      </c>
      <c r="R38" s="100">
        <v>19</v>
      </c>
      <c r="S38" s="100">
        <v>23598</v>
      </c>
      <c r="T38" s="100">
        <v>17</v>
      </c>
      <c r="U38" s="100">
        <v>21114</v>
      </c>
      <c r="V38" s="100">
        <v>6.8003194185846532</v>
      </c>
      <c r="W38" s="100">
        <v>8445.9967178821389</v>
      </c>
      <c r="X38" s="100">
        <v>6.5004130320083497</v>
      </c>
      <c r="Y38" s="100">
        <v>8073.5129857543707</v>
      </c>
      <c r="Z38" s="100">
        <v>11</v>
      </c>
      <c r="AA38" s="100">
        <v>13662</v>
      </c>
      <c r="AB38" s="100">
        <v>1.7655641437666663</v>
      </c>
      <c r="AC38" s="100">
        <v>2192.8306665581995</v>
      </c>
      <c r="AD38" s="100">
        <v>14.919662879977871</v>
      </c>
      <c r="AE38" s="100">
        <v>18530.221296932516</v>
      </c>
      <c r="AF38" s="100">
        <v>4.87752850895364</v>
      </c>
      <c r="AG38" s="100">
        <v>6057.8904081204209</v>
      </c>
      <c r="AH38" s="100">
        <v>12.772939589679446</v>
      </c>
      <c r="AI38" s="100">
        <v>15863.990970381872</v>
      </c>
      <c r="AJ38" s="100">
        <v>11.347008405284988</v>
      </c>
      <c r="AK38" s="100">
        <v>14092.984439363956</v>
      </c>
      <c r="AL38" s="100">
        <v>11.718067899376425</v>
      </c>
      <c r="AM38" s="100">
        <v>14553.84033102552</v>
      </c>
      <c r="AN38" s="100">
        <v>14</v>
      </c>
      <c r="AO38" s="100">
        <v>17388</v>
      </c>
      <c r="AP38" s="100">
        <v>5.1908970075546064</v>
      </c>
      <c r="AQ38" s="100">
        <v>6447.0940833828208</v>
      </c>
      <c r="AR38" s="100">
        <v>6.4918345398855211</v>
      </c>
      <c r="AS38" s="100">
        <v>8062.8584985378175</v>
      </c>
      <c r="AT38" s="100">
        <v>3.3315940481950492</v>
      </c>
      <c r="AU38" s="100">
        <v>4137.8398078582513</v>
      </c>
      <c r="AV38" s="100">
        <v>15.757518963122521</v>
      </c>
      <c r="AW38" s="100">
        <v>19570.838552198173</v>
      </c>
      <c r="AX38" s="100">
        <v>10</v>
      </c>
      <c r="AY38" s="100">
        <v>12420</v>
      </c>
      <c r="AZ38" s="100">
        <v>11.843510735431424</v>
      </c>
      <c r="BA38" s="100">
        <v>14709.640333405829</v>
      </c>
      <c r="BB38" s="100">
        <v>16.318700226687572</v>
      </c>
      <c r="BC38" s="100">
        <v>20267.825681545964</v>
      </c>
      <c r="BD38" s="100">
        <v>9.0598332258440042</v>
      </c>
      <c r="BE38" s="100">
        <v>11252.312866498252</v>
      </c>
      <c r="BF38" s="100">
        <v>4.2875284779659237</v>
      </c>
      <c r="BG38" s="100">
        <v>5325.1103696336777</v>
      </c>
      <c r="BH38" s="100">
        <v>1.0563506004999791E-3</v>
      </c>
      <c r="BI38" s="100">
        <v>1.3119874458209742</v>
      </c>
      <c r="BJ38" s="100">
        <v>15.854423454486241</v>
      </c>
      <c r="BK38" s="100">
        <v>19691.193930471913</v>
      </c>
      <c r="BL38" s="100">
        <v>11</v>
      </c>
      <c r="BM38" s="100">
        <v>13662</v>
      </c>
      <c r="BN38" s="100">
        <v>10</v>
      </c>
      <c r="BO38" s="100">
        <v>12420</v>
      </c>
      <c r="BP38" s="100">
        <v>11.68360173120586</v>
      </c>
      <c r="BQ38" s="100">
        <v>14511.033350157677</v>
      </c>
      <c r="BR38" s="100">
        <v>13.875647126631915</v>
      </c>
      <c r="BS38" s="100">
        <v>17233.553731276839</v>
      </c>
      <c r="BT38" s="100">
        <v>1.1794471693247696E-3</v>
      </c>
      <c r="BU38" s="100">
        <v>1.4648733843013639</v>
      </c>
      <c r="BV38" s="100">
        <v>11.742594542321971</v>
      </c>
      <c r="BW38" s="100">
        <v>14584.302421563887</v>
      </c>
      <c r="BX38" s="100">
        <v>9.1556210497464647</v>
      </c>
      <c r="BY38" s="100">
        <v>11371.281343785109</v>
      </c>
      <c r="BZ38" s="100">
        <v>10.583053517784858</v>
      </c>
      <c r="CA38" s="100">
        <v>13144.152469088795</v>
      </c>
      <c r="CB38" s="100">
        <v>17.13867584495155</v>
      </c>
      <c r="CC38" s="100">
        <v>21286.235399429825</v>
      </c>
      <c r="CD38" s="100">
        <v>2.5658033063758947</v>
      </c>
      <c r="CE38" s="100">
        <v>3186.7277065188614</v>
      </c>
      <c r="CF38" s="100">
        <v>15.723988276016813</v>
      </c>
      <c r="CG38" s="100">
        <v>19529.193438812883</v>
      </c>
      <c r="CH38" s="100">
        <v>11.093707093902612</v>
      </c>
      <c r="CI38" s="100">
        <v>13778.384210627044</v>
      </c>
      <c r="CJ38" s="100">
        <v>18.989453815152981</v>
      </c>
      <c r="CK38" s="100">
        <v>23584.90163842</v>
      </c>
      <c r="CL38" s="100">
        <v>4.2182445829712352</v>
      </c>
      <c r="CM38" s="100">
        <v>5239.0597720502738</v>
      </c>
      <c r="CN38" s="100">
        <v>23.041710278861956</v>
      </c>
      <c r="CO38" s="100">
        <v>28617.804166346548</v>
      </c>
      <c r="CP38" s="100">
        <v>10.296650026207219</v>
      </c>
      <c r="CQ38" s="100">
        <v>12788.439332549366</v>
      </c>
      <c r="CR38" s="100">
        <v>10.748052678330014</v>
      </c>
      <c r="CS38" s="100">
        <v>13349.081426485876</v>
      </c>
      <c r="CT38" s="100">
        <v>9.6606426502488494E-4</v>
      </c>
      <c r="CU38" s="100">
        <v>1.1998518171609072</v>
      </c>
    </row>
    <row r="39" spans="2:99">
      <c r="C39" s="99" t="s">
        <v>205</v>
      </c>
      <c r="D39" s="100">
        <v>11.010135512770288</v>
      </c>
      <c r="E39" s="100">
        <v>15669.624861774675</v>
      </c>
      <c r="F39" s="100">
        <v>3.5456757244580657</v>
      </c>
      <c r="G39" s="100">
        <v>5046.205691048719</v>
      </c>
      <c r="H39" s="100">
        <v>15</v>
      </c>
      <c r="I39" s="100">
        <v>21348</v>
      </c>
      <c r="J39" s="100">
        <v>10</v>
      </c>
      <c r="K39" s="100">
        <v>14232</v>
      </c>
      <c r="L39" s="100">
        <v>2.4439260613124389</v>
      </c>
      <c r="M39" s="100">
        <v>3478.1955704598631</v>
      </c>
      <c r="N39" s="100">
        <v>14</v>
      </c>
      <c r="O39" s="100">
        <v>19924.8</v>
      </c>
      <c r="P39" s="100">
        <v>6.4585971812795471</v>
      </c>
      <c r="Q39" s="100">
        <v>9191.8755083970518</v>
      </c>
      <c r="R39" s="100">
        <v>18</v>
      </c>
      <c r="S39" s="100">
        <v>25617.600000000002</v>
      </c>
      <c r="T39" s="100">
        <v>16</v>
      </c>
      <c r="U39" s="100">
        <v>22771.200000000001</v>
      </c>
      <c r="V39" s="100">
        <v>6.8003194185846532</v>
      </c>
      <c r="W39" s="100">
        <v>9678.2145965296786</v>
      </c>
      <c r="X39" s="100">
        <v>7.0421141180090459</v>
      </c>
      <c r="Y39" s="100">
        <v>10022.336812750475</v>
      </c>
      <c r="Z39" s="100">
        <v>11</v>
      </c>
      <c r="AA39" s="100">
        <v>15655.2</v>
      </c>
      <c r="AB39" s="100">
        <v>1.6490675042045857</v>
      </c>
      <c r="AC39" s="100">
        <v>2346.9528719839664</v>
      </c>
      <c r="AD39" s="100">
        <v>14.919662879977871</v>
      </c>
      <c r="AE39" s="100">
        <v>21233.664210784507</v>
      </c>
      <c r="AF39" s="100">
        <v>5.1315434023189992</v>
      </c>
      <c r="AG39" s="100">
        <v>7303.2125701803998</v>
      </c>
      <c r="AH39" s="100">
        <v>10.696835994839299</v>
      </c>
      <c r="AI39" s="100">
        <v>15223.736987855291</v>
      </c>
      <c r="AJ39" s="100">
        <v>10.599085162623382</v>
      </c>
      <c r="AK39" s="100">
        <v>15084.618003445597</v>
      </c>
      <c r="AL39" s="100">
        <v>10.718067899376425</v>
      </c>
      <c r="AM39" s="100">
        <v>15253.95423439253</v>
      </c>
      <c r="AN39" s="100">
        <v>13</v>
      </c>
      <c r="AO39" s="100">
        <v>18501.600000000002</v>
      </c>
      <c r="AP39" s="100">
        <v>4.620708659315155</v>
      </c>
      <c r="AQ39" s="100">
        <v>6576.1925639373285</v>
      </c>
      <c r="AR39" s="100">
        <v>6.0034435120188645</v>
      </c>
      <c r="AS39" s="100">
        <v>8544.1008063052486</v>
      </c>
      <c r="AT39" s="100">
        <v>3.2237884153737255</v>
      </c>
      <c r="AU39" s="100">
        <v>4588.0956727598859</v>
      </c>
      <c r="AV39" s="100">
        <v>16.757518963122521</v>
      </c>
      <c r="AW39" s="100">
        <v>23849.300988315972</v>
      </c>
      <c r="AX39" s="100">
        <v>10</v>
      </c>
      <c r="AY39" s="100">
        <v>14232</v>
      </c>
      <c r="AZ39" s="100">
        <v>12.830469963384045</v>
      </c>
      <c r="BA39" s="100">
        <v>18260.324851888174</v>
      </c>
      <c r="BB39" s="100">
        <v>13.987457337160777</v>
      </c>
      <c r="BC39" s="100">
        <v>19906.949282247217</v>
      </c>
      <c r="BD39" s="100">
        <v>7.412590821145093</v>
      </c>
      <c r="BE39" s="100">
        <v>10549.599256653697</v>
      </c>
      <c r="BF39" s="100">
        <v>4.2875284779659237</v>
      </c>
      <c r="BG39" s="100">
        <v>6102.0105298411027</v>
      </c>
      <c r="BH39" s="100">
        <v>1.0563506004999791E-3</v>
      </c>
      <c r="BI39" s="100">
        <v>1.5033981746315703</v>
      </c>
      <c r="BJ39" s="100">
        <v>16.747620522675462</v>
      </c>
      <c r="BK39" s="100">
        <v>23835.213527871718</v>
      </c>
      <c r="BL39" s="100">
        <v>11</v>
      </c>
      <c r="BM39" s="100">
        <v>15655.2</v>
      </c>
      <c r="BN39" s="100">
        <v>11</v>
      </c>
      <c r="BO39" s="100">
        <v>15655.2</v>
      </c>
      <c r="BP39" s="100">
        <v>10.125788167045078</v>
      </c>
      <c r="BQ39" s="100">
        <v>14411.021719338556</v>
      </c>
      <c r="BR39" s="100">
        <v>12.243218052910512</v>
      </c>
      <c r="BS39" s="100">
        <v>17424.547932902242</v>
      </c>
      <c r="BT39" s="100">
        <v>1.1273280116951986E-3</v>
      </c>
      <c r="BU39" s="100">
        <v>1.6044132262446067</v>
      </c>
      <c r="BV39" s="100">
        <v>11.838043795737626</v>
      </c>
      <c r="BW39" s="100">
        <v>16847.903930093791</v>
      </c>
      <c r="BX39" s="100">
        <v>8.5027023009631151</v>
      </c>
      <c r="BY39" s="100">
        <v>12101.045914730706</v>
      </c>
      <c r="BZ39" s="100">
        <v>9.9556634527352568</v>
      </c>
      <c r="CA39" s="100">
        <v>14168.900225932817</v>
      </c>
      <c r="CB39" s="100">
        <v>15.301343822801771</v>
      </c>
      <c r="CC39" s="100">
        <v>21776.872528611482</v>
      </c>
      <c r="CD39" s="100">
        <v>2.9027706443167154</v>
      </c>
      <c r="CE39" s="100">
        <v>4131.2231809915493</v>
      </c>
      <c r="CF39" s="100">
        <v>17.619282186922234</v>
      </c>
      <c r="CG39" s="100">
        <v>25075.762408427723</v>
      </c>
      <c r="CH39" s="100">
        <v>10.4003504005337</v>
      </c>
      <c r="CI39" s="100">
        <v>14801.778690039562</v>
      </c>
      <c r="CJ39" s="100">
        <v>17.989453815152981</v>
      </c>
      <c r="CK39" s="100">
        <v>25602.590669725723</v>
      </c>
      <c r="CL39" s="100">
        <v>3.9370282774398198</v>
      </c>
      <c r="CM39" s="100">
        <v>5603.1786444523514</v>
      </c>
      <c r="CN39" s="100">
        <v>20.911496494004211</v>
      </c>
      <c r="CO39" s="100">
        <v>29761.241810266794</v>
      </c>
      <c r="CP39" s="100">
        <v>11.232709119498784</v>
      </c>
      <c r="CQ39" s="100">
        <v>15986.39161887067</v>
      </c>
      <c r="CR39" s="100">
        <v>12.539394791385016</v>
      </c>
      <c r="CS39" s="100">
        <v>17846.066667099156</v>
      </c>
      <c r="CT39" s="100">
        <v>9.0407470913155691E-4</v>
      </c>
      <c r="CU39" s="100">
        <v>1.2866791260360317</v>
      </c>
    </row>
    <row r="40" spans="2:99">
      <c r="C40" s="99" t="s">
        <v>206</v>
      </c>
      <c r="D40" s="100">
        <v>12.583012014594614</v>
      </c>
      <c r="E40" s="100">
        <v>9120.1671081781751</v>
      </c>
      <c r="F40" s="100">
        <v>3.841148701496238</v>
      </c>
      <c r="G40" s="100">
        <v>2784.0645788444731</v>
      </c>
      <c r="H40" s="100">
        <v>17</v>
      </c>
      <c r="I40" s="100">
        <v>12321.599999999999</v>
      </c>
      <c r="J40" s="100">
        <v>11</v>
      </c>
      <c r="K40" s="100">
        <v>7972.7999999999993</v>
      </c>
      <c r="L40" s="100">
        <v>3.2076529554725761</v>
      </c>
      <c r="M40" s="100">
        <v>2324.9068621265228</v>
      </c>
      <c r="N40" s="100">
        <v>15</v>
      </c>
      <c r="O40" s="100">
        <v>10872</v>
      </c>
      <c r="P40" s="100">
        <v>6.8891703266981832</v>
      </c>
      <c r="Q40" s="100">
        <v>4993.2706527908431</v>
      </c>
      <c r="R40" s="100">
        <v>20</v>
      </c>
      <c r="S40" s="100">
        <v>14496</v>
      </c>
      <c r="T40" s="100">
        <v>19</v>
      </c>
      <c r="U40" s="100">
        <v>13771.199999999999</v>
      </c>
      <c r="V40" s="100">
        <v>7.8740540636243344</v>
      </c>
      <c r="W40" s="100">
        <v>5707.1143853149169</v>
      </c>
      <c r="X40" s="100">
        <v>7.5838152040097411</v>
      </c>
      <c r="Y40" s="100">
        <v>5496.7492598662602</v>
      </c>
      <c r="Z40" s="100">
        <v>13</v>
      </c>
      <c r="AA40" s="100">
        <v>9422.4</v>
      </c>
      <c r="AB40" s="100">
        <v>1.9674893947139989</v>
      </c>
      <c r="AC40" s="100">
        <v>1426.0363132887062</v>
      </c>
      <c r="AD40" s="100">
        <v>15.041189313654385</v>
      </c>
      <c r="AE40" s="100">
        <v>10901.854014536697</v>
      </c>
      <c r="AF40" s="100">
        <v>5.2474844039212645</v>
      </c>
      <c r="AG40" s="100">
        <v>3803.3766959621321</v>
      </c>
      <c r="AH40" s="100">
        <v>11.655808287099731</v>
      </c>
      <c r="AI40" s="100">
        <v>8448.1298464898846</v>
      </c>
      <c r="AJ40" s="100">
        <v>10.599085162623382</v>
      </c>
      <c r="AK40" s="100">
        <v>7682.2169258694266</v>
      </c>
      <c r="AL40" s="100">
        <v>11.718067899376425</v>
      </c>
      <c r="AM40" s="100">
        <v>8493.2556134680326</v>
      </c>
      <c r="AN40" s="100">
        <v>14</v>
      </c>
      <c r="AO40" s="100">
        <v>10147.199999999999</v>
      </c>
      <c r="AP40" s="100">
        <v>4.6281088934900989</v>
      </c>
      <c r="AQ40" s="100">
        <v>3354.4533260016233</v>
      </c>
      <c r="AR40" s="100">
        <v>6.407624381864621</v>
      </c>
      <c r="AS40" s="100">
        <v>4644.246151975477</v>
      </c>
      <c r="AT40" s="100">
        <v>3.7826874558219146</v>
      </c>
      <c r="AU40" s="100">
        <v>2741.6918679797236</v>
      </c>
      <c r="AV40" s="100">
        <v>15.883772123642942</v>
      </c>
      <c r="AW40" s="100">
        <v>11512.558035216403</v>
      </c>
      <c r="AX40" s="100">
        <v>11</v>
      </c>
      <c r="AY40" s="100">
        <v>7972.7999999999993</v>
      </c>
      <c r="AZ40" s="100">
        <v>13.817429191336663</v>
      </c>
      <c r="BA40" s="100">
        <v>10014.872677880812</v>
      </c>
      <c r="BB40" s="100">
        <v>17.095781189863171</v>
      </c>
      <c r="BC40" s="100">
        <v>12391.022206412825</v>
      </c>
      <c r="BD40" s="100">
        <v>8.2362120234945486</v>
      </c>
      <c r="BE40" s="100">
        <v>5969.6064746288484</v>
      </c>
      <c r="BF40" s="100">
        <v>3.9812764438255011</v>
      </c>
      <c r="BG40" s="100">
        <v>2885.6291664847231</v>
      </c>
      <c r="BH40" s="100">
        <v>1.1786428561982169E-3</v>
      </c>
      <c r="BI40" s="100">
        <v>0.85428034217246751</v>
      </c>
      <c r="BJ40" s="100">
        <v>17.854423454486241</v>
      </c>
      <c r="BK40" s="100">
        <v>12940.886119811626</v>
      </c>
      <c r="BL40" s="100">
        <v>12</v>
      </c>
      <c r="BM40" s="100">
        <v>8697.5999999999985</v>
      </c>
      <c r="BN40" s="100">
        <v>11</v>
      </c>
      <c r="BO40" s="100">
        <v>7972.7999999999993</v>
      </c>
      <c r="BP40" s="100">
        <v>10.904694949125469</v>
      </c>
      <c r="BQ40" s="100">
        <v>7903.7228991261391</v>
      </c>
      <c r="BR40" s="100">
        <v>13.059432589771214</v>
      </c>
      <c r="BS40" s="100">
        <v>9465.4767410661752</v>
      </c>
      <c r="BT40" s="100">
        <v>1.1821873260700526E-3</v>
      </c>
      <c r="BU40" s="100">
        <v>0.85684937393557403</v>
      </c>
      <c r="BV40" s="100">
        <v>13.01224197094179</v>
      </c>
      <c r="BW40" s="100">
        <v>9431.2729805386098</v>
      </c>
      <c r="BX40" s="100">
        <v>9.7158716693202756</v>
      </c>
      <c r="BY40" s="100">
        <v>7042.0637859233357</v>
      </c>
      <c r="BZ40" s="100">
        <v>10.660636289148876</v>
      </c>
      <c r="CA40" s="100">
        <v>7726.8291823751042</v>
      </c>
      <c r="CB40" s="100">
        <v>17.13867584495155</v>
      </c>
      <c r="CC40" s="100">
        <v>12422.112252420882</v>
      </c>
      <c r="CD40" s="100">
        <v>3.0747587016343751</v>
      </c>
      <c r="CE40" s="100">
        <v>2228.5851069445948</v>
      </c>
      <c r="CF40" s="100">
        <v>17.7233707347999</v>
      </c>
      <c r="CG40" s="100">
        <v>12845.899108582968</v>
      </c>
      <c r="CH40" s="100">
        <v>9.706993707164786</v>
      </c>
      <c r="CI40" s="100">
        <v>7035.6290389530368</v>
      </c>
      <c r="CJ40" s="100">
        <v>19.989453815152981</v>
      </c>
      <c r="CK40" s="100">
        <v>14488.356125222879</v>
      </c>
      <c r="CL40" s="100">
        <v>4.2182445829712352</v>
      </c>
      <c r="CM40" s="100">
        <v>3057.3836737375509</v>
      </c>
      <c r="CN40" s="100">
        <v>22.041710278861956</v>
      </c>
      <c r="CO40" s="100">
        <v>15975.831610119145</v>
      </c>
      <c r="CP40" s="100">
        <v>10.296650026207219</v>
      </c>
      <c r="CQ40" s="100">
        <v>7463.0119389949923</v>
      </c>
      <c r="CR40" s="100">
        <v>12.539394791385016</v>
      </c>
      <c r="CS40" s="100">
        <v>9088.5533447958587</v>
      </c>
      <c r="CT40" s="100">
        <v>1.0280538209182129E-3</v>
      </c>
      <c r="CU40" s="100">
        <v>0.74513340940152062</v>
      </c>
    </row>
    <row r="41" spans="2:99">
      <c r="C41" s="99" t="s">
        <v>207</v>
      </c>
      <c r="D41" s="100">
        <v>11.796573763682451</v>
      </c>
      <c r="E41" s="100">
        <v>7785.738684030418</v>
      </c>
      <c r="F41" s="100">
        <v>4.1366216785344099</v>
      </c>
      <c r="G41" s="100">
        <v>2730.1703078327105</v>
      </c>
      <c r="H41" s="100">
        <v>15</v>
      </c>
      <c r="I41" s="100">
        <v>9900</v>
      </c>
      <c r="J41" s="100">
        <v>10</v>
      </c>
      <c r="K41" s="100">
        <v>6600</v>
      </c>
      <c r="L41" s="100">
        <v>3.2076529554725761</v>
      </c>
      <c r="M41" s="100">
        <v>2117.0509506119001</v>
      </c>
      <c r="N41" s="100">
        <v>15</v>
      </c>
      <c r="O41" s="100">
        <v>9900</v>
      </c>
      <c r="P41" s="100">
        <v>6.4585971812795471</v>
      </c>
      <c r="Q41" s="100">
        <v>4262.6741396445013</v>
      </c>
      <c r="R41" s="100">
        <v>20</v>
      </c>
      <c r="S41" s="100">
        <v>13200</v>
      </c>
      <c r="T41" s="100">
        <v>19</v>
      </c>
      <c r="U41" s="100">
        <v>12540</v>
      </c>
      <c r="V41" s="100">
        <v>7.8740540636243344</v>
      </c>
      <c r="W41" s="100">
        <v>5196.8756819920609</v>
      </c>
      <c r="X41" s="100">
        <v>7.5838152040097411</v>
      </c>
      <c r="Y41" s="100">
        <v>5005.3180346464287</v>
      </c>
      <c r="Z41" s="100">
        <v>13</v>
      </c>
      <c r="AA41" s="100">
        <v>8580</v>
      </c>
      <c r="AB41" s="100">
        <v>1.7655641437666663</v>
      </c>
      <c r="AC41" s="100">
        <v>1165.2723348859997</v>
      </c>
      <c r="AD41" s="100">
        <v>16.460239741446266</v>
      </c>
      <c r="AE41" s="100">
        <v>10863.758229354535</v>
      </c>
      <c r="AF41" s="100">
        <v>5.9035478548028735</v>
      </c>
      <c r="AG41" s="100">
        <v>3896.3415841698966</v>
      </c>
      <c r="AH41" s="100">
        <v>12.772939589679446</v>
      </c>
      <c r="AI41" s="100">
        <v>8430.140129188434</v>
      </c>
      <c r="AJ41" s="100">
        <v>11.347008405284988</v>
      </c>
      <c r="AK41" s="100">
        <v>7489.0255474880923</v>
      </c>
      <c r="AL41" s="100">
        <v>11.80782638679848</v>
      </c>
      <c r="AM41" s="100">
        <v>7793.1654152869969</v>
      </c>
      <c r="AN41" s="100">
        <v>15</v>
      </c>
      <c r="AO41" s="100">
        <v>9900</v>
      </c>
      <c r="AP41" s="100">
        <v>4.6281088934900989</v>
      </c>
      <c r="AQ41" s="100">
        <v>3054.5518697034654</v>
      </c>
      <c r="AR41" s="100">
        <v>5.9234004639318956</v>
      </c>
      <c r="AS41" s="100">
        <v>3909.444306195051</v>
      </c>
      <c r="AT41" s="100">
        <v>3.7918422029170196</v>
      </c>
      <c r="AU41" s="100">
        <v>2502.6158539252328</v>
      </c>
      <c r="AV41" s="100">
        <v>14.883772123642942</v>
      </c>
      <c r="AW41" s="100">
        <v>9823.2896016043414</v>
      </c>
      <c r="AX41" s="100">
        <v>12</v>
      </c>
      <c r="AY41" s="100">
        <v>7920</v>
      </c>
      <c r="AZ41" s="100">
        <v>13.817429191336663</v>
      </c>
      <c r="BA41" s="100">
        <v>9119.5032662821977</v>
      </c>
      <c r="BB41" s="100">
        <v>16.318700226687572</v>
      </c>
      <c r="BC41" s="100">
        <v>10770.342149613798</v>
      </c>
      <c r="BD41" s="100">
        <v>8.2362120234945486</v>
      </c>
      <c r="BE41" s="100">
        <v>5435.8999355064025</v>
      </c>
      <c r="BF41" s="100">
        <v>3.9812764438255011</v>
      </c>
      <c r="BG41" s="100">
        <v>2627.6424529248306</v>
      </c>
      <c r="BH41" s="100">
        <v>1.117496728349098E-3</v>
      </c>
      <c r="BI41" s="100">
        <v>0.73754784071040469</v>
      </c>
      <c r="BJ41" s="100">
        <v>15.854423454486241</v>
      </c>
      <c r="BK41" s="100">
        <v>10463.919479960919</v>
      </c>
      <c r="BL41" s="100">
        <v>11</v>
      </c>
      <c r="BM41" s="100">
        <v>7260</v>
      </c>
      <c r="BN41" s="100">
        <v>11</v>
      </c>
      <c r="BO41" s="100">
        <v>7260</v>
      </c>
      <c r="BP41" s="100">
        <v>11.68360173120586</v>
      </c>
      <c r="BQ41" s="100">
        <v>7711.1771425958677</v>
      </c>
      <c r="BR41" s="100">
        <v>14.691861663492615</v>
      </c>
      <c r="BS41" s="100">
        <v>9696.6286979051256</v>
      </c>
      <c r="BT41" s="100">
        <v>1.0752088540656273E-3</v>
      </c>
      <c r="BU41" s="100">
        <v>0.70963784368331395</v>
      </c>
      <c r="BV41" s="100">
        <v>13.595245688347012</v>
      </c>
      <c r="BW41" s="100">
        <v>8972.8621543090285</v>
      </c>
      <c r="BX41" s="100">
        <v>9.8085397985298144</v>
      </c>
      <c r="BY41" s="100">
        <v>6473.6362670296776</v>
      </c>
      <c r="BZ41" s="100">
        <v>11.837833647884061</v>
      </c>
      <c r="CA41" s="100">
        <v>7812.97020760348</v>
      </c>
      <c r="CB41" s="100">
        <v>18.301343822801769</v>
      </c>
      <c r="CC41" s="100">
        <v>12078.886923049167</v>
      </c>
      <c r="CD41" s="100">
        <v>3.0747587016343751</v>
      </c>
      <c r="CE41" s="100">
        <v>2029.3407430786876</v>
      </c>
      <c r="CF41" s="100">
        <v>18.618973416313779</v>
      </c>
      <c r="CG41" s="100">
        <v>12288.522454767093</v>
      </c>
      <c r="CH41" s="100">
        <v>9.706993707164786</v>
      </c>
      <c r="CI41" s="100">
        <v>6406.6158467287587</v>
      </c>
      <c r="CJ41" s="100">
        <v>19.879514502358205</v>
      </c>
      <c r="CK41" s="100">
        <v>13120.479571556416</v>
      </c>
      <c r="CL41" s="100">
        <v>3.6558119719084039</v>
      </c>
      <c r="CM41" s="100">
        <v>2412.8359014595467</v>
      </c>
      <c r="CN41" s="100">
        <v>23.041710278861956</v>
      </c>
      <c r="CO41" s="100">
        <v>15207.528784048891</v>
      </c>
      <c r="CP41" s="100">
        <v>11.232709119498784</v>
      </c>
      <c r="CQ41" s="100">
        <v>7413.5880188691972</v>
      </c>
      <c r="CR41" s="100">
        <v>11.643723734857517</v>
      </c>
      <c r="CS41" s="100">
        <v>7684.8576650059613</v>
      </c>
      <c r="CT41" s="100">
        <v>9.6606426502488494E-4</v>
      </c>
      <c r="CU41" s="100">
        <v>0.63760241491642411</v>
      </c>
    </row>
    <row r="42" spans="2:99">
      <c r="C42" s="99" t="s">
        <v>208</v>
      </c>
      <c r="D42" s="100">
        <v>13.369450265506778</v>
      </c>
      <c r="E42" s="100">
        <v>11310.554924618735</v>
      </c>
      <c r="F42" s="100">
        <v>3.5456757244580657</v>
      </c>
      <c r="G42" s="100">
        <v>2999.6416628915235</v>
      </c>
      <c r="H42" s="100">
        <v>14</v>
      </c>
      <c r="I42" s="100">
        <v>11844</v>
      </c>
      <c r="J42" s="100">
        <v>11</v>
      </c>
      <c r="K42" s="100">
        <v>9306</v>
      </c>
      <c r="L42" s="100">
        <v>2.7494168189764943</v>
      </c>
      <c r="M42" s="100">
        <v>2326.0066288541143</v>
      </c>
      <c r="N42" s="100">
        <v>15</v>
      </c>
      <c r="O42" s="100">
        <v>12690</v>
      </c>
      <c r="P42" s="100">
        <v>7.3197434721168202</v>
      </c>
      <c r="Q42" s="100">
        <v>6192.5029774108298</v>
      </c>
      <c r="R42" s="100">
        <v>20</v>
      </c>
      <c r="S42" s="100">
        <v>16920</v>
      </c>
      <c r="T42" s="100">
        <v>18</v>
      </c>
      <c r="U42" s="100">
        <v>15228</v>
      </c>
      <c r="V42" s="100">
        <v>7.1582309669312121</v>
      </c>
      <c r="W42" s="100">
        <v>6055.8633980238055</v>
      </c>
      <c r="X42" s="100">
        <v>6.5004130320083497</v>
      </c>
      <c r="Y42" s="100">
        <v>5499.3494250790636</v>
      </c>
      <c r="Z42" s="100">
        <v>11</v>
      </c>
      <c r="AA42" s="100">
        <v>9306</v>
      </c>
      <c r="AB42" s="100">
        <v>1.7655641437666663</v>
      </c>
      <c r="AC42" s="100">
        <v>1493.6672656265996</v>
      </c>
      <c r="AD42" s="100">
        <v>15.750714527550324</v>
      </c>
      <c r="AE42" s="100">
        <v>13325.104490307574</v>
      </c>
      <c r="AF42" s="100">
        <v>4.8942981767643685</v>
      </c>
      <c r="AG42" s="100">
        <v>4140.5762575426561</v>
      </c>
      <c r="AH42" s="100">
        <v>11.655808287099731</v>
      </c>
      <c r="AI42" s="100">
        <v>9860.8138108863732</v>
      </c>
      <c r="AJ42" s="100">
        <v>11.347008405284988</v>
      </c>
      <c r="AK42" s="100">
        <v>9599.5691108710998</v>
      </c>
      <c r="AL42" s="100">
        <v>13.80782638679848</v>
      </c>
      <c r="AM42" s="100">
        <v>11681.421123231514</v>
      </c>
      <c r="AN42" s="100">
        <v>14</v>
      </c>
      <c r="AO42" s="100">
        <v>11844</v>
      </c>
      <c r="AP42" s="100">
        <v>4.9132030676098237</v>
      </c>
      <c r="AQ42" s="100">
        <v>4156.5697951979109</v>
      </c>
      <c r="AR42" s="100">
        <v>6.9802255677521794</v>
      </c>
      <c r="AS42" s="100">
        <v>5905.2708303183435</v>
      </c>
      <c r="AT42" s="100">
        <v>3.7281108717959879</v>
      </c>
      <c r="AU42" s="100">
        <v>3153.9817975394058</v>
      </c>
      <c r="AV42" s="100">
        <v>16.883772123642942</v>
      </c>
      <c r="AW42" s="100">
        <v>14283.671216601928</v>
      </c>
      <c r="AX42" s="100">
        <v>11</v>
      </c>
      <c r="AY42" s="100">
        <v>9306</v>
      </c>
      <c r="AZ42" s="100">
        <v>11.843510735431424</v>
      </c>
      <c r="BA42" s="100">
        <v>10019.610082174984</v>
      </c>
      <c r="BB42" s="100">
        <v>16.318700226687572</v>
      </c>
      <c r="BC42" s="100">
        <v>13805.620391777686</v>
      </c>
      <c r="BD42" s="100">
        <v>9.0598332258440042</v>
      </c>
      <c r="BE42" s="100">
        <v>7664.6189090640273</v>
      </c>
      <c r="BF42" s="100">
        <v>3.9812764438255011</v>
      </c>
      <c r="BG42" s="100">
        <v>3368.1598714763741</v>
      </c>
      <c r="BH42" s="100">
        <v>1.1786428561982169E-3</v>
      </c>
      <c r="BI42" s="100">
        <v>0.9971318563436915</v>
      </c>
      <c r="BJ42" s="100">
        <v>16.854423454486241</v>
      </c>
      <c r="BK42" s="100">
        <v>14258.842242495361</v>
      </c>
      <c r="BL42" s="100">
        <v>12</v>
      </c>
      <c r="BM42" s="100">
        <v>10152</v>
      </c>
      <c r="BN42" s="100">
        <v>12</v>
      </c>
      <c r="BO42" s="100">
        <v>10152</v>
      </c>
      <c r="BP42" s="100">
        <v>11.68360173120586</v>
      </c>
      <c r="BQ42" s="100">
        <v>9884.3270646001565</v>
      </c>
      <c r="BR42" s="100">
        <v>12.243218052910512</v>
      </c>
      <c r="BS42" s="100">
        <v>10357.762472762293</v>
      </c>
      <c r="BT42" s="100">
        <v>1.1794471693247696E-3</v>
      </c>
      <c r="BU42" s="100">
        <v>0.99781230524875508</v>
      </c>
      <c r="BV42" s="100">
        <v>11.938953542749093</v>
      </c>
      <c r="BW42" s="100">
        <v>10100.354697165732</v>
      </c>
      <c r="BX42" s="100">
        <v>9.8085397985298144</v>
      </c>
      <c r="BY42" s="100">
        <v>8298.0246695562237</v>
      </c>
      <c r="BZ42" s="100">
        <v>11.288026354198477</v>
      </c>
      <c r="CA42" s="100">
        <v>9549.6702956519111</v>
      </c>
      <c r="CB42" s="100">
        <v>16.301343822801769</v>
      </c>
      <c r="CC42" s="100">
        <v>13790.936874090297</v>
      </c>
      <c r="CD42" s="100">
        <v>2.737791363693554</v>
      </c>
      <c r="CE42" s="100">
        <v>2316.1714936847466</v>
      </c>
      <c r="CF42" s="100">
        <v>16.619590957530693</v>
      </c>
      <c r="CG42" s="100">
        <v>14060.173950070966</v>
      </c>
      <c r="CH42" s="100">
        <v>9.706993707164786</v>
      </c>
      <c r="CI42" s="100">
        <v>8212.1166762614084</v>
      </c>
      <c r="CJ42" s="100">
        <v>18.879514502358205</v>
      </c>
      <c r="CK42" s="100">
        <v>15972.069268995041</v>
      </c>
      <c r="CL42" s="100">
        <v>3.9370282774398198</v>
      </c>
      <c r="CM42" s="100">
        <v>3330.7259227140876</v>
      </c>
      <c r="CN42" s="100">
        <v>20.041710278861956</v>
      </c>
      <c r="CO42" s="100">
        <v>16955.286895917216</v>
      </c>
      <c r="CP42" s="100">
        <v>11.232709119498784</v>
      </c>
      <c r="CQ42" s="100">
        <v>9502.8719150959714</v>
      </c>
      <c r="CR42" s="100">
        <v>13.435065847912519</v>
      </c>
      <c r="CS42" s="100">
        <v>11366.065707333992</v>
      </c>
      <c r="CT42" s="100">
        <v>9.6304585447280452E-4</v>
      </c>
      <c r="CU42" s="100">
        <v>0.81473679288399259</v>
      </c>
    </row>
    <row r="43" spans="2:99">
      <c r="C43" s="99" t="s">
        <v>209</v>
      </c>
      <c r="D43" s="100">
        <v>12.583012014594614</v>
      </c>
      <c r="E43" s="100">
        <v>12864.871483721532</v>
      </c>
      <c r="F43" s="100">
        <v>3.841148701496238</v>
      </c>
      <c r="G43" s="100">
        <v>3927.1904324097536</v>
      </c>
      <c r="H43" s="100">
        <v>15</v>
      </c>
      <c r="I43" s="100">
        <v>15336</v>
      </c>
      <c r="J43" s="100">
        <v>10</v>
      </c>
      <c r="K43" s="100">
        <v>10224</v>
      </c>
      <c r="L43" s="100">
        <v>3.2076529554725761</v>
      </c>
      <c r="M43" s="100">
        <v>3279.5043816751618</v>
      </c>
      <c r="N43" s="100">
        <v>15</v>
      </c>
      <c r="O43" s="100">
        <v>15336</v>
      </c>
      <c r="P43" s="100">
        <v>6.4585971812795471</v>
      </c>
      <c r="Q43" s="100">
        <v>6603.269758140209</v>
      </c>
      <c r="R43" s="100">
        <v>17</v>
      </c>
      <c r="S43" s="100">
        <v>17380.8</v>
      </c>
      <c r="T43" s="100">
        <v>20</v>
      </c>
      <c r="U43" s="100">
        <v>20448</v>
      </c>
      <c r="V43" s="100">
        <v>6.8003194185846532</v>
      </c>
      <c r="W43" s="100">
        <v>6952.646573560949</v>
      </c>
      <c r="X43" s="100">
        <v>6.5004130320083497</v>
      </c>
      <c r="Y43" s="100">
        <v>6646.0222839253365</v>
      </c>
      <c r="Z43" s="100">
        <v>13</v>
      </c>
      <c r="AA43" s="100">
        <v>13291.199999999999</v>
      </c>
      <c r="AB43" s="100">
        <v>1.659423513596862</v>
      </c>
      <c r="AC43" s="100">
        <v>1696.5946003014317</v>
      </c>
      <c r="AD43" s="100">
        <v>15.041189313654385</v>
      </c>
      <c r="AE43" s="100">
        <v>15378.111954280243</v>
      </c>
      <c r="AF43" s="100">
        <v>4.8942981767643685</v>
      </c>
      <c r="AG43" s="100">
        <v>5003.9304559238899</v>
      </c>
      <c r="AH43" s="100">
        <v>12.931098599998725</v>
      </c>
      <c r="AI43" s="100">
        <v>13220.755208638697</v>
      </c>
      <c r="AJ43" s="100">
        <v>10.599085162623382</v>
      </c>
      <c r="AK43" s="100">
        <v>10836.504670266146</v>
      </c>
      <c r="AL43" s="100">
        <v>12.718067899376425</v>
      </c>
      <c r="AM43" s="100">
        <v>13002.952620322458</v>
      </c>
      <c r="AN43" s="100">
        <v>13</v>
      </c>
      <c r="AO43" s="100">
        <v>13291.199999999999</v>
      </c>
      <c r="AP43" s="100">
        <v>4.9058028334348807</v>
      </c>
      <c r="AQ43" s="100">
        <v>5015.6928169038219</v>
      </c>
      <c r="AR43" s="100">
        <v>6.4918345398855211</v>
      </c>
      <c r="AS43" s="100">
        <v>6637.2516335789569</v>
      </c>
      <c r="AT43" s="100">
        <v>3.1014699708340636</v>
      </c>
      <c r="AU43" s="100">
        <v>3170.9428981807464</v>
      </c>
      <c r="AV43" s="100">
        <v>16.883772123642942</v>
      </c>
      <c r="AW43" s="100">
        <v>17261.968619212545</v>
      </c>
      <c r="AX43" s="100">
        <v>10</v>
      </c>
      <c r="AY43" s="100">
        <v>10224</v>
      </c>
      <c r="AZ43" s="100">
        <v>11.843510735431424</v>
      </c>
      <c r="BA43" s="100">
        <v>12108.805375905087</v>
      </c>
      <c r="BB43" s="100">
        <v>16.318700226687572</v>
      </c>
      <c r="BC43" s="100">
        <v>16684.239111765371</v>
      </c>
      <c r="BD43" s="100">
        <v>9.0598332258440042</v>
      </c>
      <c r="BE43" s="100">
        <v>9262.7734901029089</v>
      </c>
      <c r="BF43" s="100">
        <v>3.6750244096850775</v>
      </c>
      <c r="BG43" s="100">
        <v>3757.3449564620232</v>
      </c>
      <c r="BH43" s="100">
        <v>1.1786428561982169E-3</v>
      </c>
      <c r="BI43" s="100">
        <v>1.2050444561770568</v>
      </c>
      <c r="BJ43" s="100">
        <v>15.747620522675462</v>
      </c>
      <c r="BK43" s="100">
        <v>16100.367222383391</v>
      </c>
      <c r="BL43" s="100">
        <v>11</v>
      </c>
      <c r="BM43" s="100">
        <v>11246.4</v>
      </c>
      <c r="BN43" s="100">
        <v>12</v>
      </c>
      <c r="BO43" s="100">
        <v>12268.8</v>
      </c>
      <c r="BP43" s="100">
        <v>10.125788167045078</v>
      </c>
      <c r="BQ43" s="100">
        <v>10352.605821986888</v>
      </c>
      <c r="BR43" s="100">
        <v>13.875647126631915</v>
      </c>
      <c r="BS43" s="100">
        <v>14186.461622268469</v>
      </c>
      <c r="BT43" s="100">
        <v>1.1794471693247696E-3</v>
      </c>
      <c r="BU43" s="100">
        <v>1.2058667859176444</v>
      </c>
      <c r="BV43" s="100">
        <v>11.739864295524065</v>
      </c>
      <c r="BW43" s="100">
        <v>12002.837255743803</v>
      </c>
      <c r="BX43" s="100">
        <v>8.5046023420727312</v>
      </c>
      <c r="BY43" s="100">
        <v>8695.1054345351604</v>
      </c>
      <c r="BZ43" s="100">
        <v>10.660058596667842</v>
      </c>
      <c r="CA43" s="100">
        <v>10898.843909233201</v>
      </c>
      <c r="CB43" s="100">
        <v>17.13867584495155</v>
      </c>
      <c r="CC43" s="100">
        <v>17522.582183878465</v>
      </c>
      <c r="CD43" s="100">
        <v>2.7354551047953883</v>
      </c>
      <c r="CE43" s="100">
        <v>2796.7292991428048</v>
      </c>
      <c r="CF43" s="100">
        <v>18.618973416313779</v>
      </c>
      <c r="CG43" s="100">
        <v>19036.038420839206</v>
      </c>
      <c r="CH43" s="100">
        <v>10.4003504005337</v>
      </c>
      <c r="CI43" s="100">
        <v>10633.318249505655</v>
      </c>
      <c r="CJ43" s="100">
        <v>18.989453815152981</v>
      </c>
      <c r="CK43" s="100">
        <v>19414.817580612405</v>
      </c>
      <c r="CL43" s="100">
        <v>4.2182445829712352</v>
      </c>
      <c r="CM43" s="100">
        <v>4312.7332616297908</v>
      </c>
      <c r="CN43" s="100">
        <v>20.041710278861956</v>
      </c>
      <c r="CO43" s="100">
        <v>20490.644589108462</v>
      </c>
      <c r="CP43" s="100">
        <v>9.3605909329156525</v>
      </c>
      <c r="CQ43" s="100">
        <v>9570.2681698129636</v>
      </c>
      <c r="CR43" s="100">
        <v>11.643723734857517</v>
      </c>
      <c r="CS43" s="100">
        <v>11904.543146518325</v>
      </c>
      <c r="CT43" s="100">
        <v>1.0280538209182129E-3</v>
      </c>
      <c r="CU43" s="100">
        <v>1.0510822265067807</v>
      </c>
    </row>
    <row r="44" spans="2:99">
      <c r="C44" s="99" t="s">
        <v>210</v>
      </c>
      <c r="D44" s="100">
        <v>11.796573763682451</v>
      </c>
      <c r="E44" s="100">
        <v>12060.817015988938</v>
      </c>
      <c r="F44" s="100">
        <v>3.841148701496238</v>
      </c>
      <c r="G44" s="100">
        <v>3927.1904324097536</v>
      </c>
      <c r="H44" s="100">
        <v>15</v>
      </c>
      <c r="I44" s="100">
        <v>15336</v>
      </c>
      <c r="J44" s="100">
        <v>11</v>
      </c>
      <c r="K44" s="100">
        <v>11246.4</v>
      </c>
      <c r="L44" s="100">
        <v>2.9021621978085212</v>
      </c>
      <c r="M44" s="100">
        <v>2967.170631039432</v>
      </c>
      <c r="N44" s="100">
        <v>15</v>
      </c>
      <c r="O44" s="100">
        <v>15336</v>
      </c>
      <c r="P44" s="100">
        <v>7.3197434721168202</v>
      </c>
      <c r="Q44" s="100">
        <v>7483.7057258922368</v>
      </c>
      <c r="R44" s="100">
        <v>17</v>
      </c>
      <c r="S44" s="100">
        <v>17380.8</v>
      </c>
      <c r="T44" s="100">
        <v>19</v>
      </c>
      <c r="U44" s="100">
        <v>19425.599999999999</v>
      </c>
      <c r="V44" s="100">
        <v>6.8003194185846532</v>
      </c>
      <c r="W44" s="100">
        <v>6952.646573560949</v>
      </c>
      <c r="X44" s="100">
        <v>7.5838152040097411</v>
      </c>
      <c r="Y44" s="100">
        <v>7753.6926645795593</v>
      </c>
      <c r="Z44" s="100">
        <v>11</v>
      </c>
      <c r="AA44" s="100">
        <v>11246.4</v>
      </c>
      <c r="AB44" s="100">
        <v>1.659423513596862</v>
      </c>
      <c r="AC44" s="100">
        <v>1696.5946003014317</v>
      </c>
      <c r="AD44" s="100">
        <v>15.750714527550324</v>
      </c>
      <c r="AE44" s="100">
        <v>16103.53053296745</v>
      </c>
      <c r="AF44" s="100">
        <v>5.4679599616651684</v>
      </c>
      <c r="AG44" s="100">
        <v>5590.4422648064683</v>
      </c>
      <c r="AH44" s="100">
        <v>10.854995005158578</v>
      </c>
      <c r="AI44" s="100">
        <v>11098.14689327413</v>
      </c>
      <c r="AJ44" s="100">
        <v>9.8511619199617737</v>
      </c>
      <c r="AK44" s="100">
        <v>10071.827946968917</v>
      </c>
      <c r="AL44" s="100">
        <v>10.718067899376425</v>
      </c>
      <c r="AM44" s="100">
        <v>10958.152620322457</v>
      </c>
      <c r="AN44" s="100">
        <v>14</v>
      </c>
      <c r="AO44" s="100">
        <v>14313.6</v>
      </c>
      <c r="AP44" s="100">
        <v>4.6281088934900989</v>
      </c>
      <c r="AQ44" s="100">
        <v>4731.7785327042766</v>
      </c>
      <c r="AR44" s="100">
        <v>5.5150524841522062</v>
      </c>
      <c r="AS44" s="100">
        <v>5638.5896597972151</v>
      </c>
      <c r="AT44" s="100">
        <v>3.7826874558219146</v>
      </c>
      <c r="AU44" s="100">
        <v>3867.4196548323253</v>
      </c>
      <c r="AV44" s="100">
        <v>14.757518963122521</v>
      </c>
      <c r="AW44" s="100">
        <v>15088.087387896465</v>
      </c>
      <c r="AX44" s="100">
        <v>11</v>
      </c>
      <c r="AY44" s="100">
        <v>11246.4</v>
      </c>
      <c r="AZ44" s="100">
        <v>11.843510735431424</v>
      </c>
      <c r="BA44" s="100">
        <v>12108.805375905087</v>
      </c>
      <c r="BB44" s="100">
        <v>17.095781189863171</v>
      </c>
      <c r="BC44" s="100">
        <v>17478.726688516104</v>
      </c>
      <c r="BD44" s="100">
        <v>9.0598332258440042</v>
      </c>
      <c r="BE44" s="100">
        <v>9262.7734901029089</v>
      </c>
      <c r="BF44" s="100">
        <v>4.2875284779659237</v>
      </c>
      <c r="BG44" s="100">
        <v>4383.5691158723603</v>
      </c>
      <c r="BH44" s="100">
        <v>1.2397889840473357E-3</v>
      </c>
      <c r="BI44" s="100">
        <v>1.267560257289996</v>
      </c>
      <c r="BJ44" s="100">
        <v>16.747620522675462</v>
      </c>
      <c r="BK44" s="100">
        <v>17122.767222383391</v>
      </c>
      <c r="BL44" s="100">
        <v>13</v>
      </c>
      <c r="BM44" s="100">
        <v>13291.199999999999</v>
      </c>
      <c r="BN44" s="100">
        <v>11</v>
      </c>
      <c r="BO44" s="100">
        <v>11246.4</v>
      </c>
      <c r="BP44" s="100">
        <v>10.125788167045078</v>
      </c>
      <c r="BQ44" s="100">
        <v>10352.605821986888</v>
      </c>
      <c r="BR44" s="100">
        <v>13.875647126631915</v>
      </c>
      <c r="BS44" s="100">
        <v>14186.461622268469</v>
      </c>
      <c r="BT44" s="100">
        <v>1.1273280116951986E-3</v>
      </c>
      <c r="BU44" s="100">
        <v>1.1525801591571709</v>
      </c>
      <c r="BV44" s="100">
        <v>11.252309831534497</v>
      </c>
      <c r="BW44" s="100">
        <v>11504.36157176087</v>
      </c>
      <c r="BX44" s="100">
        <v>8.4100341717535763</v>
      </c>
      <c r="BY44" s="100">
        <v>8598.4189372008568</v>
      </c>
      <c r="BZ44" s="100">
        <v>10.583053517784858</v>
      </c>
      <c r="CA44" s="100">
        <v>10820.113916583239</v>
      </c>
      <c r="CB44" s="100">
        <v>17.301343822801769</v>
      </c>
      <c r="CC44" s="100">
        <v>17688.893924432527</v>
      </c>
      <c r="CD44" s="100">
        <v>2.7331188458972222</v>
      </c>
      <c r="CE44" s="100">
        <v>2794.3407080453198</v>
      </c>
      <c r="CF44" s="100">
        <v>18.618973416313779</v>
      </c>
      <c r="CG44" s="100">
        <v>19036.038420839206</v>
      </c>
      <c r="CH44" s="100">
        <v>9.706993707164786</v>
      </c>
      <c r="CI44" s="100">
        <v>9924.4303662052771</v>
      </c>
      <c r="CJ44" s="100">
        <v>18.879514502358205</v>
      </c>
      <c r="CK44" s="100">
        <v>19302.415627211027</v>
      </c>
      <c r="CL44" s="100">
        <v>4.2182445829712352</v>
      </c>
      <c r="CM44" s="100">
        <v>4312.7332616297908</v>
      </c>
      <c r="CN44" s="100">
        <v>20.911496494004211</v>
      </c>
      <c r="CO44" s="100">
        <v>21379.914015469905</v>
      </c>
      <c r="CP44" s="100">
        <v>11.232709119498784</v>
      </c>
      <c r="CQ44" s="100">
        <v>11484.321803775556</v>
      </c>
      <c r="CR44" s="100">
        <v>10.748052678330014</v>
      </c>
      <c r="CS44" s="100">
        <v>10988.809058324607</v>
      </c>
      <c r="CT44" s="100">
        <v>9.0105629857947637E-4</v>
      </c>
      <c r="CU44" s="100">
        <v>0.92123995966765659</v>
      </c>
    </row>
    <row r="45" spans="2:99">
      <c r="C45" s="99" t="s">
        <v>211</v>
      </c>
      <c r="D45" s="100">
        <v>11.796573763682451</v>
      </c>
      <c r="E45" s="100">
        <v>14736.279945592118</v>
      </c>
      <c r="F45" s="100">
        <v>3.2502027474198933</v>
      </c>
      <c r="G45" s="100">
        <v>4060.153272076931</v>
      </c>
      <c r="H45" s="100">
        <v>14</v>
      </c>
      <c r="I45" s="100">
        <v>17488.8</v>
      </c>
      <c r="J45" s="100">
        <v>10</v>
      </c>
      <c r="K45" s="100">
        <v>12492</v>
      </c>
      <c r="L45" s="100">
        <v>3.0549075766405487</v>
      </c>
      <c r="M45" s="100">
        <v>3816.1905447393738</v>
      </c>
      <c r="N45" s="100">
        <v>15</v>
      </c>
      <c r="O45" s="100">
        <v>18738</v>
      </c>
      <c r="P45" s="100">
        <v>6.4585971812795471</v>
      </c>
      <c r="Q45" s="100">
        <v>8068.0795988544105</v>
      </c>
      <c r="R45" s="100">
        <v>18</v>
      </c>
      <c r="S45" s="100">
        <v>22485.600000000002</v>
      </c>
      <c r="T45" s="100">
        <v>17</v>
      </c>
      <c r="U45" s="100">
        <v>21236.400000000001</v>
      </c>
      <c r="V45" s="100">
        <v>7.1582309669312121</v>
      </c>
      <c r="W45" s="100">
        <v>8942.0621238904696</v>
      </c>
      <c r="X45" s="100">
        <v>6.7742636155087652</v>
      </c>
      <c r="Y45" s="100">
        <v>8462.4101084935501</v>
      </c>
      <c r="Z45" s="100">
        <v>12</v>
      </c>
      <c r="AA45" s="100">
        <v>14990.400000000001</v>
      </c>
      <c r="AB45" s="100">
        <v>1.5481048787309195</v>
      </c>
      <c r="AC45" s="100">
        <v>1933.8926145106648</v>
      </c>
      <c r="AD45" s="100">
        <v>12.791087238290054</v>
      </c>
      <c r="AE45" s="100">
        <v>15978.626178071936</v>
      </c>
      <c r="AF45" s="100">
        <v>5.1306187356063848</v>
      </c>
      <c r="AG45" s="100">
        <v>6409.1689245194957</v>
      </c>
      <c r="AH45" s="100">
        <v>12.772939589679446</v>
      </c>
      <c r="AI45" s="100">
        <v>15955.956135427565</v>
      </c>
      <c r="AJ45" s="100">
        <v>9.825529966889599</v>
      </c>
      <c r="AK45" s="100">
        <v>12274.052034638487</v>
      </c>
      <c r="AL45" s="100">
        <v>12.718067899376425</v>
      </c>
      <c r="AM45" s="100">
        <v>15887.410419901031</v>
      </c>
      <c r="AN45" s="100">
        <v>14</v>
      </c>
      <c r="AO45" s="100">
        <v>17488.8</v>
      </c>
      <c r="AP45" s="100">
        <v>5.1834967733796615</v>
      </c>
      <c r="AQ45" s="100">
        <v>6475.2241693058731</v>
      </c>
      <c r="AR45" s="100">
        <v>5.9192333539979636</v>
      </c>
      <c r="AS45" s="100">
        <v>7394.3063058142561</v>
      </c>
      <c r="AT45" s="100">
        <v>3.2237884153737255</v>
      </c>
      <c r="AU45" s="100">
        <v>4027.1564884848581</v>
      </c>
      <c r="AV45" s="100">
        <v>15.757518963122521</v>
      </c>
      <c r="AW45" s="100">
        <v>19684.292688732654</v>
      </c>
      <c r="AX45" s="100">
        <v>11</v>
      </c>
      <c r="AY45" s="100">
        <v>13741.2</v>
      </c>
      <c r="AZ45" s="100">
        <v>13.817429191336663</v>
      </c>
      <c r="BA45" s="100">
        <v>17260.732545817758</v>
      </c>
      <c r="BB45" s="100">
        <v>16.318700226687572</v>
      </c>
      <c r="BC45" s="100">
        <v>20385.320323178115</v>
      </c>
      <c r="BD45" s="100">
        <v>9.0598332258440042</v>
      </c>
      <c r="BE45" s="100">
        <v>11317.54366572433</v>
      </c>
      <c r="BF45" s="100">
        <v>3.9812764438255011</v>
      </c>
      <c r="BG45" s="100">
        <v>4973.4105336268158</v>
      </c>
      <c r="BH45" s="100">
        <v>9.9520447265086026E-4</v>
      </c>
      <c r="BI45" s="100">
        <v>1.2432094272354546</v>
      </c>
      <c r="BJ45" s="100">
        <v>16.747620522675462</v>
      </c>
      <c r="BK45" s="100">
        <v>20921.127556926189</v>
      </c>
      <c r="BL45" s="100">
        <v>12</v>
      </c>
      <c r="BM45" s="100">
        <v>14990.400000000001</v>
      </c>
      <c r="BN45" s="100">
        <v>10</v>
      </c>
      <c r="BO45" s="100">
        <v>12492</v>
      </c>
      <c r="BP45" s="100">
        <v>10.125788167045078</v>
      </c>
      <c r="BQ45" s="100">
        <v>12649.134578272713</v>
      </c>
      <c r="BR45" s="100">
        <v>13.875647126631915</v>
      </c>
      <c r="BS45" s="100">
        <v>17333.458390588588</v>
      </c>
      <c r="BT45" s="100">
        <v>1.0724686973203443E-3</v>
      </c>
      <c r="BU45" s="100">
        <v>1.3397278966925741</v>
      </c>
      <c r="BV45" s="100">
        <v>11.154130331320935</v>
      </c>
      <c r="BW45" s="100">
        <v>13933.739609886114</v>
      </c>
      <c r="BX45" s="100">
        <v>9.0629529205369277</v>
      </c>
      <c r="BY45" s="100">
        <v>11321.44078833473</v>
      </c>
      <c r="BZ45" s="100">
        <v>11.211021275315494</v>
      </c>
      <c r="CA45" s="100">
        <v>14004.807777124115</v>
      </c>
      <c r="CB45" s="100">
        <v>16.301343822801769</v>
      </c>
      <c r="CC45" s="100">
        <v>20363.638703443972</v>
      </c>
      <c r="CD45" s="100">
        <v>2.8840805731313863</v>
      </c>
      <c r="CE45" s="100">
        <v>3602.793451955728</v>
      </c>
      <c r="CF45" s="100">
        <v>15.619899728139147</v>
      </c>
      <c r="CG45" s="100">
        <v>19512.378740391425</v>
      </c>
      <c r="CH45" s="100">
        <v>9.706993707164786</v>
      </c>
      <c r="CI45" s="100">
        <v>12125.976538990251</v>
      </c>
      <c r="CJ45" s="100">
        <v>16.879514502358205</v>
      </c>
      <c r="CK45" s="100">
        <v>21085.889516345869</v>
      </c>
      <c r="CL45" s="100">
        <v>4.2182445829712352</v>
      </c>
      <c r="CM45" s="100">
        <v>5269.4311330476676</v>
      </c>
      <c r="CN45" s="100">
        <v>21.041710278861956</v>
      </c>
      <c r="CO45" s="100">
        <v>26285.304480354356</v>
      </c>
      <c r="CP45" s="100">
        <v>10.296650026207219</v>
      </c>
      <c r="CQ45" s="100">
        <v>12862.575212738058</v>
      </c>
      <c r="CR45" s="100">
        <v>10.748052678330014</v>
      </c>
      <c r="CS45" s="100">
        <v>13426.467405769854</v>
      </c>
      <c r="CT45" s="100">
        <v>8.4208515323822887E-4</v>
      </c>
      <c r="CU45" s="100">
        <v>1.0519327734251955</v>
      </c>
    </row>
    <row r="46" spans="2:99">
      <c r="C46" s="99" t="s">
        <v>212</v>
      </c>
      <c r="D46" s="100">
        <v>11.796573763682451</v>
      </c>
      <c r="E46" s="100">
        <v>14297.447401583131</v>
      </c>
      <c r="F46" s="100">
        <v>3.841148701496238</v>
      </c>
      <c r="G46" s="100">
        <v>4655.4722262134401</v>
      </c>
      <c r="H46" s="100">
        <v>14</v>
      </c>
      <c r="I46" s="100">
        <v>16968</v>
      </c>
      <c r="J46" s="100">
        <v>10</v>
      </c>
      <c r="K46" s="100">
        <v>12120</v>
      </c>
      <c r="L46" s="100">
        <v>2.7494168189764943</v>
      </c>
      <c r="M46" s="100">
        <v>3332.2931845995108</v>
      </c>
      <c r="N46" s="100">
        <v>13</v>
      </c>
      <c r="O46" s="100">
        <v>15756</v>
      </c>
      <c r="P46" s="100">
        <v>6.4585971812795471</v>
      </c>
      <c r="Q46" s="100">
        <v>7827.819783710811</v>
      </c>
      <c r="R46" s="100">
        <v>19</v>
      </c>
      <c r="S46" s="100">
        <v>23028</v>
      </c>
      <c r="T46" s="100">
        <v>20</v>
      </c>
      <c r="U46" s="100">
        <v>24240</v>
      </c>
      <c r="V46" s="100">
        <v>7.1582309669312121</v>
      </c>
      <c r="W46" s="100">
        <v>8675.7759319206289</v>
      </c>
      <c r="X46" s="100">
        <v>6.5004130320083497</v>
      </c>
      <c r="Y46" s="100">
        <v>7878.5005947941199</v>
      </c>
      <c r="Z46" s="100">
        <v>12</v>
      </c>
      <c r="AA46" s="100">
        <v>14544</v>
      </c>
      <c r="AB46" s="100">
        <v>1.8717047739364707</v>
      </c>
      <c r="AC46" s="100">
        <v>2268.5061860110027</v>
      </c>
      <c r="AD46" s="100">
        <v>14.919662879977871</v>
      </c>
      <c r="AE46" s="100">
        <v>18082.63141053318</v>
      </c>
      <c r="AF46" s="100">
        <v>5.2307147361105368</v>
      </c>
      <c r="AG46" s="100">
        <v>6339.626260165971</v>
      </c>
      <c r="AH46" s="100">
        <v>12.931098599998725</v>
      </c>
      <c r="AI46" s="100">
        <v>15672.491503198455</v>
      </c>
      <c r="AJ46" s="100">
        <v>9.8511619199617737</v>
      </c>
      <c r="AK46" s="100">
        <v>11939.60824699367</v>
      </c>
      <c r="AL46" s="100">
        <v>11.628309411954373</v>
      </c>
      <c r="AM46" s="100">
        <v>14093.5110072887</v>
      </c>
      <c r="AN46" s="100">
        <v>13</v>
      </c>
      <c r="AO46" s="100">
        <v>15756</v>
      </c>
      <c r="AP46" s="100">
        <v>4.6281088934900989</v>
      </c>
      <c r="AQ46" s="100">
        <v>5609.2679789100002</v>
      </c>
      <c r="AR46" s="100">
        <v>5.5192195940861382</v>
      </c>
      <c r="AS46" s="100">
        <v>6689.2941480323998</v>
      </c>
      <c r="AT46" s="100">
        <v>3.4522262211376455</v>
      </c>
      <c r="AU46" s="100">
        <v>4184.0981800188265</v>
      </c>
      <c r="AV46" s="100">
        <v>13.757518963122521</v>
      </c>
      <c r="AW46" s="100">
        <v>16674.112983304494</v>
      </c>
      <c r="AX46" s="100">
        <v>10</v>
      </c>
      <c r="AY46" s="100">
        <v>12120</v>
      </c>
      <c r="AZ46" s="100">
        <v>13.817429191336663</v>
      </c>
      <c r="BA46" s="100">
        <v>16746.724179900037</v>
      </c>
      <c r="BB46" s="100">
        <v>15.541619263511974</v>
      </c>
      <c r="BC46" s="100">
        <v>18836.442547376511</v>
      </c>
      <c r="BD46" s="100">
        <v>8.2362120234945486</v>
      </c>
      <c r="BE46" s="100">
        <v>9982.2889724753932</v>
      </c>
      <c r="BF46" s="100">
        <v>3.6750244096850775</v>
      </c>
      <c r="BG46" s="100">
        <v>4454.1295845383138</v>
      </c>
      <c r="BH46" s="100">
        <v>1.117496728349098E-3</v>
      </c>
      <c r="BI46" s="100">
        <v>1.3544060347591067</v>
      </c>
      <c r="BJ46" s="100">
        <v>16.854423454486241</v>
      </c>
      <c r="BK46" s="100">
        <v>20427.561226837326</v>
      </c>
      <c r="BL46" s="100">
        <v>11</v>
      </c>
      <c r="BM46" s="100">
        <v>13332</v>
      </c>
      <c r="BN46" s="100">
        <v>10</v>
      </c>
      <c r="BO46" s="100">
        <v>12120</v>
      </c>
      <c r="BP46" s="100">
        <v>10.904694949125469</v>
      </c>
      <c r="BQ46" s="100">
        <v>13216.490278340068</v>
      </c>
      <c r="BR46" s="100">
        <v>12.243218052910512</v>
      </c>
      <c r="BS46" s="100">
        <v>14838.780280127541</v>
      </c>
      <c r="BT46" s="100">
        <v>1.0697285405750613E-3</v>
      </c>
      <c r="BU46" s="100">
        <v>1.2965109911769743</v>
      </c>
      <c r="BV46" s="100">
        <v>13.009511724143884</v>
      </c>
      <c r="BW46" s="100">
        <v>15767.528209662387</v>
      </c>
      <c r="BX46" s="100">
        <v>9.0629529205369277</v>
      </c>
      <c r="BY46" s="100">
        <v>10984.298939690756</v>
      </c>
      <c r="BZ46" s="100">
        <v>11.21044358283446</v>
      </c>
      <c r="CA46" s="100">
        <v>13587.057622395365</v>
      </c>
      <c r="CB46" s="100">
        <v>16.13867584495155</v>
      </c>
      <c r="CC46" s="100">
        <v>19560.075124081279</v>
      </c>
      <c r="CD46" s="100">
        <v>2.5658033063758947</v>
      </c>
      <c r="CE46" s="100">
        <v>3109.7536073275842</v>
      </c>
      <c r="CF46" s="100">
        <v>15.619899728139147</v>
      </c>
      <c r="CG46" s="100">
        <v>18931.318470504648</v>
      </c>
      <c r="CH46" s="100">
        <v>10.4003504005337</v>
      </c>
      <c r="CI46" s="100">
        <v>12605.224685446845</v>
      </c>
      <c r="CJ46" s="100">
        <v>19.879514502358205</v>
      </c>
      <c r="CK46" s="100">
        <v>24093.971576858145</v>
      </c>
      <c r="CL46" s="100">
        <v>3.9370282774398198</v>
      </c>
      <c r="CM46" s="100">
        <v>4771.6782722570615</v>
      </c>
      <c r="CN46" s="100">
        <v>20.041710278861956</v>
      </c>
      <c r="CO46" s="100">
        <v>24290.552857980692</v>
      </c>
      <c r="CP46" s="100">
        <v>11.232709119498784</v>
      </c>
      <c r="CQ46" s="100">
        <v>13614.043452832526</v>
      </c>
      <c r="CR46" s="100">
        <v>10.748052678330014</v>
      </c>
      <c r="CS46" s="100">
        <v>13026.639846135977</v>
      </c>
      <c r="CT46" s="100">
        <v>9.6304585447280452E-4</v>
      </c>
      <c r="CU46" s="100">
        <v>1.1672115756210391</v>
      </c>
    </row>
    <row r="47" spans="2:99">
      <c r="C47" s="99" t="s">
        <v>213</v>
      </c>
      <c r="D47" s="100">
        <v>11.010135512770288</v>
      </c>
      <c r="E47" s="100">
        <v>16819.083009307891</v>
      </c>
      <c r="F47" s="100">
        <v>3.841148701496238</v>
      </c>
      <c r="G47" s="100">
        <v>5867.7387564056526</v>
      </c>
      <c r="H47" s="100">
        <v>15</v>
      </c>
      <c r="I47" s="100">
        <v>22914</v>
      </c>
      <c r="J47" s="100">
        <v>9</v>
      </c>
      <c r="K47" s="100">
        <v>13748.4</v>
      </c>
      <c r="L47" s="100">
        <v>3.0549075766405487</v>
      </c>
      <c r="M47" s="100">
        <v>4666.6768140761014</v>
      </c>
      <c r="N47" s="100">
        <v>13</v>
      </c>
      <c r="O47" s="100">
        <v>19858.8</v>
      </c>
      <c r="P47" s="100">
        <v>6.028024035860911</v>
      </c>
      <c r="Q47" s="100">
        <v>9208.4095171811277</v>
      </c>
      <c r="R47" s="100">
        <v>19</v>
      </c>
      <c r="S47" s="100">
        <v>29024.399999999998</v>
      </c>
      <c r="T47" s="100">
        <v>19</v>
      </c>
      <c r="U47" s="100">
        <v>29024.399999999998</v>
      </c>
      <c r="V47" s="100">
        <v>6.4424078702380916</v>
      </c>
      <c r="W47" s="100">
        <v>9841.4222625757084</v>
      </c>
      <c r="X47" s="100">
        <v>6.5004130320083497</v>
      </c>
      <c r="Y47" s="100">
        <v>9930.0309476959537</v>
      </c>
      <c r="Z47" s="100">
        <v>10</v>
      </c>
      <c r="AA47" s="100">
        <v>15276</v>
      </c>
      <c r="AB47" s="100">
        <v>1.7552081343743899</v>
      </c>
      <c r="AC47" s="100">
        <v>2681.2559460703178</v>
      </c>
      <c r="AD47" s="100">
        <v>14.331664099758445</v>
      </c>
      <c r="AE47" s="100">
        <v>21893.050078790999</v>
      </c>
      <c r="AF47" s="100">
        <v>4.8942981767643685</v>
      </c>
      <c r="AG47" s="100">
        <v>7476.5298948252484</v>
      </c>
      <c r="AH47" s="100">
        <v>10.854995005158578</v>
      </c>
      <c r="AI47" s="100">
        <v>16582.090369880243</v>
      </c>
      <c r="AJ47" s="100">
        <v>9.1032386773001672</v>
      </c>
      <c r="AK47" s="100">
        <v>13906.107403443735</v>
      </c>
      <c r="AL47" s="100">
        <v>11.718067899376425</v>
      </c>
      <c r="AM47" s="100">
        <v>17900.520523087427</v>
      </c>
      <c r="AN47" s="100">
        <v>12</v>
      </c>
      <c r="AO47" s="100">
        <v>18331.199999999997</v>
      </c>
      <c r="AP47" s="100">
        <v>4.9058028334348807</v>
      </c>
      <c r="AQ47" s="100">
        <v>7494.1044083551233</v>
      </c>
      <c r="AR47" s="100">
        <v>5.9234004639318956</v>
      </c>
      <c r="AS47" s="100">
        <v>9048.5865487023639</v>
      </c>
      <c r="AT47" s="100">
        <v>3.1014699708340636</v>
      </c>
      <c r="AU47" s="100">
        <v>4737.8055274461149</v>
      </c>
      <c r="AV47" s="100">
        <v>14.757518963122521</v>
      </c>
      <c r="AW47" s="100">
        <v>22543.585968065963</v>
      </c>
      <c r="AX47" s="100">
        <v>9</v>
      </c>
      <c r="AY47" s="100">
        <v>13748.4</v>
      </c>
      <c r="AZ47" s="100">
        <v>12.830469963384045</v>
      </c>
      <c r="BA47" s="100">
        <v>19599.825916065467</v>
      </c>
      <c r="BB47" s="100">
        <v>15.541619263511974</v>
      </c>
      <c r="BC47" s="100">
        <v>23741.377586940889</v>
      </c>
      <c r="BD47" s="100">
        <v>8.2362120234945486</v>
      </c>
      <c r="BE47" s="100">
        <v>12581.637487090271</v>
      </c>
      <c r="BF47" s="100">
        <v>3.3687723755446548</v>
      </c>
      <c r="BG47" s="100">
        <v>5146.1366808820139</v>
      </c>
      <c r="BH47" s="100">
        <v>1.0563506004999791E-3</v>
      </c>
      <c r="BI47" s="100">
        <v>1.613681177323768</v>
      </c>
      <c r="BJ47" s="100">
        <v>16.854423454486241</v>
      </c>
      <c r="BK47" s="100">
        <v>25746.817269073181</v>
      </c>
      <c r="BL47" s="100">
        <v>11</v>
      </c>
      <c r="BM47" s="100">
        <v>16803.599999999999</v>
      </c>
      <c r="BN47" s="100">
        <v>10</v>
      </c>
      <c r="BO47" s="100">
        <v>15276</v>
      </c>
      <c r="BP47" s="100">
        <v>10.125788167045078</v>
      </c>
      <c r="BQ47" s="100">
        <v>15468.154003978061</v>
      </c>
      <c r="BR47" s="100">
        <v>13.059432589771214</v>
      </c>
      <c r="BS47" s="100">
        <v>19949.589224134506</v>
      </c>
      <c r="BT47" s="100">
        <v>1.0724686973203443E-3</v>
      </c>
      <c r="BU47" s="100">
        <v>1.6383031820265579</v>
      </c>
      <c r="BV47" s="100">
        <v>11.838043795737626</v>
      </c>
      <c r="BW47" s="100">
        <v>18083.795702368796</v>
      </c>
      <c r="BX47" s="100">
        <v>9.0629529205369277</v>
      </c>
      <c r="BY47" s="100">
        <v>13844.566881412209</v>
      </c>
      <c r="BZ47" s="100">
        <v>9.4052784665686389</v>
      </c>
      <c r="CA47" s="100">
        <v>14367.503385530252</v>
      </c>
      <c r="CB47" s="100">
        <v>15.13867584495155</v>
      </c>
      <c r="CC47" s="100">
        <v>23125.841220747985</v>
      </c>
      <c r="CD47" s="100">
        <v>2.7331188458972222</v>
      </c>
      <c r="CE47" s="100">
        <v>4175.1123489925967</v>
      </c>
      <c r="CF47" s="100">
        <v>15.619899728139147</v>
      </c>
      <c r="CG47" s="100">
        <v>23860.958824705362</v>
      </c>
      <c r="CH47" s="100">
        <v>10.4003504005337</v>
      </c>
      <c r="CI47" s="100">
        <v>15887.575271855279</v>
      </c>
      <c r="CJ47" s="100">
        <v>18.879514502358205</v>
      </c>
      <c r="CK47" s="100">
        <v>28840.346353802393</v>
      </c>
      <c r="CL47" s="100">
        <v>3.6558119719084039</v>
      </c>
      <c r="CM47" s="100">
        <v>5584.6183682872779</v>
      </c>
      <c r="CN47" s="100">
        <v>19.041710278861956</v>
      </c>
      <c r="CO47" s="100">
        <v>29088.11662198952</v>
      </c>
      <c r="CP47" s="100">
        <v>9.3605909329156525</v>
      </c>
      <c r="CQ47" s="100">
        <v>14299.23870912195</v>
      </c>
      <c r="CR47" s="100">
        <v>11.643723734857517</v>
      </c>
      <c r="CS47" s="100">
        <v>17786.952377368343</v>
      </c>
      <c r="CT47" s="100">
        <v>9.6304585447280452E-4</v>
      </c>
      <c r="CU47" s="100">
        <v>1.4711488472926562</v>
      </c>
    </row>
    <row r="48" spans="2:99">
      <c r="C48" s="99" t="s">
        <v>214</v>
      </c>
      <c r="D48" s="100">
        <v>12.583012014594614</v>
      </c>
      <c r="E48" s="100">
        <v>10917.021223862286</v>
      </c>
      <c r="F48" s="100">
        <v>3.5456757244580657</v>
      </c>
      <c r="G48" s="100">
        <v>3076.2282585398179</v>
      </c>
      <c r="H48" s="100">
        <v>14</v>
      </c>
      <c r="I48" s="100">
        <v>12146.4</v>
      </c>
      <c r="J48" s="100">
        <v>9</v>
      </c>
      <c r="K48" s="100">
        <v>7808.4000000000005</v>
      </c>
      <c r="L48" s="100">
        <v>3.0549075766405487</v>
      </c>
      <c r="M48" s="100">
        <v>2650.4378134933399</v>
      </c>
      <c r="N48" s="100">
        <v>13</v>
      </c>
      <c r="O48" s="100">
        <v>11278.800000000001</v>
      </c>
      <c r="P48" s="100">
        <v>6.4585971812795471</v>
      </c>
      <c r="Q48" s="100">
        <v>5603.4789144781353</v>
      </c>
      <c r="R48" s="100">
        <v>20</v>
      </c>
      <c r="S48" s="100">
        <v>17352</v>
      </c>
      <c r="T48" s="100">
        <v>18</v>
      </c>
      <c r="U48" s="100">
        <v>15616.800000000001</v>
      </c>
      <c r="V48" s="100">
        <v>6.8003194185846532</v>
      </c>
      <c r="W48" s="100">
        <v>5899.9571275640455</v>
      </c>
      <c r="X48" s="100">
        <v>6.5004130320083497</v>
      </c>
      <c r="Y48" s="100">
        <v>5639.7583465704447</v>
      </c>
      <c r="Z48" s="100">
        <v>11</v>
      </c>
      <c r="AA48" s="100">
        <v>9543.6</v>
      </c>
      <c r="AB48" s="100">
        <v>1.876882778632609</v>
      </c>
      <c r="AC48" s="100">
        <v>1628.3834987416517</v>
      </c>
      <c r="AD48" s="100">
        <v>16.460239741446266</v>
      </c>
      <c r="AE48" s="100">
        <v>14280.903999678781</v>
      </c>
      <c r="AF48" s="100">
        <v>5.8043765210113376</v>
      </c>
      <c r="AG48" s="100">
        <v>5035.8770696294368</v>
      </c>
      <c r="AH48" s="100">
        <v>12.772939589679446</v>
      </c>
      <c r="AI48" s="100">
        <v>11081.802388005888</v>
      </c>
      <c r="AJ48" s="100">
        <v>9.8511619199617737</v>
      </c>
      <c r="AK48" s="100">
        <v>8546.8680817588356</v>
      </c>
      <c r="AL48" s="100">
        <v>11.80782638679848</v>
      </c>
      <c r="AM48" s="100">
        <v>10244.470173186361</v>
      </c>
      <c r="AN48" s="100">
        <v>15</v>
      </c>
      <c r="AO48" s="100">
        <v>13014</v>
      </c>
      <c r="AP48" s="100">
        <v>5.1982972417295494</v>
      </c>
      <c r="AQ48" s="100">
        <v>4510.0426869245575</v>
      </c>
      <c r="AR48" s="100">
        <v>6.4960016498194539</v>
      </c>
      <c r="AS48" s="100">
        <v>5635.9310313833585</v>
      </c>
      <c r="AT48" s="100">
        <v>3.3224393010999442</v>
      </c>
      <c r="AU48" s="100">
        <v>2882.5483376343118</v>
      </c>
      <c r="AV48" s="100">
        <v>14.883772123642942</v>
      </c>
      <c r="AW48" s="100">
        <v>12913.160694472617</v>
      </c>
      <c r="AX48" s="100">
        <v>12</v>
      </c>
      <c r="AY48" s="100">
        <v>10411.200000000001</v>
      </c>
      <c r="AZ48" s="100">
        <v>13.817429191336663</v>
      </c>
      <c r="BA48" s="100">
        <v>11988.001566403689</v>
      </c>
      <c r="BB48" s="100">
        <v>15.541619263511974</v>
      </c>
      <c r="BC48" s="100">
        <v>13483.908873022989</v>
      </c>
      <c r="BD48" s="100">
        <v>9.0598332258440042</v>
      </c>
      <c r="BE48" s="100">
        <v>7860.3113067422582</v>
      </c>
      <c r="BF48" s="100">
        <v>4.2875284779659237</v>
      </c>
      <c r="BG48" s="100">
        <v>3719.8597074832355</v>
      </c>
      <c r="BH48" s="100">
        <v>1.117496728349098E-3</v>
      </c>
      <c r="BI48" s="100">
        <v>0.96954016151567746</v>
      </c>
      <c r="BJ48" s="100">
        <v>17.747620522675462</v>
      </c>
      <c r="BK48" s="100">
        <v>15397.835565473231</v>
      </c>
      <c r="BL48" s="100">
        <v>12</v>
      </c>
      <c r="BM48" s="100">
        <v>10411.200000000001</v>
      </c>
      <c r="BN48" s="100">
        <v>10</v>
      </c>
      <c r="BO48" s="100">
        <v>8676</v>
      </c>
      <c r="BP48" s="100">
        <v>10.904694949125469</v>
      </c>
      <c r="BQ48" s="100">
        <v>9460.9133378612569</v>
      </c>
      <c r="BR48" s="100">
        <v>14.691861663492615</v>
      </c>
      <c r="BS48" s="100">
        <v>12746.659179246193</v>
      </c>
      <c r="BT48" s="100">
        <v>1.1821873260700526E-3</v>
      </c>
      <c r="BU48" s="100">
        <v>1.0256657240983778</v>
      </c>
      <c r="BV48" s="100">
        <v>11.840774042535532</v>
      </c>
      <c r="BW48" s="100">
        <v>10273.055559303828</v>
      </c>
      <c r="BX48" s="100">
        <v>9.0629529205369277</v>
      </c>
      <c r="BY48" s="100">
        <v>7863.0179538578386</v>
      </c>
      <c r="BZ48" s="100">
        <v>11.21044358283446</v>
      </c>
      <c r="CA48" s="100">
        <v>9726.1808524671778</v>
      </c>
      <c r="CB48" s="100">
        <v>17.301343822801769</v>
      </c>
      <c r="CC48" s="100">
        <v>15010.645900662816</v>
      </c>
      <c r="CD48" s="100">
        <v>2.9051069032148815</v>
      </c>
      <c r="CE48" s="100">
        <v>2520.4707492292314</v>
      </c>
      <c r="CF48" s="100">
        <v>15.723988276016813</v>
      </c>
      <c r="CG48" s="100">
        <v>13642.132228272187</v>
      </c>
      <c r="CH48" s="100">
        <v>11.093707093902612</v>
      </c>
      <c r="CI48" s="100">
        <v>9624.9002746699061</v>
      </c>
      <c r="CJ48" s="100">
        <v>17.989453815152981</v>
      </c>
      <c r="CK48" s="100">
        <v>15607.650130026726</v>
      </c>
      <c r="CL48" s="100">
        <v>4.2182445829712352</v>
      </c>
      <c r="CM48" s="100">
        <v>3659.7490001858437</v>
      </c>
      <c r="CN48" s="100">
        <v>21.041710278861956</v>
      </c>
      <c r="CO48" s="100">
        <v>18255.787837940632</v>
      </c>
      <c r="CP48" s="100">
        <v>11.232709119498784</v>
      </c>
      <c r="CQ48" s="100">
        <v>9745.4984320771455</v>
      </c>
      <c r="CR48" s="100">
        <v>10.748052678330014</v>
      </c>
      <c r="CS48" s="100">
        <v>9325.0105037191206</v>
      </c>
      <c r="CT48" s="100">
        <v>9.6304585447280452E-4</v>
      </c>
      <c r="CU48" s="100">
        <v>0.83553858334060527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2.8465952993289987</v>
      </c>
      <c r="G49" s="100">
        <v>2804.4656888989293</v>
      </c>
      <c r="H49" s="100">
        <v>9</v>
      </c>
      <c r="I49" s="100">
        <v>8866.7999999999993</v>
      </c>
      <c r="J49" s="100">
        <v>7.9696982600921027</v>
      </c>
      <c r="K49" s="100">
        <v>7851.7467258427387</v>
      </c>
      <c r="L49" s="100">
        <v>2.3309523449239826</v>
      </c>
      <c r="M49" s="100">
        <v>2296.4542502191075</v>
      </c>
      <c r="N49" s="100">
        <v>5.6025739303743185</v>
      </c>
      <c r="O49" s="100">
        <v>5519.6558362047781</v>
      </c>
      <c r="P49" s="100">
        <v>6</v>
      </c>
      <c r="Q49" s="100">
        <v>5911.2</v>
      </c>
      <c r="R49" s="100">
        <v>8</v>
      </c>
      <c r="S49" s="100">
        <v>7881.5999999999995</v>
      </c>
      <c r="T49" s="100">
        <v>8</v>
      </c>
      <c r="U49" s="100">
        <v>7881.5999999999995</v>
      </c>
      <c r="V49" s="100">
        <v>3.8130726794152983</v>
      </c>
      <c r="W49" s="100">
        <v>3756.6392037599517</v>
      </c>
      <c r="X49" s="100">
        <v>9</v>
      </c>
      <c r="Y49" s="100">
        <v>8866.7999999999993</v>
      </c>
      <c r="Z49" s="100">
        <v>4.1362677234205547</v>
      </c>
      <c r="AA49" s="100">
        <v>4075.05096111393</v>
      </c>
      <c r="AB49" s="100">
        <v>11</v>
      </c>
      <c r="AC49" s="100">
        <v>10837.199999999999</v>
      </c>
      <c r="AD49" s="100">
        <v>9</v>
      </c>
      <c r="AE49" s="100">
        <v>8866.7999999999993</v>
      </c>
      <c r="AF49" s="100">
        <v>12</v>
      </c>
      <c r="AG49" s="100">
        <v>11822.4</v>
      </c>
      <c r="AH49" s="100">
        <v>0.97752906337281431</v>
      </c>
      <c r="AI49" s="100">
        <v>963.06163323489659</v>
      </c>
      <c r="AJ49" s="100">
        <v>7.6973684210525892</v>
      </c>
      <c r="AK49" s="100">
        <v>7583.4473684210107</v>
      </c>
      <c r="AL49" s="100">
        <v>9</v>
      </c>
      <c r="AM49" s="100">
        <v>8866.7999999999993</v>
      </c>
      <c r="AN49" s="100">
        <v>6</v>
      </c>
      <c r="AO49" s="100">
        <v>5911.2</v>
      </c>
      <c r="AP49" s="100">
        <v>9</v>
      </c>
      <c r="AQ49" s="100">
        <v>8866.7999999999993</v>
      </c>
      <c r="AR49" s="100">
        <v>5.9163798751118994</v>
      </c>
      <c r="AS49" s="100">
        <v>5828.8174529602429</v>
      </c>
      <c r="AT49" s="100">
        <v>6.2092183374194948E-4</v>
      </c>
      <c r="AU49" s="100">
        <v>0.61173219060256856</v>
      </c>
      <c r="AV49" s="100">
        <v>8</v>
      </c>
      <c r="AW49" s="100">
        <v>7881.5999999999995</v>
      </c>
      <c r="AX49" s="100">
        <v>11</v>
      </c>
      <c r="AY49" s="100">
        <v>10837.199999999999</v>
      </c>
      <c r="AZ49" s="100">
        <v>0.29231544959387151</v>
      </c>
      <c r="BA49" s="100">
        <v>287.9891809398822</v>
      </c>
      <c r="BB49" s="100">
        <v>4.973324663005787</v>
      </c>
      <c r="BC49" s="100">
        <v>4899.7194579933011</v>
      </c>
      <c r="BD49" s="100">
        <v>10</v>
      </c>
      <c r="BE49" s="100">
        <v>9852</v>
      </c>
      <c r="BF49" s="100">
        <v>1.8716397015605748</v>
      </c>
      <c r="BG49" s="100">
        <v>1843.9394339774781</v>
      </c>
      <c r="BH49" s="100">
        <v>9.0328803329159797</v>
      </c>
      <c r="BI49" s="100">
        <v>8899.1937039888235</v>
      </c>
      <c r="BJ49" s="100">
        <v>8.2974313715513706</v>
      </c>
      <c r="BK49" s="100">
        <v>8174.6293872524093</v>
      </c>
      <c r="BL49" s="100">
        <v>10</v>
      </c>
      <c r="BM49" s="100">
        <v>9852</v>
      </c>
      <c r="BN49" s="100">
        <v>6.2890030962389263</v>
      </c>
      <c r="BO49" s="100">
        <v>6195.9258504145901</v>
      </c>
      <c r="BP49" s="100">
        <v>6</v>
      </c>
      <c r="BQ49" s="100">
        <v>5911.2</v>
      </c>
      <c r="BR49" s="100">
        <v>6</v>
      </c>
      <c r="BS49" s="100">
        <v>5911.2</v>
      </c>
      <c r="BT49" s="100">
        <v>10</v>
      </c>
      <c r="BU49" s="100">
        <v>9852</v>
      </c>
      <c r="BV49" s="100">
        <v>8</v>
      </c>
      <c r="BW49" s="100">
        <v>7881.5999999999995</v>
      </c>
      <c r="BX49" s="100">
        <v>5.5509290814750898</v>
      </c>
      <c r="BY49" s="100">
        <v>5468.7753310692578</v>
      </c>
      <c r="BZ49" s="100">
        <v>7.0053547491351216</v>
      </c>
      <c r="CA49" s="100">
        <v>6901.6754988479215</v>
      </c>
      <c r="CB49" s="100">
        <v>10</v>
      </c>
      <c r="CC49" s="100">
        <v>9852</v>
      </c>
      <c r="CD49" s="100">
        <v>7</v>
      </c>
      <c r="CE49" s="100">
        <v>6896.4</v>
      </c>
      <c r="CF49" s="100">
        <v>9</v>
      </c>
      <c r="CG49" s="100">
        <v>8866.7999999999993</v>
      </c>
      <c r="CH49" s="100">
        <v>6</v>
      </c>
      <c r="CI49" s="100">
        <v>5911.2</v>
      </c>
      <c r="CJ49" s="100">
        <v>7</v>
      </c>
      <c r="CK49" s="100">
        <v>6896.4</v>
      </c>
      <c r="CL49" s="100">
        <v>9</v>
      </c>
      <c r="CM49" s="100">
        <v>8866.7999999999993</v>
      </c>
      <c r="CN49" s="100">
        <v>5.8193986043824584</v>
      </c>
      <c r="CO49" s="100">
        <v>5733.2715050375973</v>
      </c>
      <c r="CP49" s="100">
        <v>8.2748346437039313</v>
      </c>
      <c r="CQ49" s="100">
        <v>8152.3670909771126</v>
      </c>
      <c r="CR49" s="100">
        <v>9.9363057324840192</v>
      </c>
      <c r="CS49" s="100">
        <v>9789.2484076432556</v>
      </c>
      <c r="CT49" s="100">
        <v>8</v>
      </c>
      <c r="CU49" s="100">
        <v>7881.5999999999995</v>
      </c>
    </row>
    <row r="50" spans="2:99">
      <c r="C50" s="99" t="s">
        <v>216</v>
      </c>
      <c r="D50" s="100">
        <v>9.4372590109459615</v>
      </c>
      <c r="E50" s="100">
        <v>2661.3070410867613</v>
      </c>
      <c r="F50" s="100">
        <v>2.0683108392672049</v>
      </c>
      <c r="G50" s="100">
        <v>583.26365667335176</v>
      </c>
      <c r="H50" s="100">
        <v>10</v>
      </c>
      <c r="I50" s="100">
        <v>2820</v>
      </c>
      <c r="J50" s="100">
        <v>11</v>
      </c>
      <c r="K50" s="100">
        <v>3102</v>
      </c>
      <c r="L50" s="100">
        <v>1.2219630306562195</v>
      </c>
      <c r="M50" s="100">
        <v>344.59357464505388</v>
      </c>
      <c r="N50" s="100">
        <v>7</v>
      </c>
      <c r="O50" s="100">
        <v>1974</v>
      </c>
      <c r="P50" s="100">
        <v>2.5834388725118189</v>
      </c>
      <c r="Q50" s="100">
        <v>728.52976204833294</v>
      </c>
      <c r="R50" s="100">
        <v>9</v>
      </c>
      <c r="S50" s="100">
        <v>2538</v>
      </c>
      <c r="T50" s="100">
        <v>8</v>
      </c>
      <c r="U50" s="100">
        <v>2256</v>
      </c>
      <c r="V50" s="100">
        <v>2.1474692900793637</v>
      </c>
      <c r="W50" s="100">
        <v>605.58633980238062</v>
      </c>
      <c r="X50" s="100">
        <v>5.6410704283254809</v>
      </c>
      <c r="Y50" s="100">
        <v>1590.7818607877857</v>
      </c>
      <c r="Z50" s="100">
        <v>9</v>
      </c>
      <c r="AA50" s="100">
        <v>2538</v>
      </c>
      <c r="AB50" s="100">
        <v>1.2089709694369537</v>
      </c>
      <c r="AC50" s="100">
        <v>340.92981338122092</v>
      </c>
      <c r="AD50" s="100">
        <v>6.9933590934460224</v>
      </c>
      <c r="AE50" s="100">
        <v>1972.1272643517782</v>
      </c>
      <c r="AF50" s="100">
        <v>3.834739495293678</v>
      </c>
      <c r="AG50" s="100">
        <v>1081.3965376728172</v>
      </c>
      <c r="AH50" s="100">
        <v>10.53867698452002</v>
      </c>
      <c r="AI50" s="100">
        <v>2971.9069096346457</v>
      </c>
      <c r="AJ50" s="100">
        <v>8.2271556692776837</v>
      </c>
      <c r="AK50" s="100">
        <v>2320.0578987363069</v>
      </c>
      <c r="AL50" s="100">
        <v>9.5385509245323199</v>
      </c>
      <c r="AM50" s="100">
        <v>2689.8713607181144</v>
      </c>
      <c r="AN50" s="100">
        <v>6</v>
      </c>
      <c r="AO50" s="100">
        <v>1692</v>
      </c>
      <c r="AP50" s="100">
        <v>2.8509417411972531</v>
      </c>
      <c r="AQ50" s="100">
        <v>803.96557101762539</v>
      </c>
      <c r="AR50" s="100">
        <v>3.7847475966877338</v>
      </c>
      <c r="AS50" s="100">
        <v>1067.298822265941</v>
      </c>
      <c r="AT50" s="100">
        <v>2.6046028277316746</v>
      </c>
      <c r="AU50" s="100">
        <v>734.49799742033224</v>
      </c>
      <c r="AV50" s="100">
        <v>8.7575189631225214</v>
      </c>
      <c r="AW50" s="100">
        <v>2469.6203476005512</v>
      </c>
      <c r="AX50" s="100">
        <v>10</v>
      </c>
      <c r="AY50" s="100">
        <v>2820</v>
      </c>
      <c r="AZ50" s="100">
        <v>7.8956738236209505</v>
      </c>
      <c r="BA50" s="100">
        <v>2226.5800182611079</v>
      </c>
      <c r="BB50" s="100">
        <v>5.4395667422291911</v>
      </c>
      <c r="BC50" s="100">
        <v>1533.957821308632</v>
      </c>
      <c r="BD50" s="100">
        <v>9.0598332258440042</v>
      </c>
      <c r="BE50" s="100">
        <v>2554.8729696880091</v>
      </c>
      <c r="BF50" s="100">
        <v>2.1437642389829619</v>
      </c>
      <c r="BG50" s="100">
        <v>604.54151539319525</v>
      </c>
      <c r="BH50" s="100">
        <v>6.2411109878990735E-4</v>
      </c>
      <c r="BI50" s="100">
        <v>0.17599932985875388</v>
      </c>
      <c r="BJ50" s="100">
        <v>9.5340146590539003</v>
      </c>
      <c r="BK50" s="100">
        <v>2688.5921338531998</v>
      </c>
      <c r="BL50" s="100">
        <v>9</v>
      </c>
      <c r="BM50" s="100">
        <v>2538</v>
      </c>
      <c r="BN50" s="100">
        <v>11</v>
      </c>
      <c r="BO50" s="100">
        <v>3102</v>
      </c>
      <c r="BP50" s="100">
        <v>5.4523474745627345</v>
      </c>
      <c r="BQ50" s="100">
        <v>1537.5619878266912</v>
      </c>
      <c r="BR50" s="100">
        <v>5.7135017580249059</v>
      </c>
      <c r="BS50" s="100">
        <v>1611.2074957630234</v>
      </c>
      <c r="BT50" s="100">
        <v>5.4859314374854269E-4</v>
      </c>
      <c r="BU50" s="100">
        <v>0.15470326653708905</v>
      </c>
      <c r="BV50" s="100">
        <v>4.711056725086519</v>
      </c>
      <c r="BW50" s="100">
        <v>1328.5179964743984</v>
      </c>
      <c r="BX50" s="100">
        <v>5.8021592588394135</v>
      </c>
      <c r="BY50" s="100">
        <v>1636.2089109927147</v>
      </c>
      <c r="BZ50" s="100">
        <v>7.3673650362107619</v>
      </c>
      <c r="CA50" s="100">
        <v>2077.5969402114347</v>
      </c>
      <c r="CB50" s="100">
        <v>11.976007867101329</v>
      </c>
      <c r="CC50" s="100">
        <v>3377.2342185225748</v>
      </c>
      <c r="CD50" s="100">
        <v>1.3572143873559466</v>
      </c>
      <c r="CE50" s="100">
        <v>382.73445723437692</v>
      </c>
      <c r="CF50" s="100">
        <v>9.6217523517898869</v>
      </c>
      <c r="CG50" s="100">
        <v>2713.3341632047482</v>
      </c>
      <c r="CH50" s="100">
        <v>5.5468535469513061</v>
      </c>
      <c r="CI50" s="100">
        <v>1564.2127002402683</v>
      </c>
      <c r="CJ50" s="100">
        <v>8.6596358767686539</v>
      </c>
      <c r="CK50" s="100">
        <v>2442.0173172487603</v>
      </c>
      <c r="CL50" s="100">
        <v>2.5458923789790178</v>
      </c>
      <c r="CM50" s="100">
        <v>717.94165087208296</v>
      </c>
      <c r="CN50" s="100">
        <v>9.9114964940042114</v>
      </c>
      <c r="CO50" s="100">
        <v>2795.0420113091877</v>
      </c>
      <c r="CP50" s="100">
        <v>9.3605909329156525</v>
      </c>
      <c r="CQ50" s="100">
        <v>2639.6866430822138</v>
      </c>
      <c r="CR50" s="100">
        <v>10.748052678330014</v>
      </c>
      <c r="CS50" s="100">
        <v>3030.9508552890638</v>
      </c>
      <c r="CT50" s="100">
        <v>5.2006373156326718E-4</v>
      </c>
      <c r="CU50" s="100">
        <v>0.14665797230084135</v>
      </c>
    </row>
    <row r="51" spans="2:99">
      <c r="C51" s="99" t="s">
        <v>217</v>
      </c>
      <c r="D51" s="100">
        <v>7.8643825091216337</v>
      </c>
      <c r="E51" s="100">
        <v>6719.3284157935241</v>
      </c>
      <c r="F51" s="100">
        <v>2.0683108392672049</v>
      </c>
      <c r="G51" s="100">
        <v>1767.1647810698998</v>
      </c>
      <c r="H51" s="100">
        <v>10</v>
      </c>
      <c r="I51" s="100">
        <v>8544</v>
      </c>
      <c r="J51" s="100">
        <v>10</v>
      </c>
      <c r="K51" s="100">
        <v>8544</v>
      </c>
      <c r="L51" s="100">
        <v>1.069217651824192</v>
      </c>
      <c r="M51" s="100">
        <v>913.53956171858965</v>
      </c>
      <c r="N51" s="100">
        <v>6</v>
      </c>
      <c r="O51" s="100">
        <v>5126.3999999999996</v>
      </c>
      <c r="P51" s="100">
        <v>2.5834388725118189</v>
      </c>
      <c r="Q51" s="100">
        <v>2207.2901726740979</v>
      </c>
      <c r="R51" s="100">
        <v>9</v>
      </c>
      <c r="S51" s="100">
        <v>7689.5999999999995</v>
      </c>
      <c r="T51" s="100">
        <v>8</v>
      </c>
      <c r="U51" s="100">
        <v>6835.2</v>
      </c>
      <c r="V51" s="100">
        <v>2.1474692900793637</v>
      </c>
      <c r="W51" s="100">
        <v>1834.7977614438082</v>
      </c>
      <c r="X51" s="100">
        <v>5.6659659359164269</v>
      </c>
      <c r="Y51" s="100">
        <v>4841.0012956469955</v>
      </c>
      <c r="Z51" s="100">
        <v>8</v>
      </c>
      <c r="AA51" s="100">
        <v>6835.2</v>
      </c>
      <c r="AB51" s="100">
        <v>1.2089709694369537</v>
      </c>
      <c r="AC51" s="100">
        <v>1032.9447962869333</v>
      </c>
      <c r="AD51" s="100">
        <v>6.1623074458735694</v>
      </c>
      <c r="AE51" s="100">
        <v>5265.0754817543775</v>
      </c>
      <c r="AF51" s="100">
        <v>4.1543863868291186</v>
      </c>
      <c r="AG51" s="100">
        <v>3549.507728906799</v>
      </c>
      <c r="AH51" s="100">
        <v>9.4215456819403052</v>
      </c>
      <c r="AI51" s="100">
        <v>8049.7686306497963</v>
      </c>
      <c r="AJ51" s="100">
        <v>8.2271556692776837</v>
      </c>
      <c r="AK51" s="100">
        <v>7029.2818038308524</v>
      </c>
      <c r="AL51" s="100">
        <v>10.448792437110267</v>
      </c>
      <c r="AM51" s="100">
        <v>8927.4482582670116</v>
      </c>
      <c r="AN51" s="100">
        <v>6</v>
      </c>
      <c r="AO51" s="100">
        <v>5126.3999999999996</v>
      </c>
      <c r="AP51" s="100">
        <v>2.5658475670775278</v>
      </c>
      <c r="AQ51" s="100">
        <v>2192.2601613110396</v>
      </c>
      <c r="AR51" s="100">
        <v>3.2963565688210754</v>
      </c>
      <c r="AS51" s="100">
        <v>2816.4070524007266</v>
      </c>
      <c r="AT51" s="100">
        <v>2.8347269050926602</v>
      </c>
      <c r="AU51" s="100">
        <v>2421.990667711169</v>
      </c>
      <c r="AV51" s="100">
        <v>7.6312658026021012</v>
      </c>
      <c r="AW51" s="100">
        <v>6520.1535017432352</v>
      </c>
      <c r="AX51" s="100">
        <v>9</v>
      </c>
      <c r="AY51" s="100">
        <v>7689.5999999999995</v>
      </c>
      <c r="AZ51" s="100">
        <v>6.9087145956683313</v>
      </c>
      <c r="BA51" s="100">
        <v>5902.8057505390225</v>
      </c>
      <c r="BB51" s="100">
        <v>5.4395667422291911</v>
      </c>
      <c r="BC51" s="100">
        <v>4647.565824560621</v>
      </c>
      <c r="BD51" s="100">
        <v>8.2362120234945486</v>
      </c>
      <c r="BE51" s="100">
        <v>7037.0195528737422</v>
      </c>
      <c r="BF51" s="100">
        <v>2.450016273123385</v>
      </c>
      <c r="BG51" s="100">
        <v>2093.2939037566202</v>
      </c>
      <c r="BH51" s="100">
        <v>5.6085666755766863E-4</v>
      </c>
      <c r="BI51" s="100">
        <v>0.47919593676127209</v>
      </c>
      <c r="BJ51" s="100">
        <v>9.5340146590539003</v>
      </c>
      <c r="BK51" s="100">
        <v>8145.8621246956518</v>
      </c>
      <c r="BL51" s="100">
        <v>10</v>
      </c>
      <c r="BM51" s="100">
        <v>8544</v>
      </c>
      <c r="BN51" s="100">
        <v>10</v>
      </c>
      <c r="BO51" s="100">
        <v>8544</v>
      </c>
      <c r="BP51" s="100">
        <v>4.6734406924823437</v>
      </c>
      <c r="BQ51" s="100">
        <v>3992.9877276569146</v>
      </c>
      <c r="BR51" s="100">
        <v>5.7135017580249059</v>
      </c>
      <c r="BS51" s="100">
        <v>4881.6159020564792</v>
      </c>
      <c r="BT51" s="100">
        <v>4.9373382937368843E-4</v>
      </c>
      <c r="BU51" s="100">
        <v>0.42184618381687938</v>
      </c>
      <c r="BV51" s="100">
        <v>5.1958809422781798</v>
      </c>
      <c r="BW51" s="100">
        <v>4439.3606770824763</v>
      </c>
      <c r="BX51" s="100">
        <v>5.8002592177297965</v>
      </c>
      <c r="BY51" s="100">
        <v>4955.7414756283379</v>
      </c>
      <c r="BZ51" s="100">
        <v>6.92953081569327</v>
      </c>
      <c r="CA51" s="100">
        <v>5920.5911289283295</v>
      </c>
      <c r="CB51" s="100">
        <v>10.976007867101329</v>
      </c>
      <c r="CC51" s="100">
        <v>9377.9011216513754</v>
      </c>
      <c r="CD51" s="100">
        <v>1.3572143873559466</v>
      </c>
      <c r="CE51" s="100">
        <v>1159.6039725569208</v>
      </c>
      <c r="CF51" s="100">
        <v>9.6217523517898869</v>
      </c>
      <c r="CG51" s="100">
        <v>8220.825209369279</v>
      </c>
      <c r="CH51" s="100">
        <v>4.853496853582393</v>
      </c>
      <c r="CI51" s="100">
        <v>4146.8277117007965</v>
      </c>
      <c r="CJ51" s="100">
        <v>8.5496965639738782</v>
      </c>
      <c r="CK51" s="100">
        <v>7304.8607442592811</v>
      </c>
      <c r="CL51" s="100">
        <v>2.2497304442513255</v>
      </c>
      <c r="CM51" s="100">
        <v>1922.1696915683324</v>
      </c>
      <c r="CN51" s="100">
        <v>8.7812827091464669</v>
      </c>
      <c r="CO51" s="100">
        <v>7502.7279466947411</v>
      </c>
      <c r="CP51" s="100">
        <v>9.3605909329156525</v>
      </c>
      <c r="CQ51" s="100">
        <v>7997.6888930831328</v>
      </c>
      <c r="CR51" s="100">
        <v>9.8523816218025129</v>
      </c>
      <c r="CS51" s="100">
        <v>8417.8748576680664</v>
      </c>
      <c r="CT51" s="100">
        <v>5.1704532101118686E-4</v>
      </c>
      <c r="CU51" s="100">
        <v>0.44176352227195803</v>
      </c>
    </row>
    <row r="52" spans="2:99">
      <c r="C52" s="99" t="s">
        <v>218</v>
      </c>
      <c r="D52" s="100">
        <v>8.650820760033799</v>
      </c>
      <c r="E52" s="100">
        <v>4671.4432104182515</v>
      </c>
      <c r="F52" s="100">
        <v>2.0683108392672049</v>
      </c>
      <c r="G52" s="100">
        <v>1116.8878532042906</v>
      </c>
      <c r="H52" s="100">
        <v>9</v>
      </c>
      <c r="I52" s="100">
        <v>4860</v>
      </c>
      <c r="J52" s="100">
        <v>11</v>
      </c>
      <c r="K52" s="100">
        <v>5940</v>
      </c>
      <c r="L52" s="100">
        <v>1.069217651824192</v>
      </c>
      <c r="M52" s="100">
        <v>577.37753198506368</v>
      </c>
      <c r="N52" s="100">
        <v>6</v>
      </c>
      <c r="O52" s="100">
        <v>3240</v>
      </c>
      <c r="P52" s="100">
        <v>2.5834388725118189</v>
      </c>
      <c r="Q52" s="100">
        <v>1395.0569911563823</v>
      </c>
      <c r="R52" s="100">
        <v>10</v>
      </c>
      <c r="S52" s="100">
        <v>5400</v>
      </c>
      <c r="T52" s="100">
        <v>8</v>
      </c>
      <c r="U52" s="100">
        <v>4320</v>
      </c>
      <c r="V52" s="100">
        <v>2.1474692900793637</v>
      </c>
      <c r="W52" s="100">
        <v>1159.6334166428564</v>
      </c>
      <c r="X52" s="100">
        <v>5.6659659359164269</v>
      </c>
      <c r="Y52" s="100">
        <v>3059.6216053948706</v>
      </c>
      <c r="Z52" s="100">
        <v>10</v>
      </c>
      <c r="AA52" s="100">
        <v>5400</v>
      </c>
      <c r="AB52" s="100">
        <v>1.2037929647408154</v>
      </c>
      <c r="AC52" s="100">
        <v>650.04820096004028</v>
      </c>
      <c r="AD52" s="100">
        <v>6.8718326597695087</v>
      </c>
      <c r="AE52" s="100">
        <v>3710.7896362755346</v>
      </c>
      <c r="AF52" s="100">
        <v>3.834739495293678</v>
      </c>
      <c r="AG52" s="100">
        <v>2070.7593274585861</v>
      </c>
      <c r="AH52" s="100">
        <v>11.339490266461176</v>
      </c>
      <c r="AI52" s="100">
        <v>6123.3247438890348</v>
      </c>
      <c r="AJ52" s="100">
        <v>7.4792324266160763</v>
      </c>
      <c r="AK52" s="100">
        <v>4038.7855103726811</v>
      </c>
      <c r="AL52" s="100">
        <v>9</v>
      </c>
      <c r="AM52" s="100">
        <v>4860</v>
      </c>
      <c r="AN52" s="100">
        <v>6</v>
      </c>
      <c r="AO52" s="100">
        <v>3240</v>
      </c>
      <c r="AP52" s="100">
        <v>2.5658475670775278</v>
      </c>
      <c r="AQ52" s="100">
        <v>1385.557686221865</v>
      </c>
      <c r="AR52" s="100">
        <v>3.3005236787550083</v>
      </c>
      <c r="AS52" s="100">
        <v>1782.2827865277045</v>
      </c>
      <c r="AT52" s="100">
        <v>2.6046028277316746</v>
      </c>
      <c r="AU52" s="100">
        <v>1406.4855269751042</v>
      </c>
      <c r="AV52" s="100">
        <v>7.6312658026021012</v>
      </c>
      <c r="AW52" s="100">
        <v>4120.8835334051346</v>
      </c>
      <c r="AX52" s="100">
        <v>10</v>
      </c>
      <c r="AY52" s="100">
        <v>5400</v>
      </c>
      <c r="AZ52" s="100">
        <v>7.8956738236209505</v>
      </c>
      <c r="BA52" s="100">
        <v>4263.6638647553136</v>
      </c>
      <c r="BB52" s="100">
        <v>5.4395667422291911</v>
      </c>
      <c r="BC52" s="100">
        <v>2937.3660408037631</v>
      </c>
      <c r="BD52" s="100">
        <v>8.2362120234945486</v>
      </c>
      <c r="BE52" s="100">
        <v>4447.5544926870562</v>
      </c>
      <c r="BF52" s="100">
        <v>2.450016273123385</v>
      </c>
      <c r="BG52" s="100">
        <v>1323.0087874866279</v>
      </c>
      <c r="BH52" s="100">
        <v>5.0181884309166962E-4</v>
      </c>
      <c r="BI52" s="100">
        <v>0.27098217526950158</v>
      </c>
      <c r="BJ52" s="100">
        <v>8.64081759086468</v>
      </c>
      <c r="BK52" s="100">
        <v>4666.0414990669269</v>
      </c>
      <c r="BL52" s="100">
        <v>10</v>
      </c>
      <c r="BM52" s="100">
        <v>5400</v>
      </c>
      <c r="BN52" s="100">
        <v>12</v>
      </c>
      <c r="BO52" s="100">
        <v>6480</v>
      </c>
      <c r="BP52" s="100">
        <v>5.4523474745627345</v>
      </c>
      <c r="BQ52" s="100">
        <v>2944.2676362638767</v>
      </c>
      <c r="BR52" s="100">
        <v>5.7135017580249059</v>
      </c>
      <c r="BS52" s="100">
        <v>3085.2909493334491</v>
      </c>
      <c r="BT52" s="100">
        <v>4.9373382937368843E-4</v>
      </c>
      <c r="BU52" s="100">
        <v>0.26661626786179177</v>
      </c>
      <c r="BV52" s="100">
        <v>5.198611189076086</v>
      </c>
      <c r="BW52" s="100">
        <v>2807.2500421010864</v>
      </c>
      <c r="BX52" s="100">
        <v>5.8002592177297965</v>
      </c>
      <c r="BY52" s="100">
        <v>3132.1399775740902</v>
      </c>
      <c r="BZ52" s="100">
        <v>7.5569208807428714</v>
      </c>
      <c r="CA52" s="100">
        <v>4080.7372756011505</v>
      </c>
      <c r="CB52" s="100">
        <v>12.976007867101329</v>
      </c>
      <c r="CC52" s="100">
        <v>7007.0442482347171</v>
      </c>
      <c r="CD52" s="100">
        <v>1.52686618577544</v>
      </c>
      <c r="CE52" s="100">
        <v>824.50774031873755</v>
      </c>
      <c r="CF52" s="100">
        <v>10.725532129059097</v>
      </c>
      <c r="CG52" s="100">
        <v>5791.7873496919128</v>
      </c>
      <c r="CH52" s="100">
        <v>5.5468535469513061</v>
      </c>
      <c r="CI52" s="100">
        <v>2995.3009153537055</v>
      </c>
      <c r="CJ52" s="100">
        <v>7.5496965639738791</v>
      </c>
      <c r="CK52" s="100">
        <v>4076.8361445458945</v>
      </c>
      <c r="CL52" s="100">
        <v>2.5458923789790178</v>
      </c>
      <c r="CM52" s="100">
        <v>1374.7818846486696</v>
      </c>
      <c r="CN52" s="100">
        <v>9.7812827091464669</v>
      </c>
      <c r="CO52" s="100">
        <v>5281.8926629390917</v>
      </c>
      <c r="CP52" s="100">
        <v>9.3605909329156525</v>
      </c>
      <c r="CQ52" s="100">
        <v>5054.7191037744524</v>
      </c>
      <c r="CR52" s="100">
        <v>10.748052678330014</v>
      </c>
      <c r="CS52" s="100">
        <v>5803.9484462982073</v>
      </c>
      <c r="CT52" s="100">
        <v>5.2006373156326718E-4</v>
      </c>
      <c r="CU52" s="100">
        <v>0.28083441504416429</v>
      </c>
    </row>
    <row r="53" spans="2:99">
      <c r="C53" s="99" t="s">
        <v>219</v>
      </c>
      <c r="D53" s="100">
        <v>7.8643825091216337</v>
      </c>
      <c r="E53" s="100">
        <v>3199.2308047106808</v>
      </c>
      <c r="F53" s="100">
        <v>2.3637838163053773</v>
      </c>
      <c r="G53" s="100">
        <v>961.58725647302754</v>
      </c>
      <c r="H53" s="100">
        <v>9</v>
      </c>
      <c r="I53" s="100">
        <v>3661.2000000000003</v>
      </c>
      <c r="J53" s="100">
        <v>11</v>
      </c>
      <c r="K53" s="100">
        <v>4474.8</v>
      </c>
      <c r="L53" s="100">
        <v>1.069217651824192</v>
      </c>
      <c r="M53" s="100">
        <v>434.95774076208136</v>
      </c>
      <c r="N53" s="100">
        <v>7</v>
      </c>
      <c r="O53" s="100">
        <v>2847.6</v>
      </c>
      <c r="P53" s="100">
        <v>3.0140120179304555</v>
      </c>
      <c r="Q53" s="100">
        <v>1226.1000888941094</v>
      </c>
      <c r="R53" s="100">
        <v>10</v>
      </c>
      <c r="S53" s="100">
        <v>4068</v>
      </c>
      <c r="T53" s="100">
        <v>9</v>
      </c>
      <c r="U53" s="100">
        <v>3661.2000000000003</v>
      </c>
      <c r="V53" s="100">
        <v>2.1474692900793637</v>
      </c>
      <c r="W53" s="100">
        <v>873.59050720428513</v>
      </c>
      <c r="X53" s="100">
        <v>5.6659659359164269</v>
      </c>
      <c r="Y53" s="100">
        <v>2304.9149427308025</v>
      </c>
      <c r="Z53" s="100">
        <v>11</v>
      </c>
      <c r="AA53" s="100">
        <v>4474.8</v>
      </c>
      <c r="AB53" s="100">
        <v>1.3151115996067579</v>
      </c>
      <c r="AC53" s="100">
        <v>534.98739872002909</v>
      </c>
      <c r="AD53" s="100">
        <v>7.7028843073419626</v>
      </c>
      <c r="AE53" s="100">
        <v>3133.5333362267106</v>
      </c>
      <c r="AF53" s="100">
        <v>3.4983229359475096</v>
      </c>
      <c r="AG53" s="100">
        <v>1423.1177703434469</v>
      </c>
      <c r="AH53" s="100">
        <v>10.53867698452002</v>
      </c>
      <c r="AI53" s="100">
        <v>4287.1337973027439</v>
      </c>
      <c r="AJ53" s="100">
        <v>8.975078911939292</v>
      </c>
      <c r="AK53" s="100">
        <v>3651.0621013769041</v>
      </c>
      <c r="AL53" s="100">
        <v>9</v>
      </c>
      <c r="AM53" s="100">
        <v>3661.2000000000003</v>
      </c>
      <c r="AN53" s="100">
        <v>6</v>
      </c>
      <c r="AO53" s="100">
        <v>2440.8000000000002</v>
      </c>
      <c r="AP53" s="100">
        <v>2.8509417411972531</v>
      </c>
      <c r="AQ53" s="100">
        <v>1159.7631003190427</v>
      </c>
      <c r="AR53" s="100">
        <v>3.8689577547086342</v>
      </c>
      <c r="AS53" s="100">
        <v>1573.8920146154724</v>
      </c>
      <c r="AT53" s="100">
        <v>2.9462174931183176</v>
      </c>
      <c r="AU53" s="100">
        <v>1198.5212762005317</v>
      </c>
      <c r="AV53" s="100">
        <v>8.6312658026021012</v>
      </c>
      <c r="AW53" s="100">
        <v>3511.1989284985348</v>
      </c>
      <c r="AX53" s="100">
        <v>11</v>
      </c>
      <c r="AY53" s="100">
        <v>4474.8</v>
      </c>
      <c r="AZ53" s="100">
        <v>7.8956738236209505</v>
      </c>
      <c r="BA53" s="100">
        <v>3211.9601114490029</v>
      </c>
      <c r="BB53" s="100">
        <v>5.4395667422291911</v>
      </c>
      <c r="BC53" s="100">
        <v>2212.815750738835</v>
      </c>
      <c r="BD53" s="100">
        <v>8.2362120234945486</v>
      </c>
      <c r="BE53" s="100">
        <v>3350.4910511575827</v>
      </c>
      <c r="BF53" s="100">
        <v>2.450016273123385</v>
      </c>
      <c r="BG53" s="100">
        <v>996.66661990659304</v>
      </c>
      <c r="BH53" s="100">
        <v>5.0181884309166962E-4</v>
      </c>
      <c r="BI53" s="100">
        <v>0.2041399053696912</v>
      </c>
      <c r="BJ53" s="100">
        <v>9.64081759086468</v>
      </c>
      <c r="BK53" s="100">
        <v>3921.884595963752</v>
      </c>
      <c r="BL53" s="100">
        <v>11</v>
      </c>
      <c r="BM53" s="100">
        <v>4474.8</v>
      </c>
      <c r="BN53" s="100">
        <v>10</v>
      </c>
      <c r="BO53" s="100">
        <v>4068</v>
      </c>
      <c r="BP53" s="100">
        <v>4.6734406924823437</v>
      </c>
      <c r="BQ53" s="100">
        <v>1901.1556737018175</v>
      </c>
      <c r="BR53" s="100">
        <v>5.7135017580249059</v>
      </c>
      <c r="BS53" s="100">
        <v>2324.2525151645318</v>
      </c>
      <c r="BT53" s="100">
        <v>5.4859314374854269E-4</v>
      </c>
      <c r="BU53" s="100">
        <v>0.22316769087690716</v>
      </c>
      <c r="BV53" s="100">
        <v>5.2967906892896481</v>
      </c>
      <c r="BW53" s="100">
        <v>2154.7344524030291</v>
      </c>
      <c r="BX53" s="100">
        <v>5.1473404689464486</v>
      </c>
      <c r="BY53" s="100">
        <v>2093.9381027674153</v>
      </c>
      <c r="BZ53" s="100">
        <v>6.8169800500441431</v>
      </c>
      <c r="CA53" s="100">
        <v>2773.1474843579576</v>
      </c>
      <c r="CB53" s="100">
        <v>11.813339889251106</v>
      </c>
      <c r="CC53" s="100">
        <v>4805.6666669473498</v>
      </c>
      <c r="CD53" s="100">
        <v>1.3572143873559466</v>
      </c>
      <c r="CE53" s="100">
        <v>552.11481277639905</v>
      </c>
      <c r="CF53" s="100">
        <v>9.6217523517898869</v>
      </c>
      <c r="CG53" s="100">
        <v>3914.128856708126</v>
      </c>
      <c r="CH53" s="100">
        <v>4.853496853582393</v>
      </c>
      <c r="CI53" s="100">
        <v>1974.4025200373176</v>
      </c>
      <c r="CJ53" s="100">
        <v>7.5496965639738791</v>
      </c>
      <c r="CK53" s="100">
        <v>3071.2165622245743</v>
      </c>
      <c r="CL53" s="100">
        <v>2.2497304442513255</v>
      </c>
      <c r="CM53" s="100">
        <v>915.19034472143926</v>
      </c>
      <c r="CN53" s="100">
        <v>9.7812827091464669</v>
      </c>
      <c r="CO53" s="100">
        <v>3979.0258060807828</v>
      </c>
      <c r="CP53" s="100">
        <v>9.3605909329156525</v>
      </c>
      <c r="CQ53" s="100">
        <v>3807.8883915100873</v>
      </c>
      <c r="CR53" s="100">
        <v>10.748052678330014</v>
      </c>
      <c r="CS53" s="100">
        <v>4372.3078295446494</v>
      </c>
      <c r="CT53" s="100">
        <v>4.5807417566993915E-4</v>
      </c>
      <c r="CU53" s="100">
        <v>0.18634457466253124</v>
      </c>
    </row>
    <row r="54" spans="2:99">
      <c r="C54" s="99" t="s">
        <v>220</v>
      </c>
      <c r="D54" s="100">
        <v>9.4372590109459615</v>
      </c>
      <c r="E54" s="100">
        <v>3159.5943168647082</v>
      </c>
      <c r="F54" s="100">
        <v>2.0683108392672049</v>
      </c>
      <c r="G54" s="100">
        <v>692.47046898666019</v>
      </c>
      <c r="H54" s="100">
        <v>10</v>
      </c>
      <c r="I54" s="100">
        <v>3348</v>
      </c>
      <c r="J54" s="100">
        <v>10</v>
      </c>
      <c r="K54" s="100">
        <v>3348</v>
      </c>
      <c r="L54" s="100">
        <v>1.069217651824192</v>
      </c>
      <c r="M54" s="100">
        <v>357.9740698307395</v>
      </c>
      <c r="N54" s="100">
        <v>7</v>
      </c>
      <c r="O54" s="100">
        <v>2343.6</v>
      </c>
      <c r="P54" s="100">
        <v>2.5834388725118189</v>
      </c>
      <c r="Q54" s="100">
        <v>864.93533451695703</v>
      </c>
      <c r="R54" s="100">
        <v>9</v>
      </c>
      <c r="S54" s="100">
        <v>3013.2000000000003</v>
      </c>
      <c r="T54" s="100">
        <v>8</v>
      </c>
      <c r="U54" s="100">
        <v>2678.4</v>
      </c>
      <c r="V54" s="100">
        <v>2.1474692900793637</v>
      </c>
      <c r="W54" s="100">
        <v>718.97271831857097</v>
      </c>
      <c r="X54" s="100">
        <v>5.6410704283254809</v>
      </c>
      <c r="Y54" s="100">
        <v>1888.6303794033711</v>
      </c>
      <c r="Z54" s="100">
        <v>10</v>
      </c>
      <c r="AA54" s="100">
        <v>3348</v>
      </c>
      <c r="AB54" s="100">
        <v>1.2037929647408154</v>
      </c>
      <c r="AC54" s="100">
        <v>403.02988459522504</v>
      </c>
      <c r="AD54" s="100">
        <v>6.9933590934460224</v>
      </c>
      <c r="AE54" s="100">
        <v>2341.3766244857284</v>
      </c>
      <c r="AF54" s="100">
        <v>4.1543863868291186</v>
      </c>
      <c r="AG54" s="100">
        <v>1390.888562310389</v>
      </c>
      <c r="AH54" s="100">
        <v>10.380517974200741</v>
      </c>
      <c r="AI54" s="100">
        <v>3475.3974177624082</v>
      </c>
      <c r="AJ54" s="100">
        <v>8.2271556692776837</v>
      </c>
      <c r="AK54" s="100">
        <v>2754.4517180741686</v>
      </c>
      <c r="AL54" s="100">
        <v>9.5385509245323199</v>
      </c>
      <c r="AM54" s="100">
        <v>3193.5068495334208</v>
      </c>
      <c r="AN54" s="100">
        <v>6</v>
      </c>
      <c r="AO54" s="100">
        <v>2008.8000000000002</v>
      </c>
      <c r="AP54" s="100">
        <v>2.5658475670775278</v>
      </c>
      <c r="AQ54" s="100">
        <v>859.04576545755629</v>
      </c>
      <c r="AR54" s="100">
        <v>3.7889147066216662</v>
      </c>
      <c r="AS54" s="100">
        <v>1268.5286437769339</v>
      </c>
      <c r="AT54" s="100">
        <v>2.8347269050926602</v>
      </c>
      <c r="AU54" s="100">
        <v>949.06656782502273</v>
      </c>
      <c r="AV54" s="100">
        <v>8.6312658026021012</v>
      </c>
      <c r="AW54" s="100">
        <v>2889.7477907111834</v>
      </c>
      <c r="AX54" s="100">
        <v>11</v>
      </c>
      <c r="AY54" s="100">
        <v>3682.8</v>
      </c>
      <c r="AZ54" s="100">
        <v>7.8956738236209505</v>
      </c>
      <c r="BA54" s="100">
        <v>2643.4715961482943</v>
      </c>
      <c r="BB54" s="100">
        <v>5.4395667422291911</v>
      </c>
      <c r="BC54" s="100">
        <v>1821.1669452983333</v>
      </c>
      <c r="BD54" s="100">
        <v>8.2362120234945486</v>
      </c>
      <c r="BE54" s="100">
        <v>2757.483785465975</v>
      </c>
      <c r="BF54" s="100">
        <v>2.1437642389829619</v>
      </c>
      <c r="BG54" s="100">
        <v>717.7322672114957</v>
      </c>
      <c r="BH54" s="100">
        <v>5.0392714647478948E-4</v>
      </c>
      <c r="BI54" s="100">
        <v>0.16871480863975952</v>
      </c>
      <c r="BJ54" s="100">
        <v>9.64081759086468</v>
      </c>
      <c r="BK54" s="100">
        <v>3227.7457294214951</v>
      </c>
      <c r="BL54" s="100">
        <v>11</v>
      </c>
      <c r="BM54" s="100">
        <v>3682.8</v>
      </c>
      <c r="BN54" s="100">
        <v>10</v>
      </c>
      <c r="BO54" s="100">
        <v>3348</v>
      </c>
      <c r="BP54" s="100">
        <v>4.6734406924823437</v>
      </c>
      <c r="BQ54" s="100">
        <v>1564.6679438430888</v>
      </c>
      <c r="BR54" s="100">
        <v>4.8972872211642047</v>
      </c>
      <c r="BS54" s="100">
        <v>1639.6117616457757</v>
      </c>
      <c r="BT54" s="100">
        <v>4.9373382937368843E-4</v>
      </c>
      <c r="BU54" s="100">
        <v>0.16530208607431091</v>
      </c>
      <c r="BV54" s="100">
        <v>4.6101469780750515</v>
      </c>
      <c r="BW54" s="100">
        <v>1543.4772082595273</v>
      </c>
      <c r="BX54" s="100">
        <v>5.8021592588394135</v>
      </c>
      <c r="BY54" s="100">
        <v>1942.5629198594356</v>
      </c>
      <c r="BZ54" s="100">
        <v>6.3021407506436686</v>
      </c>
      <c r="CA54" s="100">
        <v>2109.9567233155003</v>
      </c>
      <c r="CB54" s="100">
        <v>12.813339889251106</v>
      </c>
      <c r="CC54" s="100">
        <v>4289.9061949212701</v>
      </c>
      <c r="CD54" s="100">
        <v>1.3572143873559466</v>
      </c>
      <c r="CE54" s="100">
        <v>454.39537688677092</v>
      </c>
      <c r="CF54" s="100">
        <v>9.7258408996675545</v>
      </c>
      <c r="CG54" s="100">
        <v>3256.2115332086973</v>
      </c>
      <c r="CH54" s="100">
        <v>4.853496853582393</v>
      </c>
      <c r="CI54" s="100">
        <v>1624.9507465793852</v>
      </c>
      <c r="CJ54" s="100">
        <v>8.5496965639738782</v>
      </c>
      <c r="CK54" s="100">
        <v>2862.4384096184544</v>
      </c>
      <c r="CL54" s="100">
        <v>2.8252404808608986</v>
      </c>
      <c r="CM54" s="100">
        <v>945.89051299222888</v>
      </c>
      <c r="CN54" s="100">
        <v>8.7812827091464669</v>
      </c>
      <c r="CO54" s="100">
        <v>2939.9734510222374</v>
      </c>
      <c r="CP54" s="100">
        <v>9.3605909329156525</v>
      </c>
      <c r="CQ54" s="100">
        <v>3133.9258443401604</v>
      </c>
      <c r="CR54" s="100">
        <v>10.748052678330014</v>
      </c>
      <c r="CS54" s="100">
        <v>3598.4480367048886</v>
      </c>
      <c r="CT54" s="100">
        <v>4.5505576511785883E-4</v>
      </c>
      <c r="CU54" s="100">
        <v>0.15235267016145915</v>
      </c>
    </row>
    <row r="55" spans="2:99">
      <c r="C55" s="99" t="s">
        <v>221</v>
      </c>
      <c r="D55" s="100">
        <v>8.650820760033799</v>
      </c>
      <c r="E55" s="100">
        <v>5740.6846563584295</v>
      </c>
      <c r="F55" s="100">
        <v>2.0683108392672049</v>
      </c>
      <c r="G55" s="100">
        <v>1372.5310729377172</v>
      </c>
      <c r="H55" s="100">
        <v>9</v>
      </c>
      <c r="I55" s="100">
        <v>5972.4000000000005</v>
      </c>
      <c r="J55" s="100">
        <v>10</v>
      </c>
      <c r="K55" s="100">
        <v>6636</v>
      </c>
      <c r="L55" s="100">
        <v>1.069217651824192</v>
      </c>
      <c r="M55" s="100">
        <v>709.53283375053388</v>
      </c>
      <c r="N55" s="100">
        <v>6</v>
      </c>
      <c r="O55" s="100">
        <v>3981.6000000000004</v>
      </c>
      <c r="P55" s="100">
        <v>2.5834388725118189</v>
      </c>
      <c r="Q55" s="100">
        <v>1714.370035798843</v>
      </c>
      <c r="R55" s="100">
        <v>9</v>
      </c>
      <c r="S55" s="100">
        <v>5972.4000000000005</v>
      </c>
      <c r="T55" s="100">
        <v>8</v>
      </c>
      <c r="U55" s="100">
        <v>5308.8</v>
      </c>
      <c r="V55" s="100">
        <v>1.789557741732803</v>
      </c>
      <c r="W55" s="100">
        <v>1187.5505174138882</v>
      </c>
      <c r="X55" s="100">
        <v>5.1242648499157317</v>
      </c>
      <c r="Y55" s="100">
        <v>3400.4621544040797</v>
      </c>
      <c r="Z55" s="100">
        <v>9</v>
      </c>
      <c r="AA55" s="100">
        <v>5972.4000000000005</v>
      </c>
      <c r="AB55" s="100">
        <v>1.2089709694369537</v>
      </c>
      <c r="AC55" s="100">
        <v>802.27313531836251</v>
      </c>
      <c r="AD55" s="100">
        <v>6.9933590934460224</v>
      </c>
      <c r="AE55" s="100">
        <v>4640.7930944107802</v>
      </c>
      <c r="AF55" s="100">
        <v>3.8179698274829503</v>
      </c>
      <c r="AG55" s="100">
        <v>2533.6047775176858</v>
      </c>
      <c r="AH55" s="100">
        <v>9.5797046922595843</v>
      </c>
      <c r="AI55" s="100">
        <v>6357.0920337834605</v>
      </c>
      <c r="AJ55" s="100">
        <v>6.731309183954469</v>
      </c>
      <c r="AK55" s="100">
        <v>4466.8967744721858</v>
      </c>
      <c r="AL55" s="100">
        <v>9.5385509245323199</v>
      </c>
      <c r="AM55" s="100">
        <v>6329.7823935196475</v>
      </c>
      <c r="AN55" s="100">
        <v>6</v>
      </c>
      <c r="AO55" s="100">
        <v>3981.6000000000004</v>
      </c>
      <c r="AP55" s="100">
        <v>2.8509417411972531</v>
      </c>
      <c r="AQ55" s="100">
        <v>1891.8849394584972</v>
      </c>
      <c r="AR55" s="100">
        <v>3.8731248646425662</v>
      </c>
      <c r="AS55" s="100">
        <v>2570.2056601768072</v>
      </c>
      <c r="AT55" s="100">
        <v>2.3744787503706895</v>
      </c>
      <c r="AU55" s="100">
        <v>1575.7040987459895</v>
      </c>
      <c r="AV55" s="100">
        <v>7.7575189631225214</v>
      </c>
      <c r="AW55" s="100">
        <v>5147.8895839281058</v>
      </c>
      <c r="AX55" s="100">
        <v>10</v>
      </c>
      <c r="AY55" s="100">
        <v>6636</v>
      </c>
      <c r="AZ55" s="100">
        <v>6.9087145956683313</v>
      </c>
      <c r="BA55" s="100">
        <v>4584.6230056855047</v>
      </c>
      <c r="BB55" s="100">
        <v>5.4395667422291911</v>
      </c>
      <c r="BC55" s="100">
        <v>3609.6964901432912</v>
      </c>
      <c r="BD55" s="100">
        <v>8.2362120234945486</v>
      </c>
      <c r="BE55" s="100">
        <v>5465.5502987909822</v>
      </c>
      <c r="BF55" s="100">
        <v>2.450016273123385</v>
      </c>
      <c r="BG55" s="100">
        <v>1625.8307988446784</v>
      </c>
      <c r="BH55" s="100">
        <v>4.9971053970854988E-4</v>
      </c>
      <c r="BI55" s="100">
        <v>0.33160791415059371</v>
      </c>
      <c r="BJ55" s="100">
        <v>8.5340146590539003</v>
      </c>
      <c r="BK55" s="100">
        <v>5663.1721277481684</v>
      </c>
      <c r="BL55" s="100">
        <v>10</v>
      </c>
      <c r="BM55" s="100">
        <v>6636</v>
      </c>
      <c r="BN55" s="100">
        <v>10</v>
      </c>
      <c r="BO55" s="100">
        <v>6636</v>
      </c>
      <c r="BP55" s="100">
        <v>4.6734406924823437</v>
      </c>
      <c r="BQ55" s="100">
        <v>3101.2952435312836</v>
      </c>
      <c r="BR55" s="100">
        <v>4.8972872211642047</v>
      </c>
      <c r="BS55" s="100">
        <v>3249.8397999645663</v>
      </c>
      <c r="BT55" s="100">
        <v>5.4859314374854269E-4</v>
      </c>
      <c r="BU55" s="100">
        <v>0.36404641019153294</v>
      </c>
      <c r="BV55" s="100">
        <v>4.6128772248729568</v>
      </c>
      <c r="BW55" s="100">
        <v>3061.1053264256943</v>
      </c>
      <c r="BX55" s="100">
        <v>5.8002592177297965</v>
      </c>
      <c r="BY55" s="100">
        <v>3849.0520168854932</v>
      </c>
      <c r="BZ55" s="100">
        <v>7.9941774087793283</v>
      </c>
      <c r="CA55" s="100">
        <v>5304.9361284659626</v>
      </c>
      <c r="CB55" s="100">
        <v>10.976007867101329</v>
      </c>
      <c r="CC55" s="100">
        <v>7283.678820608442</v>
      </c>
      <c r="CD55" s="100">
        <v>1.1875625889364534</v>
      </c>
      <c r="CE55" s="100">
        <v>788.06653401823053</v>
      </c>
      <c r="CF55" s="100">
        <v>9.6217523517898869</v>
      </c>
      <c r="CG55" s="100">
        <v>6384.9948606477692</v>
      </c>
      <c r="CH55" s="100">
        <v>5.5468535469513061</v>
      </c>
      <c r="CI55" s="100">
        <v>3680.8920137568866</v>
      </c>
      <c r="CJ55" s="100">
        <v>8.5496965639738782</v>
      </c>
      <c r="CK55" s="100">
        <v>5673.5786398530654</v>
      </c>
      <c r="CL55" s="100">
        <v>2.5309467497827409</v>
      </c>
      <c r="CM55" s="100">
        <v>1679.5362631558269</v>
      </c>
      <c r="CN55" s="100">
        <v>10.911496494004211</v>
      </c>
      <c r="CO55" s="100">
        <v>7240.869073421195</v>
      </c>
      <c r="CP55" s="100">
        <v>9.3605909329156525</v>
      </c>
      <c r="CQ55" s="100">
        <v>6211.6881430828271</v>
      </c>
      <c r="CR55" s="100">
        <v>8.9567105652750119</v>
      </c>
      <c r="CS55" s="100">
        <v>5943.6731311164976</v>
      </c>
      <c r="CT55" s="100">
        <v>4.5505576511785883E-4</v>
      </c>
      <c r="CU55" s="100">
        <v>0.30197500573221114</v>
      </c>
    </row>
    <row r="56" spans="2:99">
      <c r="C56" s="99" t="s">
        <v>222</v>
      </c>
      <c r="D56" s="100">
        <v>10</v>
      </c>
      <c r="E56" s="100">
        <v>9816</v>
      </c>
      <c r="F56" s="100">
        <v>6</v>
      </c>
      <c r="G56" s="100">
        <v>5889.5999999999995</v>
      </c>
      <c r="H56" s="100">
        <v>5.5967123721238652</v>
      </c>
      <c r="I56" s="100">
        <v>5493.7328644767858</v>
      </c>
      <c r="J56" s="100">
        <v>7.4611398963730542</v>
      </c>
      <c r="K56" s="100">
        <v>7323.8549222797892</v>
      </c>
      <c r="L56" s="100">
        <v>6.8436250630503128</v>
      </c>
      <c r="M56" s="100">
        <v>6717.7023618901867</v>
      </c>
      <c r="N56" s="100">
        <v>6</v>
      </c>
      <c r="O56" s="100">
        <v>5889.5999999999995</v>
      </c>
      <c r="P56" s="100">
        <v>3.5890141252783812</v>
      </c>
      <c r="Q56" s="100">
        <v>3522.9762653732587</v>
      </c>
      <c r="R56" s="100">
        <v>10</v>
      </c>
      <c r="S56" s="100">
        <v>9816</v>
      </c>
      <c r="T56" s="100">
        <v>7.2090265724629266</v>
      </c>
      <c r="U56" s="100">
        <v>7076.3804835296078</v>
      </c>
      <c r="V56" s="100">
        <v>4.0456799403767469</v>
      </c>
      <c r="W56" s="100">
        <v>3971.2394294738147</v>
      </c>
      <c r="X56" s="100">
        <v>10</v>
      </c>
      <c r="Y56" s="100">
        <v>9816</v>
      </c>
      <c r="Z56" s="100">
        <v>0.44596218648222324</v>
      </c>
      <c r="AA56" s="100">
        <v>437.75648225095028</v>
      </c>
      <c r="AB56" s="100">
        <v>8.7912087912088488</v>
      </c>
      <c r="AC56" s="100">
        <v>8629.4505494506047</v>
      </c>
      <c r="AD56" s="100">
        <v>8</v>
      </c>
      <c r="AE56" s="100">
        <v>7852.7999999999993</v>
      </c>
      <c r="AF56" s="100">
        <v>9.5235527002553031</v>
      </c>
      <c r="AG56" s="100">
        <v>9348.3193305706045</v>
      </c>
      <c r="AH56" s="100">
        <v>9</v>
      </c>
      <c r="AI56" s="100">
        <v>8834.4</v>
      </c>
      <c r="AJ56" s="100">
        <v>11.138888888888889</v>
      </c>
      <c r="AK56" s="100">
        <v>10933.933333333332</v>
      </c>
      <c r="AL56" s="100">
        <v>7.0510125726033213</v>
      </c>
      <c r="AM56" s="100">
        <v>6921.2739412674191</v>
      </c>
      <c r="AN56" s="100">
        <v>5</v>
      </c>
      <c r="AO56" s="100">
        <v>4908</v>
      </c>
      <c r="AP56" s="100">
        <v>8</v>
      </c>
      <c r="AQ56" s="100">
        <v>7852.7999999999993</v>
      </c>
      <c r="AR56" s="100">
        <v>5.896120120952939</v>
      </c>
      <c r="AS56" s="100">
        <v>5787.631510727404</v>
      </c>
      <c r="AT56" s="100">
        <v>12</v>
      </c>
      <c r="AU56" s="100">
        <v>11779.199999999999</v>
      </c>
      <c r="AV56" s="100">
        <v>0.27011327514786393</v>
      </c>
      <c r="AW56" s="100">
        <v>265.14319088514321</v>
      </c>
      <c r="AX56" s="100">
        <v>5.0883398734665494E-4</v>
      </c>
      <c r="AY56" s="100">
        <v>0.49947144197947646</v>
      </c>
      <c r="AZ56" s="100">
        <v>4.3173792865776783E-4</v>
      </c>
      <c r="BA56" s="100">
        <v>0.42379395077046489</v>
      </c>
      <c r="BB56" s="100">
        <v>4.8690444176403814E-4</v>
      </c>
      <c r="BC56" s="100">
        <v>0.47794540003557978</v>
      </c>
      <c r="BD56" s="100">
        <v>3.9769026163886725</v>
      </c>
      <c r="BE56" s="100">
        <v>3903.7276082471208</v>
      </c>
      <c r="BF56" s="100">
        <v>7.3549187658836077</v>
      </c>
      <c r="BG56" s="100">
        <v>7219.5882605913484</v>
      </c>
      <c r="BH56" s="100">
        <v>7.4168780456665084</v>
      </c>
      <c r="BI56" s="100">
        <v>7280.4074896262437</v>
      </c>
      <c r="BJ56" s="100">
        <v>8.4219700209077715</v>
      </c>
      <c r="BK56" s="100">
        <v>8267.0057725230672</v>
      </c>
      <c r="BL56" s="100">
        <v>6.2539905183423556</v>
      </c>
      <c r="BM56" s="100">
        <v>6138.9170928048561</v>
      </c>
      <c r="BN56" s="100">
        <v>9.3347038227184189</v>
      </c>
      <c r="BO56" s="100">
        <v>9162.9452723803988</v>
      </c>
      <c r="BP56" s="100">
        <v>4.6141519447341208</v>
      </c>
      <c r="BQ56" s="100">
        <v>4529.2515489510124</v>
      </c>
      <c r="BR56" s="100">
        <v>6.4895302303883362</v>
      </c>
      <c r="BS56" s="100">
        <v>6370.1228741491905</v>
      </c>
      <c r="BT56" s="100">
        <v>4.461770022636423</v>
      </c>
      <c r="BU56" s="100">
        <v>4379.6734542199119</v>
      </c>
      <c r="BV56" s="100">
        <v>7.0877400561780624</v>
      </c>
      <c r="BW56" s="100">
        <v>6957.3256391443856</v>
      </c>
      <c r="BX56" s="100">
        <v>7</v>
      </c>
      <c r="BY56" s="100">
        <v>6871.1999999999989</v>
      </c>
      <c r="BZ56" s="100">
        <v>8.4905999632363454</v>
      </c>
      <c r="CA56" s="100">
        <v>8334.3729239127952</v>
      </c>
      <c r="CB56" s="100">
        <v>10</v>
      </c>
      <c r="CC56" s="100">
        <v>9816</v>
      </c>
      <c r="CD56" s="100">
        <v>6.3998705753528977</v>
      </c>
      <c r="CE56" s="100">
        <v>6282.1129567664038</v>
      </c>
      <c r="CF56" s="100">
        <v>8.0959487525403198</v>
      </c>
      <c r="CG56" s="100">
        <v>7946.9832954935773</v>
      </c>
      <c r="CH56" s="100">
        <v>6.3479931794613353</v>
      </c>
      <c r="CI56" s="100">
        <v>6231.1901049592461</v>
      </c>
      <c r="CJ56" s="100">
        <v>4.9580532700901738</v>
      </c>
      <c r="CK56" s="100">
        <v>4866.8250899205141</v>
      </c>
      <c r="CL56" s="100">
        <v>9</v>
      </c>
      <c r="CM56" s="100">
        <v>8834.4</v>
      </c>
      <c r="CN56" s="100">
        <v>7.6718180850755822</v>
      </c>
      <c r="CO56" s="100">
        <v>7530.6566323101906</v>
      </c>
      <c r="CP56" s="100">
        <v>10</v>
      </c>
      <c r="CQ56" s="100">
        <v>9816</v>
      </c>
      <c r="CR56" s="100">
        <v>11</v>
      </c>
      <c r="CS56" s="100">
        <v>10797.599999999999</v>
      </c>
      <c r="CT56" s="100">
        <v>6.1433751090756816</v>
      </c>
      <c r="CU56" s="100">
        <v>6030.3370070686888</v>
      </c>
    </row>
    <row r="57" spans="2:99">
      <c r="C57" s="99" t="s">
        <v>223</v>
      </c>
      <c r="D57" s="100">
        <v>7.8643825091216337</v>
      </c>
      <c r="E57" s="100">
        <v>11098.216596872449</v>
      </c>
      <c r="F57" s="100">
        <v>2.0683108392672049</v>
      </c>
      <c r="G57" s="100">
        <v>2918.8002563738796</v>
      </c>
      <c r="H57" s="100">
        <v>8</v>
      </c>
      <c r="I57" s="100">
        <v>11289.6</v>
      </c>
      <c r="J57" s="100">
        <v>10</v>
      </c>
      <c r="K57" s="100">
        <v>14112</v>
      </c>
      <c r="L57" s="100">
        <v>1.069217651824192</v>
      </c>
      <c r="M57" s="100">
        <v>1508.8799502543</v>
      </c>
      <c r="N57" s="100">
        <v>5</v>
      </c>
      <c r="O57" s="100">
        <v>7056</v>
      </c>
      <c r="P57" s="100">
        <v>2.5834388725118189</v>
      </c>
      <c r="Q57" s="100">
        <v>3645.7489368886791</v>
      </c>
      <c r="R57" s="100">
        <v>9</v>
      </c>
      <c r="S57" s="100">
        <v>12700.800000000001</v>
      </c>
      <c r="T57" s="100">
        <v>8</v>
      </c>
      <c r="U57" s="100">
        <v>11289.6</v>
      </c>
      <c r="V57" s="100">
        <v>2.1474692900793637</v>
      </c>
      <c r="W57" s="100">
        <v>3030.508662159998</v>
      </c>
      <c r="X57" s="100">
        <v>5.074473834733837</v>
      </c>
      <c r="Y57" s="100">
        <v>7161.0974755763909</v>
      </c>
      <c r="Z57" s="100">
        <v>8</v>
      </c>
      <c r="AA57" s="100">
        <v>11289.6</v>
      </c>
      <c r="AB57" s="100">
        <v>1.2037929647408154</v>
      </c>
      <c r="AC57" s="100">
        <v>1698.7926318422387</v>
      </c>
      <c r="AD57" s="100">
        <v>6.1623074458735694</v>
      </c>
      <c r="AE57" s="100">
        <v>8696.248267616782</v>
      </c>
      <c r="AF57" s="100">
        <v>3.834739495293678</v>
      </c>
      <c r="AG57" s="100">
        <v>5411.5843757584389</v>
      </c>
      <c r="AH57" s="100">
        <v>8.4625733896798714</v>
      </c>
      <c r="AI57" s="100">
        <v>11942.383567516235</v>
      </c>
      <c r="AJ57" s="100">
        <v>7.4792324266160763</v>
      </c>
      <c r="AK57" s="100">
        <v>10554.692800440607</v>
      </c>
      <c r="AL57" s="100">
        <v>8.4487924371102672</v>
      </c>
      <c r="AM57" s="100">
        <v>11922.935887250009</v>
      </c>
      <c r="AN57" s="100">
        <v>6</v>
      </c>
      <c r="AO57" s="100">
        <v>8467.2000000000007</v>
      </c>
      <c r="AP57" s="100">
        <v>2.5658475670775278</v>
      </c>
      <c r="AQ57" s="100">
        <v>3620.9240866598075</v>
      </c>
      <c r="AR57" s="100">
        <v>3.3805667268419763</v>
      </c>
      <c r="AS57" s="100">
        <v>4770.6557649193974</v>
      </c>
      <c r="AT57" s="100">
        <v>2.4859693383963473</v>
      </c>
      <c r="AU57" s="100">
        <v>3508.1999303449252</v>
      </c>
      <c r="AV57" s="100">
        <v>7.6312658026021012</v>
      </c>
      <c r="AW57" s="100">
        <v>10769.242300632086</v>
      </c>
      <c r="AX57" s="100">
        <v>9</v>
      </c>
      <c r="AY57" s="100">
        <v>12700.800000000001</v>
      </c>
      <c r="AZ57" s="100">
        <v>7.8956738236209505</v>
      </c>
      <c r="BA57" s="100">
        <v>11142.374899893886</v>
      </c>
      <c r="BB57" s="100">
        <v>4.6624857790535916</v>
      </c>
      <c r="BC57" s="100">
        <v>6579.6999314004288</v>
      </c>
      <c r="BD57" s="100">
        <v>7.412590821145093</v>
      </c>
      <c r="BE57" s="100">
        <v>10460.648166799956</v>
      </c>
      <c r="BF57" s="100">
        <v>2.1437642389829619</v>
      </c>
      <c r="BG57" s="100">
        <v>3025.2800940527559</v>
      </c>
      <c r="BH57" s="100">
        <v>5.0181884309166962E-4</v>
      </c>
      <c r="BI57" s="100">
        <v>0.70816675137096419</v>
      </c>
      <c r="BJ57" s="100">
        <v>8.5340146590539003</v>
      </c>
      <c r="BK57" s="100">
        <v>12043.201486856864</v>
      </c>
      <c r="BL57" s="100">
        <v>9</v>
      </c>
      <c r="BM57" s="100">
        <v>12700.800000000001</v>
      </c>
      <c r="BN57" s="100">
        <v>9</v>
      </c>
      <c r="BO57" s="100">
        <v>12700.800000000001</v>
      </c>
      <c r="BP57" s="100">
        <v>4.6734406924823437</v>
      </c>
      <c r="BQ57" s="100">
        <v>6595.159505231084</v>
      </c>
      <c r="BR57" s="100">
        <v>4.8972872211642047</v>
      </c>
      <c r="BS57" s="100">
        <v>6911.0517265069257</v>
      </c>
      <c r="BT57" s="100">
        <v>4.3887451499883417E-4</v>
      </c>
      <c r="BU57" s="100">
        <v>0.61933971556635481</v>
      </c>
      <c r="BV57" s="100">
        <v>5.1958809422781798</v>
      </c>
      <c r="BW57" s="100">
        <v>7332.4271857429676</v>
      </c>
      <c r="BX57" s="100">
        <v>5.0527722986272936</v>
      </c>
      <c r="BY57" s="100">
        <v>7130.4722678228372</v>
      </c>
      <c r="BZ57" s="100">
        <v>6.7393972786801255</v>
      </c>
      <c r="CA57" s="100">
        <v>9510.6374396733936</v>
      </c>
      <c r="CB57" s="100">
        <v>11.976007867101329</v>
      </c>
      <c r="CC57" s="100">
        <v>16900.542302053396</v>
      </c>
      <c r="CD57" s="100">
        <v>1.3572143873559466</v>
      </c>
      <c r="CE57" s="100">
        <v>1915.3009434367118</v>
      </c>
      <c r="CF57" s="100">
        <v>8.6220611223983443</v>
      </c>
      <c r="CG57" s="100">
        <v>12167.452655928544</v>
      </c>
      <c r="CH57" s="100">
        <v>4.853496853582393</v>
      </c>
      <c r="CI57" s="100">
        <v>6849.2547597754728</v>
      </c>
      <c r="CJ57" s="100">
        <v>6.5496965639738791</v>
      </c>
      <c r="CK57" s="100">
        <v>9242.9317910799382</v>
      </c>
      <c r="CL57" s="100">
        <v>2.5309467497827409</v>
      </c>
      <c r="CM57" s="100">
        <v>3571.6720532934041</v>
      </c>
      <c r="CN57" s="100">
        <v>9.6510689242887224</v>
      </c>
      <c r="CO57" s="100">
        <v>13619.588465956245</v>
      </c>
      <c r="CP57" s="100">
        <v>9.3605909329156525</v>
      </c>
      <c r="CQ57" s="100">
        <v>13209.665924530569</v>
      </c>
      <c r="CR57" s="100">
        <v>8.9567105652750119</v>
      </c>
      <c r="CS57" s="100">
        <v>12639.709949716098</v>
      </c>
      <c r="CT57" s="100">
        <v>4.5505576511785883E-4</v>
      </c>
      <c r="CU57" s="100">
        <v>0.6421746957343224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3.3210278492171645</v>
      </c>
      <c r="G58" s="100">
        <v>3909.5139840984461</v>
      </c>
      <c r="H58" s="100">
        <v>8</v>
      </c>
      <c r="I58" s="100">
        <v>9417.6</v>
      </c>
      <c r="J58" s="100">
        <v>8.8369182510523085</v>
      </c>
      <c r="K58" s="100">
        <v>10402.820165138777</v>
      </c>
      <c r="L58" s="100">
        <v>2.3196212707445167</v>
      </c>
      <c r="M58" s="100">
        <v>2730.6581599204451</v>
      </c>
      <c r="N58" s="100">
        <v>6.6025739303743185</v>
      </c>
      <c r="O58" s="100">
        <v>7772.5500308366481</v>
      </c>
      <c r="P58" s="100">
        <v>6</v>
      </c>
      <c r="Q58" s="100">
        <v>7063.2000000000007</v>
      </c>
      <c r="R58" s="100">
        <v>8</v>
      </c>
      <c r="S58" s="100">
        <v>9417.6</v>
      </c>
      <c r="T58" s="100">
        <v>8</v>
      </c>
      <c r="U58" s="100">
        <v>9417.6</v>
      </c>
      <c r="V58" s="100">
        <v>2.9923306323579943</v>
      </c>
      <c r="W58" s="100">
        <v>3522.5716204118312</v>
      </c>
      <c r="X58" s="100">
        <v>10</v>
      </c>
      <c r="Y58" s="100">
        <v>11772</v>
      </c>
      <c r="Z58" s="100">
        <v>4.5958530260228381</v>
      </c>
      <c r="AA58" s="100">
        <v>5410.2381822340849</v>
      </c>
      <c r="AB58" s="100">
        <v>12</v>
      </c>
      <c r="AC58" s="100">
        <v>14126.400000000001</v>
      </c>
      <c r="AD58" s="100">
        <v>9</v>
      </c>
      <c r="AE58" s="100">
        <v>10594.800000000001</v>
      </c>
      <c r="AF58" s="100">
        <v>10</v>
      </c>
      <c r="AG58" s="100">
        <v>11772</v>
      </c>
      <c r="AH58" s="100">
        <v>0.97752906337281431</v>
      </c>
      <c r="AI58" s="100">
        <v>1150.747213402477</v>
      </c>
      <c r="AJ58" s="100">
        <v>7.6973684210525892</v>
      </c>
      <c r="AK58" s="100">
        <v>9061.3421052631093</v>
      </c>
      <c r="AL58" s="100">
        <v>9</v>
      </c>
      <c r="AM58" s="100">
        <v>10594.800000000001</v>
      </c>
      <c r="AN58" s="100">
        <v>6</v>
      </c>
      <c r="AO58" s="100">
        <v>7063.2000000000007</v>
      </c>
      <c r="AP58" s="100">
        <v>8</v>
      </c>
      <c r="AQ58" s="100">
        <v>9417.6</v>
      </c>
      <c r="AR58" s="100">
        <v>5.9163798751118994</v>
      </c>
      <c r="AS58" s="100">
        <v>6964.7623889817287</v>
      </c>
      <c r="AT58" s="100">
        <v>6.8333906807121114E-4</v>
      </c>
      <c r="AU58" s="100">
        <v>0.80442675093342975</v>
      </c>
      <c r="AV58" s="100">
        <v>6</v>
      </c>
      <c r="AW58" s="100">
        <v>7063.2000000000007</v>
      </c>
      <c r="AX58" s="100">
        <v>10</v>
      </c>
      <c r="AY58" s="100">
        <v>11772</v>
      </c>
      <c r="AZ58" s="100">
        <v>0.25904824710703733</v>
      </c>
      <c r="BA58" s="100">
        <v>304.95159649440438</v>
      </c>
      <c r="BB58" s="100">
        <v>4.973324663005787</v>
      </c>
      <c r="BC58" s="100">
        <v>5854.5977932904125</v>
      </c>
      <c r="BD58" s="100">
        <v>9</v>
      </c>
      <c r="BE58" s="100">
        <v>10594.800000000001</v>
      </c>
      <c r="BF58" s="100">
        <v>1.8716397015605748</v>
      </c>
      <c r="BG58" s="100">
        <v>2203.2942566771089</v>
      </c>
      <c r="BH58" s="100">
        <v>8.8607336107633152</v>
      </c>
      <c r="BI58" s="100">
        <v>10430.855606590576</v>
      </c>
      <c r="BJ58" s="100">
        <v>8.2974313715513706</v>
      </c>
      <c r="BK58" s="100">
        <v>9767.7362105902739</v>
      </c>
      <c r="BL58" s="100">
        <v>9</v>
      </c>
      <c r="BM58" s="100">
        <v>10594.800000000001</v>
      </c>
      <c r="BN58" s="100">
        <v>5.7172755420353871</v>
      </c>
      <c r="BO58" s="100">
        <v>6730.3767680840583</v>
      </c>
      <c r="BP58" s="100">
        <v>6</v>
      </c>
      <c r="BQ58" s="100">
        <v>7063.2000000000007</v>
      </c>
      <c r="BR58" s="100">
        <v>7</v>
      </c>
      <c r="BS58" s="100">
        <v>8240.4</v>
      </c>
      <c r="BT58" s="100">
        <v>10</v>
      </c>
      <c r="BU58" s="100">
        <v>11772</v>
      </c>
      <c r="BV58" s="100">
        <v>7</v>
      </c>
      <c r="BW58" s="100">
        <v>8240.4</v>
      </c>
      <c r="BX58" s="100">
        <v>4.8570629462907036</v>
      </c>
      <c r="BY58" s="100">
        <v>5717.7345003734163</v>
      </c>
      <c r="BZ58" s="100">
        <v>7.0357914535052224</v>
      </c>
      <c r="CA58" s="100">
        <v>8282.5336990663473</v>
      </c>
      <c r="CB58" s="100">
        <v>9</v>
      </c>
      <c r="CC58" s="100">
        <v>10594.800000000001</v>
      </c>
      <c r="CD58" s="100">
        <v>7</v>
      </c>
      <c r="CE58" s="100">
        <v>8240.4</v>
      </c>
      <c r="CF58" s="100">
        <v>9</v>
      </c>
      <c r="CG58" s="100">
        <v>10594.800000000001</v>
      </c>
      <c r="CH58" s="100">
        <v>6</v>
      </c>
      <c r="CI58" s="100">
        <v>7063.2000000000007</v>
      </c>
      <c r="CJ58" s="100">
        <v>7</v>
      </c>
      <c r="CK58" s="100">
        <v>8240.4</v>
      </c>
      <c r="CL58" s="100">
        <v>8</v>
      </c>
      <c r="CM58" s="100">
        <v>9417.6</v>
      </c>
      <c r="CN58" s="100">
        <v>5.8193986043824584</v>
      </c>
      <c r="CO58" s="100">
        <v>6850.5960370790299</v>
      </c>
      <c r="CP58" s="100">
        <v>8.439098964183156</v>
      </c>
      <c r="CQ58" s="100">
        <v>9934.5073006364109</v>
      </c>
      <c r="CR58" s="100">
        <v>8.2802547770700166</v>
      </c>
      <c r="CS58" s="100">
        <v>9747.5159235668234</v>
      </c>
      <c r="CT58" s="100">
        <v>7</v>
      </c>
      <c r="CU58" s="100">
        <v>8240.4</v>
      </c>
    </row>
    <row r="59" spans="2:99">
      <c r="C59" s="99" t="s">
        <v>225</v>
      </c>
      <c r="D59" s="100">
        <v>8.650820760033799</v>
      </c>
      <c r="E59" s="100">
        <v>2626.3891827462612</v>
      </c>
      <c r="F59" s="100">
        <v>2.0683108392672049</v>
      </c>
      <c r="G59" s="100">
        <v>627.93917080152335</v>
      </c>
      <c r="H59" s="100">
        <v>10</v>
      </c>
      <c r="I59" s="100">
        <v>3035.9999999999995</v>
      </c>
      <c r="J59" s="100">
        <v>11</v>
      </c>
      <c r="K59" s="100">
        <v>3339.5999999999995</v>
      </c>
      <c r="L59" s="100">
        <v>1.2219630306562195</v>
      </c>
      <c r="M59" s="100">
        <v>370.98797610722818</v>
      </c>
      <c r="N59" s="100">
        <v>7</v>
      </c>
      <c r="O59" s="100">
        <v>2125.1999999999998</v>
      </c>
      <c r="P59" s="100">
        <v>3.0140120179304555</v>
      </c>
      <c r="Q59" s="100">
        <v>915.0540486436862</v>
      </c>
      <c r="R59" s="100">
        <v>9</v>
      </c>
      <c r="S59" s="100">
        <v>2732.3999999999996</v>
      </c>
      <c r="T59" s="100">
        <v>8</v>
      </c>
      <c r="U59" s="100">
        <v>2428.7999999999997</v>
      </c>
      <c r="V59" s="100">
        <v>2.1474692900793637</v>
      </c>
      <c r="W59" s="100">
        <v>651.97167646809476</v>
      </c>
      <c r="X59" s="100">
        <v>5.1491603575066778</v>
      </c>
      <c r="Y59" s="100">
        <v>1563.2850845390271</v>
      </c>
      <c r="Z59" s="100">
        <v>9</v>
      </c>
      <c r="AA59" s="100">
        <v>2732.3999999999996</v>
      </c>
      <c r="AB59" s="100">
        <v>1.4212522297765624</v>
      </c>
      <c r="AC59" s="100">
        <v>431.49217696016427</v>
      </c>
      <c r="AD59" s="100">
        <v>7.7028843073419626</v>
      </c>
      <c r="AE59" s="100">
        <v>2338.5956757090194</v>
      </c>
      <c r="AF59" s="100">
        <v>3.8179698274829503</v>
      </c>
      <c r="AG59" s="100">
        <v>1159.1356396238236</v>
      </c>
      <c r="AH59" s="100">
        <v>11.339490266461176</v>
      </c>
      <c r="AI59" s="100">
        <v>3442.6692448976128</v>
      </c>
      <c r="AJ59" s="100">
        <v>7.4792324266160763</v>
      </c>
      <c r="AK59" s="100">
        <v>2270.6949647206407</v>
      </c>
      <c r="AL59" s="100">
        <v>10.53855092453232</v>
      </c>
      <c r="AM59" s="100">
        <v>3199.504060688012</v>
      </c>
      <c r="AN59" s="100">
        <v>6</v>
      </c>
      <c r="AO59" s="100">
        <v>1821.6</v>
      </c>
      <c r="AP59" s="100">
        <v>2.8509417411972531</v>
      </c>
      <c r="AQ59" s="100">
        <v>865.5459126274859</v>
      </c>
      <c r="AR59" s="100">
        <v>3.7889147066216662</v>
      </c>
      <c r="AS59" s="100">
        <v>1150.3145049303378</v>
      </c>
      <c r="AT59" s="100">
        <v>2.6046028277316746</v>
      </c>
      <c r="AU59" s="100">
        <v>790.75741849933638</v>
      </c>
      <c r="AV59" s="100">
        <v>8.7575189631225214</v>
      </c>
      <c r="AW59" s="100">
        <v>2658.7827572039973</v>
      </c>
      <c r="AX59" s="100">
        <v>11</v>
      </c>
      <c r="AY59" s="100">
        <v>3339.5999999999995</v>
      </c>
      <c r="AZ59" s="100">
        <v>7.8956738236209505</v>
      </c>
      <c r="BA59" s="100">
        <v>2397.1265728513204</v>
      </c>
      <c r="BB59" s="100">
        <v>6.2166477054047897</v>
      </c>
      <c r="BC59" s="100">
        <v>1887.3742433608938</v>
      </c>
      <c r="BD59" s="100">
        <v>8.2362120234945486</v>
      </c>
      <c r="BE59" s="100">
        <v>2500.5139703329446</v>
      </c>
      <c r="BF59" s="100">
        <v>2.450016273123385</v>
      </c>
      <c r="BG59" s="100">
        <v>743.82494052025959</v>
      </c>
      <c r="BH59" s="100">
        <v>5.0392714647478948E-4</v>
      </c>
      <c r="BI59" s="100">
        <v>0.15299228166974607</v>
      </c>
      <c r="BJ59" s="100">
        <v>9.5340146590539003</v>
      </c>
      <c r="BK59" s="100">
        <v>2894.526850488764</v>
      </c>
      <c r="BL59" s="100">
        <v>11</v>
      </c>
      <c r="BM59" s="100">
        <v>3339.5999999999995</v>
      </c>
      <c r="BN59" s="100">
        <v>11</v>
      </c>
      <c r="BO59" s="100">
        <v>3339.5999999999995</v>
      </c>
      <c r="BP59" s="100">
        <v>4.6734406924823437</v>
      </c>
      <c r="BQ59" s="100">
        <v>1418.8565942376395</v>
      </c>
      <c r="BR59" s="100">
        <v>4.8972872211642047</v>
      </c>
      <c r="BS59" s="100">
        <v>1486.8164003454524</v>
      </c>
      <c r="BT59" s="100">
        <v>5.4859314374854269E-4</v>
      </c>
      <c r="BU59" s="100">
        <v>0.16655287844205754</v>
      </c>
      <c r="BV59" s="100">
        <v>4.7083264782886136</v>
      </c>
      <c r="BW59" s="100">
        <v>1429.4479188084229</v>
      </c>
      <c r="BX59" s="100">
        <v>5.7094911296298747</v>
      </c>
      <c r="BY59" s="100">
        <v>1733.4015069556297</v>
      </c>
      <c r="BZ59" s="100">
        <v>8.6991502451929463</v>
      </c>
      <c r="CA59" s="100">
        <v>2641.0620144405784</v>
      </c>
      <c r="CB59" s="100">
        <v>11.976007867101329</v>
      </c>
      <c r="CC59" s="100">
        <v>3635.9159884519631</v>
      </c>
      <c r="CD59" s="100">
        <v>1.52686618577544</v>
      </c>
      <c r="CE59" s="100">
        <v>463.55657400142354</v>
      </c>
      <c r="CF59" s="100">
        <v>10.725532129059097</v>
      </c>
      <c r="CG59" s="100">
        <v>3256.2715543823415</v>
      </c>
      <c r="CH59" s="100">
        <v>4.853496853582393</v>
      </c>
      <c r="CI59" s="100">
        <v>1473.5216447476143</v>
      </c>
      <c r="CJ59" s="100">
        <v>7.5496965639738791</v>
      </c>
      <c r="CK59" s="100">
        <v>2292.0878768224693</v>
      </c>
      <c r="CL59" s="100">
        <v>2.5440241753294828</v>
      </c>
      <c r="CM59" s="100">
        <v>772.36573963003093</v>
      </c>
      <c r="CN59" s="100">
        <v>10.781282709146467</v>
      </c>
      <c r="CO59" s="100">
        <v>3273.1974304968671</v>
      </c>
      <c r="CP59" s="100">
        <v>9.3605909329156525</v>
      </c>
      <c r="CQ59" s="100">
        <v>2841.8754072331917</v>
      </c>
      <c r="CR59" s="100">
        <v>10.748052678330014</v>
      </c>
      <c r="CS59" s="100">
        <v>3263.108793140992</v>
      </c>
      <c r="CT59" s="100">
        <v>4.5807417566993915E-4</v>
      </c>
      <c r="CU59" s="100">
        <v>0.13907131973339351</v>
      </c>
    </row>
    <row r="60" spans="2:99">
      <c r="C60" s="99" t="s">
        <v>226</v>
      </c>
      <c r="D60" s="100">
        <v>8.650820760033799</v>
      </c>
      <c r="E60" s="100">
        <v>5636.874807238024</v>
      </c>
      <c r="F60" s="100">
        <v>2.0683108392672049</v>
      </c>
      <c r="G60" s="100">
        <v>1347.7113428665107</v>
      </c>
      <c r="H60" s="100">
        <v>10</v>
      </c>
      <c r="I60" s="100">
        <v>6516</v>
      </c>
      <c r="J60" s="100">
        <v>10</v>
      </c>
      <c r="K60" s="100">
        <v>6516</v>
      </c>
      <c r="L60" s="100">
        <v>1.2219630306562195</v>
      </c>
      <c r="M60" s="100">
        <v>796.23111077559258</v>
      </c>
      <c r="N60" s="100">
        <v>6</v>
      </c>
      <c r="O60" s="100">
        <v>3909.6000000000004</v>
      </c>
      <c r="P60" s="100">
        <v>2.5834388725118189</v>
      </c>
      <c r="Q60" s="100">
        <v>1683.3687693287013</v>
      </c>
      <c r="R60" s="100">
        <v>9</v>
      </c>
      <c r="S60" s="100">
        <v>5864.4000000000005</v>
      </c>
      <c r="T60" s="100">
        <v>7</v>
      </c>
      <c r="U60" s="100">
        <v>4561.2</v>
      </c>
      <c r="V60" s="100">
        <v>2.1474692900793637</v>
      </c>
      <c r="W60" s="100">
        <v>1399.2909894157135</v>
      </c>
      <c r="X60" s="100">
        <v>5.1242648499157317</v>
      </c>
      <c r="Y60" s="100">
        <v>3338.9709762050911</v>
      </c>
      <c r="Z60" s="100">
        <v>9</v>
      </c>
      <c r="AA60" s="100">
        <v>5864.4000000000005</v>
      </c>
      <c r="AB60" s="100">
        <v>1.3151115996067579</v>
      </c>
      <c r="AC60" s="100">
        <v>856.92671830376355</v>
      </c>
      <c r="AD60" s="100">
        <v>6.1623074458735694</v>
      </c>
      <c r="AE60" s="100">
        <v>4015.3595317312179</v>
      </c>
      <c r="AF60" s="100">
        <v>3.8515091631044061</v>
      </c>
      <c r="AG60" s="100">
        <v>2509.6433706788312</v>
      </c>
      <c r="AH60" s="100">
        <v>10.380517974200741</v>
      </c>
      <c r="AI60" s="100">
        <v>6763.9455119892027</v>
      </c>
      <c r="AJ60" s="100">
        <v>8.2271556692776837</v>
      </c>
      <c r="AK60" s="100">
        <v>5360.8146341013389</v>
      </c>
      <c r="AL60" s="100">
        <v>9.5385509245323199</v>
      </c>
      <c r="AM60" s="100">
        <v>6215.3197824252602</v>
      </c>
      <c r="AN60" s="100">
        <v>6</v>
      </c>
      <c r="AO60" s="100">
        <v>3909.6000000000004</v>
      </c>
      <c r="AP60" s="100">
        <v>2.5658475670775278</v>
      </c>
      <c r="AQ60" s="100">
        <v>1671.9062747077171</v>
      </c>
      <c r="AR60" s="100">
        <v>3.2963565688210754</v>
      </c>
      <c r="AS60" s="100">
        <v>2147.9059402438129</v>
      </c>
      <c r="AT60" s="100">
        <v>2.8438816521877648</v>
      </c>
      <c r="AU60" s="100">
        <v>1853.0732845655475</v>
      </c>
      <c r="AV60" s="100">
        <v>8.7575189631225214</v>
      </c>
      <c r="AW60" s="100">
        <v>5706.3993563706354</v>
      </c>
      <c r="AX60" s="100">
        <v>10</v>
      </c>
      <c r="AY60" s="100">
        <v>6516</v>
      </c>
      <c r="AZ60" s="100">
        <v>7.8956738236209505</v>
      </c>
      <c r="BA60" s="100">
        <v>5144.8210634714114</v>
      </c>
      <c r="BB60" s="100">
        <v>4.6624857790535916</v>
      </c>
      <c r="BC60" s="100">
        <v>3038.0757336313204</v>
      </c>
      <c r="BD60" s="100">
        <v>8.2362120234945486</v>
      </c>
      <c r="BE60" s="100">
        <v>5366.7157545090477</v>
      </c>
      <c r="BF60" s="100">
        <v>2.1437642389829619</v>
      </c>
      <c r="BG60" s="100">
        <v>1396.876778121298</v>
      </c>
      <c r="BH60" s="100">
        <v>5.6296497094078849E-4</v>
      </c>
      <c r="BI60" s="100">
        <v>0.3668279750650178</v>
      </c>
      <c r="BJ60" s="100">
        <v>8.5340146590539003</v>
      </c>
      <c r="BK60" s="100">
        <v>5560.7639518395217</v>
      </c>
      <c r="BL60" s="100">
        <v>10</v>
      </c>
      <c r="BM60" s="100">
        <v>6516</v>
      </c>
      <c r="BN60" s="100">
        <v>11</v>
      </c>
      <c r="BO60" s="100">
        <v>7167.6</v>
      </c>
      <c r="BP60" s="100">
        <v>5.4523474745627345</v>
      </c>
      <c r="BQ60" s="100">
        <v>3552.7496144250781</v>
      </c>
      <c r="BR60" s="100">
        <v>5.7135017580249059</v>
      </c>
      <c r="BS60" s="100">
        <v>3722.9177455290287</v>
      </c>
      <c r="BT60" s="100">
        <v>5.1839524008123544E-4</v>
      </c>
      <c r="BU60" s="100">
        <v>0.33778633843693301</v>
      </c>
      <c r="BV60" s="100">
        <v>4.7083264782886136</v>
      </c>
      <c r="BW60" s="100">
        <v>3067.9455332528605</v>
      </c>
      <c r="BX60" s="100">
        <v>5.8002592177297965</v>
      </c>
      <c r="BY60" s="100">
        <v>3779.4489062727357</v>
      </c>
      <c r="BZ60" s="100">
        <v>6.92953081569327</v>
      </c>
      <c r="CA60" s="100">
        <v>4515.2822795057346</v>
      </c>
      <c r="CB60" s="100">
        <v>11.976007867101329</v>
      </c>
      <c r="CC60" s="100">
        <v>7803.5667262032257</v>
      </c>
      <c r="CD60" s="100">
        <v>1.3572143873559466</v>
      </c>
      <c r="CE60" s="100">
        <v>884.3608948011348</v>
      </c>
      <c r="CF60" s="100">
        <v>8.7261496702760102</v>
      </c>
      <c r="CG60" s="100">
        <v>5685.9591251518486</v>
      </c>
      <c r="CH60" s="100">
        <v>5.5468535469513061</v>
      </c>
      <c r="CI60" s="100">
        <v>3614.3297711934711</v>
      </c>
      <c r="CJ60" s="100">
        <v>7.5496965639738791</v>
      </c>
      <c r="CK60" s="100">
        <v>4919.3822810853799</v>
      </c>
      <c r="CL60" s="100">
        <v>2.2646760734476019</v>
      </c>
      <c r="CM60" s="100">
        <v>1475.6629294584575</v>
      </c>
      <c r="CN60" s="100">
        <v>8.6510689242887224</v>
      </c>
      <c r="CO60" s="100">
        <v>5637.0365110665316</v>
      </c>
      <c r="CP60" s="100">
        <v>8.4245318396240876</v>
      </c>
      <c r="CQ60" s="100">
        <v>5489.4249466990559</v>
      </c>
      <c r="CR60" s="100">
        <v>9.8523816218025129</v>
      </c>
      <c r="CS60" s="100">
        <v>6419.8118647665178</v>
      </c>
      <c r="CT60" s="100">
        <v>5.2006373156326718E-4</v>
      </c>
      <c r="CU60" s="100">
        <v>0.33887352748662491</v>
      </c>
    </row>
    <row r="61" spans="2:99">
      <c r="C61" s="99" t="s">
        <v>227</v>
      </c>
      <c r="D61" s="100">
        <v>8.650820760033799</v>
      </c>
      <c r="E61" s="100">
        <v>8232.121035248163</v>
      </c>
      <c r="F61" s="100">
        <v>2.0683108392672049</v>
      </c>
      <c r="G61" s="100">
        <v>1968.2045946466719</v>
      </c>
      <c r="H61" s="100">
        <v>10</v>
      </c>
      <c r="I61" s="100">
        <v>9516</v>
      </c>
      <c r="J61" s="100">
        <v>10</v>
      </c>
      <c r="K61" s="100">
        <v>9516</v>
      </c>
      <c r="L61" s="100">
        <v>1.069217651824192</v>
      </c>
      <c r="M61" s="100">
        <v>1017.467517475901</v>
      </c>
      <c r="N61" s="100">
        <v>6</v>
      </c>
      <c r="O61" s="100">
        <v>5709.5999999999995</v>
      </c>
      <c r="P61" s="100">
        <v>2.5834388725118189</v>
      </c>
      <c r="Q61" s="100">
        <v>2458.4004310822465</v>
      </c>
      <c r="R61" s="100">
        <v>10</v>
      </c>
      <c r="S61" s="100">
        <v>9516</v>
      </c>
      <c r="T61" s="100">
        <v>8</v>
      </c>
      <c r="U61" s="100">
        <v>7612.7999999999993</v>
      </c>
      <c r="V61" s="100">
        <v>2.1474692900793637</v>
      </c>
      <c r="W61" s="100">
        <v>2043.5317764395222</v>
      </c>
      <c r="X61" s="100">
        <v>5.6659659359164269</v>
      </c>
      <c r="Y61" s="100">
        <v>5391.7331846180714</v>
      </c>
      <c r="Z61" s="100">
        <v>10</v>
      </c>
      <c r="AA61" s="100">
        <v>9516</v>
      </c>
      <c r="AB61" s="100">
        <v>1.1028303392671492</v>
      </c>
      <c r="AC61" s="100">
        <v>1049.4533508466191</v>
      </c>
      <c r="AD61" s="100">
        <v>6.9933590934460224</v>
      </c>
      <c r="AE61" s="100">
        <v>6654.8805133232345</v>
      </c>
      <c r="AF61" s="100">
        <v>3.4983229359475096</v>
      </c>
      <c r="AG61" s="100">
        <v>3329.00410584765</v>
      </c>
      <c r="AH61" s="100">
        <v>9.4215456819403052</v>
      </c>
      <c r="AI61" s="100">
        <v>8965.5428709343942</v>
      </c>
      <c r="AJ61" s="100">
        <v>7.6073921919769516</v>
      </c>
      <c r="AK61" s="100">
        <v>7239.1944098852664</v>
      </c>
      <c r="AL61" s="100">
        <v>8.5385509245323199</v>
      </c>
      <c r="AM61" s="100">
        <v>8125.2850597849547</v>
      </c>
      <c r="AN61" s="100">
        <v>5</v>
      </c>
      <c r="AO61" s="100">
        <v>4758</v>
      </c>
      <c r="AP61" s="100">
        <v>2.5658475670775278</v>
      </c>
      <c r="AQ61" s="100">
        <v>2441.6605448309751</v>
      </c>
      <c r="AR61" s="100">
        <v>3.2963565688210754</v>
      </c>
      <c r="AS61" s="100">
        <v>3136.8129108901348</v>
      </c>
      <c r="AT61" s="100">
        <v>2.6046028277316746</v>
      </c>
      <c r="AU61" s="100">
        <v>2478.5400508694615</v>
      </c>
      <c r="AV61" s="100">
        <v>7.7575189631225214</v>
      </c>
      <c r="AW61" s="100">
        <v>7382.0550453073911</v>
      </c>
      <c r="AX61" s="100">
        <v>11</v>
      </c>
      <c r="AY61" s="100">
        <v>10467.599999999999</v>
      </c>
      <c r="AZ61" s="100">
        <v>7.8956738236209505</v>
      </c>
      <c r="BA61" s="100">
        <v>7513.5232105576961</v>
      </c>
      <c r="BB61" s="100">
        <v>5.4395667422291911</v>
      </c>
      <c r="BC61" s="100">
        <v>5176.2917119052981</v>
      </c>
      <c r="BD61" s="100">
        <v>7.412590821145093</v>
      </c>
      <c r="BE61" s="100">
        <v>7053.8214254016702</v>
      </c>
      <c r="BF61" s="100">
        <v>2.1437642389829619</v>
      </c>
      <c r="BG61" s="100">
        <v>2040.0060498161863</v>
      </c>
      <c r="BH61" s="100">
        <v>5.0181884309166962E-4</v>
      </c>
      <c r="BI61" s="100">
        <v>0.47753081108603279</v>
      </c>
      <c r="BJ61" s="100">
        <v>8.5340146590539003</v>
      </c>
      <c r="BK61" s="100">
        <v>8120.968349555691</v>
      </c>
      <c r="BL61" s="100">
        <v>10</v>
      </c>
      <c r="BM61" s="100">
        <v>9516</v>
      </c>
      <c r="BN61" s="100">
        <v>11</v>
      </c>
      <c r="BO61" s="100">
        <v>10467.599999999999</v>
      </c>
      <c r="BP61" s="100">
        <v>4.6734406924823437</v>
      </c>
      <c r="BQ61" s="100">
        <v>4447.2461629661975</v>
      </c>
      <c r="BR61" s="100">
        <v>5.7135017580249059</v>
      </c>
      <c r="BS61" s="100">
        <v>5436.9682729364995</v>
      </c>
      <c r="BT61" s="100">
        <v>5.1839524008123544E-4</v>
      </c>
      <c r="BU61" s="100">
        <v>0.49330491046130359</v>
      </c>
      <c r="BV61" s="100">
        <v>4.6101469780750515</v>
      </c>
      <c r="BW61" s="100">
        <v>4387.0158643362183</v>
      </c>
      <c r="BX61" s="100">
        <v>5.0527722986272936</v>
      </c>
      <c r="BY61" s="100">
        <v>4808.2181193737324</v>
      </c>
      <c r="BZ61" s="100">
        <v>7.3667873437297269</v>
      </c>
      <c r="CA61" s="100">
        <v>7010.2348362932071</v>
      </c>
      <c r="CB61" s="100">
        <v>11.813339889251106</v>
      </c>
      <c r="CC61" s="100">
        <v>11241.574238611351</v>
      </c>
      <c r="CD61" s="100">
        <v>1.1875625889364534</v>
      </c>
      <c r="CE61" s="100">
        <v>1130.0845596319289</v>
      </c>
      <c r="CF61" s="100">
        <v>10.621443581181431</v>
      </c>
      <c r="CG61" s="100">
        <v>10107.36571185225</v>
      </c>
      <c r="CH61" s="100">
        <v>4.853496853582393</v>
      </c>
      <c r="CI61" s="100">
        <v>4618.5876058690046</v>
      </c>
      <c r="CJ61" s="100">
        <v>7.5496965639738791</v>
      </c>
      <c r="CK61" s="100">
        <v>7184.2912502775425</v>
      </c>
      <c r="CL61" s="100">
        <v>2.5309467497827409</v>
      </c>
      <c r="CM61" s="100">
        <v>2408.4489270932559</v>
      </c>
      <c r="CN61" s="100">
        <v>8.7812827091464669</v>
      </c>
      <c r="CO61" s="100">
        <v>8356.268626023777</v>
      </c>
      <c r="CP61" s="100">
        <v>8.4245318396240876</v>
      </c>
      <c r="CQ61" s="100">
        <v>8016.7844985862812</v>
      </c>
      <c r="CR61" s="100">
        <v>10.748052678330014</v>
      </c>
      <c r="CS61" s="100">
        <v>10227.84692869884</v>
      </c>
      <c r="CT61" s="100">
        <v>4.5505576511785883E-4</v>
      </c>
      <c r="CU61" s="100">
        <v>0.43303106608615444</v>
      </c>
    </row>
    <row r="62" spans="2:99">
      <c r="C62" s="99" t="s">
        <v>228</v>
      </c>
      <c r="D62" s="100">
        <v>10</v>
      </c>
      <c r="E62" s="100">
        <v>16692</v>
      </c>
      <c r="F62" s="100">
        <v>6</v>
      </c>
      <c r="G62" s="100">
        <v>10015.200000000001</v>
      </c>
      <c r="H62" s="100">
        <v>5.2695680624739465</v>
      </c>
      <c r="I62" s="100">
        <v>8795.9630098815123</v>
      </c>
      <c r="J62" s="100">
        <v>8.2901554404145035</v>
      </c>
      <c r="K62" s="100">
        <v>13837.927461139889</v>
      </c>
      <c r="L62" s="100">
        <v>5.8659643397574115</v>
      </c>
      <c r="M62" s="100">
        <v>9791.4676759230715</v>
      </c>
      <c r="N62" s="100">
        <v>6</v>
      </c>
      <c r="O62" s="100">
        <v>10015.200000000001</v>
      </c>
      <c r="P62" s="100">
        <v>3.5890141252783812</v>
      </c>
      <c r="Q62" s="100">
        <v>5990.7823779146738</v>
      </c>
      <c r="R62" s="100">
        <v>9</v>
      </c>
      <c r="S62" s="100">
        <v>15022.800000000001</v>
      </c>
      <c r="T62" s="100">
        <v>6.307898250905061</v>
      </c>
      <c r="U62" s="100">
        <v>10529.143760410729</v>
      </c>
      <c r="V62" s="100">
        <v>3.3964147405088325</v>
      </c>
      <c r="W62" s="100">
        <v>5669.2954848573436</v>
      </c>
      <c r="X62" s="100">
        <v>8</v>
      </c>
      <c r="Y62" s="100">
        <v>13353.6</v>
      </c>
      <c r="Z62" s="100">
        <v>0.44596218648222324</v>
      </c>
      <c r="AA62" s="100">
        <v>744.40008167612712</v>
      </c>
      <c r="AB62" s="100">
        <v>8.7912087912088488</v>
      </c>
      <c r="AC62" s="100">
        <v>14674.28571428581</v>
      </c>
      <c r="AD62" s="100">
        <v>7</v>
      </c>
      <c r="AE62" s="100">
        <v>11684.4</v>
      </c>
      <c r="AF62" s="100">
        <v>10.475907970280833</v>
      </c>
      <c r="AG62" s="100">
        <v>17486.385583992767</v>
      </c>
      <c r="AH62" s="100">
        <v>9.1265922006662752</v>
      </c>
      <c r="AI62" s="100">
        <v>15234.107701352146</v>
      </c>
      <c r="AJ62" s="100">
        <v>10.138888888888889</v>
      </c>
      <c r="AK62" s="100">
        <v>16923.833333333336</v>
      </c>
      <c r="AL62" s="100">
        <v>7.9294297521746318</v>
      </c>
      <c r="AM62" s="100">
        <v>13235.804142329896</v>
      </c>
      <c r="AN62" s="100">
        <v>5</v>
      </c>
      <c r="AO62" s="100">
        <v>8346</v>
      </c>
      <c r="AP62" s="100">
        <v>8</v>
      </c>
      <c r="AQ62" s="100">
        <v>13353.6</v>
      </c>
      <c r="AR62" s="100">
        <v>5.896120120952939</v>
      </c>
      <c r="AS62" s="100">
        <v>9841.8037058946466</v>
      </c>
      <c r="AT62" s="100">
        <v>9</v>
      </c>
      <c r="AU62" s="100">
        <v>15022.800000000001</v>
      </c>
      <c r="AV62" s="100">
        <v>0.20258495636089796</v>
      </c>
      <c r="AW62" s="100">
        <v>338.15480915761088</v>
      </c>
      <c r="AX62" s="100">
        <v>4.6257635213332269E-4</v>
      </c>
      <c r="AY62" s="100">
        <v>0.7721324469809423</v>
      </c>
      <c r="AZ62" s="100">
        <v>3.7777068757554683E-4</v>
      </c>
      <c r="BA62" s="100">
        <v>0.63057483170110273</v>
      </c>
      <c r="BB62" s="100">
        <v>4.1734666436917558E-4</v>
      </c>
      <c r="BC62" s="100">
        <v>0.69663505216502786</v>
      </c>
      <c r="BD62" s="100">
        <v>3.9768847032589649</v>
      </c>
      <c r="BE62" s="100">
        <v>6638.2159466798648</v>
      </c>
      <c r="BF62" s="100">
        <v>6.6523462912895406</v>
      </c>
      <c r="BG62" s="100">
        <v>11104.096429420502</v>
      </c>
      <c r="BH62" s="100">
        <v>7.388515301118268</v>
      </c>
      <c r="BI62" s="100">
        <v>12332.909740626614</v>
      </c>
      <c r="BJ62" s="100">
        <v>7.517180612082683</v>
      </c>
      <c r="BK62" s="100">
        <v>12547.677877688415</v>
      </c>
      <c r="BL62" s="100">
        <v>5.0643672217888351</v>
      </c>
      <c r="BM62" s="100">
        <v>8453.4417666099234</v>
      </c>
      <c r="BN62" s="100">
        <v>9.1861895217669876</v>
      </c>
      <c r="BO62" s="100">
        <v>15333.587549733456</v>
      </c>
      <c r="BP62" s="100">
        <v>3.2958228176672293</v>
      </c>
      <c r="BQ62" s="100">
        <v>5501.3874472501393</v>
      </c>
      <c r="BR62" s="100">
        <v>6.3916241843106691</v>
      </c>
      <c r="BS62" s="100">
        <v>10668.89908845137</v>
      </c>
      <c r="BT62" s="100">
        <v>4.461770022636423</v>
      </c>
      <c r="BU62" s="100">
        <v>7447.5865217847177</v>
      </c>
      <c r="BV62" s="100">
        <v>7.0877400561780624</v>
      </c>
      <c r="BW62" s="100">
        <v>11830.855701772422</v>
      </c>
      <c r="BX62" s="100">
        <v>8</v>
      </c>
      <c r="BY62" s="100">
        <v>13353.6</v>
      </c>
      <c r="BZ62" s="100">
        <v>7.7077088425988869</v>
      </c>
      <c r="CA62" s="100">
        <v>12865.707600066062</v>
      </c>
      <c r="CB62" s="100">
        <v>9</v>
      </c>
      <c r="CC62" s="100">
        <v>15022.800000000001</v>
      </c>
      <c r="CD62" s="100">
        <v>5.5998867534337853</v>
      </c>
      <c r="CE62" s="100">
        <v>9347.3309688316749</v>
      </c>
      <c r="CF62" s="100">
        <v>9.0959487525403198</v>
      </c>
      <c r="CG62" s="100">
        <v>15182.957657740302</v>
      </c>
      <c r="CH62" s="100">
        <v>6.3479931794613353</v>
      </c>
      <c r="CI62" s="100">
        <v>10596.070215156862</v>
      </c>
      <c r="CJ62" s="100">
        <v>4.3712920237922583</v>
      </c>
      <c r="CK62" s="100">
        <v>7296.5606461140378</v>
      </c>
      <c r="CL62" s="100">
        <v>9</v>
      </c>
      <c r="CM62" s="100">
        <v>15022.800000000001</v>
      </c>
      <c r="CN62" s="100">
        <v>7.6718180850755822</v>
      </c>
      <c r="CO62" s="100">
        <v>12805.798747608162</v>
      </c>
      <c r="CP62" s="100">
        <v>8</v>
      </c>
      <c r="CQ62" s="100">
        <v>13353.6</v>
      </c>
      <c r="CR62" s="100">
        <v>11</v>
      </c>
      <c r="CS62" s="100">
        <v>18361.2</v>
      </c>
      <c r="CT62" s="100">
        <v>7.1433751090756816</v>
      </c>
      <c r="CU62" s="100">
        <v>11923.721732069129</v>
      </c>
    </row>
    <row r="63" spans="2:99">
      <c r="C63" s="99" t="s">
        <v>229</v>
      </c>
      <c r="D63" s="100">
        <v>8.650820760033799</v>
      </c>
      <c r="E63" s="100">
        <v>6882.5929966828908</v>
      </c>
      <c r="F63" s="100">
        <v>2.0683108392672049</v>
      </c>
      <c r="G63" s="100">
        <v>1645.5481037209884</v>
      </c>
      <c r="H63" s="100">
        <v>10</v>
      </c>
      <c r="I63" s="100">
        <v>7956</v>
      </c>
      <c r="J63" s="100">
        <v>9</v>
      </c>
      <c r="K63" s="100">
        <v>7160.4000000000005</v>
      </c>
      <c r="L63" s="100">
        <v>1.069217651824192</v>
      </c>
      <c r="M63" s="100">
        <v>850.66956379132716</v>
      </c>
      <c r="N63" s="100">
        <v>6</v>
      </c>
      <c r="O63" s="100">
        <v>4773.6000000000004</v>
      </c>
      <c r="P63" s="100">
        <v>3.0140120179304555</v>
      </c>
      <c r="Q63" s="100">
        <v>2397.9479614654706</v>
      </c>
      <c r="R63" s="100">
        <v>9</v>
      </c>
      <c r="S63" s="100">
        <v>7160.4000000000005</v>
      </c>
      <c r="T63" s="100">
        <v>7</v>
      </c>
      <c r="U63" s="100">
        <v>5569.2</v>
      </c>
      <c r="V63" s="100">
        <v>2.1474692900793637</v>
      </c>
      <c r="W63" s="100">
        <v>1708.5265671871418</v>
      </c>
      <c r="X63" s="100">
        <v>5.6410704283254809</v>
      </c>
      <c r="Y63" s="100">
        <v>4488.0356327757527</v>
      </c>
      <c r="Z63" s="100">
        <v>8</v>
      </c>
      <c r="AA63" s="100">
        <v>6364.8</v>
      </c>
      <c r="AB63" s="100">
        <v>1.3151115996067579</v>
      </c>
      <c r="AC63" s="100">
        <v>1046.3027886471366</v>
      </c>
      <c r="AD63" s="100">
        <v>6.1623074458735694</v>
      </c>
      <c r="AE63" s="100">
        <v>4902.731803937012</v>
      </c>
      <c r="AF63" s="100">
        <v>3.834739495293678</v>
      </c>
      <c r="AG63" s="100">
        <v>3050.9187424556503</v>
      </c>
      <c r="AH63" s="100">
        <v>10.53867698452002</v>
      </c>
      <c r="AI63" s="100">
        <v>8384.5714088841287</v>
      </c>
      <c r="AJ63" s="100">
        <v>7.4792324266160763</v>
      </c>
      <c r="AK63" s="100">
        <v>5950.4773186157508</v>
      </c>
      <c r="AL63" s="100">
        <v>9.5385509245323199</v>
      </c>
      <c r="AM63" s="100">
        <v>7588.871115557914</v>
      </c>
      <c r="AN63" s="100">
        <v>6</v>
      </c>
      <c r="AO63" s="100">
        <v>4773.6000000000004</v>
      </c>
      <c r="AP63" s="100">
        <v>2.5658475670775278</v>
      </c>
      <c r="AQ63" s="100">
        <v>2041.3883243668811</v>
      </c>
      <c r="AR63" s="100">
        <v>3.3805667268419763</v>
      </c>
      <c r="AS63" s="100">
        <v>2689.5788878754765</v>
      </c>
      <c r="AT63" s="100">
        <v>2.8347269050926602</v>
      </c>
      <c r="AU63" s="100">
        <v>2255.3087256917206</v>
      </c>
      <c r="AV63" s="100">
        <v>7.6312658026021012</v>
      </c>
      <c r="AW63" s="100">
        <v>6071.4350725502318</v>
      </c>
      <c r="AX63" s="100">
        <v>11</v>
      </c>
      <c r="AY63" s="100">
        <v>8751.6</v>
      </c>
      <c r="AZ63" s="100">
        <v>7.8956738236209505</v>
      </c>
      <c r="BA63" s="100">
        <v>6281.7980940728285</v>
      </c>
      <c r="BB63" s="100">
        <v>5.4395667422291911</v>
      </c>
      <c r="BC63" s="100">
        <v>4327.7193001175447</v>
      </c>
      <c r="BD63" s="100">
        <v>7.412590821145093</v>
      </c>
      <c r="BE63" s="100">
        <v>5897.4572573030364</v>
      </c>
      <c r="BF63" s="100">
        <v>2.1437642389829619</v>
      </c>
      <c r="BG63" s="100">
        <v>1705.5788285348444</v>
      </c>
      <c r="BH63" s="100">
        <v>5.0181884309166962E-4</v>
      </c>
      <c r="BI63" s="100">
        <v>0.39924707156373235</v>
      </c>
      <c r="BJ63" s="100">
        <v>9.5340146590539003</v>
      </c>
      <c r="BK63" s="100">
        <v>7585.2620627432834</v>
      </c>
      <c r="BL63" s="100">
        <v>10</v>
      </c>
      <c r="BM63" s="100">
        <v>7956</v>
      </c>
      <c r="BN63" s="100">
        <v>11</v>
      </c>
      <c r="BO63" s="100">
        <v>8751.6</v>
      </c>
      <c r="BP63" s="100">
        <v>4.6734406924823437</v>
      </c>
      <c r="BQ63" s="100">
        <v>3718.1894149389527</v>
      </c>
      <c r="BR63" s="100">
        <v>4.8972872211642047</v>
      </c>
      <c r="BS63" s="100">
        <v>3896.2817131582415</v>
      </c>
      <c r="BT63" s="100">
        <v>4.9373382937368843E-4</v>
      </c>
      <c r="BU63" s="100">
        <v>0.39281463464970651</v>
      </c>
      <c r="BV63" s="100">
        <v>4.6101469780750515</v>
      </c>
      <c r="BW63" s="100">
        <v>3667.8329357565112</v>
      </c>
      <c r="BX63" s="100">
        <v>5.7983591766201803</v>
      </c>
      <c r="BY63" s="100">
        <v>4613.1745609190157</v>
      </c>
      <c r="BZ63" s="100">
        <v>7.3667873437297269</v>
      </c>
      <c r="CA63" s="100">
        <v>5861.0160106713711</v>
      </c>
      <c r="CB63" s="100">
        <v>11.976007867101329</v>
      </c>
      <c r="CC63" s="100">
        <v>9528.111859065817</v>
      </c>
      <c r="CD63" s="100">
        <v>1.1875625889364534</v>
      </c>
      <c r="CE63" s="100">
        <v>944.82479575784237</v>
      </c>
      <c r="CF63" s="100">
        <v>9.6217523517898869</v>
      </c>
      <c r="CG63" s="100">
        <v>7655.0661710840341</v>
      </c>
      <c r="CH63" s="100">
        <v>5.5468535469513061</v>
      </c>
      <c r="CI63" s="100">
        <v>4413.0766819544597</v>
      </c>
      <c r="CJ63" s="100">
        <v>7.5496965639738791</v>
      </c>
      <c r="CK63" s="100">
        <v>6006.5385862976182</v>
      </c>
      <c r="CL63" s="100">
        <v>2.2497304442513255</v>
      </c>
      <c r="CM63" s="100">
        <v>1789.8855414463546</v>
      </c>
      <c r="CN63" s="100">
        <v>9.6510689242887224</v>
      </c>
      <c r="CO63" s="100">
        <v>7678.390436164108</v>
      </c>
      <c r="CP63" s="100">
        <v>8.4245318396240876</v>
      </c>
      <c r="CQ63" s="100">
        <v>6702.5575316049244</v>
      </c>
      <c r="CR63" s="100">
        <v>9.8523816218025129</v>
      </c>
      <c r="CS63" s="100">
        <v>7838.5548183060791</v>
      </c>
      <c r="CT63" s="100">
        <v>3.9306620922453079E-4</v>
      </c>
      <c r="CU63" s="100">
        <v>0.31272347605903672</v>
      </c>
    </row>
    <row r="64" spans="2:99">
      <c r="C64" s="99" t="s">
        <v>230</v>
      </c>
      <c r="D64" s="100">
        <v>7.8643825091216337</v>
      </c>
      <c r="E64" s="100">
        <v>7936.7348282055509</v>
      </c>
      <c r="F64" s="100">
        <v>2.0683108392672049</v>
      </c>
      <c r="G64" s="100">
        <v>2087.3392989884628</v>
      </c>
      <c r="H64" s="100">
        <v>9</v>
      </c>
      <c r="I64" s="100">
        <v>9082.7999999999993</v>
      </c>
      <c r="J64" s="100">
        <v>10</v>
      </c>
      <c r="K64" s="100">
        <v>10091.999999999998</v>
      </c>
      <c r="L64" s="100">
        <v>1.2219630306562195</v>
      </c>
      <c r="M64" s="100">
        <v>1233.2050905382564</v>
      </c>
      <c r="N64" s="100">
        <v>6</v>
      </c>
      <c r="O64" s="100">
        <v>6055.1999999999989</v>
      </c>
      <c r="P64" s="100">
        <v>2.5834388725118189</v>
      </c>
      <c r="Q64" s="100">
        <v>2607.2065101389271</v>
      </c>
      <c r="R64" s="100">
        <v>9</v>
      </c>
      <c r="S64" s="100">
        <v>9082.7999999999993</v>
      </c>
      <c r="T64" s="100">
        <v>8</v>
      </c>
      <c r="U64" s="100">
        <v>8073.5999999999985</v>
      </c>
      <c r="V64" s="100">
        <v>2.1474692900793637</v>
      </c>
      <c r="W64" s="100">
        <v>2167.2260075480935</v>
      </c>
      <c r="X64" s="100">
        <v>5.0993693423247848</v>
      </c>
      <c r="Y64" s="100">
        <v>5146.2835402741721</v>
      </c>
      <c r="Z64" s="100">
        <v>9</v>
      </c>
      <c r="AA64" s="100">
        <v>9082.7999999999993</v>
      </c>
      <c r="AB64" s="100">
        <v>1.097652334571011</v>
      </c>
      <c r="AC64" s="100">
        <v>1107.750736049064</v>
      </c>
      <c r="AD64" s="100">
        <v>6.9933590934460224</v>
      </c>
      <c r="AE64" s="100">
        <v>7057.6979971057244</v>
      </c>
      <c r="AF64" s="100">
        <v>3.4983229359475096</v>
      </c>
      <c r="AG64" s="100">
        <v>3530.5075069582263</v>
      </c>
      <c r="AH64" s="100">
        <v>10.380517974200741</v>
      </c>
      <c r="AI64" s="100">
        <v>10476.018739563386</v>
      </c>
      <c r="AJ64" s="100">
        <v>8.355315434638559</v>
      </c>
      <c r="AK64" s="100">
        <v>8432.1843366372323</v>
      </c>
      <c r="AL64" s="100">
        <v>9.5385509245323199</v>
      </c>
      <c r="AM64" s="100">
        <v>9626.305593038016</v>
      </c>
      <c r="AN64" s="100">
        <v>5</v>
      </c>
      <c r="AO64" s="100">
        <v>5045.9999999999991</v>
      </c>
      <c r="AP64" s="100">
        <v>2.8509417411972531</v>
      </c>
      <c r="AQ64" s="100">
        <v>2877.1704052162672</v>
      </c>
      <c r="AR64" s="100">
        <v>3.7847475966877338</v>
      </c>
      <c r="AS64" s="100">
        <v>3819.5672745772604</v>
      </c>
      <c r="AT64" s="100">
        <v>2.6046028277316746</v>
      </c>
      <c r="AU64" s="100">
        <v>2628.5651737468056</v>
      </c>
      <c r="AV64" s="100">
        <v>8.7575189631225214</v>
      </c>
      <c r="AW64" s="100">
        <v>8838.0881375832469</v>
      </c>
      <c r="AX64" s="100">
        <v>10</v>
      </c>
      <c r="AY64" s="100">
        <v>10091.999999999998</v>
      </c>
      <c r="AZ64" s="100">
        <v>6.9087145956683313</v>
      </c>
      <c r="BA64" s="100">
        <v>6972.2747699484789</v>
      </c>
      <c r="BB64" s="100">
        <v>5.4395667422291911</v>
      </c>
      <c r="BC64" s="100">
        <v>5489.610756257699</v>
      </c>
      <c r="BD64" s="100">
        <v>9.0598332258440042</v>
      </c>
      <c r="BE64" s="100">
        <v>9143.1836915217682</v>
      </c>
      <c r="BF64" s="100">
        <v>2.1437642389829619</v>
      </c>
      <c r="BG64" s="100">
        <v>2163.4868699816047</v>
      </c>
      <c r="BH64" s="100">
        <v>5.0181884309166962E-4</v>
      </c>
      <c r="BI64" s="100">
        <v>0.50643557644811288</v>
      </c>
      <c r="BJ64" s="100">
        <v>9.64081759086468</v>
      </c>
      <c r="BK64" s="100">
        <v>9729.5131127006334</v>
      </c>
      <c r="BL64" s="100">
        <v>10</v>
      </c>
      <c r="BM64" s="100">
        <v>10091.999999999998</v>
      </c>
      <c r="BN64" s="100">
        <v>11</v>
      </c>
      <c r="BO64" s="100">
        <v>11101.199999999997</v>
      </c>
      <c r="BP64" s="100">
        <v>5.4523474745627345</v>
      </c>
      <c r="BQ64" s="100">
        <v>5502.5090713287109</v>
      </c>
      <c r="BR64" s="100">
        <v>5.7135017580249059</v>
      </c>
      <c r="BS64" s="100">
        <v>5766.0659741987338</v>
      </c>
      <c r="BT64" s="100">
        <v>5.1839524008123544E-4</v>
      </c>
      <c r="BU64" s="100">
        <v>0.52316447628998275</v>
      </c>
      <c r="BV64" s="100">
        <v>4.7083264782886136</v>
      </c>
      <c r="BW64" s="100">
        <v>4751.6430818888684</v>
      </c>
      <c r="BX64" s="100">
        <v>5.7075910885202594</v>
      </c>
      <c r="BY64" s="100">
        <v>5760.1009265346447</v>
      </c>
      <c r="BZ64" s="100">
        <v>6.92953081569327</v>
      </c>
      <c r="CA64" s="100">
        <v>6993.2824991976468</v>
      </c>
      <c r="CB64" s="100">
        <v>10.813339889251106</v>
      </c>
      <c r="CC64" s="100">
        <v>10912.822616232213</v>
      </c>
      <c r="CD64" s="100">
        <v>1.1875625889364534</v>
      </c>
      <c r="CE64" s="100">
        <v>1198.4881647546686</v>
      </c>
      <c r="CF64" s="100">
        <v>9.6217523517898869</v>
      </c>
      <c r="CG64" s="100">
        <v>9710.272473426352</v>
      </c>
      <c r="CH64" s="100">
        <v>5.5468535469513061</v>
      </c>
      <c r="CI64" s="100">
        <v>5597.8845995832571</v>
      </c>
      <c r="CJ64" s="100">
        <v>7.5496965639738791</v>
      </c>
      <c r="CK64" s="100">
        <v>7619.1537723624378</v>
      </c>
      <c r="CL64" s="100">
        <v>2.5309467497827409</v>
      </c>
      <c r="CM64" s="100">
        <v>2554.2314598807416</v>
      </c>
      <c r="CN64" s="100">
        <v>9.7812827091464669</v>
      </c>
      <c r="CO64" s="100">
        <v>9871.2705100706135</v>
      </c>
      <c r="CP64" s="100">
        <v>8.4245318396240876</v>
      </c>
      <c r="CQ64" s="100">
        <v>8502.0375325486275</v>
      </c>
      <c r="CR64" s="100">
        <v>8.9567105652750119</v>
      </c>
      <c r="CS64" s="100">
        <v>9039.1123024755398</v>
      </c>
      <c r="CT64" s="100">
        <v>4.5505576511785883E-4</v>
      </c>
      <c r="CU64" s="100">
        <v>0.45924227815694302</v>
      </c>
    </row>
    <row r="65" spans="2:99">
      <c r="C65" s="99" t="s">
        <v>231</v>
      </c>
      <c r="D65" s="100">
        <v>8.650820760033799</v>
      </c>
      <c r="E65" s="100">
        <v>8875.7420997946774</v>
      </c>
      <c r="F65" s="100">
        <v>2.0683108392672049</v>
      </c>
      <c r="G65" s="100">
        <v>2122.0869210881524</v>
      </c>
      <c r="H65" s="100">
        <v>9</v>
      </c>
      <c r="I65" s="100">
        <v>9234</v>
      </c>
      <c r="J65" s="100">
        <v>11</v>
      </c>
      <c r="K65" s="100">
        <v>11286</v>
      </c>
      <c r="L65" s="100">
        <v>1.069217651824192</v>
      </c>
      <c r="M65" s="100">
        <v>1097.0173107716209</v>
      </c>
      <c r="N65" s="100">
        <v>6</v>
      </c>
      <c r="O65" s="100">
        <v>6156</v>
      </c>
      <c r="P65" s="100">
        <v>2.5834388725118189</v>
      </c>
      <c r="Q65" s="100">
        <v>2650.6082831971262</v>
      </c>
      <c r="R65" s="100">
        <v>8</v>
      </c>
      <c r="S65" s="100">
        <v>8208</v>
      </c>
      <c r="T65" s="100">
        <v>7</v>
      </c>
      <c r="U65" s="100">
        <v>7182</v>
      </c>
      <c r="V65" s="100">
        <v>2.1474692900793637</v>
      </c>
      <c r="W65" s="100">
        <v>2203.3034916214274</v>
      </c>
      <c r="X65" s="100">
        <v>5.6659659359164269</v>
      </c>
      <c r="Y65" s="100">
        <v>5813.2810502502543</v>
      </c>
      <c r="Z65" s="100">
        <v>9</v>
      </c>
      <c r="AA65" s="100">
        <v>9234</v>
      </c>
      <c r="AB65" s="100">
        <v>1.2037929647408154</v>
      </c>
      <c r="AC65" s="100">
        <v>1235.0915818240767</v>
      </c>
      <c r="AD65" s="100">
        <v>6.9933590934460224</v>
      </c>
      <c r="AE65" s="100">
        <v>7175.1864298756191</v>
      </c>
      <c r="AF65" s="100">
        <v>3.4983229359475096</v>
      </c>
      <c r="AG65" s="100">
        <v>3589.2793322821449</v>
      </c>
      <c r="AH65" s="100">
        <v>10.53867698452002</v>
      </c>
      <c r="AI65" s="100">
        <v>10812.68258611754</v>
      </c>
      <c r="AJ65" s="100">
        <v>8.2271556692776837</v>
      </c>
      <c r="AK65" s="100">
        <v>8441.0617166789034</v>
      </c>
      <c r="AL65" s="100">
        <v>9.4487924371102672</v>
      </c>
      <c r="AM65" s="100">
        <v>9694.4610404751347</v>
      </c>
      <c r="AN65" s="100">
        <v>5</v>
      </c>
      <c r="AO65" s="100">
        <v>5130</v>
      </c>
      <c r="AP65" s="100">
        <v>2.2807533929578026</v>
      </c>
      <c r="AQ65" s="100">
        <v>2340.0529811747056</v>
      </c>
      <c r="AR65" s="100">
        <v>3.3805667268419763</v>
      </c>
      <c r="AS65" s="100">
        <v>3468.4614617398679</v>
      </c>
      <c r="AT65" s="100">
        <v>2.6137575748267792</v>
      </c>
      <c r="AU65" s="100">
        <v>2681.7152717722756</v>
      </c>
      <c r="AV65" s="100">
        <v>7.6312658026021012</v>
      </c>
      <c r="AW65" s="100">
        <v>7829.6787134697561</v>
      </c>
      <c r="AX65" s="100">
        <v>10</v>
      </c>
      <c r="AY65" s="100">
        <v>10260</v>
      </c>
      <c r="AZ65" s="100">
        <v>7.8956738236209505</v>
      </c>
      <c r="BA65" s="100">
        <v>8100.9613430350955</v>
      </c>
      <c r="BB65" s="100">
        <v>5.4395667422291911</v>
      </c>
      <c r="BC65" s="100">
        <v>5580.9954775271499</v>
      </c>
      <c r="BD65" s="100">
        <v>7.412590821145093</v>
      </c>
      <c r="BE65" s="100">
        <v>7605.3181824948651</v>
      </c>
      <c r="BF65" s="100">
        <v>2.1437642389829619</v>
      </c>
      <c r="BG65" s="100">
        <v>2199.5021091965191</v>
      </c>
      <c r="BH65" s="100">
        <v>5.6085666755766863E-4</v>
      </c>
      <c r="BI65" s="100">
        <v>0.57543894091416803</v>
      </c>
      <c r="BJ65" s="100">
        <v>7.6408175908646809</v>
      </c>
      <c r="BK65" s="100">
        <v>7839.4788482271624</v>
      </c>
      <c r="BL65" s="100">
        <v>9</v>
      </c>
      <c r="BM65" s="100">
        <v>9234</v>
      </c>
      <c r="BN65" s="100">
        <v>11</v>
      </c>
      <c r="BO65" s="100">
        <v>11286</v>
      </c>
      <c r="BP65" s="100">
        <v>5.4523474745627345</v>
      </c>
      <c r="BQ65" s="100">
        <v>5594.1085089013659</v>
      </c>
      <c r="BR65" s="100">
        <v>4.8972872211642047</v>
      </c>
      <c r="BS65" s="100">
        <v>5024.6166889144743</v>
      </c>
      <c r="BT65" s="100">
        <v>5.4859314374854269E-4</v>
      </c>
      <c r="BU65" s="100">
        <v>0.56285656548600482</v>
      </c>
      <c r="BV65" s="100">
        <v>4.7055962314907083</v>
      </c>
      <c r="BW65" s="100">
        <v>4827.9417335094668</v>
      </c>
      <c r="BX65" s="100">
        <v>5.7056910474106441</v>
      </c>
      <c r="BY65" s="100">
        <v>5854.039014643321</v>
      </c>
      <c r="BZ65" s="100">
        <v>6.7393972786801255</v>
      </c>
      <c r="CA65" s="100">
        <v>6914.6216079258083</v>
      </c>
      <c r="CB65" s="100">
        <v>11.976007867101329</v>
      </c>
      <c r="CC65" s="100">
        <v>12287.384071645964</v>
      </c>
      <c r="CD65" s="100">
        <v>1.3572143873559466</v>
      </c>
      <c r="CE65" s="100">
        <v>1392.5019614272012</v>
      </c>
      <c r="CF65" s="100">
        <v>9.6217523517898869</v>
      </c>
      <c r="CG65" s="100">
        <v>9871.9179129364238</v>
      </c>
      <c r="CH65" s="100">
        <v>4.853496853582393</v>
      </c>
      <c r="CI65" s="100">
        <v>4979.6877717755351</v>
      </c>
      <c r="CJ65" s="100">
        <v>7.5496965639738791</v>
      </c>
      <c r="CK65" s="100">
        <v>7745.9886746372003</v>
      </c>
      <c r="CL65" s="100">
        <v>2.5440241753294828</v>
      </c>
      <c r="CM65" s="100">
        <v>2610.1688038880493</v>
      </c>
      <c r="CN65" s="100">
        <v>8.7812827091464669</v>
      </c>
      <c r="CO65" s="100">
        <v>9009.5960595842753</v>
      </c>
      <c r="CP65" s="100">
        <v>8.4245318396240876</v>
      </c>
      <c r="CQ65" s="100">
        <v>8643.5696674543142</v>
      </c>
      <c r="CR65" s="100">
        <v>9.8523816218025129</v>
      </c>
      <c r="CS65" s="100">
        <v>10108.543543969377</v>
      </c>
      <c r="CT65" s="100">
        <v>3.9306620922453079E-4</v>
      </c>
      <c r="CU65" s="100">
        <v>0.40328593066436857</v>
      </c>
    </row>
    <row r="66" spans="2:99">
      <c r="C66" s="99" t="s">
        <v>232</v>
      </c>
      <c r="D66" s="100">
        <v>7.8643825091216337</v>
      </c>
      <c r="E66" s="100">
        <v>9361.7609388583915</v>
      </c>
      <c r="F66" s="100">
        <v>2.0683108392672049</v>
      </c>
      <c r="G66" s="100">
        <v>2462.1172230636803</v>
      </c>
      <c r="H66" s="100">
        <v>8</v>
      </c>
      <c r="I66" s="100">
        <v>9523.1999999999989</v>
      </c>
      <c r="J66" s="100">
        <v>10</v>
      </c>
      <c r="K66" s="100">
        <v>11903.999999999998</v>
      </c>
      <c r="L66" s="100">
        <v>1.069217651824192</v>
      </c>
      <c r="M66" s="100">
        <v>1272.7966927315181</v>
      </c>
      <c r="N66" s="100">
        <v>6</v>
      </c>
      <c r="O66" s="100">
        <v>7142.4</v>
      </c>
      <c r="P66" s="100">
        <v>2.5834388725118189</v>
      </c>
      <c r="Q66" s="100">
        <v>3075.3256338380688</v>
      </c>
      <c r="R66" s="100">
        <v>9</v>
      </c>
      <c r="S66" s="100">
        <v>10713.599999999999</v>
      </c>
      <c r="T66" s="100">
        <v>7</v>
      </c>
      <c r="U66" s="100">
        <v>8332.7999999999993</v>
      </c>
      <c r="V66" s="100">
        <v>2.1474692900793637</v>
      </c>
      <c r="W66" s="100">
        <v>2556.3474429104745</v>
      </c>
      <c r="X66" s="100">
        <v>5.6659659359164269</v>
      </c>
      <c r="Y66" s="100">
        <v>6744.7658501149135</v>
      </c>
      <c r="Z66" s="100">
        <v>9</v>
      </c>
      <c r="AA66" s="100">
        <v>10713.599999999999</v>
      </c>
      <c r="AB66" s="100">
        <v>1.3099335949106199</v>
      </c>
      <c r="AC66" s="100">
        <v>1559.3449513816017</v>
      </c>
      <c r="AD66" s="100">
        <v>6.283833879550083</v>
      </c>
      <c r="AE66" s="100">
        <v>7480.2758502164179</v>
      </c>
      <c r="AF66" s="100">
        <v>3.834739495293678</v>
      </c>
      <c r="AG66" s="100">
        <v>4564.8738951975938</v>
      </c>
      <c r="AH66" s="100">
        <v>10.380517974200741</v>
      </c>
      <c r="AI66" s="100">
        <v>12356.968596488561</v>
      </c>
      <c r="AJ66" s="100">
        <v>8.2271556692776837</v>
      </c>
      <c r="AK66" s="100">
        <v>9793.6061087081544</v>
      </c>
      <c r="AL66" s="100">
        <v>9.5385509245323199</v>
      </c>
      <c r="AM66" s="100">
        <v>11354.691020563272</v>
      </c>
      <c r="AN66" s="100">
        <v>6</v>
      </c>
      <c r="AO66" s="100">
        <v>7142.4</v>
      </c>
      <c r="AP66" s="100">
        <v>2.2807533929578026</v>
      </c>
      <c r="AQ66" s="100">
        <v>2715.008838976968</v>
      </c>
      <c r="AR66" s="100">
        <v>3.3005236787550083</v>
      </c>
      <c r="AS66" s="100">
        <v>3928.9433871899614</v>
      </c>
      <c r="AT66" s="100">
        <v>2.6046028277316746</v>
      </c>
      <c r="AU66" s="100">
        <v>3100.5192061317853</v>
      </c>
      <c r="AV66" s="100">
        <v>7.7575189631225214</v>
      </c>
      <c r="AW66" s="100">
        <v>9234.5505737010481</v>
      </c>
      <c r="AX66" s="100">
        <v>11</v>
      </c>
      <c r="AY66" s="100">
        <v>13094.399999999998</v>
      </c>
      <c r="AZ66" s="100">
        <v>7.8956738236209505</v>
      </c>
      <c r="BA66" s="100">
        <v>9399.0101196383785</v>
      </c>
      <c r="BB66" s="100">
        <v>5.4395667422291911</v>
      </c>
      <c r="BC66" s="100">
        <v>6475.2602499496288</v>
      </c>
      <c r="BD66" s="100">
        <v>8.2362120234945486</v>
      </c>
      <c r="BE66" s="100">
        <v>9804.3867927679094</v>
      </c>
      <c r="BF66" s="100">
        <v>2.1437642389829619</v>
      </c>
      <c r="BG66" s="100">
        <v>2551.9369500853177</v>
      </c>
      <c r="BH66" s="100">
        <v>5.0181884309166962E-4</v>
      </c>
      <c r="BI66" s="100">
        <v>0.59736515081632346</v>
      </c>
      <c r="BJ66" s="100">
        <v>8.64081759086468</v>
      </c>
      <c r="BK66" s="100">
        <v>10286.029260165315</v>
      </c>
      <c r="BL66" s="100">
        <v>9</v>
      </c>
      <c r="BM66" s="100">
        <v>10713.599999999999</v>
      </c>
      <c r="BN66" s="100">
        <v>10</v>
      </c>
      <c r="BO66" s="100">
        <v>11903.999999999998</v>
      </c>
      <c r="BP66" s="100">
        <v>4.6734406924823437</v>
      </c>
      <c r="BQ66" s="100">
        <v>5563.2638003309812</v>
      </c>
      <c r="BR66" s="100">
        <v>4.8972872211642047</v>
      </c>
      <c r="BS66" s="100">
        <v>5829.7307080738683</v>
      </c>
      <c r="BT66" s="100">
        <v>4.9373382937368843E-4</v>
      </c>
      <c r="BU66" s="100">
        <v>0.58774075048643859</v>
      </c>
      <c r="BV66" s="100">
        <v>4.6101469780750515</v>
      </c>
      <c r="BW66" s="100">
        <v>5487.9189627005408</v>
      </c>
      <c r="BX66" s="100">
        <v>5.1473404689464486</v>
      </c>
      <c r="BY66" s="100">
        <v>6127.3940942338513</v>
      </c>
      <c r="BZ66" s="100">
        <v>6.7393972786801255</v>
      </c>
      <c r="CA66" s="100">
        <v>8022.5785205408201</v>
      </c>
      <c r="CB66" s="100">
        <v>9.8133398892511057</v>
      </c>
      <c r="CC66" s="100">
        <v>11681.799804164515</v>
      </c>
      <c r="CD66" s="100">
        <v>1.3572143873559466</v>
      </c>
      <c r="CE66" s="100">
        <v>1615.6280067085186</v>
      </c>
      <c r="CF66" s="100">
        <v>9.6217523517898869</v>
      </c>
      <c r="CG66" s="100">
        <v>11453.733999570681</v>
      </c>
      <c r="CH66" s="100">
        <v>4.853496853582393</v>
      </c>
      <c r="CI66" s="100">
        <v>5777.6026545044797</v>
      </c>
      <c r="CJ66" s="100">
        <v>7.5496965639738791</v>
      </c>
      <c r="CK66" s="100">
        <v>8987.1587897545051</v>
      </c>
      <c r="CL66" s="100">
        <v>2.2497304442513255</v>
      </c>
      <c r="CM66" s="100">
        <v>2678.0791208367777</v>
      </c>
      <c r="CN66" s="100">
        <v>8.7812827091464669</v>
      </c>
      <c r="CO66" s="100">
        <v>10453.238936967953</v>
      </c>
      <c r="CP66" s="100">
        <v>8.4245318396240876</v>
      </c>
      <c r="CQ66" s="100">
        <v>10028.562701888513</v>
      </c>
      <c r="CR66" s="100">
        <v>10.748052678330014</v>
      </c>
      <c r="CS66" s="100">
        <v>12794.481908284048</v>
      </c>
      <c r="CT66" s="100">
        <v>4.5505576511785883E-4</v>
      </c>
      <c r="CU66" s="100">
        <v>0.54169838279629912</v>
      </c>
    </row>
    <row r="67" spans="2:99">
      <c r="C67" s="99" t="s">
        <v>233</v>
      </c>
      <c r="D67" s="100">
        <v>8.650820760033799</v>
      </c>
      <c r="E67" s="100">
        <v>9716.6018776699639</v>
      </c>
      <c r="F67" s="100">
        <v>1.7728378622290328</v>
      </c>
      <c r="G67" s="100">
        <v>1991.2514868556498</v>
      </c>
      <c r="H67" s="100">
        <v>10</v>
      </c>
      <c r="I67" s="100">
        <v>11232</v>
      </c>
      <c r="J67" s="100">
        <v>9</v>
      </c>
      <c r="K67" s="100">
        <v>10108.800000000001</v>
      </c>
      <c r="L67" s="100">
        <v>1.069217651824192</v>
      </c>
      <c r="M67" s="100">
        <v>1200.9452665289325</v>
      </c>
      <c r="N67" s="100">
        <v>6</v>
      </c>
      <c r="O67" s="100">
        <v>6739.2000000000007</v>
      </c>
      <c r="P67" s="100">
        <v>2.1528657270931824</v>
      </c>
      <c r="Q67" s="100">
        <v>2418.0987846710627</v>
      </c>
      <c r="R67" s="100">
        <v>9</v>
      </c>
      <c r="S67" s="100">
        <v>10108.800000000001</v>
      </c>
      <c r="T67" s="100">
        <v>7</v>
      </c>
      <c r="U67" s="100">
        <v>7862.4000000000005</v>
      </c>
      <c r="V67" s="100">
        <v>1.789557741732803</v>
      </c>
      <c r="W67" s="100">
        <v>2010.0312555142843</v>
      </c>
      <c r="X67" s="100">
        <v>5.1242648499157317</v>
      </c>
      <c r="Y67" s="100">
        <v>5755.5742794253501</v>
      </c>
      <c r="Z67" s="100">
        <v>9</v>
      </c>
      <c r="AA67" s="100">
        <v>10108.800000000001</v>
      </c>
      <c r="AB67" s="100">
        <v>1.097652334571011</v>
      </c>
      <c r="AC67" s="100">
        <v>1232.8831021901597</v>
      </c>
      <c r="AD67" s="100">
        <v>6.9933590934460224</v>
      </c>
      <c r="AE67" s="100">
        <v>7854.940933758573</v>
      </c>
      <c r="AF67" s="100">
        <v>4.1711560546398472</v>
      </c>
      <c r="AG67" s="100">
        <v>4685.0424805714765</v>
      </c>
      <c r="AH67" s="100">
        <v>10.380517974200741</v>
      </c>
      <c r="AI67" s="100">
        <v>11659.397788622273</v>
      </c>
      <c r="AJ67" s="100">
        <v>8.2271556692776837</v>
      </c>
      <c r="AK67" s="100">
        <v>9240.7412477326943</v>
      </c>
      <c r="AL67" s="100">
        <v>9</v>
      </c>
      <c r="AM67" s="100">
        <v>10108.800000000001</v>
      </c>
      <c r="AN67" s="100">
        <v>6</v>
      </c>
      <c r="AO67" s="100">
        <v>6739.2000000000007</v>
      </c>
      <c r="AP67" s="100">
        <v>2.2807533929578026</v>
      </c>
      <c r="AQ67" s="100">
        <v>2561.7422109702038</v>
      </c>
      <c r="AR67" s="100">
        <v>3.3805667268419763</v>
      </c>
      <c r="AS67" s="100">
        <v>3797.0525475889081</v>
      </c>
      <c r="AT67" s="100">
        <v>2.6046028277316746</v>
      </c>
      <c r="AU67" s="100">
        <v>2925.4898961082172</v>
      </c>
      <c r="AV67" s="100">
        <v>8.7575189631225214</v>
      </c>
      <c r="AW67" s="100">
        <v>9836.4452993792165</v>
      </c>
      <c r="AX67" s="100">
        <v>11</v>
      </c>
      <c r="AY67" s="100">
        <v>12355.2</v>
      </c>
      <c r="AZ67" s="100">
        <v>6.9087145956683313</v>
      </c>
      <c r="BA67" s="100">
        <v>7759.8682338546705</v>
      </c>
      <c r="BB67" s="100">
        <v>5.4395667422291911</v>
      </c>
      <c r="BC67" s="100">
        <v>6109.721364871828</v>
      </c>
      <c r="BD67" s="100">
        <v>8.2362120234945486</v>
      </c>
      <c r="BE67" s="100">
        <v>9250.9133447890781</v>
      </c>
      <c r="BF67" s="100">
        <v>2.1437642389829619</v>
      </c>
      <c r="BG67" s="100">
        <v>2407.875993225663</v>
      </c>
      <c r="BH67" s="100">
        <v>4.4067271524255076E-4</v>
      </c>
      <c r="BI67" s="100">
        <v>0.49496359376043303</v>
      </c>
      <c r="BJ67" s="100">
        <v>8.5340146590539003</v>
      </c>
      <c r="BK67" s="100">
        <v>9585.4052650493413</v>
      </c>
      <c r="BL67" s="100">
        <v>10</v>
      </c>
      <c r="BM67" s="100">
        <v>11232</v>
      </c>
      <c r="BN67" s="100">
        <v>10</v>
      </c>
      <c r="BO67" s="100">
        <v>11232</v>
      </c>
      <c r="BP67" s="100">
        <v>4.6734406924823437</v>
      </c>
      <c r="BQ67" s="100">
        <v>5249.2085857961683</v>
      </c>
      <c r="BR67" s="100">
        <v>4.8972872211642047</v>
      </c>
      <c r="BS67" s="100">
        <v>5500.6330068116349</v>
      </c>
      <c r="BT67" s="100">
        <v>5.4859314374854269E-4</v>
      </c>
      <c r="BU67" s="100">
        <v>0.61617981905836317</v>
      </c>
      <c r="BV67" s="100">
        <v>4.6101469780750515</v>
      </c>
      <c r="BW67" s="100">
        <v>5178.117085773898</v>
      </c>
      <c r="BX67" s="100">
        <v>5.7056910474106441</v>
      </c>
      <c r="BY67" s="100">
        <v>6408.632184451636</v>
      </c>
      <c r="BZ67" s="100">
        <v>6.7393972786801255</v>
      </c>
      <c r="CA67" s="100">
        <v>7569.6910234135175</v>
      </c>
      <c r="CB67" s="100">
        <v>10.813339889251106</v>
      </c>
      <c r="CC67" s="100">
        <v>12145.543363606843</v>
      </c>
      <c r="CD67" s="100">
        <v>1.1875625889364534</v>
      </c>
      <c r="CE67" s="100">
        <v>1333.8702998934245</v>
      </c>
      <c r="CF67" s="100">
        <v>9.6217523517898869</v>
      </c>
      <c r="CG67" s="100">
        <v>10807.152241530401</v>
      </c>
      <c r="CH67" s="100">
        <v>5.5468535469513061</v>
      </c>
      <c r="CI67" s="100">
        <v>6230.2259039357068</v>
      </c>
      <c r="CJ67" s="100">
        <v>7.5496965639738791</v>
      </c>
      <c r="CK67" s="100">
        <v>8479.8191806554605</v>
      </c>
      <c r="CL67" s="100">
        <v>2.2497304442513255</v>
      </c>
      <c r="CM67" s="100">
        <v>2526.8972349830888</v>
      </c>
      <c r="CN67" s="100">
        <v>8.7812827091464669</v>
      </c>
      <c r="CO67" s="100">
        <v>9863.136738913312</v>
      </c>
      <c r="CP67" s="100">
        <v>8.4245318396240876</v>
      </c>
      <c r="CQ67" s="100">
        <v>9462.4341622657757</v>
      </c>
      <c r="CR67" s="100">
        <v>8.9567105652750119</v>
      </c>
      <c r="CS67" s="100">
        <v>10060.177306916894</v>
      </c>
      <c r="CT67" s="100">
        <v>5.1704532101118686E-4</v>
      </c>
      <c r="CU67" s="100">
        <v>0.58074530455976514</v>
      </c>
    </row>
    <row r="68" spans="2:99">
      <c r="C68" s="99" t="s">
        <v>234</v>
      </c>
      <c r="D68" s="100">
        <v>8.650820760033799</v>
      </c>
      <c r="E68" s="100">
        <v>8938.0280092669218</v>
      </c>
      <c r="F68" s="100">
        <v>1.7728378622290328</v>
      </c>
      <c r="G68" s="100">
        <v>1831.6960792550367</v>
      </c>
      <c r="H68" s="100">
        <v>9</v>
      </c>
      <c r="I68" s="100">
        <v>9298.8000000000011</v>
      </c>
      <c r="J68" s="100">
        <v>9</v>
      </c>
      <c r="K68" s="100">
        <v>9298.8000000000011</v>
      </c>
      <c r="L68" s="100">
        <v>1.069217651824192</v>
      </c>
      <c r="M68" s="100">
        <v>1104.7156778647552</v>
      </c>
      <c r="N68" s="100">
        <v>5</v>
      </c>
      <c r="O68" s="100">
        <v>5166</v>
      </c>
      <c r="P68" s="100">
        <v>2.5834388725118189</v>
      </c>
      <c r="Q68" s="100">
        <v>2669.2090430792114</v>
      </c>
      <c r="R68" s="100">
        <v>9</v>
      </c>
      <c r="S68" s="100">
        <v>9298.8000000000011</v>
      </c>
      <c r="T68" s="100">
        <v>8</v>
      </c>
      <c r="U68" s="100">
        <v>8265.6</v>
      </c>
      <c r="V68" s="100">
        <v>1.789557741732803</v>
      </c>
      <c r="W68" s="100">
        <v>1848.9710587583322</v>
      </c>
      <c r="X68" s="100">
        <v>5.1242648499157317</v>
      </c>
      <c r="Y68" s="100">
        <v>5294.3904429329341</v>
      </c>
      <c r="Z68" s="100">
        <v>9</v>
      </c>
      <c r="AA68" s="100">
        <v>9298.8000000000011</v>
      </c>
      <c r="AB68" s="100">
        <v>1.2089709694369537</v>
      </c>
      <c r="AC68" s="100">
        <v>1249.1088056222607</v>
      </c>
      <c r="AD68" s="100">
        <v>6.1623074458735694</v>
      </c>
      <c r="AE68" s="100">
        <v>6366.8960530765726</v>
      </c>
      <c r="AF68" s="100">
        <v>3.8179698274829503</v>
      </c>
      <c r="AG68" s="100">
        <v>3944.7264257553843</v>
      </c>
      <c r="AH68" s="100">
        <v>10.380517974200741</v>
      </c>
      <c r="AI68" s="100">
        <v>10725.151170944206</v>
      </c>
      <c r="AJ68" s="100">
        <v>8.2271556692776837</v>
      </c>
      <c r="AK68" s="100">
        <v>8500.2972374977035</v>
      </c>
      <c r="AL68" s="100">
        <v>9.4487924371102672</v>
      </c>
      <c r="AM68" s="100">
        <v>9762.492346022329</v>
      </c>
      <c r="AN68" s="100">
        <v>5</v>
      </c>
      <c r="AO68" s="100">
        <v>5166</v>
      </c>
      <c r="AP68" s="100">
        <v>2.8509417411972531</v>
      </c>
      <c r="AQ68" s="100">
        <v>2945.5930070050022</v>
      </c>
      <c r="AR68" s="100">
        <v>3.3763996169080435</v>
      </c>
      <c r="AS68" s="100">
        <v>3488.4960841893908</v>
      </c>
      <c r="AT68" s="100">
        <v>2.3744787503706895</v>
      </c>
      <c r="AU68" s="100">
        <v>2453.3114448829965</v>
      </c>
      <c r="AV68" s="100">
        <v>7.6312658026021012</v>
      </c>
      <c r="AW68" s="100">
        <v>7884.6238272484916</v>
      </c>
      <c r="AX68" s="100">
        <v>10</v>
      </c>
      <c r="AY68" s="100">
        <v>10332</v>
      </c>
      <c r="AZ68" s="100">
        <v>6.9087145956683313</v>
      </c>
      <c r="BA68" s="100">
        <v>7138.0839202445204</v>
      </c>
      <c r="BB68" s="100">
        <v>5.4395667422291911</v>
      </c>
      <c r="BC68" s="100">
        <v>5620.1603580712008</v>
      </c>
      <c r="BD68" s="100">
        <v>7.412590821145093</v>
      </c>
      <c r="BE68" s="100">
        <v>7658.6888364071101</v>
      </c>
      <c r="BF68" s="100">
        <v>2.450016273123385</v>
      </c>
      <c r="BG68" s="100">
        <v>2531.3568133910817</v>
      </c>
      <c r="BH68" s="100">
        <v>5.0181884309166962E-4</v>
      </c>
      <c r="BI68" s="100">
        <v>0.51847922868231311</v>
      </c>
      <c r="BJ68" s="100">
        <v>8.5340146590539003</v>
      </c>
      <c r="BK68" s="100">
        <v>8817.3439457344903</v>
      </c>
      <c r="BL68" s="100">
        <v>10</v>
      </c>
      <c r="BM68" s="100">
        <v>10332</v>
      </c>
      <c r="BN68" s="100">
        <v>11</v>
      </c>
      <c r="BO68" s="100">
        <v>11365.2</v>
      </c>
      <c r="BP68" s="100">
        <v>5.4523474745627345</v>
      </c>
      <c r="BQ68" s="100">
        <v>5633.3654107182174</v>
      </c>
      <c r="BR68" s="100">
        <v>4.8972872211642047</v>
      </c>
      <c r="BS68" s="100">
        <v>5059.8771569068567</v>
      </c>
      <c r="BT68" s="100">
        <v>5.4859314374854269E-4</v>
      </c>
      <c r="BU68" s="100">
        <v>0.56680643612099435</v>
      </c>
      <c r="BV68" s="100">
        <v>5.198611189076086</v>
      </c>
      <c r="BW68" s="100">
        <v>5371.2050805534127</v>
      </c>
      <c r="BX68" s="100">
        <v>5.7056910474106441</v>
      </c>
      <c r="BY68" s="100">
        <v>5895.1199901846776</v>
      </c>
      <c r="BZ68" s="100">
        <v>6.92953081569327</v>
      </c>
      <c r="CA68" s="100">
        <v>7159.5912387742865</v>
      </c>
      <c r="CB68" s="100">
        <v>9.9760078671013286</v>
      </c>
      <c r="CC68" s="100">
        <v>10307.211328289093</v>
      </c>
      <c r="CD68" s="100">
        <v>1.1875625889364534</v>
      </c>
      <c r="CE68" s="100">
        <v>1226.9896668891438</v>
      </c>
      <c r="CF68" s="100">
        <v>8.6220611223983443</v>
      </c>
      <c r="CG68" s="100">
        <v>8908.3135516619695</v>
      </c>
      <c r="CH68" s="100">
        <v>4.853496853582393</v>
      </c>
      <c r="CI68" s="100">
        <v>5014.6329491213282</v>
      </c>
      <c r="CJ68" s="100">
        <v>7.4397572511791026</v>
      </c>
      <c r="CK68" s="100">
        <v>7686.7571919182492</v>
      </c>
      <c r="CL68" s="100">
        <v>2.5458923789790178</v>
      </c>
      <c r="CM68" s="100">
        <v>2630.4160059611213</v>
      </c>
      <c r="CN68" s="100">
        <v>9.7812827091464669</v>
      </c>
      <c r="CO68" s="100">
        <v>10106.02129509013</v>
      </c>
      <c r="CP68" s="100">
        <v>9.3605909329156525</v>
      </c>
      <c r="CQ68" s="100">
        <v>9671.3625518884528</v>
      </c>
      <c r="CR68" s="100">
        <v>10.748052678330014</v>
      </c>
      <c r="CS68" s="100">
        <v>11104.88802725057</v>
      </c>
      <c r="CT68" s="100">
        <v>5.1704532101118686E-4</v>
      </c>
      <c r="CU68" s="100">
        <v>0.53421122566875834</v>
      </c>
    </row>
    <row r="69" spans="2:99">
      <c r="C69" s="99" t="s">
        <v>235</v>
      </c>
      <c r="D69" s="100">
        <v>8.650820760033799</v>
      </c>
      <c r="E69" s="100">
        <v>6560.7824644096327</v>
      </c>
      <c r="F69" s="100">
        <v>2.0683108392672049</v>
      </c>
      <c r="G69" s="100">
        <v>1568.6069405002481</v>
      </c>
      <c r="H69" s="100">
        <v>9</v>
      </c>
      <c r="I69" s="100">
        <v>6825.5999999999995</v>
      </c>
      <c r="J69" s="100">
        <v>9</v>
      </c>
      <c r="K69" s="100">
        <v>6825.5999999999995</v>
      </c>
      <c r="L69" s="100">
        <v>1.2219630306562195</v>
      </c>
      <c r="M69" s="100">
        <v>926.7367624496768</v>
      </c>
      <c r="N69" s="100">
        <v>6</v>
      </c>
      <c r="O69" s="100">
        <v>4550.3999999999996</v>
      </c>
      <c r="P69" s="100">
        <v>2.5834388725118189</v>
      </c>
      <c r="Q69" s="100">
        <v>1959.2800409129634</v>
      </c>
      <c r="R69" s="100">
        <v>9</v>
      </c>
      <c r="S69" s="100">
        <v>6825.5999999999995</v>
      </c>
      <c r="T69" s="100">
        <v>7</v>
      </c>
      <c r="U69" s="100">
        <v>5308.8</v>
      </c>
      <c r="V69" s="100">
        <v>2.1474692900793637</v>
      </c>
      <c r="W69" s="100">
        <v>1628.6407095961895</v>
      </c>
      <c r="X69" s="100">
        <v>5.6410704283254809</v>
      </c>
      <c r="Y69" s="100">
        <v>4278.1878128420449</v>
      </c>
      <c r="Z69" s="100">
        <v>10</v>
      </c>
      <c r="AA69" s="100">
        <v>7584</v>
      </c>
      <c r="AB69" s="100">
        <v>1.3099335949106199</v>
      </c>
      <c r="AC69" s="100">
        <v>993.4536383802141</v>
      </c>
      <c r="AD69" s="100">
        <v>6.1623074458735694</v>
      </c>
      <c r="AE69" s="100">
        <v>4673.4939669505147</v>
      </c>
      <c r="AF69" s="100">
        <v>3.834739495293678</v>
      </c>
      <c r="AG69" s="100">
        <v>2908.2664332307254</v>
      </c>
      <c r="AH69" s="100">
        <v>10.53867698452002</v>
      </c>
      <c r="AI69" s="100">
        <v>7992.5326250599828</v>
      </c>
      <c r="AJ69" s="100">
        <v>8.2271556692776837</v>
      </c>
      <c r="AK69" s="100">
        <v>6239.4748595801948</v>
      </c>
      <c r="AL69" s="100">
        <v>10.53855092453232</v>
      </c>
      <c r="AM69" s="100">
        <v>7992.4370211653113</v>
      </c>
      <c r="AN69" s="100">
        <v>5</v>
      </c>
      <c r="AO69" s="100">
        <v>3792</v>
      </c>
      <c r="AP69" s="100">
        <v>2.5658475670775278</v>
      </c>
      <c r="AQ69" s="100">
        <v>1945.9387948715971</v>
      </c>
      <c r="AR69" s="100">
        <v>3.8731248646425662</v>
      </c>
      <c r="AS69" s="100">
        <v>2937.3778973449221</v>
      </c>
      <c r="AT69" s="100">
        <v>2.4859693383963473</v>
      </c>
      <c r="AU69" s="100">
        <v>1885.3591462397897</v>
      </c>
      <c r="AV69" s="100">
        <v>8.6312658026021012</v>
      </c>
      <c r="AW69" s="100">
        <v>6545.9519846934336</v>
      </c>
      <c r="AX69" s="100">
        <v>11</v>
      </c>
      <c r="AY69" s="100">
        <v>8342.4</v>
      </c>
      <c r="AZ69" s="100">
        <v>7.8956738236209505</v>
      </c>
      <c r="BA69" s="100">
        <v>5988.0790278341283</v>
      </c>
      <c r="BB69" s="100">
        <v>5.4395667422291911</v>
      </c>
      <c r="BC69" s="100">
        <v>4125.3674173066183</v>
      </c>
      <c r="BD69" s="100">
        <v>7.412590821145093</v>
      </c>
      <c r="BE69" s="100">
        <v>5621.708878756438</v>
      </c>
      <c r="BF69" s="100">
        <v>2.1437642389829619</v>
      </c>
      <c r="BG69" s="100">
        <v>1625.8307988446782</v>
      </c>
      <c r="BH69" s="100">
        <v>5.6296497094078849E-4</v>
      </c>
      <c r="BI69" s="100">
        <v>0.42695263396149397</v>
      </c>
      <c r="BJ69" s="100">
        <v>9.64081759086468</v>
      </c>
      <c r="BK69" s="100">
        <v>7311.5960609117728</v>
      </c>
      <c r="BL69" s="100">
        <v>10</v>
      </c>
      <c r="BM69" s="100">
        <v>7584</v>
      </c>
      <c r="BN69" s="100">
        <v>11</v>
      </c>
      <c r="BO69" s="100">
        <v>8342.4</v>
      </c>
      <c r="BP69" s="100">
        <v>5.4523474745627345</v>
      </c>
      <c r="BQ69" s="100">
        <v>4135.0603247083773</v>
      </c>
      <c r="BR69" s="100">
        <v>5.7135017580249059</v>
      </c>
      <c r="BS69" s="100">
        <v>4333.1197332860884</v>
      </c>
      <c r="BT69" s="100">
        <v>4.9373382937368843E-4</v>
      </c>
      <c r="BU69" s="100">
        <v>0.37444773619700528</v>
      </c>
      <c r="BV69" s="100">
        <v>5.198611189076086</v>
      </c>
      <c r="BW69" s="100">
        <v>3942.6267257953036</v>
      </c>
      <c r="BX69" s="100">
        <v>5.1473404689464486</v>
      </c>
      <c r="BY69" s="100">
        <v>3903.7430116489863</v>
      </c>
      <c r="BZ69" s="100">
        <v>7.5569208807428714</v>
      </c>
      <c r="CA69" s="100">
        <v>5731.1687959553938</v>
      </c>
      <c r="CB69" s="100">
        <v>10.813339889251106</v>
      </c>
      <c r="CC69" s="100">
        <v>8200.8369720080391</v>
      </c>
      <c r="CD69" s="100">
        <v>1.3572143873559466</v>
      </c>
      <c r="CE69" s="100">
        <v>1029.3113913707498</v>
      </c>
      <c r="CF69" s="100">
        <v>9.7258408996675545</v>
      </c>
      <c r="CG69" s="100">
        <v>7376.077738307873</v>
      </c>
      <c r="CH69" s="100">
        <v>4.853496853582393</v>
      </c>
      <c r="CI69" s="100">
        <v>3680.8920137568866</v>
      </c>
      <c r="CJ69" s="100">
        <v>7.5496965639738791</v>
      </c>
      <c r="CK69" s="100">
        <v>5725.6898741177902</v>
      </c>
      <c r="CL69" s="100">
        <v>2.5309467497827409</v>
      </c>
      <c r="CM69" s="100">
        <v>1919.4700150352307</v>
      </c>
      <c r="CN69" s="100">
        <v>8.7812827091464669</v>
      </c>
      <c r="CO69" s="100">
        <v>6659.7248066166803</v>
      </c>
      <c r="CP69" s="100">
        <v>8.4245318396240876</v>
      </c>
      <c r="CQ69" s="100">
        <v>6389.1649471709079</v>
      </c>
      <c r="CR69" s="100">
        <v>8.9567105652750119</v>
      </c>
      <c r="CS69" s="100">
        <v>6792.7692927045691</v>
      </c>
      <c r="CT69" s="100">
        <v>4.5505576511785883E-4</v>
      </c>
      <c r="CU69" s="100">
        <v>0.34511429226538415</v>
      </c>
    </row>
    <row r="70" spans="2:99">
      <c r="C70" s="99" t="s">
        <v>236</v>
      </c>
      <c r="D70" s="100">
        <v>7.8643825091216337</v>
      </c>
      <c r="E70" s="100">
        <v>4209.0175188818976</v>
      </c>
      <c r="F70" s="100">
        <v>2.0683108392672049</v>
      </c>
      <c r="G70" s="100">
        <v>1106.9599611758078</v>
      </c>
      <c r="H70" s="100">
        <v>10</v>
      </c>
      <c r="I70" s="100">
        <v>5351.9999999999991</v>
      </c>
      <c r="J70" s="100">
        <v>10</v>
      </c>
      <c r="K70" s="100">
        <v>5351.9999999999991</v>
      </c>
      <c r="L70" s="100">
        <v>1.2219630306562195</v>
      </c>
      <c r="M70" s="100">
        <v>653.99461400720861</v>
      </c>
      <c r="N70" s="100">
        <v>6</v>
      </c>
      <c r="O70" s="100">
        <v>3211.2</v>
      </c>
      <c r="P70" s="100">
        <v>2.5834388725118189</v>
      </c>
      <c r="Q70" s="100">
        <v>1382.6564845683254</v>
      </c>
      <c r="R70" s="100">
        <v>10</v>
      </c>
      <c r="S70" s="100">
        <v>5351.9999999999991</v>
      </c>
      <c r="T70" s="100">
        <v>8</v>
      </c>
      <c r="U70" s="100">
        <v>4281.5999999999995</v>
      </c>
      <c r="V70" s="100">
        <v>2.1474692900793637</v>
      </c>
      <c r="W70" s="100">
        <v>1149.3255640504754</v>
      </c>
      <c r="X70" s="100">
        <v>5.1491603575066778</v>
      </c>
      <c r="Y70" s="100">
        <v>2755.8306233375738</v>
      </c>
      <c r="Z70" s="100">
        <v>10</v>
      </c>
      <c r="AA70" s="100">
        <v>5351.9999999999991</v>
      </c>
      <c r="AB70" s="100">
        <v>1.3099335949106199</v>
      </c>
      <c r="AC70" s="100">
        <v>701.07645999616363</v>
      </c>
      <c r="AD70" s="100">
        <v>7.5813578736654481</v>
      </c>
      <c r="AE70" s="100">
        <v>4057.5427339857474</v>
      </c>
      <c r="AF70" s="100">
        <v>3.4983229359475096</v>
      </c>
      <c r="AG70" s="100">
        <v>1872.302435319107</v>
      </c>
      <c r="AH70" s="100">
        <v>11.339490266461176</v>
      </c>
      <c r="AI70" s="100">
        <v>6068.895190610021</v>
      </c>
      <c r="AJ70" s="100">
        <v>7.4792324266160763</v>
      </c>
      <c r="AK70" s="100">
        <v>4002.8851947249236</v>
      </c>
      <c r="AL70" s="100">
        <v>10</v>
      </c>
      <c r="AM70" s="100">
        <v>5351.9999999999991</v>
      </c>
      <c r="AN70" s="100">
        <v>6</v>
      </c>
      <c r="AO70" s="100">
        <v>3211.2</v>
      </c>
      <c r="AP70" s="100">
        <v>2.5658475670775278</v>
      </c>
      <c r="AQ70" s="100">
        <v>1373.2416178998926</v>
      </c>
      <c r="AR70" s="100">
        <v>3.7847475966877338</v>
      </c>
      <c r="AS70" s="100">
        <v>2025.5969137472748</v>
      </c>
      <c r="AT70" s="100">
        <v>2.7160934157573324</v>
      </c>
      <c r="AU70" s="100">
        <v>1453.6531961133242</v>
      </c>
      <c r="AV70" s="100">
        <v>7.6312658026021012</v>
      </c>
      <c r="AW70" s="100">
        <v>4084.2534575526442</v>
      </c>
      <c r="AX70" s="100">
        <v>10</v>
      </c>
      <c r="AY70" s="100">
        <v>5351.9999999999991</v>
      </c>
      <c r="AZ70" s="100">
        <v>7.8956738236209505</v>
      </c>
      <c r="BA70" s="100">
        <v>4225.7646304019318</v>
      </c>
      <c r="BB70" s="100">
        <v>4.6624857790535916</v>
      </c>
      <c r="BC70" s="100">
        <v>2495.362388949482</v>
      </c>
      <c r="BD70" s="100">
        <v>8.2362120234945486</v>
      </c>
      <c r="BE70" s="100">
        <v>4408.020674974282</v>
      </c>
      <c r="BF70" s="100">
        <v>2.1437642389829619</v>
      </c>
      <c r="BG70" s="100">
        <v>1147.342620703681</v>
      </c>
      <c r="BH70" s="100">
        <v>5.6296497094078849E-4</v>
      </c>
      <c r="BI70" s="100">
        <v>0.30129885244750998</v>
      </c>
      <c r="BJ70" s="100">
        <v>9.64081759086468</v>
      </c>
      <c r="BK70" s="100">
        <v>5159.7655746307764</v>
      </c>
      <c r="BL70" s="100">
        <v>9</v>
      </c>
      <c r="BM70" s="100">
        <v>4816.7999999999993</v>
      </c>
      <c r="BN70" s="100">
        <v>11</v>
      </c>
      <c r="BO70" s="100">
        <v>5887.1999999999989</v>
      </c>
      <c r="BP70" s="100">
        <v>5.4523474745627345</v>
      </c>
      <c r="BQ70" s="100">
        <v>2918.096368385975</v>
      </c>
      <c r="BR70" s="100">
        <v>4.8972872211642047</v>
      </c>
      <c r="BS70" s="100">
        <v>2621.0281207670819</v>
      </c>
      <c r="BT70" s="100">
        <v>5.4859314374854269E-4</v>
      </c>
      <c r="BU70" s="100">
        <v>0.29360705053421998</v>
      </c>
      <c r="BV70" s="100">
        <v>4.6074167312771452</v>
      </c>
      <c r="BW70" s="100">
        <v>2465.8894345795279</v>
      </c>
      <c r="BX70" s="100">
        <v>5.7094911296298747</v>
      </c>
      <c r="BY70" s="100">
        <v>3055.7196525779086</v>
      </c>
      <c r="BZ70" s="100">
        <v>6.92953081569327</v>
      </c>
      <c r="CA70" s="100">
        <v>3708.6848925590375</v>
      </c>
      <c r="CB70" s="100">
        <v>10.976007867101329</v>
      </c>
      <c r="CC70" s="100">
        <v>5874.3594104726299</v>
      </c>
      <c r="CD70" s="100">
        <v>1.1875625889364534</v>
      </c>
      <c r="CE70" s="100">
        <v>635.58349759878979</v>
      </c>
      <c r="CF70" s="100">
        <v>10.725532129059097</v>
      </c>
      <c r="CG70" s="100">
        <v>5740.3047954724279</v>
      </c>
      <c r="CH70" s="100">
        <v>4.853496853582393</v>
      </c>
      <c r="CI70" s="100">
        <v>2597.5915160372965</v>
      </c>
      <c r="CJ70" s="100">
        <v>7.5496965639738791</v>
      </c>
      <c r="CK70" s="100">
        <v>4040.5976010388194</v>
      </c>
      <c r="CL70" s="100">
        <v>2.5309467497827409</v>
      </c>
      <c r="CM70" s="100">
        <v>1354.5627004837227</v>
      </c>
      <c r="CN70" s="100">
        <v>8.7812827091464669</v>
      </c>
      <c r="CO70" s="100">
        <v>4699.7425059351881</v>
      </c>
      <c r="CP70" s="100">
        <v>9.3605909329156525</v>
      </c>
      <c r="CQ70" s="100">
        <v>5009.788267296457</v>
      </c>
      <c r="CR70" s="100">
        <v>9.8523816218025129</v>
      </c>
      <c r="CS70" s="100">
        <v>5272.9946439887044</v>
      </c>
      <c r="CT70" s="100">
        <v>4.5505576511785883E-4</v>
      </c>
      <c r="CU70" s="100">
        <v>0.24354584549107802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4.0552575043326131</v>
      </c>
      <c r="G71" s="100">
        <v>2287.1652324435936</v>
      </c>
      <c r="H71" s="100">
        <v>5</v>
      </c>
      <c r="I71" s="100">
        <v>2820</v>
      </c>
      <c r="J71" s="100">
        <v>7.8049799186418474</v>
      </c>
      <c r="K71" s="100">
        <v>4402.0086741140021</v>
      </c>
      <c r="L71" s="100">
        <v>2.0578519734548775</v>
      </c>
      <c r="M71" s="100">
        <v>1160.628513028551</v>
      </c>
      <c r="N71" s="100">
        <v>7.7532174129678983</v>
      </c>
      <c r="O71" s="100">
        <v>4372.8146209138949</v>
      </c>
      <c r="P71" s="100">
        <v>6</v>
      </c>
      <c r="Q71" s="100">
        <v>3384</v>
      </c>
      <c r="R71" s="100">
        <v>9</v>
      </c>
      <c r="S71" s="100">
        <v>5076</v>
      </c>
      <c r="T71" s="100">
        <v>5</v>
      </c>
      <c r="U71" s="100">
        <v>2820</v>
      </c>
      <c r="V71" s="100">
        <v>4.7877290117727913</v>
      </c>
      <c r="W71" s="100">
        <v>2700.2791626398543</v>
      </c>
      <c r="X71" s="100">
        <v>7</v>
      </c>
      <c r="Y71" s="100">
        <v>3948</v>
      </c>
      <c r="Z71" s="100">
        <v>2.8297497271541037</v>
      </c>
      <c r="AA71" s="100">
        <v>1595.9788461149144</v>
      </c>
      <c r="AB71" s="100">
        <v>5</v>
      </c>
      <c r="AC71" s="100">
        <v>2820</v>
      </c>
      <c r="AD71" s="100">
        <v>6</v>
      </c>
      <c r="AE71" s="100">
        <v>3384</v>
      </c>
      <c r="AF71" s="100">
        <v>8</v>
      </c>
      <c r="AG71" s="100">
        <v>4512</v>
      </c>
      <c r="AH71" s="100">
        <v>0.65168604224854287</v>
      </c>
      <c r="AI71" s="100">
        <v>367.5509278281782</v>
      </c>
      <c r="AJ71" s="100">
        <v>6.8421052631578574</v>
      </c>
      <c r="AK71" s="100">
        <v>3858.9473684210316</v>
      </c>
      <c r="AL71" s="100">
        <v>5</v>
      </c>
      <c r="AM71" s="100">
        <v>2820</v>
      </c>
      <c r="AN71" s="100">
        <v>5</v>
      </c>
      <c r="AO71" s="100">
        <v>2820</v>
      </c>
      <c r="AP71" s="100">
        <v>7</v>
      </c>
      <c r="AQ71" s="100">
        <v>3948</v>
      </c>
      <c r="AR71" s="100">
        <v>4.9303165625932497</v>
      </c>
      <c r="AS71" s="100">
        <v>2780.6985413025927</v>
      </c>
      <c r="AT71" s="100">
        <v>5.585045994126877E-4</v>
      </c>
      <c r="AU71" s="100">
        <v>0.31499659406875585</v>
      </c>
      <c r="AV71" s="100">
        <v>5</v>
      </c>
      <c r="AW71" s="100">
        <v>2820</v>
      </c>
      <c r="AX71" s="100">
        <v>7</v>
      </c>
      <c r="AY71" s="100">
        <v>3948</v>
      </c>
      <c r="AZ71" s="100">
        <v>0.22752623326681642</v>
      </c>
      <c r="BA71" s="100">
        <v>128.32479556248447</v>
      </c>
      <c r="BB71" s="100">
        <v>4.973324663005787</v>
      </c>
      <c r="BC71" s="100">
        <v>2804.9551099352639</v>
      </c>
      <c r="BD71" s="100">
        <v>8.2182977060158997</v>
      </c>
      <c r="BE71" s="100">
        <v>4635.1199061929674</v>
      </c>
      <c r="BF71" s="100">
        <v>1.6042626013376355</v>
      </c>
      <c r="BG71" s="100">
        <v>904.80410715442645</v>
      </c>
      <c r="BH71" s="100">
        <v>5.8607336107633161</v>
      </c>
      <c r="BI71" s="100">
        <v>3305.4537564705101</v>
      </c>
      <c r="BJ71" s="100">
        <v>8.3569176458616443</v>
      </c>
      <c r="BK71" s="100">
        <v>4713.3015522659671</v>
      </c>
      <c r="BL71" s="100">
        <v>6</v>
      </c>
      <c r="BM71" s="100">
        <v>3384</v>
      </c>
      <c r="BN71" s="100">
        <v>5.1455479878318489</v>
      </c>
      <c r="BO71" s="100">
        <v>2902.0890651371628</v>
      </c>
      <c r="BP71" s="100">
        <v>8</v>
      </c>
      <c r="BQ71" s="100">
        <v>4512</v>
      </c>
      <c r="BR71" s="100">
        <v>5</v>
      </c>
      <c r="BS71" s="100">
        <v>2820</v>
      </c>
      <c r="BT71" s="100">
        <v>6</v>
      </c>
      <c r="BU71" s="100">
        <v>3384</v>
      </c>
      <c r="BV71" s="100">
        <v>9</v>
      </c>
      <c r="BW71" s="100">
        <v>5076</v>
      </c>
      <c r="BX71" s="100">
        <v>5.5509290814750898</v>
      </c>
      <c r="BY71" s="100">
        <v>3130.7240019519504</v>
      </c>
      <c r="BZ71" s="100">
        <v>5.5822373369300546</v>
      </c>
      <c r="CA71" s="100">
        <v>3148.3818580285506</v>
      </c>
      <c r="CB71" s="100">
        <v>7</v>
      </c>
      <c r="CC71" s="100">
        <v>3948</v>
      </c>
      <c r="CD71" s="100">
        <v>5</v>
      </c>
      <c r="CE71" s="100">
        <v>2820</v>
      </c>
      <c r="CF71" s="100">
        <v>8</v>
      </c>
      <c r="CG71" s="100">
        <v>4512</v>
      </c>
      <c r="CH71" s="100">
        <v>7</v>
      </c>
      <c r="CI71" s="100">
        <v>3948</v>
      </c>
      <c r="CJ71" s="100">
        <v>6</v>
      </c>
      <c r="CK71" s="100">
        <v>3384</v>
      </c>
      <c r="CL71" s="100">
        <v>6</v>
      </c>
      <c r="CM71" s="100">
        <v>3384</v>
      </c>
      <c r="CN71" s="100">
        <v>5.6041125030130923</v>
      </c>
      <c r="CO71" s="100">
        <v>3160.7194516993841</v>
      </c>
      <c r="CP71" s="100">
        <v>7.4473511793335403</v>
      </c>
      <c r="CQ71" s="100">
        <v>4200.3060651441165</v>
      </c>
      <c r="CR71" s="100">
        <v>7.4522292993630153</v>
      </c>
      <c r="CS71" s="100">
        <v>4203.0573248407409</v>
      </c>
      <c r="CT71" s="100">
        <v>7</v>
      </c>
      <c r="CU71" s="100">
        <v>3948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4.5296900542207794</v>
      </c>
      <c r="G72" s="100">
        <v>337.00894003402595</v>
      </c>
      <c r="H72" s="100">
        <v>5</v>
      </c>
      <c r="I72" s="100">
        <v>371.99999999999994</v>
      </c>
      <c r="J72" s="100">
        <v>6.9377599276816415</v>
      </c>
      <c r="K72" s="100">
        <v>516.16933861951406</v>
      </c>
      <c r="L72" s="100">
        <v>2.376276641641847</v>
      </c>
      <c r="M72" s="100">
        <v>176.79498213815339</v>
      </c>
      <c r="N72" s="100">
        <v>7.7532174129678983</v>
      </c>
      <c r="O72" s="100">
        <v>576.83937552481154</v>
      </c>
      <c r="P72" s="100">
        <v>5</v>
      </c>
      <c r="Q72" s="100">
        <v>371.99999999999994</v>
      </c>
      <c r="R72" s="100">
        <v>9</v>
      </c>
      <c r="S72" s="100">
        <v>669.59999999999991</v>
      </c>
      <c r="T72" s="100">
        <v>6</v>
      </c>
      <c r="U72" s="100">
        <v>446.4</v>
      </c>
      <c r="V72" s="100">
        <v>4.7877290117727913</v>
      </c>
      <c r="W72" s="100">
        <v>356.20703847589562</v>
      </c>
      <c r="X72" s="100">
        <v>7</v>
      </c>
      <c r="Y72" s="100">
        <v>520.79999999999995</v>
      </c>
      <c r="Z72" s="100">
        <v>2.39424372839862</v>
      </c>
      <c r="AA72" s="100">
        <v>178.13173339285731</v>
      </c>
      <c r="AB72" s="100">
        <v>5</v>
      </c>
      <c r="AC72" s="100">
        <v>371.99999999999994</v>
      </c>
      <c r="AD72" s="100">
        <v>6</v>
      </c>
      <c r="AE72" s="100">
        <v>446.4</v>
      </c>
      <c r="AF72" s="100">
        <v>9</v>
      </c>
      <c r="AG72" s="100">
        <v>669.59999999999991</v>
      </c>
      <c r="AH72" s="100">
        <v>0.76030038262330002</v>
      </c>
      <c r="AI72" s="100">
        <v>56.566348467173512</v>
      </c>
      <c r="AJ72" s="100">
        <v>6.8421052631578574</v>
      </c>
      <c r="AK72" s="100">
        <v>509.05263157894456</v>
      </c>
      <c r="AL72" s="100">
        <v>5</v>
      </c>
      <c r="AM72" s="100">
        <v>371.99999999999994</v>
      </c>
      <c r="AN72" s="100">
        <v>6</v>
      </c>
      <c r="AO72" s="100">
        <v>446.4</v>
      </c>
      <c r="AP72" s="100">
        <v>8</v>
      </c>
      <c r="AQ72" s="100">
        <v>595.19999999999993</v>
      </c>
      <c r="AR72" s="100">
        <v>5.9163798751118994</v>
      </c>
      <c r="AS72" s="100">
        <v>440.17866270832525</v>
      </c>
      <c r="AT72" s="100">
        <v>5.585045994126877E-4</v>
      </c>
      <c r="AU72" s="100">
        <v>4.1552742196303963E-2</v>
      </c>
      <c r="AV72" s="100">
        <v>5</v>
      </c>
      <c r="AW72" s="100">
        <v>371.99999999999994</v>
      </c>
      <c r="AX72" s="100">
        <v>7</v>
      </c>
      <c r="AY72" s="100">
        <v>520.79999999999995</v>
      </c>
      <c r="AZ72" s="100">
        <v>0.2450867379341316</v>
      </c>
      <c r="BA72" s="100">
        <v>18.234453302299389</v>
      </c>
      <c r="BB72" s="100">
        <v>4.973324663005787</v>
      </c>
      <c r="BC72" s="100">
        <v>370.01535492763054</v>
      </c>
      <c r="BD72" s="100">
        <v>10.163723279511924</v>
      </c>
      <c r="BE72" s="100">
        <v>756.18101199568707</v>
      </c>
      <c r="BF72" s="100">
        <v>1.6042626013376355</v>
      </c>
      <c r="BG72" s="100">
        <v>119.35713753952007</v>
      </c>
      <c r="BH72" s="100">
        <v>6.0328803329159788</v>
      </c>
      <c r="BI72" s="100">
        <v>448.84629676894878</v>
      </c>
      <c r="BJ72" s="100">
        <v>8.3569176458616443</v>
      </c>
      <c r="BK72" s="100">
        <v>621.7546728521063</v>
      </c>
      <c r="BL72" s="100">
        <v>6</v>
      </c>
      <c r="BM72" s="100">
        <v>446.4</v>
      </c>
      <c r="BN72" s="100">
        <v>4.5738204336283097</v>
      </c>
      <c r="BO72" s="100">
        <v>340.29224026194618</v>
      </c>
      <c r="BP72" s="100">
        <v>10</v>
      </c>
      <c r="BQ72" s="100">
        <v>743.99999999999989</v>
      </c>
      <c r="BR72" s="100">
        <v>6</v>
      </c>
      <c r="BS72" s="100">
        <v>446.4</v>
      </c>
      <c r="BT72" s="100">
        <v>7</v>
      </c>
      <c r="BU72" s="100">
        <v>520.79999999999995</v>
      </c>
      <c r="BV72" s="100">
        <v>10</v>
      </c>
      <c r="BW72" s="100">
        <v>743.99999999999989</v>
      </c>
      <c r="BX72" s="100">
        <v>6.244795216659476</v>
      </c>
      <c r="BY72" s="100">
        <v>464.61276411946494</v>
      </c>
      <c r="BZ72" s="100">
        <v>6.2024859299222834</v>
      </c>
      <c r="CA72" s="100">
        <v>461.46495318621783</v>
      </c>
      <c r="CB72" s="100">
        <v>7</v>
      </c>
      <c r="CC72" s="100">
        <v>520.79999999999995</v>
      </c>
      <c r="CD72" s="100">
        <v>5</v>
      </c>
      <c r="CE72" s="100">
        <v>371.99999999999994</v>
      </c>
      <c r="CF72" s="100">
        <v>9</v>
      </c>
      <c r="CG72" s="100">
        <v>669.59999999999991</v>
      </c>
      <c r="CH72" s="100">
        <v>8</v>
      </c>
      <c r="CI72" s="100">
        <v>595.19999999999993</v>
      </c>
      <c r="CJ72" s="100">
        <v>6</v>
      </c>
      <c r="CK72" s="100">
        <v>446.4</v>
      </c>
      <c r="CL72" s="100">
        <v>6</v>
      </c>
      <c r="CM72" s="100">
        <v>446.4</v>
      </c>
      <c r="CN72" s="100">
        <v>6.2267916700145474</v>
      </c>
      <c r="CO72" s="100">
        <v>463.2733002490823</v>
      </c>
      <c r="CP72" s="100">
        <v>7.4473511793335403</v>
      </c>
      <c r="CQ72" s="100">
        <v>554.08292774241534</v>
      </c>
      <c r="CR72" s="100">
        <v>7.4522292993630153</v>
      </c>
      <c r="CS72" s="100">
        <v>554.44585987260825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4.2698929489934976</v>
      </c>
      <c r="G73" s="100">
        <v>2387.7241370771635</v>
      </c>
      <c r="H73" s="100">
        <v>4</v>
      </c>
      <c r="I73" s="100">
        <v>2236.7999999999997</v>
      </c>
      <c r="J73" s="100">
        <v>7.8049799186418474</v>
      </c>
      <c r="K73" s="100">
        <v>4364.5447705045208</v>
      </c>
      <c r="L73" s="100">
        <v>2.3876077158213134</v>
      </c>
      <c r="M73" s="100">
        <v>1335.1502346872783</v>
      </c>
      <c r="N73" s="100">
        <v>7.7532174129678983</v>
      </c>
      <c r="O73" s="100">
        <v>4335.5991773316482</v>
      </c>
      <c r="P73" s="100">
        <v>6</v>
      </c>
      <c r="Q73" s="100">
        <v>3355.2</v>
      </c>
      <c r="R73" s="100">
        <v>9</v>
      </c>
      <c r="S73" s="100">
        <v>5032.7999999999993</v>
      </c>
      <c r="T73" s="100">
        <v>6</v>
      </c>
      <c r="U73" s="100">
        <v>3355.2</v>
      </c>
      <c r="V73" s="100">
        <v>4.1892628853011926</v>
      </c>
      <c r="W73" s="100">
        <v>2342.6358054604266</v>
      </c>
      <c r="X73" s="100">
        <v>6</v>
      </c>
      <c r="Y73" s="100">
        <v>3355.2</v>
      </c>
      <c r="Z73" s="100">
        <v>2.3822040764752201</v>
      </c>
      <c r="AA73" s="100">
        <v>1332.128519564943</v>
      </c>
      <c r="AB73" s="100">
        <v>6</v>
      </c>
      <c r="AC73" s="100">
        <v>3355.2</v>
      </c>
      <c r="AD73" s="100">
        <v>6</v>
      </c>
      <c r="AE73" s="100">
        <v>3355.2</v>
      </c>
      <c r="AF73" s="100">
        <v>8</v>
      </c>
      <c r="AG73" s="100">
        <v>4473.5999999999995</v>
      </c>
      <c r="AH73" s="100">
        <v>0.65168604224854287</v>
      </c>
      <c r="AI73" s="100">
        <v>364.42283482538511</v>
      </c>
      <c r="AJ73" s="100">
        <v>7.6973684210525892</v>
      </c>
      <c r="AK73" s="100">
        <v>4304.3684210526071</v>
      </c>
      <c r="AL73" s="100">
        <v>5</v>
      </c>
      <c r="AM73" s="100">
        <v>2795.9999999999995</v>
      </c>
      <c r="AN73" s="100">
        <v>5</v>
      </c>
      <c r="AO73" s="100">
        <v>2795.9999999999995</v>
      </c>
      <c r="AP73" s="100">
        <v>7</v>
      </c>
      <c r="AQ73" s="100">
        <v>3914.3999999999996</v>
      </c>
      <c r="AR73" s="100">
        <v>4.9303165625932497</v>
      </c>
      <c r="AS73" s="100">
        <v>2757.033021802145</v>
      </c>
      <c r="AT73" s="100">
        <v>4.9933787463409386E-4</v>
      </c>
      <c r="AU73" s="100">
        <v>0.27922973949538527</v>
      </c>
      <c r="AV73" s="100">
        <v>5</v>
      </c>
      <c r="AW73" s="100">
        <v>2795.9999999999995</v>
      </c>
      <c r="AX73" s="100">
        <v>7</v>
      </c>
      <c r="AY73" s="100">
        <v>3914.3999999999996</v>
      </c>
      <c r="AZ73" s="100">
        <v>0.2450867379341316</v>
      </c>
      <c r="BA73" s="100">
        <v>137.05250385276636</v>
      </c>
      <c r="BB73" s="100">
        <v>4.973324663005787</v>
      </c>
      <c r="BC73" s="100">
        <v>2781.0831515528357</v>
      </c>
      <c r="BD73" s="100">
        <v>9.1637232795119239</v>
      </c>
      <c r="BE73" s="100">
        <v>5124.3540579030669</v>
      </c>
      <c r="BF73" s="100">
        <v>1.6042626013376355</v>
      </c>
      <c r="BG73" s="100">
        <v>897.10364666800569</v>
      </c>
      <c r="BH73" s="100">
        <v>5.8607336107633161</v>
      </c>
      <c r="BI73" s="100">
        <v>3277.3222351388458</v>
      </c>
      <c r="BJ73" s="100">
        <v>8.3569176458616443</v>
      </c>
      <c r="BK73" s="100">
        <v>4673.1883475658306</v>
      </c>
      <c r="BL73" s="100">
        <v>6</v>
      </c>
      <c r="BM73" s="100">
        <v>3355.2</v>
      </c>
      <c r="BN73" s="100">
        <v>4.5738204336283097</v>
      </c>
      <c r="BO73" s="100">
        <v>2557.6803864849503</v>
      </c>
      <c r="BP73" s="100">
        <v>10</v>
      </c>
      <c r="BQ73" s="100">
        <v>5591.9999999999991</v>
      </c>
      <c r="BR73" s="100">
        <v>4</v>
      </c>
      <c r="BS73" s="100">
        <v>2236.7999999999997</v>
      </c>
      <c r="BT73" s="100">
        <v>7</v>
      </c>
      <c r="BU73" s="100">
        <v>3914.3999999999996</v>
      </c>
      <c r="BV73" s="100">
        <v>9</v>
      </c>
      <c r="BW73" s="100">
        <v>5032.7999999999993</v>
      </c>
      <c r="BX73" s="100">
        <v>5.5509290814750898</v>
      </c>
      <c r="BY73" s="100">
        <v>3104.0795423608697</v>
      </c>
      <c r="BZ73" s="100">
        <v>5.5822373369300546</v>
      </c>
      <c r="CA73" s="100">
        <v>3121.587118811286</v>
      </c>
      <c r="CB73" s="100">
        <v>7</v>
      </c>
      <c r="CC73" s="100">
        <v>3914.3999999999996</v>
      </c>
      <c r="CD73" s="100">
        <v>5</v>
      </c>
      <c r="CE73" s="100">
        <v>2795.9999999999995</v>
      </c>
      <c r="CF73" s="100">
        <v>9</v>
      </c>
      <c r="CG73" s="100">
        <v>5032.7999999999993</v>
      </c>
      <c r="CH73" s="100">
        <v>8</v>
      </c>
      <c r="CI73" s="100">
        <v>4473.5999999999995</v>
      </c>
      <c r="CJ73" s="100">
        <v>6</v>
      </c>
      <c r="CK73" s="100">
        <v>3355.2</v>
      </c>
      <c r="CL73" s="100">
        <v>6</v>
      </c>
      <c r="CM73" s="100">
        <v>3355.2</v>
      </c>
      <c r="CN73" s="100">
        <v>5.6041125030130923</v>
      </c>
      <c r="CO73" s="100">
        <v>3133.819711684921</v>
      </c>
      <c r="CP73" s="100">
        <v>6.6198677149631457</v>
      </c>
      <c r="CQ73" s="100">
        <v>3701.8300262073908</v>
      </c>
      <c r="CR73" s="100">
        <v>6.624203821656014</v>
      </c>
      <c r="CS73" s="100">
        <v>3704.2547770700426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8</v>
      </c>
      <c r="E74" s="100">
        <v>3225.6</v>
      </c>
      <c r="F74" s="100">
        <v>3.7954603991053308</v>
      </c>
      <c r="G74" s="100">
        <v>1530.3296329192694</v>
      </c>
      <c r="H74" s="100">
        <v>5</v>
      </c>
      <c r="I74" s="100">
        <v>2016</v>
      </c>
      <c r="J74" s="100">
        <v>6.9377599276816415</v>
      </c>
      <c r="K74" s="100">
        <v>2797.3048028412377</v>
      </c>
      <c r="L74" s="100">
        <v>2.7173634581877493</v>
      </c>
      <c r="M74" s="100">
        <v>1095.6409463413004</v>
      </c>
      <c r="N74" s="100">
        <v>7.7532174129678983</v>
      </c>
      <c r="O74" s="100">
        <v>3126.0972609086566</v>
      </c>
      <c r="P74" s="100">
        <v>5</v>
      </c>
      <c r="Q74" s="100">
        <v>2016</v>
      </c>
      <c r="R74" s="100">
        <v>9</v>
      </c>
      <c r="S74" s="100">
        <v>3628.7999999999997</v>
      </c>
      <c r="T74" s="100">
        <v>6</v>
      </c>
      <c r="U74" s="100">
        <v>2419.1999999999998</v>
      </c>
      <c r="V74" s="100">
        <v>4.7877290117727913</v>
      </c>
      <c r="W74" s="100">
        <v>1930.4123375467893</v>
      </c>
      <c r="X74" s="100">
        <v>7</v>
      </c>
      <c r="Y74" s="100">
        <v>2822.4</v>
      </c>
      <c r="Z74" s="100">
        <v>2.39424372839862</v>
      </c>
      <c r="AA74" s="100">
        <v>965.35907129032353</v>
      </c>
      <c r="AB74" s="100">
        <v>5</v>
      </c>
      <c r="AC74" s="100">
        <v>2016</v>
      </c>
      <c r="AD74" s="100">
        <v>6</v>
      </c>
      <c r="AE74" s="100">
        <v>2419.1999999999998</v>
      </c>
      <c r="AF74" s="100">
        <v>9</v>
      </c>
      <c r="AG74" s="100">
        <v>3628.7999999999997</v>
      </c>
      <c r="AH74" s="100">
        <v>0.76030038262330002</v>
      </c>
      <c r="AI74" s="100">
        <v>306.55311427371458</v>
      </c>
      <c r="AJ74" s="100">
        <v>6.8421052631578574</v>
      </c>
      <c r="AK74" s="100">
        <v>2758.7368421052479</v>
      </c>
      <c r="AL74" s="100">
        <v>5</v>
      </c>
      <c r="AM74" s="100">
        <v>2016</v>
      </c>
      <c r="AN74" s="100">
        <v>5</v>
      </c>
      <c r="AO74" s="100">
        <v>2016</v>
      </c>
      <c r="AP74" s="100">
        <v>8</v>
      </c>
      <c r="AQ74" s="100">
        <v>3225.6</v>
      </c>
      <c r="AR74" s="100">
        <v>5.9163798751118994</v>
      </c>
      <c r="AS74" s="100">
        <v>2385.4843656451176</v>
      </c>
      <c r="AT74" s="100">
        <v>4.9933787463409386E-4</v>
      </c>
      <c r="AU74" s="100">
        <v>0.20133303105246664</v>
      </c>
      <c r="AV74" s="100">
        <v>5</v>
      </c>
      <c r="AW74" s="100">
        <v>2016</v>
      </c>
      <c r="AX74" s="100">
        <v>6</v>
      </c>
      <c r="AY74" s="100">
        <v>2419.1999999999998</v>
      </c>
      <c r="AZ74" s="100">
        <v>0.26253862440026376</v>
      </c>
      <c r="BA74" s="100">
        <v>105.85557335818635</v>
      </c>
      <c r="BB74" s="100">
        <v>4.973324663005787</v>
      </c>
      <c r="BC74" s="100">
        <v>2005.2445041239332</v>
      </c>
      <c r="BD74" s="100">
        <v>9.1637232795119239</v>
      </c>
      <c r="BE74" s="100">
        <v>3694.8132262992076</v>
      </c>
      <c r="BF74" s="100">
        <v>1.6042626013376355</v>
      </c>
      <c r="BG74" s="100">
        <v>646.83868085933466</v>
      </c>
      <c r="BH74" s="100">
        <v>6.0328803329159788</v>
      </c>
      <c r="BI74" s="100">
        <v>2432.4573502317226</v>
      </c>
      <c r="BJ74" s="100">
        <v>9.3569176458616443</v>
      </c>
      <c r="BK74" s="100">
        <v>3772.7091948114148</v>
      </c>
      <c r="BL74" s="100">
        <v>5</v>
      </c>
      <c r="BM74" s="100">
        <v>2016</v>
      </c>
      <c r="BN74" s="100">
        <v>5.1455479878318489</v>
      </c>
      <c r="BO74" s="100">
        <v>2074.6849486938013</v>
      </c>
      <c r="BP74" s="100">
        <v>9</v>
      </c>
      <c r="BQ74" s="100">
        <v>3628.7999999999997</v>
      </c>
      <c r="BR74" s="100">
        <v>5</v>
      </c>
      <c r="BS74" s="100">
        <v>2016</v>
      </c>
      <c r="BT74" s="100">
        <v>6</v>
      </c>
      <c r="BU74" s="100">
        <v>2419.1999999999998</v>
      </c>
      <c r="BV74" s="100">
        <v>10</v>
      </c>
      <c r="BW74" s="100">
        <v>4032</v>
      </c>
      <c r="BX74" s="100">
        <v>4.8570629462907036</v>
      </c>
      <c r="BY74" s="100">
        <v>1958.3677799444117</v>
      </c>
      <c r="BZ74" s="100">
        <v>5.5822373369300546</v>
      </c>
      <c r="CA74" s="100">
        <v>2250.7580942501982</v>
      </c>
      <c r="CB74" s="100">
        <v>7</v>
      </c>
      <c r="CC74" s="100">
        <v>2822.4</v>
      </c>
      <c r="CD74" s="100">
        <v>5</v>
      </c>
      <c r="CE74" s="100">
        <v>2016</v>
      </c>
      <c r="CF74" s="100">
        <v>8</v>
      </c>
      <c r="CG74" s="100">
        <v>3225.6</v>
      </c>
      <c r="CH74" s="100">
        <v>7</v>
      </c>
      <c r="CI74" s="100">
        <v>2822.4</v>
      </c>
      <c r="CJ74" s="100">
        <v>6</v>
      </c>
      <c r="CK74" s="100">
        <v>2419.1999999999998</v>
      </c>
      <c r="CL74" s="100">
        <v>5</v>
      </c>
      <c r="CM74" s="100">
        <v>2016</v>
      </c>
      <c r="CN74" s="100">
        <v>4.9814333360116381</v>
      </c>
      <c r="CO74" s="100">
        <v>2008.5139210798925</v>
      </c>
      <c r="CP74" s="100">
        <v>7.4473511793335403</v>
      </c>
      <c r="CQ74" s="100">
        <v>3002.7719955072835</v>
      </c>
      <c r="CR74" s="100">
        <v>7.4522292993630153</v>
      </c>
      <c r="CS74" s="100">
        <v>3004.7388535031678</v>
      </c>
      <c r="CT74" s="100">
        <v>8</v>
      </c>
      <c r="CU74" s="100">
        <v>3225.6</v>
      </c>
    </row>
    <row r="75" spans="2:99">
      <c r="C75" s="99" t="s">
        <v>241</v>
      </c>
      <c r="D75" s="100">
        <v>7</v>
      </c>
      <c r="E75" s="100">
        <v>4502.3999999999996</v>
      </c>
      <c r="F75" s="100">
        <v>4.0552575043326131</v>
      </c>
      <c r="G75" s="100">
        <v>2608.3416267867365</v>
      </c>
      <c r="H75" s="100">
        <v>5</v>
      </c>
      <c r="I75" s="100">
        <v>3215.9999999999995</v>
      </c>
      <c r="J75" s="100">
        <v>7.8049799186418474</v>
      </c>
      <c r="K75" s="100">
        <v>5020.1630836704353</v>
      </c>
      <c r="L75" s="100">
        <v>2.3876077158213134</v>
      </c>
      <c r="M75" s="100">
        <v>1535.7092828162686</v>
      </c>
      <c r="N75" s="100">
        <v>7.9038608955614773</v>
      </c>
      <c r="O75" s="100">
        <v>5083.7633280251421</v>
      </c>
      <c r="P75" s="100">
        <v>5</v>
      </c>
      <c r="Q75" s="100">
        <v>3215.9999999999995</v>
      </c>
      <c r="R75" s="100">
        <v>8</v>
      </c>
      <c r="S75" s="100">
        <v>5145.5999999999995</v>
      </c>
      <c r="T75" s="100">
        <v>6</v>
      </c>
      <c r="U75" s="100">
        <v>3859.2</v>
      </c>
      <c r="V75" s="100">
        <v>4.7877290117727913</v>
      </c>
      <c r="W75" s="100">
        <v>3079.4673003722592</v>
      </c>
      <c r="X75" s="100">
        <v>6</v>
      </c>
      <c r="Y75" s="100">
        <v>3859.2</v>
      </c>
      <c r="Z75" s="100">
        <v>2.3822040764752201</v>
      </c>
      <c r="AA75" s="100">
        <v>1532.2336619888615</v>
      </c>
      <c r="AB75" s="100">
        <v>5</v>
      </c>
      <c r="AC75" s="100">
        <v>3215.9999999999995</v>
      </c>
      <c r="AD75" s="100">
        <v>5</v>
      </c>
      <c r="AE75" s="100">
        <v>3215.9999999999995</v>
      </c>
      <c r="AF75" s="100">
        <v>9</v>
      </c>
      <c r="AG75" s="100">
        <v>5788.7999999999993</v>
      </c>
      <c r="AH75" s="100">
        <v>0.65168604224854287</v>
      </c>
      <c r="AI75" s="100">
        <v>419.16446237426271</v>
      </c>
      <c r="AJ75" s="100">
        <v>7.6973684210525892</v>
      </c>
      <c r="AK75" s="100">
        <v>4950.9473684210252</v>
      </c>
      <c r="AL75" s="100">
        <v>5</v>
      </c>
      <c r="AM75" s="100">
        <v>3215.9999999999995</v>
      </c>
      <c r="AN75" s="100">
        <v>5</v>
      </c>
      <c r="AO75" s="100">
        <v>3215.9999999999995</v>
      </c>
      <c r="AP75" s="100">
        <v>8</v>
      </c>
      <c r="AQ75" s="100">
        <v>5145.5999999999995</v>
      </c>
      <c r="AR75" s="100">
        <v>4.9303165625932497</v>
      </c>
      <c r="AS75" s="100">
        <v>3171.1796130599778</v>
      </c>
      <c r="AT75" s="100">
        <v>4.9933787463409386E-4</v>
      </c>
      <c r="AU75" s="100">
        <v>0.32117412096464915</v>
      </c>
      <c r="AV75" s="100">
        <v>5</v>
      </c>
      <c r="AW75" s="100">
        <v>3215.9999999999995</v>
      </c>
      <c r="AX75" s="100">
        <v>7</v>
      </c>
      <c r="AY75" s="100">
        <v>4502.3999999999996</v>
      </c>
      <c r="AZ75" s="100">
        <v>0.2450867379341316</v>
      </c>
      <c r="BA75" s="100">
        <v>157.63978983923343</v>
      </c>
      <c r="BB75" s="100">
        <v>4.973324663005787</v>
      </c>
      <c r="BC75" s="100">
        <v>3198.8424232453217</v>
      </c>
      <c r="BD75" s="100">
        <v>8.2182977060158997</v>
      </c>
      <c r="BE75" s="100">
        <v>5286.0090845094264</v>
      </c>
      <c r="BF75" s="100">
        <v>1.6042626013376355</v>
      </c>
      <c r="BG75" s="100">
        <v>1031.8617051803672</v>
      </c>
      <c r="BH75" s="100">
        <v>5.8607336107633161</v>
      </c>
      <c r="BI75" s="100">
        <v>3769.6238584429643</v>
      </c>
      <c r="BJ75" s="100">
        <v>9.3569176458616443</v>
      </c>
      <c r="BK75" s="100">
        <v>6018.369429818209</v>
      </c>
      <c r="BL75" s="100">
        <v>6</v>
      </c>
      <c r="BM75" s="100">
        <v>3859.2</v>
      </c>
      <c r="BN75" s="100">
        <v>5.1455479878318489</v>
      </c>
      <c r="BO75" s="100">
        <v>3309.6164657734448</v>
      </c>
      <c r="BP75" s="100">
        <v>9</v>
      </c>
      <c r="BQ75" s="100">
        <v>5788.7999999999993</v>
      </c>
      <c r="BR75" s="100">
        <v>5</v>
      </c>
      <c r="BS75" s="100">
        <v>3215.9999999999995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4.8570629462907036</v>
      </c>
      <c r="BY75" s="100">
        <v>3124.06288705418</v>
      </c>
      <c r="BZ75" s="100">
        <v>5.5822373369300546</v>
      </c>
      <c r="CA75" s="100">
        <v>3590.4950551134107</v>
      </c>
      <c r="CB75" s="100">
        <v>7</v>
      </c>
      <c r="CC75" s="100">
        <v>4502.3999999999996</v>
      </c>
      <c r="CD75" s="100">
        <v>5</v>
      </c>
      <c r="CE75" s="100">
        <v>3215.9999999999995</v>
      </c>
      <c r="CF75" s="100">
        <v>7</v>
      </c>
      <c r="CG75" s="100">
        <v>4502.3999999999996</v>
      </c>
      <c r="CH75" s="100">
        <v>8</v>
      </c>
      <c r="CI75" s="100">
        <v>5145.5999999999995</v>
      </c>
      <c r="CJ75" s="100">
        <v>6</v>
      </c>
      <c r="CK75" s="100">
        <v>3859.2</v>
      </c>
      <c r="CL75" s="100">
        <v>6</v>
      </c>
      <c r="CM75" s="100">
        <v>3859.2</v>
      </c>
      <c r="CN75" s="100">
        <v>4.9814333360116381</v>
      </c>
      <c r="CO75" s="100">
        <v>3204.0579217226855</v>
      </c>
      <c r="CP75" s="100">
        <v>6.6198677149631457</v>
      </c>
      <c r="CQ75" s="100">
        <v>4257.8989142642949</v>
      </c>
      <c r="CR75" s="100">
        <v>7.4522292993630153</v>
      </c>
      <c r="CS75" s="100">
        <v>4793.2738853502906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4.2698929489934976</v>
      </c>
      <c r="G76" s="100">
        <v>3325.3926286761357</v>
      </c>
      <c r="H76" s="100">
        <v>5</v>
      </c>
      <c r="I76" s="100">
        <v>3894</v>
      </c>
      <c r="J76" s="100">
        <v>6.9377599276816415</v>
      </c>
      <c r="K76" s="100">
        <v>5403.127431678462</v>
      </c>
      <c r="L76" s="100">
        <v>2.3876077158213134</v>
      </c>
      <c r="M76" s="100">
        <v>1859.4688890816387</v>
      </c>
      <c r="N76" s="100">
        <v>7.9038608955614773</v>
      </c>
      <c r="O76" s="100">
        <v>6155.5268654632782</v>
      </c>
      <c r="P76" s="100">
        <v>5</v>
      </c>
      <c r="Q76" s="100">
        <v>3894</v>
      </c>
      <c r="R76" s="100">
        <v>8</v>
      </c>
      <c r="S76" s="100">
        <v>6230.4</v>
      </c>
      <c r="T76" s="100">
        <v>6</v>
      </c>
      <c r="U76" s="100">
        <v>4672.7999999999993</v>
      </c>
      <c r="V76" s="100">
        <v>5.3861951382443909</v>
      </c>
      <c r="W76" s="100">
        <v>4194.7687736647313</v>
      </c>
      <c r="X76" s="100">
        <v>7</v>
      </c>
      <c r="Y76" s="100">
        <v>5451.5999999999995</v>
      </c>
      <c r="Z76" s="100">
        <v>2.3822040764752201</v>
      </c>
      <c r="AA76" s="100">
        <v>1855.2605347589013</v>
      </c>
      <c r="AB76" s="100">
        <v>5</v>
      </c>
      <c r="AC76" s="100">
        <v>3894</v>
      </c>
      <c r="AD76" s="100">
        <v>6</v>
      </c>
      <c r="AE76" s="100">
        <v>4672.7999999999993</v>
      </c>
      <c r="AF76" s="100">
        <v>8</v>
      </c>
      <c r="AG76" s="100">
        <v>6230.4</v>
      </c>
      <c r="AH76" s="100">
        <v>0.76030038262330002</v>
      </c>
      <c r="AI76" s="100">
        <v>592.12193798702606</v>
      </c>
      <c r="AJ76" s="100">
        <v>6.8421052631578574</v>
      </c>
      <c r="AK76" s="100">
        <v>5328.6315789473392</v>
      </c>
      <c r="AL76" s="100">
        <v>5</v>
      </c>
      <c r="AM76" s="100">
        <v>3894</v>
      </c>
      <c r="AN76" s="100">
        <v>5</v>
      </c>
      <c r="AO76" s="100">
        <v>3894</v>
      </c>
      <c r="AP76" s="100">
        <v>7</v>
      </c>
      <c r="AQ76" s="100">
        <v>5451.5999999999995</v>
      </c>
      <c r="AR76" s="100">
        <v>4.9303165625932497</v>
      </c>
      <c r="AS76" s="100">
        <v>3839.7305389476228</v>
      </c>
      <c r="AT76" s="100">
        <v>4.9933787463409386E-4</v>
      </c>
      <c r="AU76" s="100">
        <v>0.38888433676503226</v>
      </c>
      <c r="AV76" s="100">
        <v>5</v>
      </c>
      <c r="AW76" s="100">
        <v>3894</v>
      </c>
      <c r="AX76" s="100">
        <v>6</v>
      </c>
      <c r="AY76" s="100">
        <v>4672.7999999999993</v>
      </c>
      <c r="AZ76" s="100">
        <v>0.21007434680068424</v>
      </c>
      <c r="BA76" s="100">
        <v>163.60590128837288</v>
      </c>
      <c r="BB76" s="100">
        <v>4.973324663005787</v>
      </c>
      <c r="BC76" s="100">
        <v>3873.2252475489067</v>
      </c>
      <c r="BD76" s="100">
        <v>9.2182977060158997</v>
      </c>
      <c r="BE76" s="100">
        <v>7179.2102534451824</v>
      </c>
      <c r="BF76" s="100">
        <v>1.6042626013376355</v>
      </c>
      <c r="BG76" s="100">
        <v>1249.3997139217504</v>
      </c>
      <c r="BH76" s="100">
        <v>5.8607336107633161</v>
      </c>
      <c r="BI76" s="100">
        <v>4564.3393360624705</v>
      </c>
      <c r="BJ76" s="100">
        <v>8.3569176458616443</v>
      </c>
      <c r="BK76" s="100">
        <v>6508.367462597048</v>
      </c>
      <c r="BL76" s="100">
        <v>5</v>
      </c>
      <c r="BM76" s="100">
        <v>3894</v>
      </c>
      <c r="BN76" s="100">
        <v>4.5738204336283097</v>
      </c>
      <c r="BO76" s="100">
        <v>3562.0913537097272</v>
      </c>
      <c r="BP76" s="100">
        <v>9</v>
      </c>
      <c r="BQ76" s="100">
        <v>7009.2</v>
      </c>
      <c r="BR76" s="100">
        <v>5</v>
      </c>
      <c r="BS76" s="100">
        <v>3894</v>
      </c>
      <c r="BT76" s="100">
        <v>6</v>
      </c>
      <c r="BU76" s="100">
        <v>4672.7999999999993</v>
      </c>
      <c r="BV76" s="100">
        <v>10</v>
      </c>
      <c r="BW76" s="100">
        <v>7788</v>
      </c>
      <c r="BX76" s="100">
        <v>4.8570629462907036</v>
      </c>
      <c r="BY76" s="100">
        <v>3782.6806225711998</v>
      </c>
      <c r="BZ76" s="100">
        <v>5.5822373369300546</v>
      </c>
      <c r="CA76" s="100">
        <v>4347.4464380011259</v>
      </c>
      <c r="CB76" s="100">
        <v>6</v>
      </c>
      <c r="CC76" s="100">
        <v>4672.7999999999993</v>
      </c>
      <c r="CD76" s="100">
        <v>5</v>
      </c>
      <c r="CE76" s="100">
        <v>3894</v>
      </c>
      <c r="CF76" s="100">
        <v>7</v>
      </c>
      <c r="CG76" s="100">
        <v>5451.5999999999995</v>
      </c>
      <c r="CH76" s="100">
        <v>7</v>
      </c>
      <c r="CI76" s="100">
        <v>5451.5999999999995</v>
      </c>
      <c r="CJ76" s="100">
        <v>6</v>
      </c>
      <c r="CK76" s="100">
        <v>4672.7999999999993</v>
      </c>
      <c r="CL76" s="100">
        <v>6</v>
      </c>
      <c r="CM76" s="100">
        <v>4672.7999999999993</v>
      </c>
      <c r="CN76" s="100">
        <v>5.6041125030130923</v>
      </c>
      <c r="CO76" s="100">
        <v>4364.4828173465958</v>
      </c>
      <c r="CP76" s="100">
        <v>7.4473511793335403</v>
      </c>
      <c r="CQ76" s="100">
        <v>5799.9970984649608</v>
      </c>
      <c r="CR76" s="100">
        <v>6.624203821656014</v>
      </c>
      <c r="CS76" s="100">
        <v>5158.9299363057034</v>
      </c>
      <c r="CT76" s="100">
        <v>8</v>
      </c>
      <c r="CU76" s="100">
        <v>6230.4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4.2698929489934976</v>
      </c>
      <c r="G77" s="100">
        <v>1188.7381969997896</v>
      </c>
      <c r="H77" s="100">
        <v>5</v>
      </c>
      <c r="I77" s="100">
        <v>1392</v>
      </c>
      <c r="J77" s="100">
        <v>7.8049799186418474</v>
      </c>
      <c r="K77" s="100">
        <v>2172.9064093498901</v>
      </c>
      <c r="L77" s="100">
        <v>2.3989387900007797</v>
      </c>
      <c r="M77" s="100">
        <v>667.86455913621705</v>
      </c>
      <c r="N77" s="100">
        <v>8.7532174129678975</v>
      </c>
      <c r="O77" s="100">
        <v>2436.8957277702625</v>
      </c>
      <c r="P77" s="100">
        <v>6</v>
      </c>
      <c r="Q77" s="100">
        <v>1670.3999999999999</v>
      </c>
      <c r="R77" s="100">
        <v>9</v>
      </c>
      <c r="S77" s="100">
        <v>2505.6</v>
      </c>
      <c r="T77" s="100">
        <v>6</v>
      </c>
      <c r="U77" s="100">
        <v>1670.3999999999999</v>
      </c>
      <c r="V77" s="100">
        <v>4.7877290117727913</v>
      </c>
      <c r="W77" s="100">
        <v>1332.903756877545</v>
      </c>
      <c r="X77" s="100">
        <v>7</v>
      </c>
      <c r="Y77" s="100">
        <v>1948.7999999999997</v>
      </c>
      <c r="Z77" s="100">
        <v>2.39424372839862</v>
      </c>
      <c r="AA77" s="100">
        <v>666.5574539861758</v>
      </c>
      <c r="AB77" s="100">
        <v>6</v>
      </c>
      <c r="AC77" s="100">
        <v>1670.3999999999999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0.65168604224854287</v>
      </c>
      <c r="AI77" s="100">
        <v>181.42939416199431</v>
      </c>
      <c r="AJ77" s="100">
        <v>6.8421052631578574</v>
      </c>
      <c r="AK77" s="100">
        <v>1904.8421052631472</v>
      </c>
      <c r="AL77" s="100">
        <v>6</v>
      </c>
      <c r="AM77" s="100">
        <v>1670.3999999999999</v>
      </c>
      <c r="AN77" s="100">
        <v>6</v>
      </c>
      <c r="AO77" s="100">
        <v>1670.3999999999999</v>
      </c>
      <c r="AP77" s="100">
        <v>8</v>
      </c>
      <c r="AQ77" s="100">
        <v>2227.1999999999998</v>
      </c>
      <c r="AR77" s="100">
        <v>5.9163798751118994</v>
      </c>
      <c r="AS77" s="100">
        <v>1647.1201572311527</v>
      </c>
      <c r="AT77" s="100">
        <v>5.585045994126877E-4</v>
      </c>
      <c r="AU77" s="100">
        <v>0.15548768047649225</v>
      </c>
      <c r="AV77" s="100">
        <v>5</v>
      </c>
      <c r="AW77" s="100">
        <v>1392</v>
      </c>
      <c r="AX77" s="100">
        <v>6</v>
      </c>
      <c r="AY77" s="100">
        <v>1670.3999999999999</v>
      </c>
      <c r="AZ77" s="100">
        <v>0.2450867379341316</v>
      </c>
      <c r="BA77" s="100">
        <v>68.23214784086224</v>
      </c>
      <c r="BB77" s="100">
        <v>4.973324663005787</v>
      </c>
      <c r="BC77" s="100">
        <v>1384.5735861808109</v>
      </c>
      <c r="BD77" s="100">
        <v>9.2182977060158997</v>
      </c>
      <c r="BE77" s="100">
        <v>2566.3740813548261</v>
      </c>
      <c r="BF77" s="100">
        <v>1.6042626013376355</v>
      </c>
      <c r="BG77" s="100">
        <v>446.62670821239772</v>
      </c>
      <c r="BH77" s="100">
        <v>6.0328803329159788</v>
      </c>
      <c r="BI77" s="100">
        <v>1679.5538846838083</v>
      </c>
      <c r="BJ77" s="100">
        <v>9.3569176458616443</v>
      </c>
      <c r="BK77" s="100">
        <v>2604.9658726078815</v>
      </c>
      <c r="BL77" s="100">
        <v>6</v>
      </c>
      <c r="BM77" s="100">
        <v>1670.3999999999999</v>
      </c>
      <c r="BN77" s="100">
        <v>5.1455479878318489</v>
      </c>
      <c r="BO77" s="100">
        <v>1432.5205598123866</v>
      </c>
      <c r="BP77" s="100">
        <v>9</v>
      </c>
      <c r="BQ77" s="100">
        <v>2505.6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9</v>
      </c>
      <c r="BW77" s="100">
        <v>2505.6</v>
      </c>
      <c r="BX77" s="100">
        <v>6.244795216659476</v>
      </c>
      <c r="BY77" s="100">
        <v>1738.550988317998</v>
      </c>
      <c r="BZ77" s="100">
        <v>4.9619887439378259</v>
      </c>
      <c r="CA77" s="100">
        <v>1381.4176663122905</v>
      </c>
      <c r="CB77" s="100">
        <v>7</v>
      </c>
      <c r="CC77" s="100">
        <v>1948.7999999999997</v>
      </c>
      <c r="CD77" s="100">
        <v>5</v>
      </c>
      <c r="CE77" s="100">
        <v>1392</v>
      </c>
      <c r="CF77" s="100">
        <v>8</v>
      </c>
      <c r="CG77" s="100">
        <v>2227.1999999999998</v>
      </c>
      <c r="CH77" s="100">
        <v>8</v>
      </c>
      <c r="CI77" s="100">
        <v>2227.1999999999998</v>
      </c>
      <c r="CJ77" s="100">
        <v>6</v>
      </c>
      <c r="CK77" s="100">
        <v>1670.3999999999999</v>
      </c>
      <c r="CL77" s="100">
        <v>5</v>
      </c>
      <c r="CM77" s="100">
        <v>1392</v>
      </c>
      <c r="CN77" s="100">
        <v>5.6041125030130923</v>
      </c>
      <c r="CO77" s="100">
        <v>1560.1849208388448</v>
      </c>
      <c r="CP77" s="100">
        <v>7.4473511793335403</v>
      </c>
      <c r="CQ77" s="100">
        <v>2073.3425683264572</v>
      </c>
      <c r="CR77" s="100">
        <v>7.4522292993630153</v>
      </c>
      <c r="CS77" s="100">
        <v>2074.7006369426631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7</v>
      </c>
      <c r="E78" s="100">
        <v>3864</v>
      </c>
      <c r="F78" s="100">
        <v>4.2698929489934976</v>
      </c>
      <c r="G78" s="100">
        <v>2356.9809078444105</v>
      </c>
      <c r="H78" s="100">
        <v>5</v>
      </c>
      <c r="I78" s="100">
        <v>2760</v>
      </c>
      <c r="J78" s="100">
        <v>7.8049799186418474</v>
      </c>
      <c r="K78" s="100">
        <v>4308.3489150902997</v>
      </c>
      <c r="L78" s="100">
        <v>2.3876077158213134</v>
      </c>
      <c r="M78" s="100">
        <v>1317.959459133365</v>
      </c>
      <c r="N78" s="100">
        <v>7.9038608955614773</v>
      </c>
      <c r="O78" s="100">
        <v>4362.9312143499355</v>
      </c>
      <c r="P78" s="100">
        <v>5</v>
      </c>
      <c r="Q78" s="100">
        <v>2760</v>
      </c>
      <c r="R78" s="100">
        <v>9</v>
      </c>
      <c r="S78" s="100">
        <v>4968</v>
      </c>
      <c r="T78" s="100">
        <v>6</v>
      </c>
      <c r="U78" s="100">
        <v>3312</v>
      </c>
      <c r="V78" s="100">
        <v>5.3861951382443909</v>
      </c>
      <c r="W78" s="100">
        <v>2973.1797163109036</v>
      </c>
      <c r="X78" s="100">
        <v>7</v>
      </c>
      <c r="Y78" s="100">
        <v>3864</v>
      </c>
      <c r="Z78" s="100">
        <v>2.3701644245518199</v>
      </c>
      <c r="AA78" s="100">
        <v>1308.3307623526046</v>
      </c>
      <c r="AB78" s="100">
        <v>5</v>
      </c>
      <c r="AC78" s="100">
        <v>2760</v>
      </c>
      <c r="AD78" s="100">
        <v>5</v>
      </c>
      <c r="AE78" s="100">
        <v>2760</v>
      </c>
      <c r="AF78" s="100">
        <v>9</v>
      </c>
      <c r="AG78" s="100">
        <v>4968</v>
      </c>
      <c r="AH78" s="100">
        <v>0.76030038262330002</v>
      </c>
      <c r="AI78" s="100">
        <v>419.68581120806164</v>
      </c>
      <c r="AJ78" s="100">
        <v>6.8421052631578574</v>
      </c>
      <c r="AK78" s="100">
        <v>3776.8421052631375</v>
      </c>
      <c r="AL78" s="100">
        <v>5</v>
      </c>
      <c r="AM78" s="100">
        <v>2760</v>
      </c>
      <c r="AN78" s="100">
        <v>5</v>
      </c>
      <c r="AO78" s="100">
        <v>2760</v>
      </c>
      <c r="AP78" s="100">
        <v>7</v>
      </c>
      <c r="AQ78" s="100">
        <v>3864</v>
      </c>
      <c r="AR78" s="100">
        <v>4.9303165625932497</v>
      </c>
      <c r="AS78" s="100">
        <v>2721.5347425514738</v>
      </c>
      <c r="AT78" s="100">
        <v>5.6012985418802156E-4</v>
      </c>
      <c r="AU78" s="100">
        <v>0.30919167951178789</v>
      </c>
      <c r="AV78" s="100">
        <v>5</v>
      </c>
      <c r="AW78" s="100">
        <v>2760</v>
      </c>
      <c r="AX78" s="100">
        <v>7</v>
      </c>
      <c r="AY78" s="100">
        <v>3864</v>
      </c>
      <c r="AZ78" s="100">
        <v>0.2450867379341316</v>
      </c>
      <c r="BA78" s="100">
        <v>135.28787933964065</v>
      </c>
      <c r="BB78" s="100">
        <v>4.1444372191714889</v>
      </c>
      <c r="BC78" s="100">
        <v>2287.729344982662</v>
      </c>
      <c r="BD78" s="100">
        <v>8.2182977060158997</v>
      </c>
      <c r="BE78" s="100">
        <v>4536.5003337207763</v>
      </c>
      <c r="BF78" s="100">
        <v>1.6042626013376355</v>
      </c>
      <c r="BG78" s="100">
        <v>885.55295593837479</v>
      </c>
      <c r="BH78" s="100">
        <v>5.8607336107633161</v>
      </c>
      <c r="BI78" s="100">
        <v>3235.1249531413505</v>
      </c>
      <c r="BJ78" s="100">
        <v>8.3569176458616443</v>
      </c>
      <c r="BK78" s="100">
        <v>4613.018540515628</v>
      </c>
      <c r="BL78" s="100">
        <v>6</v>
      </c>
      <c r="BM78" s="100">
        <v>3312</v>
      </c>
      <c r="BN78" s="100">
        <v>4.5738204336283097</v>
      </c>
      <c r="BO78" s="100">
        <v>2524.7488793628268</v>
      </c>
      <c r="BP78" s="100">
        <v>9</v>
      </c>
      <c r="BQ78" s="100">
        <v>4968</v>
      </c>
      <c r="BR78" s="100">
        <v>4</v>
      </c>
      <c r="BS78" s="100">
        <v>2208</v>
      </c>
      <c r="BT78" s="100">
        <v>6</v>
      </c>
      <c r="BU78" s="100">
        <v>3312</v>
      </c>
      <c r="BV78" s="100">
        <v>9</v>
      </c>
      <c r="BW78" s="100">
        <v>4968</v>
      </c>
      <c r="BX78" s="100">
        <v>5.5509290814750898</v>
      </c>
      <c r="BY78" s="100">
        <v>3064.1128529742496</v>
      </c>
      <c r="BZ78" s="100">
        <v>4.9619887439378259</v>
      </c>
      <c r="CA78" s="100">
        <v>2739.0177866536797</v>
      </c>
      <c r="CB78" s="100">
        <v>7</v>
      </c>
      <c r="CC78" s="100">
        <v>3864</v>
      </c>
      <c r="CD78" s="100">
        <v>5</v>
      </c>
      <c r="CE78" s="100">
        <v>2760</v>
      </c>
      <c r="CF78" s="100">
        <v>9</v>
      </c>
      <c r="CG78" s="100">
        <v>4968</v>
      </c>
      <c r="CH78" s="100">
        <v>8</v>
      </c>
      <c r="CI78" s="100">
        <v>4416</v>
      </c>
      <c r="CJ78" s="100">
        <v>6</v>
      </c>
      <c r="CK78" s="100">
        <v>3312</v>
      </c>
      <c r="CL78" s="100">
        <v>6</v>
      </c>
      <c r="CM78" s="100">
        <v>3312</v>
      </c>
      <c r="CN78" s="100">
        <v>5.6041125030130923</v>
      </c>
      <c r="CO78" s="100">
        <v>3093.4701016632271</v>
      </c>
      <c r="CP78" s="100">
        <v>7.4473511793335403</v>
      </c>
      <c r="CQ78" s="100">
        <v>4110.9378509921144</v>
      </c>
      <c r="CR78" s="100">
        <v>6.624203821656014</v>
      </c>
      <c r="CS78" s="100">
        <v>3656.5605095541196</v>
      </c>
      <c r="CT78" s="100">
        <v>8</v>
      </c>
      <c r="CU78" s="100">
        <v>4416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3.7954603991053308</v>
      </c>
      <c r="G79" s="100">
        <v>2873.9226142025564</v>
      </c>
      <c r="H79" s="100">
        <v>5</v>
      </c>
      <c r="I79" s="100">
        <v>3785.9999999999995</v>
      </c>
      <c r="J79" s="100">
        <v>6.9377599276816415</v>
      </c>
      <c r="K79" s="100">
        <v>5253.2718172405384</v>
      </c>
      <c r="L79" s="100">
        <v>2.3876077158213134</v>
      </c>
      <c r="M79" s="100">
        <v>1807.8965624198984</v>
      </c>
      <c r="N79" s="100">
        <v>8.7532174129678975</v>
      </c>
      <c r="O79" s="100">
        <v>6627.9362250992917</v>
      </c>
      <c r="P79" s="100">
        <v>5</v>
      </c>
      <c r="Q79" s="100">
        <v>3785.9999999999995</v>
      </c>
      <c r="R79" s="100">
        <v>9</v>
      </c>
      <c r="S79" s="100">
        <v>6814.7999999999993</v>
      </c>
      <c r="T79" s="100">
        <v>6</v>
      </c>
      <c r="U79" s="100">
        <v>4543.2</v>
      </c>
      <c r="V79" s="100">
        <v>5.3861951382443909</v>
      </c>
      <c r="W79" s="100">
        <v>4078.4269586786522</v>
      </c>
      <c r="X79" s="100">
        <v>6</v>
      </c>
      <c r="Y79" s="100">
        <v>4543.2</v>
      </c>
      <c r="Z79" s="100">
        <v>2.8297497271541037</v>
      </c>
      <c r="AA79" s="100">
        <v>2142.6864934010873</v>
      </c>
      <c r="AB79" s="100">
        <v>5</v>
      </c>
      <c r="AC79" s="100">
        <v>3785.9999999999995</v>
      </c>
      <c r="AD79" s="100">
        <v>5</v>
      </c>
      <c r="AE79" s="100">
        <v>3785.9999999999995</v>
      </c>
      <c r="AF79" s="100">
        <v>9</v>
      </c>
      <c r="AG79" s="100">
        <v>6814.7999999999993</v>
      </c>
      <c r="AH79" s="100">
        <v>0.65168604224854287</v>
      </c>
      <c r="AI79" s="100">
        <v>493.45667119059664</v>
      </c>
      <c r="AJ79" s="100">
        <v>7.6973684210525892</v>
      </c>
      <c r="AK79" s="100">
        <v>5828.4473684210197</v>
      </c>
      <c r="AL79" s="100">
        <v>5</v>
      </c>
      <c r="AM79" s="100">
        <v>3785.9999999999995</v>
      </c>
      <c r="AN79" s="100">
        <v>5</v>
      </c>
      <c r="AO79" s="100">
        <v>3785.9999999999995</v>
      </c>
      <c r="AP79" s="100">
        <v>7</v>
      </c>
      <c r="AQ79" s="100">
        <v>5300.4</v>
      </c>
      <c r="AR79" s="100">
        <v>4.9303165625932497</v>
      </c>
      <c r="AS79" s="100">
        <v>3733.2357011956083</v>
      </c>
      <c r="AT79" s="100">
        <v>4.977126198587599E-4</v>
      </c>
      <c r="AU79" s="100">
        <v>0.37686799575705293</v>
      </c>
      <c r="AV79" s="100">
        <v>5</v>
      </c>
      <c r="AW79" s="100">
        <v>3785.9999999999995</v>
      </c>
      <c r="AX79" s="100">
        <v>7</v>
      </c>
      <c r="AY79" s="100">
        <v>5300.4</v>
      </c>
      <c r="AZ79" s="100">
        <v>0.2450867379341316</v>
      </c>
      <c r="BA79" s="100">
        <v>185.57967796372444</v>
      </c>
      <c r="BB79" s="100">
        <v>4.1444372191714889</v>
      </c>
      <c r="BC79" s="100">
        <v>3138.1678623566513</v>
      </c>
      <c r="BD79" s="100">
        <v>9.2182977060158997</v>
      </c>
      <c r="BE79" s="100">
        <v>6980.0950229952387</v>
      </c>
      <c r="BF79" s="100">
        <v>1.6042626013376355</v>
      </c>
      <c r="BG79" s="100">
        <v>1214.7476417328576</v>
      </c>
      <c r="BH79" s="100">
        <v>5.8607336107633161</v>
      </c>
      <c r="BI79" s="100">
        <v>4437.7474900699826</v>
      </c>
      <c r="BJ79" s="100">
        <v>8.3569176458616443</v>
      </c>
      <c r="BK79" s="100">
        <v>6327.8580414464368</v>
      </c>
      <c r="BL79" s="100">
        <v>6</v>
      </c>
      <c r="BM79" s="100">
        <v>4543.2</v>
      </c>
      <c r="BN79" s="100">
        <v>5.1455479878318489</v>
      </c>
      <c r="BO79" s="100">
        <v>3896.2089363862756</v>
      </c>
      <c r="BP79" s="100">
        <v>9</v>
      </c>
      <c r="BQ79" s="100">
        <v>6814.7999999999993</v>
      </c>
      <c r="BR79" s="100">
        <v>4</v>
      </c>
      <c r="BS79" s="100">
        <v>3028.7999999999997</v>
      </c>
      <c r="BT79" s="100">
        <v>6</v>
      </c>
      <c r="BU79" s="100">
        <v>4543.2</v>
      </c>
      <c r="BV79" s="100">
        <v>10</v>
      </c>
      <c r="BW79" s="100">
        <v>7571.9999999999991</v>
      </c>
      <c r="BX79" s="100">
        <v>5.5509290814750898</v>
      </c>
      <c r="BY79" s="100">
        <v>4203.1635004929376</v>
      </c>
      <c r="BZ79" s="100">
        <v>4.9619887439378259</v>
      </c>
      <c r="CA79" s="100">
        <v>3757.2178769097213</v>
      </c>
      <c r="CB79" s="100">
        <v>7</v>
      </c>
      <c r="CC79" s="100">
        <v>5300.4</v>
      </c>
      <c r="CD79" s="100">
        <v>5</v>
      </c>
      <c r="CE79" s="100">
        <v>3785.9999999999995</v>
      </c>
      <c r="CF79" s="100">
        <v>8</v>
      </c>
      <c r="CG79" s="100">
        <v>6057.5999999999995</v>
      </c>
      <c r="CH79" s="100">
        <v>8</v>
      </c>
      <c r="CI79" s="100">
        <v>6057.5999999999995</v>
      </c>
      <c r="CJ79" s="100">
        <v>6</v>
      </c>
      <c r="CK79" s="100">
        <v>4543.2</v>
      </c>
      <c r="CL79" s="100">
        <v>5</v>
      </c>
      <c r="CM79" s="100">
        <v>3785.9999999999995</v>
      </c>
      <c r="CN79" s="100">
        <v>5.6041125030130923</v>
      </c>
      <c r="CO79" s="100">
        <v>4243.4339872815135</v>
      </c>
      <c r="CP79" s="100">
        <v>6.6198677149631457</v>
      </c>
      <c r="CQ79" s="100">
        <v>5012.5638337700939</v>
      </c>
      <c r="CR79" s="100">
        <v>6.624203821656014</v>
      </c>
      <c r="CS79" s="100">
        <v>5015.8471337579331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3.5808249544444464</v>
      </c>
      <c r="G80" s="100">
        <v>2883.2802533186682</v>
      </c>
      <c r="H80" s="100">
        <v>5</v>
      </c>
      <c r="I80" s="100">
        <v>4025.9999999999995</v>
      </c>
      <c r="J80" s="100">
        <v>6.9377599276816415</v>
      </c>
      <c r="K80" s="100">
        <v>5586.2842937692576</v>
      </c>
      <c r="L80" s="100">
        <v>2.3876077158213134</v>
      </c>
      <c r="M80" s="100">
        <v>1922.5017327793214</v>
      </c>
      <c r="N80" s="100">
        <v>7.7532174129678983</v>
      </c>
      <c r="O80" s="100">
        <v>6242.8906609217511</v>
      </c>
      <c r="P80" s="100">
        <v>5</v>
      </c>
      <c r="Q80" s="100">
        <v>4025.9999999999995</v>
      </c>
      <c r="R80" s="100">
        <v>9</v>
      </c>
      <c r="S80" s="100">
        <v>7246.7999999999993</v>
      </c>
      <c r="T80" s="100">
        <v>6</v>
      </c>
      <c r="U80" s="100">
        <v>4831.2</v>
      </c>
      <c r="V80" s="100">
        <v>4.7877290117727913</v>
      </c>
      <c r="W80" s="100">
        <v>3855.0794002794514</v>
      </c>
      <c r="X80" s="100">
        <v>6</v>
      </c>
      <c r="Y80" s="100">
        <v>4831.2</v>
      </c>
      <c r="Z80" s="100">
        <v>2.3701644245518199</v>
      </c>
      <c r="AA80" s="100">
        <v>1908.4563946491253</v>
      </c>
      <c r="AB80" s="100">
        <v>5</v>
      </c>
      <c r="AC80" s="100">
        <v>4025.9999999999995</v>
      </c>
      <c r="AD80" s="100">
        <v>6</v>
      </c>
      <c r="AE80" s="100">
        <v>4831.2</v>
      </c>
      <c r="AF80" s="100">
        <v>8</v>
      </c>
      <c r="AG80" s="100">
        <v>6441.5999999999995</v>
      </c>
      <c r="AH80" s="100">
        <v>0.65168604224854287</v>
      </c>
      <c r="AI80" s="100">
        <v>524.73760121852672</v>
      </c>
      <c r="AJ80" s="100">
        <v>7.6973684210525892</v>
      </c>
      <c r="AK80" s="100">
        <v>6197.9210526315446</v>
      </c>
      <c r="AL80" s="100">
        <v>5</v>
      </c>
      <c r="AM80" s="100">
        <v>4025.9999999999995</v>
      </c>
      <c r="AN80" s="100">
        <v>5</v>
      </c>
      <c r="AO80" s="100">
        <v>4025.9999999999995</v>
      </c>
      <c r="AP80" s="100">
        <v>7</v>
      </c>
      <c r="AQ80" s="100">
        <v>5636.4</v>
      </c>
      <c r="AR80" s="100">
        <v>4.9303165625932497</v>
      </c>
      <c r="AS80" s="100">
        <v>3969.8908962000842</v>
      </c>
      <c r="AT80" s="100">
        <v>4.9933787463409386E-4</v>
      </c>
      <c r="AU80" s="100">
        <v>0.40206685665537234</v>
      </c>
      <c r="AV80" s="100">
        <v>5</v>
      </c>
      <c r="AW80" s="100">
        <v>4025.9999999999995</v>
      </c>
      <c r="AX80" s="100">
        <v>7</v>
      </c>
      <c r="AY80" s="100">
        <v>5636.4</v>
      </c>
      <c r="AZ80" s="100">
        <v>0.21007434680068424</v>
      </c>
      <c r="BA80" s="100">
        <v>169.15186404391093</v>
      </c>
      <c r="BB80" s="100">
        <v>4.973324663005787</v>
      </c>
      <c r="BC80" s="100">
        <v>4004.5210186522595</v>
      </c>
      <c r="BD80" s="100">
        <v>8.2182977060158997</v>
      </c>
      <c r="BE80" s="100">
        <v>6617.3733128840022</v>
      </c>
      <c r="BF80" s="100">
        <v>1.8716397015605748</v>
      </c>
      <c r="BG80" s="100">
        <v>1507.0442876965747</v>
      </c>
      <c r="BH80" s="100">
        <v>5.8607336107633161</v>
      </c>
      <c r="BI80" s="100">
        <v>4719.0627033866222</v>
      </c>
      <c r="BJ80" s="100">
        <v>8.3569176458616443</v>
      </c>
      <c r="BK80" s="100">
        <v>6728.9900884477956</v>
      </c>
      <c r="BL80" s="100">
        <v>6</v>
      </c>
      <c r="BM80" s="100">
        <v>4831.2</v>
      </c>
      <c r="BN80" s="100">
        <v>5.1455479878318489</v>
      </c>
      <c r="BO80" s="100">
        <v>4143.195239802204</v>
      </c>
      <c r="BP80" s="100">
        <v>9</v>
      </c>
      <c r="BQ80" s="100">
        <v>7246.7999999999993</v>
      </c>
      <c r="BR80" s="100">
        <v>5</v>
      </c>
      <c r="BS80" s="100">
        <v>4025.9999999999995</v>
      </c>
      <c r="BT80" s="100">
        <v>6</v>
      </c>
      <c r="BU80" s="100">
        <v>4831.2</v>
      </c>
      <c r="BV80" s="100">
        <v>9</v>
      </c>
      <c r="BW80" s="100">
        <v>7246.7999999999993</v>
      </c>
      <c r="BX80" s="100">
        <v>4.8570629462907036</v>
      </c>
      <c r="BY80" s="100">
        <v>3910.9070843532741</v>
      </c>
      <c r="BZ80" s="100">
        <v>4.9619887439378259</v>
      </c>
      <c r="CA80" s="100">
        <v>3995.3933366187371</v>
      </c>
      <c r="CB80" s="100">
        <v>6</v>
      </c>
      <c r="CC80" s="100">
        <v>4831.2</v>
      </c>
      <c r="CD80" s="100">
        <v>5</v>
      </c>
      <c r="CE80" s="100">
        <v>4025.9999999999995</v>
      </c>
      <c r="CF80" s="100">
        <v>8</v>
      </c>
      <c r="CG80" s="100">
        <v>6441.5999999999995</v>
      </c>
      <c r="CH80" s="100">
        <v>8</v>
      </c>
      <c r="CI80" s="100">
        <v>6441.5999999999995</v>
      </c>
      <c r="CJ80" s="100">
        <v>6</v>
      </c>
      <c r="CK80" s="100">
        <v>4831.2</v>
      </c>
      <c r="CL80" s="100">
        <v>5</v>
      </c>
      <c r="CM80" s="100">
        <v>4025.9999999999995</v>
      </c>
      <c r="CN80" s="100">
        <v>4.9814333360116381</v>
      </c>
      <c r="CO80" s="100">
        <v>4011.0501221565705</v>
      </c>
      <c r="CP80" s="100">
        <v>7.4473511793335403</v>
      </c>
      <c r="CQ80" s="100">
        <v>5996.607169599366</v>
      </c>
      <c r="CR80" s="100">
        <v>6.624203821656014</v>
      </c>
      <c r="CS80" s="100">
        <v>5333.8089171974216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8</v>
      </c>
      <c r="E81" s="100">
        <v>6028.8</v>
      </c>
      <c r="F81" s="100">
        <v>4.0552575043326131</v>
      </c>
      <c r="G81" s="100">
        <v>3056.0420552650571</v>
      </c>
      <c r="H81" s="100">
        <v>5</v>
      </c>
      <c r="I81" s="100">
        <v>3768</v>
      </c>
      <c r="J81" s="100">
        <v>6.9377599276816415</v>
      </c>
      <c r="K81" s="100">
        <v>5228.2958815008851</v>
      </c>
      <c r="L81" s="100">
        <v>2.0465208992754116</v>
      </c>
      <c r="M81" s="100">
        <v>1542.2581496939501</v>
      </c>
      <c r="N81" s="100">
        <v>7.7532174129678983</v>
      </c>
      <c r="O81" s="100">
        <v>5842.8246424126082</v>
      </c>
      <c r="P81" s="100">
        <v>5</v>
      </c>
      <c r="Q81" s="100">
        <v>3768</v>
      </c>
      <c r="R81" s="100">
        <v>8</v>
      </c>
      <c r="S81" s="100">
        <v>6028.8</v>
      </c>
      <c r="T81" s="100">
        <v>6</v>
      </c>
      <c r="U81" s="100">
        <v>4521.6000000000004</v>
      </c>
      <c r="V81" s="100">
        <v>4.7877290117727913</v>
      </c>
      <c r="W81" s="100">
        <v>3608.0325832719755</v>
      </c>
      <c r="X81" s="100">
        <v>7</v>
      </c>
      <c r="Y81" s="100">
        <v>5275.2</v>
      </c>
      <c r="Z81" s="100">
        <v>2.3701644245518199</v>
      </c>
      <c r="AA81" s="100">
        <v>1786.1559103422514</v>
      </c>
      <c r="AB81" s="100">
        <v>6</v>
      </c>
      <c r="AC81" s="100">
        <v>4521.6000000000004</v>
      </c>
      <c r="AD81" s="100">
        <v>6</v>
      </c>
      <c r="AE81" s="100">
        <v>4521.6000000000004</v>
      </c>
      <c r="AF81" s="100">
        <v>8</v>
      </c>
      <c r="AG81" s="100">
        <v>6028.8</v>
      </c>
      <c r="AH81" s="100">
        <v>0.65168604224854287</v>
      </c>
      <c r="AI81" s="100">
        <v>491.11060143850193</v>
      </c>
      <c r="AJ81" s="100">
        <v>6.8421052631578574</v>
      </c>
      <c r="AK81" s="100">
        <v>5156.2105263157619</v>
      </c>
      <c r="AL81" s="100">
        <v>5</v>
      </c>
      <c r="AM81" s="100">
        <v>3768</v>
      </c>
      <c r="AN81" s="100">
        <v>5</v>
      </c>
      <c r="AO81" s="100">
        <v>3768</v>
      </c>
      <c r="AP81" s="100">
        <v>8</v>
      </c>
      <c r="AQ81" s="100">
        <v>6028.8</v>
      </c>
      <c r="AR81" s="100">
        <v>5.9163798751118994</v>
      </c>
      <c r="AS81" s="100">
        <v>4458.5838738843277</v>
      </c>
      <c r="AT81" s="100">
        <v>4.977126198587599E-4</v>
      </c>
      <c r="AU81" s="100">
        <v>0.37507623032556148</v>
      </c>
      <c r="AV81" s="100">
        <v>5</v>
      </c>
      <c r="AW81" s="100">
        <v>3768</v>
      </c>
      <c r="AX81" s="100">
        <v>7</v>
      </c>
      <c r="AY81" s="100">
        <v>5275.2</v>
      </c>
      <c r="AZ81" s="100">
        <v>0.21007434680068424</v>
      </c>
      <c r="BA81" s="100">
        <v>158.31202774899563</v>
      </c>
      <c r="BB81" s="100">
        <v>4.973324663005787</v>
      </c>
      <c r="BC81" s="100">
        <v>3747.8974660411614</v>
      </c>
      <c r="BD81" s="100">
        <v>8.2182977060158997</v>
      </c>
      <c r="BE81" s="100">
        <v>6193.3091512535821</v>
      </c>
      <c r="BF81" s="100">
        <v>1.6042626013376355</v>
      </c>
      <c r="BG81" s="100">
        <v>1208.9722963680422</v>
      </c>
      <c r="BH81" s="100">
        <v>5.8607336107633161</v>
      </c>
      <c r="BI81" s="100">
        <v>4416.6488490712354</v>
      </c>
      <c r="BJ81" s="100">
        <v>9.3569176458616443</v>
      </c>
      <c r="BK81" s="100">
        <v>7051.373137921335</v>
      </c>
      <c r="BL81" s="100">
        <v>6</v>
      </c>
      <c r="BM81" s="100">
        <v>4521.6000000000004</v>
      </c>
      <c r="BN81" s="100">
        <v>5.1455479878318489</v>
      </c>
      <c r="BO81" s="100">
        <v>3877.6849636300813</v>
      </c>
      <c r="BP81" s="100">
        <v>10</v>
      </c>
      <c r="BQ81" s="100">
        <v>7536</v>
      </c>
      <c r="BR81" s="100">
        <v>4</v>
      </c>
      <c r="BS81" s="100">
        <v>3014.4</v>
      </c>
      <c r="BT81" s="100">
        <v>6</v>
      </c>
      <c r="BU81" s="100">
        <v>4521.6000000000004</v>
      </c>
      <c r="BV81" s="100">
        <v>10</v>
      </c>
      <c r="BW81" s="100">
        <v>7536</v>
      </c>
      <c r="BX81" s="100">
        <v>5.5509290814750898</v>
      </c>
      <c r="BY81" s="100">
        <v>4183.1801557996278</v>
      </c>
      <c r="BZ81" s="100">
        <v>4.9619887439378259</v>
      </c>
      <c r="CA81" s="100">
        <v>3739.3547174315459</v>
      </c>
      <c r="CB81" s="100">
        <v>7</v>
      </c>
      <c r="CC81" s="100">
        <v>5275.2</v>
      </c>
      <c r="CD81" s="100">
        <v>5</v>
      </c>
      <c r="CE81" s="100">
        <v>3768</v>
      </c>
      <c r="CF81" s="100">
        <v>8</v>
      </c>
      <c r="CG81" s="100">
        <v>6028.8</v>
      </c>
      <c r="CH81" s="100">
        <v>7</v>
      </c>
      <c r="CI81" s="100">
        <v>5275.2</v>
      </c>
      <c r="CJ81" s="100">
        <v>7</v>
      </c>
      <c r="CK81" s="100">
        <v>5275.2</v>
      </c>
      <c r="CL81" s="100">
        <v>5</v>
      </c>
      <c r="CM81" s="100">
        <v>3768</v>
      </c>
      <c r="CN81" s="100">
        <v>5.6041125030130923</v>
      </c>
      <c r="CO81" s="100">
        <v>4223.2591822706663</v>
      </c>
      <c r="CP81" s="100">
        <v>6.6198677149631457</v>
      </c>
      <c r="CQ81" s="100">
        <v>4988.7323099962268</v>
      </c>
      <c r="CR81" s="100">
        <v>6.624203821656014</v>
      </c>
      <c r="CS81" s="100">
        <v>4991.9999999999727</v>
      </c>
      <c r="CT81" s="100">
        <v>7</v>
      </c>
      <c r="CU81" s="100">
        <v>5275.2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3.7954603991053308</v>
      </c>
      <c r="G82" s="100">
        <v>1931.130251064792</v>
      </c>
      <c r="H82" s="100">
        <v>5</v>
      </c>
      <c r="I82" s="100">
        <v>2543.9999999999995</v>
      </c>
      <c r="J82" s="100">
        <v>6.9377599276816415</v>
      </c>
      <c r="K82" s="100">
        <v>3529.9322512044187</v>
      </c>
      <c r="L82" s="100">
        <v>2.376276641641847</v>
      </c>
      <c r="M82" s="100">
        <v>1209.0495552673715</v>
      </c>
      <c r="N82" s="100">
        <v>8.7532174129678975</v>
      </c>
      <c r="O82" s="100">
        <v>4453.6370197180649</v>
      </c>
      <c r="P82" s="100">
        <v>5</v>
      </c>
      <c r="Q82" s="100">
        <v>2543.9999999999995</v>
      </c>
      <c r="R82" s="100">
        <v>9</v>
      </c>
      <c r="S82" s="100">
        <v>4579.1999999999989</v>
      </c>
      <c r="T82" s="100">
        <v>6</v>
      </c>
      <c r="U82" s="100">
        <v>3052.7999999999993</v>
      </c>
      <c r="V82" s="100">
        <v>4.7877290117727913</v>
      </c>
      <c r="W82" s="100">
        <v>2435.9965211899957</v>
      </c>
      <c r="X82" s="100">
        <v>7</v>
      </c>
      <c r="Y82" s="100">
        <v>3561.5999999999995</v>
      </c>
      <c r="Z82" s="100">
        <v>2.3701644245518199</v>
      </c>
      <c r="AA82" s="100">
        <v>1205.9396592119656</v>
      </c>
      <c r="AB82" s="100">
        <v>5</v>
      </c>
      <c r="AC82" s="100">
        <v>2543.9999999999995</v>
      </c>
      <c r="AD82" s="100">
        <v>6</v>
      </c>
      <c r="AE82" s="100">
        <v>3052.7999999999993</v>
      </c>
      <c r="AF82" s="100">
        <v>9</v>
      </c>
      <c r="AG82" s="100">
        <v>4579.1999999999989</v>
      </c>
      <c r="AH82" s="100">
        <v>0.65168604224854287</v>
      </c>
      <c r="AI82" s="100">
        <v>331.57785829605854</v>
      </c>
      <c r="AJ82" s="100">
        <v>6.8421052631578574</v>
      </c>
      <c r="AK82" s="100">
        <v>3481.2631578947171</v>
      </c>
      <c r="AL82" s="100">
        <v>5</v>
      </c>
      <c r="AM82" s="100">
        <v>2543.9999999999995</v>
      </c>
      <c r="AN82" s="100">
        <v>5</v>
      </c>
      <c r="AO82" s="100">
        <v>2543.9999999999995</v>
      </c>
      <c r="AP82" s="100">
        <v>8</v>
      </c>
      <c r="AQ82" s="100">
        <v>4070.3999999999992</v>
      </c>
      <c r="AR82" s="100">
        <v>5.9163798751118994</v>
      </c>
      <c r="AS82" s="100">
        <v>3010.2540804569339</v>
      </c>
      <c r="AT82" s="100">
        <v>4.9933787463409386E-4</v>
      </c>
      <c r="AU82" s="100">
        <v>0.25406311061382691</v>
      </c>
      <c r="AV82" s="100">
        <v>5</v>
      </c>
      <c r="AW82" s="100">
        <v>2543.9999999999995</v>
      </c>
      <c r="AX82" s="100">
        <v>7</v>
      </c>
      <c r="AY82" s="100">
        <v>3561.5999999999995</v>
      </c>
      <c r="AZ82" s="100">
        <v>0.21007434680068424</v>
      </c>
      <c r="BA82" s="100">
        <v>106.88582765218811</v>
      </c>
      <c r="BB82" s="100">
        <v>4.973324663005787</v>
      </c>
      <c r="BC82" s="100">
        <v>2530.427588537344</v>
      </c>
      <c r="BD82" s="100">
        <v>9.2182977060158997</v>
      </c>
      <c r="BE82" s="100">
        <v>4690.2698728208888</v>
      </c>
      <c r="BF82" s="100">
        <v>1.8716397015605748</v>
      </c>
      <c r="BG82" s="100">
        <v>952.29028015402025</v>
      </c>
      <c r="BH82" s="100">
        <v>5.8607336107633161</v>
      </c>
      <c r="BI82" s="100">
        <v>2981.9412611563748</v>
      </c>
      <c r="BJ82" s="100">
        <v>8.3569176458616443</v>
      </c>
      <c r="BK82" s="100">
        <v>4251.9996982144039</v>
      </c>
      <c r="BL82" s="100">
        <v>6</v>
      </c>
      <c r="BM82" s="100">
        <v>3052.7999999999993</v>
      </c>
      <c r="BN82" s="100">
        <v>4.5738204336283097</v>
      </c>
      <c r="BO82" s="100">
        <v>2327.1598366300836</v>
      </c>
      <c r="BP82" s="100">
        <v>9</v>
      </c>
      <c r="BQ82" s="100">
        <v>4579.1999999999989</v>
      </c>
      <c r="BR82" s="100">
        <v>5</v>
      </c>
      <c r="BS82" s="100">
        <v>2543.9999999999995</v>
      </c>
      <c r="BT82" s="100">
        <v>7</v>
      </c>
      <c r="BU82" s="100">
        <v>3561.5999999999995</v>
      </c>
      <c r="BV82" s="100">
        <v>9</v>
      </c>
      <c r="BW82" s="100">
        <v>4579.1999999999989</v>
      </c>
      <c r="BX82" s="100">
        <v>4.8570629462907036</v>
      </c>
      <c r="BY82" s="100">
        <v>2471.2736270727096</v>
      </c>
      <c r="BZ82" s="100">
        <v>4.9619887439378259</v>
      </c>
      <c r="CA82" s="100">
        <v>2524.6598729155653</v>
      </c>
      <c r="CB82" s="100">
        <v>7</v>
      </c>
      <c r="CC82" s="100">
        <v>3561.5999999999995</v>
      </c>
      <c r="CD82" s="100">
        <v>5</v>
      </c>
      <c r="CE82" s="100">
        <v>2543.9999999999995</v>
      </c>
      <c r="CF82" s="100">
        <v>9</v>
      </c>
      <c r="CG82" s="100">
        <v>4579.1999999999989</v>
      </c>
      <c r="CH82" s="100">
        <v>8</v>
      </c>
      <c r="CI82" s="100">
        <v>4070.3999999999992</v>
      </c>
      <c r="CJ82" s="100">
        <v>7</v>
      </c>
      <c r="CK82" s="100">
        <v>3561.5999999999995</v>
      </c>
      <c r="CL82" s="100">
        <v>6</v>
      </c>
      <c r="CM82" s="100">
        <v>3052.7999999999993</v>
      </c>
      <c r="CN82" s="100">
        <v>6.2267916700145474</v>
      </c>
      <c r="CO82" s="100">
        <v>3168.1916017034009</v>
      </c>
      <c r="CP82" s="100">
        <v>6.6198677149631457</v>
      </c>
      <c r="CQ82" s="100">
        <v>3368.188693373248</v>
      </c>
      <c r="CR82" s="100">
        <v>6.624203821656014</v>
      </c>
      <c r="CS82" s="100">
        <v>3370.3949044585793</v>
      </c>
      <c r="CT82" s="100">
        <v>7</v>
      </c>
      <c r="CU82" s="100">
        <v>3561.5999999999995</v>
      </c>
    </row>
    <row r="83" spans="2:99">
      <c r="C83" s="99" t="s">
        <v>249</v>
      </c>
      <c r="D83" s="100">
        <v>7</v>
      </c>
      <c r="E83" s="100">
        <v>6022.8</v>
      </c>
      <c r="F83" s="100">
        <v>4.0788754229896389</v>
      </c>
      <c r="G83" s="100">
        <v>3509.4644139402853</v>
      </c>
      <c r="H83" s="100">
        <v>5</v>
      </c>
      <c r="I83" s="100">
        <v>4302</v>
      </c>
      <c r="J83" s="100">
        <v>6.9377599276816415</v>
      </c>
      <c r="K83" s="100">
        <v>5969.2486417772843</v>
      </c>
      <c r="L83" s="100">
        <v>2.0465208992754116</v>
      </c>
      <c r="M83" s="100">
        <v>1760.8265817365641</v>
      </c>
      <c r="N83" s="100">
        <v>7.9038608955614773</v>
      </c>
      <c r="O83" s="100">
        <v>6800.4819145410947</v>
      </c>
      <c r="P83" s="100">
        <v>5</v>
      </c>
      <c r="Q83" s="100">
        <v>4302</v>
      </c>
      <c r="R83" s="100">
        <v>8</v>
      </c>
      <c r="S83" s="100">
        <v>6883.2</v>
      </c>
      <c r="T83" s="100">
        <v>6</v>
      </c>
      <c r="U83" s="100">
        <v>5162.3999999999996</v>
      </c>
      <c r="V83" s="100">
        <v>4.1892628853011926</v>
      </c>
      <c r="W83" s="100">
        <v>3604.4417865131459</v>
      </c>
      <c r="X83" s="100">
        <v>7</v>
      </c>
      <c r="Y83" s="100">
        <v>6022.8</v>
      </c>
      <c r="Z83" s="100">
        <v>2.3701644245518199</v>
      </c>
      <c r="AA83" s="100">
        <v>2039.2894708843858</v>
      </c>
      <c r="AB83" s="100">
        <v>5</v>
      </c>
      <c r="AC83" s="100">
        <v>4302</v>
      </c>
      <c r="AD83" s="100">
        <v>6</v>
      </c>
      <c r="AE83" s="100">
        <v>5162.3999999999996</v>
      </c>
      <c r="AF83" s="100">
        <v>8</v>
      </c>
      <c r="AG83" s="100">
        <v>6883.2</v>
      </c>
      <c r="AH83" s="100">
        <v>0.65168604224854287</v>
      </c>
      <c r="AI83" s="100">
        <v>560.71067075064627</v>
      </c>
      <c r="AJ83" s="100">
        <v>6.8421052631578574</v>
      </c>
      <c r="AK83" s="100">
        <v>5886.9473684210207</v>
      </c>
      <c r="AL83" s="100">
        <v>4</v>
      </c>
      <c r="AM83" s="100">
        <v>3441.6</v>
      </c>
      <c r="AN83" s="100">
        <v>5</v>
      </c>
      <c r="AO83" s="100">
        <v>4302</v>
      </c>
      <c r="AP83" s="100">
        <v>7</v>
      </c>
      <c r="AQ83" s="100">
        <v>6022.8</v>
      </c>
      <c r="AR83" s="100">
        <v>4.9303165625932497</v>
      </c>
      <c r="AS83" s="100">
        <v>4242.0443704552317</v>
      </c>
      <c r="AT83" s="100">
        <v>4.9933787463409386E-4</v>
      </c>
      <c r="AU83" s="100">
        <v>0.42963030733517432</v>
      </c>
      <c r="AV83" s="100">
        <v>5</v>
      </c>
      <c r="AW83" s="100">
        <v>4302</v>
      </c>
      <c r="AX83" s="100">
        <v>7</v>
      </c>
      <c r="AY83" s="100">
        <v>6022.8</v>
      </c>
      <c r="AZ83" s="100">
        <v>0.21007434680068424</v>
      </c>
      <c r="BA83" s="100">
        <v>180.7479679873087</v>
      </c>
      <c r="BB83" s="100">
        <v>4.973324663005787</v>
      </c>
      <c r="BC83" s="100">
        <v>4279.0485400501793</v>
      </c>
      <c r="BD83" s="100">
        <v>9.2182977060158997</v>
      </c>
      <c r="BE83" s="100">
        <v>7931.4233462560796</v>
      </c>
      <c r="BF83" s="100">
        <v>1.8716397015605748</v>
      </c>
      <c r="BG83" s="100">
        <v>1610.3587992227185</v>
      </c>
      <c r="BH83" s="100">
        <v>5.8607336107633161</v>
      </c>
      <c r="BI83" s="100">
        <v>5042.575198700757</v>
      </c>
      <c r="BJ83" s="100">
        <v>8.3569176458616443</v>
      </c>
      <c r="BK83" s="100">
        <v>7190.2919424993588</v>
      </c>
      <c r="BL83" s="100">
        <v>6</v>
      </c>
      <c r="BM83" s="100">
        <v>5162.3999999999996</v>
      </c>
      <c r="BN83" s="100">
        <v>4.5738204336283097</v>
      </c>
      <c r="BO83" s="100">
        <v>3935.3151010937977</v>
      </c>
      <c r="BP83" s="100">
        <v>9</v>
      </c>
      <c r="BQ83" s="100">
        <v>7743.5999999999995</v>
      </c>
      <c r="BR83" s="100">
        <v>5</v>
      </c>
      <c r="BS83" s="100">
        <v>4302</v>
      </c>
      <c r="BT83" s="100">
        <v>7</v>
      </c>
      <c r="BU83" s="100">
        <v>6022.8</v>
      </c>
      <c r="BV83" s="100">
        <v>9</v>
      </c>
      <c r="BW83" s="100">
        <v>7743.5999999999995</v>
      </c>
      <c r="BX83" s="100">
        <v>5.5509290814750898</v>
      </c>
      <c r="BY83" s="100">
        <v>4776.0193817011668</v>
      </c>
      <c r="BZ83" s="100">
        <v>5.5822373369300546</v>
      </c>
      <c r="CA83" s="100">
        <v>4802.9570046946192</v>
      </c>
      <c r="CB83" s="100">
        <v>6</v>
      </c>
      <c r="CC83" s="100">
        <v>5162.3999999999996</v>
      </c>
      <c r="CD83" s="100">
        <v>5</v>
      </c>
      <c r="CE83" s="100">
        <v>4302</v>
      </c>
      <c r="CF83" s="100">
        <v>8</v>
      </c>
      <c r="CG83" s="100">
        <v>6883.2</v>
      </c>
      <c r="CH83" s="100">
        <v>7</v>
      </c>
      <c r="CI83" s="100">
        <v>6022.8</v>
      </c>
      <c r="CJ83" s="100">
        <v>6</v>
      </c>
      <c r="CK83" s="100">
        <v>5162.3999999999996</v>
      </c>
      <c r="CL83" s="100">
        <v>6</v>
      </c>
      <c r="CM83" s="100">
        <v>5162.3999999999996</v>
      </c>
      <c r="CN83" s="100">
        <v>5.6041125030130923</v>
      </c>
      <c r="CO83" s="100">
        <v>4821.7783975924649</v>
      </c>
      <c r="CP83" s="100">
        <v>6.6198677149631457</v>
      </c>
      <c r="CQ83" s="100">
        <v>5695.7341819542908</v>
      </c>
      <c r="CR83" s="100">
        <v>6.624203821656014</v>
      </c>
      <c r="CS83" s="100">
        <v>5699.4649681528344</v>
      </c>
      <c r="CT83" s="100">
        <v>7</v>
      </c>
      <c r="CU83" s="100">
        <v>6022.8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3.7954603991053308</v>
      </c>
      <c r="G84" s="100">
        <v>2965.0136637810842</v>
      </c>
      <c r="H84" s="100">
        <v>5</v>
      </c>
      <c r="I84" s="100">
        <v>3905.9999999999995</v>
      </c>
      <c r="J84" s="100">
        <v>6.0705399367214365</v>
      </c>
      <c r="K84" s="100">
        <v>4742.3057985667856</v>
      </c>
      <c r="L84" s="100">
        <v>2.376276641641847</v>
      </c>
      <c r="M84" s="100">
        <v>1856.3473124506108</v>
      </c>
      <c r="N84" s="100">
        <v>7.7532174129678983</v>
      </c>
      <c r="O84" s="100">
        <v>6056.813443010522</v>
      </c>
      <c r="P84" s="100">
        <v>5</v>
      </c>
      <c r="Q84" s="100">
        <v>3905.9999999999995</v>
      </c>
      <c r="R84" s="100">
        <v>9</v>
      </c>
      <c r="S84" s="100">
        <v>7030.7999999999993</v>
      </c>
      <c r="T84" s="100">
        <v>6</v>
      </c>
      <c r="U84" s="100">
        <v>4687.2</v>
      </c>
      <c r="V84" s="100">
        <v>4.1892628853011926</v>
      </c>
      <c r="W84" s="100">
        <v>3272.6521659972914</v>
      </c>
      <c r="X84" s="100">
        <v>7</v>
      </c>
      <c r="Y84" s="100">
        <v>5468.4</v>
      </c>
      <c r="Z84" s="100">
        <v>2.3822040764752201</v>
      </c>
      <c r="AA84" s="100">
        <v>1860.9778245424418</v>
      </c>
      <c r="AB84" s="100">
        <v>5</v>
      </c>
      <c r="AC84" s="100">
        <v>3905.9999999999995</v>
      </c>
      <c r="AD84" s="100">
        <v>5</v>
      </c>
      <c r="AE84" s="100">
        <v>3905.9999999999995</v>
      </c>
      <c r="AF84" s="100">
        <v>9</v>
      </c>
      <c r="AG84" s="100">
        <v>7030.7999999999993</v>
      </c>
      <c r="AH84" s="100">
        <v>0.65168604224854287</v>
      </c>
      <c r="AI84" s="100">
        <v>509.09713620456165</v>
      </c>
      <c r="AJ84" s="100">
        <v>6.8421052631578574</v>
      </c>
      <c r="AK84" s="100">
        <v>5345.0526315789175</v>
      </c>
      <c r="AL84" s="100">
        <v>5</v>
      </c>
      <c r="AM84" s="100">
        <v>3905.9999999999995</v>
      </c>
      <c r="AN84" s="100">
        <v>5</v>
      </c>
      <c r="AO84" s="100">
        <v>3905.9999999999995</v>
      </c>
      <c r="AP84" s="100">
        <v>7</v>
      </c>
      <c r="AQ84" s="100">
        <v>5468.4</v>
      </c>
      <c r="AR84" s="100">
        <v>4.9303165625932497</v>
      </c>
      <c r="AS84" s="100">
        <v>3851.5632986978462</v>
      </c>
      <c r="AT84" s="100">
        <v>4.9933787463409386E-4</v>
      </c>
      <c r="AU84" s="100">
        <v>0.39008274766415407</v>
      </c>
      <c r="AV84" s="100">
        <v>4</v>
      </c>
      <c r="AW84" s="100">
        <v>3124.7999999999997</v>
      </c>
      <c r="AX84" s="100">
        <v>7</v>
      </c>
      <c r="AY84" s="100">
        <v>5468.4</v>
      </c>
      <c r="AZ84" s="100">
        <v>0.21007434680068424</v>
      </c>
      <c r="BA84" s="100">
        <v>164.1100797206945</v>
      </c>
      <c r="BB84" s="100">
        <v>4.973324663005787</v>
      </c>
      <c r="BC84" s="100">
        <v>3885.1612267401206</v>
      </c>
      <c r="BD84" s="100">
        <v>8.2182977060158997</v>
      </c>
      <c r="BE84" s="100">
        <v>6420.1341679396201</v>
      </c>
      <c r="BF84" s="100">
        <v>1.6042626013376355</v>
      </c>
      <c r="BG84" s="100">
        <v>1253.2499441649609</v>
      </c>
      <c r="BH84" s="100">
        <v>6.0328803329159788</v>
      </c>
      <c r="BI84" s="100">
        <v>4712.8861160739625</v>
      </c>
      <c r="BJ84" s="100">
        <v>8.3569176458616443</v>
      </c>
      <c r="BK84" s="100">
        <v>6528.4240649471158</v>
      </c>
      <c r="BL84" s="100">
        <v>6</v>
      </c>
      <c r="BM84" s="100">
        <v>4687.2</v>
      </c>
      <c r="BN84" s="100">
        <v>5.1455479878318489</v>
      </c>
      <c r="BO84" s="100">
        <v>4019.70208809424</v>
      </c>
      <c r="BP84" s="100">
        <v>9</v>
      </c>
      <c r="BQ84" s="100">
        <v>7030.7999999999993</v>
      </c>
      <c r="BR84" s="100">
        <v>5</v>
      </c>
      <c r="BS84" s="100">
        <v>3905.9999999999995</v>
      </c>
      <c r="BT84" s="100">
        <v>6</v>
      </c>
      <c r="BU84" s="100">
        <v>4687.2</v>
      </c>
      <c r="BV84" s="100">
        <v>9</v>
      </c>
      <c r="BW84" s="100">
        <v>7030.7999999999993</v>
      </c>
      <c r="BX84" s="100">
        <v>5.5509290814750898</v>
      </c>
      <c r="BY84" s="100">
        <v>4336.3857984483402</v>
      </c>
      <c r="BZ84" s="100">
        <v>4.9619887439378259</v>
      </c>
      <c r="CA84" s="100">
        <v>3876.3056067642292</v>
      </c>
      <c r="CB84" s="100">
        <v>7</v>
      </c>
      <c r="CC84" s="100">
        <v>5468.4</v>
      </c>
      <c r="CD84" s="100">
        <v>5</v>
      </c>
      <c r="CE84" s="100">
        <v>3905.9999999999995</v>
      </c>
      <c r="CF84" s="100">
        <v>9</v>
      </c>
      <c r="CG84" s="100">
        <v>7030.7999999999993</v>
      </c>
      <c r="CH84" s="100">
        <v>7</v>
      </c>
      <c r="CI84" s="100">
        <v>5468.4</v>
      </c>
      <c r="CJ84" s="100">
        <v>6</v>
      </c>
      <c r="CK84" s="100">
        <v>4687.2</v>
      </c>
      <c r="CL84" s="100">
        <v>5</v>
      </c>
      <c r="CM84" s="100">
        <v>3905.9999999999995</v>
      </c>
      <c r="CN84" s="100">
        <v>5.6041125030130923</v>
      </c>
      <c r="CO84" s="100">
        <v>4377.9326873538275</v>
      </c>
      <c r="CP84" s="100">
        <v>6.6198677149631457</v>
      </c>
      <c r="CQ84" s="100">
        <v>5171.4406589292093</v>
      </c>
      <c r="CR84" s="100">
        <v>7.4522292993630153</v>
      </c>
      <c r="CS84" s="100">
        <v>5821.6815286623869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7</v>
      </c>
      <c r="E85" s="100">
        <v>1050</v>
      </c>
      <c r="F85" s="100">
        <v>3.7954603991053308</v>
      </c>
      <c r="G85" s="100">
        <v>569.31905986579966</v>
      </c>
      <c r="H85" s="100">
        <v>5</v>
      </c>
      <c r="I85" s="100">
        <v>750</v>
      </c>
      <c r="J85" s="100">
        <v>6.9377599276816415</v>
      </c>
      <c r="K85" s="100">
        <v>1040.6639891522461</v>
      </c>
      <c r="L85" s="100">
        <v>2.3876077158213134</v>
      </c>
      <c r="M85" s="100">
        <v>358.14115737319702</v>
      </c>
      <c r="N85" s="100">
        <v>8.9038608955614773</v>
      </c>
      <c r="O85" s="100">
        <v>1335.5791343342216</v>
      </c>
      <c r="P85" s="100">
        <v>6</v>
      </c>
      <c r="Q85" s="100">
        <v>900</v>
      </c>
      <c r="R85" s="100">
        <v>9</v>
      </c>
      <c r="S85" s="100">
        <v>1350</v>
      </c>
      <c r="T85" s="100">
        <v>6</v>
      </c>
      <c r="U85" s="100">
        <v>900</v>
      </c>
      <c r="V85" s="100">
        <v>4.7877290117727913</v>
      </c>
      <c r="W85" s="100">
        <v>718.1593517659187</v>
      </c>
      <c r="X85" s="100">
        <v>7</v>
      </c>
      <c r="Y85" s="100">
        <v>1050</v>
      </c>
      <c r="Z85" s="100">
        <v>2.3701644245518199</v>
      </c>
      <c r="AA85" s="100">
        <v>355.524663682773</v>
      </c>
      <c r="AB85" s="100">
        <v>6</v>
      </c>
      <c r="AC85" s="100">
        <v>900</v>
      </c>
      <c r="AD85" s="100">
        <v>6</v>
      </c>
      <c r="AE85" s="100">
        <v>900</v>
      </c>
      <c r="AF85" s="100">
        <v>8</v>
      </c>
      <c r="AG85" s="100">
        <v>1200</v>
      </c>
      <c r="AH85" s="100">
        <v>0.65168604224854287</v>
      </c>
      <c r="AI85" s="100">
        <v>97.752906337281431</v>
      </c>
      <c r="AJ85" s="100">
        <v>7.6973684210525892</v>
      </c>
      <c r="AK85" s="100">
        <v>1154.6052631578884</v>
      </c>
      <c r="AL85" s="100">
        <v>5</v>
      </c>
      <c r="AM85" s="100">
        <v>750</v>
      </c>
      <c r="AN85" s="100">
        <v>6</v>
      </c>
      <c r="AO85" s="100">
        <v>900</v>
      </c>
      <c r="AP85" s="100">
        <v>7</v>
      </c>
      <c r="AQ85" s="100">
        <v>1050</v>
      </c>
      <c r="AR85" s="100">
        <v>4.9303165625932497</v>
      </c>
      <c r="AS85" s="100">
        <v>739.54748438898741</v>
      </c>
      <c r="AT85" s="100">
        <v>4.9933787463409386E-4</v>
      </c>
      <c r="AU85" s="100">
        <v>7.4900681195114074E-2</v>
      </c>
      <c r="AV85" s="100">
        <v>5</v>
      </c>
      <c r="AW85" s="100">
        <v>750</v>
      </c>
      <c r="AX85" s="100">
        <v>7</v>
      </c>
      <c r="AY85" s="100">
        <v>1050</v>
      </c>
      <c r="AZ85" s="100">
        <v>0.2450867379341316</v>
      </c>
      <c r="BA85" s="100">
        <v>36.763010690119742</v>
      </c>
      <c r="BB85" s="100">
        <v>4.973324663005787</v>
      </c>
      <c r="BC85" s="100">
        <v>745.998699450868</v>
      </c>
      <c r="BD85" s="100">
        <v>9.2182977060158997</v>
      </c>
      <c r="BE85" s="100">
        <v>1382.7446559023849</v>
      </c>
      <c r="BF85" s="100">
        <v>1.6042626013376355</v>
      </c>
      <c r="BG85" s="100">
        <v>240.63939020064532</v>
      </c>
      <c r="BH85" s="100">
        <v>6.0328803329159788</v>
      </c>
      <c r="BI85" s="100">
        <v>904.93204993739687</v>
      </c>
      <c r="BJ85" s="100">
        <v>9.4164039201719199</v>
      </c>
      <c r="BK85" s="100">
        <v>1412.460588025788</v>
      </c>
      <c r="BL85" s="100">
        <v>6</v>
      </c>
      <c r="BM85" s="100">
        <v>900</v>
      </c>
      <c r="BN85" s="100">
        <v>5.7172755420353871</v>
      </c>
      <c r="BO85" s="100">
        <v>857.59133130530802</v>
      </c>
      <c r="BP85" s="100">
        <v>10</v>
      </c>
      <c r="BQ85" s="100">
        <v>1500</v>
      </c>
      <c r="BR85" s="100">
        <v>5</v>
      </c>
      <c r="BS85" s="100">
        <v>750</v>
      </c>
      <c r="BT85" s="100">
        <v>7</v>
      </c>
      <c r="BU85" s="100">
        <v>1050</v>
      </c>
      <c r="BV85" s="100">
        <v>9</v>
      </c>
      <c r="BW85" s="100">
        <v>1350</v>
      </c>
      <c r="BX85" s="100">
        <v>5.5509290814750898</v>
      </c>
      <c r="BY85" s="100">
        <v>832.63936222126347</v>
      </c>
      <c r="BZ85" s="100">
        <v>4.9619887439378259</v>
      </c>
      <c r="CA85" s="100">
        <v>744.29831159067385</v>
      </c>
      <c r="CB85" s="100">
        <v>7</v>
      </c>
      <c r="CC85" s="100">
        <v>1050</v>
      </c>
      <c r="CD85" s="100">
        <v>5</v>
      </c>
      <c r="CE85" s="100">
        <v>750</v>
      </c>
      <c r="CF85" s="100">
        <v>8</v>
      </c>
      <c r="CG85" s="100">
        <v>1200</v>
      </c>
      <c r="CH85" s="100">
        <v>9</v>
      </c>
      <c r="CI85" s="100">
        <v>1350</v>
      </c>
      <c r="CJ85" s="100">
        <v>7</v>
      </c>
      <c r="CK85" s="100">
        <v>1050</v>
      </c>
      <c r="CL85" s="100">
        <v>6</v>
      </c>
      <c r="CM85" s="100">
        <v>900</v>
      </c>
      <c r="CN85" s="100">
        <v>5.6041125030130923</v>
      </c>
      <c r="CO85" s="100">
        <v>840.61687545196389</v>
      </c>
      <c r="CP85" s="100">
        <v>7.4473511793335403</v>
      </c>
      <c r="CQ85" s="100">
        <v>1117.1026769000312</v>
      </c>
      <c r="CR85" s="100">
        <v>7.4522292993630153</v>
      </c>
      <c r="CS85" s="100">
        <v>1117.8343949044522</v>
      </c>
      <c r="CT85" s="100">
        <v>7</v>
      </c>
      <c r="CU85" s="100">
        <v>1050</v>
      </c>
    </row>
    <row r="86" spans="2:99">
      <c r="C86" s="99" t="s">
        <v>252</v>
      </c>
      <c r="D86" s="100">
        <v>8</v>
      </c>
      <c r="E86" s="100">
        <v>4320</v>
      </c>
      <c r="F86" s="100">
        <v>4.0552575043326131</v>
      </c>
      <c r="G86" s="100">
        <v>2189.839052339611</v>
      </c>
      <c r="H86" s="100">
        <v>4</v>
      </c>
      <c r="I86" s="100">
        <v>2160</v>
      </c>
      <c r="J86" s="100">
        <v>6.9377599276816415</v>
      </c>
      <c r="K86" s="100">
        <v>3746.3903609480863</v>
      </c>
      <c r="L86" s="100">
        <v>2.3876077158213134</v>
      </c>
      <c r="M86" s="100">
        <v>1289.3081665435093</v>
      </c>
      <c r="N86" s="100">
        <v>7.7532174129678983</v>
      </c>
      <c r="O86" s="100">
        <v>4186.7374030026649</v>
      </c>
      <c r="P86" s="100">
        <v>5</v>
      </c>
      <c r="Q86" s="100">
        <v>2700</v>
      </c>
      <c r="R86" s="100">
        <v>8</v>
      </c>
      <c r="S86" s="100">
        <v>4320</v>
      </c>
      <c r="T86" s="100">
        <v>6</v>
      </c>
      <c r="U86" s="100">
        <v>3240</v>
      </c>
      <c r="V86" s="100">
        <v>5.3861951382443909</v>
      </c>
      <c r="W86" s="100">
        <v>2908.5453746519711</v>
      </c>
      <c r="X86" s="100">
        <v>6</v>
      </c>
      <c r="Y86" s="100">
        <v>3240</v>
      </c>
      <c r="Z86" s="100">
        <v>2.39424372839862</v>
      </c>
      <c r="AA86" s="100">
        <v>1292.8916133352548</v>
      </c>
      <c r="AB86" s="100">
        <v>5</v>
      </c>
      <c r="AC86" s="100">
        <v>2700</v>
      </c>
      <c r="AD86" s="100">
        <v>6</v>
      </c>
      <c r="AE86" s="100">
        <v>3240</v>
      </c>
      <c r="AF86" s="100">
        <v>9</v>
      </c>
      <c r="AG86" s="100">
        <v>4860</v>
      </c>
      <c r="AH86" s="100">
        <v>0.65168604224854287</v>
      </c>
      <c r="AI86" s="100">
        <v>351.91046281421313</v>
      </c>
      <c r="AJ86" s="100">
        <v>7.6973684210525892</v>
      </c>
      <c r="AK86" s="100">
        <v>4156.5789473683981</v>
      </c>
      <c r="AL86" s="100">
        <v>5</v>
      </c>
      <c r="AM86" s="100">
        <v>2700</v>
      </c>
      <c r="AN86" s="100">
        <v>5</v>
      </c>
      <c r="AO86" s="100">
        <v>2700</v>
      </c>
      <c r="AP86" s="100">
        <v>8</v>
      </c>
      <c r="AQ86" s="100">
        <v>4320</v>
      </c>
      <c r="AR86" s="100">
        <v>4.9303165625932497</v>
      </c>
      <c r="AS86" s="100">
        <v>2662.3709438003548</v>
      </c>
      <c r="AT86" s="100">
        <v>5.0096312940942772E-4</v>
      </c>
      <c r="AU86" s="100">
        <v>0.270520089881091</v>
      </c>
      <c r="AV86" s="100">
        <v>5</v>
      </c>
      <c r="AW86" s="100">
        <v>2700</v>
      </c>
      <c r="AX86" s="100">
        <v>7</v>
      </c>
      <c r="AY86" s="100">
        <v>3780</v>
      </c>
      <c r="AZ86" s="100">
        <v>0.2450867379341316</v>
      </c>
      <c r="BA86" s="100">
        <v>132.34683848443106</v>
      </c>
      <c r="BB86" s="100">
        <v>4.973324663005787</v>
      </c>
      <c r="BC86" s="100">
        <v>2685.5953180231249</v>
      </c>
      <c r="BD86" s="100">
        <v>9.2182977060158997</v>
      </c>
      <c r="BE86" s="100">
        <v>4977.8807612485862</v>
      </c>
      <c r="BF86" s="100">
        <v>1.8716397015605748</v>
      </c>
      <c r="BG86" s="100">
        <v>1010.6854388427104</v>
      </c>
      <c r="BH86" s="100">
        <v>5.8607336107633161</v>
      </c>
      <c r="BI86" s="100">
        <v>3164.7961498121908</v>
      </c>
      <c r="BJ86" s="100">
        <v>9.4164039201719199</v>
      </c>
      <c r="BK86" s="100">
        <v>5084.8581168928367</v>
      </c>
      <c r="BL86" s="100">
        <v>6</v>
      </c>
      <c r="BM86" s="100">
        <v>3240</v>
      </c>
      <c r="BN86" s="100">
        <v>5.1455479878318489</v>
      </c>
      <c r="BO86" s="100">
        <v>2778.5959134291984</v>
      </c>
      <c r="BP86" s="100">
        <v>9</v>
      </c>
      <c r="BQ86" s="100">
        <v>4860</v>
      </c>
      <c r="BR86" s="100">
        <v>5</v>
      </c>
      <c r="BS86" s="100">
        <v>2700</v>
      </c>
      <c r="BT86" s="100">
        <v>6</v>
      </c>
      <c r="BU86" s="100">
        <v>3240</v>
      </c>
      <c r="BV86" s="100">
        <v>9</v>
      </c>
      <c r="BW86" s="100">
        <v>4860</v>
      </c>
      <c r="BX86" s="100">
        <v>5.5509290814750898</v>
      </c>
      <c r="BY86" s="100">
        <v>2997.5017039965487</v>
      </c>
      <c r="BZ86" s="100">
        <v>4.9619887439378259</v>
      </c>
      <c r="CA86" s="100">
        <v>2679.4739217264259</v>
      </c>
      <c r="CB86" s="100">
        <v>7</v>
      </c>
      <c r="CC86" s="100">
        <v>3780</v>
      </c>
      <c r="CD86" s="100">
        <v>5</v>
      </c>
      <c r="CE86" s="100">
        <v>2700</v>
      </c>
      <c r="CF86" s="100">
        <v>8</v>
      </c>
      <c r="CG86" s="100">
        <v>4320</v>
      </c>
      <c r="CH86" s="100">
        <v>8</v>
      </c>
      <c r="CI86" s="100">
        <v>4320</v>
      </c>
      <c r="CJ86" s="100">
        <v>7</v>
      </c>
      <c r="CK86" s="100">
        <v>3780</v>
      </c>
      <c r="CL86" s="100">
        <v>5</v>
      </c>
      <c r="CM86" s="100">
        <v>2700</v>
      </c>
      <c r="CN86" s="100">
        <v>5.6041125030130923</v>
      </c>
      <c r="CO86" s="100">
        <v>3026.2207516270696</v>
      </c>
      <c r="CP86" s="100">
        <v>6.6198677149631457</v>
      </c>
      <c r="CQ86" s="100">
        <v>3574.7285660800985</v>
      </c>
      <c r="CR86" s="100">
        <v>6.624203821656014</v>
      </c>
      <c r="CS86" s="100">
        <v>3577.0700636942474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6</v>
      </c>
      <c r="G87" s="100">
        <v>6444</v>
      </c>
      <c r="H87" s="100">
        <v>2.4874277209439399</v>
      </c>
      <c r="I87" s="100">
        <v>2671.4973722937916</v>
      </c>
      <c r="J87" s="100">
        <v>5.803108808290153</v>
      </c>
      <c r="K87" s="100">
        <v>6232.5388601036238</v>
      </c>
      <c r="L87" s="100">
        <v>4.8883036164645093</v>
      </c>
      <c r="M87" s="100">
        <v>5250.038084082883</v>
      </c>
      <c r="N87" s="100">
        <v>7</v>
      </c>
      <c r="O87" s="100">
        <v>7518</v>
      </c>
      <c r="P87" s="100">
        <v>3.9950399000266361</v>
      </c>
      <c r="Q87" s="100">
        <v>4290.672852628607</v>
      </c>
      <c r="R87" s="100">
        <v>8</v>
      </c>
      <c r="S87" s="100">
        <v>8592</v>
      </c>
      <c r="T87" s="100">
        <v>6.307898250905061</v>
      </c>
      <c r="U87" s="100">
        <v>6774.6827214720352</v>
      </c>
      <c r="V87" s="100">
        <v>3.2763437475734238</v>
      </c>
      <c r="W87" s="100">
        <v>3518.7931848938574</v>
      </c>
      <c r="X87" s="100">
        <v>9.005528587157773</v>
      </c>
      <c r="Y87" s="100">
        <v>9671.937702607449</v>
      </c>
      <c r="Z87" s="100">
        <v>0.44596218648222324</v>
      </c>
      <c r="AA87" s="100">
        <v>478.96338828190778</v>
      </c>
      <c r="AB87" s="100">
        <v>4.3956043956044244</v>
      </c>
      <c r="AC87" s="100">
        <v>4720.8791208791517</v>
      </c>
      <c r="AD87" s="100">
        <v>7</v>
      </c>
      <c r="AE87" s="100">
        <v>7518</v>
      </c>
      <c r="AF87" s="100">
        <v>7.6188421602042435</v>
      </c>
      <c r="AG87" s="100">
        <v>8182.6364800593574</v>
      </c>
      <c r="AH87" s="100">
        <v>4</v>
      </c>
      <c r="AI87" s="100">
        <v>4296</v>
      </c>
      <c r="AJ87" s="100">
        <v>4</v>
      </c>
      <c r="AK87" s="100">
        <v>4296</v>
      </c>
      <c r="AL87" s="100">
        <v>7.0273374365704839</v>
      </c>
      <c r="AM87" s="100">
        <v>7547.3604068766999</v>
      </c>
      <c r="AN87" s="100">
        <v>5</v>
      </c>
      <c r="AO87" s="100">
        <v>5370</v>
      </c>
      <c r="AP87" s="100">
        <v>5</v>
      </c>
      <c r="AQ87" s="100">
        <v>5370</v>
      </c>
      <c r="AR87" s="100">
        <v>4.913433434127449</v>
      </c>
      <c r="AS87" s="100">
        <v>5277.0275082528806</v>
      </c>
      <c r="AT87" s="100">
        <v>6</v>
      </c>
      <c r="AU87" s="100">
        <v>6444</v>
      </c>
      <c r="AV87" s="100">
        <v>0.27011327514786393</v>
      </c>
      <c r="AW87" s="100">
        <v>290.10165750880589</v>
      </c>
      <c r="AX87" s="100">
        <v>3.2380344649332588E-4</v>
      </c>
      <c r="AY87" s="100">
        <v>0.34776490153383199</v>
      </c>
      <c r="AZ87" s="100">
        <v>4.3173792865776783E-4</v>
      </c>
      <c r="BA87" s="100">
        <v>0.46368653537844268</v>
      </c>
      <c r="BB87" s="100">
        <v>3.4778888697431298E-4</v>
      </c>
      <c r="BC87" s="100">
        <v>0.37352526461041213</v>
      </c>
      <c r="BD87" s="100">
        <v>2.2094233314036389</v>
      </c>
      <c r="BE87" s="100">
        <v>2372.9206579275083</v>
      </c>
      <c r="BF87" s="100">
        <v>6.6221363601637462</v>
      </c>
      <c r="BG87" s="100">
        <v>7112.1744508158636</v>
      </c>
      <c r="BH87" s="100">
        <v>7.246701578377067</v>
      </c>
      <c r="BI87" s="100">
        <v>7782.95749517697</v>
      </c>
      <c r="BJ87" s="100">
        <v>5.7655706959523165</v>
      </c>
      <c r="BK87" s="100">
        <v>6192.2229274527881</v>
      </c>
      <c r="BL87" s="100">
        <v>4.4014161197458366</v>
      </c>
      <c r="BM87" s="100">
        <v>4727.1209126070289</v>
      </c>
      <c r="BN87" s="100">
        <v>6.4457717796838674</v>
      </c>
      <c r="BO87" s="100">
        <v>6922.7588913804739</v>
      </c>
      <c r="BP87" s="100">
        <v>3.9549873812006751</v>
      </c>
      <c r="BQ87" s="100">
        <v>4247.6564474095248</v>
      </c>
      <c r="BR87" s="100">
        <v>7.5874362764660033</v>
      </c>
      <c r="BS87" s="100">
        <v>8148.9065609244872</v>
      </c>
      <c r="BT87" s="100">
        <v>3.6405692053962988</v>
      </c>
      <c r="BU87" s="100">
        <v>3909.9713265956248</v>
      </c>
      <c r="BV87" s="100">
        <v>7.0714098804933139</v>
      </c>
      <c r="BW87" s="100">
        <v>7594.6942116498194</v>
      </c>
      <c r="BX87" s="100">
        <v>5</v>
      </c>
      <c r="BY87" s="100">
        <v>5370</v>
      </c>
      <c r="BZ87" s="100">
        <v>6.0692051830585614</v>
      </c>
      <c r="CA87" s="100">
        <v>6518.3263666048952</v>
      </c>
      <c r="CB87" s="100">
        <v>8</v>
      </c>
      <c r="CC87" s="100">
        <v>8592</v>
      </c>
      <c r="CD87" s="100">
        <v>7.1998543972720102</v>
      </c>
      <c r="CE87" s="100">
        <v>7732.6436226701389</v>
      </c>
      <c r="CF87" s="100">
        <v>6</v>
      </c>
      <c r="CG87" s="100">
        <v>6444</v>
      </c>
      <c r="CH87" s="100">
        <v>7.4565433284709144</v>
      </c>
      <c r="CI87" s="100">
        <v>8008.3275347777617</v>
      </c>
      <c r="CJ87" s="100">
        <v>3.7845307774943437</v>
      </c>
      <c r="CK87" s="100">
        <v>4064.5860550289253</v>
      </c>
      <c r="CL87" s="100">
        <v>6</v>
      </c>
      <c r="CM87" s="100">
        <v>6444</v>
      </c>
      <c r="CN87" s="100">
        <v>7.6849680155030731</v>
      </c>
      <c r="CO87" s="100">
        <v>8253.6556486503014</v>
      </c>
      <c r="CP87" s="100">
        <v>8</v>
      </c>
      <c r="CQ87" s="100">
        <v>8592</v>
      </c>
      <c r="CR87" s="100">
        <v>7</v>
      </c>
      <c r="CS87" s="100">
        <v>7518</v>
      </c>
      <c r="CT87" s="100">
        <v>9.1433751090756807</v>
      </c>
      <c r="CU87" s="100">
        <v>9819.984867147281</v>
      </c>
    </row>
    <row r="88" spans="2:99">
      <c r="C88" s="99" t="s">
        <v>254</v>
      </c>
      <c r="D88" s="100">
        <v>6</v>
      </c>
      <c r="E88" s="100">
        <v>5954.4</v>
      </c>
      <c r="F88" s="100">
        <v>6</v>
      </c>
      <c r="G88" s="100">
        <v>5954.4</v>
      </c>
      <c r="H88" s="100">
        <v>2.4874277209439399</v>
      </c>
      <c r="I88" s="100">
        <v>2468.5232702647659</v>
      </c>
      <c r="J88" s="100">
        <v>5.803108808290153</v>
      </c>
      <c r="K88" s="100">
        <v>5759.0051813471473</v>
      </c>
      <c r="L88" s="100">
        <v>4.8883036164645093</v>
      </c>
      <c r="M88" s="100">
        <v>4851.1525089793786</v>
      </c>
      <c r="N88" s="100">
        <v>7</v>
      </c>
      <c r="O88" s="100">
        <v>6946.8</v>
      </c>
      <c r="P88" s="100">
        <v>3.9950399000266361</v>
      </c>
      <c r="Q88" s="100">
        <v>3964.6775967864337</v>
      </c>
      <c r="R88" s="100">
        <v>9</v>
      </c>
      <c r="S88" s="100">
        <v>8931.6</v>
      </c>
      <c r="T88" s="100">
        <v>6.307898250905061</v>
      </c>
      <c r="U88" s="100">
        <v>6259.9582241981825</v>
      </c>
      <c r="V88" s="100">
        <v>3.2763437475734238</v>
      </c>
      <c r="W88" s="100">
        <v>3251.4435350918657</v>
      </c>
      <c r="X88" s="100">
        <v>7.0055285871577739</v>
      </c>
      <c r="Y88" s="100">
        <v>6952.2865698953747</v>
      </c>
      <c r="Z88" s="100">
        <v>0.34685947837506254</v>
      </c>
      <c r="AA88" s="100">
        <v>344.22334633941205</v>
      </c>
      <c r="AB88" s="100">
        <v>4.3956043956044244</v>
      </c>
      <c r="AC88" s="100">
        <v>4362.1978021978302</v>
      </c>
      <c r="AD88" s="100">
        <v>7</v>
      </c>
      <c r="AE88" s="100">
        <v>6946.8</v>
      </c>
      <c r="AF88" s="100">
        <v>7.6188421602042435</v>
      </c>
      <c r="AG88" s="100">
        <v>7560.9389597866912</v>
      </c>
      <c r="AH88" s="100">
        <v>4</v>
      </c>
      <c r="AI88" s="100">
        <v>3969.6</v>
      </c>
      <c r="AJ88" s="100">
        <v>4</v>
      </c>
      <c r="AK88" s="100">
        <v>3969.6</v>
      </c>
      <c r="AL88" s="100">
        <v>7.0273374365704839</v>
      </c>
      <c r="AM88" s="100">
        <v>6973.9296720525481</v>
      </c>
      <c r="AN88" s="100">
        <v>5</v>
      </c>
      <c r="AO88" s="100">
        <v>4962</v>
      </c>
      <c r="AP88" s="100">
        <v>5</v>
      </c>
      <c r="AQ88" s="100">
        <v>4962</v>
      </c>
      <c r="AR88" s="100">
        <v>4.913433434127449</v>
      </c>
      <c r="AS88" s="100">
        <v>4876.0913400280806</v>
      </c>
      <c r="AT88" s="100">
        <v>7</v>
      </c>
      <c r="AU88" s="100">
        <v>6946.8</v>
      </c>
      <c r="AV88" s="100">
        <v>0.27011327514786393</v>
      </c>
      <c r="AW88" s="100">
        <v>268.06041425674016</v>
      </c>
      <c r="AX88" s="100">
        <v>2.7754581127999357E-4</v>
      </c>
      <c r="AY88" s="100">
        <v>0.27543646311426562</v>
      </c>
      <c r="AZ88" s="100">
        <v>4.3173792865776783E-4</v>
      </c>
      <c r="BA88" s="100">
        <v>0.42845672039996879</v>
      </c>
      <c r="BB88" s="100">
        <v>2.7823110957945037E-4</v>
      </c>
      <c r="BC88" s="100">
        <v>0.27611655314664652</v>
      </c>
      <c r="BD88" s="100">
        <v>2.6512880333732936</v>
      </c>
      <c r="BE88" s="100">
        <v>2631.1382443196567</v>
      </c>
      <c r="BF88" s="100">
        <v>7.5049015842089082</v>
      </c>
      <c r="BG88" s="100">
        <v>7447.8643321689206</v>
      </c>
      <c r="BH88" s="100">
        <v>7.246701578377067</v>
      </c>
      <c r="BI88" s="100">
        <v>7191.6266463814009</v>
      </c>
      <c r="BJ88" s="100">
        <v>5.7100283249692154</v>
      </c>
      <c r="BK88" s="100">
        <v>5666.6321096994488</v>
      </c>
      <c r="BL88" s="100">
        <v>3.8066044714690768</v>
      </c>
      <c r="BM88" s="100">
        <v>3777.6742774859117</v>
      </c>
      <c r="BN88" s="100">
        <v>6.5942860806352996</v>
      </c>
      <c r="BO88" s="100">
        <v>6544.1695064224714</v>
      </c>
      <c r="BP88" s="100">
        <v>3.9549873812006751</v>
      </c>
      <c r="BQ88" s="100">
        <v>3924.9294771035497</v>
      </c>
      <c r="BR88" s="100">
        <v>7.4895302303883362</v>
      </c>
      <c r="BS88" s="100">
        <v>7432.609800637385</v>
      </c>
      <c r="BT88" s="100">
        <v>4.1363214301336795</v>
      </c>
      <c r="BU88" s="100">
        <v>4104.8853872646632</v>
      </c>
      <c r="BV88" s="100">
        <v>6.1574241062760393</v>
      </c>
      <c r="BW88" s="100">
        <v>6110.627683068341</v>
      </c>
      <c r="BX88" s="100">
        <v>6</v>
      </c>
      <c r="BY88" s="100">
        <v>5954.4</v>
      </c>
      <c r="BZ88" s="100">
        <v>6.2631289650996598</v>
      </c>
      <c r="CA88" s="100">
        <v>6215.529184964902</v>
      </c>
      <c r="CB88" s="100">
        <v>8</v>
      </c>
      <c r="CC88" s="100">
        <v>7939.2</v>
      </c>
      <c r="CD88" s="100">
        <v>7.1998543972720102</v>
      </c>
      <c r="CE88" s="100">
        <v>7145.1355038527427</v>
      </c>
      <c r="CF88" s="100">
        <v>6</v>
      </c>
      <c r="CG88" s="100">
        <v>5954.4</v>
      </c>
      <c r="CH88" s="100">
        <v>8.3922129227532629</v>
      </c>
      <c r="CI88" s="100">
        <v>8328.4321045403376</v>
      </c>
      <c r="CJ88" s="100">
        <v>3.8138600330173271</v>
      </c>
      <c r="CK88" s="100">
        <v>3784.8746967663956</v>
      </c>
      <c r="CL88" s="100">
        <v>6</v>
      </c>
      <c r="CM88" s="100">
        <v>5954.4</v>
      </c>
      <c r="CN88" s="100">
        <v>7.6718180850755822</v>
      </c>
      <c r="CO88" s="100">
        <v>7613.5122676290075</v>
      </c>
      <c r="CP88" s="100">
        <v>8</v>
      </c>
      <c r="CQ88" s="100">
        <v>7939.2</v>
      </c>
      <c r="CR88" s="100">
        <v>7</v>
      </c>
      <c r="CS88" s="100">
        <v>6946.8</v>
      </c>
      <c r="CT88" s="100">
        <v>7.1228929506362988</v>
      </c>
      <c r="CU88" s="100">
        <v>7068.7589642114626</v>
      </c>
    </row>
    <row r="89" spans="2:99">
      <c r="C89" s="99" t="s">
        <v>255</v>
      </c>
      <c r="D89" s="100">
        <v>6</v>
      </c>
      <c r="E89" s="100">
        <v>6372</v>
      </c>
      <c r="F89" s="100">
        <v>6</v>
      </c>
      <c r="G89" s="100">
        <v>6372</v>
      </c>
      <c r="H89" s="100">
        <v>2.6937265553541865</v>
      </c>
      <c r="I89" s="100">
        <v>2860.7376017861461</v>
      </c>
      <c r="J89" s="100">
        <v>4.9740932642487028</v>
      </c>
      <c r="K89" s="100">
        <v>5282.4870466321227</v>
      </c>
      <c r="L89" s="100">
        <v>5.8659643397574115</v>
      </c>
      <c r="M89" s="100">
        <v>6229.6541288223707</v>
      </c>
      <c r="N89" s="100">
        <v>7</v>
      </c>
      <c r="O89" s="100">
        <v>7434</v>
      </c>
      <c r="P89" s="100">
        <v>4.1871831461581106</v>
      </c>
      <c r="Q89" s="100">
        <v>4446.7885012199131</v>
      </c>
      <c r="R89" s="100">
        <v>7</v>
      </c>
      <c r="S89" s="100">
        <v>7434</v>
      </c>
      <c r="T89" s="100">
        <v>6.307898250905061</v>
      </c>
      <c r="U89" s="100">
        <v>6698.9879424611745</v>
      </c>
      <c r="V89" s="100">
        <v>3.2763437475734238</v>
      </c>
      <c r="W89" s="100">
        <v>3479.477059922976</v>
      </c>
      <c r="X89" s="100">
        <v>8.005528587157773</v>
      </c>
      <c r="Y89" s="100">
        <v>8501.8713595615554</v>
      </c>
      <c r="Z89" s="100">
        <v>0.34685947837506254</v>
      </c>
      <c r="AA89" s="100">
        <v>368.3647660343164</v>
      </c>
      <c r="AB89" s="100">
        <v>4.3956043956044244</v>
      </c>
      <c r="AC89" s="100">
        <v>4668.131868131899</v>
      </c>
      <c r="AD89" s="100">
        <v>7</v>
      </c>
      <c r="AE89" s="100">
        <v>7434</v>
      </c>
      <c r="AF89" s="100">
        <v>7.6188421602042435</v>
      </c>
      <c r="AG89" s="100">
        <v>8091.2103741369065</v>
      </c>
      <c r="AH89" s="100">
        <v>4</v>
      </c>
      <c r="AI89" s="100">
        <v>4248</v>
      </c>
      <c r="AJ89" s="100">
        <v>5</v>
      </c>
      <c r="AK89" s="100">
        <v>5310</v>
      </c>
      <c r="AL89" s="100">
        <v>6.1489202569991734</v>
      </c>
      <c r="AM89" s="100">
        <v>6530.1533129331219</v>
      </c>
      <c r="AN89" s="100">
        <v>5</v>
      </c>
      <c r="AO89" s="100">
        <v>5310</v>
      </c>
      <c r="AP89" s="100">
        <v>5</v>
      </c>
      <c r="AQ89" s="100">
        <v>5310</v>
      </c>
      <c r="AR89" s="100">
        <v>4.913433434127449</v>
      </c>
      <c r="AS89" s="100">
        <v>5218.0663070433511</v>
      </c>
      <c r="AT89" s="100">
        <v>7</v>
      </c>
      <c r="AU89" s="100">
        <v>7434</v>
      </c>
      <c r="AV89" s="100">
        <v>0.23634911575438095</v>
      </c>
      <c r="AW89" s="100">
        <v>251.00276093115255</v>
      </c>
      <c r="AX89" s="100">
        <v>3.2380344649332588E-4</v>
      </c>
      <c r="AY89" s="100">
        <v>0.34387926017591208</v>
      </c>
      <c r="AZ89" s="100">
        <v>3.7777068757554683E-4</v>
      </c>
      <c r="BA89" s="100">
        <v>0.40119247020523074</v>
      </c>
      <c r="BB89" s="100">
        <v>3.4778888697431298E-4</v>
      </c>
      <c r="BC89" s="100">
        <v>0.36935179796672041</v>
      </c>
      <c r="BD89" s="100">
        <v>2.2094233314036389</v>
      </c>
      <c r="BE89" s="100">
        <v>2346.4075779506643</v>
      </c>
      <c r="BF89" s="100">
        <v>7.5049015842089082</v>
      </c>
      <c r="BG89" s="100">
        <v>7970.2054824298602</v>
      </c>
      <c r="BH89" s="100">
        <v>8.1525392756742008</v>
      </c>
      <c r="BI89" s="100">
        <v>8657.9967107660013</v>
      </c>
      <c r="BJ89" s="100">
        <v>5.7634624264081689</v>
      </c>
      <c r="BK89" s="100">
        <v>6120.7970968454756</v>
      </c>
      <c r="BL89" s="100">
        <v>4.4311329424719013</v>
      </c>
      <c r="BM89" s="100">
        <v>4705.863184905159</v>
      </c>
      <c r="BN89" s="100">
        <v>6.5942860806352996</v>
      </c>
      <c r="BO89" s="100">
        <v>7003.1318176346886</v>
      </c>
      <c r="BP89" s="100">
        <v>3.9549873812006751</v>
      </c>
      <c r="BQ89" s="100">
        <v>4200.1965988351167</v>
      </c>
      <c r="BR89" s="100">
        <v>7.5874362764660033</v>
      </c>
      <c r="BS89" s="100">
        <v>8057.8573256068958</v>
      </c>
      <c r="BT89" s="100">
        <v>4.1363214301336795</v>
      </c>
      <c r="BU89" s="100">
        <v>4392.7733588019673</v>
      </c>
      <c r="BV89" s="100">
        <v>7.0714098804933139</v>
      </c>
      <c r="BW89" s="100">
        <v>7509.8372930838996</v>
      </c>
      <c r="BX89" s="100">
        <v>5</v>
      </c>
      <c r="BY89" s="100">
        <v>5310</v>
      </c>
      <c r="BZ89" s="100">
        <v>5.5044783172173384</v>
      </c>
      <c r="CA89" s="100">
        <v>5845.7559728848137</v>
      </c>
      <c r="CB89" s="100">
        <v>8</v>
      </c>
      <c r="CC89" s="100">
        <v>8496</v>
      </c>
      <c r="CD89" s="100">
        <v>6.3998705753528977</v>
      </c>
      <c r="CE89" s="100">
        <v>6796.6625510247777</v>
      </c>
      <c r="CF89" s="100">
        <v>6</v>
      </c>
      <c r="CG89" s="100">
        <v>6372</v>
      </c>
      <c r="CH89" s="100">
        <v>8.3633994969653909</v>
      </c>
      <c r="CI89" s="100">
        <v>8881.9302657772459</v>
      </c>
      <c r="CJ89" s="100">
        <v>3.7845307774943437</v>
      </c>
      <c r="CK89" s="100">
        <v>4019.1716856989929</v>
      </c>
      <c r="CL89" s="100">
        <v>6</v>
      </c>
      <c r="CM89" s="100">
        <v>6372</v>
      </c>
      <c r="CN89" s="100">
        <v>8.6439452761375204</v>
      </c>
      <c r="CO89" s="100">
        <v>9179.8698832580467</v>
      </c>
      <c r="CP89" s="100">
        <v>7</v>
      </c>
      <c r="CQ89" s="100">
        <v>7434</v>
      </c>
      <c r="CR89" s="100">
        <v>7</v>
      </c>
      <c r="CS89" s="100">
        <v>7434</v>
      </c>
      <c r="CT89" s="100">
        <v>9.1433751090756807</v>
      </c>
      <c r="CU89" s="100">
        <v>9710.2643658383731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6</v>
      </c>
      <c r="G90" s="100">
        <v>6652.7999999999993</v>
      </c>
      <c r="H90" s="100">
        <v>2.4874277209439399</v>
      </c>
      <c r="I90" s="100">
        <v>2758.0598569826407</v>
      </c>
      <c r="J90" s="100">
        <v>4.9740932642487028</v>
      </c>
      <c r="K90" s="100">
        <v>5515.2746113989615</v>
      </c>
      <c r="L90" s="100">
        <v>4.8883036164645093</v>
      </c>
      <c r="M90" s="100">
        <v>5420.1510499358474</v>
      </c>
      <c r="N90" s="100">
        <v>7</v>
      </c>
      <c r="O90" s="100">
        <v>7761.5999999999995</v>
      </c>
      <c r="P90" s="100">
        <v>4.1597341109964718</v>
      </c>
      <c r="Q90" s="100">
        <v>4612.3131822728874</v>
      </c>
      <c r="R90" s="100">
        <v>7</v>
      </c>
      <c r="S90" s="100">
        <v>7761.5999999999995</v>
      </c>
      <c r="T90" s="100">
        <v>7.2090265724629266</v>
      </c>
      <c r="U90" s="100">
        <v>7993.368663546893</v>
      </c>
      <c r="V90" s="100">
        <v>3.2763437475734238</v>
      </c>
      <c r="W90" s="100">
        <v>3632.8099473094121</v>
      </c>
      <c r="X90" s="100">
        <v>8.0046071559648109</v>
      </c>
      <c r="Y90" s="100">
        <v>8875.5084145337823</v>
      </c>
      <c r="Z90" s="100">
        <v>0.39641083242864289</v>
      </c>
      <c r="AA90" s="100">
        <v>439.54033099687922</v>
      </c>
      <c r="AB90" s="100">
        <v>4.3956043956044244</v>
      </c>
      <c r="AC90" s="100">
        <v>4873.8461538461852</v>
      </c>
      <c r="AD90" s="100">
        <v>7</v>
      </c>
      <c r="AE90" s="100">
        <v>7761.5999999999995</v>
      </c>
      <c r="AF90" s="100">
        <v>7.6188421602042435</v>
      </c>
      <c r="AG90" s="100">
        <v>8447.7721872344646</v>
      </c>
      <c r="AH90" s="100">
        <v>4</v>
      </c>
      <c r="AI90" s="100">
        <v>4435.2</v>
      </c>
      <c r="AJ90" s="100">
        <v>4</v>
      </c>
      <c r="AK90" s="100">
        <v>4435.2</v>
      </c>
      <c r="AL90" s="100">
        <v>6.1489202569991734</v>
      </c>
      <c r="AM90" s="100">
        <v>6817.9227809606837</v>
      </c>
      <c r="AN90" s="100">
        <v>5</v>
      </c>
      <c r="AO90" s="100">
        <v>5544</v>
      </c>
      <c r="AP90" s="100">
        <v>5</v>
      </c>
      <c r="AQ90" s="100">
        <v>5544</v>
      </c>
      <c r="AR90" s="100">
        <v>4.913433434127449</v>
      </c>
      <c r="AS90" s="100">
        <v>5448.0149917605149</v>
      </c>
      <c r="AT90" s="100">
        <v>7</v>
      </c>
      <c r="AU90" s="100">
        <v>7761.5999999999995</v>
      </c>
      <c r="AV90" s="100">
        <v>0.23634911575438095</v>
      </c>
      <c r="AW90" s="100">
        <v>262.06389954845758</v>
      </c>
      <c r="AX90" s="100">
        <v>3.2380344649332588E-4</v>
      </c>
      <c r="AY90" s="100">
        <v>0.3590332614717997</v>
      </c>
      <c r="AZ90" s="100">
        <v>3.7777068757554683E-4</v>
      </c>
      <c r="BA90" s="100">
        <v>0.4188721383837663</v>
      </c>
      <c r="BB90" s="100">
        <v>3.4778888697431298E-4</v>
      </c>
      <c r="BC90" s="100">
        <v>0.38562831787711821</v>
      </c>
      <c r="BD90" s="100">
        <v>2.2094224767447366</v>
      </c>
      <c r="BE90" s="100">
        <v>2449.8076422145637</v>
      </c>
      <c r="BF90" s="100">
        <v>6.6624162683314712</v>
      </c>
      <c r="BG90" s="100">
        <v>7387.2871583259348</v>
      </c>
      <c r="BH90" s="100">
        <v>8.1525392756742008</v>
      </c>
      <c r="BI90" s="100">
        <v>9039.5355488675541</v>
      </c>
      <c r="BJ90" s="100">
        <v>6.6695512612651697</v>
      </c>
      <c r="BK90" s="100">
        <v>7395.1984384908201</v>
      </c>
      <c r="BL90" s="100">
        <v>3.8066044714690768</v>
      </c>
      <c r="BM90" s="100">
        <v>4220.7630379649117</v>
      </c>
      <c r="BN90" s="100">
        <v>5.7371105268025033</v>
      </c>
      <c r="BO90" s="100">
        <v>6361.308152118615</v>
      </c>
      <c r="BP90" s="100">
        <v>3.9549873812006751</v>
      </c>
      <c r="BQ90" s="100">
        <v>4385.2900082753085</v>
      </c>
      <c r="BR90" s="100">
        <v>7.5874362764660033</v>
      </c>
      <c r="BS90" s="100">
        <v>8412.9493433455045</v>
      </c>
      <c r="BT90" s="100">
        <v>4.1363214301336795</v>
      </c>
      <c r="BU90" s="100">
        <v>4586.3532017322232</v>
      </c>
      <c r="BV90" s="100">
        <v>6.2921259984705182</v>
      </c>
      <c r="BW90" s="100">
        <v>6976.7093071041099</v>
      </c>
      <c r="BX90" s="100">
        <v>5</v>
      </c>
      <c r="BY90" s="100">
        <v>5544</v>
      </c>
      <c r="BZ90" s="100">
        <v>6.0692051830585614</v>
      </c>
      <c r="CA90" s="100">
        <v>6729.5347069753325</v>
      </c>
      <c r="CB90" s="100">
        <v>8</v>
      </c>
      <c r="CC90" s="100">
        <v>8870.4</v>
      </c>
      <c r="CD90" s="100">
        <v>7.1998543972720102</v>
      </c>
      <c r="CE90" s="100">
        <v>7983.198555695205</v>
      </c>
      <c r="CF90" s="100">
        <v>6</v>
      </c>
      <c r="CG90" s="100">
        <v>6652.7999999999993</v>
      </c>
      <c r="CH90" s="100">
        <v>6.5785005857643108</v>
      </c>
      <c r="CI90" s="100">
        <v>7294.2414494954674</v>
      </c>
      <c r="CJ90" s="100">
        <v>3.7845307774943437</v>
      </c>
      <c r="CK90" s="100">
        <v>4196.2877260857285</v>
      </c>
      <c r="CL90" s="100">
        <v>6</v>
      </c>
      <c r="CM90" s="100">
        <v>6652.7999999999993</v>
      </c>
      <c r="CN90" s="100">
        <v>7.6871596705743217</v>
      </c>
      <c r="CO90" s="100">
        <v>8523.5226427328071</v>
      </c>
      <c r="CP90" s="100">
        <v>8</v>
      </c>
      <c r="CQ90" s="100">
        <v>8870.4</v>
      </c>
      <c r="CR90" s="100">
        <v>7</v>
      </c>
      <c r="CS90" s="100">
        <v>7761.5999999999995</v>
      </c>
      <c r="CT90" s="100">
        <v>8.1433751090756807</v>
      </c>
      <c r="CU90" s="100">
        <v>9029.3743209431141</v>
      </c>
    </row>
    <row r="91" spans="2:99">
      <c r="C91" s="99" t="s">
        <v>257</v>
      </c>
      <c r="D91" s="100">
        <v>6</v>
      </c>
      <c r="E91" s="100">
        <v>6818.4</v>
      </c>
      <c r="F91" s="100">
        <v>6</v>
      </c>
      <c r="G91" s="100">
        <v>6818.4</v>
      </c>
      <c r="H91" s="100">
        <v>2.4874277209439399</v>
      </c>
      <c r="I91" s="100">
        <v>2826.712862080693</v>
      </c>
      <c r="J91" s="100">
        <v>5.803108808290153</v>
      </c>
      <c r="K91" s="100">
        <v>6594.652849740929</v>
      </c>
      <c r="L91" s="100">
        <v>5.8659643397574115</v>
      </c>
      <c r="M91" s="100">
        <v>6666.0818757003217</v>
      </c>
      <c r="N91" s="100">
        <v>7</v>
      </c>
      <c r="O91" s="100">
        <v>7954.7999999999993</v>
      </c>
      <c r="P91" s="100">
        <v>4.1597341109964718</v>
      </c>
      <c r="Q91" s="100">
        <v>4727.1218437363905</v>
      </c>
      <c r="R91" s="100">
        <v>8</v>
      </c>
      <c r="S91" s="100">
        <v>9091.1999999999989</v>
      </c>
      <c r="T91" s="100">
        <v>7.2090265724629266</v>
      </c>
      <c r="U91" s="100">
        <v>8192.3377969468693</v>
      </c>
      <c r="V91" s="100">
        <v>3.2763437475734238</v>
      </c>
      <c r="W91" s="100">
        <v>3723.2370347424385</v>
      </c>
      <c r="X91" s="100">
        <v>9</v>
      </c>
      <c r="Y91" s="100">
        <v>10227.599999999999</v>
      </c>
      <c r="Z91" s="100">
        <v>0.34685947837506254</v>
      </c>
      <c r="AA91" s="100">
        <v>394.17111122542104</v>
      </c>
      <c r="AB91" s="100">
        <v>5.2747252747253093</v>
      </c>
      <c r="AC91" s="100">
        <v>5994.1978021978412</v>
      </c>
      <c r="AD91" s="100">
        <v>7</v>
      </c>
      <c r="AE91" s="100">
        <v>7954.7999999999993</v>
      </c>
      <c r="AF91" s="100">
        <v>6.6664868901787129</v>
      </c>
      <c r="AG91" s="100">
        <v>7575.7957019990881</v>
      </c>
      <c r="AH91" s="100">
        <v>5</v>
      </c>
      <c r="AI91" s="100">
        <v>5681.9999999999991</v>
      </c>
      <c r="AJ91" s="100">
        <v>5</v>
      </c>
      <c r="AK91" s="100">
        <v>5681.9999999999991</v>
      </c>
      <c r="AL91" s="100">
        <v>6.1489202569991734</v>
      </c>
      <c r="AM91" s="100">
        <v>6987.6329800538597</v>
      </c>
      <c r="AN91" s="100">
        <v>4</v>
      </c>
      <c r="AO91" s="100">
        <v>4545.5999999999995</v>
      </c>
      <c r="AP91" s="100">
        <v>5</v>
      </c>
      <c r="AQ91" s="100">
        <v>5681.9999999999991</v>
      </c>
      <c r="AR91" s="100">
        <v>4.913433434127449</v>
      </c>
      <c r="AS91" s="100">
        <v>5583.6257545424323</v>
      </c>
      <c r="AT91" s="100">
        <v>7</v>
      </c>
      <c r="AU91" s="100">
        <v>7954.7999999999993</v>
      </c>
      <c r="AV91" s="100">
        <v>0.23634911575438095</v>
      </c>
      <c r="AW91" s="100">
        <v>268.58713514327849</v>
      </c>
      <c r="AX91" s="100">
        <v>2.7754581127999357E-4</v>
      </c>
      <c r="AY91" s="100">
        <v>0.31540305993858464</v>
      </c>
      <c r="AZ91" s="100">
        <v>4.3173792865776783E-4</v>
      </c>
      <c r="BA91" s="100">
        <v>0.49062698212668732</v>
      </c>
      <c r="BB91" s="100">
        <v>3.4778888697431298E-4</v>
      </c>
      <c r="BC91" s="100">
        <v>0.39522729115760924</v>
      </c>
      <c r="BD91" s="100">
        <v>2.2094233314036389</v>
      </c>
      <c r="BE91" s="100">
        <v>2510.7886738070947</v>
      </c>
      <c r="BF91" s="100">
        <v>6.667451256852436</v>
      </c>
      <c r="BG91" s="100">
        <v>7576.8916082871074</v>
      </c>
      <c r="BH91" s="100">
        <v>8.1525392756742008</v>
      </c>
      <c r="BI91" s="100">
        <v>9264.5456328761611</v>
      </c>
      <c r="BJ91" s="100">
        <v>6.6674429917210221</v>
      </c>
      <c r="BK91" s="100">
        <v>7576.8822157917684</v>
      </c>
      <c r="BL91" s="100">
        <v>4.4014161197458366</v>
      </c>
      <c r="BM91" s="100">
        <v>5001.769278479168</v>
      </c>
      <c r="BN91" s="100">
        <v>6.5942860806352996</v>
      </c>
      <c r="BO91" s="100">
        <v>7493.7467020339536</v>
      </c>
      <c r="BP91" s="100">
        <v>3.9549873812006751</v>
      </c>
      <c r="BQ91" s="100">
        <v>4494.4476599964464</v>
      </c>
      <c r="BR91" s="100">
        <v>7.5874362764660033</v>
      </c>
      <c r="BS91" s="100">
        <v>8622.3625845759652</v>
      </c>
      <c r="BT91" s="100">
        <v>4.1363214301336795</v>
      </c>
      <c r="BU91" s="100">
        <v>4700.5156732039131</v>
      </c>
      <c r="BV91" s="100">
        <v>7.0714098804933139</v>
      </c>
      <c r="BW91" s="100">
        <v>8035.9501881926008</v>
      </c>
      <c r="BX91" s="100">
        <v>6</v>
      </c>
      <c r="BY91" s="100">
        <v>6818.4</v>
      </c>
      <c r="BZ91" s="100">
        <v>7.0217796129819803</v>
      </c>
      <c r="CA91" s="100">
        <v>7979.5503521927212</v>
      </c>
      <c r="CB91" s="100">
        <v>8</v>
      </c>
      <c r="CC91" s="100">
        <v>9091.1999999999989</v>
      </c>
      <c r="CD91" s="100">
        <v>6.3998705753528977</v>
      </c>
      <c r="CE91" s="100">
        <v>7272.8129218310323</v>
      </c>
      <c r="CF91" s="100">
        <v>6</v>
      </c>
      <c r="CG91" s="100">
        <v>6818.4</v>
      </c>
      <c r="CH91" s="100">
        <v>7.4565433284709144</v>
      </c>
      <c r="CI91" s="100">
        <v>8473.6158384743467</v>
      </c>
      <c r="CJ91" s="100">
        <v>4.3712920237922583</v>
      </c>
      <c r="CK91" s="100">
        <v>4967.5362558375218</v>
      </c>
      <c r="CL91" s="100">
        <v>6</v>
      </c>
      <c r="CM91" s="100">
        <v>6818.4</v>
      </c>
      <c r="CN91" s="100">
        <v>7.6718180850755822</v>
      </c>
      <c r="CO91" s="100">
        <v>8718.25407187989</v>
      </c>
      <c r="CP91" s="100">
        <v>8</v>
      </c>
      <c r="CQ91" s="100">
        <v>9091.1999999999989</v>
      </c>
      <c r="CR91" s="100">
        <v>6</v>
      </c>
      <c r="CS91" s="100">
        <v>6818.4</v>
      </c>
      <c r="CT91" s="100">
        <v>9.1228929506362988</v>
      </c>
      <c r="CU91" s="100">
        <v>10367.255549103089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7</v>
      </c>
      <c r="G92" s="100">
        <v>5493.5999999999995</v>
      </c>
      <c r="H92" s="100">
        <v>2.4874277209439399</v>
      </c>
      <c r="I92" s="100">
        <v>1952.133275396804</v>
      </c>
      <c r="J92" s="100">
        <v>5.803108808290153</v>
      </c>
      <c r="K92" s="100">
        <v>4554.2797927461115</v>
      </c>
      <c r="L92" s="100">
        <v>5.8659643397574115</v>
      </c>
      <c r="M92" s="100">
        <v>4603.6088138416162</v>
      </c>
      <c r="N92" s="100">
        <v>7</v>
      </c>
      <c r="O92" s="100">
        <v>5493.5999999999995</v>
      </c>
      <c r="P92" s="100">
        <v>4.7579031318762022</v>
      </c>
      <c r="Q92" s="100">
        <v>3734.0023778964432</v>
      </c>
      <c r="R92" s="100">
        <v>8</v>
      </c>
      <c r="S92" s="100">
        <v>6278.4</v>
      </c>
      <c r="T92" s="100">
        <v>7.2090265724629266</v>
      </c>
      <c r="U92" s="100">
        <v>5657.6440540689046</v>
      </c>
      <c r="V92" s="100">
        <v>3.2763437475734238</v>
      </c>
      <c r="W92" s="100">
        <v>2571.2745730956231</v>
      </c>
      <c r="X92" s="100">
        <v>8.005528587157773</v>
      </c>
      <c r="Y92" s="100">
        <v>6282.7388352014195</v>
      </c>
      <c r="Z92" s="100">
        <v>0.39641083242864289</v>
      </c>
      <c r="AA92" s="100">
        <v>311.10322128999894</v>
      </c>
      <c r="AB92" s="100">
        <v>5.2747252747253093</v>
      </c>
      <c r="AC92" s="100">
        <v>4139.6043956044223</v>
      </c>
      <c r="AD92" s="100">
        <v>7</v>
      </c>
      <c r="AE92" s="100">
        <v>5493.5999999999995</v>
      </c>
      <c r="AF92" s="100">
        <v>7.6188421602042435</v>
      </c>
      <c r="AG92" s="100">
        <v>5979.2673273282899</v>
      </c>
      <c r="AH92" s="100">
        <v>5</v>
      </c>
      <c r="AI92" s="100">
        <v>3924</v>
      </c>
      <c r="AJ92" s="100">
        <v>5</v>
      </c>
      <c r="AK92" s="100">
        <v>3924</v>
      </c>
      <c r="AL92" s="100">
        <v>6.1489202569991734</v>
      </c>
      <c r="AM92" s="100">
        <v>4825.6726176929515</v>
      </c>
      <c r="AN92" s="100">
        <v>5</v>
      </c>
      <c r="AO92" s="100">
        <v>3924</v>
      </c>
      <c r="AP92" s="100">
        <v>5</v>
      </c>
      <c r="AQ92" s="100">
        <v>3924</v>
      </c>
      <c r="AR92" s="100">
        <v>5.896120120952939</v>
      </c>
      <c r="AS92" s="100">
        <v>4627.2750709238662</v>
      </c>
      <c r="AT92" s="100">
        <v>6</v>
      </c>
      <c r="AU92" s="100">
        <v>4708.7999999999993</v>
      </c>
      <c r="AV92" s="100">
        <v>0.23634911575438095</v>
      </c>
      <c r="AW92" s="100">
        <v>185.48678604403815</v>
      </c>
      <c r="AX92" s="100">
        <v>3.2380344649332588E-4</v>
      </c>
      <c r="AY92" s="100">
        <v>0.25412094480796216</v>
      </c>
      <c r="AZ92" s="100">
        <v>4.3173792865776783E-4</v>
      </c>
      <c r="BA92" s="100">
        <v>0.33882792641061615</v>
      </c>
      <c r="BB92" s="100">
        <v>3.4778888697431298E-4</v>
      </c>
      <c r="BC92" s="100">
        <v>0.27294471849744079</v>
      </c>
      <c r="BD92" s="100">
        <v>2.6512880333732936</v>
      </c>
      <c r="BE92" s="100">
        <v>2080.7308485913609</v>
      </c>
      <c r="BF92" s="100">
        <v>7.464621676041185</v>
      </c>
      <c r="BG92" s="100">
        <v>5858.2350913571217</v>
      </c>
      <c r="BH92" s="100">
        <v>7.246701578377067</v>
      </c>
      <c r="BI92" s="100">
        <v>5687.2113987103221</v>
      </c>
      <c r="BJ92" s="100">
        <v>6.6695512612651697</v>
      </c>
      <c r="BK92" s="100">
        <v>5234.2638298409047</v>
      </c>
      <c r="BL92" s="100">
        <v>4.4014161197458366</v>
      </c>
      <c r="BM92" s="100">
        <v>3454.2313707765325</v>
      </c>
      <c r="BN92" s="100">
        <v>6.5942860806352996</v>
      </c>
      <c r="BO92" s="100">
        <v>5175.1957160825832</v>
      </c>
      <c r="BP92" s="100">
        <v>3.9549873812006751</v>
      </c>
      <c r="BQ92" s="100">
        <v>3103.8740967662898</v>
      </c>
      <c r="BR92" s="100">
        <v>7.5874362764660033</v>
      </c>
      <c r="BS92" s="100">
        <v>5954.6199897705192</v>
      </c>
      <c r="BT92" s="100">
        <v>3.6405692053962988</v>
      </c>
      <c r="BU92" s="100">
        <v>2857.1187123950153</v>
      </c>
      <c r="BV92" s="100">
        <v>7.0714098804933139</v>
      </c>
      <c r="BW92" s="100">
        <v>5549.6424742111521</v>
      </c>
      <c r="BX92" s="100">
        <v>5</v>
      </c>
      <c r="BY92" s="100">
        <v>3924</v>
      </c>
      <c r="BZ92" s="100">
        <v>7.0460200857371156</v>
      </c>
      <c r="CA92" s="100">
        <v>5529.7165632864881</v>
      </c>
      <c r="CB92" s="100">
        <v>8</v>
      </c>
      <c r="CC92" s="100">
        <v>6278.4</v>
      </c>
      <c r="CD92" s="100">
        <v>7.9998382191911235</v>
      </c>
      <c r="CE92" s="100">
        <v>6278.2730344211932</v>
      </c>
      <c r="CF92" s="100">
        <v>6</v>
      </c>
      <c r="CG92" s="100">
        <v>4708.7999999999993</v>
      </c>
      <c r="CH92" s="100">
        <v>7.4853567542587855</v>
      </c>
      <c r="CI92" s="100">
        <v>5874.5079807422944</v>
      </c>
      <c r="CJ92" s="100">
        <v>3.5205674777874894</v>
      </c>
      <c r="CK92" s="100">
        <v>2762.9413565676214</v>
      </c>
      <c r="CL92" s="100">
        <v>6</v>
      </c>
      <c r="CM92" s="100">
        <v>4708.7999999999993</v>
      </c>
      <c r="CN92" s="100">
        <v>7.6871596705743217</v>
      </c>
      <c r="CO92" s="100">
        <v>6032.8829094667271</v>
      </c>
      <c r="CP92" s="100">
        <v>7</v>
      </c>
      <c r="CQ92" s="100">
        <v>5493.5999999999995</v>
      </c>
      <c r="CR92" s="100">
        <v>7</v>
      </c>
      <c r="CS92" s="100">
        <v>5493.5999999999995</v>
      </c>
      <c r="CT92" s="100">
        <v>9.1433751090756807</v>
      </c>
      <c r="CU92" s="100">
        <v>7175.7207856025934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6</v>
      </c>
      <c r="G93" s="100">
        <v>4161.6000000000004</v>
      </c>
      <c r="H93" s="100">
        <v>2.4874277209439399</v>
      </c>
      <c r="I93" s="100">
        <v>1725.2798672467168</v>
      </c>
      <c r="J93" s="100">
        <v>5.803108808290153</v>
      </c>
      <c r="K93" s="100">
        <v>4025.0362694300502</v>
      </c>
      <c r="L93" s="100">
        <v>4.8883036164645093</v>
      </c>
      <c r="M93" s="100">
        <v>3390.5273883797836</v>
      </c>
      <c r="N93" s="100">
        <v>7</v>
      </c>
      <c r="O93" s="100">
        <v>4855.2</v>
      </c>
      <c r="P93" s="100">
        <v>4.5657598857447272</v>
      </c>
      <c r="Q93" s="100">
        <v>3166.8110567525428</v>
      </c>
      <c r="R93" s="100">
        <v>7</v>
      </c>
      <c r="S93" s="100">
        <v>4855.2</v>
      </c>
      <c r="T93" s="100">
        <v>7.2090265724629266</v>
      </c>
      <c r="U93" s="100">
        <v>5000.1808306602861</v>
      </c>
      <c r="V93" s="100">
        <v>3.2763437475734238</v>
      </c>
      <c r="W93" s="100">
        <v>2272.4720233169269</v>
      </c>
      <c r="X93" s="100">
        <v>8</v>
      </c>
      <c r="Y93" s="100">
        <v>5548.8</v>
      </c>
      <c r="Z93" s="100">
        <v>0.39641083242864289</v>
      </c>
      <c r="AA93" s="100">
        <v>274.9505533725067</v>
      </c>
      <c r="AB93" s="100">
        <v>4.3956043956044244</v>
      </c>
      <c r="AC93" s="100">
        <v>3048.7912087912287</v>
      </c>
      <c r="AD93" s="100">
        <v>8</v>
      </c>
      <c r="AE93" s="100">
        <v>5548.8</v>
      </c>
      <c r="AF93" s="100">
        <v>8.5711974302297733</v>
      </c>
      <c r="AG93" s="100">
        <v>5944.9825376073713</v>
      </c>
      <c r="AH93" s="100">
        <v>5</v>
      </c>
      <c r="AI93" s="100">
        <v>3468</v>
      </c>
      <c r="AJ93" s="100">
        <v>4</v>
      </c>
      <c r="AK93" s="100">
        <v>2774.4</v>
      </c>
      <c r="AL93" s="100">
        <v>7.0273374365704839</v>
      </c>
      <c r="AM93" s="100">
        <v>4874.1612460052875</v>
      </c>
      <c r="AN93" s="100">
        <v>5</v>
      </c>
      <c r="AO93" s="100">
        <v>3468</v>
      </c>
      <c r="AP93" s="100">
        <v>5</v>
      </c>
      <c r="AQ93" s="100">
        <v>3468</v>
      </c>
      <c r="AR93" s="100">
        <v>4.913433434127449</v>
      </c>
      <c r="AS93" s="100">
        <v>3407.957429910799</v>
      </c>
      <c r="AT93" s="100">
        <v>7</v>
      </c>
      <c r="AU93" s="100">
        <v>4855.2</v>
      </c>
      <c r="AV93" s="100">
        <v>0.27011327514786393</v>
      </c>
      <c r="AW93" s="100">
        <v>187.35056764255842</v>
      </c>
      <c r="AX93" s="100">
        <v>3.2380344649332588E-4</v>
      </c>
      <c r="AY93" s="100">
        <v>0.22459007048777083</v>
      </c>
      <c r="AZ93" s="100">
        <v>3.7777068757554683E-4</v>
      </c>
      <c r="BA93" s="100">
        <v>0.26202174890239927</v>
      </c>
      <c r="BB93" s="100">
        <v>3.4778888697431298E-4</v>
      </c>
      <c r="BC93" s="100">
        <v>0.24122637200538349</v>
      </c>
      <c r="BD93" s="100">
        <v>2.6512880333732936</v>
      </c>
      <c r="BE93" s="100">
        <v>1838.9333799477165</v>
      </c>
      <c r="BF93" s="100">
        <v>6.6624162683314712</v>
      </c>
      <c r="BG93" s="100">
        <v>4621.0519237147082</v>
      </c>
      <c r="BH93" s="100">
        <v>7.246701578377067</v>
      </c>
      <c r="BI93" s="100">
        <v>5026.3122147623335</v>
      </c>
      <c r="BJ93" s="100">
        <v>6.7250936322482708</v>
      </c>
      <c r="BK93" s="100">
        <v>4664.5249433274012</v>
      </c>
      <c r="BL93" s="100">
        <v>3.836321294195141</v>
      </c>
      <c r="BM93" s="100">
        <v>2660.8724496537498</v>
      </c>
      <c r="BN93" s="100">
        <v>6.5942860806352996</v>
      </c>
      <c r="BO93" s="100">
        <v>4573.7968255286441</v>
      </c>
      <c r="BP93" s="100">
        <v>3.9549873812006751</v>
      </c>
      <c r="BQ93" s="100">
        <v>2743.1792476007881</v>
      </c>
      <c r="BR93" s="100">
        <v>7.5874362764660033</v>
      </c>
      <c r="BS93" s="100">
        <v>5262.6458013568199</v>
      </c>
      <c r="BT93" s="100">
        <v>4.1363214301336795</v>
      </c>
      <c r="BU93" s="100">
        <v>2868.9525439407203</v>
      </c>
      <c r="BV93" s="100">
        <v>7.0714098804933139</v>
      </c>
      <c r="BW93" s="100">
        <v>4904.7298931101623</v>
      </c>
      <c r="BX93" s="100">
        <v>6</v>
      </c>
      <c r="BY93" s="100">
        <v>4161.6000000000004</v>
      </c>
      <c r="BZ93" s="100">
        <v>6.0692051830585614</v>
      </c>
      <c r="CA93" s="100">
        <v>4209.6007149694187</v>
      </c>
      <c r="CB93" s="100">
        <v>7</v>
      </c>
      <c r="CC93" s="100">
        <v>4855.2</v>
      </c>
      <c r="CD93" s="100">
        <v>7.1998543972720102</v>
      </c>
      <c r="CE93" s="100">
        <v>4993.8190099478661</v>
      </c>
      <c r="CF93" s="100">
        <v>6</v>
      </c>
      <c r="CG93" s="100">
        <v>4161.6000000000004</v>
      </c>
      <c r="CH93" s="100">
        <v>7.4565433284709144</v>
      </c>
      <c r="CI93" s="100">
        <v>5171.8584526274262</v>
      </c>
      <c r="CJ93" s="100">
        <v>3.7845307774943437</v>
      </c>
      <c r="CK93" s="100">
        <v>2624.9505472700771</v>
      </c>
      <c r="CL93" s="100">
        <v>6</v>
      </c>
      <c r="CM93" s="100">
        <v>4161.6000000000004</v>
      </c>
      <c r="CN93" s="100">
        <v>8.6307953457100304</v>
      </c>
      <c r="CO93" s="100">
        <v>5986.3196517844772</v>
      </c>
      <c r="CP93" s="100">
        <v>8</v>
      </c>
      <c r="CQ93" s="100">
        <v>5548.8</v>
      </c>
      <c r="CR93" s="100">
        <v>8</v>
      </c>
      <c r="CS93" s="100">
        <v>5548.8</v>
      </c>
      <c r="CT93" s="100">
        <v>8.1433751090756807</v>
      </c>
      <c r="CU93" s="100">
        <v>5648.2449756548922</v>
      </c>
    </row>
    <row r="94" spans="2:99">
      <c r="C94" s="99" t="s">
        <v>260</v>
      </c>
      <c r="D94" s="100">
        <v>7</v>
      </c>
      <c r="E94" s="100">
        <v>8349.6</v>
      </c>
      <c r="F94" s="100">
        <v>5</v>
      </c>
      <c r="G94" s="100">
        <v>5964</v>
      </c>
      <c r="H94" s="100">
        <v>2.4874277209439399</v>
      </c>
      <c r="I94" s="100">
        <v>2967.0037855419314</v>
      </c>
      <c r="J94" s="100">
        <v>5.803108808290153</v>
      </c>
      <c r="K94" s="100">
        <v>6921.9481865284943</v>
      </c>
      <c r="L94" s="100">
        <v>4.8883036164645093</v>
      </c>
      <c r="M94" s="100">
        <v>5830.7685537188663</v>
      </c>
      <c r="N94" s="100">
        <v>7</v>
      </c>
      <c r="O94" s="100">
        <v>8349.6</v>
      </c>
      <c r="P94" s="100">
        <v>4.1871831461581106</v>
      </c>
      <c r="Q94" s="100">
        <v>4994.4720567373943</v>
      </c>
      <c r="R94" s="100">
        <v>7</v>
      </c>
      <c r="S94" s="100">
        <v>8349.6</v>
      </c>
      <c r="T94" s="100">
        <v>7.2090265724629266</v>
      </c>
      <c r="U94" s="100">
        <v>8598.9268956337783</v>
      </c>
      <c r="V94" s="100">
        <v>3.2763437475734238</v>
      </c>
      <c r="W94" s="100">
        <v>3908.02282210558</v>
      </c>
      <c r="X94" s="100">
        <v>8.005528587157773</v>
      </c>
      <c r="Y94" s="100">
        <v>9548.994498761791</v>
      </c>
      <c r="Z94" s="100">
        <v>0.39641083242864289</v>
      </c>
      <c r="AA94" s="100">
        <v>472.83884092088522</v>
      </c>
      <c r="AB94" s="100">
        <v>4.3956043956044244</v>
      </c>
      <c r="AC94" s="100">
        <v>5243.0769230769574</v>
      </c>
      <c r="AD94" s="100">
        <v>7</v>
      </c>
      <c r="AE94" s="100">
        <v>8349.6</v>
      </c>
      <c r="AF94" s="100">
        <v>7.6188421602042435</v>
      </c>
      <c r="AG94" s="100">
        <v>9087.7549286916219</v>
      </c>
      <c r="AH94" s="100">
        <v>5</v>
      </c>
      <c r="AI94" s="100">
        <v>5964</v>
      </c>
      <c r="AJ94" s="100">
        <v>4</v>
      </c>
      <c r="AK94" s="100">
        <v>4771.2</v>
      </c>
      <c r="AL94" s="100">
        <v>7.0273374365704839</v>
      </c>
      <c r="AM94" s="100">
        <v>8382.208094341273</v>
      </c>
      <c r="AN94" s="100">
        <v>5</v>
      </c>
      <c r="AO94" s="100">
        <v>5964</v>
      </c>
      <c r="AP94" s="100">
        <v>4</v>
      </c>
      <c r="AQ94" s="100">
        <v>4771.2</v>
      </c>
      <c r="AR94" s="100">
        <v>4.913433434127449</v>
      </c>
      <c r="AS94" s="100">
        <v>5860.7434002272212</v>
      </c>
      <c r="AT94" s="100">
        <v>7</v>
      </c>
      <c r="AU94" s="100">
        <v>8349.6</v>
      </c>
      <c r="AV94" s="100">
        <v>0.27011327514786393</v>
      </c>
      <c r="AW94" s="100">
        <v>322.19111459637207</v>
      </c>
      <c r="AX94" s="100">
        <v>3.2380344649332588E-4</v>
      </c>
      <c r="AY94" s="100">
        <v>0.38623275097723908</v>
      </c>
      <c r="AZ94" s="100">
        <v>3.7777068757554683E-4</v>
      </c>
      <c r="BA94" s="100">
        <v>0.45060487614011224</v>
      </c>
      <c r="BB94" s="100">
        <v>3.4778888697431298E-4</v>
      </c>
      <c r="BC94" s="100">
        <v>0.41484258438296051</v>
      </c>
      <c r="BD94" s="100">
        <v>2.2094403898744428</v>
      </c>
      <c r="BE94" s="100">
        <v>2635.4204970422352</v>
      </c>
      <c r="BF94" s="100">
        <v>6.6573812798105045</v>
      </c>
      <c r="BG94" s="100">
        <v>7940.9243905579697</v>
      </c>
      <c r="BH94" s="100">
        <v>8.1525392756742008</v>
      </c>
      <c r="BI94" s="100">
        <v>9724.3488480241867</v>
      </c>
      <c r="BJ94" s="100">
        <v>5.7655706959523165</v>
      </c>
      <c r="BK94" s="100">
        <v>6877.1727261319229</v>
      </c>
      <c r="BL94" s="100">
        <v>3.836321294195141</v>
      </c>
      <c r="BM94" s="100">
        <v>4575.9640397159637</v>
      </c>
      <c r="BN94" s="100">
        <v>5.7371105268025033</v>
      </c>
      <c r="BO94" s="100">
        <v>6843.2254363700258</v>
      </c>
      <c r="BP94" s="100">
        <v>4.6141519447341208</v>
      </c>
      <c r="BQ94" s="100">
        <v>5503.7604396788593</v>
      </c>
      <c r="BR94" s="100">
        <v>7.5874362764660033</v>
      </c>
      <c r="BS94" s="100">
        <v>9050.293990568649</v>
      </c>
      <c r="BT94" s="100">
        <v>3.6405692053962988</v>
      </c>
      <c r="BU94" s="100">
        <v>4342.4709481967047</v>
      </c>
      <c r="BV94" s="100">
        <v>7.0714098804933139</v>
      </c>
      <c r="BW94" s="100">
        <v>8434.7777054524249</v>
      </c>
      <c r="BX94" s="100">
        <v>5</v>
      </c>
      <c r="BY94" s="100">
        <v>5964</v>
      </c>
      <c r="BZ94" s="100">
        <v>5.5044783172173384</v>
      </c>
      <c r="CA94" s="100">
        <v>6565.7417367768412</v>
      </c>
      <c r="CB94" s="100">
        <v>8</v>
      </c>
      <c r="CC94" s="100">
        <v>9542.4</v>
      </c>
      <c r="CD94" s="100">
        <v>6.3998705753528977</v>
      </c>
      <c r="CE94" s="100">
        <v>7633.7656222809364</v>
      </c>
      <c r="CF94" s="100">
        <v>5</v>
      </c>
      <c r="CG94" s="100">
        <v>5964</v>
      </c>
      <c r="CH94" s="100">
        <v>6.5496871599764388</v>
      </c>
      <c r="CI94" s="100">
        <v>7812.466844419896</v>
      </c>
      <c r="CJ94" s="100">
        <v>3.5205674777874894</v>
      </c>
      <c r="CK94" s="100">
        <v>4199.3328875049174</v>
      </c>
      <c r="CL94" s="100">
        <v>6</v>
      </c>
      <c r="CM94" s="100">
        <v>7156.7999999999993</v>
      </c>
      <c r="CN94" s="100">
        <v>7.6871596705743217</v>
      </c>
      <c r="CO94" s="100">
        <v>9169.2440550610499</v>
      </c>
      <c r="CP94" s="100">
        <v>8</v>
      </c>
      <c r="CQ94" s="100">
        <v>9542.4</v>
      </c>
      <c r="CR94" s="100">
        <v>7</v>
      </c>
      <c r="CS94" s="100">
        <v>8349.6</v>
      </c>
      <c r="CT94" s="100">
        <v>8.1228929506362988</v>
      </c>
      <c r="CU94" s="100">
        <v>9688.9867115189772</v>
      </c>
    </row>
    <row r="95" spans="2:99">
      <c r="B95" s="99" t="s">
        <v>132</v>
      </c>
      <c r="C95" s="99" t="s">
        <v>261</v>
      </c>
      <c r="D95" s="100">
        <v>9</v>
      </c>
      <c r="E95" s="100">
        <v>2959.2000000000003</v>
      </c>
      <c r="F95" s="100">
        <v>8</v>
      </c>
      <c r="G95" s="100">
        <v>2630.4</v>
      </c>
      <c r="H95" s="100">
        <v>7.0761963290646879</v>
      </c>
      <c r="I95" s="100">
        <v>2326.6533529964695</v>
      </c>
      <c r="J95" s="100">
        <v>9.1191709844559554</v>
      </c>
      <c r="K95" s="100">
        <v>2998.3834196891185</v>
      </c>
      <c r="L95" s="100">
        <v>9.9239333917853436</v>
      </c>
      <c r="M95" s="100">
        <v>3262.9892992190212</v>
      </c>
      <c r="N95" s="100">
        <v>9</v>
      </c>
      <c r="O95" s="100">
        <v>2959.2000000000003</v>
      </c>
      <c r="P95" s="100">
        <v>6.2779198428990002</v>
      </c>
      <c r="Q95" s="100">
        <v>2064.1800443451912</v>
      </c>
      <c r="R95" s="100">
        <v>7</v>
      </c>
      <c r="S95" s="100">
        <v>2301.6</v>
      </c>
      <c r="T95" s="100">
        <v>9.0112832155786577</v>
      </c>
      <c r="U95" s="100">
        <v>2962.909921282263</v>
      </c>
      <c r="V95" s="100">
        <v>7.1719349467809108</v>
      </c>
      <c r="W95" s="100">
        <v>2358.1322105015633</v>
      </c>
      <c r="X95" s="100">
        <v>7</v>
      </c>
      <c r="Y95" s="100">
        <v>2301.6</v>
      </c>
      <c r="Z95" s="100">
        <v>0.54506489458938401</v>
      </c>
      <c r="AA95" s="100">
        <v>179.21733734098947</v>
      </c>
      <c r="AB95" s="100">
        <v>10.549450549450619</v>
      </c>
      <c r="AC95" s="100">
        <v>3468.6593406593634</v>
      </c>
      <c r="AD95" s="100">
        <v>8</v>
      </c>
      <c r="AE95" s="100">
        <v>2630.4</v>
      </c>
      <c r="AF95" s="100">
        <v>7.6188421602042435</v>
      </c>
      <c r="AG95" s="100">
        <v>2505.0753022751555</v>
      </c>
      <c r="AH95" s="100">
        <v>9</v>
      </c>
      <c r="AI95" s="100">
        <v>2959.2000000000003</v>
      </c>
      <c r="AJ95" s="100">
        <v>9</v>
      </c>
      <c r="AK95" s="100">
        <v>2959.2000000000003</v>
      </c>
      <c r="AL95" s="100">
        <v>9.6625889752844163</v>
      </c>
      <c r="AM95" s="100">
        <v>3177.0592550735164</v>
      </c>
      <c r="AN95" s="100">
        <v>9</v>
      </c>
      <c r="AO95" s="100">
        <v>2959.2000000000003</v>
      </c>
      <c r="AP95" s="100">
        <v>8</v>
      </c>
      <c r="AQ95" s="100">
        <v>2630.4</v>
      </c>
      <c r="AR95" s="100">
        <v>12.774926928731366</v>
      </c>
      <c r="AS95" s="100">
        <v>4200.3959741668732</v>
      </c>
      <c r="AT95" s="100">
        <v>7</v>
      </c>
      <c r="AU95" s="100">
        <v>2301.6</v>
      </c>
      <c r="AV95" s="100">
        <v>0.37140575332831294</v>
      </c>
      <c r="AW95" s="100">
        <v>122.1182116943493</v>
      </c>
      <c r="AX95" s="100">
        <v>6.0134925777331955E-4</v>
      </c>
      <c r="AY95" s="100">
        <v>0.19772363595586748</v>
      </c>
      <c r="AZ95" s="100">
        <v>5.3967241082220974E-4</v>
      </c>
      <c r="BA95" s="100">
        <v>0.17744428867834258</v>
      </c>
      <c r="BB95" s="100">
        <v>5.5646221915890074E-4</v>
      </c>
      <c r="BC95" s="100">
        <v>0.18296477765944658</v>
      </c>
      <c r="BD95" s="100">
        <v>3.5350942177848452</v>
      </c>
      <c r="BE95" s="100">
        <v>1162.3389788076572</v>
      </c>
      <c r="BF95" s="100">
        <v>8.044412995258531</v>
      </c>
      <c r="BG95" s="100">
        <v>2645.0029928410049</v>
      </c>
      <c r="BH95" s="100">
        <v>8.4361667211566012</v>
      </c>
      <c r="BI95" s="100">
        <v>2773.8116179162907</v>
      </c>
      <c r="BJ95" s="100">
        <v>8.1358250878156753</v>
      </c>
      <c r="BK95" s="100">
        <v>2675.0592888737942</v>
      </c>
      <c r="BL95" s="100">
        <v>4.4311329424719013</v>
      </c>
      <c r="BM95" s="100">
        <v>1456.9565114847612</v>
      </c>
      <c r="BN95" s="100">
        <v>11.062588402626506</v>
      </c>
      <c r="BO95" s="100">
        <v>3637.3790667835956</v>
      </c>
      <c r="BP95" s="100">
        <v>8.7727481613096749</v>
      </c>
      <c r="BQ95" s="100">
        <v>2884.4795954386213</v>
      </c>
      <c r="BR95" s="100">
        <v>7</v>
      </c>
      <c r="BS95" s="100">
        <v>2301.6</v>
      </c>
      <c r="BT95" s="100">
        <v>6.3139630516370708</v>
      </c>
      <c r="BU95" s="100">
        <v>2076.0310513782688</v>
      </c>
      <c r="BV95" s="100">
        <v>12.449550104746558</v>
      </c>
      <c r="BW95" s="100">
        <v>4093.4120744406687</v>
      </c>
      <c r="BX95" s="100">
        <v>10</v>
      </c>
      <c r="BY95" s="100">
        <v>3288</v>
      </c>
      <c r="BZ95" s="100">
        <v>8.5875618542568937</v>
      </c>
      <c r="CA95" s="100">
        <v>2823.5903376796668</v>
      </c>
      <c r="CB95" s="100">
        <v>8</v>
      </c>
      <c r="CC95" s="100">
        <v>2630.4</v>
      </c>
      <c r="CD95" s="100">
        <v>10.399789684948459</v>
      </c>
      <c r="CE95" s="100">
        <v>3419.4508484110534</v>
      </c>
      <c r="CF95" s="100">
        <v>7</v>
      </c>
      <c r="CG95" s="100">
        <v>2301.6</v>
      </c>
      <c r="CH95" s="100">
        <v>9.0685616849447648</v>
      </c>
      <c r="CI95" s="100">
        <v>2981.7430820098389</v>
      </c>
      <c r="CJ95" s="100">
        <v>4.9287240145671891</v>
      </c>
      <c r="CK95" s="100">
        <v>1620.5644559896919</v>
      </c>
      <c r="CL95" s="100">
        <v>7</v>
      </c>
      <c r="CM95" s="100">
        <v>2301.6</v>
      </c>
      <c r="CN95" s="100">
        <v>6.7325657200823716</v>
      </c>
      <c r="CO95" s="100">
        <v>2213.667608763084</v>
      </c>
      <c r="CP95" s="100">
        <v>9</v>
      </c>
      <c r="CQ95" s="100">
        <v>2959.2000000000003</v>
      </c>
      <c r="CR95" s="100">
        <v>8</v>
      </c>
      <c r="CS95" s="100">
        <v>2630.4</v>
      </c>
      <c r="CT95" s="100">
        <v>10</v>
      </c>
      <c r="CU95" s="100">
        <v>3288</v>
      </c>
    </row>
    <row r="96" spans="2:99">
      <c r="C96" s="99" t="s">
        <v>262</v>
      </c>
      <c r="D96" s="100">
        <v>8</v>
      </c>
      <c r="E96" s="100">
        <v>5558.4</v>
      </c>
      <c r="F96" s="100">
        <v>8</v>
      </c>
      <c r="G96" s="100">
        <v>5558.4</v>
      </c>
      <c r="H96" s="100">
        <v>7.1056675911232947</v>
      </c>
      <c r="I96" s="100">
        <v>4937.0178423124653</v>
      </c>
      <c r="J96" s="100">
        <v>9.1191709844559554</v>
      </c>
      <c r="K96" s="100">
        <v>6335.9999999999973</v>
      </c>
      <c r="L96" s="100">
        <v>9.7766072329290186</v>
      </c>
      <c r="M96" s="100">
        <v>6792.7867054390817</v>
      </c>
      <c r="N96" s="100">
        <v>10</v>
      </c>
      <c r="O96" s="100">
        <v>6948</v>
      </c>
      <c r="P96" s="100">
        <v>5.7071998571809095</v>
      </c>
      <c r="Q96" s="100">
        <v>3965.3624607692955</v>
      </c>
      <c r="R96" s="100">
        <v>7</v>
      </c>
      <c r="S96" s="100">
        <v>4863.5999999999995</v>
      </c>
      <c r="T96" s="100">
        <v>8.110154894020793</v>
      </c>
      <c r="U96" s="100">
        <v>5634.9356203656471</v>
      </c>
      <c r="V96" s="100">
        <v>7.1719349467809108</v>
      </c>
      <c r="W96" s="100">
        <v>4983.0604010233765</v>
      </c>
      <c r="X96" s="100">
        <v>7</v>
      </c>
      <c r="Y96" s="100">
        <v>4863.5999999999995</v>
      </c>
      <c r="Z96" s="100">
        <v>0.4955135405358036</v>
      </c>
      <c r="AA96" s="100">
        <v>344.28280796427634</v>
      </c>
      <c r="AB96" s="100">
        <v>8.7912087912088488</v>
      </c>
      <c r="AC96" s="100">
        <v>6108.131868131908</v>
      </c>
      <c r="AD96" s="100">
        <v>7</v>
      </c>
      <c r="AE96" s="100">
        <v>4863.5999999999995</v>
      </c>
      <c r="AF96" s="100">
        <v>6.866422947833942</v>
      </c>
      <c r="AG96" s="100">
        <v>4770.7906641550226</v>
      </c>
      <c r="AH96" s="100">
        <v>10</v>
      </c>
      <c r="AI96" s="100">
        <v>6948</v>
      </c>
      <c r="AJ96" s="100">
        <v>8</v>
      </c>
      <c r="AK96" s="100">
        <v>5558.4</v>
      </c>
      <c r="AL96" s="100">
        <v>8.7841717957131049</v>
      </c>
      <c r="AM96" s="100">
        <v>6103.2425636614653</v>
      </c>
      <c r="AN96" s="100">
        <v>9</v>
      </c>
      <c r="AO96" s="100">
        <v>6253.2</v>
      </c>
      <c r="AP96" s="100">
        <v>7</v>
      </c>
      <c r="AQ96" s="100">
        <v>4863.5999999999995</v>
      </c>
      <c r="AR96" s="100">
        <v>10.809553555080388</v>
      </c>
      <c r="AS96" s="100">
        <v>7510.4778100698531</v>
      </c>
      <c r="AT96" s="100">
        <v>7</v>
      </c>
      <c r="AU96" s="100">
        <v>4863.5999999999995</v>
      </c>
      <c r="AV96" s="100">
        <v>0.37140575332831294</v>
      </c>
      <c r="AW96" s="100">
        <v>258.05271741251181</v>
      </c>
      <c r="AX96" s="100">
        <v>5.0883398734665494E-4</v>
      </c>
      <c r="AY96" s="100">
        <v>0.35353785440845581</v>
      </c>
      <c r="AZ96" s="100">
        <v>4.3173792865776783E-4</v>
      </c>
      <c r="BA96" s="100">
        <v>0.2999715128314171</v>
      </c>
      <c r="BB96" s="100">
        <v>4.8690444176403814E-4</v>
      </c>
      <c r="BC96" s="100">
        <v>0.33830120613765369</v>
      </c>
      <c r="BD96" s="100">
        <v>3.0932286611562883</v>
      </c>
      <c r="BE96" s="100">
        <v>2149.1752737713891</v>
      </c>
      <c r="BF96" s="100">
        <v>7.8994651654541945</v>
      </c>
      <c r="BG96" s="100">
        <v>5488.5483969575744</v>
      </c>
      <c r="BH96" s="100">
        <v>8.4645294657048424</v>
      </c>
      <c r="BI96" s="100">
        <v>5881.155072771724</v>
      </c>
      <c r="BJ96" s="100">
        <v>8.5638292221854648</v>
      </c>
      <c r="BK96" s="100">
        <v>5950.1485435744607</v>
      </c>
      <c r="BL96" s="100">
        <v>4.4311329424719013</v>
      </c>
      <c r="BM96" s="100">
        <v>3078.7511684294768</v>
      </c>
      <c r="BN96" s="100">
        <v>10.765559800723643</v>
      </c>
      <c r="BO96" s="100">
        <v>7479.9109495427874</v>
      </c>
      <c r="BP96" s="100">
        <v>7.4544190342427825</v>
      </c>
      <c r="BQ96" s="100">
        <v>5179.3303449918849</v>
      </c>
      <c r="BR96" s="100">
        <v>7</v>
      </c>
      <c r="BS96" s="100">
        <v>4863.5999999999995</v>
      </c>
      <c r="BT96" s="100">
        <v>6.2896339613178371</v>
      </c>
      <c r="BU96" s="100">
        <v>4370.0376763236327</v>
      </c>
      <c r="BV96" s="100">
        <v>12.449550104746558</v>
      </c>
      <c r="BW96" s="100">
        <v>8649.9474127779085</v>
      </c>
      <c r="BX96" s="100">
        <v>9</v>
      </c>
      <c r="BY96" s="100">
        <v>6253.2</v>
      </c>
      <c r="BZ96" s="100">
        <v>8.5875618542568937</v>
      </c>
      <c r="CA96" s="100">
        <v>5966.637976337689</v>
      </c>
      <c r="CB96" s="100">
        <v>8</v>
      </c>
      <c r="CC96" s="100">
        <v>5558.4</v>
      </c>
      <c r="CD96" s="100">
        <v>10.399789684948459</v>
      </c>
      <c r="CE96" s="100">
        <v>7225.7738731021891</v>
      </c>
      <c r="CF96" s="100">
        <v>7</v>
      </c>
      <c r="CG96" s="100">
        <v>4863.5999999999995</v>
      </c>
      <c r="CH96" s="100">
        <v>9.0685616849447648</v>
      </c>
      <c r="CI96" s="100">
        <v>6300.8366586996226</v>
      </c>
      <c r="CJ96" s="100">
        <v>4.3712920237922583</v>
      </c>
      <c r="CK96" s="100">
        <v>3037.1736981308609</v>
      </c>
      <c r="CL96" s="100">
        <v>7</v>
      </c>
      <c r="CM96" s="100">
        <v>4863.5999999999995</v>
      </c>
      <c r="CN96" s="100">
        <v>6.7325657200823716</v>
      </c>
      <c r="CO96" s="100">
        <v>4677.7866623132313</v>
      </c>
      <c r="CP96" s="100">
        <v>9</v>
      </c>
      <c r="CQ96" s="100">
        <v>6253.2</v>
      </c>
      <c r="CR96" s="100">
        <v>8</v>
      </c>
      <c r="CS96" s="100">
        <v>5558.4</v>
      </c>
      <c r="CT96" s="100">
        <v>8</v>
      </c>
      <c r="CU96" s="100">
        <v>5558.4</v>
      </c>
    </row>
    <row r="97" spans="2:99">
      <c r="C97" s="99" t="s">
        <v>263</v>
      </c>
      <c r="D97" s="100">
        <v>9</v>
      </c>
      <c r="E97" s="100">
        <v>3531.6</v>
      </c>
      <c r="F97" s="100">
        <v>9</v>
      </c>
      <c r="G97" s="100">
        <v>3531.6</v>
      </c>
      <c r="H97" s="100">
        <v>7.6980532593006732</v>
      </c>
      <c r="I97" s="100">
        <v>3020.7160989495842</v>
      </c>
      <c r="J97" s="100">
        <v>9.1191709844559554</v>
      </c>
      <c r="K97" s="100">
        <v>3578.3626943005165</v>
      </c>
      <c r="L97" s="100">
        <v>10.920009884935288</v>
      </c>
      <c r="M97" s="100">
        <v>4285.011878848607</v>
      </c>
      <c r="N97" s="100">
        <v>11</v>
      </c>
      <c r="O97" s="100">
        <v>4316.3999999999996</v>
      </c>
      <c r="P97" s="100">
        <v>5.1364798714628179</v>
      </c>
      <c r="Q97" s="100">
        <v>2015.5547015620095</v>
      </c>
      <c r="R97" s="100">
        <v>6</v>
      </c>
      <c r="S97" s="100">
        <v>2354.3999999999996</v>
      </c>
      <c r="T97" s="100">
        <v>9.0112832155786577</v>
      </c>
      <c r="U97" s="100">
        <v>3536.0275337930652</v>
      </c>
      <c r="V97" s="100">
        <v>6.8117219679746857</v>
      </c>
      <c r="W97" s="100">
        <v>2672.9197002332667</v>
      </c>
      <c r="X97" s="100">
        <v>7</v>
      </c>
      <c r="Y97" s="100">
        <v>2746.7999999999997</v>
      </c>
      <c r="Z97" s="100">
        <v>0.4955135405358036</v>
      </c>
      <c r="AA97" s="100">
        <v>194.43951330624932</v>
      </c>
      <c r="AB97" s="100">
        <v>9.6703296703297337</v>
      </c>
      <c r="AC97" s="100">
        <v>3794.6373626373875</v>
      </c>
      <c r="AD97" s="100">
        <v>7</v>
      </c>
      <c r="AE97" s="100">
        <v>2746.7999999999997</v>
      </c>
      <c r="AF97" s="100">
        <v>7.7987846120939484</v>
      </c>
      <c r="AG97" s="100">
        <v>3060.2430817856653</v>
      </c>
      <c r="AH97" s="100">
        <v>10</v>
      </c>
      <c r="AI97" s="100">
        <v>3924</v>
      </c>
      <c r="AJ97" s="100">
        <v>8</v>
      </c>
      <c r="AK97" s="100">
        <v>3139.2</v>
      </c>
      <c r="AL97" s="100">
        <v>9.6625889752844163</v>
      </c>
      <c r="AM97" s="100">
        <v>3791.5999139016049</v>
      </c>
      <c r="AN97" s="100">
        <v>9</v>
      </c>
      <c r="AO97" s="100">
        <v>3531.6</v>
      </c>
      <c r="AP97" s="100">
        <v>7</v>
      </c>
      <c r="AQ97" s="100">
        <v>2746.7999999999997</v>
      </c>
      <c r="AR97" s="100">
        <v>11.792240241905878</v>
      </c>
      <c r="AS97" s="100">
        <v>4627.2750709238662</v>
      </c>
      <c r="AT97" s="100">
        <v>7</v>
      </c>
      <c r="AU97" s="100">
        <v>2746.7999999999997</v>
      </c>
      <c r="AV97" s="100">
        <v>0.37140575332831294</v>
      </c>
      <c r="AW97" s="100">
        <v>145.73961760602998</v>
      </c>
      <c r="AX97" s="100">
        <v>5.0883398734665494E-4</v>
      </c>
      <c r="AY97" s="100">
        <v>0.19966645663482738</v>
      </c>
      <c r="AZ97" s="100">
        <v>5.3967241082220974E-4</v>
      </c>
      <c r="BA97" s="100">
        <v>0.2117674540066351</v>
      </c>
      <c r="BB97" s="100">
        <v>5.5646221915890074E-4</v>
      </c>
      <c r="BC97" s="100">
        <v>0.21835577479795265</v>
      </c>
      <c r="BD97" s="100">
        <v>2.6513639591866336</v>
      </c>
      <c r="BE97" s="100">
        <v>1040.3952175848349</v>
      </c>
      <c r="BF97" s="100">
        <v>8.044412995258531</v>
      </c>
      <c r="BG97" s="100">
        <v>3156.6276593394473</v>
      </c>
      <c r="BH97" s="100">
        <v>7.5586917684077086</v>
      </c>
      <c r="BI97" s="100">
        <v>2966.0306499231847</v>
      </c>
      <c r="BJ97" s="100">
        <v>7.6598486568726116</v>
      </c>
      <c r="BK97" s="100">
        <v>3005.7246129568125</v>
      </c>
      <c r="BL97" s="100">
        <v>4.4608497651979659</v>
      </c>
      <c r="BM97" s="100">
        <v>1750.4374478636817</v>
      </c>
      <c r="BN97" s="100">
        <v>11.062588402626506</v>
      </c>
      <c r="BO97" s="100">
        <v>4340.9596891906403</v>
      </c>
      <c r="BP97" s="100">
        <v>8.1390347021980887</v>
      </c>
      <c r="BQ97" s="100">
        <v>3193.75721714253</v>
      </c>
      <c r="BR97" s="100">
        <v>7</v>
      </c>
      <c r="BS97" s="100">
        <v>2746.7999999999997</v>
      </c>
      <c r="BT97" s="100">
        <v>6.3139630516370708</v>
      </c>
      <c r="BU97" s="100">
        <v>2477.5991014623864</v>
      </c>
      <c r="BV97" s="100">
        <v>12.475211809394018</v>
      </c>
      <c r="BW97" s="100">
        <v>4895.2731140062124</v>
      </c>
      <c r="BX97" s="100">
        <v>9</v>
      </c>
      <c r="BY97" s="100">
        <v>3531.6</v>
      </c>
      <c r="BZ97" s="100">
        <v>8.5875618542568937</v>
      </c>
      <c r="CA97" s="100">
        <v>3369.759271610405</v>
      </c>
      <c r="CB97" s="100">
        <v>8</v>
      </c>
      <c r="CC97" s="100">
        <v>3139.2</v>
      </c>
      <c r="CD97" s="100">
        <v>10.399789684948459</v>
      </c>
      <c r="CE97" s="100">
        <v>4080.8774723737752</v>
      </c>
      <c r="CF97" s="100">
        <v>7</v>
      </c>
      <c r="CG97" s="100">
        <v>2746.7999999999997</v>
      </c>
      <c r="CH97" s="100">
        <v>9.9754178534392413</v>
      </c>
      <c r="CI97" s="100">
        <v>3914.3539656895582</v>
      </c>
      <c r="CJ97" s="100">
        <v>4.9873825256131576</v>
      </c>
      <c r="CK97" s="100">
        <v>1957.048903050603</v>
      </c>
      <c r="CL97" s="100">
        <v>7</v>
      </c>
      <c r="CM97" s="100">
        <v>2746.7999999999997</v>
      </c>
      <c r="CN97" s="100">
        <v>6.7347573751536194</v>
      </c>
      <c r="CO97" s="100">
        <v>2642.7187940102799</v>
      </c>
      <c r="CP97" s="100">
        <v>9</v>
      </c>
      <c r="CQ97" s="100">
        <v>3531.6</v>
      </c>
      <c r="CR97" s="100">
        <v>7</v>
      </c>
      <c r="CS97" s="100">
        <v>2746.7999999999997</v>
      </c>
      <c r="CT97" s="100">
        <v>8</v>
      </c>
      <c r="CU97" s="100">
        <v>3139.2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8</v>
      </c>
      <c r="G98" s="100">
        <v>4204.8</v>
      </c>
      <c r="H98" s="100">
        <v>7.7275245213592791</v>
      </c>
      <c r="I98" s="100">
        <v>4061.5868884264373</v>
      </c>
      <c r="J98" s="100">
        <v>9.9481865284974056</v>
      </c>
      <c r="K98" s="100">
        <v>5228.7668393782369</v>
      </c>
      <c r="L98" s="100">
        <v>8.9646884383494836</v>
      </c>
      <c r="M98" s="100">
        <v>4711.8402431964887</v>
      </c>
      <c r="N98" s="100">
        <v>11</v>
      </c>
      <c r="O98" s="100">
        <v>5781.6</v>
      </c>
      <c r="P98" s="100">
        <v>5.7071998571809095</v>
      </c>
      <c r="Q98" s="100">
        <v>2999.7042449342862</v>
      </c>
      <c r="R98" s="100">
        <v>6</v>
      </c>
      <c r="S98" s="100">
        <v>3153.6000000000004</v>
      </c>
      <c r="T98" s="100">
        <v>8.110154894020793</v>
      </c>
      <c r="U98" s="100">
        <v>4262.6974122973288</v>
      </c>
      <c r="V98" s="100">
        <v>6.5226697469129968</v>
      </c>
      <c r="W98" s="100">
        <v>3428.3152189774714</v>
      </c>
      <c r="X98" s="100">
        <v>7</v>
      </c>
      <c r="Y98" s="100">
        <v>3679.2000000000003</v>
      </c>
      <c r="Z98" s="100">
        <v>0.4955135405358036</v>
      </c>
      <c r="AA98" s="100">
        <v>260.44191690561837</v>
      </c>
      <c r="AB98" s="100">
        <v>8.7912087912088488</v>
      </c>
      <c r="AC98" s="100">
        <v>4620.6593406593711</v>
      </c>
      <c r="AD98" s="100">
        <v>7</v>
      </c>
      <c r="AE98" s="100">
        <v>3679.2000000000003</v>
      </c>
      <c r="AF98" s="100">
        <v>7.8187782178594727</v>
      </c>
      <c r="AG98" s="100">
        <v>4109.5498313069393</v>
      </c>
      <c r="AH98" s="100">
        <v>10</v>
      </c>
      <c r="AI98" s="100">
        <v>5256</v>
      </c>
      <c r="AJ98" s="100">
        <v>9</v>
      </c>
      <c r="AK98" s="100">
        <v>4730.4000000000005</v>
      </c>
      <c r="AL98" s="100">
        <v>9.6625889752844163</v>
      </c>
      <c r="AM98" s="100">
        <v>5078.6567654094897</v>
      </c>
      <c r="AN98" s="100">
        <v>10</v>
      </c>
      <c r="AO98" s="100">
        <v>5256</v>
      </c>
      <c r="AP98" s="100">
        <v>7</v>
      </c>
      <c r="AQ98" s="100">
        <v>3679.2000000000003</v>
      </c>
      <c r="AR98" s="100">
        <v>9.8268668682548981</v>
      </c>
      <c r="AS98" s="100">
        <v>5165.0012259547748</v>
      </c>
      <c r="AT98" s="100">
        <v>6</v>
      </c>
      <c r="AU98" s="100">
        <v>3153.6000000000004</v>
      </c>
      <c r="AV98" s="100">
        <v>0.43893407211527896</v>
      </c>
      <c r="AW98" s="100">
        <v>230.70374830379063</v>
      </c>
      <c r="AX98" s="100">
        <v>5.5509162255998714E-4</v>
      </c>
      <c r="AY98" s="100">
        <v>0.29175615681752926</v>
      </c>
      <c r="AZ98" s="100">
        <v>4.8570516973998879E-4</v>
      </c>
      <c r="BA98" s="100">
        <v>0.25528663721533812</v>
      </c>
      <c r="BB98" s="100">
        <v>5.5646221915890074E-4</v>
      </c>
      <c r="BC98" s="100">
        <v>0.29247654238991827</v>
      </c>
      <c r="BD98" s="100">
        <v>3.0932465742859949</v>
      </c>
      <c r="BE98" s="100">
        <v>1625.810399444719</v>
      </c>
      <c r="BF98" s="100">
        <v>8.044412995258531</v>
      </c>
      <c r="BG98" s="100">
        <v>4228.1434703078839</v>
      </c>
      <c r="BH98" s="100">
        <v>8.4645294657048424</v>
      </c>
      <c r="BI98" s="100">
        <v>4448.9566871744655</v>
      </c>
      <c r="BJ98" s="100">
        <v>9.4678097874983163</v>
      </c>
      <c r="BK98" s="100">
        <v>4976.2808243091149</v>
      </c>
      <c r="BL98" s="100">
        <v>3.836321294195141</v>
      </c>
      <c r="BM98" s="100">
        <v>2016.3704722289663</v>
      </c>
      <c r="BN98" s="100">
        <v>11.919763956459303</v>
      </c>
      <c r="BO98" s="100">
        <v>6265.0279355150096</v>
      </c>
      <c r="BP98" s="100">
        <v>7.4798701386646416</v>
      </c>
      <c r="BQ98" s="100">
        <v>3931.419744882136</v>
      </c>
      <c r="BR98" s="100">
        <v>7</v>
      </c>
      <c r="BS98" s="100">
        <v>3679.2000000000003</v>
      </c>
      <c r="BT98" s="100">
        <v>5.7695526462612232</v>
      </c>
      <c r="BU98" s="100">
        <v>3032.4768708748989</v>
      </c>
      <c r="BV98" s="100">
        <v>11.400862438334805</v>
      </c>
      <c r="BW98" s="100">
        <v>5992.2932975887734</v>
      </c>
      <c r="BX98" s="100">
        <v>10</v>
      </c>
      <c r="BY98" s="100">
        <v>5256</v>
      </c>
      <c r="BZ98" s="100">
        <v>7.8289112063745732</v>
      </c>
      <c r="CA98" s="100">
        <v>4114.8757300704756</v>
      </c>
      <c r="CB98" s="100">
        <v>8</v>
      </c>
      <c r="CC98" s="100">
        <v>4204.8</v>
      </c>
      <c r="CD98" s="100">
        <v>10.399789684948459</v>
      </c>
      <c r="CE98" s="100">
        <v>5466.1294584089101</v>
      </c>
      <c r="CF98" s="100">
        <v>7</v>
      </c>
      <c r="CG98" s="100">
        <v>3679.2000000000003</v>
      </c>
      <c r="CH98" s="100">
        <v>9.9754178534392413</v>
      </c>
      <c r="CI98" s="100">
        <v>5243.079623767665</v>
      </c>
      <c r="CJ98" s="100">
        <v>4.3419627682692745</v>
      </c>
      <c r="CK98" s="100">
        <v>2282.1356310023307</v>
      </c>
      <c r="CL98" s="100">
        <v>7</v>
      </c>
      <c r="CM98" s="100">
        <v>3679.2000000000003</v>
      </c>
      <c r="CN98" s="100">
        <v>6.7128408244411339</v>
      </c>
      <c r="CO98" s="100">
        <v>3528.2691373262601</v>
      </c>
      <c r="CP98" s="100">
        <v>9</v>
      </c>
      <c r="CQ98" s="100">
        <v>4730.4000000000005</v>
      </c>
      <c r="CR98" s="100">
        <v>8</v>
      </c>
      <c r="CS98" s="100">
        <v>4204.8</v>
      </c>
      <c r="CT98" s="100">
        <v>9.2457859012725976</v>
      </c>
      <c r="CU98" s="100">
        <v>4859.5850697088772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6</v>
      </c>
      <c r="G99" s="100">
        <v>25250.399999999998</v>
      </c>
      <c r="H99" s="100">
        <v>5.2106255383567328</v>
      </c>
      <c r="I99" s="100">
        <v>21928.396515620472</v>
      </c>
      <c r="J99" s="100">
        <v>5.803108808290153</v>
      </c>
      <c r="K99" s="100">
        <v>24421.803108808279</v>
      </c>
      <c r="L99" s="100">
        <v>6.9725354520495983</v>
      </c>
      <c r="M99" s="100">
        <v>29343.218196405527</v>
      </c>
      <c r="N99" s="100">
        <v>7</v>
      </c>
      <c r="O99" s="100">
        <v>29458.799999999996</v>
      </c>
      <c r="P99" s="100">
        <v>4.5657598857447272</v>
      </c>
      <c r="Q99" s="100">
        <v>19214.543903168109</v>
      </c>
      <c r="R99" s="100">
        <v>5</v>
      </c>
      <c r="S99" s="100">
        <v>21042</v>
      </c>
      <c r="T99" s="100">
        <v>6.307898250905061</v>
      </c>
      <c r="U99" s="100">
        <v>26546.158999108855</v>
      </c>
      <c r="V99" s="100">
        <v>4.953979613072498</v>
      </c>
      <c r="W99" s="100">
        <v>20848.327803654298</v>
      </c>
      <c r="X99" s="100">
        <v>5</v>
      </c>
      <c r="Y99" s="100">
        <v>21042</v>
      </c>
      <c r="Z99" s="100">
        <v>0.39641083242864289</v>
      </c>
      <c r="AA99" s="100">
        <v>1668.2553471927006</v>
      </c>
      <c r="AB99" s="100">
        <v>7.9120879120879639</v>
      </c>
      <c r="AC99" s="100">
        <v>33297.230769230984</v>
      </c>
      <c r="AD99" s="100">
        <v>5</v>
      </c>
      <c r="AE99" s="100">
        <v>21042</v>
      </c>
      <c r="AF99" s="100">
        <v>5.8540868605118428</v>
      </c>
      <c r="AG99" s="100">
        <v>24636.339143778037</v>
      </c>
      <c r="AH99" s="100">
        <v>7</v>
      </c>
      <c r="AI99" s="100">
        <v>29458.799999999996</v>
      </c>
      <c r="AJ99" s="100">
        <v>6</v>
      </c>
      <c r="AK99" s="100">
        <v>25250.399999999998</v>
      </c>
      <c r="AL99" s="100">
        <v>7.0273374365704839</v>
      </c>
      <c r="AM99" s="100">
        <v>29573.846868063221</v>
      </c>
      <c r="AN99" s="100">
        <v>6</v>
      </c>
      <c r="AO99" s="100">
        <v>25250.399999999998</v>
      </c>
      <c r="AP99" s="100">
        <v>6</v>
      </c>
      <c r="AQ99" s="100">
        <v>25250.399999999998</v>
      </c>
      <c r="AR99" s="100">
        <v>7.8614934946039181</v>
      </c>
      <c r="AS99" s="100">
        <v>33084.309222691125</v>
      </c>
      <c r="AT99" s="100">
        <v>5</v>
      </c>
      <c r="AU99" s="100">
        <v>21042</v>
      </c>
      <c r="AV99" s="100">
        <v>0.30387743454134697</v>
      </c>
      <c r="AW99" s="100">
        <v>1278.8377955238045</v>
      </c>
      <c r="AX99" s="100">
        <v>4.1631871691999044E-4</v>
      </c>
      <c r="AY99" s="100">
        <v>1.7520356882860877</v>
      </c>
      <c r="AZ99" s="100">
        <v>3.7777068757554683E-4</v>
      </c>
      <c r="BA99" s="100">
        <v>1.5898101615929312</v>
      </c>
      <c r="BB99" s="100">
        <v>3.4778888697431298E-4</v>
      </c>
      <c r="BC99" s="100">
        <v>1.4636347519426987</v>
      </c>
      <c r="BD99" s="100">
        <v>2.209460012321955</v>
      </c>
      <c r="BE99" s="100">
        <v>9298.2915158557153</v>
      </c>
      <c r="BF99" s="100">
        <v>5.9245988740906457</v>
      </c>
      <c r="BG99" s="100">
        <v>24933.081901723071</v>
      </c>
      <c r="BH99" s="100">
        <v>5.4350261837828002</v>
      </c>
      <c r="BI99" s="100">
        <v>22872.764191831535</v>
      </c>
      <c r="BJ99" s="100">
        <v>5.8513562033887467</v>
      </c>
      <c r="BK99" s="100">
        <v>24624.847446341199</v>
      </c>
      <c r="BL99" s="100">
        <v>3.2117928231923165</v>
      </c>
      <c r="BM99" s="100">
        <v>13516.508917122545</v>
      </c>
      <c r="BN99" s="100">
        <v>8.9026943921066177</v>
      </c>
      <c r="BO99" s="100">
        <v>37466.099079741485</v>
      </c>
      <c r="BP99" s="100">
        <v>5.4514742392205848</v>
      </c>
      <c r="BQ99" s="100">
        <v>22941.984188335908</v>
      </c>
      <c r="BR99" s="100">
        <v>5.5874362764660033</v>
      </c>
      <c r="BS99" s="100">
        <v>23514.166825879525</v>
      </c>
      <c r="BT99" s="100">
        <v>4.7293900161479945</v>
      </c>
      <c r="BU99" s="100">
        <v>19903.164943957217</v>
      </c>
      <c r="BV99" s="100">
        <v>8.3895013312940243</v>
      </c>
      <c r="BW99" s="100">
        <v>35306.377402617771</v>
      </c>
      <c r="BX99" s="100">
        <v>7</v>
      </c>
      <c r="BY99" s="100">
        <v>29458.799999999996</v>
      </c>
      <c r="BZ99" s="100">
        <v>5.3105545351762427</v>
      </c>
      <c r="CA99" s="100">
        <v>22348.937705835699</v>
      </c>
      <c r="CB99" s="100">
        <v>6</v>
      </c>
      <c r="CC99" s="100">
        <v>25250.399999999998</v>
      </c>
      <c r="CD99" s="100">
        <v>6.3998705753528977</v>
      </c>
      <c r="CE99" s="100">
        <v>26933.215329315131</v>
      </c>
      <c r="CF99" s="100">
        <v>5</v>
      </c>
      <c r="CG99" s="100">
        <v>21042</v>
      </c>
      <c r="CH99" s="100">
        <v>6.3479931794613353</v>
      </c>
      <c r="CI99" s="100">
        <v>26714.894496445082</v>
      </c>
      <c r="CJ99" s="100">
        <v>3.1684402756734449</v>
      </c>
      <c r="CK99" s="100">
        <v>13334.064056144125</v>
      </c>
      <c r="CL99" s="100">
        <v>6</v>
      </c>
      <c r="CM99" s="100">
        <v>25250.399999999998</v>
      </c>
      <c r="CN99" s="100">
        <v>5.7713968043766748</v>
      </c>
      <c r="CO99" s="100">
        <v>24288.346311538797</v>
      </c>
      <c r="CP99" s="100">
        <v>6</v>
      </c>
      <c r="CQ99" s="100">
        <v>25250.399999999998</v>
      </c>
      <c r="CR99" s="100">
        <v>5</v>
      </c>
      <c r="CS99" s="100">
        <v>21042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9</v>
      </c>
      <c r="E100" s="100">
        <v>2916</v>
      </c>
      <c r="F100" s="100">
        <v>8</v>
      </c>
      <c r="G100" s="100">
        <v>2592</v>
      </c>
      <c r="H100" s="100">
        <v>7.6980532593006732</v>
      </c>
      <c r="I100" s="100">
        <v>2494.1692560134179</v>
      </c>
      <c r="J100" s="100">
        <v>9.1191709844559554</v>
      </c>
      <c r="K100" s="100">
        <v>2954.6113989637297</v>
      </c>
      <c r="L100" s="100">
        <v>9.7766072329290186</v>
      </c>
      <c r="M100" s="100">
        <v>3167.6207434690018</v>
      </c>
      <c r="N100" s="100">
        <v>11</v>
      </c>
      <c r="O100" s="100">
        <v>3564</v>
      </c>
      <c r="P100" s="100">
        <v>5.7071998571809095</v>
      </c>
      <c r="Q100" s="100">
        <v>1849.1327537266147</v>
      </c>
      <c r="R100" s="100">
        <v>7</v>
      </c>
      <c r="S100" s="100">
        <v>2268</v>
      </c>
      <c r="T100" s="100">
        <v>9.0112832155786577</v>
      </c>
      <c r="U100" s="100">
        <v>2919.6557618474853</v>
      </c>
      <c r="V100" s="100">
        <v>7.7611646501811213</v>
      </c>
      <c r="W100" s="100">
        <v>2514.6173466586833</v>
      </c>
      <c r="X100" s="100">
        <v>8</v>
      </c>
      <c r="Y100" s="100">
        <v>2592</v>
      </c>
      <c r="Z100" s="100">
        <v>0.4955135405358036</v>
      </c>
      <c r="AA100" s="100">
        <v>160.54638713360038</v>
      </c>
      <c r="AB100" s="100">
        <v>9.6703296703297337</v>
      </c>
      <c r="AC100" s="100">
        <v>3133.1868131868337</v>
      </c>
      <c r="AD100" s="100">
        <v>8</v>
      </c>
      <c r="AE100" s="100">
        <v>2592</v>
      </c>
      <c r="AF100" s="100">
        <v>7.6188421602042435</v>
      </c>
      <c r="AG100" s="100">
        <v>2468.5048599061747</v>
      </c>
      <c r="AH100" s="100">
        <v>9</v>
      </c>
      <c r="AI100" s="100">
        <v>2916</v>
      </c>
      <c r="AJ100" s="100">
        <v>8</v>
      </c>
      <c r="AK100" s="100">
        <v>2592</v>
      </c>
      <c r="AL100" s="100">
        <v>9.6625889752844163</v>
      </c>
      <c r="AM100" s="100">
        <v>3130.6788279921507</v>
      </c>
      <c r="AN100" s="100">
        <v>9</v>
      </c>
      <c r="AO100" s="100">
        <v>2916</v>
      </c>
      <c r="AP100" s="100">
        <v>8</v>
      </c>
      <c r="AQ100" s="100">
        <v>2592</v>
      </c>
      <c r="AR100" s="100">
        <v>11.792240241905878</v>
      </c>
      <c r="AS100" s="100">
        <v>3820.6858383775043</v>
      </c>
      <c r="AT100" s="100">
        <v>7</v>
      </c>
      <c r="AU100" s="100">
        <v>2268</v>
      </c>
      <c r="AV100" s="100">
        <v>0.40516991272179592</v>
      </c>
      <c r="AW100" s="100">
        <v>131.27505172186187</v>
      </c>
      <c r="AX100" s="100">
        <v>5.0883398734665494E-4</v>
      </c>
      <c r="AY100" s="100">
        <v>0.16486221190031619</v>
      </c>
      <c r="AZ100" s="100">
        <v>5.3967241082220974E-4</v>
      </c>
      <c r="BA100" s="100">
        <v>0.17485386110639595</v>
      </c>
      <c r="BB100" s="100">
        <v>5.5646221915890074E-4</v>
      </c>
      <c r="BC100" s="100">
        <v>0.18029375900748384</v>
      </c>
      <c r="BD100" s="100">
        <v>3.0932286611562883</v>
      </c>
      <c r="BE100" s="100">
        <v>1002.2060862146374</v>
      </c>
      <c r="BF100" s="100">
        <v>8.886898311135969</v>
      </c>
      <c r="BG100" s="100">
        <v>2879.3550528080541</v>
      </c>
      <c r="BH100" s="100">
        <v>7.5303290238594691</v>
      </c>
      <c r="BI100" s="100">
        <v>2439.8266037304679</v>
      </c>
      <c r="BJ100" s="100">
        <v>8.5994962333829488</v>
      </c>
      <c r="BK100" s="100">
        <v>2786.2367796160752</v>
      </c>
      <c r="BL100" s="100">
        <v>4.4311329424719013</v>
      </c>
      <c r="BM100" s="100">
        <v>1435.687073360896</v>
      </c>
      <c r="BN100" s="100">
        <v>11.771249655507871</v>
      </c>
      <c r="BO100" s="100">
        <v>3813.8848883845503</v>
      </c>
      <c r="BP100" s="100">
        <v>9.4573638292649811</v>
      </c>
      <c r="BQ100" s="100">
        <v>3064.1858806818541</v>
      </c>
      <c r="BR100" s="100">
        <v>8.7832483686213383</v>
      </c>
      <c r="BS100" s="100">
        <v>2845.7724714333135</v>
      </c>
      <c r="BT100" s="100">
        <v>6.809715276374452</v>
      </c>
      <c r="BU100" s="100">
        <v>2206.3477495453226</v>
      </c>
      <c r="BV100" s="100">
        <v>12.584251996941036</v>
      </c>
      <c r="BW100" s="100">
        <v>4077.2976470088956</v>
      </c>
      <c r="BX100" s="100">
        <v>10</v>
      </c>
      <c r="BY100" s="100">
        <v>3240</v>
      </c>
      <c r="BZ100" s="100">
        <v>8.3451571267055229</v>
      </c>
      <c r="CA100" s="100">
        <v>2703.8309090525895</v>
      </c>
      <c r="CB100" s="100">
        <v>9</v>
      </c>
      <c r="CC100" s="100">
        <v>2916</v>
      </c>
      <c r="CD100" s="100">
        <v>9.5998058630293475</v>
      </c>
      <c r="CE100" s="100">
        <v>3110.3370996215085</v>
      </c>
      <c r="CF100" s="100">
        <v>7</v>
      </c>
      <c r="CG100" s="100">
        <v>2268</v>
      </c>
      <c r="CH100" s="100">
        <v>9.0685616849447648</v>
      </c>
      <c r="CI100" s="100">
        <v>2938.2139859221038</v>
      </c>
      <c r="CJ100" s="100">
        <v>4.3712920237922583</v>
      </c>
      <c r="CK100" s="100">
        <v>1416.2986157086916</v>
      </c>
      <c r="CL100" s="100">
        <v>7</v>
      </c>
      <c r="CM100" s="100">
        <v>2268</v>
      </c>
      <c r="CN100" s="100">
        <v>7.6937346357880685</v>
      </c>
      <c r="CO100" s="100">
        <v>2492.770021995334</v>
      </c>
      <c r="CP100" s="100">
        <v>9</v>
      </c>
      <c r="CQ100" s="100">
        <v>2916</v>
      </c>
      <c r="CR100" s="100">
        <v>7</v>
      </c>
      <c r="CS100" s="100">
        <v>2268</v>
      </c>
      <c r="CT100" s="100">
        <v>9</v>
      </c>
      <c r="CU100" s="100">
        <v>2916</v>
      </c>
    </row>
    <row r="101" spans="2:99">
      <c r="C101" s="99" t="s">
        <v>267</v>
      </c>
      <c r="D101" s="100">
        <v>8</v>
      </c>
      <c r="E101" s="100">
        <v>5788.8</v>
      </c>
      <c r="F101" s="100">
        <v>8</v>
      </c>
      <c r="G101" s="100">
        <v>5788.8</v>
      </c>
      <c r="H101" s="100">
        <v>7.6980532593006732</v>
      </c>
      <c r="I101" s="100">
        <v>5570.3113384299677</v>
      </c>
      <c r="J101" s="100">
        <v>9.9481865284974056</v>
      </c>
      <c r="K101" s="100">
        <v>7198.5077720207228</v>
      </c>
      <c r="L101" s="100">
        <v>8.9646884383494836</v>
      </c>
      <c r="M101" s="100">
        <v>6486.8485539896865</v>
      </c>
      <c r="N101" s="100">
        <v>10</v>
      </c>
      <c r="O101" s="100">
        <v>7236</v>
      </c>
      <c r="P101" s="100">
        <v>5.7071998571809095</v>
      </c>
      <c r="Q101" s="100">
        <v>4129.7298166561059</v>
      </c>
      <c r="R101" s="100">
        <v>7</v>
      </c>
      <c r="S101" s="100">
        <v>5065.2</v>
      </c>
      <c r="T101" s="100">
        <v>8.110154894020793</v>
      </c>
      <c r="U101" s="100">
        <v>5868.5080813134464</v>
      </c>
      <c r="V101" s="100">
        <v>6.8117219679746857</v>
      </c>
      <c r="W101" s="100">
        <v>4928.9620160264831</v>
      </c>
      <c r="X101" s="100">
        <v>7</v>
      </c>
      <c r="Y101" s="100">
        <v>5065.2</v>
      </c>
      <c r="Z101" s="100">
        <v>0.44596218648222324</v>
      </c>
      <c r="AA101" s="100">
        <v>322.69823813853674</v>
      </c>
      <c r="AB101" s="100">
        <v>9.6703296703297337</v>
      </c>
      <c r="AC101" s="100">
        <v>6997.4505494505956</v>
      </c>
      <c r="AD101" s="100">
        <v>7</v>
      </c>
      <c r="AE101" s="100">
        <v>5065.2</v>
      </c>
      <c r="AF101" s="100">
        <v>7.7987846120939484</v>
      </c>
      <c r="AG101" s="100">
        <v>5643.2005453111815</v>
      </c>
      <c r="AH101" s="100">
        <v>9</v>
      </c>
      <c r="AI101" s="100">
        <v>6512.4000000000005</v>
      </c>
      <c r="AJ101" s="100">
        <v>8</v>
      </c>
      <c r="AK101" s="100">
        <v>5788.8</v>
      </c>
      <c r="AL101" s="100">
        <v>8.7841717957131049</v>
      </c>
      <c r="AM101" s="100">
        <v>6356.2267113780026</v>
      </c>
      <c r="AN101" s="100">
        <v>10</v>
      </c>
      <c r="AO101" s="100">
        <v>7236</v>
      </c>
      <c r="AP101" s="100">
        <v>7</v>
      </c>
      <c r="AQ101" s="100">
        <v>5065.2</v>
      </c>
      <c r="AR101" s="100">
        <v>10.809553555080388</v>
      </c>
      <c r="AS101" s="100">
        <v>7821.7929524561687</v>
      </c>
      <c r="AT101" s="100">
        <v>7</v>
      </c>
      <c r="AU101" s="100">
        <v>5065.2</v>
      </c>
      <c r="AV101" s="100">
        <v>0.37140575332831294</v>
      </c>
      <c r="AW101" s="100">
        <v>268.74920310836723</v>
      </c>
      <c r="AX101" s="100">
        <v>6.0134925777331955E-4</v>
      </c>
      <c r="AY101" s="100">
        <v>0.43513632292477405</v>
      </c>
      <c r="AZ101" s="100">
        <v>4.8570516973998879E-4</v>
      </c>
      <c r="BA101" s="100">
        <v>0.35145626082385589</v>
      </c>
      <c r="BB101" s="100">
        <v>5.5646221915890074E-4</v>
      </c>
      <c r="BC101" s="100">
        <v>0.40265606178338059</v>
      </c>
      <c r="BD101" s="100">
        <v>3.0932465742859949</v>
      </c>
      <c r="BE101" s="100">
        <v>2238.2732211533462</v>
      </c>
      <c r="BF101" s="100">
        <v>7.2019276793810931</v>
      </c>
      <c r="BG101" s="100">
        <v>5211.3148688001593</v>
      </c>
      <c r="BH101" s="100">
        <v>7.5303290238594691</v>
      </c>
      <c r="BI101" s="100">
        <v>5448.9460816647124</v>
      </c>
      <c r="BJ101" s="100">
        <v>8.5638292221854648</v>
      </c>
      <c r="BK101" s="100">
        <v>6196.7868251734026</v>
      </c>
      <c r="BL101" s="100">
        <v>3.8660381169212061</v>
      </c>
      <c r="BM101" s="100">
        <v>2797.4651814041849</v>
      </c>
      <c r="BN101" s="100">
        <v>11.062588402626506</v>
      </c>
      <c r="BO101" s="100">
        <v>8004.8889681405399</v>
      </c>
      <c r="BP101" s="100">
        <v>8.1390347021980887</v>
      </c>
      <c r="BQ101" s="100">
        <v>5889.4055105105372</v>
      </c>
      <c r="BR101" s="100">
        <v>7</v>
      </c>
      <c r="BS101" s="100">
        <v>5065.2</v>
      </c>
      <c r="BT101" s="100">
        <v>6.2896339613178371</v>
      </c>
      <c r="BU101" s="100">
        <v>4551.1791344095873</v>
      </c>
      <c r="BV101" s="100">
        <v>12.449550104746558</v>
      </c>
      <c r="BW101" s="100">
        <v>9008.4944557946092</v>
      </c>
      <c r="BX101" s="100">
        <v>9</v>
      </c>
      <c r="BY101" s="100">
        <v>6512.4000000000005</v>
      </c>
      <c r="BZ101" s="100">
        <v>8.3451571267055229</v>
      </c>
      <c r="CA101" s="100">
        <v>6038.5556968841165</v>
      </c>
      <c r="CB101" s="100">
        <v>8</v>
      </c>
      <c r="CC101" s="100">
        <v>5788.8</v>
      </c>
      <c r="CD101" s="100">
        <v>9.5998058630293475</v>
      </c>
      <c r="CE101" s="100">
        <v>6946.4195224880359</v>
      </c>
      <c r="CF101" s="100">
        <v>6</v>
      </c>
      <c r="CG101" s="100">
        <v>4341.6000000000004</v>
      </c>
      <c r="CH101" s="100">
        <v>8.1617055164502883</v>
      </c>
      <c r="CI101" s="100">
        <v>5905.8101117034284</v>
      </c>
      <c r="CJ101" s="100">
        <v>4.3419627682692745</v>
      </c>
      <c r="CK101" s="100">
        <v>3141.8442591196472</v>
      </c>
      <c r="CL101" s="100">
        <v>7</v>
      </c>
      <c r="CM101" s="100">
        <v>5065.2</v>
      </c>
      <c r="CN101" s="100">
        <v>7.6915429807168199</v>
      </c>
      <c r="CO101" s="100">
        <v>5565.6005008466909</v>
      </c>
      <c r="CP101" s="100">
        <v>9</v>
      </c>
      <c r="CQ101" s="100">
        <v>6512.4000000000005</v>
      </c>
      <c r="CR101" s="100">
        <v>7</v>
      </c>
      <c r="CS101" s="100">
        <v>5065.2</v>
      </c>
      <c r="CT101" s="100">
        <v>8</v>
      </c>
      <c r="CU101" s="100">
        <v>5788.8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7</v>
      </c>
      <c r="G102" s="100">
        <v>3721.2000000000003</v>
      </c>
      <c r="H102" s="100">
        <v>7.0761963290646879</v>
      </c>
      <c r="I102" s="100">
        <v>3761.7059685307881</v>
      </c>
      <c r="J102" s="100">
        <v>9.1191709844559554</v>
      </c>
      <c r="K102" s="100">
        <v>4847.7512953367859</v>
      </c>
      <c r="L102" s="100">
        <v>9.960764931499428</v>
      </c>
      <c r="M102" s="100">
        <v>5295.1426375850961</v>
      </c>
      <c r="N102" s="100">
        <v>9</v>
      </c>
      <c r="O102" s="100">
        <v>4784.4000000000005</v>
      </c>
      <c r="P102" s="100">
        <v>5.1364798714628179</v>
      </c>
      <c r="Q102" s="100">
        <v>2730.552699669634</v>
      </c>
      <c r="R102" s="100">
        <v>7</v>
      </c>
      <c r="S102" s="100">
        <v>3721.2000000000003</v>
      </c>
      <c r="T102" s="100">
        <v>9.0112832155786577</v>
      </c>
      <c r="U102" s="100">
        <v>4790.3981574016143</v>
      </c>
      <c r="V102" s="100">
        <v>6.8117219679746857</v>
      </c>
      <c r="W102" s="100">
        <v>3621.1113981753429</v>
      </c>
      <c r="X102" s="100">
        <v>7</v>
      </c>
      <c r="Y102" s="100">
        <v>3721.2000000000003</v>
      </c>
      <c r="Z102" s="100">
        <v>0.4955135405358036</v>
      </c>
      <c r="AA102" s="100">
        <v>263.41499814883321</v>
      </c>
      <c r="AB102" s="100">
        <v>10.549450549450619</v>
      </c>
      <c r="AC102" s="100">
        <v>5608.087912087949</v>
      </c>
      <c r="AD102" s="100">
        <v>6</v>
      </c>
      <c r="AE102" s="100">
        <v>3189.6000000000004</v>
      </c>
      <c r="AF102" s="100">
        <v>7.7987846120939484</v>
      </c>
      <c r="AG102" s="100">
        <v>4145.8338997891433</v>
      </c>
      <c r="AH102" s="100">
        <v>10</v>
      </c>
      <c r="AI102" s="100">
        <v>5316</v>
      </c>
      <c r="AJ102" s="100">
        <v>8</v>
      </c>
      <c r="AK102" s="100">
        <v>4252.8</v>
      </c>
      <c r="AL102" s="100">
        <v>8.7841717957131049</v>
      </c>
      <c r="AM102" s="100">
        <v>4669.665726601087</v>
      </c>
      <c r="AN102" s="100">
        <v>9</v>
      </c>
      <c r="AO102" s="100">
        <v>4784.4000000000005</v>
      </c>
      <c r="AP102" s="100">
        <v>8</v>
      </c>
      <c r="AQ102" s="100">
        <v>4252.8</v>
      </c>
      <c r="AR102" s="100">
        <v>11.792240241905878</v>
      </c>
      <c r="AS102" s="100">
        <v>6268.7549125971655</v>
      </c>
      <c r="AT102" s="100">
        <v>6</v>
      </c>
      <c r="AU102" s="100">
        <v>3189.6000000000004</v>
      </c>
      <c r="AV102" s="100">
        <v>0.40516991272179592</v>
      </c>
      <c r="AW102" s="100">
        <v>215.38832560290672</v>
      </c>
      <c r="AX102" s="100">
        <v>5.5509162255998714E-4</v>
      </c>
      <c r="AY102" s="100">
        <v>0.29508670655288916</v>
      </c>
      <c r="AZ102" s="100">
        <v>4.8570516973998879E-4</v>
      </c>
      <c r="BA102" s="100">
        <v>0.25820086823377802</v>
      </c>
      <c r="BB102" s="100">
        <v>4.8690444176403814E-4</v>
      </c>
      <c r="BC102" s="100">
        <v>0.25883840124176266</v>
      </c>
      <c r="BD102" s="100">
        <v>2.6513622498688285</v>
      </c>
      <c r="BE102" s="100">
        <v>1409.4641720302693</v>
      </c>
      <c r="BF102" s="100">
        <v>8.886898311135969</v>
      </c>
      <c r="BG102" s="100">
        <v>4724.275142199881</v>
      </c>
      <c r="BH102" s="100">
        <v>7.5303290238594691</v>
      </c>
      <c r="BI102" s="100">
        <v>4003.1229090836941</v>
      </c>
      <c r="BJ102" s="100">
        <v>9.4678097874983163</v>
      </c>
      <c r="BK102" s="100">
        <v>5033.0876830341049</v>
      </c>
      <c r="BL102" s="100">
        <v>4.4311329424719013</v>
      </c>
      <c r="BM102" s="100">
        <v>2355.5902722180626</v>
      </c>
      <c r="BN102" s="100">
        <v>11.062588402626506</v>
      </c>
      <c r="BO102" s="100">
        <v>5880.8719948362514</v>
      </c>
      <c r="BP102" s="100">
        <v>8.1390347021980887</v>
      </c>
      <c r="BQ102" s="100">
        <v>4326.7108476885041</v>
      </c>
      <c r="BR102" s="100">
        <v>8</v>
      </c>
      <c r="BS102" s="100">
        <v>4252.8</v>
      </c>
      <c r="BT102" s="100">
        <v>6.2653048709986034</v>
      </c>
      <c r="BU102" s="100">
        <v>3330.6360694228579</v>
      </c>
      <c r="BV102" s="100">
        <v>12.449550104746558</v>
      </c>
      <c r="BW102" s="100">
        <v>6618.1808356832707</v>
      </c>
      <c r="BX102" s="100">
        <v>10</v>
      </c>
      <c r="BY102" s="100">
        <v>5316</v>
      </c>
      <c r="BZ102" s="100">
        <v>9.1038077745878443</v>
      </c>
      <c r="CA102" s="100">
        <v>4839.5842129708981</v>
      </c>
      <c r="CB102" s="100">
        <v>8</v>
      </c>
      <c r="CC102" s="100">
        <v>4252.8</v>
      </c>
      <c r="CD102" s="100">
        <v>10.399789684948459</v>
      </c>
      <c r="CE102" s="100">
        <v>5528.5281965186014</v>
      </c>
      <c r="CF102" s="100">
        <v>6</v>
      </c>
      <c r="CG102" s="100">
        <v>3189.6000000000004</v>
      </c>
      <c r="CH102" s="100">
        <v>9.0685616849447648</v>
      </c>
      <c r="CI102" s="100">
        <v>4820.8473917166375</v>
      </c>
      <c r="CJ102" s="100">
        <v>4.3419627682692745</v>
      </c>
      <c r="CK102" s="100">
        <v>2308.1874076119466</v>
      </c>
      <c r="CL102" s="100">
        <v>7</v>
      </c>
      <c r="CM102" s="100">
        <v>3721.2000000000003</v>
      </c>
      <c r="CN102" s="100">
        <v>6.7325657200823716</v>
      </c>
      <c r="CO102" s="100">
        <v>3579.0319367957891</v>
      </c>
      <c r="CP102" s="100">
        <v>9</v>
      </c>
      <c r="CQ102" s="100">
        <v>4784.4000000000005</v>
      </c>
      <c r="CR102" s="100">
        <v>7</v>
      </c>
      <c r="CS102" s="100">
        <v>3721.2000000000003</v>
      </c>
      <c r="CT102" s="100">
        <v>8</v>
      </c>
      <c r="CU102" s="100">
        <v>4252.8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8</v>
      </c>
      <c r="G103" s="100">
        <v>4713.5999999999995</v>
      </c>
      <c r="H103" s="100">
        <v>8.3199101895366585</v>
      </c>
      <c r="I103" s="100">
        <v>4902.091083674999</v>
      </c>
      <c r="J103" s="100">
        <v>9.9481865284974056</v>
      </c>
      <c r="K103" s="100">
        <v>5861.4715025906708</v>
      </c>
      <c r="L103" s="100">
        <v>8.9646884383494836</v>
      </c>
      <c r="M103" s="100">
        <v>5281.9944278755147</v>
      </c>
      <c r="N103" s="100">
        <v>10</v>
      </c>
      <c r="O103" s="100">
        <v>5891.9999999999991</v>
      </c>
      <c r="P103" s="100">
        <v>5.7071998571809095</v>
      </c>
      <c r="Q103" s="100">
        <v>3362.6821558509914</v>
      </c>
      <c r="R103" s="100">
        <v>7</v>
      </c>
      <c r="S103" s="100">
        <v>4124.3999999999996</v>
      </c>
      <c r="T103" s="100">
        <v>9.0112832155786577</v>
      </c>
      <c r="U103" s="100">
        <v>5309.4480706189443</v>
      </c>
      <c r="V103" s="100">
        <v>6.5526874951468477</v>
      </c>
      <c r="W103" s="100">
        <v>3860.8434721405224</v>
      </c>
      <c r="X103" s="100">
        <v>8</v>
      </c>
      <c r="Y103" s="100">
        <v>4713.5999999999995</v>
      </c>
      <c r="Z103" s="100">
        <v>0.4955135405358036</v>
      </c>
      <c r="AA103" s="100">
        <v>291.95657808369543</v>
      </c>
      <c r="AB103" s="100">
        <v>9.6703296703297337</v>
      </c>
      <c r="AC103" s="100">
        <v>5697.758241758278</v>
      </c>
      <c r="AD103" s="100">
        <v>7</v>
      </c>
      <c r="AE103" s="100">
        <v>4124.3999999999996</v>
      </c>
      <c r="AF103" s="100">
        <v>7.7987846120939484</v>
      </c>
      <c r="AG103" s="100">
        <v>4595.0438934457543</v>
      </c>
      <c r="AH103" s="100">
        <v>9</v>
      </c>
      <c r="AI103" s="100">
        <v>5302.7999999999993</v>
      </c>
      <c r="AJ103" s="100">
        <v>8</v>
      </c>
      <c r="AK103" s="100">
        <v>4713.5999999999995</v>
      </c>
      <c r="AL103" s="100">
        <v>9.6625889752844163</v>
      </c>
      <c r="AM103" s="100">
        <v>5693.1974242375773</v>
      </c>
      <c r="AN103" s="100">
        <v>9</v>
      </c>
      <c r="AO103" s="100">
        <v>5302.7999999999993</v>
      </c>
      <c r="AP103" s="100">
        <v>7</v>
      </c>
      <c r="AQ103" s="100">
        <v>4124.3999999999996</v>
      </c>
      <c r="AR103" s="100">
        <v>10.809553555080388</v>
      </c>
      <c r="AS103" s="100">
        <v>6368.9889546533641</v>
      </c>
      <c r="AT103" s="100">
        <v>7</v>
      </c>
      <c r="AU103" s="100">
        <v>4124.3999999999996</v>
      </c>
      <c r="AV103" s="100">
        <v>0.37140575332831294</v>
      </c>
      <c r="AW103" s="100">
        <v>218.83226986104196</v>
      </c>
      <c r="AX103" s="100">
        <v>5.5509162255998714E-4</v>
      </c>
      <c r="AY103" s="100">
        <v>0.32705998401234437</v>
      </c>
      <c r="AZ103" s="100">
        <v>4.8570516973998879E-4</v>
      </c>
      <c r="BA103" s="100">
        <v>0.28617748601080134</v>
      </c>
      <c r="BB103" s="100">
        <v>5.5646221915890074E-4</v>
      </c>
      <c r="BC103" s="100">
        <v>0.32786753952842429</v>
      </c>
      <c r="BD103" s="100">
        <v>3.0932286611562883</v>
      </c>
      <c r="BE103" s="100">
        <v>1822.5303271532848</v>
      </c>
      <c r="BF103" s="100">
        <v>8.886898311135969</v>
      </c>
      <c r="BG103" s="100">
        <v>5236.1604849213127</v>
      </c>
      <c r="BH103" s="100">
        <v>8.4645294657048424</v>
      </c>
      <c r="BI103" s="100">
        <v>4987.3007611932926</v>
      </c>
      <c r="BJ103" s="100">
        <v>7.7127514354534048</v>
      </c>
      <c r="BK103" s="100">
        <v>4544.3531457691452</v>
      </c>
      <c r="BL103" s="100">
        <v>3.836321294195141</v>
      </c>
      <c r="BM103" s="100">
        <v>2260.3605065397769</v>
      </c>
      <c r="BN103" s="100">
        <v>9.9083842468908472</v>
      </c>
      <c r="BO103" s="100">
        <v>5838.0199982680861</v>
      </c>
      <c r="BP103" s="100">
        <v>7.4544190342427825</v>
      </c>
      <c r="BQ103" s="100">
        <v>4392.1436949758472</v>
      </c>
      <c r="BR103" s="100">
        <v>8</v>
      </c>
      <c r="BS103" s="100">
        <v>4713.5999999999995</v>
      </c>
      <c r="BT103" s="100">
        <v>6.2896339613178371</v>
      </c>
      <c r="BU103" s="100">
        <v>3705.8523300084694</v>
      </c>
      <c r="BV103" s="100">
        <v>11.266160546140325</v>
      </c>
      <c r="BW103" s="100">
        <v>6638.0217937858788</v>
      </c>
      <c r="BX103" s="100">
        <v>10</v>
      </c>
      <c r="BY103" s="100">
        <v>5891.9999999999991</v>
      </c>
      <c r="BZ103" s="100">
        <v>8.3451571267055229</v>
      </c>
      <c r="CA103" s="100">
        <v>4916.9665790548934</v>
      </c>
      <c r="CB103" s="100">
        <v>8</v>
      </c>
      <c r="CC103" s="100">
        <v>4713.5999999999995</v>
      </c>
      <c r="CD103" s="100">
        <v>11.199773506867571</v>
      </c>
      <c r="CE103" s="100">
        <v>6598.9065502463718</v>
      </c>
      <c r="CF103" s="100">
        <v>7</v>
      </c>
      <c r="CG103" s="100">
        <v>4124.3999999999996</v>
      </c>
      <c r="CH103" s="100">
        <v>9.9754178534392413</v>
      </c>
      <c r="CI103" s="100">
        <v>5877.5161992464</v>
      </c>
      <c r="CJ103" s="100">
        <v>4.9287240145671891</v>
      </c>
      <c r="CK103" s="100">
        <v>2904.0041893829875</v>
      </c>
      <c r="CL103" s="100">
        <v>7</v>
      </c>
      <c r="CM103" s="100">
        <v>4124.3999999999996</v>
      </c>
      <c r="CN103" s="100">
        <v>6.7347573751536194</v>
      </c>
      <c r="CO103" s="100">
        <v>3968.1190454405123</v>
      </c>
      <c r="CP103" s="100">
        <v>8</v>
      </c>
      <c r="CQ103" s="100">
        <v>4713.5999999999995</v>
      </c>
      <c r="CR103" s="100">
        <v>7</v>
      </c>
      <c r="CS103" s="100">
        <v>4124.3999999999996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8</v>
      </c>
      <c r="G104" s="100">
        <v>5059.2</v>
      </c>
      <c r="H104" s="100">
        <v>6.4543393988287026</v>
      </c>
      <c r="I104" s="100">
        <v>4081.7242358192711</v>
      </c>
      <c r="J104" s="100">
        <v>9.1191709844559554</v>
      </c>
      <c r="K104" s="100">
        <v>5766.9637305699462</v>
      </c>
      <c r="L104" s="100">
        <v>9.7766072329290186</v>
      </c>
      <c r="M104" s="100">
        <v>6182.7264141043115</v>
      </c>
      <c r="N104" s="100">
        <v>9</v>
      </c>
      <c r="O104" s="100">
        <v>5691.5999999999995</v>
      </c>
      <c r="P104" s="100">
        <v>5.1364798714628179</v>
      </c>
      <c r="Q104" s="100">
        <v>3248.3098707130857</v>
      </c>
      <c r="R104" s="100">
        <v>8</v>
      </c>
      <c r="S104" s="100">
        <v>5059.2</v>
      </c>
      <c r="T104" s="100">
        <v>8.110154894020793</v>
      </c>
      <c r="U104" s="100">
        <v>5128.8619549787491</v>
      </c>
      <c r="V104" s="100">
        <v>6.1924745163406234</v>
      </c>
      <c r="W104" s="100">
        <v>3916.1208841338103</v>
      </c>
      <c r="X104" s="100">
        <v>7</v>
      </c>
      <c r="Y104" s="100">
        <v>4426.8</v>
      </c>
      <c r="Z104" s="100">
        <v>0.44596218648222324</v>
      </c>
      <c r="AA104" s="100">
        <v>282.02648673135798</v>
      </c>
      <c r="AB104" s="100">
        <v>9.6703296703297337</v>
      </c>
      <c r="AC104" s="100">
        <v>6115.5164835165233</v>
      </c>
      <c r="AD104" s="100">
        <v>7</v>
      </c>
      <c r="AE104" s="100">
        <v>4426.8</v>
      </c>
      <c r="AF104" s="100">
        <v>8.7511398821194799</v>
      </c>
      <c r="AG104" s="100">
        <v>5534.2208614523588</v>
      </c>
      <c r="AH104" s="100">
        <v>10</v>
      </c>
      <c r="AI104" s="100">
        <v>6324</v>
      </c>
      <c r="AJ104" s="100">
        <v>8</v>
      </c>
      <c r="AK104" s="100">
        <v>5059.2</v>
      </c>
      <c r="AL104" s="100">
        <v>9.6625889752844163</v>
      </c>
      <c r="AM104" s="100">
        <v>6110.6212679698647</v>
      </c>
      <c r="AN104" s="100">
        <v>9</v>
      </c>
      <c r="AO104" s="100">
        <v>5691.5999999999995</v>
      </c>
      <c r="AP104" s="100">
        <v>7</v>
      </c>
      <c r="AQ104" s="100">
        <v>4426.8</v>
      </c>
      <c r="AR104" s="100">
        <v>11.792240241905878</v>
      </c>
      <c r="AS104" s="100">
        <v>7457.4127289812768</v>
      </c>
      <c r="AT104" s="100">
        <v>6</v>
      </c>
      <c r="AU104" s="100">
        <v>3794.3999999999996</v>
      </c>
      <c r="AV104" s="100">
        <v>0.40516991272179592</v>
      </c>
      <c r="AW104" s="100">
        <v>256.22945280526375</v>
      </c>
      <c r="AX104" s="100">
        <v>5.5509162255998714E-4</v>
      </c>
      <c r="AY104" s="100">
        <v>0.35103994210693584</v>
      </c>
      <c r="AZ104" s="100">
        <v>4.8570516973998879E-4</v>
      </c>
      <c r="BA104" s="100">
        <v>0.30715994934356888</v>
      </c>
      <c r="BB104" s="100">
        <v>5.5646221915890074E-4</v>
      </c>
      <c r="BC104" s="100">
        <v>0.35190670739608881</v>
      </c>
      <c r="BD104" s="100">
        <v>3.0932286611562883</v>
      </c>
      <c r="BE104" s="100">
        <v>1956.1578053152366</v>
      </c>
      <c r="BF104" s="100">
        <v>8.7419504813316316</v>
      </c>
      <c r="BG104" s="100">
        <v>5528.4094843941239</v>
      </c>
      <c r="BH104" s="100">
        <v>6.6244913265623362</v>
      </c>
      <c r="BI104" s="100">
        <v>4189.3283149180215</v>
      </c>
      <c r="BJ104" s="100">
        <v>8.5994962333829488</v>
      </c>
      <c r="BK104" s="100">
        <v>5438.3214179913766</v>
      </c>
      <c r="BL104" s="100">
        <v>4.4608497651979659</v>
      </c>
      <c r="BM104" s="100">
        <v>2821.0413915111935</v>
      </c>
      <c r="BN104" s="100">
        <v>11.919763956459303</v>
      </c>
      <c r="BO104" s="100">
        <v>7538.0587260648626</v>
      </c>
      <c r="BP104" s="100">
        <v>8.1135835977762287</v>
      </c>
      <c r="BQ104" s="100">
        <v>5131.0302672336866</v>
      </c>
      <c r="BR104" s="100">
        <v>7</v>
      </c>
      <c r="BS104" s="100">
        <v>4426.8</v>
      </c>
      <c r="BT104" s="100">
        <v>6.2653048709986034</v>
      </c>
      <c r="BU104" s="100">
        <v>3962.1788004195168</v>
      </c>
      <c r="BV104" s="100">
        <v>12.314848212552079</v>
      </c>
      <c r="BW104" s="100">
        <v>7787.9100096179345</v>
      </c>
      <c r="BX104" s="100">
        <v>9</v>
      </c>
      <c r="BY104" s="100">
        <v>5691.5999999999995</v>
      </c>
      <c r="BZ104" s="100">
        <v>8.3451571267055229</v>
      </c>
      <c r="CA104" s="100">
        <v>5277.4773669285723</v>
      </c>
      <c r="CB104" s="100">
        <v>8</v>
      </c>
      <c r="CC104" s="100">
        <v>5059.2</v>
      </c>
      <c r="CD104" s="100">
        <v>9.5998058630293475</v>
      </c>
      <c r="CE104" s="100">
        <v>6070.9172277797588</v>
      </c>
      <c r="CF104" s="100">
        <v>7</v>
      </c>
      <c r="CG104" s="100">
        <v>4426.8</v>
      </c>
      <c r="CH104" s="100">
        <v>9.0685616849447648</v>
      </c>
      <c r="CI104" s="100">
        <v>5734.958409559069</v>
      </c>
      <c r="CJ104" s="100">
        <v>4.9873825256131576</v>
      </c>
      <c r="CK104" s="100">
        <v>3154.0207091977609</v>
      </c>
      <c r="CL104" s="100">
        <v>6</v>
      </c>
      <c r="CM104" s="100">
        <v>3794.3999999999996</v>
      </c>
      <c r="CN104" s="100">
        <v>7.6937346357880685</v>
      </c>
      <c r="CO104" s="100">
        <v>4865.5177836723742</v>
      </c>
      <c r="CP104" s="100">
        <v>9</v>
      </c>
      <c r="CQ104" s="100">
        <v>5691.5999999999995</v>
      </c>
      <c r="CR104" s="100">
        <v>7</v>
      </c>
      <c r="CS104" s="100">
        <v>4426.8</v>
      </c>
      <c r="CT104" s="100">
        <v>8</v>
      </c>
      <c r="CU104" s="100">
        <v>5059.2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8.3199101895366585</v>
      </c>
      <c r="I105" s="100">
        <v>4632.5259935340109</v>
      </c>
      <c r="J105" s="100">
        <v>9.1191709844559554</v>
      </c>
      <c r="K105" s="100">
        <v>5077.5544041450758</v>
      </c>
      <c r="L105" s="100">
        <v>9.9423491616423849</v>
      </c>
      <c r="M105" s="100">
        <v>5535.9000132024794</v>
      </c>
      <c r="N105" s="100">
        <v>10</v>
      </c>
      <c r="O105" s="100">
        <v>5568</v>
      </c>
      <c r="P105" s="100">
        <v>6.0365882791205809</v>
      </c>
      <c r="Q105" s="100">
        <v>3361.1723538143392</v>
      </c>
      <c r="R105" s="100">
        <v>7</v>
      </c>
      <c r="S105" s="100">
        <v>3897.5999999999995</v>
      </c>
      <c r="T105" s="100">
        <v>9.0112832155786577</v>
      </c>
      <c r="U105" s="100">
        <v>5017.4824944341963</v>
      </c>
      <c r="V105" s="100">
        <v>7.7911823984149731</v>
      </c>
      <c r="W105" s="100">
        <v>4338.1303594374567</v>
      </c>
      <c r="X105" s="100">
        <v>7</v>
      </c>
      <c r="Y105" s="100">
        <v>3897.5999999999995</v>
      </c>
      <c r="Z105" s="100">
        <v>0.4955135405358036</v>
      </c>
      <c r="AA105" s="100">
        <v>275.90193937033541</v>
      </c>
      <c r="AB105" s="100">
        <v>10.549450549450619</v>
      </c>
      <c r="AC105" s="100">
        <v>5873.9340659341042</v>
      </c>
      <c r="AD105" s="100">
        <v>7</v>
      </c>
      <c r="AE105" s="100">
        <v>3897.5999999999995</v>
      </c>
      <c r="AF105" s="100">
        <v>7.6188421602042435</v>
      </c>
      <c r="AG105" s="100">
        <v>4242.1713148017225</v>
      </c>
      <c r="AH105" s="100">
        <v>9</v>
      </c>
      <c r="AI105" s="100">
        <v>5011.2</v>
      </c>
      <c r="AJ105" s="100">
        <v>8</v>
      </c>
      <c r="AK105" s="100">
        <v>4454.3999999999996</v>
      </c>
      <c r="AL105" s="100">
        <v>9.6625889752844163</v>
      </c>
      <c r="AM105" s="100">
        <v>5380.1295414383621</v>
      </c>
      <c r="AN105" s="100">
        <v>9</v>
      </c>
      <c r="AO105" s="100">
        <v>5011.2</v>
      </c>
      <c r="AP105" s="100">
        <v>8</v>
      </c>
      <c r="AQ105" s="100">
        <v>4454.3999999999996</v>
      </c>
      <c r="AR105" s="100">
        <v>12.774926928731366</v>
      </c>
      <c r="AS105" s="100">
        <v>7113.0793139176239</v>
      </c>
      <c r="AT105" s="100">
        <v>7</v>
      </c>
      <c r="AU105" s="100">
        <v>3897.5999999999995</v>
      </c>
      <c r="AV105" s="100">
        <v>0.40516991272179592</v>
      </c>
      <c r="AW105" s="100">
        <v>225.59860740349595</v>
      </c>
      <c r="AX105" s="100">
        <v>5.5509162255998714E-4</v>
      </c>
      <c r="AY105" s="100">
        <v>0.30907501544140081</v>
      </c>
      <c r="AZ105" s="100">
        <v>4.8570516973998879E-4</v>
      </c>
      <c r="BA105" s="100">
        <v>0.27044063851122574</v>
      </c>
      <c r="BB105" s="100">
        <v>5.5646221915890074E-4</v>
      </c>
      <c r="BC105" s="100">
        <v>0.30983816362767591</v>
      </c>
      <c r="BD105" s="100">
        <v>3.0932465742859949</v>
      </c>
      <c r="BE105" s="100">
        <v>1722.3196925624418</v>
      </c>
      <c r="BF105" s="100">
        <v>7.8994651654541945</v>
      </c>
      <c r="BG105" s="100">
        <v>4398.422204124895</v>
      </c>
      <c r="BH105" s="100">
        <v>7.5586917684077086</v>
      </c>
      <c r="BI105" s="100">
        <v>4208.6795766494115</v>
      </c>
      <c r="BJ105" s="100">
        <v>8.5994962333829488</v>
      </c>
      <c r="BK105" s="100">
        <v>4788.199502747625</v>
      </c>
      <c r="BL105" s="100">
        <v>3.836321294195141</v>
      </c>
      <c r="BM105" s="100">
        <v>2136.0636966078541</v>
      </c>
      <c r="BN105" s="100">
        <v>10.914074101675075</v>
      </c>
      <c r="BO105" s="100">
        <v>6076.9564598126808</v>
      </c>
      <c r="BP105" s="100">
        <v>8.7727481613096749</v>
      </c>
      <c r="BQ105" s="100">
        <v>4884.6661762172262</v>
      </c>
      <c r="BR105" s="100">
        <v>8</v>
      </c>
      <c r="BS105" s="100">
        <v>4454.3999999999996</v>
      </c>
      <c r="BT105" s="100">
        <v>6.2896339613178371</v>
      </c>
      <c r="BU105" s="100">
        <v>3502.0681896617716</v>
      </c>
      <c r="BV105" s="100">
        <v>12.314848212552079</v>
      </c>
      <c r="BW105" s="100">
        <v>6856.9074847489965</v>
      </c>
      <c r="BX105" s="100">
        <v>9</v>
      </c>
      <c r="BY105" s="100">
        <v>5011.2</v>
      </c>
      <c r="BZ105" s="100">
        <v>8.3451571267055229</v>
      </c>
      <c r="CA105" s="100">
        <v>4646.5834881496348</v>
      </c>
      <c r="CB105" s="100">
        <v>8</v>
      </c>
      <c r="CC105" s="100">
        <v>4454.3999999999996</v>
      </c>
      <c r="CD105" s="100">
        <v>9.5998058630293475</v>
      </c>
      <c r="CE105" s="100">
        <v>5345.17190453474</v>
      </c>
      <c r="CF105" s="100">
        <v>7</v>
      </c>
      <c r="CG105" s="100">
        <v>3897.5999999999995</v>
      </c>
      <c r="CH105" s="100">
        <v>9.0685616849447648</v>
      </c>
      <c r="CI105" s="100">
        <v>5049.3751461772445</v>
      </c>
      <c r="CJ105" s="100">
        <v>4.9580532700901738</v>
      </c>
      <c r="CK105" s="100">
        <v>2760.6440607862087</v>
      </c>
      <c r="CL105" s="100">
        <v>8</v>
      </c>
      <c r="CM105" s="100">
        <v>4454.3999999999996</v>
      </c>
      <c r="CN105" s="100">
        <v>6.7347573751536194</v>
      </c>
      <c r="CO105" s="100">
        <v>3749.9129064855351</v>
      </c>
      <c r="CP105" s="100">
        <v>9</v>
      </c>
      <c r="CQ105" s="100">
        <v>5011.2</v>
      </c>
      <c r="CR105" s="100">
        <v>7</v>
      </c>
      <c r="CS105" s="100">
        <v>3897.5999999999995</v>
      </c>
      <c r="CT105" s="100">
        <v>9</v>
      </c>
      <c r="CU105" s="100">
        <v>5011.2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258.07206847492319</v>
      </c>
      <c r="E109" s="100">
        <f>SUM(L$6:L$19)+SUM(N$6:N$19)+SUM(P$6:P$19)+SUM(R$6:R$19)</f>
        <v>261.24958554140096</v>
      </c>
      <c r="F109" s="100">
        <f>SUM(T$6:T$19)+SUM(V$6:V$19)+SUM(X$6:X$19)+SUM(Z$6:Z$19)</f>
        <v>250.13968874831073</v>
      </c>
      <c r="G109" s="100">
        <f>SUM(AB$6:AB$19)+SUM(AD$6:AD$19)+SUM(AF$6:AF$19)+SUM(AH$6:AH$19)</f>
        <v>241.48584732468527</v>
      </c>
      <c r="H109" s="100">
        <f>SUM(AJ$6:AJ$19)+SUM(AL$6:AL$19)+SUM(AN$6:AN$19)+SUM(AP$6:AP$19)</f>
        <v>321.24998967885585</v>
      </c>
      <c r="I109" s="100">
        <f>SUM(AR$6:AR$19)+SUM(AT$6:AT$19)+SUM(AV$6:AV$19)+SUM(AX$6:AX$19)</f>
        <v>319.12861985123016</v>
      </c>
      <c r="J109" s="100">
        <f>SUM(AZ$6:AZ$19)+SUM(BB$6:BB$19)+SUM(BD$6:BD$19)+SUM(BF$6:BF$19)</f>
        <v>310.19992739660097</v>
      </c>
      <c r="K109" s="100">
        <f>SUM(BH$6:BH$19)+SUM(BJ$6:BJ$19)+SUM(BL$6:BL$19)+SUM(BN$6:BN$19)</f>
        <v>316.83346025300989</v>
      </c>
      <c r="L109" s="100">
        <f>SUM(BP$6:BP$19)+SUM(BR$6:BR$19)+SUM(BT$6:BT$19)+SUM(BV$6:BV$19)</f>
        <v>280.32310731483921</v>
      </c>
      <c r="M109" s="100">
        <f>SUM(BX$6:BX$19)+SUM(BZ$6:BZ$19)+SUM(CB$6:CB$19)+SUM(CD$6:CD$19)</f>
        <v>327.90668204254553</v>
      </c>
      <c r="N109" s="100">
        <f>SUM(CF$6:CF$19)+SUM(CH$6:CH$19)+SUM(CJ$6:CJ$19)+SUM(CL$6:CL$19)</f>
        <v>401.62645040538939</v>
      </c>
      <c r="O109" s="100">
        <f>SUM(CN$6:CN$19)+SUM(CP$6:CP$19)+SUM(CR$6:CR$19)+SUM(CT$6:CT$19)</f>
        <v>326.62248036070065</v>
      </c>
    </row>
    <row r="110" spans="2:99">
      <c r="C110" s="99" t="s">
        <v>127</v>
      </c>
      <c r="D110" s="100">
        <f>SUM(D$20:D$36)+SUM(F$20:F$36)+SUM(H$20:H$36)+SUM(J$20:J$36)</f>
        <v>433.76600767216996</v>
      </c>
      <c r="E110" s="100">
        <f>SUM(L$20:L$36)+SUM(N$20:N$36)+SUM(P$20:P$36)+SUM(R$20:R$36)</f>
        <v>308.4284406375142</v>
      </c>
      <c r="F110" s="100">
        <f>SUM(T$20:T$36)+SUM(V$20:V$36)+SUM(X$20:X$36)+SUM(Z$20:Z$36)</f>
        <v>430.02898610284961</v>
      </c>
      <c r="G110" s="100">
        <f>SUM(AB$20:AB$36)+SUM(AD$20:AD$36)+SUM(AF$20:AF$36)+SUM(AH$20:AH$36)</f>
        <v>339.5412824493207</v>
      </c>
      <c r="H110" s="100">
        <f>SUM(AJ$20:AJ$36)+SUM(AL$20:AL$36)+SUM(AN$20:AN$36)+SUM(AP$20:AP$36)</f>
        <v>456.69086127531966</v>
      </c>
      <c r="I110" s="100">
        <f>SUM(AR$20:AR$36)+SUM(AT$20:AT$36)+SUM(AV$20:AV$36)+SUM(AX$20:AX$36)</f>
        <v>428.66520632624162</v>
      </c>
      <c r="J110" s="100">
        <f>SUM(AZ$20:AZ$36)+SUM(BB$20:BB$36)+SUM(BD$20:BD$36)+SUM(BF$20:BF$36)</f>
        <v>390.5513263416085</v>
      </c>
      <c r="K110" s="100">
        <f>SUM(BH$20:BH$36)+SUM(BJ$20:BJ$36)+SUM(BL$20:BL$36)+SUM(BN$20:BN$36)</f>
        <v>468.2428778958116</v>
      </c>
      <c r="L110" s="100">
        <f>SUM(BP$20:BP$36)+SUM(BR$20:BR$36)+SUM(BT$20:BT$36)+SUM(BV$20:BV$36)</f>
        <v>380.50046274702595</v>
      </c>
      <c r="M110" s="100">
        <f>SUM(BX$20:BX$36)+SUM(BZ$20:BZ$36)+SUM(CB$20:CB$36)+SUM(CD$20:CD$36)</f>
        <v>503.55142701032105</v>
      </c>
      <c r="N110" s="100">
        <f>SUM(CF$20:CF$36)+SUM(CH$20:CH$36)+SUM(CJ$20:CJ$36)+SUM(CL$20:CL$36)</f>
        <v>495.79428846628269</v>
      </c>
      <c r="O110" s="100">
        <f>SUM(CN$20:CN$36)+SUM(CP$20:CP$36)+SUM(CR$20:CR$36)+SUM(CT$20:CT$36)</f>
        <v>459.34257136388698</v>
      </c>
    </row>
    <row r="111" spans="2:99">
      <c r="C111" s="99" t="s">
        <v>128</v>
      </c>
      <c r="D111" s="100">
        <f>SUM(D$37:D$48)+SUM(F$37:F$48)+SUM(H$37:H$48)+SUM(J$37:J$48)</f>
        <v>489.73011174652567</v>
      </c>
      <c r="E111" s="100">
        <f>SUM(L$37:L$48)+SUM(N$37:N$48)+SUM(P$37:P$48)+SUM(R$37:R$48)</f>
        <v>511.67627831572878</v>
      </c>
      <c r="F111" s="100">
        <f>SUM(T$37:T$48)+SUM(V$37:V$48)+SUM(X$37:X$48)+SUM(Z$37:Z$48)</f>
        <v>528.62124215139522</v>
      </c>
      <c r="G111" s="100">
        <f>SUM(AB$37:AB$48)+SUM(AD$37:AD$48)+SUM(AF$37:AF$48)+SUM(AH$37:AH$48)</f>
        <v>411.43308844759611</v>
      </c>
      <c r="H111" s="100">
        <f>SUM(AJ$37:AJ$48)+SUM(AL$37:AL$48)+SUM(AN$37:AN$48)+SUM(AP$37:AP$48)</f>
        <v>492.89748082589716</v>
      </c>
      <c r="I111" s="100">
        <f>SUM(AR$37:AR$48)+SUM(AT$37:AT$48)+SUM(AV$37:AV$48)+SUM(AX$37:AX$48)</f>
        <v>427.3768370887949</v>
      </c>
      <c r="J111" s="100">
        <f>SUM(AZ$37:AZ$48)+SUM(BB$37:BB$48)+SUM(BD$37:BD$48)+SUM(BF$37:BF$48)</f>
        <v>501.12722067771239</v>
      </c>
      <c r="K111" s="100">
        <f>SUM(BH$37:BH$48)+SUM(BJ$37:BJ$48)+SUM(BL$37:BL$48)+SUM(BN$37:BN$48)</f>
        <v>467.62573707814158</v>
      </c>
      <c r="L111" s="100">
        <f>SUM(BP$37:BP$48)+SUM(BR$37:BR$48)+SUM(BT$37:BT$48)+SUM(BV$37:BV$48)</f>
        <v>437.18459338765285</v>
      </c>
      <c r="M111" s="100">
        <f>SUM(BX$37:BX$48)+SUM(BZ$37:BZ$48)+SUM(CB$37:CB$48)+SUM(CD$37:CD$48)</f>
        <v>474.5918727900509</v>
      </c>
      <c r="N111" s="100">
        <f>SUM(CF$37:CF$48)+SUM(CH$37:CH$48)+SUM(CJ$37:CJ$48)+SUM(CL$37:CL$48)</f>
        <v>601.43826731713636</v>
      </c>
      <c r="O111" s="100">
        <f>SUM(CN$37:CN$48)+SUM(CP$37:CP$48)+SUM(CR$37:CR$48)+SUM(CT$37:CT$48)</f>
        <v>517.55280778668441</v>
      </c>
    </row>
    <row r="112" spans="2:99">
      <c r="C112" s="99" t="s">
        <v>129</v>
      </c>
      <c r="D112" s="100">
        <f>SUM(D$49:D$70)+SUM(F$49:F$70)+SUM(H$49:H$70)+SUM(J$49:J$70)</f>
        <v>657.0949582378073</v>
      </c>
      <c r="E112" s="100">
        <f>SUM(L$49:L$70)+SUM(N$49:N$70)+SUM(P$49:P$70)+SUM(R$49:R$70)</f>
        <v>438.26877513165925</v>
      </c>
      <c r="F112" s="100">
        <f>SUM(T$49:T$70)+SUM(V$49:V$70)+SUM(X$49:X$70)+SUM(Z$49:Z$70)</f>
        <v>530.49848113535904</v>
      </c>
      <c r="G112" s="100">
        <f>SUM(AB$49:AB$70)+SUM(AD$49:AD$70)+SUM(AF$49:AF$70)+SUM(AH$49:AH$70)</f>
        <v>534.14499063420624</v>
      </c>
      <c r="H112" s="100">
        <f>SUM(AJ$49:AJ$70)+SUM(AL$49:AL$70)+SUM(AN$49:AN$70)+SUM(AP$49:AP$70)</f>
        <v>588.98383354726866</v>
      </c>
      <c r="I112" s="100">
        <f>SUM(AR$49:AR$70)+SUM(AT$49:AT$70)+SUM(AV$49:AV$70)+SUM(AX$49:AX$70)</f>
        <v>523.98609372425437</v>
      </c>
      <c r="J112" s="100">
        <f>SUM(AZ$49:AZ$70)+SUM(BB$49:BB$70)+SUM(BD$49:BD$70)+SUM(BF$49:BF$70)</f>
        <v>474.13203080160486</v>
      </c>
      <c r="K112" s="100">
        <f>SUM(BH$49:BH$70)+SUM(BJ$49:BJ$70)+SUM(BL$49:BL$70)+SUM(BN$49:BN$70)</f>
        <v>657.55463521454396</v>
      </c>
      <c r="L112" s="100">
        <f>SUM(BP$49:BP$70)+SUM(BR$49:BR$70)+SUM(BT$49:BT$70)+SUM(BV$49:BV$70)</f>
        <v>376.03061491930004</v>
      </c>
      <c r="M112" s="100">
        <f>SUM(BX$49:BX$70)+SUM(BZ$49:BZ$70)+SUM(CB$49:CB$70)+SUM(CD$49:CD$70)</f>
        <v>578.6856703005368</v>
      </c>
      <c r="N112" s="100">
        <f>SUM(CF$49:CF$70)+SUM(CH$49:CH$70)+SUM(CJ$49:CJ$70)+SUM(CL$49:CL$70)</f>
        <v>568.39394713821423</v>
      </c>
      <c r="O112" s="100">
        <f>SUM(CN$49:CN$70)+SUM(CP$49:CP$70)+SUM(CR$49:CR$70)+SUM(CT$49:CT$70)</f>
        <v>640.17305315651265</v>
      </c>
    </row>
    <row r="113" spans="2:15">
      <c r="C113" s="99" t="s">
        <v>130</v>
      </c>
      <c r="D113" s="100">
        <f>SUM(D$71:D$86)+SUM(F$71:F$86)+SUM(H$71:H$86)+SUM(J$71:J$86)</f>
        <v>378.94033304723303</v>
      </c>
      <c r="E113" s="100">
        <f>SUM(L$71:L$86)+SUM(N$71:N$86)+SUM(P$71:P$86)+SUM(R$71:R$86)</f>
        <v>389.3015836921445</v>
      </c>
      <c r="F113" s="100">
        <f>SUM(T$71:T$86)+SUM(V$71:V$86)+SUM(X$71:X$86)+SUM(Z$71:Z$86)</f>
        <v>318.18840753595077</v>
      </c>
      <c r="G113" s="100">
        <f>SUM(AB$71:AB$86)+SUM(AD$71:AD$86)+SUM(AF$71:AF$86)+SUM(AH$71:AH$86)</f>
        <v>323.8614340374757</v>
      </c>
      <c r="H113" s="100">
        <f>SUM(AJ$71:AJ$86)+SUM(AL$71:AL$86)+SUM(AN$71:AN$86)+SUM(AP$71:AP$86)</f>
        <v>396.60526315789411</v>
      </c>
      <c r="I113" s="100">
        <f>SUM(AR$71:AR$86)+SUM(AT$71:AT$86)+SUM(AV$71:AV$86)+SUM(AX$71:AX$86)</f>
        <v>271.82360763697852</v>
      </c>
      <c r="J113" s="100">
        <f>SUM(AZ$71:AZ$86)+SUM(BB$71:BB$86)+SUM(BD$71:BD$86)+SUM(BF$71:BF$86)</f>
        <v>250.69337460140463</v>
      </c>
      <c r="K113" s="100">
        <f>SUM(BH$71:BH$86)+SUM(BJ$71:BJ$86)+SUM(BL$71:BL$86)+SUM(BN$71:BN$86)</f>
        <v>407.93225629967515</v>
      </c>
      <c r="L113" s="100">
        <f>SUM(BP$71:BP$86)+SUM(BR$71:BR$86)+SUM(BT$71:BT$86)+SUM(BV$71:BV$86)</f>
        <v>474</v>
      </c>
      <c r="M113" s="100">
        <f>SUM(BX$71:BX$86)+SUM(BZ$71:BZ$86)+SUM(CB$71:CB$86)+SUM(CD$71:CD$86)</f>
        <v>360.08707554499131</v>
      </c>
      <c r="N113" s="100">
        <f>SUM(CF$71:CF$86)+SUM(CH$71:CH$86)+SUM(CJ$71:CJ$86)+SUM(CL$71:CL$86)</f>
        <v>443</v>
      </c>
      <c r="O113" s="100">
        <f>SUM(CN$71:CN$86)+SUM(CP$71:CP$86)+SUM(CR$71:CR$86)+SUM(CT$71:CT$86)</f>
        <v>432.36431152602671</v>
      </c>
    </row>
    <row r="114" spans="2:15">
      <c r="C114" s="99" t="s">
        <v>131</v>
      </c>
      <c r="D114" s="100">
        <f>SUM(D$87:D$94)+SUM(F$87:F$94)+SUM(H$87:H$94)+SUM(J$87:J$94)</f>
        <v>161.87255998020009</v>
      </c>
      <c r="E114" s="100">
        <f>SUM(L$87:L$94)+SUM(N$87:N$94)+SUM(P$87:P$94)+SUM(R$87:R$94)</f>
        <v>193.04698843357815</v>
      </c>
      <c r="F114" s="100">
        <f>SUM(T$87:T$94)+SUM(V$87:V$94)+SUM(X$87:X$94)+SUM(Z$87:Z$94)</f>
        <v>149.28401163869287</v>
      </c>
      <c r="G114" s="100">
        <f>SUM(AB$87:AB$94)+SUM(AD$87:AD$94)+SUM(AF$87:AF$94)+SUM(AH$87:AH$94)</f>
        <v>190.8738142047111</v>
      </c>
      <c r="H114" s="100">
        <f>SUM(AJ$87:AJ$94)+SUM(AL$87:AL$94)+SUM(AN$87:AN$94)+SUM(AP$87:AP$94)</f>
        <v>165.70503077427864</v>
      </c>
      <c r="I114" s="100">
        <f>SUM(AR$87:AR$94)+SUM(AT$87:AT$94)+SUM(AV$87:AV$94)+SUM(AX$87:AX$94)</f>
        <v>96.318501635755595</v>
      </c>
      <c r="J114" s="100">
        <f>SUM(AZ$87:AZ$94)+SUM(BB$87:BB$94)+SUM(BD$87:BD$94)+SUM(BF$87:BF$94)</f>
        <v>74.753174026681933</v>
      </c>
      <c r="K114" s="100">
        <f>SUM(BH$87:BH$94)+SUM(BJ$87:BJ$94)+SUM(BL$87:BL$94)+SUM(BN$87:BN$94)</f>
        <v>195.14589077548993</v>
      </c>
      <c r="L114" s="100">
        <f>SUM(BP$87:BP$94)+SUM(BR$87:BR$94)+SUM(BT$87:BT$94)+SUM(BV$87:BV$94)</f>
        <v>179.38197193335293</v>
      </c>
      <c r="M114" s="100">
        <f>SUM(BX$87:BX$94)+SUM(BZ$87:BZ$94)+SUM(CB$87:CB$94)+SUM(CD$87:CD$94)</f>
        <v>211.54636838176697</v>
      </c>
      <c r="N114" s="100">
        <f>SUM(CF$87:CF$94)+SUM(CH$87:CH$94)+SUM(CJ$87:CJ$94)+SUM(CL$87:CL$94)</f>
        <v>185.10319702749285</v>
      </c>
      <c r="O114" s="100">
        <f>SUM(CN$87:CN$94)+SUM(CP$87:CP$94)+SUM(CR$87:CR$94)+SUM(CT$87:CT$94)</f>
        <v>249.45037821651206</v>
      </c>
    </row>
    <row r="115" spans="2:15">
      <c r="C115" s="99" t="s">
        <v>132</v>
      </c>
      <c r="D115" s="100">
        <f>SUM(D$95:D$105)+SUM(F$95:F$105)+SUM(H$95:H$105)+SUM(J$95:J$105)</f>
        <v>357.86639514974678</v>
      </c>
      <c r="E115" s="100">
        <f>SUM(L$95:L$105)+SUM(N$95:N$105)+SUM(P$95:P$105)+SUM(R$95:R$105)</f>
        <v>345.76918674380488</v>
      </c>
      <c r="F115" s="100">
        <f>SUM(T$95:T$105)+SUM(V$95:V$105)+SUM(X$95:X$105)+SUM(Z$95:Z$105)</f>
        <v>249.67140622174824</v>
      </c>
      <c r="G115" s="100">
        <f>SUM(AB$95:AB$105)+SUM(AD$95:AD$105)+SUM(AF$95:AF$105)+SUM(AH$95:AH$105)</f>
        <v>366.83659833181946</v>
      </c>
      <c r="H115" s="100">
        <f>SUM(AJ$95:AJ$105)+SUM(AL$95:AL$105)+SUM(AN$95:AN$105)+SUM(AP$95:AP$105)</f>
        <v>367.01797565070069</v>
      </c>
      <c r="I115" s="100">
        <f>SUM(AR$95:AR$105)+SUM(AT$95:AT$105)+SUM(AV$95:AV$105)+SUM(AX$95:AX$105)</f>
        <v>199.06227675467889</v>
      </c>
      <c r="J115" s="100">
        <f>SUM(AZ$95:AZ$105)+SUM(BB$95:BB$105)+SUM(BD$95:BD$105)+SUM(BF$95:BF$105)</f>
        <v>121.17239214393157</v>
      </c>
      <c r="K115" s="100">
        <f>SUM(BH$95:BH$105)+SUM(BJ$95:BJ$105)+SUM(BL$95:BL$105)+SUM(BN$95:BN$105)</f>
        <v>340.40406118336807</v>
      </c>
      <c r="L115" s="100">
        <f>SUM(BP$95:BP$105)+SUM(BR$95:BR$105)+SUM(BT$95:BT$105)+SUM(BV$95:BV$105)</f>
        <v>365.91402954323394</v>
      </c>
      <c r="M115" s="100">
        <f>SUM(BX$95:BX$105)+SUM(BZ$95:BZ$105)+SUM(CB$95:CB$105)+SUM(CD$95:CD$105)</f>
        <v>386.72956067151711</v>
      </c>
      <c r="N115" s="100">
        <f>SUM(CF$95:CF$105)+SUM(CH$95:CH$105)+SUM(CJ$95:CJ$105)+SUM(CL$95:CL$105)</f>
        <v>297.57450134441456</v>
      </c>
      <c r="O115" s="100">
        <f>SUM(CN$95:CN$105)+SUM(CP$95:CP$105)+SUM(CR$95:CR$105)+SUM(CT$95:CT$105)</f>
        <v>340.21100506809131</v>
      </c>
    </row>
    <row r="116" spans="2:15">
      <c r="C116" s="99" t="s">
        <v>278</v>
      </c>
      <c r="D116" s="100">
        <f t="shared" ref="D116:O116" si="0">SUM(D$109:D$115)</f>
        <v>2737.3424343086062</v>
      </c>
      <c r="E116" s="100">
        <f t="shared" si="0"/>
        <v>2447.7408384958303</v>
      </c>
      <c r="F116" s="100">
        <f t="shared" si="0"/>
        <v>2456.432223534307</v>
      </c>
      <c r="G116" s="100">
        <f t="shared" si="0"/>
        <v>2408.1770554298146</v>
      </c>
      <c r="H116" s="100">
        <f t="shared" si="0"/>
        <v>2789.1504349102152</v>
      </c>
      <c r="I116" s="100">
        <f t="shared" si="0"/>
        <v>2266.361143017934</v>
      </c>
      <c r="J116" s="100">
        <f t="shared" si="0"/>
        <v>2122.6294459895453</v>
      </c>
      <c r="K116" s="100">
        <f t="shared" si="0"/>
        <v>2853.7389187000404</v>
      </c>
      <c r="L116" s="100">
        <f t="shared" si="0"/>
        <v>2493.3347798454051</v>
      </c>
      <c r="M116" s="100">
        <f t="shared" si="0"/>
        <v>2843.0986567417299</v>
      </c>
      <c r="N116" s="100">
        <f t="shared" si="0"/>
        <v>2992.93065169893</v>
      </c>
      <c r="O116" s="100">
        <f t="shared" si="0"/>
        <v>2965.7166074784145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1393589.1697645853</v>
      </c>
      <c r="E120" s="100">
        <f>E109*pricing!E33*2000</f>
        <v>1410747.7619235653</v>
      </c>
      <c r="F120" s="100">
        <f>F109*pricing!F33*2000</f>
        <v>1350754.3192408779</v>
      </c>
      <c r="G120" s="100">
        <f>G109*pricing!G33*2000</f>
        <v>1304023.5755533006</v>
      </c>
      <c r="H120" s="100">
        <f>H109*pricing!H33*2000</f>
        <v>1734749.9442658217</v>
      </c>
      <c r="I120" s="100">
        <f>I109*pricing!I33*2000</f>
        <v>1723294.547196643</v>
      </c>
      <c r="J120" s="100">
        <f>J109*pricing!J33*2000</f>
        <v>1675079.6079416452</v>
      </c>
      <c r="K120" s="100">
        <f>K109*pricing!K33*2000</f>
        <v>1710900.6853662536</v>
      </c>
      <c r="L120" s="100">
        <f>L109*pricing!L33*2000</f>
        <v>1513744.7795001317</v>
      </c>
      <c r="M120" s="100">
        <f>M109*pricing!M33*2000</f>
        <v>1770696.0830297461</v>
      </c>
      <c r="N120" s="100">
        <f>N109*pricing!N33*2000</f>
        <v>2168782.8321891031</v>
      </c>
      <c r="O120" s="100">
        <f>O109*pricing!O33*2000</f>
        <v>1763761.3939477836</v>
      </c>
    </row>
    <row r="121" spans="2:15">
      <c r="C121" s="99" t="s">
        <v>127</v>
      </c>
      <c r="D121" s="100">
        <f>D110*pricing!D34*2000</f>
        <v>2082076.8368264157</v>
      </c>
      <c r="E121" s="100">
        <f>E110*pricing!E34*2000</f>
        <v>1480456.5150600681</v>
      </c>
      <c r="F121" s="100">
        <f>F110*pricing!F34*2000</f>
        <v>2064139.1332936783</v>
      </c>
      <c r="G121" s="100">
        <f>G110*pricing!G34*2000</f>
        <v>1629798.1557567394</v>
      </c>
      <c r="H121" s="100">
        <f>H110*pricing!H34*2000</f>
        <v>2192116.1341215344</v>
      </c>
      <c r="I121" s="100">
        <f>I110*pricing!I34*2000</f>
        <v>2057592.9903659599</v>
      </c>
      <c r="J121" s="100">
        <f>J110*pricing!J34*2000</f>
        <v>1874646.3664397206</v>
      </c>
      <c r="K121" s="100">
        <f>K110*pricing!K34*2000</f>
        <v>2247565.8138998956</v>
      </c>
      <c r="L121" s="100">
        <f>L110*pricing!L34*2000</f>
        <v>1826402.2211857245</v>
      </c>
      <c r="M121" s="100">
        <f>M110*pricing!M34*2000</f>
        <v>2417046.8496495411</v>
      </c>
      <c r="N121" s="100">
        <f>N110*pricing!N34*2000</f>
        <v>2379812.5846381569</v>
      </c>
      <c r="O121" s="100">
        <f>O110*pricing!O34*2000</f>
        <v>2204844.3425466577</v>
      </c>
    </row>
    <row r="122" spans="2:15">
      <c r="C122" s="99" t="s">
        <v>128</v>
      </c>
      <c r="D122" s="100">
        <f>D111*pricing!D35*2000</f>
        <v>2252758.5140340179</v>
      </c>
      <c r="E122" s="100">
        <f>E111*pricing!E35*2000</f>
        <v>2353710.880252352</v>
      </c>
      <c r="F122" s="100">
        <f>F111*pricing!F35*2000</f>
        <v>2431657.713896418</v>
      </c>
      <c r="G122" s="100">
        <f>G111*pricing!G35*2000</f>
        <v>1892592.2068589418</v>
      </c>
      <c r="H122" s="100">
        <f>H111*pricing!H35*2000</f>
        <v>2267328.4117991268</v>
      </c>
      <c r="I122" s="100">
        <f>I111*pricing!I35*2000</f>
        <v>1965933.4506084565</v>
      </c>
      <c r="J122" s="100">
        <f>J111*pricing!J35*2000</f>
        <v>2305185.2151174769</v>
      </c>
      <c r="K122" s="100">
        <f>K111*pricing!K35*2000</f>
        <v>2151078.3905594512</v>
      </c>
      <c r="L122" s="100">
        <f>L111*pricing!L35*2000</f>
        <v>2011049.129583203</v>
      </c>
      <c r="M122" s="100">
        <f>M111*pricing!M35*2000</f>
        <v>2183122.6148342341</v>
      </c>
      <c r="N122" s="100">
        <f>N111*pricing!N35*2000</f>
        <v>2766616.029658827</v>
      </c>
      <c r="O122" s="100">
        <f>O111*pricing!O35*2000</f>
        <v>2380742.9158187485</v>
      </c>
    </row>
    <row r="123" spans="2:15">
      <c r="C123" s="99" t="s">
        <v>129</v>
      </c>
      <c r="D123" s="100">
        <f>D112*pricing!D36*2000</f>
        <v>3285474.7911890363</v>
      </c>
      <c r="E123" s="100">
        <f>E112*pricing!E36*2000</f>
        <v>2191343.8756582965</v>
      </c>
      <c r="F123" s="100">
        <f>F112*pricing!F36*2000</f>
        <v>2652492.4056767952</v>
      </c>
      <c r="G123" s="100">
        <f>G112*pricing!G36*2000</f>
        <v>2670724.9531710311</v>
      </c>
      <c r="H123" s="100">
        <f>H112*pricing!H36*2000</f>
        <v>2944919.1677363431</v>
      </c>
      <c r="I123" s="100">
        <f>I112*pricing!I36*2000</f>
        <v>2619930.4686212717</v>
      </c>
      <c r="J123" s="100">
        <f>J112*pricing!J36*2000</f>
        <v>2370660.1540080244</v>
      </c>
      <c r="K123" s="100">
        <f>K112*pricing!K36*2000</f>
        <v>3287773.1760727195</v>
      </c>
      <c r="L123" s="100">
        <f>L112*pricing!L36*2000</f>
        <v>1880153.0745965</v>
      </c>
      <c r="M123" s="100">
        <f>M112*pricing!M36*2000</f>
        <v>2893428.3515026839</v>
      </c>
      <c r="N123" s="100">
        <f>N112*pricing!N36*2000</f>
        <v>2841969.735691071</v>
      </c>
      <c r="O123" s="100">
        <f>O112*pricing!O36*2000</f>
        <v>3200865.2657825635</v>
      </c>
    </row>
    <row r="124" spans="2:15">
      <c r="C124" s="99" t="s">
        <v>130</v>
      </c>
      <c r="D124" s="100">
        <f>D113*pricing!D37*2000</f>
        <v>1970489.7318456117</v>
      </c>
      <c r="E124" s="100">
        <f>E113*pricing!E37*2000</f>
        <v>2024368.2351991516</v>
      </c>
      <c r="F124" s="100">
        <f>F113*pricing!F37*2000</f>
        <v>1654579.719186944</v>
      </c>
      <c r="G124" s="100">
        <f>G113*pricing!G37*2000</f>
        <v>1684079.4569948737</v>
      </c>
      <c r="H124" s="100">
        <f>H113*pricing!H37*2000</f>
        <v>2062347.3684210493</v>
      </c>
      <c r="I124" s="100">
        <f>I113*pricing!I37*2000</f>
        <v>1413482.7597122882</v>
      </c>
      <c r="J124" s="100">
        <f>J113*pricing!J37*2000</f>
        <v>1303605.5479273042</v>
      </c>
      <c r="K124" s="100">
        <f>K113*pricing!K37*2000</f>
        <v>2121247.7327583111</v>
      </c>
      <c r="L124" s="100">
        <f>L113*pricing!L37*2000</f>
        <v>2464800</v>
      </c>
      <c r="M124" s="100">
        <f>M113*pricing!M37*2000</f>
        <v>1872452.7928339548</v>
      </c>
      <c r="N124" s="100">
        <f>N113*pricing!N37*2000</f>
        <v>2303600</v>
      </c>
      <c r="O124" s="100">
        <f>O113*pricing!O37*2000</f>
        <v>2248294.4199353391</v>
      </c>
    </row>
    <row r="125" spans="2:15">
      <c r="C125" s="99" t="s">
        <v>131</v>
      </c>
      <c r="D125" s="100">
        <f>D114*pricing!D38*2000</f>
        <v>906486.33588912047</v>
      </c>
      <c r="E125" s="100">
        <f>E114*pricing!E38*2000</f>
        <v>1081063.1352280374</v>
      </c>
      <c r="F125" s="100">
        <f>F114*pricing!F38*2000</f>
        <v>835990.46517668001</v>
      </c>
      <c r="G125" s="100">
        <f>G114*pricing!G38*2000</f>
        <v>1068893.359546382</v>
      </c>
      <c r="H125" s="100">
        <f>H114*pricing!H38*2000</f>
        <v>927948.17233596032</v>
      </c>
      <c r="I125" s="100">
        <f>I114*pricing!I38*2000</f>
        <v>539383.60916023131</v>
      </c>
      <c r="J125" s="100">
        <f>J114*pricing!J38*2000</f>
        <v>418617.77454941883</v>
      </c>
      <c r="K125" s="100">
        <f>K114*pricing!K38*2000</f>
        <v>1092816.9883427436</v>
      </c>
      <c r="L125" s="100">
        <f>L114*pricing!L38*2000</f>
        <v>1004539.0428267764</v>
      </c>
      <c r="M125" s="100">
        <f>M114*pricing!M38*2000</f>
        <v>1184659.6629378949</v>
      </c>
      <c r="N125" s="100">
        <f>N114*pricing!N38*2000</f>
        <v>1036577.90335396</v>
      </c>
      <c r="O125" s="100">
        <f>O114*pricing!O38*2000</f>
        <v>1396922.1180124676</v>
      </c>
    </row>
    <row r="126" spans="2:15">
      <c r="C126" s="99" t="s">
        <v>132</v>
      </c>
      <c r="D126" s="100">
        <f>D115*pricing!D39*2000</f>
        <v>1860905.2547786832</v>
      </c>
      <c r="E126" s="100">
        <f>E115*pricing!E39*2000</f>
        <v>1797999.7710677853</v>
      </c>
      <c r="F126" s="100">
        <f>F115*pricing!F39*2000</f>
        <v>1298291.3123530908</v>
      </c>
      <c r="G126" s="100">
        <f>G115*pricing!G39*2000</f>
        <v>1907550.3113254614</v>
      </c>
      <c r="H126" s="100">
        <f>H115*pricing!H39*2000</f>
        <v>1908493.4733836437</v>
      </c>
      <c r="I126" s="100">
        <f>I115*pricing!I39*2000</f>
        <v>1035123.8391243303</v>
      </c>
      <c r="J126" s="100">
        <f>J115*pricing!J39*2000</f>
        <v>630096.43914844422</v>
      </c>
      <c r="K126" s="100">
        <f>K115*pricing!K39*2000</f>
        <v>1770101.1181535141</v>
      </c>
      <c r="L126" s="100">
        <f>L115*pricing!L39*2000</f>
        <v>1902752.9536248164</v>
      </c>
      <c r="M126" s="100">
        <f>M115*pricing!M39*2000</f>
        <v>2010993.715491889</v>
      </c>
      <c r="N126" s="100">
        <f>N115*pricing!N39*2000</f>
        <v>1547387.4069909556</v>
      </c>
      <c r="O126" s="100">
        <f>O115*pricing!O39*2000</f>
        <v>1769097.2263540749</v>
      </c>
    </row>
    <row r="127" spans="2:15">
      <c r="C127" s="99" t="s">
        <v>278</v>
      </c>
      <c r="D127" s="100">
        <f>SUM(D$120:D$126)</f>
        <v>13751780.634327469</v>
      </c>
      <c r="E127" s="100">
        <f t="shared" ref="E127:O127" si="1">SUM(E$120:E$126)</f>
        <v>12339690.174389256</v>
      </c>
      <c r="F127" s="100">
        <f t="shared" si="1"/>
        <v>12287905.068824483</v>
      </c>
      <c r="G127" s="100">
        <f t="shared" si="1"/>
        <v>12157662.019206731</v>
      </c>
      <c r="H127" s="100">
        <f t="shared" si="1"/>
        <v>14037902.672063481</v>
      </c>
      <c r="I127" s="100">
        <f t="shared" si="1"/>
        <v>11354741.664789181</v>
      </c>
      <c r="J127" s="100">
        <f t="shared" si="1"/>
        <v>10577891.105132034</v>
      </c>
      <c r="K127" s="100">
        <f t="shared" si="1"/>
        <v>14381483.905152891</v>
      </c>
      <c r="L127" s="100">
        <f t="shared" si="1"/>
        <v>12603441.201317152</v>
      </c>
      <c r="M127" s="100">
        <f t="shared" si="1"/>
        <v>14332400.070279943</v>
      </c>
      <c r="N127" s="100">
        <f t="shared" si="1"/>
        <v>15044746.492522072</v>
      </c>
      <c r="O127" s="100">
        <f t="shared" si="1"/>
        <v>14964527.682397634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130230.99988576082</v>
      </c>
      <c r="E131" s="106">
        <f>SUM(M$6:M$19)+SUM(O$6:O$19)+SUM(Q$6:Q$19)+SUM(S$6:S$19)</f>
        <v>132136.94356114996</v>
      </c>
      <c r="F131" s="106">
        <f>SUM(U$6:U$19)+SUM(W$6:W$19)+SUM(Y$6:Y$19)+SUM(AA$6:AA$19)</f>
        <v>125826.69300168974</v>
      </c>
      <c r="G131" s="106">
        <f>SUM(AC$6:AC$19)+SUM(AE$6:AE$19)+SUM(AG$6:AG$19)+SUM(AI$6:AI$19)</f>
        <v>121784.47295194911</v>
      </c>
      <c r="H131" s="106">
        <f>SUM(AK$6:AK$19)+SUM(AM$6:AM$19)+SUM(AO$6:AO$19)+SUM(AQ$6:AQ$19)</f>
        <v>161851.96088922158</v>
      </c>
      <c r="I131" s="106">
        <f>SUM(AS$6:AS$19)+SUM(AU$6:AU$19)+SUM(AW$6:AW$19)+SUM(AY$6:AY$19)</f>
        <v>161817.56522725866</v>
      </c>
      <c r="J131" s="106">
        <f>SUM(BA$6:BA$19)+SUM(BC$6:BC$19)+SUM(BE$6:BE$19)+SUM(BG$6:BG$19)</f>
        <v>156630.0576032009</v>
      </c>
      <c r="K131" s="106">
        <f>SUM(BI$6:BI$19)+SUM(BK$6:BK$19)+SUM(BM$6:BM$19)+SUM(BO$6:BO$19)</f>
        <v>160322.16593530081</v>
      </c>
      <c r="L131" s="106">
        <f>SUM(BQ$6:BQ$19)+SUM(BS$6:BS$19)+SUM(BU$6:BU$19)+SUM(BW$6:BW$19)</f>
        <v>140640.2953685518</v>
      </c>
      <c r="M131" s="106">
        <f>SUM(BY$6:BY$19)+SUM(CA$6:CA$19)+SUM(CC$6:CC$19)+SUM(CE$6:CE$19)</f>
        <v>165257.72190685745</v>
      </c>
      <c r="N131" s="106">
        <f>SUM(CG$6:CG$19)+SUM(CI$6:CI$19)+SUM(CK$6:CK$19)+SUM(CM$6:CM$19)</f>
        <v>203038.04698433625</v>
      </c>
      <c r="O131" s="106">
        <f>SUM(CO$6:CO$19)+SUM(CQ$6:CQ$19)+SUM(CS$6:CS$19)+SUM(CU$6:CU$19)</f>
        <v>165354.31853630222</v>
      </c>
    </row>
    <row r="132" spans="2:15">
      <c r="C132" s="105" t="s">
        <v>127</v>
      </c>
      <c r="D132" s="106">
        <f>SUM(E$20:E$36)+SUM(G$20:G$36)+SUM(I$20:I$36)+SUM(K$20:K$36)</f>
        <v>185989.48807828125</v>
      </c>
      <c r="E132" s="106">
        <f>SUM(M$20:M$36)+SUM(O$20:O$36)+SUM(Q$20:Q$36)+SUM(S$20:S$36)</f>
        <v>130933.55698459191</v>
      </c>
      <c r="F132" s="106">
        <f>SUM(U$20:U$36)+SUM(W$20:W$36)+SUM(Y$20:Y$36)+SUM(AA$20:AA$36)</f>
        <v>182698.03047162981</v>
      </c>
      <c r="G132" s="106">
        <f>SUM(AC$20:AC$36)+SUM(AE$20:AE$36)+SUM(AG$20:AG$36)+SUM(AI$20:AI$36)</f>
        <v>144693.3977739854</v>
      </c>
      <c r="H132" s="106">
        <f>SUM(AK$20:AK$36)+SUM(AM$20:AM$36)+SUM(AO$20:AO$36)+SUM(AQ$20:AQ$36)</f>
        <v>195290.1823518459</v>
      </c>
      <c r="I132" s="106">
        <f>SUM(AS$20:AS$36)+SUM(AU$20:AU$36)+SUM(AW$20:AW$36)+SUM(AY$20:AY$36)</f>
        <v>183567.50440436538</v>
      </c>
      <c r="J132" s="106">
        <f>SUM(BA$20:BA$36)+SUM(BC$20:BC$36)+SUM(BE$20:BE$36)+SUM(BG$20:BG$36)</f>
        <v>165781.51943975835</v>
      </c>
      <c r="K132" s="106">
        <f>SUM(BI$20:BI$36)+SUM(BK$20:BK$36)+SUM(BM$20:BM$36)+SUM(BO$20:BO$36)</f>
        <v>199710.0987420844</v>
      </c>
      <c r="L132" s="106">
        <f>SUM(BQ$20:BQ$36)+SUM(BS$20:BS$36)+SUM(BU$20:BU$36)+SUM(BW$20:BW$36)</f>
        <v>162350.38990696252</v>
      </c>
      <c r="M132" s="106">
        <f>SUM(BY$20:BY$36)+SUM(CA$20:CA$36)+SUM(CC$20:CC$36)+SUM(CE$20:CE$36)</f>
        <v>215363.2678308755</v>
      </c>
      <c r="N132" s="106">
        <f>SUM(CG$20:CG$36)+SUM(CI$20:CI$36)+SUM(CK$20:CK$36)+SUM(CM$20:CM$36)</f>
        <v>211720.56698444762</v>
      </c>
      <c r="O132" s="106">
        <f>SUM(CO$20:CO$36)+SUM(CQ$20:CQ$36)+SUM(CS$20:CS$36)+SUM(CU$20:CU$36)</f>
        <v>195353.69672757838</v>
      </c>
    </row>
    <row r="133" spans="2:15">
      <c r="C133" s="105" t="s">
        <v>128</v>
      </c>
      <c r="D133" s="106">
        <f>SUM(E$37:E$48)+SUM(G$37:G$48)+SUM(I$37:I$48)+SUM(K$37:K$48)</f>
        <v>513236.08063480066</v>
      </c>
      <c r="E133" s="106">
        <f>SUM(M$37:M$48)+SUM(O$37:O$48)+SUM(Q$37:Q$48)+SUM(S$37:S$48)</f>
        <v>535717.02050591598</v>
      </c>
      <c r="F133" s="106">
        <f>SUM(U$37:U$48)+SUM(W$37:W$48)+SUM(Y$37:Y$48)+SUM(AA$37:AA$48)</f>
        <v>552737.56626625115</v>
      </c>
      <c r="G133" s="106">
        <f>SUM(AC$37:AC$48)+SUM(AE$37:AE$48)+SUM(AG$37:AG$48)+SUM(AI$37:AI$48)</f>
        <v>430238.75344871159</v>
      </c>
      <c r="H133" s="106">
        <f>SUM(AK$37:AK$48)+SUM(AM$37:AM$48)+SUM(AO$37:AO$48)+SUM(AQ$37:AQ$48)</f>
        <v>515842.34849842789</v>
      </c>
      <c r="I133" s="106">
        <f>SUM(AS$37:AS$48)+SUM(AU$37:AU$48)+SUM(AW$37:AW$48)+SUM(AY$37:AY$48)</f>
        <v>447818.06205577613</v>
      </c>
      <c r="J133" s="106">
        <f>SUM(BA$37:BA$48)+SUM(BC$37:BC$48)+SUM(BE$37:BE$48)+SUM(BG$37:BG$48)</f>
        <v>525512.25002255477</v>
      </c>
      <c r="K133" s="106">
        <f>SUM(BI$37:BI$48)+SUM(BK$37:BK$48)+SUM(BM$37:BM$48)+SUM(BO$37:BO$48)</f>
        <v>491299.85776686994</v>
      </c>
      <c r="L133" s="106">
        <f>SUM(BQ$37:BQ$48)+SUM(BS$37:BS$48)+SUM(BU$37:BU$48)+SUM(BW$37:BW$48)</f>
        <v>457621.42761160334</v>
      </c>
      <c r="M133" s="106">
        <f>SUM(BY$37:BY$48)+SUM(CA$37:CA$48)+SUM(CC$37:CC$48)+SUM(CE$37:CE$48)</f>
        <v>495551.04718433396</v>
      </c>
      <c r="N133" s="106">
        <f>SUM(CG$37:CG$48)+SUM(CI$37:CI$48)+SUM(CK$37:CK$48)+SUM(CM$37:CM$48)</f>
        <v>631687.26928608026</v>
      </c>
      <c r="O133" s="106">
        <f>SUM(CO$37:CO$48)+SUM(CQ$37:CQ$48)+SUM(CS$37:CS$48)+SUM(CU$37:CU$48)</f>
        <v>543109.43393329217</v>
      </c>
    </row>
    <row r="134" spans="2:15">
      <c r="C134" s="105" t="s">
        <v>129</v>
      </c>
      <c r="D134" s="106">
        <f>SUM(E$49:E$70)+SUM(G$49:G$70)+SUM(I$49:I$70)+SUM(K$49:K$70)</f>
        <v>551586.24209154549</v>
      </c>
      <c r="E134" s="106">
        <f>SUM(M$49:M$70)+SUM(O$49:O$70)+SUM(Q$49:Q$70)+SUM(S$49:S$70)</f>
        <v>375082.65711717366</v>
      </c>
      <c r="F134" s="106">
        <f>SUM(U$49:U$70)+SUM(W$49:W$70)+SUM(Y$49:Y$70)+SUM(AA$49:AA$70)</f>
        <v>441432.5703434734</v>
      </c>
      <c r="G134" s="106">
        <f>SUM(AC$49:AC$70)+SUM(AE$49:AE$70)+SUM(AG$49:AG$70)+SUM(AI$49:AI$70)</f>
        <v>466600.93537492433</v>
      </c>
      <c r="H134" s="106">
        <f>SUM(AK$49:AK$70)+SUM(AM$49:AM$70)+SUM(AO$49:AO$70)+SUM(AQ$49:AQ$70)</f>
        <v>504871.05687223613</v>
      </c>
      <c r="I134" s="106">
        <f>SUM(AS$49:AS$70)+SUM(AU$49:AU$70)+SUM(AW$49:AW$70)+SUM(AY$49:AY$70)</f>
        <v>431932.9384678608</v>
      </c>
      <c r="J134" s="106">
        <f>SUM(BA$49:BA$70)+SUM(BC$49:BC$70)+SUM(BE$49:BE$70)+SUM(BG$49:BG$70)</f>
        <v>384558.46881818585</v>
      </c>
      <c r="K134" s="106">
        <f>SUM(BI$49:BI$70)+SUM(BK$49:BK$70)+SUM(BM$49:BM$70)+SUM(BO$49:BO$70)</f>
        <v>554448.3194075044</v>
      </c>
      <c r="L134" s="106">
        <f>SUM(BQ$49:BQ$70)+SUM(BS$49:BS$70)+SUM(BU$49:BU$70)+SUM(BW$49:BW$70)</f>
        <v>331559.36505053961</v>
      </c>
      <c r="M134" s="106">
        <f>SUM(BY$49:BY$70)+SUM(CA$49:CA$70)+SUM(CC$49:CC$70)+SUM(CE$49:CE$70)</f>
        <v>493024.39155984524</v>
      </c>
      <c r="N134" s="106">
        <f>SUM(CG$49:CG$70)+SUM(CI$49:CI$70)+SUM(CK$49:CK$70)+SUM(CM$49:CM$70)</f>
        <v>484898.74696118938</v>
      </c>
      <c r="O134" s="106">
        <f>SUM(CO$49:CO$70)+SUM(CQ$49:CQ$70)+SUM(CS$49:CS$70)+SUM(CU$49:CU$70)</f>
        <v>545463.67499873356</v>
      </c>
    </row>
    <row r="135" spans="2:15">
      <c r="C135" s="105" t="s">
        <v>130</v>
      </c>
      <c r="D135" s="106">
        <f>SUM(E$71:E$86)+SUM(G$71:G$86)+SUM(I$71:I$86)+SUM(K$71:K$86)</f>
        <v>212562.65912658683</v>
      </c>
      <c r="E135" s="106">
        <f>SUM(M$71:M$86)+SUM(O$71:O$86)+SUM(Q$71:Q$86)+SUM(S$71:S$86)</f>
        <v>217002.91409795504</v>
      </c>
      <c r="F135" s="106">
        <f>SUM(U$71:U$86)+SUM(W$71:W$86)+SUM(Y$71:Y$86)+SUM(AA$71:AA$86)</f>
        <v>178673.0906471957</v>
      </c>
      <c r="G135" s="106">
        <f>SUM(AC$71:AC$86)+SUM(AE$71:AE$86)+SUM(AG$71:AG$86)+SUM(AI$71:AI$86)</f>
        <v>180796.24873937617</v>
      </c>
      <c r="H135" s="106">
        <f>SUM(AK$71:AK$86)+SUM(AM$71:AM$86)+SUM(AO$71:AO$86)+SUM(AQ$71:AQ$86)</f>
        <v>220884.99473684176</v>
      </c>
      <c r="I135" s="106">
        <f>SUM(AS$71:AS$86)+SUM(AU$71:AU$86)+SUM(AW$71:AW$86)+SUM(AY$71:AY$86)</f>
        <v>152288.63535027177</v>
      </c>
      <c r="J135" s="106">
        <f>SUM(BA$71:BA$86)+SUM(BC$71:BC$86)+SUM(BE$71:BE$86)+SUM(BG$71:BG$86)</f>
        <v>139921.9417616025</v>
      </c>
      <c r="K135" s="106">
        <f>SUM(BI$71:BI$86)+SUM(BK$71:BK$86)+SUM(BM$71:BM$86)+SUM(BO$71:BO$86)</f>
        <v>228610.01955018571</v>
      </c>
      <c r="L135" s="106">
        <f>SUM(BQ$71:BQ$86)+SUM(BS$71:BS$86)+SUM(BU$71:BU$86)+SUM(BW$71:BW$86)</f>
        <v>264624</v>
      </c>
      <c r="M135" s="106">
        <f>SUM(BY$71:BY$86)+SUM(CA$71:CA$86)+SUM(CC$71:CC$86)+SUM(CE$71:CE$86)</f>
        <v>200909.29167238847</v>
      </c>
      <c r="N135" s="106">
        <f>SUM(CG$71:CG$86)+SUM(CI$71:CI$86)+SUM(CK$71:CK$86)+SUM(CM$71:CM$86)</f>
        <v>246964.8</v>
      </c>
      <c r="O135" s="106">
        <f>SUM(CO$71:CO$86)+SUM(CQ$71:CQ$86)+SUM(CS$71:CS$86)+SUM(CU$71:CU$86)</f>
        <v>242109.33498324087</v>
      </c>
    </row>
    <row r="136" spans="2:15">
      <c r="C136" s="105" t="s">
        <v>131</v>
      </c>
      <c r="D136" s="106">
        <f>SUM(E$87:E$94)+SUM(G$87:G$94)+SUM(I$87:I$94)+SUM(K$87:K$94)</f>
        <v>162437.57068952092</v>
      </c>
      <c r="E136" s="106">
        <f>SUM(M$87:M$94)+SUM(O$87:O$94)+SUM(Q$87:Q$94)+SUM(S$87:S$94)</f>
        <v>193786.04187149164</v>
      </c>
      <c r="F136" s="106">
        <f>SUM(U$87:U$94)+SUM(W$87:W$94)+SUM(Y$87:Y$94)+SUM(AA$87:AA$94)</f>
        <v>150227.5102484895</v>
      </c>
      <c r="G136" s="106">
        <f>SUM(AC$87:AC$94)+SUM(AE$87:AE$94)+SUM(AG$87:AG$94)+SUM(AI$87:AI$94)</f>
        <v>190915.08377156931</v>
      </c>
      <c r="H136" s="106">
        <f>SUM(AK$87:AK$94)+SUM(AM$87:AM$94)+SUM(AO$87:AO$94)+SUM(AQ$87:AQ$94)</f>
        <v>166220.24111091642</v>
      </c>
      <c r="I136" s="106">
        <f>SUM(AS$87:AS$94)+SUM(AU$87:AU$94)+SUM(AW$87:AW$94)+SUM(AY$87:AY$94)</f>
        <v>96790.952599073047</v>
      </c>
      <c r="J136" s="106">
        <f>SUM(BA$87:BA$94)+SUM(BC$87:BC$94)+SUM(BE$87:BE$94)+SUM(BG$87:BG$94)</f>
        <v>74786.765111755871</v>
      </c>
      <c r="K136" s="106">
        <f>SUM(BI$87:BI$94)+SUM(BK$87:BK$94)+SUM(BM$87:BM$94)+SUM(BO$87:BO$94)</f>
        <v>196143.82038230536</v>
      </c>
      <c r="L136" s="106">
        <f>SUM(BQ$87:BQ$94)+SUM(BS$87:BS$94)+SUM(BU$87:BU$94)+SUM(BW$87:BW$94)</f>
        <v>180425.58928045543</v>
      </c>
      <c r="M136" s="106">
        <f>SUM(BY$87:BY$94)+SUM(CA$87:CA$94)+SUM(CC$87:CC$94)+SUM(CE$87:CE$94)</f>
        <v>212141.26642037931</v>
      </c>
      <c r="N136" s="106">
        <f>SUM(CG$87:CG$94)+SUM(CI$87:CI$94)+SUM(CK$87:CK$94)+SUM(CM$87:CM$94)</f>
        <v>185809.86168161494</v>
      </c>
      <c r="O136" s="106">
        <f>SUM(CO$87:CO$94)+SUM(CQ$87:CQ$94)+SUM(CS$87:CS$94)+SUM(CU$87:CU$94)</f>
        <v>250368.25167048207</v>
      </c>
    </row>
    <row r="137" spans="2:15">
      <c r="C137" s="105" t="s">
        <v>132</v>
      </c>
      <c r="D137" s="106">
        <f>SUM(E$95:E$105)+SUM(G$95:G$105)+SUM(I$95:I$105)+SUM(K$95:K$105)</f>
        <v>273903.07474011095</v>
      </c>
      <c r="E137" s="106">
        <f>SUM(M$95:M$105)+SUM(O$95:O$105)+SUM(Q$95:Q$105)+SUM(S$95:S$105)</f>
        <v>269337.80411854445</v>
      </c>
      <c r="F137" s="106">
        <f>SUM(U$95:U$105)+SUM(W$95:W$105)+SUM(Y$95:Y$105)+SUM(AA$95:AA$105)</f>
        <v>192740.40636872003</v>
      </c>
      <c r="G137" s="106">
        <f>SUM(AC$95:AC$105)+SUM(AE$95:AE$105)+SUM(AG$95:AG$105)+SUM(AI$95:AI$105)</f>
        <v>288612.22614526044</v>
      </c>
      <c r="H137" s="106">
        <f>SUM(AK$95:AK$105)+SUM(AM$95:AM$105)+SUM(AO$95:AO$105)+SUM(AQ$95:AQ$105)</f>
        <v>285841.72486572631</v>
      </c>
      <c r="I137" s="106">
        <f>SUM(AS$95:AS$105)+SUM(AU$95:AU$105)+SUM(AW$95:AW$105)+SUM(AY$95:AY$105)</f>
        <v>153241.17598580808</v>
      </c>
      <c r="J137" s="106">
        <f>SUM(BA$95:BA$105)+SUM(BC$95:BC$105)+SUM(BE$95:BE$105)+SUM(BG$95:BG$105)</f>
        <v>93864.814051114809</v>
      </c>
      <c r="K137" s="106">
        <f>SUM(BI$95:BI$105)+SUM(BK$95:BK$105)+SUM(BM$95:BM$105)+SUM(BO$95:BO$105)</f>
        <v>266206.25893229584</v>
      </c>
      <c r="L137" s="106">
        <f>SUM(BQ$95:BQ$105)+SUM(BS$95:BS$105)+SUM(BU$95:BU$105)+SUM(BW$95:BW$105)</f>
        <v>281724.74021094642</v>
      </c>
      <c r="M137" s="106">
        <f>SUM(BY$95:BY$105)+SUM(CA$95:CA$105)+SUM(CC$95:CC$105)+SUM(CE$95:CE$105)</f>
        <v>295191.32675737474</v>
      </c>
      <c r="N137" s="106">
        <f>SUM(CG$95:CG$105)+SUM(CI$95:CI$105)+SUM(CK$95:CK$105)+SUM(CM$95:CM$105)</f>
        <v>232548.01505706151</v>
      </c>
      <c r="O137" s="106">
        <f>SUM(CO$95:CO$105)+SUM(CQ$95:CQ$105)+SUM(CS$95:CS$105)+SUM(CU$95:CU$105)</f>
        <v>263448.52577889676</v>
      </c>
    </row>
    <row r="138" spans="2:15">
      <c r="C138" s="105" t="s">
        <v>278</v>
      </c>
      <c r="D138" s="100">
        <f t="shared" ref="D138:O138" si="2">SUM(D$131:D$137)</f>
        <v>2029946.1152466065</v>
      </c>
      <c r="E138" s="100">
        <f t="shared" si="2"/>
        <v>1853996.9382568225</v>
      </c>
      <c r="F138" s="100">
        <f t="shared" si="2"/>
        <v>1824335.8673474493</v>
      </c>
      <c r="G138" s="100">
        <f t="shared" si="2"/>
        <v>1823641.1182057764</v>
      </c>
      <c r="H138" s="100">
        <f t="shared" si="2"/>
        <v>2050802.5093252161</v>
      </c>
      <c r="I138" s="100">
        <f t="shared" si="2"/>
        <v>1627456.834090414</v>
      </c>
      <c r="J138" s="100">
        <f t="shared" si="2"/>
        <v>1541055.8168081727</v>
      </c>
      <c r="K138" s="100">
        <f t="shared" si="2"/>
        <v>2096740.5407165466</v>
      </c>
      <c r="L138" s="100">
        <f t="shared" si="2"/>
        <v>1818945.8074290592</v>
      </c>
      <c r="M138" s="100">
        <f t="shared" si="2"/>
        <v>2077438.3133320548</v>
      </c>
      <c r="N138" s="100">
        <f t="shared" si="2"/>
        <v>2196667.3069547298</v>
      </c>
      <c r="O138" s="100">
        <f t="shared" si="2"/>
        <v>2205207.2366285259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2015-01-12T21:33:22Z</dcterms:modified>
</cp:coreProperties>
</file>