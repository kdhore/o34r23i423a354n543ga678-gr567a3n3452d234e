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0910" codeName="{7A2D7E96-6E34-419A-AE5F-296B3A7E7977}"/>
  <workbookPr codeName="ThisWorkbook" autoCompressPictures="0"/>
  <bookViews>
    <workbookView xWindow="0" yWindow="0" windowWidth="25600" windowHeight="13960" firstSheet="1" activeTab="1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shipping_manufacturing!$J$4:$J$12</definedName>
    <definedName name="AddColumn2">shipping_manufacturing!$I$16:$I$20</definedName>
    <definedName name="AddColumn3">shipping_manufacturing!$J$24:$J$31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30" i="7" l="1"/>
  <c r="H30" i="7"/>
  <c r="G30" i="7"/>
  <c r="F30" i="7"/>
  <c r="E30" i="7"/>
  <c r="D30" i="7"/>
  <c r="C30" i="7"/>
  <c r="H19" i="7"/>
  <c r="F19" i="7"/>
  <c r="D19" i="7"/>
  <c r="I11" i="7"/>
  <c r="I10" i="7"/>
  <c r="I9" i="7"/>
  <c r="I8" i="7"/>
  <c r="I7" i="7"/>
  <c r="I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H36" i="5"/>
  <c r="H6" i="5"/>
  <c r="G16" i="5"/>
</calcChain>
</file>

<file path=xl/sharedStrings.xml><?xml version="1.0" encoding="utf-8"?>
<sst xmlns="http://schemas.openxmlformats.org/spreadsheetml/2006/main" count="516" uniqueCount="167">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</sst>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u/>
      <sz val="10"/>
      <color theme="10"/>
      <name val="Arial"/>
    </font>
    <font>
      <u/>
      <sz val="10"/>
      <color theme="11"/>
      <name val="Arial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21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04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2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6"/>
  <sheetViews>
    <sheetView showGridLines="0" workbookViewId="0"/>
  </sheetViews>
  <sheetFormatPr baseColWidth="10" defaultColWidth="8.83203125" defaultRowHeight="12" x14ac:dyDescent="0"/>
  <cols>
    <col min="1" max="1" width="4.6640625" customWidth="1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98" t="s">
        <v>165</v>
      </c>
      <c r="E4" s="99"/>
      <c r="F4" s="100"/>
    </row>
    <row r="5" spans="2:6">
      <c r="B5" s="6"/>
      <c r="C5" s="7" t="s">
        <v>111</v>
      </c>
      <c r="D5" s="101">
        <v>2017</v>
      </c>
      <c r="E5" s="102"/>
      <c r="F5" s="103"/>
    </row>
    <row r="6" spans="2:6">
      <c r="B6" s="3"/>
      <c r="C6" s="3"/>
      <c r="D6" s="3"/>
      <c r="E6" s="3"/>
      <c r="F6" s="3"/>
    </row>
  </sheetData>
  <sheetProtection algorithmName="SHA-512" hashValue="ggx2M+E83h4GDYdv6JTp9Li7a22EpYDQGnoSWpUdUss4QFXt/skXWFP2wPg+XSN0/HUGbv3h9TGQT8DDUKBBdw==" saltValue="V5f4cdYVmoc+GyPJLkmueA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tabSelected="1" topLeftCell="A47" workbookViewId="0">
      <selection activeCell="C63" sqref="C63"/>
    </sheetView>
  </sheetViews>
  <sheetFormatPr baseColWidth="10" defaultColWidth="8.83203125" defaultRowHeight="12" x14ac:dyDescent="0"/>
  <cols>
    <col min="1" max="1" width="4.6640625" style="9" customWidth="1"/>
    <col min="2" max="2" width="8" style="9" bestFit="1" customWidth="1"/>
    <col min="3" max="3" width="15.6640625" style="9" bestFit="1" customWidth="1"/>
    <col min="4" max="4" width="8.6640625" style="9" customWidth="1"/>
    <col min="5" max="5" width="4.5" style="9" customWidth="1"/>
    <col min="6" max="6" width="3.33203125" style="9" bestFit="1" customWidth="1"/>
    <col min="7" max="7" width="8.6640625" style="9" customWidth="1"/>
    <col min="8" max="8" width="9.5" style="9" customWidth="1"/>
    <col min="9" max="16384" width="8.83203125" style="9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>
        <v>-199</v>
      </c>
      <c r="D6" s="15">
        <v>200</v>
      </c>
      <c r="E6" s="15" t="s">
        <v>166</v>
      </c>
      <c r="F6" s="15" t="s">
        <v>6</v>
      </c>
      <c r="G6" s="15">
        <f t="shared" ref="G6:G15" si="0">$D6+$C6</f>
        <v>1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/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/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/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/>
      <c r="D10" s="15">
        <v>600</v>
      </c>
      <c r="E10" s="15" t="s">
        <v>166</v>
      </c>
      <c r="F10" s="15" t="s">
        <v>6</v>
      </c>
      <c r="G10" s="15">
        <f t="shared" si="0"/>
        <v>600</v>
      </c>
      <c r="H10" s="17" t="str">
        <f t="shared" si="1"/>
        <v/>
      </c>
    </row>
    <row r="11" spans="2:8">
      <c r="B11" s="14" t="s">
        <v>11</v>
      </c>
      <c r="C11" s="84"/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/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/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/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/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3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/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>
      <c r="B22" s="14" t="s">
        <v>7</v>
      </c>
      <c r="C22" s="85"/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/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/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/>
      <c r="D27" s="15">
        <v>15</v>
      </c>
      <c r="E27" s="15"/>
      <c r="F27" s="15" t="s">
        <v>6</v>
      </c>
      <c r="G27" s="15">
        <f t="shared" si="2"/>
        <v>15</v>
      </c>
      <c r="H27" s="17"/>
    </row>
    <row r="28" spans="2:8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/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37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/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/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/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/>
      <c r="D39" s="14">
        <v>4000</v>
      </c>
      <c r="E39" s="15" t="s">
        <v>166</v>
      </c>
      <c r="F39" s="15" t="s">
        <v>6</v>
      </c>
      <c r="G39" s="15">
        <f t="shared" si="3"/>
        <v>4000</v>
      </c>
      <c r="H39" s="17" t="str">
        <f t="shared" si="4"/>
        <v/>
      </c>
    </row>
    <row r="40" spans="2:8">
      <c r="B40" s="14" t="s">
        <v>23</v>
      </c>
      <c r="C40" s="84"/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/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/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/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/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/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/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/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/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/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/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/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/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/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/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/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/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/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/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/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/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/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/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>
        <v>-1000</v>
      </c>
      <c r="D63" s="15">
        <v>5000</v>
      </c>
      <c r="E63" s="15" t="s">
        <v>166</v>
      </c>
      <c r="F63" s="15" t="s">
        <v>6</v>
      </c>
      <c r="G63" s="15">
        <f t="shared" si="3"/>
        <v>4000</v>
      </c>
      <c r="H63" s="17" t="str">
        <f t="shared" si="4"/>
        <v/>
      </c>
    </row>
    <row r="64" spans="2:8">
      <c r="B64" s="14" t="s">
        <v>47</v>
      </c>
      <c r="C64" s="85">
        <v>0</v>
      </c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>
        <v>0</v>
      </c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>
        <v>0</v>
      </c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>
        <v>0</v>
      </c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>
        <v>0</v>
      </c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>
        <v>0</v>
      </c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>
        <v>0</v>
      </c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>
        <v>0</v>
      </c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>
        <v>0</v>
      </c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>
        <v>0</v>
      </c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>
        <v>0</v>
      </c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>
        <v>0</v>
      </c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>
        <v>-2000</v>
      </c>
      <c r="D76" s="15">
        <v>10000</v>
      </c>
      <c r="E76" s="15" t="s">
        <v>166</v>
      </c>
      <c r="F76" s="15" t="s">
        <v>6</v>
      </c>
      <c r="G76" s="15">
        <f t="shared" si="5"/>
        <v>8000</v>
      </c>
      <c r="H76" s="17" t="str">
        <f t="shared" si="6"/>
        <v/>
      </c>
    </row>
    <row r="77" spans="2:8">
      <c r="B77" s="14" t="s">
        <v>60</v>
      </c>
      <c r="C77" s="85"/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/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/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/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/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/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/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/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/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/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/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/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/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/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/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/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/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/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/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/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/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/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/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/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/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/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/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/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/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/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sheetProtection algorithmName="SHA-512" hashValue="Ojrwc5t5Y/08aWNuWC0bGz4R7qCVw43oXfceZu3TSzsou+u07DcktQyyQ+NjjjQu2pJDBOUTe6tJaGhV0T6fkA==" saltValue="eHkbgBoxO8np1YuInSDyFQ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topLeftCell="A16" workbookViewId="0">
      <selection activeCell="R29" sqref="R29"/>
    </sheetView>
  </sheetViews>
  <sheetFormatPr baseColWidth="10" defaultColWidth="8.83203125" defaultRowHeight="12" x14ac:dyDescent="0"/>
  <cols>
    <col min="1" max="1" width="4.6640625" style="29" customWidth="1"/>
    <col min="2" max="2" width="16.6640625" style="29" customWidth="1"/>
    <col min="3" max="14" width="8.6640625" style="29" customWidth="1"/>
    <col min="15" max="16384" width="8.83203125" style="29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>
        <v>2469.1999999999998</v>
      </c>
      <c r="D6" s="86">
        <v>2469.1999999999998</v>
      </c>
      <c r="E6" s="86">
        <v>2469.1999999999998</v>
      </c>
      <c r="F6" s="86">
        <v>2469.1999999999998</v>
      </c>
      <c r="G6" s="86">
        <v>2469.1999999999998</v>
      </c>
      <c r="H6" s="86">
        <v>2469.1999999999998</v>
      </c>
      <c r="I6" s="86">
        <v>2469.1999999999998</v>
      </c>
      <c r="J6" s="86">
        <v>2469.1999999999998</v>
      </c>
      <c r="K6" s="86">
        <v>2469.1999999999998</v>
      </c>
      <c r="L6" s="86">
        <v>2469.1999999999998</v>
      </c>
      <c r="M6" s="86">
        <v>2469.1999999999998</v>
      </c>
      <c r="N6" s="86">
        <v>2469.1999999999998</v>
      </c>
    </row>
    <row r="7" spans="2:14">
      <c r="B7" s="36" t="s">
        <v>105</v>
      </c>
      <c r="C7" s="87">
        <v>1.1231528525154617E-5</v>
      </c>
      <c r="D7" s="87">
        <v>1.1231528525154617E-5</v>
      </c>
      <c r="E7" s="87">
        <v>1.1231528525154617E-5</v>
      </c>
      <c r="F7" s="87">
        <v>1.1231528525154617E-5</v>
      </c>
      <c r="G7" s="87">
        <v>1.1231528525154617E-5</v>
      </c>
      <c r="H7" s="87">
        <v>1.1231528525154617E-5</v>
      </c>
      <c r="I7" s="87">
        <v>1.1231528525154617E-5</v>
      </c>
      <c r="J7" s="87">
        <v>1.1231528525154617E-5</v>
      </c>
      <c r="K7" s="87">
        <v>1.1231528525154617E-5</v>
      </c>
      <c r="L7" s="87">
        <v>1.1231528525154617E-5</v>
      </c>
      <c r="M7" s="87">
        <v>1.1231528525154617E-5</v>
      </c>
      <c r="N7" s="87">
        <v>1.1231528525154617E-5</v>
      </c>
    </row>
    <row r="8" spans="2:14">
      <c r="B8" s="36" t="s">
        <v>106</v>
      </c>
      <c r="C8" s="87">
        <v>192.47411844290016</v>
      </c>
      <c r="D8" s="87">
        <v>192.47411844290016</v>
      </c>
      <c r="E8" s="87">
        <v>192.47411844290016</v>
      </c>
      <c r="F8" s="87">
        <v>192.47411844290016</v>
      </c>
      <c r="G8" s="87">
        <v>192.47411844290016</v>
      </c>
      <c r="H8" s="87">
        <v>192.47411844290016</v>
      </c>
      <c r="I8" s="87">
        <v>192.47411844290016</v>
      </c>
      <c r="J8" s="87">
        <v>192.47411844290016</v>
      </c>
      <c r="K8" s="87">
        <v>192.47411844290016</v>
      </c>
      <c r="L8" s="87">
        <v>192.47411844290016</v>
      </c>
      <c r="M8" s="87">
        <v>192.47411844290016</v>
      </c>
      <c r="N8" s="87">
        <v>192.47411844290016</v>
      </c>
    </row>
    <row r="9" spans="2:14">
      <c r="B9" s="36" t="s">
        <v>107</v>
      </c>
      <c r="C9" s="87">
        <v>616.16578543501112</v>
      </c>
      <c r="D9" s="87">
        <v>616.16578543501112</v>
      </c>
      <c r="E9" s="87">
        <v>616.16578543501112</v>
      </c>
      <c r="F9" s="87">
        <v>616.16578543501112</v>
      </c>
      <c r="G9" s="87">
        <v>616.16578543501112</v>
      </c>
      <c r="H9" s="87">
        <v>616.16578543501112</v>
      </c>
      <c r="I9" s="87">
        <v>616.16578543501112</v>
      </c>
      <c r="J9" s="87">
        <v>616.16578543501112</v>
      </c>
      <c r="K9" s="87">
        <v>616.16578543501112</v>
      </c>
      <c r="L9" s="87">
        <v>616.16578543501112</v>
      </c>
      <c r="M9" s="87">
        <v>616.16578543501112</v>
      </c>
      <c r="N9" s="87">
        <v>616.16578543501112</v>
      </c>
    </row>
    <row r="10" spans="2:14">
      <c r="B10" s="36" t="s">
        <v>108</v>
      </c>
      <c r="C10" s="87">
        <v>4.4406370675498802E-8</v>
      </c>
      <c r="D10" s="87">
        <v>4.4406370675498802E-8</v>
      </c>
      <c r="E10" s="87">
        <v>4.4406370675498802E-8</v>
      </c>
      <c r="F10" s="87">
        <v>4.4406370675498802E-8</v>
      </c>
      <c r="G10" s="87">
        <v>4.4406370675498802E-8</v>
      </c>
      <c r="H10" s="87">
        <v>4.4406370675498802E-8</v>
      </c>
      <c r="I10" s="87">
        <v>4.4406370675498802E-8</v>
      </c>
      <c r="J10" s="87">
        <v>4.4406370675498802E-8</v>
      </c>
      <c r="K10" s="87">
        <v>4.4406370675498802E-8</v>
      </c>
      <c r="L10" s="87">
        <v>4.4406370675498802E-8</v>
      </c>
      <c r="M10" s="87">
        <v>4.4406370675498802E-8</v>
      </c>
      <c r="N10" s="87">
        <v>4.4406370675498802E-8</v>
      </c>
    </row>
    <row r="11" spans="2:14">
      <c r="B11" s="37" t="s">
        <v>109</v>
      </c>
      <c r="C11" s="87">
        <v>8.4716359538475237E-8</v>
      </c>
      <c r="D11" s="87">
        <v>8.4716359538475237E-8</v>
      </c>
      <c r="E11" s="87">
        <v>8.4716359538475237E-8</v>
      </c>
      <c r="F11" s="87">
        <v>8.4716359538475237E-8</v>
      </c>
      <c r="G11" s="87">
        <v>8.4716359538475237E-8</v>
      </c>
      <c r="H11" s="87">
        <v>8.4716359538475237E-8</v>
      </c>
      <c r="I11" s="87">
        <v>8.4716359538475237E-8</v>
      </c>
      <c r="J11" s="87">
        <v>8.4716359538475237E-8</v>
      </c>
      <c r="K11" s="87">
        <v>8.4716359538475237E-8</v>
      </c>
      <c r="L11" s="87">
        <v>8.4716359538475237E-8</v>
      </c>
      <c r="M11" s="87">
        <v>8.4716359538475237E-8</v>
      </c>
      <c r="N11" s="87">
        <v>8.4716359538475237E-8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89">
        <v>1</v>
      </c>
      <c r="D17" s="89">
        <v>0.5554</v>
      </c>
      <c r="E17" s="89">
        <v>1</v>
      </c>
      <c r="F17" s="89">
        <v>0.79620000000000002</v>
      </c>
      <c r="G17" s="89">
        <v>0.8</v>
      </c>
      <c r="H17" s="89">
        <v>1.0368999999999999</v>
      </c>
      <c r="I17" s="29" t="s">
        <v>110</v>
      </c>
    </row>
    <row r="18" spans="2:33">
      <c r="B18" s="36" t="s">
        <v>105</v>
      </c>
      <c r="C18" s="89">
        <v>1</v>
      </c>
      <c r="D18" s="90">
        <v>0.63470000000000004</v>
      </c>
      <c r="E18" s="89">
        <v>1</v>
      </c>
      <c r="F18" s="90">
        <v>0.76639999999999997</v>
      </c>
      <c r="G18" s="89">
        <v>0.8</v>
      </c>
      <c r="H18" s="90">
        <v>0.89810000000000001</v>
      </c>
      <c r="I18" s="29" t="s">
        <v>110</v>
      </c>
    </row>
    <row r="19" spans="2:33">
      <c r="B19" s="36" t="s">
        <v>106</v>
      </c>
      <c r="C19" s="89">
        <v>1</v>
      </c>
      <c r="D19" s="90">
        <v>0.68510000000000004</v>
      </c>
      <c r="E19" s="89">
        <v>1</v>
      </c>
      <c r="F19" s="90">
        <v>0.83360000000000001</v>
      </c>
      <c r="G19" s="89">
        <v>0.8</v>
      </c>
      <c r="H19" s="90">
        <v>0.98209999999999997</v>
      </c>
      <c r="I19" s="29" t="s">
        <v>110</v>
      </c>
    </row>
    <row r="20" spans="2:33">
      <c r="B20" s="36" t="s">
        <v>107</v>
      </c>
      <c r="C20" s="89">
        <v>1</v>
      </c>
      <c r="D20" s="90">
        <v>0.64649999999999996</v>
      </c>
      <c r="E20" s="89">
        <v>1</v>
      </c>
      <c r="F20" s="90">
        <v>0.8155</v>
      </c>
      <c r="G20" s="89">
        <v>0.8</v>
      </c>
      <c r="H20" s="90">
        <v>0.98440000000000005</v>
      </c>
    </row>
    <row r="21" spans="2:33">
      <c r="B21" s="36" t="s">
        <v>108</v>
      </c>
      <c r="C21" s="89">
        <v>1</v>
      </c>
      <c r="D21" s="90">
        <v>0.72750000000000004</v>
      </c>
      <c r="E21" s="89">
        <v>1</v>
      </c>
      <c r="F21" s="90">
        <v>0.75749999999999995</v>
      </c>
      <c r="G21" s="89">
        <v>0.8</v>
      </c>
      <c r="H21" s="90">
        <v>0.78749999999999998</v>
      </c>
    </row>
    <row r="22" spans="2:33">
      <c r="B22" s="37" t="s">
        <v>109</v>
      </c>
      <c r="C22" s="89">
        <v>1</v>
      </c>
      <c r="D22" s="90">
        <v>0.67669999999999997</v>
      </c>
      <c r="E22" s="89">
        <v>1</v>
      </c>
      <c r="F22" s="90">
        <v>0.7399</v>
      </c>
      <c r="G22" s="89">
        <v>0.8</v>
      </c>
      <c r="H22" s="90">
        <v>0.80320000000000003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2012</v>
      </c>
      <c r="E28" s="49"/>
      <c r="F28" s="45">
        <f>basic_info!$D$5-4</f>
        <v>2013</v>
      </c>
      <c r="G28" s="49"/>
      <c r="H28" s="45">
        <f>basic_info!$D$5-3</f>
        <v>2014</v>
      </c>
      <c r="I28" s="49"/>
      <c r="J28" s="45">
        <f>basic_info!$D$5-2</f>
        <v>2015</v>
      </c>
      <c r="K28" s="49"/>
      <c r="L28" s="45">
        <f>basic_info!$D$5-1</f>
        <v>2016</v>
      </c>
      <c r="N28" s="45">
        <f>basic_info!$D$5</f>
        <v>2017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2017</v>
      </c>
      <c r="D30" s="44">
        <v>0.82723927824938992</v>
      </c>
      <c r="E30" s="35">
        <v>0</v>
      </c>
      <c r="F30" s="47">
        <v>0.78982841454849262</v>
      </c>
      <c r="G30" s="46">
        <v>0</v>
      </c>
      <c r="H30" s="47">
        <v>0.73764396117770215</v>
      </c>
      <c r="I30" s="46">
        <v>8000</v>
      </c>
      <c r="J30" s="47">
        <v>0.89619567162872515</v>
      </c>
      <c r="K30" s="46">
        <v>0</v>
      </c>
      <c r="L30" s="47">
        <v>0.7794039403879286</v>
      </c>
      <c r="M30" s="46">
        <v>0</v>
      </c>
      <c r="N30" s="60"/>
      <c r="O30" s="71" t="s">
        <v>162</v>
      </c>
      <c r="P30" s="41">
        <f>M30+K30+I30+E30+G30</f>
        <v>8000</v>
      </c>
      <c r="Q30" s="70"/>
    </row>
    <row r="31" spans="2:33">
      <c r="B31" s="36"/>
      <c r="C31" s="47">
        <f>basic_info!$D$5+1</f>
        <v>2018</v>
      </c>
      <c r="D31" s="76"/>
      <c r="E31" s="75"/>
      <c r="F31" s="69">
        <v>0.72411525202691562</v>
      </c>
      <c r="G31" s="79">
        <v>0</v>
      </c>
      <c r="H31" s="61">
        <v>0.71135030767163665</v>
      </c>
      <c r="I31" s="62">
        <v>8000</v>
      </c>
      <c r="J31" s="61">
        <v>0.84236191971130692</v>
      </c>
      <c r="K31" s="62">
        <v>0</v>
      </c>
      <c r="L31" s="61">
        <v>0.74403649732441623</v>
      </c>
      <c r="M31" s="62">
        <v>0</v>
      </c>
      <c r="N31" s="63">
        <v>0.86489268210399939</v>
      </c>
      <c r="O31" s="88">
        <v>1061.069</v>
      </c>
      <c r="P31" s="63">
        <f>O31+M31+K31+I31+G31</f>
        <v>9061.0689999999995</v>
      </c>
    </row>
    <row r="32" spans="2:33">
      <c r="B32" s="36"/>
      <c r="C32" s="47">
        <f>basic_info!$D$5+2</f>
        <v>2019</v>
      </c>
      <c r="D32" s="76"/>
      <c r="E32" s="75"/>
      <c r="F32" s="75"/>
      <c r="G32" s="75"/>
      <c r="H32" s="69">
        <v>0.67168145499527454</v>
      </c>
      <c r="I32" s="79">
        <v>8000</v>
      </c>
      <c r="J32" s="61">
        <v>0.80404254385936813</v>
      </c>
      <c r="K32" s="62">
        <v>0</v>
      </c>
      <c r="L32" s="61">
        <v>0.7527505289227433</v>
      </c>
      <c r="M32" s="62">
        <v>0</v>
      </c>
      <c r="N32" s="63">
        <v>0.88199853992657917</v>
      </c>
      <c r="O32" s="88">
        <v>1061.069</v>
      </c>
      <c r="P32" s="63">
        <f>O32+M32+K32+I32</f>
        <v>9061.0689999999995</v>
      </c>
    </row>
    <row r="33" spans="2:17">
      <c r="B33" s="36"/>
      <c r="C33" s="47">
        <f>basic_info!$D$5+3</f>
        <v>2020</v>
      </c>
      <c r="D33" s="76"/>
      <c r="E33" s="75"/>
      <c r="F33" s="75"/>
      <c r="G33" s="75"/>
      <c r="H33" s="75"/>
      <c r="I33" s="75"/>
      <c r="J33" s="69">
        <v>0.74553772844970234</v>
      </c>
      <c r="K33" s="79">
        <v>1145.3</v>
      </c>
      <c r="L33" s="61">
        <v>0.69965863319312305</v>
      </c>
      <c r="M33" s="62">
        <v>0</v>
      </c>
      <c r="N33" s="63">
        <v>0.87457866977723531</v>
      </c>
      <c r="O33" s="88">
        <v>1061.069</v>
      </c>
      <c r="P33" s="63">
        <f>O33+M33+K33</f>
        <v>2206.3689999999997</v>
      </c>
    </row>
    <row r="34" spans="2:17">
      <c r="B34" s="36"/>
      <c r="C34" s="47">
        <f>basic_info!$D$5+4</f>
        <v>2021</v>
      </c>
      <c r="D34" s="76"/>
      <c r="E34" s="75"/>
      <c r="F34" s="75"/>
      <c r="G34" s="75"/>
      <c r="H34" s="75"/>
      <c r="I34" s="75"/>
      <c r="J34" s="75"/>
      <c r="K34" s="75"/>
      <c r="L34" s="69">
        <v>0.67052111424505711</v>
      </c>
      <c r="M34" s="79">
        <v>2000</v>
      </c>
      <c r="N34" s="63">
        <v>0.82996059621196905</v>
      </c>
      <c r="O34" s="88">
        <v>1061.069</v>
      </c>
      <c r="P34" s="63">
        <f>O34+M34</f>
        <v>3061.069</v>
      </c>
    </row>
    <row r="35" spans="2:17">
      <c r="B35" s="37"/>
      <c r="C35" s="72">
        <f>basic_info!$D$5+5</f>
        <v>2022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0.77235281866490846</v>
      </c>
      <c r="O35" s="88">
        <v>1061.069</v>
      </c>
      <c r="P35" s="65">
        <f>O35</f>
        <v>1061.069</v>
      </c>
    </row>
    <row r="36" spans="2:17">
      <c r="B36" s="41" t="s">
        <v>113</v>
      </c>
      <c r="C36" s="36">
        <f>basic_info!$D$5</f>
        <v>2017</v>
      </c>
      <c r="D36" s="44">
        <v>0.90603754280275017</v>
      </c>
      <c r="E36" s="35">
        <v>0</v>
      </c>
      <c r="F36" s="73">
        <v>1.0875125598816084</v>
      </c>
      <c r="G36" s="74">
        <v>0</v>
      </c>
      <c r="H36" s="73">
        <v>0.93160995934739854</v>
      </c>
      <c r="I36" s="74">
        <v>11000</v>
      </c>
      <c r="J36" s="73">
        <v>1.1406943529243774</v>
      </c>
      <c r="K36" s="74">
        <v>0</v>
      </c>
      <c r="L36" s="66">
        <v>1.0322843568963027</v>
      </c>
      <c r="M36" s="67">
        <v>0</v>
      </c>
      <c r="N36" s="68"/>
      <c r="O36" s="71" t="s">
        <v>162</v>
      </c>
      <c r="P36" s="41">
        <f>M36+K36+I36+E36+G36</f>
        <v>11000</v>
      </c>
      <c r="Q36" s="70"/>
    </row>
    <row r="37" spans="2:17">
      <c r="B37" s="36"/>
      <c r="C37" s="47">
        <f>basic_info!$D$5+1</f>
        <v>2018</v>
      </c>
      <c r="D37" s="76"/>
      <c r="E37" s="75"/>
      <c r="F37" s="69">
        <v>0.99511689269542691</v>
      </c>
      <c r="G37" s="79">
        <v>0</v>
      </c>
      <c r="H37" s="61">
        <v>0.88880183448123806</v>
      </c>
      <c r="I37" s="62">
        <v>11500</v>
      </c>
      <c r="J37" s="61">
        <v>1.0484299690065144</v>
      </c>
      <c r="K37" s="62">
        <v>0</v>
      </c>
      <c r="L37" s="61">
        <v>0.99543758500835322</v>
      </c>
      <c r="M37" s="62">
        <v>0</v>
      </c>
      <c r="N37" s="61">
        <v>1.0843463381251608</v>
      </c>
      <c r="O37" s="88">
        <v>0</v>
      </c>
      <c r="P37" s="63">
        <f>O37+M37+K37+I37+G37</f>
        <v>11500</v>
      </c>
    </row>
    <row r="38" spans="2:17">
      <c r="B38" s="36"/>
      <c r="C38" s="47">
        <f>basic_info!$D$5+2</f>
        <v>2019</v>
      </c>
      <c r="D38" s="76"/>
      <c r="E38" s="75"/>
      <c r="F38" s="75"/>
      <c r="G38" s="75"/>
      <c r="H38" s="69">
        <v>0.87392979428172113</v>
      </c>
      <c r="I38" s="79">
        <v>12000</v>
      </c>
      <c r="J38" s="61">
        <v>1.0036399921766941</v>
      </c>
      <c r="K38" s="62">
        <v>0</v>
      </c>
      <c r="L38" s="61">
        <v>1.0042666663707007</v>
      </c>
      <c r="M38" s="62">
        <v>0</v>
      </c>
      <c r="N38" s="61">
        <v>1.0512236928821403</v>
      </c>
      <c r="O38" s="88">
        <v>0</v>
      </c>
      <c r="P38" s="63">
        <f>O38+M38+K38+I38</f>
        <v>12000</v>
      </c>
    </row>
    <row r="39" spans="2:17">
      <c r="B39" s="36"/>
      <c r="C39" s="47">
        <f>basic_info!$D$5+3</f>
        <v>2020</v>
      </c>
      <c r="D39" s="76"/>
      <c r="E39" s="75"/>
      <c r="F39" s="75"/>
      <c r="G39" s="75"/>
      <c r="H39" s="75"/>
      <c r="I39" s="75"/>
      <c r="J39" s="69">
        <v>0.93049090272188195</v>
      </c>
      <c r="K39" s="79">
        <v>298.27199999999999</v>
      </c>
      <c r="L39" s="61">
        <v>0.94087785036126215</v>
      </c>
      <c r="M39" s="62">
        <v>15000</v>
      </c>
      <c r="N39" s="61">
        <v>1.0674782123792534</v>
      </c>
      <c r="O39" s="88">
        <v>0</v>
      </c>
      <c r="P39" s="63">
        <f>O39+M39+K39</f>
        <v>15298.272000000001</v>
      </c>
    </row>
    <row r="40" spans="2:17">
      <c r="B40" s="36"/>
      <c r="C40" s="47">
        <f>basic_info!$D$5+4</f>
        <v>2021</v>
      </c>
      <c r="D40" s="76"/>
      <c r="E40" s="75"/>
      <c r="F40" s="75"/>
      <c r="G40" s="75"/>
      <c r="H40" s="75"/>
      <c r="I40" s="75"/>
      <c r="J40" s="75"/>
      <c r="K40" s="75"/>
      <c r="L40" s="69">
        <v>0.88851178684830667</v>
      </c>
      <c r="M40" s="79">
        <v>20000</v>
      </c>
      <c r="N40" s="61">
        <v>0.9979103092184296</v>
      </c>
      <c r="O40" s="88">
        <v>16262.2045658647</v>
      </c>
      <c r="P40" s="63">
        <f>O40+M40</f>
        <v>36262.204565864697</v>
      </c>
    </row>
    <row r="41" spans="2:17">
      <c r="B41" s="37"/>
      <c r="C41" s="72">
        <f>basic_info!$D$5+5</f>
        <v>2022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0.91683839964866642</v>
      </c>
      <c r="O41" s="88">
        <v>16262.2045658647</v>
      </c>
      <c r="P41" s="64">
        <f>O41</f>
        <v>16262.2045658647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1">
        <v>8.3333329999999997</v>
      </c>
      <c r="D47" s="91">
        <v>8.3333329999999997</v>
      </c>
      <c r="E47" s="91">
        <v>8.3333329999999997</v>
      </c>
      <c r="F47" s="91">
        <v>8.3333329999999997</v>
      </c>
      <c r="G47" s="91">
        <v>8.3333329999999997</v>
      </c>
      <c r="H47" s="91">
        <v>8.3333329999999997</v>
      </c>
      <c r="I47" s="91">
        <v>8.3333329999999997</v>
      </c>
      <c r="J47" s="91">
        <v>8.3333329999999997</v>
      </c>
      <c r="K47" s="91">
        <v>8.3333329999999997</v>
      </c>
      <c r="L47" s="91">
        <v>8.3333329999999997</v>
      </c>
      <c r="M47" s="91">
        <v>8.3333329999999997</v>
      </c>
      <c r="N47" s="91">
        <v>8.3333329999999997</v>
      </c>
      <c r="O47" s="33">
        <f>SUM(C47:N47)</f>
        <v>99.999995999999967</v>
      </c>
    </row>
    <row r="48" spans="2:17">
      <c r="B48" s="37" t="s">
        <v>113</v>
      </c>
      <c r="C48" s="91">
        <v>8.3333329999999997</v>
      </c>
      <c r="D48" s="91">
        <v>8.3333329999999997</v>
      </c>
      <c r="E48" s="91">
        <v>8.3333329999999997</v>
      </c>
      <c r="F48" s="91">
        <v>8.3333329999999997</v>
      </c>
      <c r="G48" s="91">
        <v>8.3333329999999997</v>
      </c>
      <c r="H48" s="91">
        <v>8.3333329999999997</v>
      </c>
      <c r="I48" s="91">
        <v>8.3333329999999997</v>
      </c>
      <c r="J48" s="91">
        <v>8.3333329999999997</v>
      </c>
      <c r="K48" s="91">
        <v>8.3333329999999997</v>
      </c>
      <c r="L48" s="91">
        <v>8.3333329999999997</v>
      </c>
      <c r="M48" s="91">
        <v>8.3333329999999997</v>
      </c>
      <c r="N48" s="91">
        <v>8.3333329999999997</v>
      </c>
      <c r="O48" s="33">
        <f>SUM(C48:N48)</f>
        <v>99.999995999999967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XoxN+YPTpXEsb95dLklsz8J8NLWsYH9oRC+nxdNZ5Gfso5uuEnGU7GpQGIUT6I57mJi0ul+zH9usFqqoSPTnbA==" saltValue="ODBLiKHULblHOv6xsan94g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topLeftCell="A8" workbookViewId="0">
      <selection activeCell="H19" sqref="H19"/>
    </sheetView>
  </sheetViews>
  <sheetFormatPr baseColWidth="10" defaultColWidth="8.83203125" defaultRowHeight="12" x14ac:dyDescent="0"/>
  <cols>
    <col min="1" max="1" width="4.6640625" style="29" customWidth="1"/>
    <col min="2" max="2" width="17.33203125" style="29" customWidth="1"/>
    <col min="3" max="16384" width="8.83203125" style="29"/>
  </cols>
  <sheetData>
    <row r="2" spans="2:18">
      <c r="B2" s="28" t="s">
        <v>114</v>
      </c>
    </row>
    <row r="3" spans="2:18">
      <c r="B3" s="30" t="s">
        <v>144</v>
      </c>
    </row>
    <row r="4" spans="2:18">
      <c r="B4" s="48"/>
      <c r="C4" s="48"/>
      <c r="D4" s="48"/>
      <c r="E4" s="48"/>
      <c r="F4" s="48"/>
      <c r="G4" s="48"/>
      <c r="H4" s="48"/>
      <c r="I4" s="48"/>
      <c r="J4" s="49"/>
      <c r="K4" s="49"/>
      <c r="L4" s="49"/>
      <c r="M4" s="49"/>
      <c r="N4" s="49"/>
      <c r="O4" s="49"/>
    </row>
    <row r="5" spans="2:18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46</v>
      </c>
      <c r="H5" s="45" t="s">
        <v>59</v>
      </c>
      <c r="I5" s="45" t="s">
        <v>150</v>
      </c>
      <c r="J5" s="50"/>
      <c r="K5" s="50"/>
      <c r="L5" s="50"/>
      <c r="M5" s="50"/>
      <c r="N5" s="50"/>
      <c r="O5" s="50"/>
      <c r="P5" s="50"/>
      <c r="Q5" s="50"/>
      <c r="R5" s="50"/>
    </row>
    <row r="6" spans="2:18">
      <c r="B6" s="45" t="s">
        <v>163</v>
      </c>
      <c r="C6" s="92">
        <v>0</v>
      </c>
      <c r="D6" s="92">
        <v>0</v>
      </c>
      <c r="E6" s="92">
        <v>61.617067175016146</v>
      </c>
      <c r="F6" s="92">
        <v>0</v>
      </c>
      <c r="G6" s="92">
        <v>0</v>
      </c>
      <c r="H6" s="92">
        <v>38.382932824983861</v>
      </c>
      <c r="I6" s="96">
        <f>SUM($C$6:$H$6)</f>
        <v>100</v>
      </c>
      <c r="J6" s="49"/>
      <c r="K6" s="49"/>
      <c r="L6" s="49"/>
      <c r="M6" s="49"/>
      <c r="N6" s="49"/>
      <c r="O6" s="49"/>
      <c r="P6" s="50"/>
      <c r="Q6" s="50"/>
      <c r="R6" s="50"/>
    </row>
    <row r="7" spans="2:18">
      <c r="B7" s="45" t="s">
        <v>105</v>
      </c>
      <c r="C7" s="92">
        <v>0</v>
      </c>
      <c r="D7" s="92">
        <v>0</v>
      </c>
      <c r="E7" s="92">
        <v>100</v>
      </c>
      <c r="F7" s="92">
        <v>0</v>
      </c>
      <c r="G7" s="92">
        <v>0</v>
      </c>
      <c r="H7" s="92">
        <v>0</v>
      </c>
      <c r="I7" s="96">
        <f>SUM($C$7:$H$7)</f>
        <v>100</v>
      </c>
      <c r="J7" s="49"/>
      <c r="K7" s="49"/>
      <c r="L7" s="49"/>
      <c r="M7" s="49"/>
      <c r="N7" s="49"/>
      <c r="O7" s="49"/>
      <c r="P7" s="50"/>
      <c r="Q7" s="50"/>
      <c r="R7" s="50"/>
    </row>
    <row r="8" spans="2:18">
      <c r="B8" s="45" t="s">
        <v>106</v>
      </c>
      <c r="C8" s="92">
        <v>0</v>
      </c>
      <c r="D8" s="92">
        <v>0</v>
      </c>
      <c r="E8" s="92">
        <v>1.3280259012988178</v>
      </c>
      <c r="F8" s="92">
        <v>98.67197409870117</v>
      </c>
      <c r="G8" s="92">
        <v>0</v>
      </c>
      <c r="H8" s="92">
        <v>0</v>
      </c>
      <c r="I8" s="96">
        <f>SUM($C$8:$H$8)</f>
        <v>99.999999999999986</v>
      </c>
      <c r="J8" s="49"/>
      <c r="K8" s="49"/>
      <c r="L8" s="49"/>
      <c r="M8" s="49"/>
      <c r="N8" s="49"/>
      <c r="O8" s="49"/>
      <c r="P8" s="50"/>
      <c r="Q8" s="50"/>
      <c r="R8" s="50"/>
    </row>
    <row r="9" spans="2:18">
      <c r="B9" s="45" t="s">
        <v>107</v>
      </c>
      <c r="C9" s="92">
        <v>0</v>
      </c>
      <c r="D9" s="92">
        <v>66.411098994516351</v>
      </c>
      <c r="E9" s="92">
        <v>0</v>
      </c>
      <c r="F9" s="92">
        <v>0</v>
      </c>
      <c r="G9" s="92">
        <v>33.588899315048579</v>
      </c>
      <c r="H9" s="92">
        <v>0</v>
      </c>
      <c r="I9" s="96">
        <f>SUM($C$9:$H$9)</f>
        <v>99.99999830956493</v>
      </c>
      <c r="J9" s="49"/>
      <c r="K9" s="49"/>
      <c r="L9" s="49"/>
      <c r="M9" s="49"/>
      <c r="N9" s="49"/>
      <c r="O9" s="49"/>
      <c r="P9" s="50"/>
      <c r="Q9" s="50"/>
      <c r="R9" s="50"/>
    </row>
    <row r="10" spans="2:18">
      <c r="B10" s="45" t="s">
        <v>108</v>
      </c>
      <c r="C10" s="92">
        <v>0</v>
      </c>
      <c r="D10" s="92">
        <v>0</v>
      </c>
      <c r="E10" s="92">
        <v>100</v>
      </c>
      <c r="F10" s="92">
        <v>0</v>
      </c>
      <c r="G10" s="92">
        <v>0</v>
      </c>
      <c r="H10" s="92">
        <v>0</v>
      </c>
      <c r="I10" s="96">
        <f>SUM($C$10:$H$10)</f>
        <v>100</v>
      </c>
      <c r="J10" s="49"/>
      <c r="K10" s="49"/>
      <c r="L10" s="49"/>
      <c r="M10" s="49"/>
      <c r="N10" s="49"/>
      <c r="O10" s="49"/>
      <c r="P10" s="50"/>
      <c r="Q10" s="50"/>
      <c r="R10" s="50"/>
    </row>
    <row r="11" spans="2:18">
      <c r="B11" s="45" t="s">
        <v>109</v>
      </c>
      <c r="C11" s="93">
        <v>0</v>
      </c>
      <c r="D11" s="93">
        <v>0</v>
      </c>
      <c r="E11" s="93">
        <v>100</v>
      </c>
      <c r="F11" s="93">
        <v>0</v>
      </c>
      <c r="G11" s="93">
        <v>0</v>
      </c>
      <c r="H11" s="93">
        <v>0</v>
      </c>
      <c r="I11" s="95">
        <f>SUM($C$11:$H$11)</f>
        <v>100</v>
      </c>
      <c r="J11" s="49"/>
      <c r="K11" s="49"/>
      <c r="L11" s="49"/>
      <c r="M11" s="49"/>
      <c r="N11" s="49"/>
      <c r="O11" s="49"/>
      <c r="P11" s="50"/>
      <c r="Q11" s="50"/>
      <c r="R11" s="50"/>
    </row>
    <row r="12" spans="2:18">
      <c r="B12" s="51"/>
      <c r="C12" s="51"/>
      <c r="D12" s="51"/>
      <c r="E12" s="51"/>
      <c r="F12" s="51"/>
      <c r="G12" s="51"/>
      <c r="H12" s="51"/>
      <c r="I12" s="51"/>
      <c r="J12" s="49"/>
      <c r="K12" s="49"/>
      <c r="L12" s="49"/>
      <c r="M12" s="49"/>
      <c r="N12" s="49"/>
      <c r="O12" s="49"/>
      <c r="P12" s="50"/>
      <c r="Q12" s="50"/>
      <c r="R12" s="50"/>
    </row>
    <row r="13" spans="2:18">
      <c r="C13" s="49"/>
      <c r="D13" s="49"/>
      <c r="E13" s="49"/>
      <c r="F13" s="49"/>
      <c r="G13" s="49"/>
      <c r="H13" s="49"/>
      <c r="I13" s="50"/>
      <c r="J13" s="50"/>
      <c r="K13" s="50"/>
    </row>
    <row r="14" spans="2:18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8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8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>
      <c r="B19" s="45" t="s">
        <v>120</v>
      </c>
      <c r="C19" s="93">
        <v>0</v>
      </c>
      <c r="D19" s="44">
        <f>100-$C$19</f>
        <v>100</v>
      </c>
      <c r="E19" s="93">
        <v>42.41</v>
      </c>
      <c r="F19" s="44">
        <f>100-$E$19</f>
        <v>57.59</v>
      </c>
      <c r="G19" s="93">
        <v>51.41</v>
      </c>
      <c r="H19" s="33">
        <f>100-$G$19</f>
        <v>48.59</v>
      </c>
      <c r="O19" s="50"/>
      <c r="P19" s="50"/>
      <c r="Q19" s="50"/>
    </row>
    <row r="20" spans="2:18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>
      <c r="I21" s="50"/>
      <c r="J21" s="50"/>
      <c r="K21" s="50"/>
    </row>
    <row r="22" spans="2:18">
      <c r="B22" s="52" t="s">
        <v>114</v>
      </c>
      <c r="I22" s="50"/>
      <c r="J22" s="50"/>
      <c r="K22" s="50"/>
    </row>
    <row r="23" spans="2:18">
      <c r="B23" s="55" t="s">
        <v>145</v>
      </c>
      <c r="I23" s="50"/>
      <c r="J23" s="50"/>
      <c r="K23" s="50"/>
    </row>
    <row r="24" spans="2:18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>
      <c r="B27" s="45" t="s">
        <v>22</v>
      </c>
      <c r="C27" s="92">
        <v>0</v>
      </c>
      <c r="D27" s="92">
        <v>0</v>
      </c>
      <c r="E27" s="92">
        <v>0</v>
      </c>
      <c r="F27" s="92">
        <v>0</v>
      </c>
      <c r="G27" s="92">
        <v>0.21197611750920356</v>
      </c>
      <c r="H27" s="92">
        <v>23.473658877802158</v>
      </c>
      <c r="I27" s="94">
        <v>20.714539353967595</v>
      </c>
      <c r="P27" s="50"/>
      <c r="Q27" s="50"/>
      <c r="R27" s="50"/>
    </row>
    <row r="28" spans="2:18">
      <c r="B28" s="45" t="s">
        <v>46</v>
      </c>
      <c r="C28" s="92">
        <v>0</v>
      </c>
      <c r="D28" s="92">
        <v>0</v>
      </c>
      <c r="E28" s="92">
        <v>0</v>
      </c>
      <c r="F28" s="92">
        <v>100</v>
      </c>
      <c r="G28" s="92">
        <v>99.788023882490791</v>
      </c>
      <c r="H28" s="92">
        <v>0</v>
      </c>
      <c r="I28" s="94">
        <v>0</v>
      </c>
      <c r="P28" s="50"/>
      <c r="Q28" s="50"/>
      <c r="R28" s="50"/>
    </row>
    <row r="29" spans="2:18">
      <c r="B29" s="45" t="s">
        <v>59</v>
      </c>
      <c r="C29" s="92">
        <v>100</v>
      </c>
      <c r="D29" s="92">
        <v>0</v>
      </c>
      <c r="E29" s="92">
        <v>0</v>
      </c>
      <c r="F29" s="92">
        <v>0</v>
      </c>
      <c r="G29" s="92">
        <v>0</v>
      </c>
      <c r="H29" s="92">
        <v>76.52634111877795</v>
      </c>
      <c r="I29" s="94">
        <v>79.285459296001591</v>
      </c>
      <c r="P29" s="50"/>
      <c r="Q29" s="50"/>
      <c r="R29" s="50"/>
    </row>
    <row r="30" spans="2:18">
      <c r="B30" s="45" t="s">
        <v>150</v>
      </c>
      <c r="C30" s="97">
        <f>SUM($C$27:$C$29)</f>
        <v>100</v>
      </c>
      <c r="D30" s="97">
        <f>SUM($D$27:$D$29)</f>
        <v>0</v>
      </c>
      <c r="E30" s="97">
        <f>SUM($E$27:$E$29)</f>
        <v>0</v>
      </c>
      <c r="F30" s="97">
        <f>SUM($F$27:$F$29)</f>
        <v>100</v>
      </c>
      <c r="G30" s="97">
        <f>SUM($G$27:$G$29)</f>
        <v>100</v>
      </c>
      <c r="H30" s="97">
        <f>SUM($H$27:$H$29)</f>
        <v>99.999999996580101</v>
      </c>
      <c r="I30" s="95">
        <f>SUM($I$27:$I$29)</f>
        <v>99.999998649969186</v>
      </c>
      <c r="P30" s="50"/>
      <c r="Q30" s="50"/>
      <c r="R30" s="50"/>
    </row>
    <row r="31" spans="2:18">
      <c r="B31" s="54"/>
      <c r="C31" s="54"/>
      <c r="D31" s="54"/>
      <c r="E31" s="54"/>
      <c r="F31" s="54"/>
      <c r="G31" s="54"/>
      <c r="H31" s="54"/>
      <c r="I31" s="54"/>
      <c r="P31" s="50"/>
      <c r="Q31" s="50"/>
      <c r="R31" s="50"/>
    </row>
    <row r="32" spans="2:18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2">
        <v>26.000277050556484</v>
      </c>
      <c r="D37" s="92">
        <v>26.000277050556484</v>
      </c>
      <c r="E37" s="92">
        <v>26.000277050556484</v>
      </c>
      <c r="F37" s="92">
        <v>26.000277050556484</v>
      </c>
      <c r="G37" s="92">
        <v>26.000277050556484</v>
      </c>
      <c r="H37" s="92">
        <v>26.000277050556484</v>
      </c>
      <c r="I37" s="92">
        <v>26.000277050556484</v>
      </c>
      <c r="J37" s="92">
        <v>26.000277050556484</v>
      </c>
      <c r="K37" s="92">
        <v>26.000277050556484</v>
      </c>
      <c r="L37" s="92">
        <v>26.000277050556484</v>
      </c>
      <c r="M37" s="92">
        <v>26.000277050556484</v>
      </c>
      <c r="N37" s="92">
        <v>26.000277050556484</v>
      </c>
    </row>
    <row r="38" spans="2:14">
      <c r="B38" s="45" t="s">
        <v>46</v>
      </c>
      <c r="C38" s="92">
        <v>32.159633133702023</v>
      </c>
      <c r="D38" s="92">
        <v>32.159633133702023</v>
      </c>
      <c r="E38" s="92">
        <v>32.159633133702023</v>
      </c>
      <c r="F38" s="92">
        <v>32.159633133702023</v>
      </c>
      <c r="G38" s="92">
        <v>32.159633133702023</v>
      </c>
      <c r="H38" s="92">
        <v>32.159633133702023</v>
      </c>
      <c r="I38" s="92">
        <v>32.159633133702023</v>
      </c>
      <c r="J38" s="92">
        <v>32.159633133702023</v>
      </c>
      <c r="K38" s="92">
        <v>32.159633133702023</v>
      </c>
      <c r="L38" s="92">
        <v>32.159633133702023</v>
      </c>
      <c r="M38" s="92">
        <v>32.159633133702023</v>
      </c>
      <c r="N38" s="92">
        <v>32.159633133702023</v>
      </c>
    </row>
    <row r="39" spans="2:14">
      <c r="B39" s="45" t="s">
        <v>59</v>
      </c>
      <c r="C39" s="93">
        <v>37.67670338204011</v>
      </c>
      <c r="D39" s="93">
        <v>37.67670338204011</v>
      </c>
      <c r="E39" s="93">
        <v>37.67670338204011</v>
      </c>
      <c r="F39" s="93">
        <v>37.67670338204011</v>
      </c>
      <c r="G39" s="93">
        <v>37.67670338204011</v>
      </c>
      <c r="H39" s="93">
        <v>37.67670338204011</v>
      </c>
      <c r="I39" s="93">
        <v>37.67670338204011</v>
      </c>
      <c r="J39" s="93">
        <v>37.67670338204011</v>
      </c>
      <c r="K39" s="93">
        <v>37.67670338204011</v>
      </c>
      <c r="L39" s="93">
        <v>37.67670338204011</v>
      </c>
      <c r="M39" s="93">
        <v>37.67670338204011</v>
      </c>
      <c r="N39" s="93">
        <v>37.67670338204011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sheetProtection algorithmName="SHA-512" hashValue="t5ddBaJhJiGcqV/DcH9zu+pMHNjbcc84SzQgS8IBKlAZcpxx2jeQAfCxrAe0qQBPFOG6e+Vt3GlW4+NkB4UeIA==" saltValue="1OAXiYGpfCASH+CPRqespA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H11 C19 E19 G19 C27:I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topLeftCell="A4" workbookViewId="0">
      <selection activeCell="P24" sqref="P24"/>
    </sheetView>
  </sheetViews>
  <sheetFormatPr baseColWidth="10" defaultColWidth="8.83203125" defaultRowHeight="12" x14ac:dyDescent="0"/>
  <cols>
    <col min="1" max="2" width="4.6640625" style="29" customWidth="1"/>
    <col min="3" max="3" width="12.6640625" style="29" customWidth="1"/>
    <col min="4" max="15" width="8.6640625" style="29" customWidth="1"/>
    <col min="16" max="16384" width="8.83203125" style="29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8">
        <v>1.7</v>
      </c>
      <c r="E6" s="88">
        <v>1.7</v>
      </c>
      <c r="F6" s="88">
        <v>1.7</v>
      </c>
      <c r="G6" s="88">
        <v>1.7</v>
      </c>
      <c r="H6" s="88">
        <v>1.7</v>
      </c>
      <c r="I6" s="88">
        <v>1.7</v>
      </c>
      <c r="J6" s="88">
        <v>1.7</v>
      </c>
      <c r="K6" s="88">
        <v>1.7</v>
      </c>
      <c r="L6" s="88">
        <v>1.7</v>
      </c>
      <c r="M6" s="88">
        <v>1.7</v>
      </c>
      <c r="N6" s="88">
        <v>1.7</v>
      </c>
      <c r="O6" s="88">
        <v>1.7</v>
      </c>
    </row>
    <row r="7" spans="2:15">
      <c r="C7" s="36" t="s">
        <v>127</v>
      </c>
      <c r="D7" s="88">
        <v>2</v>
      </c>
      <c r="E7" s="88">
        <v>2</v>
      </c>
      <c r="F7" s="88">
        <v>2</v>
      </c>
      <c r="G7" s="88">
        <v>2</v>
      </c>
      <c r="H7" s="88">
        <v>2</v>
      </c>
      <c r="I7" s="88">
        <v>2</v>
      </c>
      <c r="J7" s="88">
        <v>2</v>
      </c>
      <c r="K7" s="88">
        <v>2</v>
      </c>
      <c r="L7" s="88">
        <v>2</v>
      </c>
      <c r="M7" s="88">
        <v>2</v>
      </c>
      <c r="N7" s="88">
        <v>2</v>
      </c>
      <c r="O7" s="88">
        <v>2</v>
      </c>
    </row>
    <row r="8" spans="2:15">
      <c r="C8" s="36" t="s">
        <v>128</v>
      </c>
      <c r="D8" s="88">
        <v>2.25</v>
      </c>
      <c r="E8" s="88">
        <v>2.25</v>
      </c>
      <c r="F8" s="88">
        <v>2.25</v>
      </c>
      <c r="G8" s="88">
        <v>2.25</v>
      </c>
      <c r="H8" s="88">
        <v>2.25</v>
      </c>
      <c r="I8" s="88">
        <v>2.25</v>
      </c>
      <c r="J8" s="88">
        <v>2.25</v>
      </c>
      <c r="K8" s="88">
        <v>2.25</v>
      </c>
      <c r="L8" s="88">
        <v>2.25</v>
      </c>
      <c r="M8" s="88">
        <v>2.25</v>
      </c>
      <c r="N8" s="88">
        <v>2.25</v>
      </c>
      <c r="O8" s="88">
        <v>2.25</v>
      </c>
    </row>
    <row r="9" spans="2:15">
      <c r="C9" s="36" t="s">
        <v>129</v>
      </c>
      <c r="D9" s="88">
        <v>2.25</v>
      </c>
      <c r="E9" s="88">
        <v>2.25</v>
      </c>
      <c r="F9" s="88">
        <v>2.25</v>
      </c>
      <c r="G9" s="88">
        <v>2.25</v>
      </c>
      <c r="H9" s="88">
        <v>2.25</v>
      </c>
      <c r="I9" s="88">
        <v>2.25</v>
      </c>
      <c r="J9" s="88">
        <v>2.25</v>
      </c>
      <c r="K9" s="88">
        <v>2.25</v>
      </c>
      <c r="L9" s="88">
        <v>2.25</v>
      </c>
      <c r="M9" s="88">
        <v>2.25</v>
      </c>
      <c r="N9" s="88">
        <v>2.25</v>
      </c>
      <c r="O9" s="88">
        <v>2.25</v>
      </c>
    </row>
    <row r="10" spans="2:15">
      <c r="C10" s="36" t="s">
        <v>130</v>
      </c>
      <c r="D10" s="88">
        <v>2.5</v>
      </c>
      <c r="E10" s="88">
        <v>2.5</v>
      </c>
      <c r="F10" s="88">
        <v>2.5</v>
      </c>
      <c r="G10" s="88">
        <v>2.5</v>
      </c>
      <c r="H10" s="88">
        <v>2.5</v>
      </c>
      <c r="I10" s="88">
        <v>2.5</v>
      </c>
      <c r="J10" s="88">
        <v>2.5</v>
      </c>
      <c r="K10" s="88">
        <v>2.5</v>
      </c>
      <c r="L10" s="88">
        <v>2.5</v>
      </c>
      <c r="M10" s="88">
        <v>2.5</v>
      </c>
      <c r="N10" s="88">
        <v>2.5</v>
      </c>
      <c r="O10" s="88">
        <v>2.5</v>
      </c>
    </row>
    <row r="11" spans="2:15">
      <c r="C11" s="36" t="s">
        <v>131</v>
      </c>
      <c r="D11" s="88">
        <v>2.6</v>
      </c>
      <c r="E11" s="88">
        <v>2.6</v>
      </c>
      <c r="F11" s="88">
        <v>2.6</v>
      </c>
      <c r="G11" s="88">
        <v>2.6</v>
      </c>
      <c r="H11" s="88">
        <v>2.6</v>
      </c>
      <c r="I11" s="88">
        <v>2.6</v>
      </c>
      <c r="J11" s="88">
        <v>2.6</v>
      </c>
      <c r="K11" s="88">
        <v>2.6</v>
      </c>
      <c r="L11" s="88">
        <v>2.6</v>
      </c>
      <c r="M11" s="88">
        <v>2.6</v>
      </c>
      <c r="N11" s="88">
        <v>2.6</v>
      </c>
      <c r="O11" s="88">
        <v>2.6</v>
      </c>
    </row>
    <row r="12" spans="2:15">
      <c r="C12" s="37" t="s">
        <v>132</v>
      </c>
      <c r="D12" s="88">
        <v>2.7</v>
      </c>
      <c r="E12" s="88">
        <v>2.7</v>
      </c>
      <c r="F12" s="88">
        <v>2.7</v>
      </c>
      <c r="G12" s="88">
        <v>2.7</v>
      </c>
      <c r="H12" s="88">
        <v>2.7</v>
      </c>
      <c r="I12" s="88">
        <v>2.7</v>
      </c>
      <c r="J12" s="88">
        <v>2.7</v>
      </c>
      <c r="K12" s="88">
        <v>2.7</v>
      </c>
      <c r="L12" s="88">
        <v>2.7</v>
      </c>
      <c r="M12" s="88">
        <v>2.7</v>
      </c>
      <c r="N12" s="88">
        <v>2.7</v>
      </c>
      <c r="O12" s="88">
        <v>2.7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8">
        <v>3.3</v>
      </c>
      <c r="E15" s="88">
        <v>3.3</v>
      </c>
      <c r="F15" s="88">
        <v>3.3</v>
      </c>
      <c r="G15" s="88">
        <v>3.3</v>
      </c>
      <c r="H15" s="88">
        <v>3.3</v>
      </c>
      <c r="I15" s="88">
        <v>3.3</v>
      </c>
      <c r="J15" s="88">
        <v>3.3</v>
      </c>
      <c r="K15" s="88">
        <v>3.3</v>
      </c>
      <c r="L15" s="88">
        <v>3.3</v>
      </c>
      <c r="M15" s="88">
        <v>3.3</v>
      </c>
      <c r="N15" s="88">
        <v>3.3</v>
      </c>
      <c r="O15" s="88">
        <v>3.3</v>
      </c>
    </row>
    <row r="16" spans="2:15">
      <c r="C16" s="36" t="s">
        <v>127</v>
      </c>
      <c r="D16" s="88">
        <v>3.3</v>
      </c>
      <c r="E16" s="88">
        <v>3.3</v>
      </c>
      <c r="F16" s="88">
        <v>3.3</v>
      </c>
      <c r="G16" s="88">
        <v>3.3</v>
      </c>
      <c r="H16" s="88">
        <v>3.3</v>
      </c>
      <c r="I16" s="88">
        <v>3.3</v>
      </c>
      <c r="J16" s="88">
        <v>3.3</v>
      </c>
      <c r="K16" s="88">
        <v>3.3</v>
      </c>
      <c r="L16" s="88">
        <v>3.3</v>
      </c>
      <c r="M16" s="88">
        <v>3.3</v>
      </c>
      <c r="N16" s="88">
        <v>3.3</v>
      </c>
      <c r="O16" s="88">
        <v>3.3</v>
      </c>
    </row>
    <row r="17" spans="2:15">
      <c r="C17" s="36" t="s">
        <v>128</v>
      </c>
      <c r="D17" s="88">
        <v>3.3</v>
      </c>
      <c r="E17" s="88">
        <v>3.3</v>
      </c>
      <c r="F17" s="88">
        <v>3.3</v>
      </c>
      <c r="G17" s="88">
        <v>3.3</v>
      </c>
      <c r="H17" s="88">
        <v>3.3</v>
      </c>
      <c r="I17" s="88">
        <v>3.3</v>
      </c>
      <c r="J17" s="88">
        <v>3.3</v>
      </c>
      <c r="K17" s="88">
        <v>3.3</v>
      </c>
      <c r="L17" s="88">
        <v>3.3</v>
      </c>
      <c r="M17" s="88">
        <v>3.3</v>
      </c>
      <c r="N17" s="88">
        <v>3.3</v>
      </c>
      <c r="O17" s="88">
        <v>3.3</v>
      </c>
    </row>
    <row r="18" spans="2:15">
      <c r="C18" s="36" t="s">
        <v>129</v>
      </c>
      <c r="D18" s="88">
        <v>3.3</v>
      </c>
      <c r="E18" s="88">
        <v>3.3</v>
      </c>
      <c r="F18" s="88">
        <v>3.3</v>
      </c>
      <c r="G18" s="88">
        <v>3.3</v>
      </c>
      <c r="H18" s="88">
        <v>3.3</v>
      </c>
      <c r="I18" s="88">
        <v>3.3</v>
      </c>
      <c r="J18" s="88">
        <v>3.3</v>
      </c>
      <c r="K18" s="88">
        <v>3.3</v>
      </c>
      <c r="L18" s="88">
        <v>3.3</v>
      </c>
      <c r="M18" s="88">
        <v>3.3</v>
      </c>
      <c r="N18" s="88">
        <v>3.3</v>
      </c>
      <c r="O18" s="88">
        <v>3.3</v>
      </c>
    </row>
    <row r="19" spans="2:15">
      <c r="C19" s="36" t="s">
        <v>130</v>
      </c>
      <c r="D19" s="88">
        <v>3.3</v>
      </c>
      <c r="E19" s="88">
        <v>3.3</v>
      </c>
      <c r="F19" s="88">
        <v>3.3</v>
      </c>
      <c r="G19" s="88">
        <v>3.3</v>
      </c>
      <c r="H19" s="88">
        <v>3.3</v>
      </c>
      <c r="I19" s="88">
        <v>3.3</v>
      </c>
      <c r="J19" s="88">
        <v>3.3</v>
      </c>
      <c r="K19" s="88">
        <v>3.3</v>
      </c>
      <c r="L19" s="88">
        <v>3.3</v>
      </c>
      <c r="M19" s="88">
        <v>3.3</v>
      </c>
      <c r="N19" s="88">
        <v>3.3</v>
      </c>
      <c r="O19" s="88">
        <v>3.3</v>
      </c>
    </row>
    <row r="20" spans="2:15">
      <c r="C20" s="36" t="s">
        <v>131</v>
      </c>
      <c r="D20" s="88">
        <v>3.2</v>
      </c>
      <c r="E20" s="88">
        <v>3.2</v>
      </c>
      <c r="F20" s="88">
        <v>3.2</v>
      </c>
      <c r="G20" s="88">
        <v>3.2</v>
      </c>
      <c r="H20" s="88">
        <v>3.2</v>
      </c>
      <c r="I20" s="88">
        <v>3.2</v>
      </c>
      <c r="J20" s="88">
        <v>3.2</v>
      </c>
      <c r="K20" s="88">
        <v>3.2</v>
      </c>
      <c r="L20" s="88">
        <v>3.2</v>
      </c>
      <c r="M20" s="88">
        <v>3.2</v>
      </c>
      <c r="N20" s="88">
        <v>3.2</v>
      </c>
      <c r="O20" s="88">
        <v>3.2</v>
      </c>
    </row>
    <row r="21" spans="2:15">
      <c r="C21" s="37" t="s">
        <v>132</v>
      </c>
      <c r="D21" s="88">
        <v>3.2</v>
      </c>
      <c r="E21" s="88">
        <v>3.2</v>
      </c>
      <c r="F21" s="88">
        <v>3.2</v>
      </c>
      <c r="G21" s="88">
        <v>3.2</v>
      </c>
      <c r="H21" s="88">
        <v>3.2</v>
      </c>
      <c r="I21" s="88">
        <v>3.2</v>
      </c>
      <c r="J21" s="88">
        <v>3.2</v>
      </c>
      <c r="K21" s="88">
        <v>3.2</v>
      </c>
      <c r="L21" s="88">
        <v>3.2</v>
      </c>
      <c r="M21" s="88">
        <v>3.2</v>
      </c>
      <c r="N21" s="88">
        <v>3.2</v>
      </c>
      <c r="O21" s="88">
        <v>3.2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8">
        <v>3.9</v>
      </c>
      <c r="E24" s="88">
        <v>3.9</v>
      </c>
      <c r="F24" s="88">
        <v>3.9</v>
      </c>
      <c r="G24" s="88">
        <v>3.9</v>
      </c>
      <c r="H24" s="88">
        <v>3.9</v>
      </c>
      <c r="I24" s="88">
        <v>3.9</v>
      </c>
      <c r="J24" s="88">
        <v>3.9</v>
      </c>
      <c r="K24" s="88">
        <v>3.9</v>
      </c>
      <c r="L24" s="88">
        <v>3.9</v>
      </c>
      <c r="M24" s="88">
        <v>3.9</v>
      </c>
      <c r="N24" s="88">
        <v>3.9</v>
      </c>
      <c r="O24" s="88">
        <v>3.9</v>
      </c>
    </row>
    <row r="25" spans="2:15">
      <c r="C25" s="36" t="s">
        <v>127</v>
      </c>
      <c r="D25" s="88">
        <v>3.9</v>
      </c>
      <c r="E25" s="88">
        <v>3.9</v>
      </c>
      <c r="F25" s="88">
        <v>3.9</v>
      </c>
      <c r="G25" s="88">
        <v>3.9</v>
      </c>
      <c r="H25" s="88">
        <v>3.9</v>
      </c>
      <c r="I25" s="88">
        <v>3.9</v>
      </c>
      <c r="J25" s="88">
        <v>3.9</v>
      </c>
      <c r="K25" s="88">
        <v>3.9</v>
      </c>
      <c r="L25" s="88">
        <v>3.9</v>
      </c>
      <c r="M25" s="88">
        <v>3.9</v>
      </c>
      <c r="N25" s="88">
        <v>3.9</v>
      </c>
      <c r="O25" s="88">
        <v>3.9</v>
      </c>
    </row>
    <row r="26" spans="2:15">
      <c r="C26" s="36" t="s">
        <v>128</v>
      </c>
      <c r="D26" s="88">
        <v>3.9</v>
      </c>
      <c r="E26" s="88">
        <v>3.9</v>
      </c>
      <c r="F26" s="88">
        <v>3.9</v>
      </c>
      <c r="G26" s="88">
        <v>3.9</v>
      </c>
      <c r="H26" s="88">
        <v>3.9</v>
      </c>
      <c r="I26" s="88">
        <v>3.9</v>
      </c>
      <c r="J26" s="88">
        <v>3.9</v>
      </c>
      <c r="K26" s="88">
        <v>3.9</v>
      </c>
      <c r="L26" s="88">
        <v>3.9</v>
      </c>
      <c r="M26" s="88">
        <v>3.9</v>
      </c>
      <c r="N26" s="88">
        <v>3.9</v>
      </c>
      <c r="O26" s="88">
        <v>3.9</v>
      </c>
    </row>
    <row r="27" spans="2:15">
      <c r="C27" s="36" t="s">
        <v>129</v>
      </c>
      <c r="D27" s="88">
        <v>3.9</v>
      </c>
      <c r="E27" s="88">
        <v>3.9</v>
      </c>
      <c r="F27" s="88">
        <v>3.9</v>
      </c>
      <c r="G27" s="88">
        <v>3.9</v>
      </c>
      <c r="H27" s="88">
        <v>3.9</v>
      </c>
      <c r="I27" s="88">
        <v>3.9</v>
      </c>
      <c r="J27" s="88">
        <v>3.9</v>
      </c>
      <c r="K27" s="88">
        <v>3.9</v>
      </c>
      <c r="L27" s="88">
        <v>3.9</v>
      </c>
      <c r="M27" s="88">
        <v>3.9</v>
      </c>
      <c r="N27" s="88">
        <v>3.9</v>
      </c>
      <c r="O27" s="88">
        <v>3.9</v>
      </c>
    </row>
    <row r="28" spans="2:15">
      <c r="C28" s="36" t="s">
        <v>130</v>
      </c>
      <c r="D28" s="88">
        <v>3.9</v>
      </c>
      <c r="E28" s="88">
        <v>3.9</v>
      </c>
      <c r="F28" s="88">
        <v>3.9</v>
      </c>
      <c r="G28" s="88">
        <v>3.9</v>
      </c>
      <c r="H28" s="88">
        <v>3.9</v>
      </c>
      <c r="I28" s="88">
        <v>3.9</v>
      </c>
      <c r="J28" s="88">
        <v>3.9</v>
      </c>
      <c r="K28" s="88">
        <v>3.9</v>
      </c>
      <c r="L28" s="88">
        <v>3.9</v>
      </c>
      <c r="M28" s="88">
        <v>3.9</v>
      </c>
      <c r="N28" s="88">
        <v>3.9</v>
      </c>
      <c r="O28" s="88">
        <v>3.9</v>
      </c>
    </row>
    <row r="29" spans="2:15">
      <c r="C29" s="36" t="s">
        <v>131</v>
      </c>
      <c r="D29" s="88">
        <v>3.9</v>
      </c>
      <c r="E29" s="88">
        <v>3.9</v>
      </c>
      <c r="F29" s="88">
        <v>3.9</v>
      </c>
      <c r="G29" s="88">
        <v>3.9</v>
      </c>
      <c r="H29" s="88">
        <v>3.9</v>
      </c>
      <c r="I29" s="88">
        <v>3.9</v>
      </c>
      <c r="J29" s="88">
        <v>3.9</v>
      </c>
      <c r="K29" s="88">
        <v>3.9</v>
      </c>
      <c r="L29" s="88">
        <v>3.9</v>
      </c>
      <c r="M29" s="88">
        <v>3.9</v>
      </c>
      <c r="N29" s="88">
        <v>3.9</v>
      </c>
      <c r="O29" s="88">
        <v>3.9</v>
      </c>
    </row>
    <row r="30" spans="2:15">
      <c r="C30" s="37" t="s">
        <v>132</v>
      </c>
      <c r="D30" s="88">
        <v>3.9</v>
      </c>
      <c r="E30" s="88">
        <v>3.9</v>
      </c>
      <c r="F30" s="88">
        <v>3.9</v>
      </c>
      <c r="G30" s="88">
        <v>3.9</v>
      </c>
      <c r="H30" s="88">
        <v>3.9</v>
      </c>
      <c r="I30" s="88">
        <v>3.9</v>
      </c>
      <c r="J30" s="88">
        <v>3.9</v>
      </c>
      <c r="K30" s="88">
        <v>3.9</v>
      </c>
      <c r="L30" s="88">
        <v>3.9</v>
      </c>
      <c r="M30" s="88">
        <v>3.9</v>
      </c>
      <c r="N30" s="88">
        <v>3.9</v>
      </c>
      <c r="O30" s="88">
        <v>3.9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8">
        <v>2.7</v>
      </c>
      <c r="E33" s="88">
        <v>2.7</v>
      </c>
      <c r="F33" s="88">
        <v>2.7</v>
      </c>
      <c r="G33" s="88">
        <v>2.7</v>
      </c>
      <c r="H33" s="88">
        <v>2.7</v>
      </c>
      <c r="I33" s="88">
        <v>2.7</v>
      </c>
      <c r="J33" s="88">
        <v>2.7</v>
      </c>
      <c r="K33" s="88">
        <v>2.7</v>
      </c>
      <c r="L33" s="88">
        <v>2.7</v>
      </c>
      <c r="M33" s="88">
        <v>2.7</v>
      </c>
      <c r="N33" s="88">
        <v>2.7</v>
      </c>
      <c r="O33" s="88">
        <v>2.7</v>
      </c>
    </row>
    <row r="34" spans="3:15">
      <c r="C34" s="36" t="s">
        <v>127</v>
      </c>
      <c r="D34" s="88">
        <v>2.4</v>
      </c>
      <c r="E34" s="88">
        <v>2.4</v>
      </c>
      <c r="F34" s="88">
        <v>2.4</v>
      </c>
      <c r="G34" s="88">
        <v>2.4</v>
      </c>
      <c r="H34" s="88">
        <v>2.4</v>
      </c>
      <c r="I34" s="88">
        <v>2.4</v>
      </c>
      <c r="J34" s="88">
        <v>2.4</v>
      </c>
      <c r="K34" s="88">
        <v>2.4</v>
      </c>
      <c r="L34" s="88">
        <v>2.4</v>
      </c>
      <c r="M34" s="88">
        <v>2.4</v>
      </c>
      <c r="N34" s="88">
        <v>2.4</v>
      </c>
      <c r="O34" s="88">
        <v>2.4</v>
      </c>
    </row>
    <row r="35" spans="3:15">
      <c r="C35" s="36" t="s">
        <v>128</v>
      </c>
      <c r="D35" s="88">
        <v>2.2999999999999998</v>
      </c>
      <c r="E35" s="88">
        <v>2.2999999999999998</v>
      </c>
      <c r="F35" s="88">
        <v>2.2999999999999998</v>
      </c>
      <c r="G35" s="88">
        <v>2.2999999999999998</v>
      </c>
      <c r="H35" s="88">
        <v>2.2999999999999998</v>
      </c>
      <c r="I35" s="88">
        <v>2.2999999999999998</v>
      </c>
      <c r="J35" s="88">
        <v>2.2999999999999998</v>
      </c>
      <c r="K35" s="88">
        <v>2.2999999999999998</v>
      </c>
      <c r="L35" s="88">
        <v>2.2999999999999998</v>
      </c>
      <c r="M35" s="88">
        <v>2.2999999999999998</v>
      </c>
      <c r="N35" s="88">
        <v>2.2999999999999998</v>
      </c>
      <c r="O35" s="88">
        <v>2.2999999999999998</v>
      </c>
    </row>
    <row r="36" spans="3:15">
      <c r="C36" s="36" t="s">
        <v>129</v>
      </c>
      <c r="D36" s="88">
        <v>2.5</v>
      </c>
      <c r="E36" s="88">
        <v>2.5</v>
      </c>
      <c r="F36" s="88">
        <v>2.5</v>
      </c>
      <c r="G36" s="88">
        <v>2.5</v>
      </c>
      <c r="H36" s="88">
        <v>2.5</v>
      </c>
      <c r="I36" s="88">
        <v>2.5</v>
      </c>
      <c r="J36" s="88">
        <v>2.5</v>
      </c>
      <c r="K36" s="88">
        <v>2.5</v>
      </c>
      <c r="L36" s="88">
        <v>2.5</v>
      </c>
      <c r="M36" s="88">
        <v>2.5</v>
      </c>
      <c r="N36" s="88">
        <v>2.5</v>
      </c>
      <c r="O36" s="88">
        <v>2.5</v>
      </c>
    </row>
    <row r="37" spans="3:15">
      <c r="C37" s="36" t="s">
        <v>130</v>
      </c>
      <c r="D37" s="88">
        <v>2.6</v>
      </c>
      <c r="E37" s="88">
        <v>2.6</v>
      </c>
      <c r="F37" s="88">
        <v>2.6</v>
      </c>
      <c r="G37" s="88">
        <v>2.6</v>
      </c>
      <c r="H37" s="88">
        <v>2.6</v>
      </c>
      <c r="I37" s="88">
        <v>2.6</v>
      </c>
      <c r="J37" s="88">
        <v>2.6</v>
      </c>
      <c r="K37" s="88">
        <v>2.6</v>
      </c>
      <c r="L37" s="88">
        <v>2.6</v>
      </c>
      <c r="M37" s="88">
        <v>2.6</v>
      </c>
      <c r="N37" s="88">
        <v>2.6</v>
      </c>
      <c r="O37" s="88">
        <v>2.6</v>
      </c>
    </row>
    <row r="38" spans="3:15">
      <c r="C38" s="36" t="s">
        <v>131</v>
      </c>
      <c r="D38" s="88">
        <v>2.8</v>
      </c>
      <c r="E38" s="88">
        <v>2.8</v>
      </c>
      <c r="F38" s="88">
        <v>2.8</v>
      </c>
      <c r="G38" s="88">
        <v>2.8</v>
      </c>
      <c r="H38" s="88">
        <v>2.8</v>
      </c>
      <c r="I38" s="88">
        <v>2.8</v>
      </c>
      <c r="J38" s="88">
        <v>2.8</v>
      </c>
      <c r="K38" s="88">
        <v>2.8</v>
      </c>
      <c r="L38" s="88">
        <v>2.8</v>
      </c>
      <c r="M38" s="88">
        <v>2.8</v>
      </c>
      <c r="N38" s="88">
        <v>2.8</v>
      </c>
      <c r="O38" s="88">
        <v>2.8</v>
      </c>
    </row>
    <row r="39" spans="3:15">
      <c r="C39" s="37" t="s">
        <v>132</v>
      </c>
      <c r="D39" s="88">
        <v>2.6</v>
      </c>
      <c r="E39" s="88">
        <v>2.6</v>
      </c>
      <c r="F39" s="88">
        <v>2.6</v>
      </c>
      <c r="G39" s="88">
        <v>2.6</v>
      </c>
      <c r="H39" s="88">
        <v>2.6</v>
      </c>
      <c r="I39" s="88">
        <v>2.6</v>
      </c>
      <c r="J39" s="88">
        <v>2.6</v>
      </c>
      <c r="K39" s="88">
        <v>2.6</v>
      </c>
      <c r="L39" s="88">
        <v>2.6</v>
      </c>
      <c r="M39" s="88">
        <v>2.6</v>
      </c>
      <c r="N39" s="88">
        <v>2.6</v>
      </c>
      <c r="O39" s="88">
        <v>2.6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nHB736ZYd17S1SAvEIL/480XpJapAeFyRWVVTdEXWdiX1OH9gK3YybEF2efhKRBqxjq9K3v4Xah5ie9Z3vk2mg==" saltValue="Yx+0kCpHaiUPff/U/2FR5w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basic_info</vt:lpstr>
      <vt:lpstr>facilities</vt:lpstr>
      <vt:lpstr>raw_materials</vt:lpstr>
      <vt:lpstr>shipping_manufacturing</vt:lpstr>
      <vt:lpstr>pricing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Student</cp:lastModifiedBy>
  <dcterms:created xsi:type="dcterms:W3CDTF">2003-07-09T21:14:27Z</dcterms:created>
  <dcterms:modified xsi:type="dcterms:W3CDTF">2014-12-09T16:57:15Z</dcterms:modified>
</cp:coreProperties>
</file>