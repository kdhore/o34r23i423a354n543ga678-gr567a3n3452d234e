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autoCompressPictures="0"/>
  <bookViews>
    <workbookView xWindow="480" yWindow="480" windowWidth="20730" windowHeight="11760" tabRatio="500" activeTab="2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8" i="1" l="1"/>
  <c r="P36" i="1" l="1"/>
  <c r="P37" i="1"/>
  <c r="P38" i="1"/>
  <c r="P39" i="1"/>
  <c r="P40" i="1"/>
  <c r="N28" i="1"/>
  <c r="L28" i="1"/>
  <c r="H28" i="1"/>
  <c r="F28" i="1"/>
  <c r="D28" i="1"/>
  <c r="C41" i="1"/>
  <c r="C40" i="1"/>
  <c r="C39" i="1"/>
  <c r="C38" i="1"/>
  <c r="C37" i="1"/>
  <c r="C36" i="1"/>
  <c r="C35" i="1"/>
  <c r="C34" i="1"/>
  <c r="C33" i="1"/>
  <c r="C32" i="1"/>
  <c r="C31" i="1"/>
  <c r="C30" i="1"/>
  <c r="I30" i="4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107" i="3" s="1"/>
  <c r="G37" i="3"/>
  <c r="H37" i="3" s="1"/>
  <c r="G38" i="3"/>
  <c r="G39" i="3"/>
  <c r="G40" i="3"/>
  <c r="H40" i="3" s="1"/>
  <c r="G41" i="3"/>
  <c r="H41" i="3" s="1"/>
  <c r="G42" i="3"/>
  <c r="G43" i="3"/>
  <c r="G44" i="3"/>
  <c r="H44" i="3" s="1"/>
  <c r="G45" i="3"/>
  <c r="H45" i="3" s="1"/>
  <c r="G46" i="3"/>
  <c r="G47" i="3"/>
  <c r="G48" i="3"/>
  <c r="H48" i="3" s="1"/>
  <c r="G49" i="3"/>
  <c r="H49" i="3" s="1"/>
  <c r="G50" i="3"/>
  <c r="G51" i="3"/>
  <c r="G52" i="3"/>
  <c r="H52" i="3" s="1"/>
  <c r="G53" i="3"/>
  <c r="H53" i="3" s="1"/>
  <c r="G54" i="3"/>
  <c r="G55" i="3"/>
  <c r="G56" i="3"/>
  <c r="H56" i="3" s="1"/>
  <c r="G57" i="3"/>
  <c r="H57" i="3" s="1"/>
  <c r="G58" i="3"/>
  <c r="G59" i="3"/>
  <c r="G60" i="3"/>
  <c r="H60" i="3" s="1"/>
  <c r="G61" i="3"/>
  <c r="H61" i="3" s="1"/>
  <c r="G62" i="3"/>
  <c r="G63" i="3"/>
  <c r="G64" i="3"/>
  <c r="H64" i="3" s="1"/>
  <c r="G65" i="3"/>
  <c r="H65" i="3" s="1"/>
  <c r="G66" i="3"/>
  <c r="G67" i="3"/>
  <c r="G68" i="3"/>
  <c r="H68" i="3" s="1"/>
  <c r="G69" i="3"/>
  <c r="H69" i="3" s="1"/>
  <c r="G70" i="3"/>
  <c r="G71" i="3"/>
  <c r="G72" i="3"/>
  <c r="H72" i="3" s="1"/>
  <c r="G73" i="3"/>
  <c r="H73" i="3" s="1"/>
  <c r="G74" i="3"/>
  <c r="G75" i="3"/>
  <c r="G76" i="3"/>
  <c r="H76" i="3" s="1"/>
  <c r="G77" i="3"/>
  <c r="H77" i="3" s="1"/>
  <c r="G78" i="3"/>
  <c r="G79" i="3"/>
  <c r="G80" i="3"/>
  <c r="H80" i="3" s="1"/>
  <c r="G81" i="3"/>
  <c r="H81" i="3" s="1"/>
  <c r="G82" i="3"/>
  <c r="G83" i="3"/>
  <c r="G84" i="3"/>
  <c r="H84" i="3" s="1"/>
  <c r="G85" i="3"/>
  <c r="H85" i="3" s="1"/>
  <c r="G86" i="3"/>
  <c r="G87" i="3"/>
  <c r="G88" i="3"/>
  <c r="H88" i="3" s="1"/>
  <c r="G89" i="3"/>
  <c r="H89" i="3" s="1"/>
  <c r="G90" i="3"/>
  <c r="G91" i="3"/>
  <c r="G92" i="3"/>
  <c r="H92" i="3" s="1"/>
  <c r="G93" i="3"/>
  <c r="H93" i="3" s="1"/>
  <c r="G94" i="3"/>
  <c r="G95" i="3"/>
  <c r="G96" i="3"/>
  <c r="H96" i="3" s="1"/>
  <c r="G97" i="3"/>
  <c r="H97" i="3" s="1"/>
  <c r="G98" i="3"/>
  <c r="G99" i="3"/>
  <c r="G100" i="3"/>
  <c r="H100" i="3" s="1"/>
  <c r="G101" i="3"/>
  <c r="H101" i="3" s="1"/>
  <c r="G102" i="3"/>
  <c r="G103" i="3"/>
  <c r="G104" i="3"/>
  <c r="H104" i="3" s="1"/>
  <c r="G105" i="3"/>
  <c r="H105" i="3" s="1"/>
  <c r="G106" i="3"/>
  <c r="D107" i="3"/>
  <c r="H106" i="3"/>
  <c r="H103" i="3"/>
  <c r="H102" i="3"/>
  <c r="H99" i="3"/>
  <c r="H98" i="3"/>
  <c r="H95" i="3"/>
  <c r="H94" i="3"/>
  <c r="H91" i="3"/>
  <c r="H90" i="3"/>
  <c r="H87" i="3"/>
  <c r="H86" i="3"/>
  <c r="H83" i="3"/>
  <c r="H82" i="3"/>
  <c r="H79" i="3"/>
  <c r="H78" i="3"/>
  <c r="H75" i="3"/>
  <c r="H74" i="3"/>
  <c r="H71" i="3"/>
  <c r="H70" i="3"/>
  <c r="H67" i="3"/>
  <c r="H66" i="3"/>
  <c r="H63" i="3"/>
  <c r="H62" i="3"/>
  <c r="H59" i="3"/>
  <c r="H58" i="3"/>
  <c r="H55" i="3"/>
  <c r="H54" i="3"/>
  <c r="H51" i="3"/>
  <c r="H50" i="3"/>
  <c r="H47" i="3"/>
  <c r="H46" i="3"/>
  <c r="H43" i="3"/>
  <c r="H42" i="3"/>
  <c r="H39" i="3"/>
  <c r="H38" i="3"/>
  <c r="D31" i="3"/>
  <c r="G30" i="3"/>
  <c r="G29" i="3"/>
  <c r="G28" i="3"/>
  <c r="G27" i="3"/>
  <c r="G26" i="3"/>
  <c r="G25" i="3"/>
  <c r="G24" i="3"/>
  <c r="G23" i="3"/>
  <c r="G22" i="3"/>
  <c r="G21" i="3"/>
  <c r="G6" i="3"/>
  <c r="G7" i="3"/>
  <c r="H7" i="3" s="1"/>
  <c r="G8" i="3"/>
  <c r="H8" i="3" s="1"/>
  <c r="G9" i="3"/>
  <c r="G10" i="3"/>
  <c r="G11" i="3"/>
  <c r="H11" i="3" s="1"/>
  <c r="G12" i="3"/>
  <c r="H12" i="3" s="1"/>
  <c r="G13" i="3"/>
  <c r="G14" i="3"/>
  <c r="G15" i="3"/>
  <c r="H15" i="3" s="1"/>
  <c r="G16" i="3"/>
  <c r="D16" i="3"/>
  <c r="H14" i="3"/>
  <c r="H13" i="3"/>
  <c r="H10" i="3"/>
  <c r="H9" i="3"/>
  <c r="H6" i="3"/>
  <c r="O48" i="1"/>
  <c r="O47" i="1"/>
  <c r="P41" i="1"/>
  <c r="P35" i="1"/>
  <c r="P34" i="1"/>
  <c r="P33" i="1"/>
  <c r="P32" i="1"/>
  <c r="P31" i="1"/>
  <c r="P30" i="1"/>
  <c r="H36" i="3" l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<sst xmlns="http://schemas.openxmlformats.org/spreadsheetml/2006/main" count="516" uniqueCount="167">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</sst>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5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97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0" borderId="21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2" xfId="0" applyFill="1" applyBorder="1"/>
    <xf numFmtId="0" fontId="0" fillId="3" borderId="23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3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2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2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0" fillId="3" borderId="2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5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D5" sqref="D5:F5"/>
    </sheetView>
  </sheetViews>
  <sheetFormatPr defaultColWidth="8.875" defaultRowHeight="15.75" x14ac:dyDescent="0.25"/>
  <cols>
    <col min="1" max="1" width="4.625" customWidth="1"/>
  </cols>
  <sheetData>
    <row r="2" spans="2:6" x14ac:dyDescent="0.25">
      <c r="B2" s="45" t="s">
        <v>39</v>
      </c>
    </row>
    <row r="3" spans="2:6" x14ac:dyDescent="0.25">
      <c r="B3" s="46"/>
      <c r="C3" s="47"/>
      <c r="D3" s="47"/>
      <c r="E3" s="47"/>
      <c r="F3" s="47"/>
    </row>
    <row r="4" spans="2:6" x14ac:dyDescent="0.25">
      <c r="B4" s="48"/>
      <c r="C4" s="49" t="s">
        <v>40</v>
      </c>
      <c r="D4" s="91" t="s">
        <v>41</v>
      </c>
      <c r="E4" s="92"/>
      <c r="F4" s="93"/>
    </row>
    <row r="5" spans="2:6" x14ac:dyDescent="0.25">
      <c r="B5" s="50"/>
      <c r="C5" s="51" t="s">
        <v>42</v>
      </c>
      <c r="D5" s="94">
        <v>2019</v>
      </c>
      <c r="E5" s="95"/>
      <c r="F5" s="96"/>
    </row>
    <row r="6" spans="2:6" x14ac:dyDescent="0.25">
      <c r="B6" s="47"/>
      <c r="C6" s="47"/>
      <c r="D6" s="47"/>
      <c r="E6" s="47"/>
      <c r="F6" s="47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workbookViewId="0">
      <selection sqref="A1:XFD1048576"/>
    </sheetView>
  </sheetViews>
  <sheetFormatPr defaultColWidth="8.875" defaultRowHeight="15.75" x14ac:dyDescent="0.25"/>
  <cols>
    <col min="1" max="1" width="4.625" style="53" customWidth="1"/>
    <col min="2" max="2" width="8" style="53" bestFit="1" customWidth="1"/>
    <col min="3" max="3" width="15.625" style="53" bestFit="1" customWidth="1"/>
    <col min="4" max="4" width="8.625" style="53" customWidth="1"/>
    <col min="5" max="5" width="4.5" style="53" customWidth="1"/>
    <col min="6" max="6" width="3.375" style="53" bestFit="1" customWidth="1"/>
    <col min="7" max="7" width="8.625" style="53" customWidth="1"/>
    <col min="8" max="8" width="9.5" style="53" customWidth="1"/>
    <col min="9" max="16384" width="8.875" style="53"/>
  </cols>
  <sheetData>
    <row r="2" spans="2:8" x14ac:dyDescent="0.25">
      <c r="B2" s="52" t="s">
        <v>43</v>
      </c>
    </row>
    <row r="3" spans="2:8" x14ac:dyDescent="0.25">
      <c r="B3" s="54" t="s">
        <v>44</v>
      </c>
    </row>
    <row r="4" spans="2:8" x14ac:dyDescent="0.25">
      <c r="B4" s="55"/>
      <c r="C4" s="56"/>
      <c r="D4" s="56"/>
      <c r="E4" s="56"/>
      <c r="F4" s="56"/>
      <c r="G4" s="56"/>
      <c r="H4" s="56"/>
    </row>
    <row r="5" spans="2:8" x14ac:dyDescent="0.25">
      <c r="B5" s="57" t="s">
        <v>45</v>
      </c>
      <c r="C5" s="57" t="s">
        <v>46</v>
      </c>
      <c r="D5" s="57" t="s">
        <v>47</v>
      </c>
      <c r="E5" s="57"/>
      <c r="F5" s="57"/>
      <c r="G5" s="57" t="s">
        <v>48</v>
      </c>
      <c r="H5" s="57"/>
    </row>
    <row r="6" spans="2:8" x14ac:dyDescent="0.25">
      <c r="B6" s="58" t="s">
        <v>49</v>
      </c>
      <c r="C6" s="59"/>
      <c r="D6" s="60">
        <v>200</v>
      </c>
      <c r="E6" s="60" t="s">
        <v>50</v>
      </c>
      <c r="F6" s="60" t="s">
        <v>51</v>
      </c>
      <c r="G6" s="60">
        <f t="shared" ref="G6:G15" si="0">$D6+$C6</f>
        <v>200</v>
      </c>
      <c r="H6" s="61" t="str">
        <f t="shared" ref="H6:H15" si="1">IF(AND($D6=0, $G6&gt;0),"new", IF(AND($D6&gt;0, $G6=0),"sold",""))</f>
        <v/>
      </c>
    </row>
    <row r="7" spans="2:8" x14ac:dyDescent="0.25">
      <c r="B7" s="58" t="s">
        <v>52</v>
      </c>
      <c r="C7" s="59"/>
      <c r="D7" s="60">
        <v>0</v>
      </c>
      <c r="E7" s="60" t="s">
        <v>50</v>
      </c>
      <c r="F7" s="60" t="s">
        <v>51</v>
      </c>
      <c r="G7" s="60">
        <f t="shared" si="0"/>
        <v>0</v>
      </c>
      <c r="H7" s="62" t="str">
        <f t="shared" si="1"/>
        <v/>
      </c>
    </row>
    <row r="8" spans="2:8" x14ac:dyDescent="0.25">
      <c r="B8" s="58" t="s">
        <v>53</v>
      </c>
      <c r="C8" s="59"/>
      <c r="D8" s="60">
        <v>0</v>
      </c>
      <c r="E8" s="60" t="s">
        <v>50</v>
      </c>
      <c r="F8" s="60" t="s">
        <v>51</v>
      </c>
      <c r="G8" s="60">
        <f t="shared" si="0"/>
        <v>0</v>
      </c>
      <c r="H8" s="62" t="str">
        <f t="shared" si="1"/>
        <v/>
      </c>
    </row>
    <row r="9" spans="2:8" x14ac:dyDescent="0.25">
      <c r="B9" s="58" t="s">
        <v>54</v>
      </c>
      <c r="C9" s="59"/>
      <c r="D9" s="60">
        <v>0</v>
      </c>
      <c r="E9" s="60" t="s">
        <v>50</v>
      </c>
      <c r="F9" s="60" t="s">
        <v>51</v>
      </c>
      <c r="G9" s="60">
        <f t="shared" si="0"/>
        <v>0</v>
      </c>
      <c r="H9" s="62" t="str">
        <f t="shared" si="1"/>
        <v/>
      </c>
    </row>
    <row r="10" spans="2:8" x14ac:dyDescent="0.25">
      <c r="B10" s="58" t="s">
        <v>55</v>
      </c>
      <c r="C10" s="59"/>
      <c r="D10" s="60">
        <v>600</v>
      </c>
      <c r="E10" s="60" t="s">
        <v>50</v>
      </c>
      <c r="F10" s="60" t="s">
        <v>51</v>
      </c>
      <c r="G10" s="60">
        <f t="shared" si="0"/>
        <v>600</v>
      </c>
      <c r="H10" s="62" t="str">
        <f t="shared" si="1"/>
        <v/>
      </c>
    </row>
    <row r="11" spans="2:8" x14ac:dyDescent="0.25">
      <c r="B11" s="58" t="s">
        <v>56</v>
      </c>
      <c r="C11" s="59"/>
      <c r="D11" s="60">
        <v>0</v>
      </c>
      <c r="E11" s="60" t="s">
        <v>50</v>
      </c>
      <c r="F11" s="60" t="s">
        <v>51</v>
      </c>
      <c r="G11" s="60">
        <f t="shared" si="0"/>
        <v>0</v>
      </c>
      <c r="H11" s="62" t="str">
        <f t="shared" si="1"/>
        <v/>
      </c>
    </row>
    <row r="12" spans="2:8" x14ac:dyDescent="0.25">
      <c r="B12" s="58" t="s">
        <v>57</v>
      </c>
      <c r="C12" s="59"/>
      <c r="D12" s="60">
        <v>3589</v>
      </c>
      <c r="E12" s="60" t="s">
        <v>50</v>
      </c>
      <c r="F12" s="60" t="s">
        <v>51</v>
      </c>
      <c r="G12" s="60">
        <f t="shared" si="0"/>
        <v>3589</v>
      </c>
      <c r="H12" s="62" t="str">
        <f t="shared" si="1"/>
        <v/>
      </c>
    </row>
    <row r="13" spans="2:8" x14ac:dyDescent="0.25">
      <c r="B13" s="58" t="s">
        <v>58</v>
      </c>
      <c r="C13" s="59"/>
      <c r="D13" s="60">
        <v>0</v>
      </c>
      <c r="E13" s="60" t="s">
        <v>50</v>
      </c>
      <c r="F13" s="60" t="s">
        <v>51</v>
      </c>
      <c r="G13" s="60">
        <f t="shared" si="0"/>
        <v>0</v>
      </c>
      <c r="H13" s="62" t="str">
        <f t="shared" si="1"/>
        <v/>
      </c>
    </row>
    <row r="14" spans="2:8" x14ac:dyDescent="0.25">
      <c r="B14" s="58" t="s">
        <v>59</v>
      </c>
      <c r="C14" s="59"/>
      <c r="D14" s="60">
        <v>0</v>
      </c>
      <c r="E14" s="60" t="s">
        <v>50</v>
      </c>
      <c r="F14" s="60" t="s">
        <v>51</v>
      </c>
      <c r="G14" s="60">
        <f t="shared" si="0"/>
        <v>0</v>
      </c>
      <c r="H14" s="62" t="str">
        <f t="shared" si="1"/>
        <v/>
      </c>
    </row>
    <row r="15" spans="2:8" x14ac:dyDescent="0.25">
      <c r="B15" s="63" t="s">
        <v>60</v>
      </c>
      <c r="C15" s="59"/>
      <c r="D15" s="60">
        <v>0</v>
      </c>
      <c r="E15" s="60" t="s">
        <v>50</v>
      </c>
      <c r="F15" s="64" t="s">
        <v>51</v>
      </c>
      <c r="G15" s="60">
        <f t="shared" si="0"/>
        <v>0</v>
      </c>
      <c r="H15" s="65" t="str">
        <f t="shared" si="1"/>
        <v/>
      </c>
    </row>
    <row r="16" spans="2:8" x14ac:dyDescent="0.25">
      <c r="B16" s="66"/>
      <c r="C16" s="66"/>
      <c r="D16" s="66">
        <f>COUNTIF($D$6:$D$15,"&gt;0")</f>
        <v>3</v>
      </c>
      <c r="E16" s="66" t="s">
        <v>61</v>
      </c>
      <c r="F16" s="56"/>
      <c r="G16" s="66">
        <f>COUNTIF(G6:G15,"&gt;0")</f>
        <v>3</v>
      </c>
      <c r="H16" s="67" t="s">
        <v>61</v>
      </c>
    </row>
    <row r="18" spans="2:8" x14ac:dyDescent="0.25">
      <c r="B18" s="54" t="s">
        <v>62</v>
      </c>
    </row>
    <row r="19" spans="2:8" x14ac:dyDescent="0.25">
      <c r="B19" s="55"/>
      <c r="C19" s="56"/>
      <c r="D19" s="56"/>
      <c r="E19" s="56"/>
      <c r="F19" s="56"/>
      <c r="G19" s="56"/>
      <c r="H19" s="56"/>
    </row>
    <row r="20" spans="2:8" x14ac:dyDescent="0.25">
      <c r="B20" s="57" t="s">
        <v>45</v>
      </c>
      <c r="C20" s="57" t="s">
        <v>63</v>
      </c>
      <c r="D20" s="57" t="s">
        <v>47</v>
      </c>
      <c r="E20" s="57"/>
      <c r="F20" s="57"/>
      <c r="G20" s="57" t="s">
        <v>48</v>
      </c>
      <c r="H20" s="57"/>
    </row>
    <row r="21" spans="2:8" x14ac:dyDescent="0.25">
      <c r="B21" s="58" t="s">
        <v>49</v>
      </c>
      <c r="C21" s="68"/>
      <c r="D21" s="60">
        <v>0</v>
      </c>
      <c r="E21" s="60"/>
      <c r="F21" s="60" t="s">
        <v>51</v>
      </c>
      <c r="G21" s="60">
        <f t="shared" ref="G21:G30" si="2">$D21+$C21</f>
        <v>0</v>
      </c>
      <c r="H21" s="62"/>
    </row>
    <row r="22" spans="2:8" x14ac:dyDescent="0.25">
      <c r="B22" s="58" t="s">
        <v>52</v>
      </c>
      <c r="C22" s="68"/>
      <c r="D22" s="60">
        <v>0</v>
      </c>
      <c r="E22" s="60"/>
      <c r="F22" s="60" t="s">
        <v>51</v>
      </c>
      <c r="G22" s="60">
        <f t="shared" si="2"/>
        <v>0</v>
      </c>
      <c r="H22" s="62"/>
    </row>
    <row r="23" spans="2:8" x14ac:dyDescent="0.25">
      <c r="B23" s="58" t="s">
        <v>53</v>
      </c>
      <c r="C23" s="68"/>
      <c r="D23" s="60">
        <v>0</v>
      </c>
      <c r="E23" s="60"/>
      <c r="F23" s="60" t="s">
        <v>51</v>
      </c>
      <c r="G23" s="60">
        <f t="shared" si="2"/>
        <v>0</v>
      </c>
      <c r="H23" s="62"/>
    </row>
    <row r="24" spans="2:8" x14ac:dyDescent="0.25">
      <c r="B24" s="58" t="s">
        <v>54</v>
      </c>
      <c r="C24" s="68"/>
      <c r="D24" s="60">
        <v>0</v>
      </c>
      <c r="E24" s="60"/>
      <c r="F24" s="60" t="s">
        <v>51</v>
      </c>
      <c r="G24" s="60">
        <f t="shared" si="2"/>
        <v>0</v>
      </c>
      <c r="H24" s="62"/>
    </row>
    <row r="25" spans="2:8" x14ac:dyDescent="0.25">
      <c r="B25" s="58" t="s">
        <v>55</v>
      </c>
      <c r="C25" s="68"/>
      <c r="D25" s="60">
        <v>22</v>
      </c>
      <c r="E25" s="60"/>
      <c r="F25" s="60" t="s">
        <v>51</v>
      </c>
      <c r="G25" s="60">
        <f t="shared" si="2"/>
        <v>22</v>
      </c>
      <c r="H25" s="62"/>
    </row>
    <row r="26" spans="2:8" x14ac:dyDescent="0.25">
      <c r="B26" s="58" t="s">
        <v>56</v>
      </c>
      <c r="C26" s="68"/>
      <c r="D26" s="60">
        <v>0</v>
      </c>
      <c r="E26" s="60"/>
      <c r="F26" s="60" t="s">
        <v>51</v>
      </c>
      <c r="G26" s="60">
        <f t="shared" si="2"/>
        <v>0</v>
      </c>
      <c r="H26" s="62"/>
    </row>
    <row r="27" spans="2:8" x14ac:dyDescent="0.25">
      <c r="B27" s="58" t="s">
        <v>57</v>
      </c>
      <c r="C27" s="68"/>
      <c r="D27" s="60">
        <v>15</v>
      </c>
      <c r="E27" s="60"/>
      <c r="F27" s="60" t="s">
        <v>51</v>
      </c>
      <c r="G27" s="60">
        <f t="shared" si="2"/>
        <v>15</v>
      </c>
      <c r="H27" s="62"/>
    </row>
    <row r="28" spans="2:8" x14ac:dyDescent="0.25">
      <c r="B28" s="58" t="s">
        <v>58</v>
      </c>
      <c r="C28" s="68"/>
      <c r="D28" s="60">
        <v>0</v>
      </c>
      <c r="E28" s="60"/>
      <c r="F28" s="60" t="s">
        <v>51</v>
      </c>
      <c r="G28" s="60">
        <f t="shared" si="2"/>
        <v>0</v>
      </c>
      <c r="H28" s="62"/>
    </row>
    <row r="29" spans="2:8" x14ac:dyDescent="0.25">
      <c r="B29" s="58" t="s">
        <v>59</v>
      </c>
      <c r="C29" s="68"/>
      <c r="D29" s="60">
        <v>0</v>
      </c>
      <c r="E29" s="60"/>
      <c r="F29" s="60" t="s">
        <v>51</v>
      </c>
      <c r="G29" s="60">
        <f t="shared" si="2"/>
        <v>0</v>
      </c>
      <c r="H29" s="62"/>
    </row>
    <row r="30" spans="2:8" x14ac:dyDescent="0.25">
      <c r="B30" s="63" t="s">
        <v>60</v>
      </c>
      <c r="C30" s="68"/>
      <c r="D30" s="60">
        <v>0</v>
      </c>
      <c r="E30" s="60"/>
      <c r="F30" s="64" t="s">
        <v>51</v>
      </c>
      <c r="G30" s="60">
        <f t="shared" si="2"/>
        <v>0</v>
      </c>
      <c r="H30" s="65"/>
    </row>
    <row r="31" spans="2:8" x14ac:dyDescent="0.25">
      <c r="B31" s="66"/>
      <c r="C31" s="66"/>
      <c r="D31" s="66">
        <f>SUM($D$21:$D$30)</f>
        <v>37</v>
      </c>
      <c r="E31" s="66" t="s">
        <v>64</v>
      </c>
      <c r="F31" s="66"/>
      <c r="G31" s="66"/>
      <c r="H31" s="69"/>
    </row>
    <row r="33" spans="2:8" x14ac:dyDescent="0.25">
      <c r="B33" s="54" t="s">
        <v>65</v>
      </c>
    </row>
    <row r="34" spans="2:8" x14ac:dyDescent="0.25">
      <c r="B34" s="55"/>
      <c r="C34" s="56"/>
      <c r="D34" s="56"/>
      <c r="E34" s="56"/>
      <c r="F34" s="56"/>
      <c r="G34" s="56"/>
      <c r="H34" s="56"/>
    </row>
    <row r="35" spans="2:8" x14ac:dyDescent="0.25">
      <c r="B35" s="57" t="s">
        <v>45</v>
      </c>
      <c r="C35" s="57" t="s">
        <v>46</v>
      </c>
      <c r="D35" s="70" t="s">
        <v>47</v>
      </c>
      <c r="E35" s="70"/>
      <c r="F35" s="70"/>
      <c r="G35" s="71" t="s">
        <v>48</v>
      </c>
      <c r="H35" s="57"/>
    </row>
    <row r="36" spans="2:8" x14ac:dyDescent="0.25">
      <c r="B36" s="72" t="s">
        <v>66</v>
      </c>
      <c r="C36" s="59"/>
      <c r="D36" s="72">
        <v>0</v>
      </c>
      <c r="E36" s="73" t="s">
        <v>50</v>
      </c>
      <c r="F36" s="73" t="s">
        <v>51</v>
      </c>
      <c r="G36" s="60">
        <f t="shared" ref="G36:G99" si="3">$D36+$C36</f>
        <v>0</v>
      </c>
      <c r="H36" s="62" t="str">
        <f t="shared" ref="H36:H99" si="4">IF(AND($D36=0, $G36&gt;0),"new", IF(AND($D36&gt;0, $G36=0),"sold",""))</f>
        <v/>
      </c>
    </row>
    <row r="37" spans="2:8" x14ac:dyDescent="0.25">
      <c r="B37" s="58" t="s">
        <v>67</v>
      </c>
      <c r="C37" s="59"/>
      <c r="D37" s="58">
        <v>0</v>
      </c>
      <c r="E37" s="60" t="s">
        <v>50</v>
      </c>
      <c r="F37" s="60" t="s">
        <v>51</v>
      </c>
      <c r="G37" s="60">
        <f t="shared" si="3"/>
        <v>0</v>
      </c>
      <c r="H37" s="62" t="str">
        <f t="shared" si="4"/>
        <v/>
      </c>
    </row>
    <row r="38" spans="2:8" x14ac:dyDescent="0.25">
      <c r="B38" s="58" t="s">
        <v>68</v>
      </c>
      <c r="C38" s="59"/>
      <c r="D38" s="58">
        <v>0</v>
      </c>
      <c r="E38" s="60" t="s">
        <v>50</v>
      </c>
      <c r="F38" s="60" t="s">
        <v>51</v>
      </c>
      <c r="G38" s="60">
        <f t="shared" si="3"/>
        <v>0</v>
      </c>
      <c r="H38" s="62" t="str">
        <f t="shared" si="4"/>
        <v/>
      </c>
    </row>
    <row r="39" spans="2:8" x14ac:dyDescent="0.25">
      <c r="B39" s="58" t="s">
        <v>69</v>
      </c>
      <c r="C39" s="59"/>
      <c r="D39" s="58">
        <v>4000</v>
      </c>
      <c r="E39" s="60" t="s">
        <v>50</v>
      </c>
      <c r="F39" s="60" t="s">
        <v>51</v>
      </c>
      <c r="G39" s="60">
        <f t="shared" si="3"/>
        <v>4000</v>
      </c>
      <c r="H39" s="62" t="str">
        <f t="shared" si="4"/>
        <v/>
      </c>
    </row>
    <row r="40" spans="2:8" x14ac:dyDescent="0.25">
      <c r="B40" s="58" t="s">
        <v>70</v>
      </c>
      <c r="C40" s="59"/>
      <c r="D40" s="58">
        <v>0</v>
      </c>
      <c r="E40" s="60" t="s">
        <v>50</v>
      </c>
      <c r="F40" s="60" t="s">
        <v>51</v>
      </c>
      <c r="G40" s="60">
        <f t="shared" si="3"/>
        <v>0</v>
      </c>
      <c r="H40" s="62" t="str">
        <f t="shared" si="4"/>
        <v/>
      </c>
    </row>
    <row r="41" spans="2:8" x14ac:dyDescent="0.25">
      <c r="B41" s="58" t="s">
        <v>71</v>
      </c>
      <c r="C41" s="59"/>
      <c r="D41" s="58">
        <v>0</v>
      </c>
      <c r="E41" s="60" t="s">
        <v>50</v>
      </c>
      <c r="F41" s="60" t="s">
        <v>51</v>
      </c>
      <c r="G41" s="60">
        <f t="shared" si="3"/>
        <v>0</v>
      </c>
      <c r="H41" s="62" t="str">
        <f t="shared" si="4"/>
        <v/>
      </c>
    </row>
    <row r="42" spans="2:8" x14ac:dyDescent="0.25">
      <c r="B42" s="58" t="s">
        <v>72</v>
      </c>
      <c r="C42" s="59"/>
      <c r="D42" s="58">
        <v>0</v>
      </c>
      <c r="E42" s="60" t="s">
        <v>50</v>
      </c>
      <c r="F42" s="60" t="s">
        <v>51</v>
      </c>
      <c r="G42" s="60">
        <f t="shared" si="3"/>
        <v>0</v>
      </c>
      <c r="H42" s="62" t="str">
        <f t="shared" si="4"/>
        <v/>
      </c>
    </row>
    <row r="43" spans="2:8" x14ac:dyDescent="0.25">
      <c r="B43" s="58" t="s">
        <v>73</v>
      </c>
      <c r="C43" s="59"/>
      <c r="D43" s="58">
        <v>0</v>
      </c>
      <c r="E43" s="60" t="s">
        <v>50</v>
      </c>
      <c r="F43" s="60" t="s">
        <v>51</v>
      </c>
      <c r="G43" s="60">
        <f t="shared" si="3"/>
        <v>0</v>
      </c>
      <c r="H43" s="62" t="str">
        <f t="shared" si="4"/>
        <v/>
      </c>
    </row>
    <row r="44" spans="2:8" x14ac:dyDescent="0.25">
      <c r="B44" s="58" t="s">
        <v>74</v>
      </c>
      <c r="C44" s="59"/>
      <c r="D44" s="58">
        <v>0</v>
      </c>
      <c r="E44" s="60" t="s">
        <v>50</v>
      </c>
      <c r="F44" s="60" t="s">
        <v>51</v>
      </c>
      <c r="G44" s="60">
        <f t="shared" si="3"/>
        <v>0</v>
      </c>
      <c r="H44" s="62" t="str">
        <f t="shared" si="4"/>
        <v/>
      </c>
    </row>
    <row r="45" spans="2:8" x14ac:dyDescent="0.25">
      <c r="B45" s="58" t="s">
        <v>75</v>
      </c>
      <c r="C45" s="59"/>
      <c r="D45" s="58">
        <v>0</v>
      </c>
      <c r="E45" s="60" t="s">
        <v>50</v>
      </c>
      <c r="F45" s="60" t="s">
        <v>51</v>
      </c>
      <c r="G45" s="60">
        <f t="shared" si="3"/>
        <v>0</v>
      </c>
      <c r="H45" s="62" t="str">
        <f t="shared" si="4"/>
        <v/>
      </c>
    </row>
    <row r="46" spans="2:8" x14ac:dyDescent="0.25">
      <c r="B46" s="58" t="s">
        <v>76</v>
      </c>
      <c r="C46" s="59"/>
      <c r="D46" s="58">
        <v>0</v>
      </c>
      <c r="E46" s="60" t="s">
        <v>50</v>
      </c>
      <c r="F46" s="60" t="s">
        <v>51</v>
      </c>
      <c r="G46" s="60">
        <f t="shared" si="3"/>
        <v>0</v>
      </c>
      <c r="H46" s="62" t="str">
        <f t="shared" si="4"/>
        <v/>
      </c>
    </row>
    <row r="47" spans="2:8" x14ac:dyDescent="0.25">
      <c r="B47" s="58" t="s">
        <v>77</v>
      </c>
      <c r="C47" s="59"/>
      <c r="D47" s="58">
        <v>0</v>
      </c>
      <c r="E47" s="60" t="s">
        <v>50</v>
      </c>
      <c r="F47" s="60" t="s">
        <v>51</v>
      </c>
      <c r="G47" s="60">
        <f t="shared" si="3"/>
        <v>0</v>
      </c>
      <c r="H47" s="62" t="str">
        <f t="shared" si="4"/>
        <v/>
      </c>
    </row>
    <row r="48" spans="2:8" x14ac:dyDescent="0.25">
      <c r="B48" s="58" t="s">
        <v>78</v>
      </c>
      <c r="C48" s="59"/>
      <c r="D48" s="58">
        <v>0</v>
      </c>
      <c r="E48" s="60" t="s">
        <v>50</v>
      </c>
      <c r="F48" s="60" t="s">
        <v>51</v>
      </c>
      <c r="G48" s="60">
        <f t="shared" si="3"/>
        <v>0</v>
      </c>
      <c r="H48" s="62" t="str">
        <f t="shared" si="4"/>
        <v/>
      </c>
    </row>
    <row r="49" spans="2:8" x14ac:dyDescent="0.25">
      <c r="B49" s="58" t="s">
        <v>79</v>
      </c>
      <c r="C49" s="59"/>
      <c r="D49" s="58">
        <v>0</v>
      </c>
      <c r="E49" s="60" t="s">
        <v>50</v>
      </c>
      <c r="F49" s="60" t="s">
        <v>51</v>
      </c>
      <c r="G49" s="60">
        <f t="shared" si="3"/>
        <v>0</v>
      </c>
      <c r="H49" s="62" t="str">
        <f t="shared" si="4"/>
        <v/>
      </c>
    </row>
    <row r="50" spans="2:8" x14ac:dyDescent="0.25">
      <c r="B50" s="58" t="s">
        <v>80</v>
      </c>
      <c r="C50" s="59"/>
      <c r="D50" s="58">
        <v>0</v>
      </c>
      <c r="E50" s="60" t="s">
        <v>50</v>
      </c>
      <c r="F50" s="60" t="s">
        <v>51</v>
      </c>
      <c r="G50" s="60">
        <f t="shared" si="3"/>
        <v>0</v>
      </c>
      <c r="H50" s="62" t="str">
        <f t="shared" si="4"/>
        <v/>
      </c>
    </row>
    <row r="51" spans="2:8" x14ac:dyDescent="0.25">
      <c r="B51" s="58" t="s">
        <v>81</v>
      </c>
      <c r="C51" s="59"/>
      <c r="D51" s="58">
        <v>0</v>
      </c>
      <c r="E51" s="60" t="s">
        <v>50</v>
      </c>
      <c r="F51" s="60" t="s">
        <v>51</v>
      </c>
      <c r="G51" s="60">
        <f t="shared" si="3"/>
        <v>0</v>
      </c>
      <c r="H51" s="62" t="str">
        <f t="shared" si="4"/>
        <v/>
      </c>
    </row>
    <row r="52" spans="2:8" x14ac:dyDescent="0.25">
      <c r="B52" s="58" t="s">
        <v>82</v>
      </c>
      <c r="C52" s="59"/>
      <c r="D52" s="58">
        <v>0</v>
      </c>
      <c r="E52" s="60" t="s">
        <v>50</v>
      </c>
      <c r="F52" s="60" t="s">
        <v>51</v>
      </c>
      <c r="G52" s="60">
        <f t="shared" si="3"/>
        <v>0</v>
      </c>
      <c r="H52" s="62" t="str">
        <f t="shared" si="4"/>
        <v/>
      </c>
    </row>
    <row r="53" spans="2:8" x14ac:dyDescent="0.25">
      <c r="B53" s="58" t="s">
        <v>83</v>
      </c>
      <c r="C53" s="59"/>
      <c r="D53" s="58">
        <v>0</v>
      </c>
      <c r="E53" s="60" t="s">
        <v>50</v>
      </c>
      <c r="F53" s="60" t="s">
        <v>51</v>
      </c>
      <c r="G53" s="60">
        <f t="shared" si="3"/>
        <v>0</v>
      </c>
      <c r="H53" s="62" t="str">
        <f t="shared" si="4"/>
        <v/>
      </c>
    </row>
    <row r="54" spans="2:8" x14ac:dyDescent="0.25">
      <c r="B54" s="58" t="s">
        <v>84</v>
      </c>
      <c r="C54" s="59"/>
      <c r="D54" s="58">
        <v>0</v>
      </c>
      <c r="E54" s="60" t="s">
        <v>50</v>
      </c>
      <c r="F54" s="60" t="s">
        <v>51</v>
      </c>
      <c r="G54" s="60">
        <f t="shared" si="3"/>
        <v>0</v>
      </c>
      <c r="H54" s="62" t="str">
        <f t="shared" si="4"/>
        <v/>
      </c>
    </row>
    <row r="55" spans="2:8" x14ac:dyDescent="0.25">
      <c r="B55" s="58" t="s">
        <v>85</v>
      </c>
      <c r="C55" s="59"/>
      <c r="D55" s="58">
        <v>0</v>
      </c>
      <c r="E55" s="60" t="s">
        <v>50</v>
      </c>
      <c r="F55" s="60" t="s">
        <v>51</v>
      </c>
      <c r="G55" s="60">
        <f t="shared" si="3"/>
        <v>0</v>
      </c>
      <c r="H55" s="62" t="str">
        <f t="shared" si="4"/>
        <v/>
      </c>
    </row>
    <row r="56" spans="2:8" x14ac:dyDescent="0.25">
      <c r="B56" s="58" t="s">
        <v>86</v>
      </c>
      <c r="C56" s="59"/>
      <c r="D56" s="58">
        <v>0</v>
      </c>
      <c r="E56" s="60" t="s">
        <v>50</v>
      </c>
      <c r="F56" s="60" t="s">
        <v>51</v>
      </c>
      <c r="G56" s="60">
        <f t="shared" si="3"/>
        <v>0</v>
      </c>
      <c r="H56" s="62" t="str">
        <f t="shared" si="4"/>
        <v/>
      </c>
    </row>
    <row r="57" spans="2:8" x14ac:dyDescent="0.25">
      <c r="B57" s="58" t="s">
        <v>87</v>
      </c>
      <c r="C57" s="59"/>
      <c r="D57" s="58">
        <v>0</v>
      </c>
      <c r="E57" s="60" t="s">
        <v>50</v>
      </c>
      <c r="F57" s="60" t="s">
        <v>51</v>
      </c>
      <c r="G57" s="60">
        <f t="shared" si="3"/>
        <v>0</v>
      </c>
      <c r="H57" s="62" t="str">
        <f t="shared" si="4"/>
        <v/>
      </c>
    </row>
    <row r="58" spans="2:8" x14ac:dyDescent="0.25">
      <c r="B58" s="58" t="s">
        <v>88</v>
      </c>
      <c r="C58" s="59"/>
      <c r="D58" s="58">
        <v>0</v>
      </c>
      <c r="E58" s="60" t="s">
        <v>50</v>
      </c>
      <c r="F58" s="60" t="s">
        <v>51</v>
      </c>
      <c r="G58" s="60">
        <f t="shared" si="3"/>
        <v>0</v>
      </c>
      <c r="H58" s="62" t="str">
        <f t="shared" si="4"/>
        <v/>
      </c>
    </row>
    <row r="59" spans="2:8" x14ac:dyDescent="0.25">
      <c r="B59" s="58" t="s">
        <v>89</v>
      </c>
      <c r="C59" s="59"/>
      <c r="D59" s="58">
        <v>0</v>
      </c>
      <c r="E59" s="60" t="s">
        <v>50</v>
      </c>
      <c r="F59" s="60" t="s">
        <v>51</v>
      </c>
      <c r="G59" s="60">
        <f t="shared" si="3"/>
        <v>0</v>
      </c>
      <c r="H59" s="62" t="str">
        <f t="shared" si="4"/>
        <v/>
      </c>
    </row>
    <row r="60" spans="2:8" x14ac:dyDescent="0.25">
      <c r="B60" s="58" t="s">
        <v>90</v>
      </c>
      <c r="C60" s="59"/>
      <c r="D60" s="60">
        <v>0</v>
      </c>
      <c r="E60" s="60" t="s">
        <v>50</v>
      </c>
      <c r="F60" s="60" t="s">
        <v>51</v>
      </c>
      <c r="G60" s="60">
        <f t="shared" si="3"/>
        <v>0</v>
      </c>
      <c r="H60" s="62" t="str">
        <f t="shared" si="4"/>
        <v/>
      </c>
    </row>
    <row r="61" spans="2:8" x14ac:dyDescent="0.25">
      <c r="B61" s="58" t="s">
        <v>91</v>
      </c>
      <c r="C61" s="68"/>
      <c r="D61" s="60">
        <v>0</v>
      </c>
      <c r="E61" s="60" t="s">
        <v>50</v>
      </c>
      <c r="F61" s="60" t="s">
        <v>51</v>
      </c>
      <c r="G61" s="60">
        <f t="shared" si="3"/>
        <v>0</v>
      </c>
      <c r="H61" s="62" t="str">
        <f t="shared" si="4"/>
        <v/>
      </c>
    </row>
    <row r="62" spans="2:8" x14ac:dyDescent="0.25">
      <c r="B62" s="58" t="s">
        <v>92</v>
      </c>
      <c r="C62" s="68"/>
      <c r="D62" s="60">
        <v>0</v>
      </c>
      <c r="E62" s="60" t="s">
        <v>50</v>
      </c>
      <c r="F62" s="60" t="s">
        <v>51</v>
      </c>
      <c r="G62" s="60">
        <f t="shared" si="3"/>
        <v>0</v>
      </c>
      <c r="H62" s="62" t="str">
        <f t="shared" si="4"/>
        <v/>
      </c>
    </row>
    <row r="63" spans="2:8" x14ac:dyDescent="0.25">
      <c r="B63" s="58" t="s">
        <v>93</v>
      </c>
      <c r="C63" s="68"/>
      <c r="D63" s="60">
        <v>5000</v>
      </c>
      <c r="E63" s="60" t="s">
        <v>50</v>
      </c>
      <c r="F63" s="60" t="s">
        <v>51</v>
      </c>
      <c r="G63" s="60">
        <f t="shared" si="3"/>
        <v>5000</v>
      </c>
      <c r="H63" s="62" t="str">
        <f t="shared" si="4"/>
        <v/>
      </c>
    </row>
    <row r="64" spans="2:8" x14ac:dyDescent="0.25">
      <c r="B64" s="58" t="s">
        <v>94</v>
      </c>
      <c r="C64" s="68"/>
      <c r="D64" s="60">
        <v>0</v>
      </c>
      <c r="E64" s="60" t="s">
        <v>50</v>
      </c>
      <c r="F64" s="60" t="s">
        <v>51</v>
      </c>
      <c r="G64" s="60">
        <f t="shared" si="3"/>
        <v>0</v>
      </c>
      <c r="H64" s="62" t="str">
        <f t="shared" si="4"/>
        <v/>
      </c>
    </row>
    <row r="65" spans="2:8" x14ac:dyDescent="0.25">
      <c r="B65" s="58" t="s">
        <v>95</v>
      </c>
      <c r="C65" s="68"/>
      <c r="D65" s="60">
        <v>0</v>
      </c>
      <c r="E65" s="60" t="s">
        <v>50</v>
      </c>
      <c r="F65" s="60" t="s">
        <v>51</v>
      </c>
      <c r="G65" s="60">
        <f t="shared" si="3"/>
        <v>0</v>
      </c>
      <c r="H65" s="62" t="str">
        <f t="shared" si="4"/>
        <v/>
      </c>
    </row>
    <row r="66" spans="2:8" x14ac:dyDescent="0.25">
      <c r="B66" s="58" t="s">
        <v>96</v>
      </c>
      <c r="C66" s="68"/>
      <c r="D66" s="60">
        <v>0</v>
      </c>
      <c r="E66" s="60" t="s">
        <v>50</v>
      </c>
      <c r="F66" s="60" t="s">
        <v>51</v>
      </c>
      <c r="G66" s="60">
        <f t="shared" si="3"/>
        <v>0</v>
      </c>
      <c r="H66" s="62" t="str">
        <f t="shared" si="4"/>
        <v/>
      </c>
    </row>
    <row r="67" spans="2:8" x14ac:dyDescent="0.25">
      <c r="B67" s="58" t="s">
        <v>97</v>
      </c>
      <c r="C67" s="68"/>
      <c r="D67" s="60">
        <v>0</v>
      </c>
      <c r="E67" s="60" t="s">
        <v>50</v>
      </c>
      <c r="F67" s="60" t="s">
        <v>51</v>
      </c>
      <c r="G67" s="60">
        <f t="shared" si="3"/>
        <v>0</v>
      </c>
      <c r="H67" s="62" t="str">
        <f t="shared" si="4"/>
        <v/>
      </c>
    </row>
    <row r="68" spans="2:8" x14ac:dyDescent="0.25">
      <c r="B68" s="58" t="s">
        <v>98</v>
      </c>
      <c r="C68" s="68"/>
      <c r="D68" s="60">
        <v>0</v>
      </c>
      <c r="E68" s="60" t="s">
        <v>50</v>
      </c>
      <c r="F68" s="60" t="s">
        <v>51</v>
      </c>
      <c r="G68" s="60">
        <f t="shared" si="3"/>
        <v>0</v>
      </c>
      <c r="H68" s="62" t="str">
        <f t="shared" si="4"/>
        <v/>
      </c>
    </row>
    <row r="69" spans="2:8" x14ac:dyDescent="0.25">
      <c r="B69" s="58" t="s">
        <v>99</v>
      </c>
      <c r="C69" s="68"/>
      <c r="D69" s="60">
        <v>0</v>
      </c>
      <c r="E69" s="60" t="s">
        <v>50</v>
      </c>
      <c r="F69" s="60" t="s">
        <v>51</v>
      </c>
      <c r="G69" s="60">
        <f t="shared" si="3"/>
        <v>0</v>
      </c>
      <c r="H69" s="62" t="str">
        <f t="shared" si="4"/>
        <v/>
      </c>
    </row>
    <row r="70" spans="2:8" x14ac:dyDescent="0.25">
      <c r="B70" s="58" t="s">
        <v>100</v>
      </c>
      <c r="C70" s="68"/>
      <c r="D70" s="60">
        <v>0</v>
      </c>
      <c r="E70" s="60" t="s">
        <v>50</v>
      </c>
      <c r="F70" s="60" t="s">
        <v>51</v>
      </c>
      <c r="G70" s="60">
        <f t="shared" si="3"/>
        <v>0</v>
      </c>
      <c r="H70" s="62" t="str">
        <f t="shared" si="4"/>
        <v/>
      </c>
    </row>
    <row r="71" spans="2:8" x14ac:dyDescent="0.25">
      <c r="B71" s="58" t="s">
        <v>101</v>
      </c>
      <c r="C71" s="68"/>
      <c r="D71" s="60">
        <v>0</v>
      </c>
      <c r="E71" s="60" t="s">
        <v>50</v>
      </c>
      <c r="F71" s="60" t="s">
        <v>51</v>
      </c>
      <c r="G71" s="60">
        <f t="shared" si="3"/>
        <v>0</v>
      </c>
      <c r="H71" s="62" t="str">
        <f t="shared" si="4"/>
        <v/>
      </c>
    </row>
    <row r="72" spans="2:8" x14ac:dyDescent="0.25">
      <c r="B72" s="58" t="s">
        <v>102</v>
      </c>
      <c r="C72" s="68"/>
      <c r="D72" s="60">
        <v>0</v>
      </c>
      <c r="E72" s="60" t="s">
        <v>50</v>
      </c>
      <c r="F72" s="60" t="s">
        <v>51</v>
      </c>
      <c r="G72" s="60">
        <f t="shared" si="3"/>
        <v>0</v>
      </c>
      <c r="H72" s="62" t="str">
        <f t="shared" si="4"/>
        <v/>
      </c>
    </row>
    <row r="73" spans="2:8" x14ac:dyDescent="0.25">
      <c r="B73" s="58" t="s">
        <v>103</v>
      </c>
      <c r="C73" s="68"/>
      <c r="D73" s="60">
        <v>0</v>
      </c>
      <c r="E73" s="60" t="s">
        <v>50</v>
      </c>
      <c r="F73" s="60" t="s">
        <v>51</v>
      </c>
      <c r="G73" s="60">
        <f t="shared" si="3"/>
        <v>0</v>
      </c>
      <c r="H73" s="62" t="str">
        <f t="shared" si="4"/>
        <v/>
      </c>
    </row>
    <row r="74" spans="2:8" x14ac:dyDescent="0.25">
      <c r="B74" s="58" t="s">
        <v>104</v>
      </c>
      <c r="C74" s="68"/>
      <c r="D74" s="60">
        <v>0</v>
      </c>
      <c r="E74" s="60" t="s">
        <v>50</v>
      </c>
      <c r="F74" s="60" t="s">
        <v>51</v>
      </c>
      <c r="G74" s="60">
        <f t="shared" si="3"/>
        <v>0</v>
      </c>
      <c r="H74" s="62" t="str">
        <f t="shared" si="4"/>
        <v/>
      </c>
    </row>
    <row r="75" spans="2:8" x14ac:dyDescent="0.25">
      <c r="B75" s="58" t="s">
        <v>105</v>
      </c>
      <c r="C75" s="68"/>
      <c r="D75" s="60">
        <v>0</v>
      </c>
      <c r="E75" s="60" t="s">
        <v>50</v>
      </c>
      <c r="F75" s="60" t="s">
        <v>51</v>
      </c>
      <c r="G75" s="60">
        <f t="shared" si="3"/>
        <v>0</v>
      </c>
      <c r="H75" s="62" t="str">
        <f t="shared" si="4"/>
        <v/>
      </c>
    </row>
    <row r="76" spans="2:8" x14ac:dyDescent="0.25">
      <c r="B76" s="58" t="s">
        <v>106</v>
      </c>
      <c r="C76" s="68"/>
      <c r="D76" s="60">
        <v>10000</v>
      </c>
      <c r="E76" s="60" t="s">
        <v>50</v>
      </c>
      <c r="F76" s="60" t="s">
        <v>51</v>
      </c>
      <c r="G76" s="60">
        <f t="shared" si="3"/>
        <v>10000</v>
      </c>
      <c r="H76" s="62" t="str">
        <f t="shared" si="4"/>
        <v/>
      </c>
    </row>
    <row r="77" spans="2:8" x14ac:dyDescent="0.25">
      <c r="B77" s="58" t="s">
        <v>107</v>
      </c>
      <c r="C77" s="68"/>
      <c r="D77" s="60">
        <v>0</v>
      </c>
      <c r="E77" s="60" t="s">
        <v>50</v>
      </c>
      <c r="F77" s="60" t="s">
        <v>51</v>
      </c>
      <c r="G77" s="60">
        <f t="shared" si="3"/>
        <v>0</v>
      </c>
      <c r="H77" s="62" t="str">
        <f t="shared" si="4"/>
        <v/>
      </c>
    </row>
    <row r="78" spans="2:8" x14ac:dyDescent="0.25">
      <c r="B78" s="58" t="s">
        <v>108</v>
      </c>
      <c r="C78" s="68"/>
      <c r="D78" s="60">
        <v>0</v>
      </c>
      <c r="E78" s="60" t="s">
        <v>50</v>
      </c>
      <c r="F78" s="60" t="s">
        <v>51</v>
      </c>
      <c r="G78" s="60">
        <f t="shared" si="3"/>
        <v>0</v>
      </c>
      <c r="H78" s="62" t="str">
        <f t="shared" si="4"/>
        <v/>
      </c>
    </row>
    <row r="79" spans="2:8" x14ac:dyDescent="0.25">
      <c r="B79" s="58" t="s">
        <v>109</v>
      </c>
      <c r="C79" s="68"/>
      <c r="D79" s="60">
        <v>0</v>
      </c>
      <c r="E79" s="60" t="s">
        <v>50</v>
      </c>
      <c r="F79" s="60" t="s">
        <v>51</v>
      </c>
      <c r="G79" s="60">
        <f t="shared" si="3"/>
        <v>0</v>
      </c>
      <c r="H79" s="62" t="str">
        <f t="shared" si="4"/>
        <v/>
      </c>
    </row>
    <row r="80" spans="2:8" x14ac:dyDescent="0.25">
      <c r="B80" s="58" t="s">
        <v>110</v>
      </c>
      <c r="C80" s="68"/>
      <c r="D80" s="60">
        <v>0</v>
      </c>
      <c r="E80" s="60" t="s">
        <v>50</v>
      </c>
      <c r="F80" s="60" t="s">
        <v>51</v>
      </c>
      <c r="G80" s="60">
        <f t="shared" si="3"/>
        <v>0</v>
      </c>
      <c r="H80" s="62" t="str">
        <f t="shared" si="4"/>
        <v/>
      </c>
    </row>
    <row r="81" spans="2:8" x14ac:dyDescent="0.25">
      <c r="B81" s="58" t="s">
        <v>111</v>
      </c>
      <c r="C81" s="68"/>
      <c r="D81" s="60">
        <v>0</v>
      </c>
      <c r="E81" s="60" t="s">
        <v>50</v>
      </c>
      <c r="F81" s="60" t="s">
        <v>51</v>
      </c>
      <c r="G81" s="60">
        <f t="shared" si="3"/>
        <v>0</v>
      </c>
      <c r="H81" s="62" t="str">
        <f t="shared" si="4"/>
        <v/>
      </c>
    </row>
    <row r="82" spans="2:8" x14ac:dyDescent="0.25">
      <c r="B82" s="58" t="s">
        <v>112</v>
      </c>
      <c r="C82" s="68"/>
      <c r="D82" s="60">
        <v>0</v>
      </c>
      <c r="E82" s="60" t="s">
        <v>50</v>
      </c>
      <c r="F82" s="60" t="s">
        <v>51</v>
      </c>
      <c r="G82" s="60">
        <f t="shared" si="3"/>
        <v>0</v>
      </c>
      <c r="H82" s="62" t="str">
        <f t="shared" si="4"/>
        <v/>
      </c>
    </row>
    <row r="83" spans="2:8" x14ac:dyDescent="0.25">
      <c r="B83" s="74" t="s">
        <v>113</v>
      </c>
      <c r="C83" s="68"/>
      <c r="D83" s="58">
        <v>0</v>
      </c>
      <c r="E83" s="60" t="s">
        <v>50</v>
      </c>
      <c r="F83" s="60" t="s">
        <v>51</v>
      </c>
      <c r="G83" s="60">
        <f t="shared" si="3"/>
        <v>0</v>
      </c>
      <c r="H83" s="62" t="str">
        <f t="shared" si="4"/>
        <v/>
      </c>
    </row>
    <row r="84" spans="2:8" x14ac:dyDescent="0.25">
      <c r="B84" s="58" t="s">
        <v>114</v>
      </c>
      <c r="C84" s="68"/>
      <c r="D84" s="60">
        <v>0</v>
      </c>
      <c r="E84" s="60" t="s">
        <v>50</v>
      </c>
      <c r="F84" s="60" t="s">
        <v>51</v>
      </c>
      <c r="G84" s="60">
        <f t="shared" si="3"/>
        <v>0</v>
      </c>
      <c r="H84" s="62" t="str">
        <f t="shared" si="4"/>
        <v/>
      </c>
    </row>
    <row r="85" spans="2:8" x14ac:dyDescent="0.25">
      <c r="B85" s="58" t="s">
        <v>115</v>
      </c>
      <c r="C85" s="68"/>
      <c r="D85" s="60">
        <v>0</v>
      </c>
      <c r="E85" s="60" t="s">
        <v>50</v>
      </c>
      <c r="F85" s="60" t="s">
        <v>51</v>
      </c>
      <c r="G85" s="60">
        <f t="shared" si="3"/>
        <v>0</v>
      </c>
      <c r="H85" s="62" t="str">
        <f t="shared" si="4"/>
        <v/>
      </c>
    </row>
    <row r="86" spans="2:8" x14ac:dyDescent="0.25">
      <c r="B86" s="58" t="s">
        <v>116</v>
      </c>
      <c r="C86" s="68"/>
      <c r="D86" s="60">
        <v>0</v>
      </c>
      <c r="E86" s="60" t="s">
        <v>50</v>
      </c>
      <c r="F86" s="60" t="s">
        <v>51</v>
      </c>
      <c r="G86" s="60">
        <f t="shared" si="3"/>
        <v>0</v>
      </c>
      <c r="H86" s="62" t="str">
        <f t="shared" si="4"/>
        <v/>
      </c>
    </row>
    <row r="87" spans="2:8" x14ac:dyDescent="0.25">
      <c r="B87" s="58" t="s">
        <v>117</v>
      </c>
      <c r="C87" s="68"/>
      <c r="D87" s="60">
        <v>0</v>
      </c>
      <c r="E87" s="60" t="s">
        <v>50</v>
      </c>
      <c r="F87" s="60" t="s">
        <v>51</v>
      </c>
      <c r="G87" s="60">
        <f t="shared" si="3"/>
        <v>0</v>
      </c>
      <c r="H87" s="62" t="str">
        <f t="shared" si="4"/>
        <v/>
      </c>
    </row>
    <row r="88" spans="2:8" x14ac:dyDescent="0.25">
      <c r="B88" s="58" t="s">
        <v>118</v>
      </c>
      <c r="C88" s="68"/>
      <c r="D88" s="60">
        <v>0</v>
      </c>
      <c r="E88" s="60" t="s">
        <v>50</v>
      </c>
      <c r="F88" s="60" t="s">
        <v>51</v>
      </c>
      <c r="G88" s="60">
        <f t="shared" si="3"/>
        <v>0</v>
      </c>
      <c r="H88" s="62" t="str">
        <f t="shared" si="4"/>
        <v/>
      </c>
    </row>
    <row r="89" spans="2:8" x14ac:dyDescent="0.25">
      <c r="B89" s="58" t="s">
        <v>119</v>
      </c>
      <c r="C89" s="68"/>
      <c r="D89" s="60">
        <v>0</v>
      </c>
      <c r="E89" s="60" t="s">
        <v>50</v>
      </c>
      <c r="F89" s="60" t="s">
        <v>51</v>
      </c>
      <c r="G89" s="60">
        <f t="shared" si="3"/>
        <v>0</v>
      </c>
      <c r="H89" s="62" t="str">
        <f t="shared" si="4"/>
        <v/>
      </c>
    </row>
    <row r="90" spans="2:8" x14ac:dyDescent="0.25">
      <c r="B90" s="58" t="s">
        <v>120</v>
      </c>
      <c r="C90" s="68"/>
      <c r="D90" s="60">
        <v>0</v>
      </c>
      <c r="E90" s="60" t="s">
        <v>50</v>
      </c>
      <c r="F90" s="60" t="s">
        <v>51</v>
      </c>
      <c r="G90" s="60">
        <f t="shared" si="3"/>
        <v>0</v>
      </c>
      <c r="H90" s="62" t="str">
        <f t="shared" si="4"/>
        <v/>
      </c>
    </row>
    <row r="91" spans="2:8" x14ac:dyDescent="0.25">
      <c r="B91" s="58" t="s">
        <v>121</v>
      </c>
      <c r="C91" s="68"/>
      <c r="D91" s="60">
        <v>0</v>
      </c>
      <c r="E91" s="60" t="s">
        <v>50</v>
      </c>
      <c r="F91" s="60" t="s">
        <v>51</v>
      </c>
      <c r="G91" s="60">
        <f t="shared" si="3"/>
        <v>0</v>
      </c>
      <c r="H91" s="62" t="str">
        <f t="shared" si="4"/>
        <v/>
      </c>
    </row>
    <row r="92" spans="2:8" x14ac:dyDescent="0.25">
      <c r="B92" s="58" t="s">
        <v>122</v>
      </c>
      <c r="C92" s="68"/>
      <c r="D92" s="60">
        <v>0</v>
      </c>
      <c r="E92" s="60" t="s">
        <v>50</v>
      </c>
      <c r="F92" s="60" t="s">
        <v>51</v>
      </c>
      <c r="G92" s="60">
        <f t="shared" si="3"/>
        <v>0</v>
      </c>
      <c r="H92" s="62" t="str">
        <f t="shared" si="4"/>
        <v/>
      </c>
    </row>
    <row r="93" spans="2:8" x14ac:dyDescent="0.25">
      <c r="B93" s="58" t="s">
        <v>123</v>
      </c>
      <c r="C93" s="68"/>
      <c r="D93" s="60">
        <v>0</v>
      </c>
      <c r="E93" s="60" t="s">
        <v>50</v>
      </c>
      <c r="F93" s="60" t="s">
        <v>51</v>
      </c>
      <c r="G93" s="60">
        <f t="shared" si="3"/>
        <v>0</v>
      </c>
      <c r="H93" s="62" t="str">
        <f t="shared" si="4"/>
        <v/>
      </c>
    </row>
    <row r="94" spans="2:8" x14ac:dyDescent="0.25">
      <c r="B94" s="58" t="s">
        <v>124</v>
      </c>
      <c r="C94" s="68"/>
      <c r="D94" s="60">
        <v>0</v>
      </c>
      <c r="E94" s="60" t="s">
        <v>50</v>
      </c>
      <c r="F94" s="60" t="s">
        <v>51</v>
      </c>
      <c r="G94" s="60">
        <f t="shared" si="3"/>
        <v>0</v>
      </c>
      <c r="H94" s="62" t="str">
        <f t="shared" si="4"/>
        <v/>
      </c>
    </row>
    <row r="95" spans="2:8" x14ac:dyDescent="0.25">
      <c r="B95" s="58" t="s">
        <v>125</v>
      </c>
      <c r="C95" s="68"/>
      <c r="D95" s="60">
        <v>0</v>
      </c>
      <c r="E95" s="60" t="s">
        <v>50</v>
      </c>
      <c r="F95" s="60" t="s">
        <v>51</v>
      </c>
      <c r="G95" s="60">
        <f t="shared" si="3"/>
        <v>0</v>
      </c>
      <c r="H95" s="62" t="str">
        <f t="shared" si="4"/>
        <v/>
      </c>
    </row>
    <row r="96" spans="2:8" x14ac:dyDescent="0.25">
      <c r="B96" s="58" t="s">
        <v>126</v>
      </c>
      <c r="C96" s="68"/>
      <c r="D96" s="60">
        <v>0</v>
      </c>
      <c r="E96" s="60" t="s">
        <v>50</v>
      </c>
      <c r="F96" s="60" t="s">
        <v>51</v>
      </c>
      <c r="G96" s="60">
        <f t="shared" si="3"/>
        <v>0</v>
      </c>
      <c r="H96" s="62" t="str">
        <f t="shared" si="4"/>
        <v/>
      </c>
    </row>
    <row r="97" spans="2:8" x14ac:dyDescent="0.25">
      <c r="B97" s="58" t="s">
        <v>127</v>
      </c>
      <c r="C97" s="68"/>
      <c r="D97" s="60">
        <v>0</v>
      </c>
      <c r="E97" s="60" t="s">
        <v>50</v>
      </c>
      <c r="F97" s="60" t="s">
        <v>51</v>
      </c>
      <c r="G97" s="60">
        <f t="shared" si="3"/>
        <v>0</v>
      </c>
      <c r="H97" s="62" t="str">
        <f t="shared" si="4"/>
        <v/>
      </c>
    </row>
    <row r="98" spans="2:8" x14ac:dyDescent="0.25">
      <c r="B98" s="58" t="s">
        <v>128</v>
      </c>
      <c r="C98" s="68"/>
      <c r="D98" s="60">
        <v>0</v>
      </c>
      <c r="E98" s="60" t="s">
        <v>50</v>
      </c>
      <c r="F98" s="60" t="s">
        <v>51</v>
      </c>
      <c r="G98" s="60">
        <f t="shared" si="3"/>
        <v>0</v>
      </c>
      <c r="H98" s="62" t="str">
        <f t="shared" si="4"/>
        <v/>
      </c>
    </row>
    <row r="99" spans="2:8" x14ac:dyDescent="0.25">
      <c r="B99" s="58" t="s">
        <v>129</v>
      </c>
      <c r="C99" s="68"/>
      <c r="D99" s="60">
        <v>0</v>
      </c>
      <c r="E99" s="60" t="s">
        <v>50</v>
      </c>
      <c r="F99" s="60" t="s">
        <v>51</v>
      </c>
      <c r="G99" s="60">
        <f t="shared" si="3"/>
        <v>0</v>
      </c>
      <c r="H99" s="62" t="str">
        <f t="shared" si="4"/>
        <v/>
      </c>
    </row>
    <row r="100" spans="2:8" x14ac:dyDescent="0.25">
      <c r="B100" s="58" t="s">
        <v>130</v>
      </c>
      <c r="C100" s="68"/>
      <c r="D100" s="60">
        <v>0</v>
      </c>
      <c r="E100" s="60" t="s">
        <v>50</v>
      </c>
      <c r="F100" s="60" t="s">
        <v>51</v>
      </c>
      <c r="G100" s="60">
        <f t="shared" ref="G100:G106" si="5">$D100+$C100</f>
        <v>0</v>
      </c>
      <c r="H100" s="62" t="str">
        <f t="shared" ref="H100:H106" si="6">IF(AND($D100=0, $G100&gt;0),"new", IF(AND($D100&gt;0, $G100=0),"sold",""))</f>
        <v/>
      </c>
    </row>
    <row r="101" spans="2:8" x14ac:dyDescent="0.25">
      <c r="B101" s="58" t="s">
        <v>131</v>
      </c>
      <c r="C101" s="68"/>
      <c r="D101" s="60">
        <v>0</v>
      </c>
      <c r="E101" s="60" t="s">
        <v>50</v>
      </c>
      <c r="F101" s="60" t="s">
        <v>51</v>
      </c>
      <c r="G101" s="60">
        <f t="shared" si="5"/>
        <v>0</v>
      </c>
      <c r="H101" s="62" t="str">
        <f t="shared" si="6"/>
        <v/>
      </c>
    </row>
    <row r="102" spans="2:8" x14ac:dyDescent="0.25">
      <c r="B102" s="58" t="s">
        <v>132</v>
      </c>
      <c r="C102" s="68"/>
      <c r="D102" s="60">
        <v>0</v>
      </c>
      <c r="E102" s="60" t="s">
        <v>50</v>
      </c>
      <c r="F102" s="60" t="s">
        <v>51</v>
      </c>
      <c r="G102" s="60">
        <f t="shared" si="5"/>
        <v>0</v>
      </c>
      <c r="H102" s="62" t="str">
        <f t="shared" si="6"/>
        <v/>
      </c>
    </row>
    <row r="103" spans="2:8" x14ac:dyDescent="0.25">
      <c r="B103" s="58" t="s">
        <v>133</v>
      </c>
      <c r="C103" s="68"/>
      <c r="D103" s="60">
        <v>0</v>
      </c>
      <c r="E103" s="60" t="s">
        <v>50</v>
      </c>
      <c r="F103" s="60" t="s">
        <v>51</v>
      </c>
      <c r="G103" s="60">
        <f t="shared" si="5"/>
        <v>0</v>
      </c>
      <c r="H103" s="62" t="str">
        <f t="shared" si="6"/>
        <v/>
      </c>
    </row>
    <row r="104" spans="2:8" x14ac:dyDescent="0.25">
      <c r="B104" s="58" t="s">
        <v>134</v>
      </c>
      <c r="C104" s="68"/>
      <c r="D104" s="60">
        <v>0</v>
      </c>
      <c r="E104" s="60" t="s">
        <v>50</v>
      </c>
      <c r="F104" s="60" t="s">
        <v>51</v>
      </c>
      <c r="G104" s="60">
        <f t="shared" si="5"/>
        <v>0</v>
      </c>
      <c r="H104" s="62" t="str">
        <f t="shared" si="6"/>
        <v/>
      </c>
    </row>
    <row r="105" spans="2:8" x14ac:dyDescent="0.25">
      <c r="B105" s="58" t="s">
        <v>135</v>
      </c>
      <c r="C105" s="68"/>
      <c r="D105" s="60">
        <v>0</v>
      </c>
      <c r="E105" s="60" t="s">
        <v>50</v>
      </c>
      <c r="F105" s="60" t="s">
        <v>51</v>
      </c>
      <c r="G105" s="60">
        <f t="shared" si="5"/>
        <v>0</v>
      </c>
      <c r="H105" s="62" t="str">
        <f t="shared" si="6"/>
        <v/>
      </c>
    </row>
    <row r="106" spans="2:8" x14ac:dyDescent="0.25">
      <c r="B106" s="63" t="s">
        <v>136</v>
      </c>
      <c r="C106" s="68"/>
      <c r="D106" s="64">
        <v>0</v>
      </c>
      <c r="E106" s="64" t="s">
        <v>50</v>
      </c>
      <c r="F106" s="64" t="s">
        <v>51</v>
      </c>
      <c r="G106" s="64">
        <f t="shared" si="5"/>
        <v>0</v>
      </c>
      <c r="H106" s="65" t="str">
        <f t="shared" si="6"/>
        <v/>
      </c>
    </row>
    <row r="107" spans="2:8" x14ac:dyDescent="0.25">
      <c r="B107" s="56"/>
      <c r="C107" s="56"/>
      <c r="D107" s="56">
        <f>COUNTIF($D$36:$D$106,"&gt;0")</f>
        <v>3</v>
      </c>
      <c r="E107" s="56" t="s">
        <v>137</v>
      </c>
      <c r="F107" s="56"/>
      <c r="G107" s="56">
        <f>COUNTIF(G36:G106,"&gt;0")</f>
        <v>3</v>
      </c>
      <c r="H107" s="75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abSelected="1" workbookViewId="0">
      <selection activeCell="J15" sqref="J15"/>
    </sheetView>
  </sheetViews>
  <sheetFormatPr defaultColWidth="8.875" defaultRowHeight="15.75" x14ac:dyDescent="0.25"/>
  <cols>
    <col min="1" max="1" width="4.625" style="2" customWidth="1"/>
    <col min="2" max="2" width="16.625" style="2" customWidth="1"/>
    <col min="3" max="14" width="8.625" style="2" customWidth="1"/>
    <col min="15" max="16384" width="8.875" style="2"/>
  </cols>
  <sheetData>
    <row r="2" spans="2:14" x14ac:dyDescent="0.25">
      <c r="B2" s="1" t="s">
        <v>0</v>
      </c>
    </row>
    <row r="3" spans="2:14" x14ac:dyDescent="0.25">
      <c r="B3" s="3" t="s">
        <v>1</v>
      </c>
    </row>
    <row r="4" spans="2:14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 x14ac:dyDescent="0.25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 x14ac:dyDescent="0.25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 x14ac:dyDescent="0.25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 x14ac:dyDescent="0.25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 x14ac:dyDescent="0.25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 x14ac:dyDescent="0.25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 x14ac:dyDescent="0.25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 x14ac:dyDescent="0.25">
      <c r="B14" s="3" t="s">
        <v>21</v>
      </c>
    </row>
    <row r="15" spans="2:14" x14ac:dyDescent="0.25">
      <c r="B15" s="4"/>
      <c r="C15" s="5"/>
      <c r="D15" s="5"/>
      <c r="E15" s="16"/>
      <c r="F15" s="5"/>
      <c r="G15" s="5"/>
      <c r="H15" s="5"/>
    </row>
    <row r="16" spans="2:14" x14ac:dyDescent="0.25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 x14ac:dyDescent="0.25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 x14ac:dyDescent="0.25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 x14ac:dyDescent="0.25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 x14ac:dyDescent="0.25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 x14ac:dyDescent="0.25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 x14ac:dyDescent="0.25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 x14ac:dyDescent="0.25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 x14ac:dyDescent="0.25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 x14ac:dyDescent="0.25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 x14ac:dyDescent="0.25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 x14ac:dyDescent="0.25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 x14ac:dyDescent="0.25">
      <c r="D28" s="24">
        <f>basic_info!$D$5-5</f>
        <v>2014</v>
      </c>
      <c r="E28" s="21"/>
      <c r="F28" s="24">
        <f>basic_info!$D$5-4</f>
        <v>2015</v>
      </c>
      <c r="G28" s="21"/>
      <c r="H28" s="24">
        <f>basic_info!$D$5-3</f>
        <v>2016</v>
      </c>
      <c r="I28" s="21"/>
      <c r="J28" s="24">
        <f>basic_info!$D$5-2</f>
        <v>2017</v>
      </c>
      <c r="K28" s="30"/>
      <c r="L28" s="24">
        <f>basic_info!$D$5-1</f>
        <v>2018</v>
      </c>
      <c r="N28" s="24">
        <f>basic_info!$D$5</f>
        <v>2019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 x14ac:dyDescent="0.25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 x14ac:dyDescent="0.25">
      <c r="B30" s="17" t="s">
        <v>34</v>
      </c>
      <c r="C30" s="9">
        <f>basic_info!D$5</f>
        <v>2019</v>
      </c>
      <c r="D30" s="31">
        <v>0.67168145499527454</v>
      </c>
      <c r="E30" s="32">
        <v>8000</v>
      </c>
      <c r="F30" s="33">
        <v>0.80404254385936813</v>
      </c>
      <c r="G30" s="34">
        <v>0</v>
      </c>
      <c r="H30" s="33">
        <v>0.7527505289227433</v>
      </c>
      <c r="I30" s="34">
        <v>0</v>
      </c>
      <c r="J30" s="35">
        <v>0.88199853992657917</v>
      </c>
      <c r="K30" s="34">
        <v>0</v>
      </c>
      <c r="L30" s="35">
        <v>0</v>
      </c>
      <c r="M30" s="36">
        <v>0</v>
      </c>
      <c r="N30" s="26"/>
      <c r="O30" s="27" t="s">
        <v>35</v>
      </c>
      <c r="P30" s="17">
        <f>M30+K30+I30+E30+G30</f>
        <v>8000</v>
      </c>
      <c r="Q30" s="28"/>
    </row>
    <row r="31" spans="2:33" x14ac:dyDescent="0.25">
      <c r="B31" s="9"/>
      <c r="C31" s="9">
        <f>basic_info!D$5+1</f>
        <v>2020</v>
      </c>
      <c r="D31" s="29"/>
      <c r="E31" s="30"/>
      <c r="F31" s="31">
        <v>0.74553772844970234</v>
      </c>
      <c r="G31" s="32">
        <v>1145.3</v>
      </c>
      <c r="H31" s="33">
        <v>0.69965863319312305</v>
      </c>
      <c r="I31" s="34">
        <v>0</v>
      </c>
      <c r="J31" s="35">
        <v>0.87457866977723531</v>
      </c>
      <c r="K31" s="34">
        <v>0</v>
      </c>
      <c r="L31" s="35">
        <v>0</v>
      </c>
      <c r="M31" s="36">
        <v>0</v>
      </c>
      <c r="N31" s="35">
        <v>0</v>
      </c>
      <c r="O31" s="36">
        <v>0</v>
      </c>
      <c r="P31" s="35">
        <f>O31+M31+K31+I31+G31</f>
        <v>1145.3</v>
      </c>
      <c r="R31" s="30"/>
    </row>
    <row r="32" spans="2:33" x14ac:dyDescent="0.25">
      <c r="B32" s="9"/>
      <c r="C32" s="9">
        <f>basic_info!D$5+2</f>
        <v>2021</v>
      </c>
      <c r="D32" s="29"/>
      <c r="E32" s="30"/>
      <c r="F32" s="30"/>
      <c r="G32" s="30"/>
      <c r="H32" s="31">
        <v>0.67052111424505711</v>
      </c>
      <c r="I32" s="32">
        <v>2000</v>
      </c>
      <c r="J32" s="35">
        <v>0.82996059621196905</v>
      </c>
      <c r="K32" s="34">
        <v>0</v>
      </c>
      <c r="L32" s="35">
        <v>0</v>
      </c>
      <c r="M32" s="36">
        <v>0</v>
      </c>
      <c r="N32" s="35">
        <v>0</v>
      </c>
      <c r="O32" s="36">
        <v>0</v>
      </c>
      <c r="P32" s="35">
        <f>O32+M32+K32+I32</f>
        <v>2000</v>
      </c>
    </row>
    <row r="33" spans="2:17" x14ac:dyDescent="0.25">
      <c r="B33" s="9"/>
      <c r="C33" s="9">
        <f>basic_info!D$5+3</f>
        <v>2022</v>
      </c>
      <c r="D33" s="29"/>
      <c r="E33" s="30"/>
      <c r="F33" s="30"/>
      <c r="G33" s="30"/>
      <c r="H33" s="30"/>
      <c r="I33" s="30"/>
      <c r="J33" s="41">
        <v>0.77235281866490846</v>
      </c>
      <c r="K33" s="32">
        <v>1061.0689556887801</v>
      </c>
      <c r="L33" s="35">
        <v>0</v>
      </c>
      <c r="M33" s="36">
        <v>0</v>
      </c>
      <c r="N33" s="35">
        <v>0</v>
      </c>
      <c r="O33" s="36">
        <v>0</v>
      </c>
      <c r="P33" s="35">
        <f>O33+M33+K33</f>
        <v>1061.0689556887801</v>
      </c>
    </row>
    <row r="34" spans="2:17" x14ac:dyDescent="0.25">
      <c r="B34" s="9"/>
      <c r="C34" s="9">
        <f>basic_info!D$5+4</f>
        <v>2023</v>
      </c>
      <c r="D34" s="29"/>
      <c r="E34" s="30"/>
      <c r="F34" s="30"/>
      <c r="G34" s="30"/>
      <c r="H34" s="30"/>
      <c r="I34" s="30"/>
      <c r="J34" s="30"/>
      <c r="K34" s="30"/>
      <c r="L34" s="41">
        <v>0</v>
      </c>
      <c r="M34" s="36">
        <v>0</v>
      </c>
      <c r="N34" s="35">
        <v>0</v>
      </c>
      <c r="O34" s="36">
        <v>0</v>
      </c>
      <c r="P34" s="35">
        <f>O34+M34</f>
        <v>0</v>
      </c>
    </row>
    <row r="35" spans="2:17" x14ac:dyDescent="0.25">
      <c r="B35" s="12"/>
      <c r="C35" s="9">
        <f>basic_info!D$5+5</f>
        <v>2024</v>
      </c>
      <c r="D35" s="37"/>
      <c r="E35" s="38"/>
      <c r="F35" s="38"/>
      <c r="G35" s="38"/>
      <c r="H35" s="38"/>
      <c r="I35" s="38"/>
      <c r="J35" s="38"/>
      <c r="K35" s="38"/>
      <c r="L35" s="39"/>
      <c r="M35" s="40"/>
      <c r="N35" s="41">
        <v>0</v>
      </c>
      <c r="O35" s="36">
        <v>0</v>
      </c>
      <c r="P35" s="42">
        <f>O35</f>
        <v>0</v>
      </c>
    </row>
    <row r="36" spans="2:17" x14ac:dyDescent="0.25">
      <c r="B36" s="17" t="s">
        <v>36</v>
      </c>
      <c r="C36" s="9">
        <f>basic_info!D$5</f>
        <v>2019</v>
      </c>
      <c r="D36" s="31">
        <v>0.87392979428172113</v>
      </c>
      <c r="E36" s="32">
        <v>12000</v>
      </c>
      <c r="F36" s="33">
        <v>1.0036399921766941</v>
      </c>
      <c r="G36" s="34">
        <v>0</v>
      </c>
      <c r="H36" s="33">
        <v>1.0042666663707007</v>
      </c>
      <c r="I36" s="34">
        <v>0</v>
      </c>
      <c r="J36" s="33">
        <v>1.0512236928821403</v>
      </c>
      <c r="K36" s="34">
        <v>0</v>
      </c>
      <c r="L36" s="33">
        <v>0</v>
      </c>
      <c r="M36" s="36">
        <v>0</v>
      </c>
      <c r="N36" s="43"/>
      <c r="O36" s="27" t="s">
        <v>35</v>
      </c>
      <c r="P36" s="17">
        <f>M36+K36+I36+E36+G36</f>
        <v>12000</v>
      </c>
      <c r="Q36" s="28"/>
    </row>
    <row r="37" spans="2:17" x14ac:dyDescent="0.25">
      <c r="B37" s="9"/>
      <c r="C37" s="9">
        <f>basic_info!D$5+1</f>
        <v>2020</v>
      </c>
      <c r="D37" s="29"/>
      <c r="E37" s="30"/>
      <c r="F37" s="31">
        <v>0.93049090272188195</v>
      </c>
      <c r="G37" s="32">
        <v>298.27199999999999</v>
      </c>
      <c r="H37" s="33">
        <v>0.94087785036126215</v>
      </c>
      <c r="I37" s="34">
        <v>15000</v>
      </c>
      <c r="J37" s="33">
        <v>1.0674782123792534</v>
      </c>
      <c r="K37" s="34">
        <v>0</v>
      </c>
      <c r="L37" s="33">
        <v>0</v>
      </c>
      <c r="M37" s="36">
        <v>0</v>
      </c>
      <c r="N37" s="33">
        <v>0</v>
      </c>
      <c r="O37" s="36">
        <v>0</v>
      </c>
      <c r="P37" s="35">
        <f>O37+M37+K37+I37+G37</f>
        <v>15298.272000000001</v>
      </c>
    </row>
    <row r="38" spans="2:17" x14ac:dyDescent="0.25">
      <c r="B38" s="9"/>
      <c r="C38" s="9">
        <f>basic_info!D$5+2</f>
        <v>2021</v>
      </c>
      <c r="D38" s="29"/>
      <c r="E38" s="30"/>
      <c r="F38" s="30"/>
      <c r="G38" s="30"/>
      <c r="H38" s="31">
        <v>0.88851178684830667</v>
      </c>
      <c r="I38" s="32">
        <v>20000</v>
      </c>
      <c r="J38" s="33">
        <v>0.9979103092184296</v>
      </c>
      <c r="K38" s="34">
        <v>0</v>
      </c>
      <c r="L38" s="33">
        <v>0</v>
      </c>
      <c r="M38" s="36">
        <v>0</v>
      </c>
      <c r="N38" s="33">
        <v>0</v>
      </c>
      <c r="O38" s="36">
        <v>0</v>
      </c>
      <c r="P38" s="35">
        <f>O38+M38+K38+I38</f>
        <v>20000</v>
      </c>
    </row>
    <row r="39" spans="2:17" x14ac:dyDescent="0.25">
      <c r="B39" s="9"/>
      <c r="C39" s="9">
        <f>basic_info!D$5+3</f>
        <v>2022</v>
      </c>
      <c r="D39" s="29"/>
      <c r="E39" s="30"/>
      <c r="F39" s="30"/>
      <c r="G39" s="30"/>
      <c r="H39" s="30"/>
      <c r="I39" s="30"/>
      <c r="J39" s="31">
        <v>0.91683839964866642</v>
      </c>
      <c r="K39" s="32">
        <v>1174.49255197912</v>
      </c>
      <c r="L39" s="33">
        <v>0</v>
      </c>
      <c r="M39" s="36">
        <v>0</v>
      </c>
      <c r="N39" s="33">
        <v>0</v>
      </c>
      <c r="O39" s="36">
        <v>0</v>
      </c>
      <c r="P39" s="35">
        <f>O39+M39+K39</f>
        <v>1174.49255197912</v>
      </c>
    </row>
    <row r="40" spans="2:17" x14ac:dyDescent="0.25">
      <c r="B40" s="9"/>
      <c r="C40" s="9">
        <f>basic_info!D$5+4</f>
        <v>2023</v>
      </c>
      <c r="D40" s="29"/>
      <c r="E40" s="30"/>
      <c r="F40" s="30"/>
      <c r="G40" s="30"/>
      <c r="H40" s="30"/>
      <c r="I40" s="30"/>
      <c r="J40" s="30"/>
      <c r="K40" s="30"/>
      <c r="L40" s="31">
        <v>0</v>
      </c>
      <c r="M40" s="36">
        <v>0</v>
      </c>
      <c r="N40" s="33">
        <v>0</v>
      </c>
      <c r="O40" s="36">
        <v>0</v>
      </c>
      <c r="P40" s="35">
        <f>O40+M40</f>
        <v>0</v>
      </c>
    </row>
    <row r="41" spans="2:17" x14ac:dyDescent="0.25">
      <c r="B41" s="12"/>
      <c r="C41" s="9">
        <f>basic_info!D$5+5</f>
        <v>2024</v>
      </c>
      <c r="D41" s="37"/>
      <c r="E41" s="38"/>
      <c r="F41" s="38"/>
      <c r="G41" s="38"/>
      <c r="H41" s="38"/>
      <c r="I41" s="38"/>
      <c r="J41" s="38"/>
      <c r="K41" s="38"/>
      <c r="L41" s="39"/>
      <c r="M41" s="40"/>
      <c r="N41" s="31">
        <v>0</v>
      </c>
      <c r="O41" s="36">
        <v>0</v>
      </c>
      <c r="P41" s="41">
        <f>O41</f>
        <v>0</v>
      </c>
    </row>
    <row r="42" spans="2:17" x14ac:dyDescent="0.2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 x14ac:dyDescent="0.25">
      <c r="B44" s="3" t="s">
        <v>37</v>
      </c>
    </row>
    <row r="45" spans="2:17" x14ac:dyDescent="0.25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 x14ac:dyDescent="0.25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 x14ac:dyDescent="0.25">
      <c r="B47" s="17" t="s">
        <v>34</v>
      </c>
      <c r="C47" s="44">
        <v>8.3333329999999997</v>
      </c>
      <c r="D47" s="44">
        <v>8.3333329999999997</v>
      </c>
      <c r="E47" s="44">
        <v>8.3333329999999997</v>
      </c>
      <c r="F47" s="44">
        <v>8.3333329999999997</v>
      </c>
      <c r="G47" s="44">
        <v>8.3333329999999997</v>
      </c>
      <c r="H47" s="44">
        <v>8.3333329999999997</v>
      </c>
      <c r="I47" s="44">
        <v>8.3333329999999997</v>
      </c>
      <c r="J47" s="44">
        <v>8.3333329999999997</v>
      </c>
      <c r="K47" s="44">
        <v>8.3333329999999997</v>
      </c>
      <c r="L47" s="44">
        <v>8.3333329999999997</v>
      </c>
      <c r="M47" s="44">
        <v>8.3333329999999997</v>
      </c>
      <c r="N47" s="44">
        <v>8.3333329999999997</v>
      </c>
      <c r="O47" s="6">
        <f>SUM(C47:N47)</f>
        <v>99.999995999999967</v>
      </c>
    </row>
    <row r="48" spans="2:17" x14ac:dyDescent="0.25">
      <c r="B48" s="12" t="s">
        <v>36</v>
      </c>
      <c r="C48" s="44">
        <v>8.3333329999999997</v>
      </c>
      <c r="D48" s="44">
        <v>8.3333329999999997</v>
      </c>
      <c r="E48" s="44">
        <v>8.3333329999999997</v>
      </c>
      <c r="F48" s="44">
        <v>8.3333329999999997</v>
      </c>
      <c r="G48" s="44">
        <v>8.3333329999999997</v>
      </c>
      <c r="H48" s="44">
        <v>8.3333329999999997</v>
      </c>
      <c r="I48" s="44">
        <v>8.3333329999999997</v>
      </c>
      <c r="J48" s="44">
        <v>8.3333329999999997</v>
      </c>
      <c r="K48" s="44">
        <v>8.3333329999999997</v>
      </c>
      <c r="L48" s="44">
        <v>8.3333329999999997</v>
      </c>
      <c r="M48" s="44">
        <v>8.3333329999999997</v>
      </c>
      <c r="N48" s="44">
        <v>8.3333329999999997</v>
      </c>
      <c r="O48" s="6">
        <f>SUM(C48:N48)</f>
        <v>99.999995999999967</v>
      </c>
    </row>
    <row r="49" spans="2:15" x14ac:dyDescent="0.2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 M36:M40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 M30:M34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defaultColWidth="8.875" defaultRowHeight="15.75" x14ac:dyDescent="0.25"/>
  <cols>
    <col min="1" max="1" width="4.625" style="2" customWidth="1"/>
    <col min="2" max="2" width="17.375" style="2" customWidth="1"/>
    <col min="3" max="16384" width="8.875" style="2"/>
  </cols>
  <sheetData>
    <row r="2" spans="2:18" x14ac:dyDescent="0.25">
      <c r="B2" s="1" t="s">
        <v>138</v>
      </c>
    </row>
    <row r="3" spans="2:18" x14ac:dyDescent="0.25">
      <c r="B3" s="3" t="s">
        <v>139</v>
      </c>
    </row>
    <row r="4" spans="2:18" x14ac:dyDescent="0.25">
      <c r="B4" s="76"/>
      <c r="C4" s="76"/>
      <c r="D4" s="76"/>
      <c r="E4" s="76"/>
      <c r="F4" s="76"/>
      <c r="G4" s="76"/>
      <c r="H4" s="76"/>
      <c r="I4" s="76"/>
      <c r="J4" s="21"/>
      <c r="K4" s="21"/>
      <c r="L4" s="21"/>
      <c r="M4" s="21"/>
      <c r="N4" s="21"/>
      <c r="O4" s="21"/>
    </row>
    <row r="5" spans="2:18" x14ac:dyDescent="0.25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 x14ac:dyDescent="0.25">
      <c r="B6" s="24" t="s">
        <v>141</v>
      </c>
      <c r="C6" s="77">
        <v>0</v>
      </c>
      <c r="D6" s="77">
        <v>0</v>
      </c>
      <c r="E6" s="77">
        <v>61.617067175016146</v>
      </c>
      <c r="F6" s="77">
        <v>0</v>
      </c>
      <c r="G6" s="77">
        <v>0</v>
      </c>
      <c r="H6" s="77">
        <v>38.382932824983861</v>
      </c>
      <c r="I6" s="78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 x14ac:dyDescent="0.25">
      <c r="B7" s="24" t="s">
        <v>16</v>
      </c>
      <c r="C7" s="77">
        <v>0</v>
      </c>
      <c r="D7" s="77">
        <v>0</v>
      </c>
      <c r="E7" s="77">
        <v>100</v>
      </c>
      <c r="F7" s="77">
        <v>0</v>
      </c>
      <c r="G7" s="77">
        <v>0</v>
      </c>
      <c r="H7" s="77">
        <v>0</v>
      </c>
      <c r="I7" s="78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 x14ac:dyDescent="0.25">
      <c r="B8" s="24" t="s">
        <v>17</v>
      </c>
      <c r="C8" s="77">
        <v>0</v>
      </c>
      <c r="D8" s="77">
        <v>0</v>
      </c>
      <c r="E8" s="77">
        <v>1.3280259012988178</v>
      </c>
      <c r="F8" s="77">
        <v>98.67197409870117</v>
      </c>
      <c r="G8" s="77">
        <v>0</v>
      </c>
      <c r="H8" s="77">
        <v>0</v>
      </c>
      <c r="I8" s="78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 x14ac:dyDescent="0.25">
      <c r="B9" s="24" t="s">
        <v>18</v>
      </c>
      <c r="C9" s="77">
        <v>0</v>
      </c>
      <c r="D9" s="77">
        <v>66.411098994516351</v>
      </c>
      <c r="E9" s="77">
        <v>0</v>
      </c>
      <c r="F9" s="77">
        <v>0</v>
      </c>
      <c r="G9" s="77">
        <v>33.588899315048579</v>
      </c>
      <c r="H9" s="77">
        <v>0</v>
      </c>
      <c r="I9" s="78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 x14ac:dyDescent="0.25">
      <c r="B10" s="24" t="s">
        <v>19</v>
      </c>
      <c r="C10" s="77">
        <v>0</v>
      </c>
      <c r="D10" s="77">
        <v>0</v>
      </c>
      <c r="E10" s="77">
        <v>100</v>
      </c>
      <c r="F10" s="77">
        <v>0</v>
      </c>
      <c r="G10" s="77">
        <v>0</v>
      </c>
      <c r="H10" s="77">
        <v>0</v>
      </c>
      <c r="I10" s="78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 x14ac:dyDescent="0.25">
      <c r="B11" s="24" t="s">
        <v>20</v>
      </c>
      <c r="C11" s="79">
        <v>0</v>
      </c>
      <c r="D11" s="79">
        <v>0</v>
      </c>
      <c r="E11" s="79">
        <v>100</v>
      </c>
      <c r="F11" s="79">
        <v>0</v>
      </c>
      <c r="G11" s="79">
        <v>0</v>
      </c>
      <c r="H11" s="79">
        <v>0</v>
      </c>
      <c r="I11" s="80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 x14ac:dyDescent="0.25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 x14ac:dyDescent="0.25">
      <c r="C13" s="21"/>
      <c r="D13" s="21"/>
      <c r="E13" s="21"/>
      <c r="F13" s="21"/>
      <c r="G13" s="21"/>
      <c r="H13" s="21"/>
      <c r="I13" s="20"/>
      <c r="J13" s="20"/>
      <c r="K13" s="20"/>
    </row>
    <row r="14" spans="2:18" x14ac:dyDescent="0.25">
      <c r="B14" s="81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 x14ac:dyDescent="0.25">
      <c r="B15" s="82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 x14ac:dyDescent="0.25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 x14ac:dyDescent="0.25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 x14ac:dyDescent="0.25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 x14ac:dyDescent="0.25">
      <c r="B19" s="24" t="s">
        <v>148</v>
      </c>
      <c r="C19" s="79">
        <v>0</v>
      </c>
      <c r="D19" s="25">
        <f>100-$C$19</f>
        <v>100</v>
      </c>
      <c r="E19" s="79">
        <v>42.41</v>
      </c>
      <c r="F19" s="25">
        <f>100-$E$19</f>
        <v>57.59</v>
      </c>
      <c r="G19" s="79">
        <v>51.41</v>
      </c>
      <c r="H19" s="6">
        <f>100-$G$19</f>
        <v>48.59</v>
      </c>
      <c r="O19" s="20"/>
      <c r="P19" s="20"/>
      <c r="Q19" s="20"/>
    </row>
    <row r="20" spans="2:18" x14ac:dyDescent="0.25">
      <c r="B20" s="83"/>
      <c r="C20" s="83"/>
      <c r="D20" s="83"/>
      <c r="E20" s="83"/>
      <c r="F20" s="83"/>
      <c r="G20" s="83"/>
      <c r="H20" s="83"/>
      <c r="I20" s="20"/>
      <c r="J20" s="20"/>
      <c r="K20" s="20"/>
      <c r="L20" s="20"/>
      <c r="O20" s="20"/>
      <c r="P20" s="20"/>
      <c r="Q20" s="20"/>
    </row>
    <row r="21" spans="2:18" x14ac:dyDescent="0.25">
      <c r="I21" s="20"/>
      <c r="J21" s="20"/>
      <c r="K21" s="20"/>
    </row>
    <row r="22" spans="2:18" x14ac:dyDescent="0.25">
      <c r="B22" s="81" t="s">
        <v>138</v>
      </c>
      <c r="I22" s="20"/>
      <c r="J22" s="20"/>
      <c r="K22" s="20"/>
    </row>
    <row r="23" spans="2:18" x14ac:dyDescent="0.25">
      <c r="B23" s="84" t="s">
        <v>149</v>
      </c>
      <c r="I23" s="20"/>
      <c r="J23" s="20"/>
      <c r="K23" s="20"/>
    </row>
    <row r="24" spans="2:18" x14ac:dyDescent="0.25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 x14ac:dyDescent="0.25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 x14ac:dyDescent="0.25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 x14ac:dyDescent="0.25">
      <c r="B27" s="24" t="s">
        <v>69</v>
      </c>
      <c r="C27" s="77">
        <v>0</v>
      </c>
      <c r="D27" s="77">
        <v>0</v>
      </c>
      <c r="E27" s="77">
        <v>0</v>
      </c>
      <c r="F27" s="77">
        <v>0</v>
      </c>
      <c r="G27" s="77">
        <v>0.21197611750920356</v>
      </c>
      <c r="H27" s="77">
        <v>23.473658877802158</v>
      </c>
      <c r="I27" s="85">
        <v>20.714539353967595</v>
      </c>
      <c r="P27" s="20"/>
      <c r="Q27" s="20"/>
      <c r="R27" s="20"/>
    </row>
    <row r="28" spans="2:18" x14ac:dyDescent="0.25">
      <c r="B28" s="24" t="s">
        <v>93</v>
      </c>
      <c r="C28" s="77">
        <v>0</v>
      </c>
      <c r="D28" s="77">
        <v>0</v>
      </c>
      <c r="E28" s="77">
        <v>0</v>
      </c>
      <c r="F28" s="77">
        <v>100</v>
      </c>
      <c r="G28" s="77">
        <v>99.788023882490791</v>
      </c>
      <c r="H28" s="77">
        <v>0</v>
      </c>
      <c r="I28" s="85">
        <v>0</v>
      </c>
      <c r="P28" s="20"/>
      <c r="Q28" s="20"/>
      <c r="R28" s="20"/>
    </row>
    <row r="29" spans="2:18" x14ac:dyDescent="0.25">
      <c r="B29" s="24" t="s">
        <v>106</v>
      </c>
      <c r="C29" s="77">
        <v>100</v>
      </c>
      <c r="D29" s="77">
        <v>0</v>
      </c>
      <c r="E29" s="77">
        <v>0</v>
      </c>
      <c r="F29" s="77">
        <v>0</v>
      </c>
      <c r="G29" s="77">
        <v>0</v>
      </c>
      <c r="H29" s="77">
        <v>76.52634111877795</v>
      </c>
      <c r="I29" s="85">
        <v>79.285459296001591</v>
      </c>
      <c r="P29" s="20"/>
      <c r="Q29" s="20"/>
      <c r="R29" s="20"/>
    </row>
    <row r="30" spans="2:18" x14ac:dyDescent="0.25">
      <c r="B30" s="24" t="s">
        <v>33</v>
      </c>
      <c r="C30" s="86">
        <f>SUM($C$27:$C$29)</f>
        <v>100</v>
      </c>
      <c r="D30" s="86">
        <f>SUM($D$27:$D$29)</f>
        <v>0</v>
      </c>
      <c r="E30" s="86">
        <f>SUM($E$27:$E$29)</f>
        <v>0</v>
      </c>
      <c r="F30" s="86">
        <f>SUM($F$27:$F$29)</f>
        <v>100</v>
      </c>
      <c r="G30" s="86">
        <f>SUM($G$27:$G$29)</f>
        <v>100</v>
      </c>
      <c r="H30" s="86">
        <f>SUM($H$27:$H$29)</f>
        <v>99.999999996580101</v>
      </c>
      <c r="I30" s="80">
        <f>SUM($I$27:$I$29)</f>
        <v>99.999998649969186</v>
      </c>
      <c r="P30" s="20"/>
      <c r="Q30" s="20"/>
      <c r="R30" s="20"/>
    </row>
    <row r="31" spans="2:18" x14ac:dyDescent="0.25">
      <c r="B31" s="83"/>
      <c r="C31" s="83"/>
      <c r="D31" s="83"/>
      <c r="E31" s="83"/>
      <c r="F31" s="83"/>
      <c r="G31" s="83"/>
      <c r="H31" s="83"/>
      <c r="I31" s="83"/>
      <c r="P31" s="20"/>
      <c r="Q31" s="20"/>
      <c r="R31" s="20"/>
    </row>
    <row r="32" spans="2:18" x14ac:dyDescent="0.25">
      <c r="I32" s="20"/>
      <c r="J32" s="20"/>
      <c r="K32" s="20"/>
    </row>
    <row r="33" spans="2:14" x14ac:dyDescent="0.25">
      <c r="B33" s="81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 x14ac:dyDescent="0.25">
      <c r="B34" s="82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 x14ac:dyDescent="0.2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 x14ac:dyDescent="0.25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 x14ac:dyDescent="0.25">
      <c r="B37" s="24" t="s">
        <v>69</v>
      </c>
      <c r="C37" s="77">
        <v>26.000277050556484</v>
      </c>
      <c r="D37" s="77">
        <v>26.000277050556484</v>
      </c>
      <c r="E37" s="77">
        <v>26.000277050556484</v>
      </c>
      <c r="F37" s="77">
        <v>26.000277050556484</v>
      </c>
      <c r="G37" s="77">
        <v>26.000277050556484</v>
      </c>
      <c r="H37" s="77">
        <v>26.000277050556484</v>
      </c>
      <c r="I37" s="77">
        <v>26.000277050556484</v>
      </c>
      <c r="J37" s="77">
        <v>26.000277050556484</v>
      </c>
      <c r="K37" s="77">
        <v>26.000277050556484</v>
      </c>
      <c r="L37" s="77">
        <v>26.000277050556484</v>
      </c>
      <c r="M37" s="77">
        <v>26.000277050556484</v>
      </c>
      <c r="N37" s="77">
        <v>26.000277050556484</v>
      </c>
    </row>
    <row r="38" spans="2:14" x14ac:dyDescent="0.25">
      <c r="B38" s="24" t="s">
        <v>93</v>
      </c>
      <c r="C38" s="77">
        <v>32.159633133702023</v>
      </c>
      <c r="D38" s="77">
        <v>32.159633133702023</v>
      </c>
      <c r="E38" s="77">
        <v>32.159633133702023</v>
      </c>
      <c r="F38" s="77">
        <v>32.159633133702023</v>
      </c>
      <c r="G38" s="77">
        <v>32.159633133702023</v>
      </c>
      <c r="H38" s="77">
        <v>32.159633133702023</v>
      </c>
      <c r="I38" s="77">
        <v>32.159633133702023</v>
      </c>
      <c r="J38" s="77">
        <v>32.159633133702023</v>
      </c>
      <c r="K38" s="77">
        <v>32.159633133702023</v>
      </c>
      <c r="L38" s="77">
        <v>32.159633133702023</v>
      </c>
      <c r="M38" s="77">
        <v>32.159633133702023</v>
      </c>
      <c r="N38" s="77">
        <v>32.159633133702023</v>
      </c>
    </row>
    <row r="39" spans="2:14" x14ac:dyDescent="0.25">
      <c r="B39" s="24" t="s">
        <v>106</v>
      </c>
      <c r="C39" s="79">
        <v>37.67670338204011</v>
      </c>
      <c r="D39" s="79">
        <v>37.67670338204011</v>
      </c>
      <c r="E39" s="79">
        <v>37.67670338204011</v>
      </c>
      <c r="F39" s="79">
        <v>37.67670338204011</v>
      </c>
      <c r="G39" s="79">
        <v>37.67670338204011</v>
      </c>
      <c r="H39" s="79">
        <v>37.67670338204011</v>
      </c>
      <c r="I39" s="79">
        <v>37.67670338204011</v>
      </c>
      <c r="J39" s="79">
        <v>37.67670338204011</v>
      </c>
      <c r="K39" s="79">
        <v>37.67670338204011</v>
      </c>
      <c r="L39" s="79">
        <v>37.67670338204011</v>
      </c>
      <c r="M39" s="79">
        <v>37.67670338204011</v>
      </c>
      <c r="N39" s="79">
        <v>37.67670338204011</v>
      </c>
    </row>
    <row r="40" spans="2:14" x14ac:dyDescent="0.2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 x14ac:dyDescent="0.25">
      <c r="I41" s="20"/>
      <c r="J41" s="20"/>
      <c r="K41" s="20"/>
    </row>
    <row r="42" spans="2:14" x14ac:dyDescent="0.25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 x14ac:dyDescent="0.25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 x14ac:dyDescent="0.25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 x14ac:dyDescent="0.25">
      <c r="B45" s="87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 x14ac:dyDescent="0.25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 x14ac:dyDescent="0.25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 x14ac:dyDescent="0.25">
      <c r="P51" s="20"/>
      <c r="Q51" s="20"/>
      <c r="R51" s="20"/>
      <c r="S51" s="20"/>
      <c r="T51" s="20"/>
      <c r="U51" s="20"/>
      <c r="V51" s="20"/>
      <c r="W51" s="20"/>
      <c r="X51" s="20"/>
    </row>
    <row r="63" spans="2:24" x14ac:dyDescent="0.25">
      <c r="I63" s="20"/>
      <c r="J63" s="20"/>
    </row>
    <row r="64" spans="2:24" x14ac:dyDescent="0.25">
      <c r="I64" s="20"/>
      <c r="J64" s="20"/>
    </row>
    <row r="65" spans="9:10" x14ac:dyDescent="0.25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selection activeCell="L12" sqref="L12"/>
    </sheetView>
  </sheetViews>
  <sheetFormatPr defaultColWidth="8.875" defaultRowHeight="15.75" x14ac:dyDescent="0.25"/>
  <cols>
    <col min="1" max="2" width="4.625" style="2" customWidth="1"/>
    <col min="3" max="3" width="12.625" style="2" customWidth="1"/>
    <col min="4" max="15" width="8.625" style="2" customWidth="1"/>
    <col min="16" max="16384" width="8.875" style="2"/>
  </cols>
  <sheetData>
    <row r="2" spans="2:15" x14ac:dyDescent="0.25">
      <c r="C2" s="1" t="s">
        <v>155</v>
      </c>
    </row>
    <row r="3" spans="2:15" x14ac:dyDescent="0.25">
      <c r="C3" s="3" t="s">
        <v>156</v>
      </c>
    </row>
    <row r="4" spans="2:15" x14ac:dyDescent="0.25">
      <c r="C4" s="88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 x14ac:dyDescent="0.25">
      <c r="B5" s="89" t="s">
        <v>157</v>
      </c>
      <c r="C5" s="90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 x14ac:dyDescent="0.25">
      <c r="C6" s="17" t="s">
        <v>159</v>
      </c>
      <c r="D6" s="36">
        <v>1.7</v>
      </c>
      <c r="E6" s="36">
        <v>1.7</v>
      </c>
      <c r="F6" s="36">
        <v>1.7</v>
      </c>
      <c r="G6" s="36">
        <v>1.7</v>
      </c>
      <c r="H6" s="36">
        <v>1.7</v>
      </c>
      <c r="I6" s="36">
        <v>1.7</v>
      </c>
      <c r="J6" s="36">
        <v>1.7</v>
      </c>
      <c r="K6" s="36">
        <v>1.7</v>
      </c>
      <c r="L6" s="36">
        <v>1.7</v>
      </c>
      <c r="M6" s="36">
        <v>1.7</v>
      </c>
      <c r="N6" s="36">
        <v>1.7</v>
      </c>
      <c r="O6" s="36">
        <v>1.7</v>
      </c>
    </row>
    <row r="7" spans="2:15" x14ac:dyDescent="0.25">
      <c r="C7" s="9" t="s">
        <v>160</v>
      </c>
      <c r="D7" s="36">
        <v>2</v>
      </c>
      <c r="E7" s="36">
        <v>2</v>
      </c>
      <c r="F7" s="36">
        <v>2</v>
      </c>
      <c r="G7" s="36">
        <v>2</v>
      </c>
      <c r="H7" s="36">
        <v>2</v>
      </c>
      <c r="I7" s="36">
        <v>2</v>
      </c>
      <c r="J7" s="36">
        <v>2</v>
      </c>
      <c r="K7" s="36">
        <v>2</v>
      </c>
      <c r="L7" s="36">
        <v>2</v>
      </c>
      <c r="M7" s="36">
        <v>2</v>
      </c>
      <c r="N7" s="36">
        <v>2</v>
      </c>
      <c r="O7" s="36">
        <v>2</v>
      </c>
    </row>
    <row r="8" spans="2:15" x14ac:dyDescent="0.25">
      <c r="C8" s="9" t="s">
        <v>161</v>
      </c>
      <c r="D8" s="36">
        <v>2.25</v>
      </c>
      <c r="E8" s="36">
        <v>2.25</v>
      </c>
      <c r="F8" s="36">
        <v>2.25</v>
      </c>
      <c r="G8" s="36">
        <v>2.25</v>
      </c>
      <c r="H8" s="36">
        <v>2.25</v>
      </c>
      <c r="I8" s="36">
        <v>2.25</v>
      </c>
      <c r="J8" s="36">
        <v>2.25</v>
      </c>
      <c r="K8" s="36">
        <v>2.25</v>
      </c>
      <c r="L8" s="36">
        <v>2.25</v>
      </c>
      <c r="M8" s="36">
        <v>2.25</v>
      </c>
      <c r="N8" s="36">
        <v>2.25</v>
      </c>
      <c r="O8" s="36">
        <v>2.25</v>
      </c>
    </row>
    <row r="9" spans="2:15" x14ac:dyDescent="0.25">
      <c r="C9" s="9" t="s">
        <v>162</v>
      </c>
      <c r="D9" s="36">
        <v>2.25</v>
      </c>
      <c r="E9" s="36">
        <v>2.25</v>
      </c>
      <c r="F9" s="36">
        <v>2.25</v>
      </c>
      <c r="G9" s="36">
        <v>2.25</v>
      </c>
      <c r="H9" s="36">
        <v>2.25</v>
      </c>
      <c r="I9" s="36">
        <v>2.25</v>
      </c>
      <c r="J9" s="36">
        <v>2.25</v>
      </c>
      <c r="K9" s="36">
        <v>2.25</v>
      </c>
      <c r="L9" s="36">
        <v>2.25</v>
      </c>
      <c r="M9" s="36">
        <v>2.25</v>
      </c>
      <c r="N9" s="36">
        <v>2.25</v>
      </c>
      <c r="O9" s="36">
        <v>2.25</v>
      </c>
    </row>
    <row r="10" spans="2:15" x14ac:dyDescent="0.25">
      <c r="C10" s="9" t="s">
        <v>163</v>
      </c>
      <c r="D10" s="36">
        <v>2.5</v>
      </c>
      <c r="E10" s="36">
        <v>2.5</v>
      </c>
      <c r="F10" s="36">
        <v>2.5</v>
      </c>
      <c r="G10" s="36">
        <v>2.5</v>
      </c>
      <c r="H10" s="36">
        <v>2.5</v>
      </c>
      <c r="I10" s="36">
        <v>2.5</v>
      </c>
      <c r="J10" s="36">
        <v>2.5</v>
      </c>
      <c r="K10" s="36">
        <v>2.5</v>
      </c>
      <c r="L10" s="36">
        <v>2.5</v>
      </c>
      <c r="M10" s="36">
        <v>2.5</v>
      </c>
      <c r="N10" s="36">
        <v>2.5</v>
      </c>
      <c r="O10" s="36">
        <v>2.5</v>
      </c>
    </row>
    <row r="11" spans="2:15" x14ac:dyDescent="0.25">
      <c r="C11" s="9" t="s">
        <v>164</v>
      </c>
      <c r="D11" s="36">
        <v>2.6</v>
      </c>
      <c r="E11" s="36">
        <v>2.6</v>
      </c>
      <c r="F11" s="36">
        <v>2.6</v>
      </c>
      <c r="G11" s="36">
        <v>2.6</v>
      </c>
      <c r="H11" s="36">
        <v>2.6</v>
      </c>
      <c r="I11" s="36">
        <v>2.6</v>
      </c>
      <c r="J11" s="36">
        <v>2.6</v>
      </c>
      <c r="K11" s="36">
        <v>2.6</v>
      </c>
      <c r="L11" s="36">
        <v>2.6</v>
      </c>
      <c r="M11" s="36">
        <v>2.6</v>
      </c>
      <c r="N11" s="36">
        <v>2.6</v>
      </c>
      <c r="O11" s="36">
        <v>2.6</v>
      </c>
    </row>
    <row r="12" spans="2:15" x14ac:dyDescent="0.25">
      <c r="C12" s="12" t="s">
        <v>165</v>
      </c>
      <c r="D12" s="36">
        <v>2.7</v>
      </c>
      <c r="E12" s="36">
        <v>2.7</v>
      </c>
      <c r="F12" s="36">
        <v>2.7</v>
      </c>
      <c r="G12" s="36">
        <v>2.7</v>
      </c>
      <c r="H12" s="36">
        <v>2.7</v>
      </c>
      <c r="I12" s="36">
        <v>2.7</v>
      </c>
      <c r="J12" s="36">
        <v>2.7</v>
      </c>
      <c r="K12" s="36">
        <v>2.7</v>
      </c>
      <c r="L12" s="36">
        <v>2.7</v>
      </c>
      <c r="M12" s="36">
        <v>2.7</v>
      </c>
      <c r="N12" s="36">
        <v>2.7</v>
      </c>
      <c r="O12" s="36">
        <v>2.7</v>
      </c>
    </row>
    <row r="13" spans="2:15" x14ac:dyDescent="0.25">
      <c r="C13" s="88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 x14ac:dyDescent="0.25">
      <c r="B14" s="89" t="s">
        <v>146</v>
      </c>
      <c r="C14" s="90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 x14ac:dyDescent="0.25">
      <c r="C15" s="17" t="s">
        <v>159</v>
      </c>
      <c r="D15" s="36">
        <v>3.3</v>
      </c>
      <c r="E15" s="36">
        <v>3.3</v>
      </c>
      <c r="F15" s="36">
        <v>3.3</v>
      </c>
      <c r="G15" s="36">
        <v>3.3</v>
      </c>
      <c r="H15" s="36">
        <v>3.3</v>
      </c>
      <c r="I15" s="36">
        <v>3.3</v>
      </c>
      <c r="J15" s="36">
        <v>3.3</v>
      </c>
      <c r="K15" s="36">
        <v>3.3</v>
      </c>
      <c r="L15" s="36">
        <v>3.3</v>
      </c>
      <c r="M15" s="36">
        <v>3.3</v>
      </c>
      <c r="N15" s="36">
        <v>3.3</v>
      </c>
      <c r="O15" s="36">
        <v>3.3</v>
      </c>
    </row>
    <row r="16" spans="2:15" x14ac:dyDescent="0.25">
      <c r="C16" s="9" t="s">
        <v>160</v>
      </c>
      <c r="D16" s="36">
        <v>3.3</v>
      </c>
      <c r="E16" s="36">
        <v>3.3</v>
      </c>
      <c r="F16" s="36">
        <v>3.3</v>
      </c>
      <c r="G16" s="36">
        <v>3.3</v>
      </c>
      <c r="H16" s="36">
        <v>3.3</v>
      </c>
      <c r="I16" s="36">
        <v>3.3</v>
      </c>
      <c r="J16" s="36">
        <v>3.3</v>
      </c>
      <c r="K16" s="36">
        <v>3.3</v>
      </c>
      <c r="L16" s="36">
        <v>3.3</v>
      </c>
      <c r="M16" s="36">
        <v>3.3</v>
      </c>
      <c r="N16" s="36">
        <v>3.3</v>
      </c>
      <c r="O16" s="36">
        <v>3.3</v>
      </c>
    </row>
    <row r="17" spans="2:15" x14ac:dyDescent="0.25">
      <c r="C17" s="9" t="s">
        <v>161</v>
      </c>
      <c r="D17" s="36">
        <v>3.3</v>
      </c>
      <c r="E17" s="36">
        <v>3.3</v>
      </c>
      <c r="F17" s="36">
        <v>3.3</v>
      </c>
      <c r="G17" s="36">
        <v>3.3</v>
      </c>
      <c r="H17" s="36">
        <v>3.3</v>
      </c>
      <c r="I17" s="36">
        <v>3.3</v>
      </c>
      <c r="J17" s="36">
        <v>3.3</v>
      </c>
      <c r="K17" s="36">
        <v>3.3</v>
      </c>
      <c r="L17" s="36">
        <v>3.3</v>
      </c>
      <c r="M17" s="36">
        <v>3.3</v>
      </c>
      <c r="N17" s="36">
        <v>3.3</v>
      </c>
      <c r="O17" s="36">
        <v>3.3</v>
      </c>
    </row>
    <row r="18" spans="2:15" x14ac:dyDescent="0.25">
      <c r="C18" s="9" t="s">
        <v>162</v>
      </c>
      <c r="D18" s="36">
        <v>3.3</v>
      </c>
      <c r="E18" s="36">
        <v>3.3</v>
      </c>
      <c r="F18" s="36">
        <v>3.3</v>
      </c>
      <c r="G18" s="36">
        <v>3.3</v>
      </c>
      <c r="H18" s="36">
        <v>3.3</v>
      </c>
      <c r="I18" s="36">
        <v>3.3</v>
      </c>
      <c r="J18" s="36">
        <v>3.3</v>
      </c>
      <c r="K18" s="36">
        <v>3.3</v>
      </c>
      <c r="L18" s="36">
        <v>3.3</v>
      </c>
      <c r="M18" s="36">
        <v>3.3</v>
      </c>
      <c r="N18" s="36">
        <v>3.3</v>
      </c>
      <c r="O18" s="36">
        <v>3.3</v>
      </c>
    </row>
    <row r="19" spans="2:15" x14ac:dyDescent="0.25">
      <c r="C19" s="9" t="s">
        <v>163</v>
      </c>
      <c r="D19" s="36">
        <v>3.3</v>
      </c>
      <c r="E19" s="36">
        <v>3.3</v>
      </c>
      <c r="F19" s="36">
        <v>3.3</v>
      </c>
      <c r="G19" s="36">
        <v>3.3</v>
      </c>
      <c r="H19" s="36">
        <v>3.3</v>
      </c>
      <c r="I19" s="36">
        <v>3.3</v>
      </c>
      <c r="J19" s="36">
        <v>3.3</v>
      </c>
      <c r="K19" s="36">
        <v>3.3</v>
      </c>
      <c r="L19" s="36">
        <v>3.3</v>
      </c>
      <c r="M19" s="36">
        <v>3.3</v>
      </c>
      <c r="N19" s="36">
        <v>3.3</v>
      </c>
      <c r="O19" s="36">
        <v>3.3</v>
      </c>
    </row>
    <row r="20" spans="2:15" x14ac:dyDescent="0.25">
      <c r="C20" s="9" t="s">
        <v>164</v>
      </c>
      <c r="D20" s="36">
        <v>3.2</v>
      </c>
      <c r="E20" s="36">
        <v>3.2</v>
      </c>
      <c r="F20" s="36">
        <v>3.2</v>
      </c>
      <c r="G20" s="36">
        <v>3.2</v>
      </c>
      <c r="H20" s="36">
        <v>3.2</v>
      </c>
      <c r="I20" s="36">
        <v>3.2</v>
      </c>
      <c r="J20" s="36">
        <v>3.2</v>
      </c>
      <c r="K20" s="36">
        <v>3.2</v>
      </c>
      <c r="L20" s="36">
        <v>3.2</v>
      </c>
      <c r="M20" s="36">
        <v>3.2</v>
      </c>
      <c r="N20" s="36">
        <v>3.2</v>
      </c>
      <c r="O20" s="36">
        <v>3.2</v>
      </c>
    </row>
    <row r="21" spans="2:15" x14ac:dyDescent="0.25">
      <c r="C21" s="12" t="s">
        <v>165</v>
      </c>
      <c r="D21" s="36">
        <v>3.2</v>
      </c>
      <c r="E21" s="36">
        <v>3.2</v>
      </c>
      <c r="F21" s="36">
        <v>3.2</v>
      </c>
      <c r="G21" s="36">
        <v>3.2</v>
      </c>
      <c r="H21" s="36">
        <v>3.2</v>
      </c>
      <c r="I21" s="36">
        <v>3.2</v>
      </c>
      <c r="J21" s="36">
        <v>3.2</v>
      </c>
      <c r="K21" s="36">
        <v>3.2</v>
      </c>
      <c r="L21" s="36">
        <v>3.2</v>
      </c>
      <c r="M21" s="36">
        <v>3.2</v>
      </c>
      <c r="N21" s="36">
        <v>3.2</v>
      </c>
      <c r="O21" s="36">
        <v>3.2</v>
      </c>
    </row>
    <row r="22" spans="2:15" x14ac:dyDescent="0.25">
      <c r="C22" s="88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 x14ac:dyDescent="0.25">
      <c r="B23" s="89" t="s">
        <v>166</v>
      </c>
      <c r="C23" s="90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 x14ac:dyDescent="0.25">
      <c r="C24" s="17" t="s">
        <v>159</v>
      </c>
      <c r="D24" s="36">
        <v>3.9</v>
      </c>
      <c r="E24" s="36">
        <v>3.9</v>
      </c>
      <c r="F24" s="36">
        <v>3.9</v>
      </c>
      <c r="G24" s="36">
        <v>3.9</v>
      </c>
      <c r="H24" s="36">
        <v>3.9</v>
      </c>
      <c r="I24" s="36">
        <v>3.9</v>
      </c>
      <c r="J24" s="36">
        <v>3.9</v>
      </c>
      <c r="K24" s="36">
        <v>3.9</v>
      </c>
      <c r="L24" s="36">
        <v>3.9</v>
      </c>
      <c r="M24" s="36">
        <v>3.9</v>
      </c>
      <c r="N24" s="36">
        <v>3.9</v>
      </c>
      <c r="O24" s="36">
        <v>3.9</v>
      </c>
    </row>
    <row r="25" spans="2:15" x14ac:dyDescent="0.25">
      <c r="C25" s="9" t="s">
        <v>160</v>
      </c>
      <c r="D25" s="36">
        <v>3.9</v>
      </c>
      <c r="E25" s="36">
        <v>3.9</v>
      </c>
      <c r="F25" s="36">
        <v>3.9</v>
      </c>
      <c r="G25" s="36">
        <v>3.9</v>
      </c>
      <c r="H25" s="36">
        <v>3.9</v>
      </c>
      <c r="I25" s="36">
        <v>3.9</v>
      </c>
      <c r="J25" s="36">
        <v>3.9</v>
      </c>
      <c r="K25" s="36">
        <v>3.9</v>
      </c>
      <c r="L25" s="36">
        <v>3.9</v>
      </c>
      <c r="M25" s="36">
        <v>3.9</v>
      </c>
      <c r="N25" s="36">
        <v>3.9</v>
      </c>
      <c r="O25" s="36">
        <v>3.9</v>
      </c>
    </row>
    <row r="26" spans="2:15" x14ac:dyDescent="0.25">
      <c r="C26" s="9" t="s">
        <v>161</v>
      </c>
      <c r="D26" s="36">
        <v>3.9</v>
      </c>
      <c r="E26" s="36">
        <v>3.9</v>
      </c>
      <c r="F26" s="36">
        <v>3.9</v>
      </c>
      <c r="G26" s="36">
        <v>3.9</v>
      </c>
      <c r="H26" s="36">
        <v>3.9</v>
      </c>
      <c r="I26" s="36">
        <v>3.9</v>
      </c>
      <c r="J26" s="36">
        <v>3.9</v>
      </c>
      <c r="K26" s="36">
        <v>3.9</v>
      </c>
      <c r="L26" s="36">
        <v>3.9</v>
      </c>
      <c r="M26" s="36">
        <v>3.9</v>
      </c>
      <c r="N26" s="36">
        <v>3.9</v>
      </c>
      <c r="O26" s="36">
        <v>3.9</v>
      </c>
    </row>
    <row r="27" spans="2:15" x14ac:dyDescent="0.25">
      <c r="C27" s="9" t="s">
        <v>162</v>
      </c>
      <c r="D27" s="36">
        <v>3.9</v>
      </c>
      <c r="E27" s="36">
        <v>3.9</v>
      </c>
      <c r="F27" s="36">
        <v>3.9</v>
      </c>
      <c r="G27" s="36">
        <v>3.9</v>
      </c>
      <c r="H27" s="36">
        <v>3.9</v>
      </c>
      <c r="I27" s="36">
        <v>3.9</v>
      </c>
      <c r="J27" s="36">
        <v>3.9</v>
      </c>
      <c r="K27" s="36">
        <v>3.9</v>
      </c>
      <c r="L27" s="36">
        <v>3.9</v>
      </c>
      <c r="M27" s="36">
        <v>3.9</v>
      </c>
      <c r="N27" s="36">
        <v>3.9</v>
      </c>
      <c r="O27" s="36">
        <v>3.9</v>
      </c>
    </row>
    <row r="28" spans="2:15" x14ac:dyDescent="0.25">
      <c r="C28" s="9" t="s">
        <v>163</v>
      </c>
      <c r="D28" s="36">
        <v>3.9</v>
      </c>
      <c r="E28" s="36">
        <v>3.9</v>
      </c>
      <c r="F28" s="36">
        <v>3.9</v>
      </c>
      <c r="G28" s="36">
        <v>3.9</v>
      </c>
      <c r="H28" s="36">
        <v>3.9</v>
      </c>
      <c r="I28" s="36">
        <v>3.9</v>
      </c>
      <c r="J28" s="36">
        <v>3.9</v>
      </c>
      <c r="K28" s="36">
        <v>3.9</v>
      </c>
      <c r="L28" s="36">
        <v>3.9</v>
      </c>
      <c r="M28" s="36">
        <v>3.9</v>
      </c>
      <c r="N28" s="36">
        <v>3.9</v>
      </c>
      <c r="O28" s="36">
        <v>3.9</v>
      </c>
    </row>
    <row r="29" spans="2:15" x14ac:dyDescent="0.25">
      <c r="C29" s="9" t="s">
        <v>164</v>
      </c>
      <c r="D29" s="36">
        <v>3.9</v>
      </c>
      <c r="E29" s="36">
        <v>3.9</v>
      </c>
      <c r="F29" s="36">
        <v>3.9</v>
      </c>
      <c r="G29" s="36">
        <v>3.9</v>
      </c>
      <c r="H29" s="36">
        <v>3.9</v>
      </c>
      <c r="I29" s="36">
        <v>3.9</v>
      </c>
      <c r="J29" s="36">
        <v>3.9</v>
      </c>
      <c r="K29" s="36">
        <v>3.9</v>
      </c>
      <c r="L29" s="36">
        <v>3.9</v>
      </c>
      <c r="M29" s="36">
        <v>3.9</v>
      </c>
      <c r="N29" s="36">
        <v>3.9</v>
      </c>
      <c r="O29" s="36">
        <v>3.9</v>
      </c>
    </row>
    <row r="30" spans="2:15" x14ac:dyDescent="0.25">
      <c r="C30" s="12" t="s">
        <v>165</v>
      </c>
      <c r="D30" s="36">
        <v>3.9</v>
      </c>
      <c r="E30" s="36">
        <v>3.9</v>
      </c>
      <c r="F30" s="36">
        <v>3.9</v>
      </c>
      <c r="G30" s="36">
        <v>3.9</v>
      </c>
      <c r="H30" s="36">
        <v>3.9</v>
      </c>
      <c r="I30" s="36">
        <v>3.9</v>
      </c>
      <c r="J30" s="36">
        <v>3.9</v>
      </c>
      <c r="K30" s="36">
        <v>3.9</v>
      </c>
      <c r="L30" s="36">
        <v>3.9</v>
      </c>
      <c r="M30" s="36">
        <v>3.9</v>
      </c>
      <c r="N30" s="36">
        <v>3.9</v>
      </c>
      <c r="O30" s="36">
        <v>3.9</v>
      </c>
    </row>
    <row r="31" spans="2:15" x14ac:dyDescent="0.25">
      <c r="C31" s="8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 x14ac:dyDescent="0.25">
      <c r="B32" s="89" t="s">
        <v>147</v>
      </c>
      <c r="C32" s="90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 x14ac:dyDescent="0.25">
      <c r="C33" s="17" t="s">
        <v>159</v>
      </c>
      <c r="D33" s="36">
        <v>2.7</v>
      </c>
      <c r="E33" s="36">
        <v>2.7</v>
      </c>
      <c r="F33" s="36">
        <v>2.7</v>
      </c>
      <c r="G33" s="36">
        <v>2.7</v>
      </c>
      <c r="H33" s="36">
        <v>2.7</v>
      </c>
      <c r="I33" s="36">
        <v>2.7</v>
      </c>
      <c r="J33" s="36">
        <v>2.7</v>
      </c>
      <c r="K33" s="36">
        <v>2.7</v>
      </c>
      <c r="L33" s="36">
        <v>2.7</v>
      </c>
      <c r="M33" s="36">
        <v>2.7</v>
      </c>
      <c r="N33" s="36">
        <v>2.7</v>
      </c>
      <c r="O33" s="36">
        <v>2.7</v>
      </c>
    </row>
    <row r="34" spans="3:15" x14ac:dyDescent="0.25">
      <c r="C34" s="9" t="s">
        <v>160</v>
      </c>
      <c r="D34" s="36">
        <v>2.4</v>
      </c>
      <c r="E34" s="36">
        <v>2.4</v>
      </c>
      <c r="F34" s="36">
        <v>2.4</v>
      </c>
      <c r="G34" s="36">
        <v>2.4</v>
      </c>
      <c r="H34" s="36">
        <v>2.4</v>
      </c>
      <c r="I34" s="36">
        <v>2.4</v>
      </c>
      <c r="J34" s="36">
        <v>2.4</v>
      </c>
      <c r="K34" s="36">
        <v>2.4</v>
      </c>
      <c r="L34" s="36">
        <v>2.4</v>
      </c>
      <c r="M34" s="36">
        <v>2.4</v>
      </c>
      <c r="N34" s="36">
        <v>2.4</v>
      </c>
      <c r="O34" s="36">
        <v>2.4</v>
      </c>
    </row>
    <row r="35" spans="3:15" x14ac:dyDescent="0.25">
      <c r="C35" s="9" t="s">
        <v>161</v>
      </c>
      <c r="D35" s="36">
        <v>2.2999999999999998</v>
      </c>
      <c r="E35" s="36">
        <v>2.2999999999999998</v>
      </c>
      <c r="F35" s="36">
        <v>2.2999999999999998</v>
      </c>
      <c r="G35" s="36">
        <v>2.2999999999999998</v>
      </c>
      <c r="H35" s="36">
        <v>2.2999999999999998</v>
      </c>
      <c r="I35" s="36">
        <v>2.2999999999999998</v>
      </c>
      <c r="J35" s="36">
        <v>2.2999999999999998</v>
      </c>
      <c r="K35" s="36">
        <v>2.2999999999999998</v>
      </c>
      <c r="L35" s="36">
        <v>2.2999999999999998</v>
      </c>
      <c r="M35" s="36">
        <v>2.2999999999999998</v>
      </c>
      <c r="N35" s="36">
        <v>2.2999999999999998</v>
      </c>
      <c r="O35" s="36">
        <v>2.2999999999999998</v>
      </c>
    </row>
    <row r="36" spans="3:15" x14ac:dyDescent="0.25">
      <c r="C36" s="9" t="s">
        <v>162</v>
      </c>
      <c r="D36" s="36">
        <v>2.5</v>
      </c>
      <c r="E36" s="36">
        <v>2.5</v>
      </c>
      <c r="F36" s="36">
        <v>2.5</v>
      </c>
      <c r="G36" s="36">
        <v>2.5</v>
      </c>
      <c r="H36" s="36">
        <v>2.5</v>
      </c>
      <c r="I36" s="36">
        <v>2.5</v>
      </c>
      <c r="J36" s="36">
        <v>2.5</v>
      </c>
      <c r="K36" s="36">
        <v>2.5</v>
      </c>
      <c r="L36" s="36">
        <v>2.5</v>
      </c>
      <c r="M36" s="36">
        <v>2.5</v>
      </c>
      <c r="N36" s="36">
        <v>2.5</v>
      </c>
      <c r="O36" s="36">
        <v>2.5</v>
      </c>
    </row>
    <row r="37" spans="3:15" x14ac:dyDescent="0.25">
      <c r="C37" s="9" t="s">
        <v>163</v>
      </c>
      <c r="D37" s="36">
        <v>2.6</v>
      </c>
      <c r="E37" s="36">
        <v>2.6</v>
      </c>
      <c r="F37" s="36">
        <v>2.6</v>
      </c>
      <c r="G37" s="36">
        <v>2.6</v>
      </c>
      <c r="H37" s="36">
        <v>2.6</v>
      </c>
      <c r="I37" s="36">
        <v>2.6</v>
      </c>
      <c r="J37" s="36">
        <v>2.6</v>
      </c>
      <c r="K37" s="36">
        <v>2.6</v>
      </c>
      <c r="L37" s="36">
        <v>2.6</v>
      </c>
      <c r="M37" s="36">
        <v>2.6</v>
      </c>
      <c r="N37" s="36">
        <v>2.6</v>
      </c>
      <c r="O37" s="36">
        <v>2.6</v>
      </c>
    </row>
    <row r="38" spans="3:15" x14ac:dyDescent="0.25">
      <c r="C38" s="9" t="s">
        <v>164</v>
      </c>
      <c r="D38" s="36">
        <v>2.8</v>
      </c>
      <c r="E38" s="36">
        <v>2.8</v>
      </c>
      <c r="F38" s="36">
        <v>2.8</v>
      </c>
      <c r="G38" s="36">
        <v>2.8</v>
      </c>
      <c r="H38" s="36">
        <v>2.8</v>
      </c>
      <c r="I38" s="36">
        <v>2.8</v>
      </c>
      <c r="J38" s="36">
        <v>2.8</v>
      </c>
      <c r="K38" s="36">
        <v>2.8</v>
      </c>
      <c r="L38" s="36">
        <v>2.8</v>
      </c>
      <c r="M38" s="36">
        <v>2.8</v>
      </c>
      <c r="N38" s="36">
        <v>2.8</v>
      </c>
      <c r="O38" s="36">
        <v>2.8</v>
      </c>
    </row>
    <row r="39" spans="3:15" x14ac:dyDescent="0.25">
      <c r="C39" s="12" t="s">
        <v>165</v>
      </c>
      <c r="D39" s="36">
        <v>2.6</v>
      </c>
      <c r="E39" s="36">
        <v>2.6</v>
      </c>
      <c r="F39" s="36">
        <v>2.6</v>
      </c>
      <c r="G39" s="36">
        <v>2.6</v>
      </c>
      <c r="H39" s="36">
        <v>2.6</v>
      </c>
      <c r="I39" s="36">
        <v>2.6</v>
      </c>
      <c r="J39" s="36">
        <v>2.6</v>
      </c>
      <c r="K39" s="36">
        <v>2.6</v>
      </c>
      <c r="L39" s="36">
        <v>2.6</v>
      </c>
      <c r="M39" s="36">
        <v>2.6</v>
      </c>
      <c r="N39" s="36">
        <v>2.6</v>
      </c>
      <c r="O39" s="36">
        <v>2.6</v>
      </c>
    </row>
    <row r="40" spans="3:15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Shompa</cp:lastModifiedBy>
  <dcterms:created xsi:type="dcterms:W3CDTF">2014-12-07T20:50:34Z</dcterms:created>
  <dcterms:modified xsi:type="dcterms:W3CDTF">2014-12-09T02:13:50Z</dcterms:modified>
</cp:coreProperties>
</file>