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680" windowHeight="1626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<sst xmlns="http://schemas.openxmlformats.org/spreadsheetml/2006/main" count="509" uniqueCount="167">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</sst>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2027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+VouuZgtYcb8tg+ExQRYzz6NPwHe9tcHf4/0T9b5rCls7SGSYim7gc8YEYOtkwQN3MZhbsw5N5YWkHsraZ/aJA==" saltValue="EJob5/XGfRTqyU1bxb4dK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Va01+Zkhfia2FkndPeUN8VujbCJ/hbagojdtrwR/UieKVFbJSKl08xF7L0O4hNzsZI12tbq5biCo6rdK2uEZow==" saltValue="ITaGMH4CzqLHq8uxo0GhD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2599.4040034966065</v>
      </c>
      <c r="D6" s="87" t="n">
        <v>2599.4040034966065</v>
      </c>
      <c r="E6" s="87" t="n">
        <v>2599.4040034966065</v>
      </c>
      <c r="F6" s="87" t="n">
        <v>2599.4040034966065</v>
      </c>
      <c r="G6" s="87" t="n">
        <v>2599.4040034966065</v>
      </c>
      <c r="H6" s="87" t="n">
        <v>2599.4040034966065</v>
      </c>
      <c r="I6" s="87" t="n">
        <v>2599.4040034966065</v>
      </c>
      <c r="J6" s="87" t="n">
        <v>2599.4040034966065</v>
      </c>
      <c r="K6" s="87" t="n">
        <v>2599.4040034966065</v>
      </c>
      <c r="L6" s="87" t="n">
        <v>2599.4040034966065</v>
      </c>
      <c r="M6" s="87" t="n">
        <v>2599.4040034966065</v>
      </c>
      <c r="N6" s="87" t="n">
        <v>2599.4040034966065</v>
      </c>
    </row>
    <row r="7" spans="2:14">
      <c r="B7" s="36" t="s">
        <v>105</v>
      </c>
      <c r="C7" s="88" t="n">
        <v>2.0323224250698765E-19</v>
      </c>
      <c r="D7" s="89" t="n">
        <v>2.0323224250698765E-19</v>
      </c>
      <c r="E7" s="89" t="n">
        <v>2.0323224250698765E-19</v>
      </c>
      <c r="F7" s="89" t="n">
        <v>2.0323224250698765E-19</v>
      </c>
      <c r="G7" s="89" t="n">
        <v>2.0323224250698765E-19</v>
      </c>
      <c r="H7" s="89" t="n">
        <v>2.0323224250698765E-19</v>
      </c>
      <c r="I7" s="89" t="n">
        <v>2.0323224250698765E-19</v>
      </c>
      <c r="J7" s="89" t="n">
        <v>2.0323224250698765E-19</v>
      </c>
      <c r="K7" s="89" t="n">
        <v>2.0323224250698765E-19</v>
      </c>
      <c r="L7" s="89" t="n">
        <v>2.0323224250698765E-19</v>
      </c>
      <c r="M7" s="89" t="n">
        <v>2.0323224250698765E-19</v>
      </c>
      <c r="N7" s="89" t="n">
        <v>2.0323224250698765E-19</v>
      </c>
    </row>
    <row r="8" spans="2:14">
      <c r="B8" s="36" t="s">
        <v>106</v>
      </c>
      <c r="C8" s="88" t="n">
        <v>160.0</v>
      </c>
      <c r="D8" s="89" t="n">
        <v>160.0</v>
      </c>
      <c r="E8" s="89" t="n">
        <v>160.0</v>
      </c>
      <c r="F8" s="89" t="n">
        <v>160.0</v>
      </c>
      <c r="G8" s="89" t="n">
        <v>160.0</v>
      </c>
      <c r="H8" s="89" t="n">
        <v>160.0</v>
      </c>
      <c r="I8" s="89" t="n">
        <v>160.0</v>
      </c>
      <c r="J8" s="89" t="n">
        <v>160.0</v>
      </c>
      <c r="K8" s="89" t="n">
        <v>160.0</v>
      </c>
      <c r="L8" s="89" t="n">
        <v>160.0</v>
      </c>
      <c r="M8" s="89" t="n">
        <v>160.0</v>
      </c>
      <c r="N8" s="89" t="n">
        <v>160.0</v>
      </c>
    </row>
    <row r="9" spans="2:14">
      <c r="B9" s="36" t="s">
        <v>107</v>
      </c>
      <c r="C9" s="88" t="n">
        <v>789.9999999999998</v>
      </c>
      <c r="D9" s="89" t="n">
        <v>789.9999999999998</v>
      </c>
      <c r="E9" s="89" t="n">
        <v>789.9999999999998</v>
      </c>
      <c r="F9" s="89" t="n">
        <v>789.9999999999998</v>
      </c>
      <c r="G9" s="89" t="n">
        <v>789.9999999999998</v>
      </c>
      <c r="H9" s="89" t="n">
        <v>789.9999999999998</v>
      </c>
      <c r="I9" s="89" t="n">
        <v>789.9999999999998</v>
      </c>
      <c r="J9" s="89" t="n">
        <v>789.9999999999998</v>
      </c>
      <c r="K9" s="89" t="n">
        <v>789.9999999999998</v>
      </c>
      <c r="L9" s="89" t="n">
        <v>789.9999999999998</v>
      </c>
      <c r="M9" s="89" t="n">
        <v>789.9999999999998</v>
      </c>
      <c r="N9" s="89" t="n">
        <v>789.9999999999998</v>
      </c>
    </row>
    <row r="10" spans="2:14">
      <c r="B10" s="36" t="s">
        <v>108</v>
      </c>
      <c r="C10" s="88" t="n">
        <v>2.9505741085036555E-19</v>
      </c>
      <c r="D10" s="89" t="n">
        <v>2.9505741085036555E-19</v>
      </c>
      <c r="E10" s="89" t="n">
        <v>2.9505741085036555E-19</v>
      </c>
      <c r="F10" s="89" t="n">
        <v>2.9505741085036555E-19</v>
      </c>
      <c r="G10" s="89" t="n">
        <v>2.9505741085036555E-19</v>
      </c>
      <c r="H10" s="89" t="n">
        <v>2.9505741085036555E-19</v>
      </c>
      <c r="I10" s="89" t="n">
        <v>2.9505741085036555E-19</v>
      </c>
      <c r="J10" s="89" t="n">
        <v>2.9505741085036555E-19</v>
      </c>
      <c r="K10" s="89" t="n">
        <v>2.9505741085036555E-19</v>
      </c>
      <c r="L10" s="89" t="n">
        <v>2.9505741085036555E-19</v>
      </c>
      <c r="M10" s="89" t="n">
        <v>2.9505741085036555E-19</v>
      </c>
      <c r="N10" s="89" t="n">
        <v>2.9505741085036555E-19</v>
      </c>
    </row>
    <row r="11" spans="2:14">
      <c r="B11" s="37" t="s">
        <v>109</v>
      </c>
      <c r="C11" s="88" t="n">
        <v>2.217855278823773E-19</v>
      </c>
      <c r="D11" s="89" t="n">
        <v>2.217855278823773E-19</v>
      </c>
      <c r="E11" s="89" t="n">
        <v>2.217855278823773E-19</v>
      </c>
      <c r="F11" s="89" t="n">
        <v>2.217855278823773E-19</v>
      </c>
      <c r="G11" s="89" t="n">
        <v>2.217855278823773E-19</v>
      </c>
      <c r="H11" s="89" t="n">
        <v>2.217855278823773E-19</v>
      </c>
      <c r="I11" s="89" t="n">
        <v>2.217855278823773E-19</v>
      </c>
      <c r="J11" s="89" t="n">
        <v>2.217855278823773E-19</v>
      </c>
      <c r="K11" s="89" t="n">
        <v>2.217855278823773E-19</v>
      </c>
      <c r="L11" s="89" t="n">
        <v>2.217855278823773E-19</v>
      </c>
      <c r="M11" s="89" t="n">
        <v>2.217855278823773E-19</v>
      </c>
      <c r="N11" s="89" t="n">
        <v>2.217855278823773E-19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0.555534796285718</v>
      </c>
      <c r="E17" s="90" t="n">
        <v>1.0</v>
      </c>
      <c r="F17" s="90" t="n">
        <v>0.7807194926351717</v>
      </c>
      <c r="G17" s="90" t="n">
        <v>0.8</v>
      </c>
      <c r="H17" s="90" t="n">
        <v>1.0059041889846256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0.6416027882389563</v>
      </c>
      <c r="E18" s="91" t="n">
        <v>1.0</v>
      </c>
      <c r="F18" s="91" t="n">
        <v>0.7698176978365012</v>
      </c>
      <c r="G18" s="91" t="n">
        <v>0.8</v>
      </c>
      <c r="H18" s="91" t="n">
        <v>0.8980326074340461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0.6795709853915567</v>
      </c>
      <c r="E19" s="91" t="n">
        <v>1.0</v>
      </c>
      <c r="F19" s="91" t="n">
        <v>0.8423377975123659</v>
      </c>
      <c r="G19" s="91" t="n">
        <v>0.8</v>
      </c>
      <c r="H19" s="91" t="n">
        <v>1.005104609633175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0.6465424647458198</v>
      </c>
      <c r="E20" s="91" t="n">
        <v>1.0</v>
      </c>
      <c r="F20" s="91" t="n">
        <v>0.8108977707383063</v>
      </c>
      <c r="G20" s="91" t="n">
        <v>0.8</v>
      </c>
      <c r="H20" s="91" t="n">
        <v>0.9752530767307929</v>
      </c>
    </row>
    <row r="21" spans="2:33">
      <c r="B21" s="36" t="s">
        <v>108</v>
      </c>
      <c r="C21" s="91" t="n">
        <v>1.2</v>
      </c>
      <c r="D21" s="91" t="n">
        <v>0.6969584032720811</v>
      </c>
      <c r="E21" s="91" t="n">
        <v>1.0</v>
      </c>
      <c r="F21" s="91" t="n">
        <v>0.7237693694632393</v>
      </c>
      <c r="G21" s="91" t="n">
        <v>0.8</v>
      </c>
      <c r="H21" s="91" t="n">
        <v>0.7505803356543974</v>
      </c>
    </row>
    <row r="22" spans="2:33">
      <c r="B22" s="37" t="s">
        <v>109</v>
      </c>
      <c r="C22" s="91" t="n">
        <v>1.2</v>
      </c>
      <c r="D22" s="91" t="n">
        <v>0.6882562069011823</v>
      </c>
      <c r="E22" s="91" t="n">
        <v>1.0</v>
      </c>
      <c r="F22" s="91" t="n">
        <v>0.7510147545168909</v>
      </c>
      <c r="G22" s="91" t="n">
        <v>0.8</v>
      </c>
      <c r="H22" s="91" t="n">
        <v>0.8137733021325996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2022</v>
      </c>
      <c r="E28" s="49"/>
      <c r="F28" s="45">
        <f>basic_info!$D$5-4</f>
        <v>2023</v>
      </c>
      <c r="G28" s="49"/>
      <c r="H28" s="45">
        <f>basic_info!$D$5-3</f>
        <v>2024</v>
      </c>
      <c r="I28" s="49"/>
      <c r="J28" s="45">
        <f>basic_info!$D$5-2</f>
        <v>2025</v>
      </c>
      <c r="K28" s="49"/>
      <c r="L28" s="45">
        <f>basic_info!$D$5-1</f>
        <v>2026</v>
      </c>
      <c r="N28" s="45">
        <f>basic_info!$D$5</f>
        <v>2027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2027</v>
      </c>
      <c r="D30" s="44">
        <v>0.76512732076942924</v>
      </c>
      <c r="E30" s="35">
        <v>0.76512732076942924</v>
      </c>
      <c r="F30" s="47">
        <v>0.65019748550057865</v>
      </c>
      <c r="G30" s="46">
        <v>0.65019748550057865</v>
      </c>
      <c r="H30" s="47">
        <v>0.78825317361714797</v>
      </c>
      <c r="I30" s="46">
        <v>0.78825317361714797</v>
      </c>
      <c r="J30" s="47">
        <v>0.83418333387532106</v>
      </c>
      <c r="K30" s="46">
        <v>0.83418333387532106</v>
      </c>
      <c r="L30" s="47">
        <v>0.75973931162527031</v>
      </c>
      <c r="M30" s="46">
        <v>0.75973931162527031</v>
      </c>
      <c r="N30" s="60"/>
      <c r="O30" s="71" t="s">
        <v>162</v>
      </c>
      <c r="P30" s="41">
        <f>M30+K30+I30+E30+G30</f>
        <v>3.7975006253877472</v>
      </c>
      <c r="Q30" s="70"/>
    </row>
    <row r="31" spans="2:33">
      <c r="B31" s="36"/>
      <c r="C31" s="47">
        <f>basic_info!$D$5+1</f>
        <v>2028</v>
      </c>
      <c r="D31" s="76"/>
      <c r="E31" s="75"/>
      <c r="F31" s="69">
        <v>0.66023955697715286</v>
      </c>
      <c r="G31" s="79">
        <v>0.66023955697715286</v>
      </c>
      <c r="H31" s="61">
        <v>0.76028061435442029</v>
      </c>
      <c r="I31" s="62">
        <v>0.76028061435442029</v>
      </c>
      <c r="J31" s="61">
        <v>0.78705796464934707</v>
      </c>
      <c r="K31" s="62">
        <v>0.78705796464934707</v>
      </c>
      <c r="L31" s="61">
        <v>0.76209966338188417</v>
      </c>
      <c r="M31" s="62">
        <v>0.76209966338188417</v>
      </c>
      <c r="N31" s="63">
        <v>0.74154340991861001</v>
      </c>
      <c r="O31" s="89" t="n">
        <v>0.74154340991861</v>
      </c>
      <c r="P31" s="63">
        <f>O31+M31+K31+I31+G31</f>
        <v>2.9696777993628043</v>
      </c>
    </row>
    <row r="32" spans="2:33">
      <c r="B32" s="36"/>
      <c r="C32" s="47">
        <f>basic_info!$D$5+2</f>
        <v>2029</v>
      </c>
      <c r="D32" s="76"/>
      <c r="E32" s="75"/>
      <c r="F32" s="75"/>
      <c r="G32" s="75"/>
      <c r="H32" s="69">
        <v>0.77380428089201447</v>
      </c>
      <c r="I32" s="79">
        <v>0.77380428089201447</v>
      </c>
      <c r="J32" s="61">
        <v>0.74605181189556535</v>
      </c>
      <c r="K32" s="62">
        <v>0.74605181189556535</v>
      </c>
      <c r="L32" s="61">
        <v>0.69292953939969726</v>
      </c>
      <c r="M32" s="62">
        <v>0.69292953939969726</v>
      </c>
      <c r="N32" s="63">
        <v>0.69639882585167012</v>
      </c>
      <c r="O32" s="89" t="n">
        <v>0.6963988258516701</v>
      </c>
      <c r="P32" s="63">
        <f>O32+M32+K32+I32</f>
        <v>2.212785632187277</v>
      </c>
    </row>
    <row r="33" spans="2:17">
      <c r="B33" s="36"/>
      <c r="C33" s="47">
        <f>basic_info!$D$5+3</f>
        <v>2030</v>
      </c>
      <c r="D33" s="76"/>
      <c r="E33" s="75"/>
      <c r="F33" s="75"/>
      <c r="G33" s="75"/>
      <c r="H33" s="75"/>
      <c r="I33" s="75"/>
      <c r="J33" s="69">
        <v>0.69642607282102109</v>
      </c>
      <c r="K33" s="79">
        <v>0.69642607282102109</v>
      </c>
      <c r="L33" s="61">
        <v>0.68246257035314684</v>
      </c>
      <c r="M33" s="62">
        <v>0.68246257035314684</v>
      </c>
      <c r="N33" s="63">
        <v>0.69754554986117134</v>
      </c>
      <c r="O33" s="89" t="n">
        <v>0.6975455498611713</v>
      </c>
      <c r="P33" s="63">
        <f>O33+M33+K33</f>
        <v>1.378888643174168</v>
      </c>
    </row>
    <row r="34" spans="2:17">
      <c r="B34" s="36"/>
      <c r="C34" s="47">
        <f>basic_info!$D$5+4</f>
        <v>2031</v>
      </c>
      <c r="D34" s="76"/>
      <c r="E34" s="75"/>
      <c r="F34" s="75"/>
      <c r="G34" s="75"/>
      <c r="H34" s="75"/>
      <c r="I34" s="75"/>
      <c r="J34" s="75"/>
      <c r="K34" s="75"/>
      <c r="L34" s="69">
        <v>0.68012294996082789</v>
      </c>
      <c r="M34" s="79">
        <v>0.68012294996082789</v>
      </c>
      <c r="N34" s="63">
        <v>0.70796417212980489</v>
      </c>
      <c r="O34" s="89" t="n">
        <v>0.7079641721298049</v>
      </c>
      <c r="P34" s="63">
        <f>O34+M34</f>
        <v>0.68012294996082789</v>
      </c>
    </row>
    <row r="35" spans="2:17">
      <c r="B35" s="37"/>
      <c r="C35" s="72">
        <f>basic_info!$D$5+5</f>
        <v>2032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0.66081657635867597</v>
      </c>
      <c r="O35" s="89" t="n">
        <v>0.660816576358676</v>
      </c>
      <c r="P35" s="65">
        <f>O35</f>
        <v>0</v>
      </c>
    </row>
    <row r="36" spans="2:17">
      <c r="B36" s="41" t="s">
        <v>113</v>
      </c>
      <c r="C36" s="36">
        <f>basic_info!$D$5</f>
        <v>2027</v>
      </c>
      <c r="D36" s="44">
        <v>1.0053375317752362</v>
      </c>
      <c r="E36" s="35">
        <v>1.0053375317752362</v>
      </c>
      <c r="F36" s="73">
        <v>0.87530734595100446</v>
      </c>
      <c r="G36" s="74">
        <v>0.87530734595100446</v>
      </c>
      <c r="H36" s="73">
        <v>0.97417948833143708</v>
      </c>
      <c r="I36" s="74">
        <v>0.97417948833143708</v>
      </c>
      <c r="J36" s="73">
        <v>1.0855802099290006</v>
      </c>
      <c r="K36" s="74">
        <v>1.0855802099290006</v>
      </c>
      <c r="L36" s="66">
        <v>1.3097582193821362</v>
      </c>
      <c r="M36" s="67">
        <v>1.3097582193821362</v>
      </c>
      <c r="N36" s="68"/>
      <c r="O36" s="71" t="s">
        <v>162</v>
      </c>
      <c r="P36" s="41">
        <f>M36+K36+I36+E36+G36</f>
        <v>5.2501627953688139</v>
      </c>
      <c r="Q36" s="70"/>
    </row>
    <row r="37" spans="2:17">
      <c r="B37" s="36"/>
      <c r="C37" s="47">
        <f>basic_info!$D$5+1</f>
        <v>2028</v>
      </c>
      <c r="D37" s="76"/>
      <c r="E37" s="75"/>
      <c r="F37" s="69">
        <v>0.87304416900873183</v>
      </c>
      <c r="G37" s="79">
        <v>0.87304416900873183</v>
      </c>
      <c r="H37" s="61">
        <v>0.95442559833887075</v>
      </c>
      <c r="I37" s="62">
        <v>0.95442559833887075</v>
      </c>
      <c r="J37" s="61">
        <v>1.0750677373803734</v>
      </c>
      <c r="K37" s="62">
        <v>1.0750677373803734</v>
      </c>
      <c r="L37" s="61">
        <v>1.2198040079418053</v>
      </c>
      <c r="M37" s="62">
        <v>1.2198040079418053</v>
      </c>
      <c r="N37" s="61">
        <v>1.0817656555382544</v>
      </c>
      <c r="O37" s="89" t="n">
        <v>1.0817656555382544</v>
      </c>
      <c r="P37" s="63">
        <f>O37+M37+K37+I37+G37</f>
        <v>4.1223415126697809</v>
      </c>
    </row>
    <row r="38" spans="2:17">
      <c r="B38" s="36"/>
      <c r="C38" s="47">
        <f>basic_info!$D$5+2</f>
        <v>2029</v>
      </c>
      <c r="D38" s="76"/>
      <c r="E38" s="75"/>
      <c r="F38" s="75"/>
      <c r="G38" s="75"/>
      <c r="H38" s="69">
        <v>0.88631273952126499</v>
      </c>
      <c r="I38" s="79">
        <v>0.88631273952126499</v>
      </c>
      <c r="J38" s="61">
        <v>1.0546694543357544</v>
      </c>
      <c r="K38" s="62">
        <v>1.0546694543357544</v>
      </c>
      <c r="L38" s="61">
        <v>1.1756596786689746</v>
      </c>
      <c r="M38" s="62">
        <v>1.1756596786689746</v>
      </c>
      <c r="N38" s="61">
        <v>1.0393683201042592</v>
      </c>
      <c r="O38" s="89" t="n">
        <v>1.0393683201042592</v>
      </c>
      <c r="P38" s="63">
        <f>O38+M38+K38+I38</f>
        <v>3.1166418725259941</v>
      </c>
    </row>
    <row r="39" spans="2:17">
      <c r="B39" s="36"/>
      <c r="C39" s="47">
        <f>basic_info!$D$5+3</f>
        <v>2030</v>
      </c>
      <c r="D39" s="76"/>
      <c r="E39" s="75"/>
      <c r="F39" s="75"/>
      <c r="G39" s="75"/>
      <c r="H39" s="75"/>
      <c r="I39" s="75"/>
      <c r="J39" s="69">
        <v>1.0409094843864442</v>
      </c>
      <c r="K39" s="79">
        <v>1.0409094843864442</v>
      </c>
      <c r="L39" s="61">
        <v>1.0839331764160476</v>
      </c>
      <c r="M39" s="62">
        <v>1.0839331764160476</v>
      </c>
      <c r="N39" s="61">
        <v>0.98900041593085708</v>
      </c>
      <c r="O39" s="89" t="n">
        <v>0.9890004159308571</v>
      </c>
      <c r="P39" s="63">
        <f>O39+M39+K39</f>
        <v>2.124842660802492</v>
      </c>
    </row>
    <row r="40" spans="2:17">
      <c r="B40" s="36"/>
      <c r="C40" s="47">
        <f>basic_info!$D$5+4</f>
        <v>2031</v>
      </c>
      <c r="D40" s="76"/>
      <c r="E40" s="75"/>
      <c r="F40" s="75"/>
      <c r="G40" s="75"/>
      <c r="H40" s="75"/>
      <c r="I40" s="75"/>
      <c r="J40" s="75"/>
      <c r="K40" s="75"/>
      <c r="L40" s="69">
        <v>1.0482402778565885</v>
      </c>
      <c r="M40" s="79">
        <v>1.0482402778565885</v>
      </c>
      <c r="N40" s="61">
        <v>0.97045032301312806</v>
      </c>
      <c r="O40" s="89" t="n">
        <v>0.9704503230131281</v>
      </c>
      <c r="P40" s="63">
        <f>O40+M40</f>
        <v>1.0482402778565885</v>
      </c>
    </row>
    <row r="41" spans="2:17">
      <c r="B41" s="37"/>
      <c r="C41" s="72">
        <f>basic_info!$D$5+5</f>
        <v>2032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0.96112931388616563</v>
      </c>
      <c r="O41" s="89" t="n">
        <v>0.9611293138861656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8.333333333333337</v>
      </c>
      <c r="D47" s="92" t="n">
        <v>8.333333333333337</v>
      </c>
      <c r="E47" s="92" t="n">
        <v>8.333333333333337</v>
      </c>
      <c r="F47" s="92" t="n">
        <v>8.333333333333337</v>
      </c>
      <c r="G47" s="92" t="n">
        <v>8.333333333333337</v>
      </c>
      <c r="H47" s="92" t="n">
        <v>8.333333333333337</v>
      </c>
      <c r="I47" s="92" t="n">
        <v>8.333333333333337</v>
      </c>
      <c r="J47" s="92" t="n">
        <v>8.333333333333337</v>
      </c>
      <c r="K47" s="92" t="n">
        <v>8.333333333333337</v>
      </c>
      <c r="L47" s="92" t="n">
        <v>8.333333333333337</v>
      </c>
      <c r="M47" s="92" t="n">
        <v>8.333333333333337</v>
      </c>
      <c r="N47" s="92" t="n">
        <v>8.333333333333337</v>
      </c>
      <c r="O47" s="33">
        <f>SUM(C47:N47)</f>
        <v>0</v>
      </c>
    </row>
    <row r="48" spans="2:17">
      <c r="B48" s="37" t="s">
        <v>113</v>
      </c>
      <c r="C48" s="92" t="n">
        <v>8.333333333333336</v>
      </c>
      <c r="D48" s="92" t="n">
        <v>8.333333333333336</v>
      </c>
      <c r="E48" s="92" t="n">
        <v>8.333333333333336</v>
      </c>
      <c r="F48" s="92" t="n">
        <v>8.333333333333336</v>
      </c>
      <c r="G48" s="92" t="n">
        <v>8.333333333333336</v>
      </c>
      <c r="H48" s="92" t="n">
        <v>8.333333333333336</v>
      </c>
      <c r="I48" s="92" t="n">
        <v>8.333333333333336</v>
      </c>
      <c r="J48" s="92" t="n">
        <v>8.333333333333336</v>
      </c>
      <c r="K48" s="92" t="n">
        <v>8.333333333333336</v>
      </c>
      <c r="L48" s="92" t="n">
        <v>8.333333333333336</v>
      </c>
      <c r="M48" s="92" t="n">
        <v>8.333333333333336</v>
      </c>
      <c r="N48" s="92" t="n">
        <v>8.333333333333336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Ir779QHuwkoVNL87iZpIFUrvZMclKbw0JiOgWw1fX6cJBxpl7Uewehlcu5GtEng/VcjJmKp7Pqy/8IXdFueKWA==" saltValue="fQMkhwwmIOHGGeTUh6PLIw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3.2347153479453328E-21</v>
      </c>
      <c r="D6" s="93" t="n">
        <v>59.52949940882712</v>
      </c>
      <c r="E6" s="93" t="n">
        <v>1.23407851857447E-21</v>
      </c>
      <c r="F6" s="93" t="n">
        <v>0.0</v>
      </c>
      <c r="G6" s="93" t="n">
        <v>40.47050059117288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52.91219467045889</v>
      </c>
      <c r="D7" s="93" t="n">
        <v>11.516582042104389</v>
      </c>
      <c r="E7" s="93" t="n">
        <v>0.0</v>
      </c>
      <c r="F7" s="93" t="n">
        <v>35.57122328743672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2.2559365251787232E-20</v>
      </c>
      <c r="D8" s="93" t="n">
        <v>7.383265690100129E-20</v>
      </c>
      <c r="E8" s="93" t="n">
        <v>100.0</v>
      </c>
      <c r="F8" s="93" t="n">
        <v>0.0</v>
      </c>
      <c r="G8" s="93" t="n">
        <v>0.0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75.94936708860759</v>
      </c>
      <c r="D9" s="93" t="n">
        <v>1.4488162549590797E-20</v>
      </c>
      <c r="E9" s="93" t="n">
        <v>0.0</v>
      </c>
      <c r="F9" s="93" t="n">
        <v>24.050632911392412</v>
      </c>
      <c r="G9" s="93" t="n">
        <v>3.431592381173367E-22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37.160194460474926</v>
      </c>
      <c r="D10" s="93" t="n">
        <v>47.06724781576446</v>
      </c>
      <c r="E10" s="93" t="n">
        <v>5.972133076076983</v>
      </c>
      <c r="F10" s="93" t="n">
        <v>9.800424647683625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1.2223326930218625</v>
      </c>
      <c r="D11" s="94" t="n">
        <v>92.4622804212333</v>
      </c>
      <c r="E11" s="94" t="n">
        <v>6.315386885744828</v>
      </c>
      <c r="F11" s="94" t="n">
        <v>0.0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44.94627885640143</v>
      </c>
      <c r="D19" s="44">
        <f>100-$C$19</f>
        <v>100</v>
      </c>
      <c r="E19" s="94" t="n">
        <v>42.78926055589689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14.477376635028298</v>
      </c>
      <c r="D27" s="93" t="n">
        <v>43.28840340208047</v>
      </c>
      <c r="E27" s="93" t="n">
        <v>35.92901294386502</v>
      </c>
      <c r="F27" s="93" t="n">
        <v>8.361614098859718</v>
      </c>
      <c r="G27" s="95" t="n">
        <v>6.473478337494255</v>
      </c>
      <c r="N27" s="50"/>
      <c r="O27" s="50"/>
      <c r="P27" s="50"/>
    </row>
    <row r="28" spans="2:16">
      <c r="B28" s="45" t="s">
        <v>46</v>
      </c>
      <c r="C28" s="93" t="n">
        <v>17.409891589915695</v>
      </c>
      <c r="D28" s="93" t="n">
        <v>56.71159659791953</v>
      </c>
      <c r="E28" s="93" t="n">
        <v>64.070987056135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68.112731775056</v>
      </c>
      <c r="D29" s="93" t="n">
        <v>0.0</v>
      </c>
      <c r="E29" s="93" t="n">
        <v>0.0</v>
      </c>
      <c r="F29" s="93" t="n">
        <v>91.63838590114028</v>
      </c>
      <c r="G29" s="95" t="n">
        <v>93.52652166250574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40.93610696247886</v>
      </c>
      <c r="D37" s="93" t="n">
        <v>40.93610696247886</v>
      </c>
      <c r="E37" s="93" t="n">
        <v>40.93610696247886</v>
      </c>
      <c r="F37" s="93" t="n">
        <v>40.93610696247886</v>
      </c>
      <c r="G37" s="93" t="n">
        <v>40.93610696247886</v>
      </c>
      <c r="H37" s="93" t="n">
        <v>40.93610696247886</v>
      </c>
      <c r="I37" s="93" t="n">
        <v>40.93610696247886</v>
      </c>
      <c r="J37" s="93" t="n">
        <v>40.93610696247886</v>
      </c>
      <c r="K37" s="93" t="n">
        <v>40.93610696247886</v>
      </c>
      <c r="L37" s="93" t="n">
        <v>40.93610696247886</v>
      </c>
      <c r="M37" s="93" t="n">
        <v>40.93610696247886</v>
      </c>
      <c r="N37" s="95" t="n">
        <v>40.93610696247886</v>
      </c>
    </row>
    <row r="38" spans="2:14">
      <c r="B38" s="45" t="s">
        <v>46</v>
      </c>
      <c r="C38" s="93" t="n">
        <v>40.71723649976123</v>
      </c>
      <c r="D38" s="93" t="n">
        <v>40.71723649976123</v>
      </c>
      <c r="E38" s="93" t="n">
        <v>40.71723649976123</v>
      </c>
      <c r="F38" s="93" t="n">
        <v>40.71723649976123</v>
      </c>
      <c r="G38" s="93" t="n">
        <v>40.71723649976123</v>
      </c>
      <c r="H38" s="93" t="n">
        <v>40.71723649976123</v>
      </c>
      <c r="I38" s="93" t="n">
        <v>40.71723649976123</v>
      </c>
      <c r="J38" s="93" t="n">
        <v>40.71723649976123</v>
      </c>
      <c r="K38" s="93" t="n">
        <v>40.71723649976123</v>
      </c>
      <c r="L38" s="93" t="n">
        <v>40.71723649976123</v>
      </c>
      <c r="M38" s="93" t="n">
        <v>40.71723649976123</v>
      </c>
      <c r="N38" s="95" t="n">
        <v>40.71723649976123</v>
      </c>
    </row>
    <row r="39" spans="2:14">
      <c r="B39" s="45" t="s">
        <v>59</v>
      </c>
      <c r="C39" s="94" t="n">
        <v>44.286679848549866</v>
      </c>
      <c r="D39" s="94" t="n">
        <v>44.286679848549866</v>
      </c>
      <c r="E39" s="94" t="n">
        <v>44.286679848549866</v>
      </c>
      <c r="F39" s="94" t="n">
        <v>44.286679848549866</v>
      </c>
      <c r="G39" s="94" t="n">
        <v>44.286679848549866</v>
      </c>
      <c r="H39" s="94" t="n">
        <v>44.286679848549866</v>
      </c>
      <c r="I39" s="94" t="n">
        <v>44.286679848549866</v>
      </c>
      <c r="J39" s="94" t="n">
        <v>44.286679848549866</v>
      </c>
      <c r="K39" s="94" t="n">
        <v>44.286679848549866</v>
      </c>
      <c r="L39" s="94" t="n">
        <v>44.286679848549866</v>
      </c>
      <c r="M39" s="94" t="n">
        <v>44.286679848549866</v>
      </c>
      <c r="N39" s="89" t="n">
        <v>44.286679848549866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3bDtZgKgiRRZrb5h4iLfNYfDaz7AnU5OPDTHRYaEMoTsDCcWZuzDHFrxH/MVO8kZyDkg3Yy9FWsh2O9j81iP9A==" saltValue="6CLXfGmhwKWj1LDP/xeA4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HeTBqwwqAwvXXoP41VyHLHM9DSFl5eK59093zpcJDvONDQqiGsqcW9ogHsxuNcUZ6ktjkOIQ4iiyRX7ZAuKog==" saltValue="3zVORfOGWedS5BS5YQIbC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2015-01-12T20:05:11Z</dcterms:modified>
</coreProperties>
</file>