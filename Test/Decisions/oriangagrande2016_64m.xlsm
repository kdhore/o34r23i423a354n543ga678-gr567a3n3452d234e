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080" yWindow="760" windowWidth="19340" windowHeight="1248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C29" i="7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<sst xmlns="http://schemas.openxmlformats.org/spreadsheetml/2006/main" count="516" uniqueCount="167">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</sst>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4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86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34" sqref="C34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1662.3221041288703</v>
      </c>
      <c r="D6" s="86">
        <v>1662.3221041288703</v>
      </c>
      <c r="E6" s="86">
        <v>1662.3221041288703</v>
      </c>
      <c r="F6" s="86">
        <v>1662.3221041288703</v>
      </c>
      <c r="G6" s="86">
        <v>1662.3221041288703</v>
      </c>
      <c r="H6" s="86">
        <v>1662.3221041288703</v>
      </c>
      <c r="I6" s="86">
        <v>1662.3221041288703</v>
      </c>
      <c r="J6" s="86">
        <v>1662.3221041288703</v>
      </c>
      <c r="K6" s="86">
        <v>1662.3221041288703</v>
      </c>
      <c r="L6" s="86">
        <v>1662.3221041288703</v>
      </c>
      <c r="M6" s="86">
        <v>1662.3221041288703</v>
      </c>
      <c r="N6" s="86">
        <v>1662.3221041288703</v>
      </c>
    </row>
    <row r="7" spans="2:14">
      <c r="B7" s="36" t="s">
        <v>105</v>
      </c>
      <c r="C7" s="87">
        <v>647.51205559531968</v>
      </c>
      <c r="D7" s="87">
        <v>647.51205559531968</v>
      </c>
      <c r="E7" s="87">
        <v>647.51205559531968</v>
      </c>
      <c r="F7" s="87">
        <v>647.51205559531968</v>
      </c>
      <c r="G7" s="87">
        <v>647.51205559531968</v>
      </c>
      <c r="H7" s="87">
        <v>647.51205559531968</v>
      </c>
      <c r="I7" s="87">
        <v>647.51205559531968</v>
      </c>
      <c r="J7" s="87">
        <v>647.51205559531968</v>
      </c>
      <c r="K7" s="87">
        <v>647.51205559531968</v>
      </c>
      <c r="L7" s="87">
        <v>647.51205559531968</v>
      </c>
      <c r="M7" s="87">
        <v>647.51205559531968</v>
      </c>
      <c r="N7" s="87">
        <v>647.51205559531968</v>
      </c>
    </row>
    <row r="8" spans="2:14">
      <c r="B8" s="36" t="s">
        <v>106</v>
      </c>
      <c r="C8" s="87">
        <v>216.15458460358414</v>
      </c>
      <c r="D8" s="87">
        <v>216.15458460358414</v>
      </c>
      <c r="E8" s="87">
        <v>216.15458460358414</v>
      </c>
      <c r="F8" s="87">
        <v>216.15458460358414</v>
      </c>
      <c r="G8" s="87">
        <v>216.15458460358414</v>
      </c>
      <c r="H8" s="87">
        <v>216.15458460358414</v>
      </c>
      <c r="I8" s="87">
        <v>216.15458460358414</v>
      </c>
      <c r="J8" s="87">
        <v>216.15458460358414</v>
      </c>
      <c r="K8" s="87">
        <v>216.15458460358414</v>
      </c>
      <c r="L8" s="87">
        <v>216.15458460358414</v>
      </c>
      <c r="M8" s="87">
        <v>216.15458460358414</v>
      </c>
      <c r="N8" s="87">
        <v>216.15458460358414</v>
      </c>
    </row>
    <row r="9" spans="2:14">
      <c r="B9" s="36" t="s">
        <v>107</v>
      </c>
      <c r="C9" s="87">
        <v>282.27888697367541</v>
      </c>
      <c r="D9" s="87">
        <v>282.27888697367541</v>
      </c>
      <c r="E9" s="87">
        <v>282.27888697367541</v>
      </c>
      <c r="F9" s="87">
        <v>282.27888697367541</v>
      </c>
      <c r="G9" s="87">
        <v>282.27888697367541</v>
      </c>
      <c r="H9" s="87">
        <v>282.27888697367541</v>
      </c>
      <c r="I9" s="87">
        <v>282.27888697367541</v>
      </c>
      <c r="J9" s="87">
        <v>282.27888697367541</v>
      </c>
      <c r="K9" s="87">
        <v>282.27888697367541</v>
      </c>
      <c r="L9" s="87">
        <v>282.27888697367541</v>
      </c>
      <c r="M9" s="87">
        <v>282.27888697367541</v>
      </c>
      <c r="N9" s="87">
        <v>282.27888697367541</v>
      </c>
    </row>
    <row r="10" spans="2:14">
      <c r="B10" s="36" t="s">
        <v>108</v>
      </c>
      <c r="C10" s="87">
        <v>0.32334117134816187</v>
      </c>
      <c r="D10" s="87">
        <v>0.32334117134816187</v>
      </c>
      <c r="E10" s="87">
        <v>0.32334117134816187</v>
      </c>
      <c r="F10" s="87">
        <v>0.32334117134816187</v>
      </c>
      <c r="G10" s="87">
        <v>0.32334117134816187</v>
      </c>
      <c r="H10" s="87">
        <v>0.32334117134816187</v>
      </c>
      <c r="I10" s="87">
        <v>0.32334117134816187</v>
      </c>
      <c r="J10" s="87">
        <v>0.32334117134816187</v>
      </c>
      <c r="K10" s="87">
        <v>0.32334117134816187</v>
      </c>
      <c r="L10" s="87">
        <v>0.32334117134816187</v>
      </c>
      <c r="M10" s="87">
        <v>0.32334117134816187</v>
      </c>
      <c r="N10" s="87">
        <v>0.32334117134816187</v>
      </c>
    </row>
    <row r="11" spans="2:14">
      <c r="B11" s="37" t="s">
        <v>109</v>
      </c>
      <c r="C11" s="87">
        <v>9.0270175981358811E-3</v>
      </c>
      <c r="D11" s="87">
        <v>9.0270175981358811E-3</v>
      </c>
      <c r="E11" s="87">
        <v>9.0270175981358811E-3</v>
      </c>
      <c r="F11" s="87">
        <v>9.0270175981358811E-3</v>
      </c>
      <c r="G11" s="87">
        <v>9.0270175981358811E-3</v>
      </c>
      <c r="H11" s="87">
        <v>9.0270175981358811E-3</v>
      </c>
      <c r="I11" s="87">
        <v>9.0270175981358811E-3</v>
      </c>
      <c r="J11" s="87">
        <v>9.0270175981358811E-3</v>
      </c>
      <c r="K11" s="87">
        <v>9.0270175981358811E-3</v>
      </c>
      <c r="L11" s="87">
        <v>9.0270175981358811E-3</v>
      </c>
      <c r="M11" s="87">
        <v>9.0270175981358811E-3</v>
      </c>
      <c r="N11" s="87">
        <v>9.0270175981358811E-3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workbookViewId="0">
      <selection activeCell="K15" sqref="K15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74.854452156909119</v>
      </c>
      <c r="F6" s="92">
        <v>0</v>
      </c>
      <c r="G6" s="92">
        <v>0</v>
      </c>
      <c r="H6" s="92">
        <v>25.145547843090878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72.359638380235765</v>
      </c>
      <c r="E7" s="92">
        <v>0.15052595387109857</v>
      </c>
      <c r="F7" s="92">
        <v>0</v>
      </c>
      <c r="G7" s="92">
        <v>27.489835665893136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7.1515764455170799E-2</v>
      </c>
      <c r="F8" s="92">
        <v>99.928484235544829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100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33.914270074469819</v>
      </c>
      <c r="E10" s="92">
        <v>66.085729925530174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99.999999999980332</v>
      </c>
      <c r="E11" s="93">
        <v>0</v>
      </c>
      <c r="F11" s="93">
        <v>0</v>
      </c>
      <c r="G11" s="93">
        <v>0</v>
      </c>
      <c r="H11" s="93">
        <v>0</v>
      </c>
      <c r="I11" s="95">
        <f>SUM($C$11:$H$11)</f>
        <v>99.999999999980332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61.87395953863777</v>
      </c>
      <c r="F19" s="44">
        <f>100-$E$19</f>
        <v>38.12604046136223</v>
      </c>
      <c r="G19" s="93">
        <v>81.418166211232034</v>
      </c>
      <c r="H19" s="33">
        <f>100-$G$19</f>
        <v>18.581833788767966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20</v>
      </c>
      <c r="D27" s="92">
        <v>0</v>
      </c>
      <c r="E27" s="92">
        <v>0</v>
      </c>
      <c r="F27" s="92">
        <v>33.573987511182395</v>
      </c>
      <c r="G27" s="92">
        <v>52.754721302147992</v>
      </c>
      <c r="H27" s="92">
        <v>0</v>
      </c>
      <c r="I27" s="94">
        <v>1.9235955551695544E-3</v>
      </c>
      <c r="P27" s="50"/>
      <c r="Q27" s="50"/>
      <c r="R27" s="50"/>
    </row>
    <row r="28" spans="2:18">
      <c r="B28" s="45" t="s">
        <v>46</v>
      </c>
      <c r="C28" s="92">
        <v>10</v>
      </c>
      <c r="D28" s="92">
        <v>0</v>
      </c>
      <c r="E28" s="92">
        <v>0</v>
      </c>
      <c r="F28" s="92">
        <v>66.426012488817605</v>
      </c>
      <c r="G28" s="92">
        <v>47.245278697852008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f>100-C27-C28</f>
        <v>70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4">
        <v>99.998076404444831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69.241455448732694</v>
      </c>
      <c r="D37" s="93">
        <v>69.241455448732694</v>
      </c>
      <c r="E37" s="93">
        <v>69.241455448732694</v>
      </c>
      <c r="F37" s="93">
        <v>69.241455448732694</v>
      </c>
      <c r="G37" s="93">
        <v>69.241455448732694</v>
      </c>
      <c r="H37" s="93">
        <v>69.241455448732694</v>
      </c>
      <c r="I37" s="93">
        <v>69.241455448732694</v>
      </c>
      <c r="J37" s="93">
        <v>69.241455448732694</v>
      </c>
      <c r="K37" s="93">
        <v>69.241455448732694</v>
      </c>
      <c r="L37" s="93">
        <v>69.241455448732694</v>
      </c>
      <c r="M37" s="93">
        <v>69.241455448732694</v>
      </c>
      <c r="N37" s="93">
        <v>69.241455448732694</v>
      </c>
    </row>
    <row r="38" spans="2:14">
      <c r="B38" s="45" t="s">
        <v>46</v>
      </c>
      <c r="C38" s="93">
        <v>65.637909773320615</v>
      </c>
      <c r="D38" s="93">
        <v>65.637909773320615</v>
      </c>
      <c r="E38" s="93">
        <v>65.637909773320615</v>
      </c>
      <c r="F38" s="93">
        <v>65.637909773320615</v>
      </c>
      <c r="G38" s="93">
        <v>65.637909773320615</v>
      </c>
      <c r="H38" s="93">
        <v>65.637909773320615</v>
      </c>
      <c r="I38" s="93">
        <v>65.637909773320615</v>
      </c>
      <c r="J38" s="93">
        <v>65.637909773320615</v>
      </c>
      <c r="K38" s="93">
        <v>65.637909773320615</v>
      </c>
      <c r="L38" s="93">
        <v>65.637909773320615</v>
      </c>
      <c r="M38" s="93">
        <v>65.637909773320615</v>
      </c>
      <c r="N38" s="93">
        <v>65.637909773320615</v>
      </c>
    </row>
    <row r="39" spans="2:14">
      <c r="B39" s="45" t="s">
        <v>59</v>
      </c>
      <c r="C39" s="93">
        <v>62.063028849471273</v>
      </c>
      <c r="D39" s="93">
        <v>62.063028849471273</v>
      </c>
      <c r="E39" s="93">
        <v>62.063028849471273</v>
      </c>
      <c r="F39" s="93">
        <v>62.063028849471273</v>
      </c>
      <c r="G39" s="93">
        <v>62.063028849471273</v>
      </c>
      <c r="H39" s="93">
        <v>62.063028849471273</v>
      </c>
      <c r="I39" s="93">
        <v>62.063028849471273</v>
      </c>
      <c r="J39" s="93">
        <v>62.063028849471273</v>
      </c>
      <c r="K39" s="93">
        <v>62.063028849471273</v>
      </c>
      <c r="L39" s="93">
        <v>62.063028849471273</v>
      </c>
      <c r="M39" s="93">
        <v>62.063028849471273</v>
      </c>
      <c r="N39" s="93">
        <v>62.063028849471273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12" workbookViewId="0">
      <selection activeCell="K45" sqref="K45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43.749998249999997</v>
      </c>
    </row>
    <row r="14" spans="7:7">
      <c r="G14">
        <f>shipping_manufacturing!C28*0.01*raw_materials!$P$36*raw_materials!$C$48*0.01/4</f>
        <v>21.874999124999999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2014-12-02T05:02:22Z</dcterms:modified>
</cp:coreProperties>
</file>