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?>

<Relationships xmlns="http://schemas.openxmlformats.org/package/2006/relationships">
  <Relationship Id="rId1" Type="http://schemas.openxmlformats.org/officeDocument/2006/relationships/officeDocument" Target="xl/workbook.xml"/>
  <Relationship Id="rId2" Type="http://schemas.openxmlformats.org/package/2006/relationships/metadata/core-properties" Target="docProps/core.xml"/>
  <Relationship Id="rId3" Type="http://schemas.openxmlformats.org/officeDocument/2006/relationships/extended-properties" Target="docProps/app.xml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17" codeName="{7A2D7E96-6E34-419A-AE5F-296B3A7E7977}"/>
  <workbookPr codeName="ThisWorkbook" autoCompressPictures="0"/>
  <bookViews>
    <workbookView xWindow="0" yWindow="40" windowWidth="15480" windowHeight="11640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0" i="7" l="1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<sst xmlns="http://schemas.openxmlformats.org/spreadsheetml/2006/main" count="509" uniqueCount="167">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</sst>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0"/>
  <fonts count="6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

<Relationships xmlns="http://schemas.openxmlformats.org/package/2006/relationships">
  <Relationship Id="rId1" Type="http://schemas.openxmlformats.org/officeDocument/2006/relationships/worksheet" Target="worksheets/sheet1.xml"/>
  <Relationship Id="rId10" Type="http://schemas.microsoft.com/office/2006/relationships/vbaProject" Target="vbaProject.bin"/>
  <Relationship Id="rId2" Type="http://schemas.openxmlformats.org/officeDocument/2006/relationships/worksheet" Target="worksheets/sheet2.xml"/>
  <Relationship Id="rId3" Type="http://schemas.openxmlformats.org/officeDocument/2006/relationships/worksheet" Target="worksheets/sheet3.xml"/>
  <Relationship Id="rId4" Type="http://schemas.openxmlformats.org/officeDocument/2006/relationships/worksheet" Target="worksheets/sheet4.xml"/>
  <Relationship Id="rId5" Type="http://schemas.openxmlformats.org/officeDocument/2006/relationships/worksheet" Target="worksheets/sheet5.xml"/>
  <Relationship Id="rId6" Type="http://schemas.openxmlformats.org/officeDocument/2006/relationships/theme" Target="theme/theme1.xml"/>
  <Relationship Id="rId7" Type="http://schemas.openxmlformats.org/officeDocument/2006/relationships/styles" Target="styles.xml"/>
  <Relationship Id="rId8" Type="http://schemas.openxmlformats.org/officeDocument/2006/relationships/sharedStrings" Target="sharedStrings.xml"/>
  <Relationship Id="rId9" Type="http://schemas.openxmlformats.org/officeDocument/2006/relationships/calcChain" Target="calcChain.xml"/>
</Relationships>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tabSelected="1" workbookViewId="0"/>
  </sheetViews>
  <sheetFormatPr baseColWidth="10" defaultColWidth="8.83203125" defaultRowHeight="12" x14ac:dyDescent="0"/>
  <cols>
    <col min="1" max="1" customWidth="true" width="4.6640625" collapsed="true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9" t="s">
        <v>165</v>
      </c>
      <c r="E4" s="100"/>
      <c r="F4" s="101"/>
    </row>
    <row r="5" spans="2:6">
      <c r="B5" s="6"/>
      <c r="C5" s="7" t="s">
        <v>111</v>
      </c>
      <c r="D5" s="102">
        <v>2021</v>
      </c>
      <c r="E5" s="103"/>
      <c r="F5" s="104"/>
    </row>
    <row r="6" spans="2:6">
      <c r="B6" s="3"/>
      <c r="C6" s="3"/>
      <c r="D6" s="3"/>
      <c r="E6" s="3"/>
      <c r="F6" s="3"/>
    </row>
  </sheetData>
  <sheetProtection algorithmName="SHA-512" hashValue="VNS/ZvHU5pLUF33jzPdwVQ6OOrOqDNaCpCnjqz5nHWly/EySb2XczeFv9HY+1oylokKJhfaKKs1wXjKMMgJbaA==" saltValue="Z4ETCAUjpalncmC5wfJmAw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/>
  </sheetViews>
  <sheetFormatPr baseColWidth="10" defaultColWidth="8.83203125" defaultRowHeight="12" x14ac:dyDescent="0"/>
  <cols>
    <col min="1" max="1" customWidth="true" style="9" width="4.6640625" collapsed="true"/>
    <col min="2" max="2" bestFit="true" customWidth="true" style="9" width="8.0" collapsed="true"/>
    <col min="3" max="3" bestFit="true" customWidth="true" style="9" width="15.6640625" collapsed="true"/>
    <col min="4" max="4" customWidth="true" style="9" width="8.6640625" collapsed="true"/>
    <col min="5" max="5" customWidth="true" style="9" width="4.5" collapsed="true"/>
    <col min="6" max="6" bestFit="true" customWidth="true" style="9" width="3.33203125" collapsed="true"/>
    <col min="7" max="7" customWidth="true" style="9" width="8.6640625" collapsed="true"/>
    <col min="8" max="8" customWidth="true" style="9" width="9.5" collapsed="true"/>
    <col min="9" max="16384" style="9" width="8.83203125" collapsed="true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 t="n">
        <v>0.0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 t="n">
        <v>0.0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 t="n">
        <v>0.0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 t="n">
        <v>0.0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 t="n">
        <v>0.0</v>
      </c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 t="n">
        <v>0.0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 t="n">
        <v>0.0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 t="n">
        <v>0.0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 t="n">
        <v>0.0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 t="n">
        <v>0.0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 t="n">
        <v>0.0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 t="n">
        <v>0.0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 t="n">
        <v>0.0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 t="n">
        <v>0.0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 t="n">
        <v>0.0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 t="n">
        <v>0.0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 t="n">
        <v>0.0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 t="n">
        <v>0.0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 t="n">
        <v>0.0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 t="n">
        <v>0.0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 t="n">
        <v>0.0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 t="n">
        <v>0.0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 t="n">
        <v>0.0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 t="n">
        <v>0.0</v>
      </c>
      <c r="D39" s="14">
        <v>2000</v>
      </c>
      <c r="E39" s="15" t="s">
        <v>166</v>
      </c>
      <c r="F39" s="15" t="s">
        <v>6</v>
      </c>
      <c r="G39" s="15">
        <f t="shared" si="3"/>
        <v>2000</v>
      </c>
      <c r="H39" s="17" t="str">
        <f t="shared" si="4"/>
        <v/>
      </c>
    </row>
    <row r="40" spans="2:8">
      <c r="B40" s="14" t="s">
        <v>23</v>
      </c>
      <c r="C40" s="84" t="n">
        <v>0.0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 t="n">
        <v>0.0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 t="n">
        <v>0.0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 t="n">
        <v>0.0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 t="n">
        <v>0.0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 t="n">
        <v>0.0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 t="n">
        <v>0.0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 t="n">
        <v>0.0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 t="n">
        <v>0.0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 t="n">
        <v>0.0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 t="n">
        <v>0.0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 t="n">
        <v>0.0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 t="n">
        <v>0.0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 t="n">
        <v>0.0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 t="n">
        <v>0.0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 t="n">
        <v>0.0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 t="n">
        <v>0.0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 t="n">
        <v>0.0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 t="n">
        <v>0.0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 t="n">
        <v>0.0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 t="n">
        <v>0.0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 t="n">
        <v>0.0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 t="n">
        <v>0.0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 t="n">
        <v>0.0</v>
      </c>
      <c r="D63" s="15">
        <v>2000</v>
      </c>
      <c r="E63" s="15" t="s">
        <v>166</v>
      </c>
      <c r="F63" s="15" t="s">
        <v>6</v>
      </c>
      <c r="G63" s="15">
        <f t="shared" si="3"/>
        <v>2000</v>
      </c>
      <c r="H63" s="17" t="str">
        <f t="shared" si="4"/>
        <v/>
      </c>
    </row>
    <row r="64" spans="2:8">
      <c r="B64" s="14" t="s">
        <v>47</v>
      </c>
      <c r="C64" s="85" t="n">
        <v>0.0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 t="n">
        <v>0.0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 t="n">
        <v>0.0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 t="n">
        <v>0.0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 t="n">
        <v>0.0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 t="n">
        <v>0.0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 t="n">
        <v>0.0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 t="n">
        <v>0.0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 t="n">
        <v>0.0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 t="n">
        <v>0.0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 t="n">
        <v>0.0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 t="n">
        <v>0.0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 t="n">
        <v>0.0</v>
      </c>
      <c r="D76" s="15">
        <v>6000</v>
      </c>
      <c r="E76" s="15" t="s">
        <v>166</v>
      </c>
      <c r="F76" s="15" t="s">
        <v>6</v>
      </c>
      <c r="G76" s="15">
        <f t="shared" si="5"/>
        <v>6000</v>
      </c>
      <c r="H76" s="17" t="str">
        <f t="shared" si="6"/>
        <v/>
      </c>
    </row>
    <row r="77" spans="2:8">
      <c r="B77" s="14" t="s">
        <v>60</v>
      </c>
      <c r="C77" s="85" t="n">
        <v>0.0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 t="n">
        <v>0.0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 t="n">
        <v>0.0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 t="n">
        <v>0.0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 t="n">
        <v>0.0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 t="n">
        <v>0.0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 t="n">
        <v>0.0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 t="n">
        <v>0.0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 t="n">
        <v>0.0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 t="n">
        <v>0.0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 t="n">
        <v>0.0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 t="n">
        <v>0.0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 t="n">
        <v>0.0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 t="n">
        <v>0.0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 t="n">
        <v>0.0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 t="n">
        <v>0.0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 t="n">
        <v>0.0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 t="n">
        <v>0.0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 t="n">
        <v>0.0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 t="n">
        <v>0.0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 t="n">
        <v>0.0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 t="n">
        <v>0.0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 t="n">
        <v>0.0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 t="n">
        <v>0.0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 t="n">
        <v>0.0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 t="n">
        <v>0.0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 t="n">
        <v>0.0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 t="n">
        <v>0.0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 t="n">
        <v>0.0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 t="n">
        <v>0.0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CI4Q1qs2YB5IEBj6rMOPbIBn1z6i1EDy1TDk7Aw9b9dvHmh64v/3nzgSDcVfKYInCfkgSvS63/5KA0XKDLXPMA==" saltValue="cwcPrDOpPyHMVrg5ABNpHQ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/>
  </sheetViews>
  <sheetFormatPr baseColWidth="10" defaultColWidth="8.83203125" defaultRowHeight="12" x14ac:dyDescent="0"/>
  <cols>
    <col min="1" max="1" customWidth="true" style="29" width="4.6640625" collapsed="true"/>
    <col min="2" max="2" customWidth="true" style="29" width="16.6640625" collapsed="true"/>
    <col min="3" max="14" customWidth="true" style="29" width="8.6640625" collapsed="true"/>
    <col min="15" max="16384" style="29" width="8.83203125" collapsed="true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 t="n">
        <v>1939.7251294472078</v>
      </c>
      <c r="D6" s="87" t="n">
        <v>1939.7251294472078</v>
      </c>
      <c r="E6" s="87" t="n">
        <v>1939.7251294472078</v>
      </c>
      <c r="F6" s="87" t="n">
        <v>1939.7251294472078</v>
      </c>
      <c r="G6" s="87" t="n">
        <v>1939.7251294472078</v>
      </c>
      <c r="H6" s="87" t="n">
        <v>1939.7251294472078</v>
      </c>
      <c r="I6" s="87" t="n">
        <v>1939.7251294472078</v>
      </c>
      <c r="J6" s="87" t="n">
        <v>1939.7251294472078</v>
      </c>
      <c r="K6" s="87" t="n">
        <v>1939.7251294472078</v>
      </c>
      <c r="L6" s="87" t="n">
        <v>1939.7251294472078</v>
      </c>
      <c r="M6" s="87" t="n">
        <v>1939.7251294472078</v>
      </c>
      <c r="N6" s="87" t="n">
        <v>1939.7251294472078</v>
      </c>
    </row>
    <row r="7" spans="2:14">
      <c r="B7" s="36" t="s">
        <v>105</v>
      </c>
      <c r="C7" s="88" t="n">
        <v>3.540581408634552E-22</v>
      </c>
      <c r="D7" s="89" t="n">
        <v>3.540581408634552E-22</v>
      </c>
      <c r="E7" s="89" t="n">
        <v>3.540581408634552E-22</v>
      </c>
      <c r="F7" s="89" t="n">
        <v>3.540581408634552E-22</v>
      </c>
      <c r="G7" s="89" t="n">
        <v>3.540581408634552E-22</v>
      </c>
      <c r="H7" s="89" t="n">
        <v>3.540581408634552E-22</v>
      </c>
      <c r="I7" s="89" t="n">
        <v>3.540581408634552E-22</v>
      </c>
      <c r="J7" s="89" t="n">
        <v>3.540581408634552E-22</v>
      </c>
      <c r="K7" s="89" t="n">
        <v>3.540581408634552E-22</v>
      </c>
      <c r="L7" s="89" t="n">
        <v>3.540581408634552E-22</v>
      </c>
      <c r="M7" s="89" t="n">
        <v>3.540581408634552E-22</v>
      </c>
      <c r="N7" s="89" t="n">
        <v>3.540581408634552E-22</v>
      </c>
    </row>
    <row r="8" spans="2:14">
      <c r="B8" s="36" t="s">
        <v>106</v>
      </c>
      <c r="C8" s="88" t="n">
        <v>198.81834908592074</v>
      </c>
      <c r="D8" s="89" t="n">
        <v>198.81834908592074</v>
      </c>
      <c r="E8" s="89" t="n">
        <v>198.81834908592074</v>
      </c>
      <c r="F8" s="89" t="n">
        <v>198.81834908592074</v>
      </c>
      <c r="G8" s="89" t="n">
        <v>198.81834908592074</v>
      </c>
      <c r="H8" s="89" t="n">
        <v>198.81834908592074</v>
      </c>
      <c r="I8" s="89" t="n">
        <v>198.81834908592074</v>
      </c>
      <c r="J8" s="89" t="n">
        <v>198.81834908592074</v>
      </c>
      <c r="K8" s="89" t="n">
        <v>198.81834908592074</v>
      </c>
      <c r="L8" s="89" t="n">
        <v>198.81834908592074</v>
      </c>
      <c r="M8" s="89" t="n">
        <v>198.81834908592074</v>
      </c>
      <c r="N8" s="89" t="n">
        <v>198.81834908592074</v>
      </c>
    </row>
    <row r="9" spans="2:14">
      <c r="B9" s="36" t="s">
        <v>107</v>
      </c>
      <c r="C9" s="88" t="n">
        <v>696.951663045701</v>
      </c>
      <c r="D9" s="89" t="n">
        <v>696.951663045701</v>
      </c>
      <c r="E9" s="89" t="n">
        <v>696.951663045701</v>
      </c>
      <c r="F9" s="89" t="n">
        <v>696.951663045701</v>
      </c>
      <c r="G9" s="89" t="n">
        <v>696.951663045701</v>
      </c>
      <c r="H9" s="89" t="n">
        <v>696.951663045701</v>
      </c>
      <c r="I9" s="89" t="n">
        <v>696.951663045701</v>
      </c>
      <c r="J9" s="89" t="n">
        <v>696.951663045701</v>
      </c>
      <c r="K9" s="89" t="n">
        <v>696.951663045701</v>
      </c>
      <c r="L9" s="89" t="n">
        <v>696.951663045701</v>
      </c>
      <c r="M9" s="89" t="n">
        <v>696.951663045701</v>
      </c>
      <c r="N9" s="89" t="n">
        <v>696.951663045701</v>
      </c>
    </row>
    <row r="10" spans="2:14">
      <c r="B10" s="36" t="s">
        <v>108</v>
      </c>
      <c r="C10" s="88" t="n">
        <v>1.0783992233127868E-21</v>
      </c>
      <c r="D10" s="89" t="n">
        <v>1.0783992233127868E-21</v>
      </c>
      <c r="E10" s="89" t="n">
        <v>1.0783992233127868E-21</v>
      </c>
      <c r="F10" s="89" t="n">
        <v>1.0783992233127868E-21</v>
      </c>
      <c r="G10" s="89" t="n">
        <v>1.0783992233127868E-21</v>
      </c>
      <c r="H10" s="89" t="n">
        <v>1.0783992233127868E-21</v>
      </c>
      <c r="I10" s="89" t="n">
        <v>1.0783992233127868E-21</v>
      </c>
      <c r="J10" s="89" t="n">
        <v>1.0783992233127868E-21</v>
      </c>
      <c r="K10" s="89" t="n">
        <v>1.0783992233127868E-21</v>
      </c>
      <c r="L10" s="89" t="n">
        <v>1.0783992233127868E-21</v>
      </c>
      <c r="M10" s="89" t="n">
        <v>1.0783992233127868E-21</v>
      </c>
      <c r="N10" s="89" t="n">
        <v>1.0783992233127868E-21</v>
      </c>
    </row>
    <row r="11" spans="2:14">
      <c r="B11" s="37" t="s">
        <v>109</v>
      </c>
      <c r="C11" s="88" t="n">
        <v>6.472888209376563E-23</v>
      </c>
      <c r="D11" s="89" t="n">
        <v>6.472888209376563E-23</v>
      </c>
      <c r="E11" s="89" t="n">
        <v>6.472888209376563E-23</v>
      </c>
      <c r="F11" s="89" t="n">
        <v>6.472888209376563E-23</v>
      </c>
      <c r="G11" s="89" t="n">
        <v>6.472888209376563E-23</v>
      </c>
      <c r="H11" s="89" t="n">
        <v>6.472888209376563E-23</v>
      </c>
      <c r="I11" s="89" t="n">
        <v>6.472888209376563E-23</v>
      </c>
      <c r="J11" s="89" t="n">
        <v>6.472888209376563E-23</v>
      </c>
      <c r="K11" s="89" t="n">
        <v>6.472888209376563E-23</v>
      </c>
      <c r="L11" s="89" t="n">
        <v>6.472888209376563E-23</v>
      </c>
      <c r="M11" s="89" t="n">
        <v>6.472888209376563E-23</v>
      </c>
      <c r="N11" s="89" t="n">
        <v>6.472888209376563E-23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 t="n">
        <v>1.2</v>
      </c>
      <c r="D17" s="90" t="n">
        <v>0.5553355330872218</v>
      </c>
      <c r="E17" s="90" t="n">
        <v>1.0</v>
      </c>
      <c r="F17" s="90" t="n">
        <v>0.7878003156087772</v>
      </c>
      <c r="G17" s="90" t="n">
        <v>0.8</v>
      </c>
      <c r="H17" s="90" t="n">
        <v>1.0202650981303327</v>
      </c>
      <c r="I17" s="29" t="s">
        <v>110</v>
      </c>
    </row>
    <row r="18" spans="2:33">
      <c r="B18" s="36" t="s">
        <v>105</v>
      </c>
      <c r="C18" s="91" t="n">
        <v>1.2</v>
      </c>
      <c r="D18" s="91" t="n">
        <v>0.6398733327687578</v>
      </c>
      <c r="E18" s="91" t="n">
        <v>1.0</v>
      </c>
      <c r="F18" s="91" t="n">
        <v>0.765868353915691</v>
      </c>
      <c r="G18" s="91" t="n">
        <v>0.8</v>
      </c>
      <c r="H18" s="91" t="n">
        <v>0.891863375062624</v>
      </c>
      <c r="I18" s="29" t="s">
        <v>110</v>
      </c>
    </row>
    <row r="19" spans="2:33">
      <c r="B19" s="36" t="s">
        <v>106</v>
      </c>
      <c r="C19" s="91" t="n">
        <v>1.2</v>
      </c>
      <c r="D19" s="91" t="n">
        <v>0.684420766279611</v>
      </c>
      <c r="E19" s="91" t="n">
        <v>1.0</v>
      </c>
      <c r="F19" s="91" t="n">
        <v>0.834546565214144</v>
      </c>
      <c r="G19" s="91" t="n">
        <v>0.8</v>
      </c>
      <c r="H19" s="91" t="n">
        <v>0.9846723641486772</v>
      </c>
      <c r="I19" s="29" t="s">
        <v>110</v>
      </c>
    </row>
    <row r="20" spans="2:33">
      <c r="B20" s="36" t="s">
        <v>107</v>
      </c>
      <c r="C20" s="91" t="n">
        <v>1.2</v>
      </c>
      <c r="D20" s="91" t="n">
        <v>0.6425545819425306</v>
      </c>
      <c r="E20" s="91" t="n">
        <v>1.0</v>
      </c>
      <c r="F20" s="91" t="n">
        <v>0.8199677522051202</v>
      </c>
      <c r="G20" s="91" t="n">
        <v>0.8</v>
      </c>
      <c r="H20" s="91" t="n">
        <v>0.9973809224677097</v>
      </c>
    </row>
    <row r="21" spans="2:33">
      <c r="B21" s="36" t="s">
        <v>108</v>
      </c>
      <c r="C21" s="91" t="n">
        <v>1.2</v>
      </c>
      <c r="D21" s="91" t="n">
        <v>0.7068757905351202</v>
      </c>
      <c r="E21" s="91" t="n">
        <v>1.0</v>
      </c>
      <c r="F21" s="91" t="n">
        <v>0.7350826535620223</v>
      </c>
      <c r="G21" s="91" t="n">
        <v>0.8</v>
      </c>
      <c r="H21" s="91" t="n">
        <v>0.7632895165889245</v>
      </c>
    </row>
    <row r="22" spans="2:33">
      <c r="B22" s="37" t="s">
        <v>109</v>
      </c>
      <c r="C22" s="91" t="n">
        <v>1.2</v>
      </c>
      <c r="D22" s="91" t="n">
        <v>0.7003546655140593</v>
      </c>
      <c r="E22" s="91" t="n">
        <v>1.0</v>
      </c>
      <c r="F22" s="91" t="n">
        <v>0.7640611791331826</v>
      </c>
      <c r="G22" s="91" t="n">
        <v>0.8</v>
      </c>
      <c r="H22" s="91" t="n">
        <v>0.8277676927523058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2016</v>
      </c>
      <c r="E28" s="49"/>
      <c r="F28" s="45">
        <f>basic_info!$D$5-4</f>
        <v>2017</v>
      </c>
      <c r="G28" s="49"/>
      <c r="H28" s="45">
        <f>basic_info!$D$5-3</f>
        <v>2018</v>
      </c>
      <c r="I28" s="49"/>
      <c r="J28" s="45">
        <f>basic_info!$D$5-2</f>
        <v>2019</v>
      </c>
      <c r="K28" s="49"/>
      <c r="L28" s="45">
        <f>basic_info!$D$5-1</f>
        <v>2020</v>
      </c>
      <c r="N28" s="45">
        <f>basic_info!$D$5</f>
        <v>2021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2021</v>
      </c>
      <c r="D30" s="44">
        <v>0.67052111424505711</v>
      </c>
      <c r="E30" s="35">
        <v>2000</v>
      </c>
      <c r="F30" s="47">
        <v>0.82996059621196905</v>
      </c>
      <c r="G30" s="46">
        <v>1061.069</v>
      </c>
      <c r="H30" s="47">
        <v>0.81109959679484855</v>
      </c>
      <c r="I30" s="46">
        <v>0.81109959679484855</v>
      </c>
      <c r="J30" s="47">
        <v>0.85598770293106174</v>
      </c>
      <c r="K30" s="46">
        <v>0.85598770293106174</v>
      </c>
      <c r="L30" s="47">
        <v>0.73990162963512685</v>
      </c>
      <c r="M30" s="46">
        <v>0.73990162963512685</v>
      </c>
      <c r="N30" s="60"/>
      <c r="O30" s="71" t="s">
        <v>162</v>
      </c>
      <c r="P30" s="41">
        <f>M30+K30+I30+E30+G30</f>
        <v>3063.4759889293609</v>
      </c>
      <c r="Q30" s="70"/>
    </row>
    <row r="31" spans="2:33">
      <c r="B31" s="36"/>
      <c r="C31" s="47">
        <f>basic_info!$D$5+1</f>
        <v>2022</v>
      </c>
      <c r="D31" s="76"/>
      <c r="E31" s="75"/>
      <c r="F31" s="69">
        <v>0.77235281866490846</v>
      </c>
      <c r="G31" s="79">
        <v>1061.069</v>
      </c>
      <c r="H31" s="61">
        <v>0.74817568762620479</v>
      </c>
      <c r="I31" s="62">
        <v>0.74817568762620479</v>
      </c>
      <c r="J31" s="61">
        <v>0.80283888711486584</v>
      </c>
      <c r="K31" s="62">
        <v>0.80283888711486584</v>
      </c>
      <c r="L31" s="61">
        <v>0.74570195787797222</v>
      </c>
      <c r="M31" s="62">
        <v>0.74570195787797222</v>
      </c>
      <c r="N31" s="63">
        <v>1.0049511707471239</v>
      </c>
      <c r="O31" s="89" t="n">
        <v>1.004951170747124</v>
      </c>
      <c r="P31" s="63">
        <f>O31+M31+K31+I31+G31</f>
        <v>1063.365716532619</v>
      </c>
    </row>
    <row r="32" spans="2:33">
      <c r="B32" s="36"/>
      <c r="C32" s="47">
        <f>basic_info!$D$5+2</f>
        <v>2023</v>
      </c>
      <c r="D32" s="76"/>
      <c r="E32" s="75"/>
      <c r="F32" s="75"/>
      <c r="G32" s="75"/>
      <c r="H32" s="69">
        <v>0.76104814894497397</v>
      </c>
      <c r="I32" s="79">
        <v>0.76104814894497397</v>
      </c>
      <c r="J32" s="61">
        <v>0.79273633468025484</v>
      </c>
      <c r="K32" s="62">
        <v>0.79273633468025484</v>
      </c>
      <c r="L32" s="61">
        <v>0.69703697591794289</v>
      </c>
      <c r="M32" s="62">
        <v>0.69703697591794289</v>
      </c>
      <c r="N32" s="63">
        <v>0.95294777880413084</v>
      </c>
      <c r="O32" s="89" t="n">
        <v>0.9529477788041308</v>
      </c>
      <c r="P32" s="63">
        <f>O32+M32+K32+I32</f>
        <v>2.2508214595431717</v>
      </c>
    </row>
    <row r="33" spans="2:17">
      <c r="B33" s="36"/>
      <c r="C33" s="47">
        <f>basic_info!$D$5+3</f>
        <v>2024</v>
      </c>
      <c r="D33" s="76"/>
      <c r="E33" s="75"/>
      <c r="F33" s="75"/>
      <c r="G33" s="75"/>
      <c r="H33" s="75"/>
      <c r="I33" s="75"/>
      <c r="J33" s="69">
        <v>0.74555828573405758</v>
      </c>
      <c r="K33" s="79">
        <v>0.74555828573405758</v>
      </c>
      <c r="L33" s="61">
        <v>0.64461704818677901</v>
      </c>
      <c r="M33" s="62">
        <v>0.64461704818677901</v>
      </c>
      <c r="N33" s="63">
        <v>0.87899184604331659</v>
      </c>
      <c r="O33" s="89" t="n">
        <v>0.8789918460433166</v>
      </c>
      <c r="P33" s="63">
        <f>O33+M33+K33</f>
        <v>1.3901753339208365</v>
      </c>
    </row>
    <row r="34" spans="2:17">
      <c r="B34" s="36"/>
      <c r="C34" s="47">
        <f>basic_info!$D$5+4</f>
        <v>2025</v>
      </c>
      <c r="D34" s="76"/>
      <c r="E34" s="75"/>
      <c r="F34" s="75"/>
      <c r="G34" s="75"/>
      <c r="H34" s="75"/>
      <c r="I34" s="75"/>
      <c r="J34" s="75"/>
      <c r="K34" s="75"/>
      <c r="L34" s="69">
        <v>0.64994232899248594</v>
      </c>
      <c r="M34" s="79">
        <v>0.64994232899248594</v>
      </c>
      <c r="N34" s="63">
        <v>0.79960135907517904</v>
      </c>
      <c r="O34" s="89" t="n">
        <v>0.799601359075179</v>
      </c>
      <c r="P34" s="63">
        <f>O34+M34</f>
        <v>0.64994232899248594</v>
      </c>
    </row>
    <row r="35" spans="2:17">
      <c r="B35" s="37"/>
      <c r="C35" s="72">
        <f>basic_info!$D$5+5</f>
        <v>2026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0.73880555482804788</v>
      </c>
      <c r="O35" s="89" t="n">
        <v>0.7388055548280479</v>
      </c>
      <c r="P35" s="65">
        <f>O35</f>
        <v>0</v>
      </c>
    </row>
    <row r="36" spans="2:17">
      <c r="B36" s="41" t="s">
        <v>113</v>
      </c>
      <c r="C36" s="36">
        <f>basic_info!$D$5</f>
        <v>2021</v>
      </c>
      <c r="D36" s="44">
        <v>0.88851178684830667</v>
      </c>
      <c r="E36" s="35">
        <v>20000</v>
      </c>
      <c r="F36" s="73">
        <v>0.9979103092184296</v>
      </c>
      <c r="G36" s="74">
        <v>16262.2045658647</v>
      </c>
      <c r="H36" s="73">
        <v>0.98917274591614612</v>
      </c>
      <c r="I36" s="74">
        <v>0.98917274591614612</v>
      </c>
      <c r="J36" s="73">
        <v>1.0530186656760385</v>
      </c>
      <c r="K36" s="74">
        <v>1.0530186656760385</v>
      </c>
      <c r="L36" s="66">
        <v>1.225624111661084</v>
      </c>
      <c r="M36" s="67">
        <v>1.225624111661084</v>
      </c>
      <c r="N36" s="68"/>
      <c r="O36" s="71" t="s">
        <v>162</v>
      </c>
      <c r="P36" s="41">
        <f>M36+K36+I36+E36+G36</f>
        <v>36265.472381387954</v>
      </c>
      <c r="Q36" s="70"/>
    </row>
    <row r="37" spans="2:17">
      <c r="B37" s="36"/>
      <c r="C37" s="47">
        <f>basic_info!$D$5+1</f>
        <v>2022</v>
      </c>
      <c r="D37" s="76"/>
      <c r="E37" s="75"/>
      <c r="F37" s="69">
        <v>0.91683839964866642</v>
      </c>
      <c r="G37" s="79">
        <v>16262.2045658647</v>
      </c>
      <c r="H37" s="61">
        <v>0.95076571483281835</v>
      </c>
      <c r="I37" s="62">
        <v>0.95076571483281835</v>
      </c>
      <c r="J37" s="61">
        <v>0.99685742648302889</v>
      </c>
      <c r="K37" s="62">
        <v>0.99685742648302889</v>
      </c>
      <c r="L37" s="61">
        <v>1.1844849384504048</v>
      </c>
      <c r="M37" s="62">
        <v>1.1844849384504048</v>
      </c>
      <c r="N37" s="61">
        <v>1.0690742702798606</v>
      </c>
      <c r="O37" s="89" t="n">
        <v>1.0690742702798606</v>
      </c>
      <c r="P37" s="63">
        <f>O37+M37+K37+I37+G37</f>
        <v>16265.336673944466</v>
      </c>
    </row>
    <row r="38" spans="2:17">
      <c r="B38" s="36"/>
      <c r="C38" s="47">
        <f>basic_info!$D$5+2</f>
        <v>2023</v>
      </c>
      <c r="D38" s="76"/>
      <c r="E38" s="75"/>
      <c r="F38" s="75"/>
      <c r="G38" s="75"/>
      <c r="H38" s="69">
        <v>0.92028542885184295</v>
      </c>
      <c r="I38" s="79">
        <v>0.92028542885184295</v>
      </c>
      <c r="J38" s="61">
        <v>0.97101189850230707</v>
      </c>
      <c r="K38" s="62">
        <v>0.97101189850230707</v>
      </c>
      <c r="L38" s="61">
        <v>1.0883434339799747</v>
      </c>
      <c r="M38" s="62">
        <v>1.0883434339799747</v>
      </c>
      <c r="N38" s="61">
        <v>1.0379530990077617</v>
      </c>
      <c r="O38" s="89" t="n">
        <v>1.0379530990077617</v>
      </c>
      <c r="P38" s="63">
        <f>O38+M38+K38+I38</f>
        <v>2.9796407613341245</v>
      </c>
    </row>
    <row r="39" spans="2:17">
      <c r="B39" s="36"/>
      <c r="C39" s="47">
        <f>basic_info!$D$5+3</f>
        <v>2024</v>
      </c>
      <c r="D39" s="76"/>
      <c r="E39" s="75"/>
      <c r="F39" s="75"/>
      <c r="G39" s="75"/>
      <c r="H39" s="75"/>
      <c r="I39" s="75"/>
      <c r="J39" s="69">
        <v>0.91845404595136637</v>
      </c>
      <c r="K39" s="79">
        <v>0.91845404595136637</v>
      </c>
      <c r="L39" s="61">
        <v>1.0508784733022103</v>
      </c>
      <c r="M39" s="62">
        <v>1.0508784733022103</v>
      </c>
      <c r="N39" s="61">
        <v>0.98950169448473901</v>
      </c>
      <c r="O39" s="89" t="n">
        <v>0.989501694484739</v>
      </c>
      <c r="P39" s="63">
        <f>O39+M39+K39</f>
        <v>1.9693325192535767</v>
      </c>
    </row>
    <row r="40" spans="2:17">
      <c r="B40" s="36"/>
      <c r="C40" s="47">
        <f>basic_info!$D$5+4</f>
        <v>2025</v>
      </c>
      <c r="D40" s="76"/>
      <c r="E40" s="75"/>
      <c r="F40" s="75"/>
      <c r="G40" s="75"/>
      <c r="H40" s="75"/>
      <c r="I40" s="75"/>
      <c r="J40" s="75"/>
      <c r="K40" s="75"/>
      <c r="L40" s="69">
        <v>1.0247439911663534</v>
      </c>
      <c r="M40" s="79">
        <v>1.0247439911663534</v>
      </c>
      <c r="N40" s="61">
        <v>0.93453935364490526</v>
      </c>
      <c r="O40" s="89" t="n">
        <v>0.9345393536449053</v>
      </c>
      <c r="P40" s="63">
        <f>O40+M40</f>
        <v>1.0247439911663534</v>
      </c>
    </row>
    <row r="41" spans="2:17">
      <c r="B41" s="37"/>
      <c r="C41" s="72">
        <f>basic_info!$D$5+5</f>
        <v>2026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0.93520843183994296</v>
      </c>
      <c r="O41" s="89" t="n">
        <v>0.935208431839943</v>
      </c>
      <c r="P41" s="64">
        <f>O41</f>
        <v>0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 t="n">
        <v>8.333333333333334</v>
      </c>
      <c r="D47" s="92" t="n">
        <v>8.333333333333334</v>
      </c>
      <c r="E47" s="92" t="n">
        <v>8.333333333333334</v>
      </c>
      <c r="F47" s="92" t="n">
        <v>8.333333333333334</v>
      </c>
      <c r="G47" s="92" t="n">
        <v>8.333333333333334</v>
      </c>
      <c r="H47" s="92" t="n">
        <v>8.333333333333334</v>
      </c>
      <c r="I47" s="92" t="n">
        <v>8.333333333333334</v>
      </c>
      <c r="J47" s="92" t="n">
        <v>8.333333333333334</v>
      </c>
      <c r="K47" s="92" t="n">
        <v>8.333333333333334</v>
      </c>
      <c r="L47" s="92" t="n">
        <v>8.333333333333334</v>
      </c>
      <c r="M47" s="92" t="n">
        <v>8.333333333333334</v>
      </c>
      <c r="N47" s="92" t="n">
        <v>8.333333333333334</v>
      </c>
      <c r="O47" s="33">
        <f>SUM(C47:N47)</f>
        <v>0</v>
      </c>
    </row>
    <row r="48" spans="2:17">
      <c r="B48" s="37" t="s">
        <v>113</v>
      </c>
      <c r="C48" s="92" t="n">
        <v>8.333333333333332</v>
      </c>
      <c r="D48" s="92" t="n">
        <v>8.333333333333332</v>
      </c>
      <c r="E48" s="92" t="n">
        <v>8.333333333333332</v>
      </c>
      <c r="F48" s="92" t="n">
        <v>8.333333333333332</v>
      </c>
      <c r="G48" s="92" t="n">
        <v>8.333333333333332</v>
      </c>
      <c r="H48" s="92" t="n">
        <v>8.333333333333332</v>
      </c>
      <c r="I48" s="92" t="n">
        <v>8.333333333333332</v>
      </c>
      <c r="J48" s="92" t="n">
        <v>8.333333333333332</v>
      </c>
      <c r="K48" s="92" t="n">
        <v>8.333333333333332</v>
      </c>
      <c r="L48" s="92" t="n">
        <v>8.333333333333332</v>
      </c>
      <c r="M48" s="92" t="n">
        <v>8.333333333333332</v>
      </c>
      <c r="N48" s="92" t="n">
        <v>8.333333333333332</v>
      </c>
      <c r="O48" s="33">
        <f>SUM(C48:N48)</f>
        <v>0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gjzKj4tugDQGxg5qCYqvzaB4jZm8C23X3A8cltDeePnGnK76uTKeuugWl/syEDe23PnfXOTQih7NVxdEfvUGlA==" saltValue="AI2iSzITdVZoy/H21ynn7Q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/>
  </sheetViews>
  <sheetFormatPr baseColWidth="10" defaultColWidth="8.83203125" defaultRowHeight="12" x14ac:dyDescent="0"/>
  <cols>
    <col min="1" max="1" customWidth="true" style="29" width="4.6640625" collapsed="true"/>
    <col min="2" max="2" customWidth="true" style="29" width="17.33203125" collapsed="true"/>
    <col min="3" max="16384" style="29" width="8.83203125" collapsed="true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3" t="n">
        <v>2.4025146704474625E-23</v>
      </c>
      <c r="D6" s="93" t="n">
        <v>47.18026545341254</v>
      </c>
      <c r="E6" s="93" t="n">
        <v>0.0</v>
      </c>
      <c r="F6" s="93" t="n">
        <v>0.0</v>
      </c>
      <c r="G6" s="93" t="n">
        <v>52.81973454658746</v>
      </c>
      <c r="H6" s="97">
        <f>SUM($C$6:$G$6)</f>
        <v>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3" t="n">
        <v>3.554539544539845</v>
      </c>
      <c r="D7" s="93" t="n">
        <v>0.6767851578605091</v>
      </c>
      <c r="E7" s="93" t="n">
        <v>7.312149787482088</v>
      </c>
      <c r="F7" s="93" t="n">
        <v>88.45652551011756</v>
      </c>
      <c r="G7" s="93" t="n">
        <v>0.0</v>
      </c>
      <c r="H7" s="97">
        <f>SUM($C$7:$G$7)</f>
        <v>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3" t="n">
        <v>9.789821090428563E-24</v>
      </c>
      <c r="D8" s="93" t="n">
        <v>3.7567049318359974E-23</v>
      </c>
      <c r="E8" s="93" t="n">
        <v>100.0</v>
      </c>
      <c r="F8" s="93" t="n">
        <v>0.0</v>
      </c>
      <c r="G8" s="93" t="n">
        <v>0.0</v>
      </c>
      <c r="H8" s="97">
        <f>SUM($C$8:$G$8)</f>
        <v>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3" t="n">
        <v>69.05280812626668</v>
      </c>
      <c r="D9" s="93" t="n">
        <v>1.1277777957292765E-23</v>
      </c>
      <c r="E9" s="93" t="n">
        <v>0.0</v>
      </c>
      <c r="F9" s="93" t="n">
        <v>30.947191873733313</v>
      </c>
      <c r="G9" s="93" t="n">
        <v>4.894815737177811E-24</v>
      </c>
      <c r="H9" s="97">
        <f>SUM($C$9:$G$9)</f>
        <v>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3" t="n">
        <v>0.6102065083508396</v>
      </c>
      <c r="D10" s="93" t="n">
        <v>30.662571436469396</v>
      </c>
      <c r="E10" s="93" t="n">
        <v>0.0</v>
      </c>
      <c r="F10" s="93" t="n">
        <v>0.0</v>
      </c>
      <c r="G10" s="93" t="n">
        <v>68.72722205517975</v>
      </c>
      <c r="H10" s="97">
        <f>SUM($C$10:$G$10)</f>
        <v>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4" t="n">
        <v>11.022451023092222</v>
      </c>
      <c r="D11" s="94" t="n">
        <v>88.97754653947683</v>
      </c>
      <c r="E11" s="94" t="n">
        <v>0.0</v>
      </c>
      <c r="F11" s="94" t="n">
        <v>2.437430957260394E-6</v>
      </c>
      <c r="G11" s="94" t="n">
        <v>0.0</v>
      </c>
      <c r="H11" s="96">
        <f>SUM($C$11:$G$11)</f>
        <v>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4" t="n">
        <v>66.55735756711091</v>
      </c>
      <c r="D19" s="44">
        <f>100-$C$19</f>
        <v>100</v>
      </c>
      <c r="E19" s="94" t="n">
        <v>64.61004333082178</v>
      </c>
      <c r="F19" s="33">
        <f>100-$E$19</f>
        <v>100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3" t="n">
        <v>14.726261870213538</v>
      </c>
      <c r="D27" s="93" t="n">
        <v>52.815434385363645</v>
      </c>
      <c r="E27" s="93" t="n">
        <v>45.33518103839883</v>
      </c>
      <c r="F27" s="93" t="n">
        <v>0.0</v>
      </c>
      <c r="G27" s="95" t="n">
        <v>0.0</v>
      </c>
      <c r="N27" s="50"/>
      <c r="O27" s="50"/>
      <c r="P27" s="50"/>
    </row>
    <row r="28" spans="2:16">
      <c r="B28" s="45" t="s">
        <v>46</v>
      </c>
      <c r="C28" s="93" t="n">
        <v>17.75681536232341</v>
      </c>
      <c r="D28" s="93" t="n">
        <v>47.184565614636355</v>
      </c>
      <c r="E28" s="93" t="n">
        <v>54.66481896160118</v>
      </c>
      <c r="F28" s="93" t="n">
        <v>0.0</v>
      </c>
      <c r="G28" s="95" t="n">
        <v>0.0</v>
      </c>
      <c r="N28" s="50"/>
      <c r="O28" s="50"/>
      <c r="P28" s="50"/>
    </row>
    <row r="29" spans="2:16">
      <c r="B29" s="45" t="s">
        <v>59</v>
      </c>
      <c r="C29" s="93" t="n">
        <v>67.51692276746304</v>
      </c>
      <c r="D29" s="93" t="n">
        <v>0.0</v>
      </c>
      <c r="E29" s="93" t="n">
        <v>0.0</v>
      </c>
      <c r="F29" s="93" t="n">
        <v>100.0</v>
      </c>
      <c r="G29" s="95" t="n">
        <v>99.99999999999999</v>
      </c>
      <c r="N29" s="50"/>
      <c r="O29" s="50"/>
      <c r="P29" s="50"/>
    </row>
    <row r="30" spans="2:16">
      <c r="B30" s="45" t="s">
        <v>150</v>
      </c>
      <c r="C30" s="98">
        <f>SUM($C$27:$C$29)</f>
        <v>0</v>
      </c>
      <c r="D30" s="98">
        <f>SUM($D$27:$D$29)</f>
        <v>0</v>
      </c>
      <c r="E30" s="98">
        <f>SUM($E$27:$E$29)</f>
        <v>0</v>
      </c>
      <c r="F30" s="98">
        <f>SUM($F$27:$F$29)</f>
        <v>0</v>
      </c>
      <c r="G30" s="96">
        <f>SUM($G$27:$G$29)</f>
        <v>0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 t="n">
        <v>39.924599892940755</v>
      </c>
      <c r="D37" s="93" t="n">
        <v>39.924599892940755</v>
      </c>
      <c r="E37" s="93" t="n">
        <v>39.924599892940755</v>
      </c>
      <c r="F37" s="93" t="n">
        <v>39.924599892940755</v>
      </c>
      <c r="G37" s="93" t="n">
        <v>39.924599892940755</v>
      </c>
      <c r="H37" s="93" t="n">
        <v>39.924599892940755</v>
      </c>
      <c r="I37" s="93" t="n">
        <v>39.924599892940755</v>
      </c>
      <c r="J37" s="93" t="n">
        <v>39.924599892940755</v>
      </c>
      <c r="K37" s="93" t="n">
        <v>39.924599892940755</v>
      </c>
      <c r="L37" s="93" t="n">
        <v>39.924599892940755</v>
      </c>
      <c r="M37" s="93" t="n">
        <v>39.924599892940755</v>
      </c>
      <c r="N37" s="95" t="n">
        <v>39.924599892940755</v>
      </c>
    </row>
    <row r="38" spans="2:14">
      <c r="B38" s="45" t="s">
        <v>46</v>
      </c>
      <c r="C38" s="93" t="n">
        <v>40.96141031244294</v>
      </c>
      <c r="D38" s="93" t="n">
        <v>40.96141031244294</v>
      </c>
      <c r="E38" s="93" t="n">
        <v>40.96141031244294</v>
      </c>
      <c r="F38" s="93" t="n">
        <v>40.96141031244294</v>
      </c>
      <c r="G38" s="93" t="n">
        <v>40.96141031244294</v>
      </c>
      <c r="H38" s="93" t="n">
        <v>40.96141031244294</v>
      </c>
      <c r="I38" s="93" t="n">
        <v>40.96141031244294</v>
      </c>
      <c r="J38" s="93" t="n">
        <v>40.96141031244294</v>
      </c>
      <c r="K38" s="93" t="n">
        <v>40.96141031244294</v>
      </c>
      <c r="L38" s="93" t="n">
        <v>40.96141031244294</v>
      </c>
      <c r="M38" s="93" t="n">
        <v>40.96141031244294</v>
      </c>
      <c r="N38" s="95" t="n">
        <v>40.96141031244294</v>
      </c>
    </row>
    <row r="39" spans="2:14">
      <c r="B39" s="45" t="s">
        <v>59</v>
      </c>
      <c r="C39" s="94" t="n">
        <v>43.74360379140263</v>
      </c>
      <c r="D39" s="94" t="n">
        <v>43.74360379140263</v>
      </c>
      <c r="E39" s="94" t="n">
        <v>43.74360379140263</v>
      </c>
      <c r="F39" s="94" t="n">
        <v>43.74360379140263</v>
      </c>
      <c r="G39" s="94" t="n">
        <v>43.74360379140263</v>
      </c>
      <c r="H39" s="94" t="n">
        <v>43.74360379140263</v>
      </c>
      <c r="I39" s="94" t="n">
        <v>43.74360379140263</v>
      </c>
      <c r="J39" s="94" t="n">
        <v>43.74360379140263</v>
      </c>
      <c r="K39" s="94" t="n">
        <v>43.74360379140263</v>
      </c>
      <c r="L39" s="94" t="n">
        <v>43.74360379140263</v>
      </c>
      <c r="M39" s="94" t="n">
        <v>43.74360379140263</v>
      </c>
      <c r="N39" s="89" t="n">
        <v>43.74360379140263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m7i8utipqni7e5KNOizwlqE3XZ4ISkaVonnWdR1USXGQOn/FDEyc2WNiehssjfT4Y1ZPrjKRx/4DgI39OXFVHA==" saltValue="8PRLMeLSnjlwJLiag8jgGQ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/>
  </sheetViews>
  <sheetFormatPr baseColWidth="10" defaultColWidth="8.83203125" defaultRowHeight="12" x14ac:dyDescent="0"/>
  <cols>
    <col min="1" max="2" customWidth="true" style="29" width="4.6640625" collapsed="true"/>
    <col min="3" max="3" customWidth="true" style="29" width="12.6640625" collapsed="true"/>
    <col min="4" max="15" customWidth="true" style="29" width="8.6640625" collapsed="true"/>
    <col min="16" max="16384" style="29" width="8.83203125" collapsed="true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 t="n">
        <v>1.7</v>
      </c>
      <c r="E6" s="89" t="n">
        <v>1.7</v>
      </c>
      <c r="F6" s="89" t="n">
        <v>1.7</v>
      </c>
      <c r="G6" s="89" t="n">
        <v>1.7</v>
      </c>
      <c r="H6" s="89" t="n">
        <v>1.7</v>
      </c>
      <c r="I6" s="89" t="n">
        <v>1.7</v>
      </c>
      <c r="J6" s="89" t="n">
        <v>1.7</v>
      </c>
      <c r="K6" s="89" t="n">
        <v>1.7</v>
      </c>
      <c r="L6" s="89" t="n">
        <v>1.7</v>
      </c>
      <c r="M6" s="89" t="n">
        <v>1.7</v>
      </c>
      <c r="N6" s="89" t="n">
        <v>1.7</v>
      </c>
      <c r="O6" s="89" t="n">
        <v>1.7</v>
      </c>
    </row>
    <row r="7" spans="2:15">
      <c r="C7" s="36" t="s">
        <v>127</v>
      </c>
      <c r="D7" s="89" t="n">
        <v>2.0</v>
      </c>
      <c r="E7" s="89" t="n">
        <v>2.0</v>
      </c>
      <c r="F7" s="89" t="n">
        <v>2.0</v>
      </c>
      <c r="G7" s="89" t="n">
        <v>2.0</v>
      </c>
      <c r="H7" s="89" t="n">
        <v>2.0</v>
      </c>
      <c r="I7" s="89" t="n">
        <v>2.0</v>
      </c>
      <c r="J7" s="89" t="n">
        <v>2.0</v>
      </c>
      <c r="K7" s="89" t="n">
        <v>2.0</v>
      </c>
      <c r="L7" s="89" t="n">
        <v>2.0</v>
      </c>
      <c r="M7" s="89" t="n">
        <v>2.0</v>
      </c>
      <c r="N7" s="89" t="n">
        <v>2.0</v>
      </c>
      <c r="O7" s="89" t="n">
        <v>2.0</v>
      </c>
    </row>
    <row r="8" spans="2:15">
      <c r="C8" s="36" t="s">
        <v>128</v>
      </c>
      <c r="D8" s="89" t="n">
        <v>2.25</v>
      </c>
      <c r="E8" s="89" t="n">
        <v>2.25</v>
      </c>
      <c r="F8" s="89" t="n">
        <v>2.25</v>
      </c>
      <c r="G8" s="89" t="n">
        <v>2.25</v>
      </c>
      <c r="H8" s="89" t="n">
        <v>2.25</v>
      </c>
      <c r="I8" s="89" t="n">
        <v>2.25</v>
      </c>
      <c r="J8" s="89" t="n">
        <v>2.25</v>
      </c>
      <c r="K8" s="89" t="n">
        <v>2.25</v>
      </c>
      <c r="L8" s="89" t="n">
        <v>2.25</v>
      </c>
      <c r="M8" s="89" t="n">
        <v>2.25</v>
      </c>
      <c r="N8" s="89" t="n">
        <v>2.25</v>
      </c>
      <c r="O8" s="89" t="n">
        <v>2.25</v>
      </c>
    </row>
    <row r="9" spans="2:15">
      <c r="C9" s="36" t="s">
        <v>129</v>
      </c>
      <c r="D9" s="89" t="n">
        <v>2.25</v>
      </c>
      <c r="E9" s="89" t="n">
        <v>2.25</v>
      </c>
      <c r="F9" s="89" t="n">
        <v>2.25</v>
      </c>
      <c r="G9" s="89" t="n">
        <v>2.25</v>
      </c>
      <c r="H9" s="89" t="n">
        <v>2.25</v>
      </c>
      <c r="I9" s="89" t="n">
        <v>2.25</v>
      </c>
      <c r="J9" s="89" t="n">
        <v>2.25</v>
      </c>
      <c r="K9" s="89" t="n">
        <v>2.25</v>
      </c>
      <c r="L9" s="89" t="n">
        <v>2.25</v>
      </c>
      <c r="M9" s="89" t="n">
        <v>2.25</v>
      </c>
      <c r="N9" s="89" t="n">
        <v>2.25</v>
      </c>
      <c r="O9" s="89" t="n">
        <v>2.25</v>
      </c>
    </row>
    <row r="10" spans="2:15">
      <c r="C10" s="36" t="s">
        <v>130</v>
      </c>
      <c r="D10" s="89" t="n">
        <v>2.5</v>
      </c>
      <c r="E10" s="89" t="n">
        <v>2.5</v>
      </c>
      <c r="F10" s="89" t="n">
        <v>2.5</v>
      </c>
      <c r="G10" s="89" t="n">
        <v>2.5</v>
      </c>
      <c r="H10" s="89" t="n">
        <v>2.5</v>
      </c>
      <c r="I10" s="89" t="n">
        <v>2.5</v>
      </c>
      <c r="J10" s="89" t="n">
        <v>2.5</v>
      </c>
      <c r="K10" s="89" t="n">
        <v>2.5</v>
      </c>
      <c r="L10" s="89" t="n">
        <v>2.5</v>
      </c>
      <c r="M10" s="89" t="n">
        <v>2.5</v>
      </c>
      <c r="N10" s="89" t="n">
        <v>2.5</v>
      </c>
      <c r="O10" s="89" t="n">
        <v>2.5</v>
      </c>
    </row>
    <row r="11" spans="2:15">
      <c r="C11" s="36" t="s">
        <v>131</v>
      </c>
      <c r="D11" s="89" t="n">
        <v>2.6</v>
      </c>
      <c r="E11" s="89" t="n">
        <v>2.6</v>
      </c>
      <c r="F11" s="89" t="n">
        <v>2.6</v>
      </c>
      <c r="G11" s="89" t="n">
        <v>2.6</v>
      </c>
      <c r="H11" s="89" t="n">
        <v>2.6</v>
      </c>
      <c r="I11" s="89" t="n">
        <v>2.6</v>
      </c>
      <c r="J11" s="89" t="n">
        <v>2.6</v>
      </c>
      <c r="K11" s="89" t="n">
        <v>2.6</v>
      </c>
      <c r="L11" s="89" t="n">
        <v>2.6</v>
      </c>
      <c r="M11" s="89" t="n">
        <v>2.6</v>
      </c>
      <c r="N11" s="89" t="n">
        <v>2.6</v>
      </c>
      <c r="O11" s="89" t="n">
        <v>2.6</v>
      </c>
    </row>
    <row r="12" spans="2:15">
      <c r="C12" s="37" t="s">
        <v>132</v>
      </c>
      <c r="D12" s="89" t="n">
        <v>2.7</v>
      </c>
      <c r="E12" s="89" t="n">
        <v>2.7</v>
      </c>
      <c r="F12" s="89" t="n">
        <v>2.7</v>
      </c>
      <c r="G12" s="89" t="n">
        <v>2.7</v>
      </c>
      <c r="H12" s="89" t="n">
        <v>2.7</v>
      </c>
      <c r="I12" s="89" t="n">
        <v>2.7</v>
      </c>
      <c r="J12" s="89" t="n">
        <v>2.7</v>
      </c>
      <c r="K12" s="89" t="n">
        <v>2.7</v>
      </c>
      <c r="L12" s="89" t="n">
        <v>2.7</v>
      </c>
      <c r="M12" s="89" t="n">
        <v>2.7</v>
      </c>
      <c r="N12" s="89" t="n">
        <v>2.7</v>
      </c>
      <c r="O12" s="89" t="n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 t="n">
        <v>3.5</v>
      </c>
      <c r="E15" s="89" t="n">
        <v>3.5</v>
      </c>
      <c r="F15" s="89" t="n">
        <v>3.5</v>
      </c>
      <c r="G15" s="89" t="n">
        <v>3.5</v>
      </c>
      <c r="H15" s="89" t="n">
        <v>3.5</v>
      </c>
      <c r="I15" s="89" t="n">
        <v>3.5</v>
      </c>
      <c r="J15" s="89" t="n">
        <v>3.5</v>
      </c>
      <c r="K15" s="89" t="n">
        <v>3.5</v>
      </c>
      <c r="L15" s="89" t="n">
        <v>3.5</v>
      </c>
      <c r="M15" s="89" t="n">
        <v>3.5</v>
      </c>
      <c r="N15" s="89" t="n">
        <v>3.5</v>
      </c>
      <c r="O15" s="89" t="n">
        <v>3.5</v>
      </c>
    </row>
    <row r="16" spans="2:15">
      <c r="C16" s="36" t="s">
        <v>127</v>
      </c>
      <c r="D16" s="89" t="n">
        <v>3.5</v>
      </c>
      <c r="E16" s="89" t="n">
        <v>3.5</v>
      </c>
      <c r="F16" s="89" t="n">
        <v>3.5</v>
      </c>
      <c r="G16" s="89" t="n">
        <v>3.5</v>
      </c>
      <c r="H16" s="89" t="n">
        <v>3.5</v>
      </c>
      <c r="I16" s="89" t="n">
        <v>3.5</v>
      </c>
      <c r="J16" s="89" t="n">
        <v>3.5</v>
      </c>
      <c r="K16" s="89" t="n">
        <v>3.5</v>
      </c>
      <c r="L16" s="89" t="n">
        <v>3.5</v>
      </c>
      <c r="M16" s="89" t="n">
        <v>3.5</v>
      </c>
      <c r="N16" s="89" t="n">
        <v>3.5</v>
      </c>
      <c r="O16" s="89" t="n">
        <v>3.5</v>
      </c>
    </row>
    <row r="17" spans="2:15">
      <c r="C17" s="36" t="s">
        <v>128</v>
      </c>
      <c r="D17" s="89" t="n">
        <v>3.5</v>
      </c>
      <c r="E17" s="89" t="n">
        <v>3.5</v>
      </c>
      <c r="F17" s="89" t="n">
        <v>3.5</v>
      </c>
      <c r="G17" s="89" t="n">
        <v>3.5</v>
      </c>
      <c r="H17" s="89" t="n">
        <v>3.5</v>
      </c>
      <c r="I17" s="89" t="n">
        <v>3.5</v>
      </c>
      <c r="J17" s="89" t="n">
        <v>3.5</v>
      </c>
      <c r="K17" s="89" t="n">
        <v>3.5</v>
      </c>
      <c r="L17" s="89" t="n">
        <v>3.5</v>
      </c>
      <c r="M17" s="89" t="n">
        <v>3.5</v>
      </c>
      <c r="N17" s="89" t="n">
        <v>3.5</v>
      </c>
      <c r="O17" s="89" t="n">
        <v>3.5</v>
      </c>
    </row>
    <row r="18" spans="2:15">
      <c r="C18" s="36" t="s">
        <v>129</v>
      </c>
      <c r="D18" s="89" t="n">
        <v>3.5</v>
      </c>
      <c r="E18" s="89" t="n">
        <v>3.5</v>
      </c>
      <c r="F18" s="89" t="n">
        <v>3.5</v>
      </c>
      <c r="G18" s="89" t="n">
        <v>3.5</v>
      </c>
      <c r="H18" s="89" t="n">
        <v>3.5</v>
      </c>
      <c r="I18" s="89" t="n">
        <v>3.5</v>
      </c>
      <c r="J18" s="89" t="n">
        <v>3.5</v>
      </c>
      <c r="K18" s="89" t="n">
        <v>3.5</v>
      </c>
      <c r="L18" s="89" t="n">
        <v>3.5</v>
      </c>
      <c r="M18" s="89" t="n">
        <v>3.5</v>
      </c>
      <c r="N18" s="89" t="n">
        <v>3.5</v>
      </c>
      <c r="O18" s="89" t="n">
        <v>3.5</v>
      </c>
    </row>
    <row r="19" spans="2:15">
      <c r="C19" s="36" t="s">
        <v>130</v>
      </c>
      <c r="D19" s="89" t="n">
        <v>3.5</v>
      </c>
      <c r="E19" s="89" t="n">
        <v>3.5</v>
      </c>
      <c r="F19" s="89" t="n">
        <v>3.5</v>
      </c>
      <c r="G19" s="89" t="n">
        <v>3.5</v>
      </c>
      <c r="H19" s="89" t="n">
        <v>3.5</v>
      </c>
      <c r="I19" s="89" t="n">
        <v>3.5</v>
      </c>
      <c r="J19" s="89" t="n">
        <v>3.5</v>
      </c>
      <c r="K19" s="89" t="n">
        <v>3.5</v>
      </c>
      <c r="L19" s="89" t="n">
        <v>3.5</v>
      </c>
      <c r="M19" s="89" t="n">
        <v>3.5</v>
      </c>
      <c r="N19" s="89" t="n">
        <v>3.5</v>
      </c>
      <c r="O19" s="89" t="n">
        <v>3.5</v>
      </c>
    </row>
    <row r="20" spans="2:15">
      <c r="C20" s="36" t="s">
        <v>131</v>
      </c>
      <c r="D20" s="89" t="n">
        <v>3.5</v>
      </c>
      <c r="E20" s="89" t="n">
        <v>3.5</v>
      </c>
      <c r="F20" s="89" t="n">
        <v>3.5</v>
      </c>
      <c r="G20" s="89" t="n">
        <v>3.5</v>
      </c>
      <c r="H20" s="89" t="n">
        <v>3.5</v>
      </c>
      <c r="I20" s="89" t="n">
        <v>3.5</v>
      </c>
      <c r="J20" s="89" t="n">
        <v>3.5</v>
      </c>
      <c r="K20" s="89" t="n">
        <v>3.5</v>
      </c>
      <c r="L20" s="89" t="n">
        <v>3.5</v>
      </c>
      <c r="M20" s="89" t="n">
        <v>3.5</v>
      </c>
      <c r="N20" s="89" t="n">
        <v>3.5</v>
      </c>
      <c r="O20" s="89" t="n">
        <v>3.5</v>
      </c>
    </row>
    <row r="21" spans="2:15">
      <c r="C21" s="37" t="s">
        <v>132</v>
      </c>
      <c r="D21" s="89" t="n">
        <v>3.5</v>
      </c>
      <c r="E21" s="89" t="n">
        <v>3.5</v>
      </c>
      <c r="F21" s="89" t="n">
        <v>3.5</v>
      </c>
      <c r="G21" s="89" t="n">
        <v>3.5</v>
      </c>
      <c r="H21" s="89" t="n">
        <v>3.5</v>
      </c>
      <c r="I21" s="89" t="n">
        <v>3.5</v>
      </c>
      <c r="J21" s="89" t="n">
        <v>3.5</v>
      </c>
      <c r="K21" s="89" t="n">
        <v>3.5</v>
      </c>
      <c r="L21" s="89" t="n">
        <v>3.5</v>
      </c>
      <c r="M21" s="89" t="n">
        <v>3.5</v>
      </c>
      <c r="N21" s="89" t="n">
        <v>3.5</v>
      </c>
      <c r="O21" s="89" t="n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 t="n">
        <v>3.8</v>
      </c>
      <c r="E24" s="89" t="n">
        <v>3.8</v>
      </c>
      <c r="F24" s="89" t="n">
        <v>3.8</v>
      </c>
      <c r="G24" s="89" t="n">
        <v>3.8</v>
      </c>
      <c r="H24" s="89" t="n">
        <v>3.8</v>
      </c>
      <c r="I24" s="89" t="n">
        <v>3.8</v>
      </c>
      <c r="J24" s="89" t="n">
        <v>3.8</v>
      </c>
      <c r="K24" s="89" t="n">
        <v>3.8</v>
      </c>
      <c r="L24" s="89" t="n">
        <v>3.8</v>
      </c>
      <c r="M24" s="89" t="n">
        <v>3.8</v>
      </c>
      <c r="N24" s="89" t="n">
        <v>3.8</v>
      </c>
      <c r="O24" s="89" t="n">
        <v>3.8</v>
      </c>
    </row>
    <row r="25" spans="2:15">
      <c r="C25" s="36" t="s">
        <v>127</v>
      </c>
      <c r="D25" s="89" t="n">
        <v>3.8</v>
      </c>
      <c r="E25" s="89" t="n">
        <v>3.8</v>
      </c>
      <c r="F25" s="89" t="n">
        <v>3.8</v>
      </c>
      <c r="G25" s="89" t="n">
        <v>3.8</v>
      </c>
      <c r="H25" s="89" t="n">
        <v>3.8</v>
      </c>
      <c r="I25" s="89" t="n">
        <v>3.8</v>
      </c>
      <c r="J25" s="89" t="n">
        <v>3.8</v>
      </c>
      <c r="K25" s="89" t="n">
        <v>3.8</v>
      </c>
      <c r="L25" s="89" t="n">
        <v>3.8</v>
      </c>
      <c r="M25" s="89" t="n">
        <v>3.8</v>
      </c>
      <c r="N25" s="89" t="n">
        <v>3.8</v>
      </c>
      <c r="O25" s="89" t="n">
        <v>3.8</v>
      </c>
    </row>
    <row r="26" spans="2:15">
      <c r="C26" s="36" t="s">
        <v>128</v>
      </c>
      <c r="D26" s="89" t="n">
        <v>3.8</v>
      </c>
      <c r="E26" s="89" t="n">
        <v>3.8</v>
      </c>
      <c r="F26" s="89" t="n">
        <v>3.8</v>
      </c>
      <c r="G26" s="89" t="n">
        <v>3.8</v>
      </c>
      <c r="H26" s="89" t="n">
        <v>3.8</v>
      </c>
      <c r="I26" s="89" t="n">
        <v>3.8</v>
      </c>
      <c r="J26" s="89" t="n">
        <v>3.8</v>
      </c>
      <c r="K26" s="89" t="n">
        <v>3.8</v>
      </c>
      <c r="L26" s="89" t="n">
        <v>3.8</v>
      </c>
      <c r="M26" s="89" t="n">
        <v>3.8</v>
      </c>
      <c r="N26" s="89" t="n">
        <v>3.8</v>
      </c>
      <c r="O26" s="89" t="n">
        <v>3.8</v>
      </c>
    </row>
    <row r="27" spans="2:15">
      <c r="C27" s="36" t="s">
        <v>129</v>
      </c>
      <c r="D27" s="89" t="n">
        <v>3.8</v>
      </c>
      <c r="E27" s="89" t="n">
        <v>3.8</v>
      </c>
      <c r="F27" s="89" t="n">
        <v>3.8</v>
      </c>
      <c r="G27" s="89" t="n">
        <v>3.8</v>
      </c>
      <c r="H27" s="89" t="n">
        <v>3.8</v>
      </c>
      <c r="I27" s="89" t="n">
        <v>3.8</v>
      </c>
      <c r="J27" s="89" t="n">
        <v>3.8</v>
      </c>
      <c r="K27" s="89" t="n">
        <v>3.8</v>
      </c>
      <c r="L27" s="89" t="n">
        <v>3.8</v>
      </c>
      <c r="M27" s="89" t="n">
        <v>3.8</v>
      </c>
      <c r="N27" s="89" t="n">
        <v>3.8</v>
      </c>
      <c r="O27" s="89" t="n">
        <v>3.8</v>
      </c>
    </row>
    <row r="28" spans="2:15">
      <c r="C28" s="36" t="s">
        <v>130</v>
      </c>
      <c r="D28" s="89" t="n">
        <v>3.8</v>
      </c>
      <c r="E28" s="89" t="n">
        <v>3.8</v>
      </c>
      <c r="F28" s="89" t="n">
        <v>3.8</v>
      </c>
      <c r="G28" s="89" t="n">
        <v>3.8</v>
      </c>
      <c r="H28" s="89" t="n">
        <v>3.8</v>
      </c>
      <c r="I28" s="89" t="n">
        <v>3.8</v>
      </c>
      <c r="J28" s="89" t="n">
        <v>3.8</v>
      </c>
      <c r="K28" s="89" t="n">
        <v>3.8</v>
      </c>
      <c r="L28" s="89" t="n">
        <v>3.8</v>
      </c>
      <c r="M28" s="89" t="n">
        <v>3.8</v>
      </c>
      <c r="N28" s="89" t="n">
        <v>3.8</v>
      </c>
      <c r="O28" s="89" t="n">
        <v>3.8</v>
      </c>
    </row>
    <row r="29" spans="2:15">
      <c r="C29" s="36" t="s">
        <v>131</v>
      </c>
      <c r="D29" s="89" t="n">
        <v>3.8</v>
      </c>
      <c r="E29" s="89" t="n">
        <v>3.8</v>
      </c>
      <c r="F29" s="89" t="n">
        <v>3.8</v>
      </c>
      <c r="G29" s="89" t="n">
        <v>3.8</v>
      </c>
      <c r="H29" s="89" t="n">
        <v>3.8</v>
      </c>
      <c r="I29" s="89" t="n">
        <v>3.8</v>
      </c>
      <c r="J29" s="89" t="n">
        <v>3.8</v>
      </c>
      <c r="K29" s="89" t="n">
        <v>3.8</v>
      </c>
      <c r="L29" s="89" t="n">
        <v>3.8</v>
      </c>
      <c r="M29" s="89" t="n">
        <v>3.8</v>
      </c>
      <c r="N29" s="89" t="n">
        <v>3.8</v>
      </c>
      <c r="O29" s="89" t="n">
        <v>3.8</v>
      </c>
    </row>
    <row r="30" spans="2:15">
      <c r="C30" s="37" t="s">
        <v>132</v>
      </c>
      <c r="D30" s="89" t="n">
        <v>3.8</v>
      </c>
      <c r="E30" s="89" t="n">
        <v>3.8</v>
      </c>
      <c r="F30" s="89" t="n">
        <v>3.8</v>
      </c>
      <c r="G30" s="89" t="n">
        <v>3.8</v>
      </c>
      <c r="H30" s="89" t="n">
        <v>3.8</v>
      </c>
      <c r="I30" s="89" t="n">
        <v>3.8</v>
      </c>
      <c r="J30" s="89" t="n">
        <v>3.8</v>
      </c>
      <c r="K30" s="89" t="n">
        <v>3.8</v>
      </c>
      <c r="L30" s="89" t="n">
        <v>3.8</v>
      </c>
      <c r="M30" s="89" t="n">
        <v>3.8</v>
      </c>
      <c r="N30" s="89" t="n">
        <v>3.8</v>
      </c>
      <c r="O30" s="89" t="n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 t="n">
        <v>2.7</v>
      </c>
      <c r="E33" s="89" t="n">
        <v>2.7</v>
      </c>
      <c r="F33" s="89" t="n">
        <v>2.7</v>
      </c>
      <c r="G33" s="89" t="n">
        <v>2.7</v>
      </c>
      <c r="H33" s="89" t="n">
        <v>2.7</v>
      </c>
      <c r="I33" s="89" t="n">
        <v>2.7</v>
      </c>
      <c r="J33" s="89" t="n">
        <v>2.7</v>
      </c>
      <c r="K33" s="89" t="n">
        <v>2.7</v>
      </c>
      <c r="L33" s="89" t="n">
        <v>2.7</v>
      </c>
      <c r="M33" s="89" t="n">
        <v>2.7</v>
      </c>
      <c r="N33" s="89" t="n">
        <v>2.7</v>
      </c>
      <c r="O33" s="89" t="n">
        <v>2.7</v>
      </c>
    </row>
    <row r="34" spans="3:15">
      <c r="C34" s="36" t="s">
        <v>127</v>
      </c>
      <c r="D34" s="89" t="n">
        <v>2.4</v>
      </c>
      <c r="E34" s="89" t="n">
        <v>2.4</v>
      </c>
      <c r="F34" s="89" t="n">
        <v>2.4</v>
      </c>
      <c r="G34" s="89" t="n">
        <v>2.4</v>
      </c>
      <c r="H34" s="89" t="n">
        <v>2.4</v>
      </c>
      <c r="I34" s="89" t="n">
        <v>2.4</v>
      </c>
      <c r="J34" s="89" t="n">
        <v>2.4</v>
      </c>
      <c r="K34" s="89" t="n">
        <v>2.4</v>
      </c>
      <c r="L34" s="89" t="n">
        <v>2.4</v>
      </c>
      <c r="M34" s="89" t="n">
        <v>2.4</v>
      </c>
      <c r="N34" s="89" t="n">
        <v>2.4</v>
      </c>
      <c r="O34" s="89" t="n">
        <v>2.4</v>
      </c>
    </row>
    <row r="35" spans="3:15">
      <c r="C35" s="36" t="s">
        <v>128</v>
      </c>
      <c r="D35" s="89" t="n">
        <v>2.3</v>
      </c>
      <c r="E35" s="89" t="n">
        <v>2.3</v>
      </c>
      <c r="F35" s="89" t="n">
        <v>2.3</v>
      </c>
      <c r="G35" s="89" t="n">
        <v>2.3</v>
      </c>
      <c r="H35" s="89" t="n">
        <v>2.3</v>
      </c>
      <c r="I35" s="89" t="n">
        <v>2.3</v>
      </c>
      <c r="J35" s="89" t="n">
        <v>2.3</v>
      </c>
      <c r="K35" s="89" t="n">
        <v>2.3</v>
      </c>
      <c r="L35" s="89" t="n">
        <v>2.3</v>
      </c>
      <c r="M35" s="89" t="n">
        <v>2.3</v>
      </c>
      <c r="N35" s="89" t="n">
        <v>2.3</v>
      </c>
      <c r="O35" s="89" t="n">
        <v>2.3</v>
      </c>
    </row>
    <row r="36" spans="3:15">
      <c r="C36" s="36" t="s">
        <v>129</v>
      </c>
      <c r="D36" s="89" t="n">
        <v>2.5</v>
      </c>
      <c r="E36" s="89" t="n">
        <v>2.5</v>
      </c>
      <c r="F36" s="89" t="n">
        <v>2.5</v>
      </c>
      <c r="G36" s="89" t="n">
        <v>2.5</v>
      </c>
      <c r="H36" s="89" t="n">
        <v>2.5</v>
      </c>
      <c r="I36" s="89" t="n">
        <v>2.5</v>
      </c>
      <c r="J36" s="89" t="n">
        <v>2.5</v>
      </c>
      <c r="K36" s="89" t="n">
        <v>2.5</v>
      </c>
      <c r="L36" s="89" t="n">
        <v>2.5</v>
      </c>
      <c r="M36" s="89" t="n">
        <v>2.5</v>
      </c>
      <c r="N36" s="89" t="n">
        <v>2.5</v>
      </c>
      <c r="O36" s="89" t="n">
        <v>2.5</v>
      </c>
    </row>
    <row r="37" spans="3:15">
      <c r="C37" s="36" t="s">
        <v>130</v>
      </c>
      <c r="D37" s="89" t="n">
        <v>2.6</v>
      </c>
      <c r="E37" s="89" t="n">
        <v>2.6</v>
      </c>
      <c r="F37" s="89" t="n">
        <v>2.6</v>
      </c>
      <c r="G37" s="89" t="n">
        <v>2.6</v>
      </c>
      <c r="H37" s="89" t="n">
        <v>2.6</v>
      </c>
      <c r="I37" s="89" t="n">
        <v>2.6</v>
      </c>
      <c r="J37" s="89" t="n">
        <v>2.6</v>
      </c>
      <c r="K37" s="89" t="n">
        <v>2.6</v>
      </c>
      <c r="L37" s="89" t="n">
        <v>2.6</v>
      </c>
      <c r="M37" s="89" t="n">
        <v>2.6</v>
      </c>
      <c r="N37" s="89" t="n">
        <v>2.6</v>
      </c>
      <c r="O37" s="89" t="n">
        <v>2.6</v>
      </c>
    </row>
    <row r="38" spans="3:15">
      <c r="C38" s="36" t="s">
        <v>131</v>
      </c>
      <c r="D38" s="89" t="n">
        <v>2.8</v>
      </c>
      <c r="E38" s="89" t="n">
        <v>2.8</v>
      </c>
      <c r="F38" s="89" t="n">
        <v>2.8</v>
      </c>
      <c r="G38" s="89" t="n">
        <v>2.8</v>
      </c>
      <c r="H38" s="89" t="n">
        <v>2.8</v>
      </c>
      <c r="I38" s="89" t="n">
        <v>2.8</v>
      </c>
      <c r="J38" s="89" t="n">
        <v>2.8</v>
      </c>
      <c r="K38" s="89" t="n">
        <v>2.8</v>
      </c>
      <c r="L38" s="89" t="n">
        <v>2.8</v>
      </c>
      <c r="M38" s="89" t="n">
        <v>2.8</v>
      </c>
      <c r="N38" s="89" t="n">
        <v>2.8</v>
      </c>
      <c r="O38" s="89" t="n">
        <v>2.8</v>
      </c>
    </row>
    <row r="39" spans="3:15">
      <c r="C39" s="37" t="s">
        <v>132</v>
      </c>
      <c r="D39" s="89" t="n">
        <v>2.6</v>
      </c>
      <c r="E39" s="89" t="n">
        <v>2.6</v>
      </c>
      <c r="F39" s="89" t="n">
        <v>2.6</v>
      </c>
      <c r="G39" s="89" t="n">
        <v>2.6</v>
      </c>
      <c r="H39" s="89" t="n">
        <v>2.6</v>
      </c>
      <c r="I39" s="89" t="n">
        <v>2.6</v>
      </c>
      <c r="J39" s="89" t="n">
        <v>2.6</v>
      </c>
      <c r="K39" s="89" t="n">
        <v>2.6</v>
      </c>
      <c r="L39" s="89" t="n">
        <v>2.6</v>
      </c>
      <c r="M39" s="89" t="n">
        <v>2.6</v>
      </c>
      <c r="N39" s="89" t="n">
        <v>2.6</v>
      </c>
      <c r="O39" s="89" t="n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Xu2rWk0dGS1UJu3F2I8jTXWs+JQd3Za+qJe7iIk/PJQ/v+wemqH9EZHIMyIBHC9oIeyrC40ft5mUUa0Cv97H1A==" saltValue="m9W+LZQPYy+W/99NYRm0uQ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oreProperties xmlns="http://schemas.openxmlformats.org/package/2006/metadata/core-properties" xmlns:cp="http://schemas.openxmlformats.org/package/2006/metadata/core-properties" xmlns:dc="http://purl.org/dc/elements/1.1/" xmlns:dcterms="http://purl.org/dc/terms/" xmlns:xsi="http://www.w3.org/2001/XMLSchema-instance">
  <dcterms:created xsi:type="dcterms:W3CDTF">2003-07-09T21:14:27Z</dcterms:created>
  <dc:creator>Stella Ma</dc:creator>
  <lastModifiedBy>Alex</lastModifiedBy>
  <dcterms:modified xsi:type="dcterms:W3CDTF">2015-01-12T18:40:41Z</dcterms:modified>
</coreProperties>
</file>