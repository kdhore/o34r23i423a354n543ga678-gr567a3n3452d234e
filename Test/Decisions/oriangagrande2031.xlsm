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6860" windowHeight="1312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<sst xmlns="http://schemas.openxmlformats.org/spreadsheetml/2006/main" count="509" uniqueCount="167">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</sst>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2031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C2UxU4CSCtM+nlr2uYEjRyZ6xKHRUdtSn8/frsm0vEqnGSo93ld98qGrKoJp9YNsdt1WDEAyvmmql7hmKIj8nA==" saltValue="b0VmUQQ7GxjGczb7twjLO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1250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scJuPj319bJLtVUQGL8Ghq0SmJdKD1l8VtyZhcWdCwV+Vv99PmtZ3oKRdI3Cy3DVt5pE3TzZ6j4EjjY9MECH8w==" saltValue="IXOTjPbNKPf4uAgbjNasy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2679.8214422359174</v>
      </c>
      <c r="D6" s="87" t="n">
        <v>2679.8214422359174</v>
      </c>
      <c r="E6" s="87" t="n">
        <v>2679.8214422359174</v>
      </c>
      <c r="F6" s="87" t="n">
        <v>2679.8214422359174</v>
      </c>
      <c r="G6" s="87" t="n">
        <v>2679.8214422359174</v>
      </c>
      <c r="H6" s="87" t="n">
        <v>2679.8214422359174</v>
      </c>
      <c r="I6" s="87" t="n">
        <v>2679.8214422359174</v>
      </c>
      <c r="J6" s="87" t="n">
        <v>2679.8214422359174</v>
      </c>
      <c r="K6" s="87" t="n">
        <v>2679.8214422359174</v>
      </c>
      <c r="L6" s="87" t="n">
        <v>2679.8214422359174</v>
      </c>
      <c r="M6" s="87" t="n">
        <v>2679.8214422359174</v>
      </c>
      <c r="N6" s="87" t="n">
        <v>2679.8214422359174</v>
      </c>
    </row>
    <row r="7" spans="2:14">
      <c r="B7" s="36" t="s">
        <v>105</v>
      </c>
      <c r="C7" s="88" t="n">
        <v>2.1298299012938047E-20</v>
      </c>
      <c r="D7" s="89" t="n">
        <v>2.1298299012938047E-20</v>
      </c>
      <c r="E7" s="89" t="n">
        <v>2.1298299012938047E-20</v>
      </c>
      <c r="F7" s="89" t="n">
        <v>2.1298299012938047E-20</v>
      </c>
      <c r="G7" s="89" t="n">
        <v>2.1298299012938047E-20</v>
      </c>
      <c r="H7" s="89" t="n">
        <v>2.1298299012938047E-20</v>
      </c>
      <c r="I7" s="89" t="n">
        <v>2.1298299012938047E-20</v>
      </c>
      <c r="J7" s="89" t="n">
        <v>2.1298299012938047E-20</v>
      </c>
      <c r="K7" s="89" t="n">
        <v>2.1298299012938047E-20</v>
      </c>
      <c r="L7" s="89" t="n">
        <v>2.1298299012938047E-20</v>
      </c>
      <c r="M7" s="89" t="n">
        <v>2.1298299012938047E-20</v>
      </c>
      <c r="N7" s="89" t="n">
        <v>2.1298299012938047E-20</v>
      </c>
    </row>
    <row r="8" spans="2:14">
      <c r="B8" s="36" t="s">
        <v>106</v>
      </c>
      <c r="C8" s="88" t="n">
        <v>140.0</v>
      </c>
      <c r="D8" s="89" t="n">
        <v>140.0</v>
      </c>
      <c r="E8" s="89" t="n">
        <v>140.0</v>
      </c>
      <c r="F8" s="89" t="n">
        <v>140.0</v>
      </c>
      <c r="G8" s="89" t="n">
        <v>140.0</v>
      </c>
      <c r="H8" s="89" t="n">
        <v>140.0</v>
      </c>
      <c r="I8" s="89" t="n">
        <v>140.0</v>
      </c>
      <c r="J8" s="89" t="n">
        <v>140.0</v>
      </c>
      <c r="K8" s="89" t="n">
        <v>140.0</v>
      </c>
      <c r="L8" s="89" t="n">
        <v>140.0</v>
      </c>
      <c r="M8" s="89" t="n">
        <v>140.0</v>
      </c>
      <c r="N8" s="89" t="n">
        <v>140.0</v>
      </c>
    </row>
    <row r="9" spans="2:14">
      <c r="B9" s="36" t="s">
        <v>107</v>
      </c>
      <c r="C9" s="88" t="n">
        <v>790.0000000000005</v>
      </c>
      <c r="D9" s="89" t="n">
        <v>790.0000000000005</v>
      </c>
      <c r="E9" s="89" t="n">
        <v>790.0000000000005</v>
      </c>
      <c r="F9" s="89" t="n">
        <v>790.0000000000005</v>
      </c>
      <c r="G9" s="89" t="n">
        <v>790.0000000000005</v>
      </c>
      <c r="H9" s="89" t="n">
        <v>790.0000000000005</v>
      </c>
      <c r="I9" s="89" t="n">
        <v>790.0000000000005</v>
      </c>
      <c r="J9" s="89" t="n">
        <v>790.0000000000005</v>
      </c>
      <c r="K9" s="89" t="n">
        <v>790.0000000000005</v>
      </c>
      <c r="L9" s="89" t="n">
        <v>790.0000000000005</v>
      </c>
      <c r="M9" s="89" t="n">
        <v>790.0000000000005</v>
      </c>
      <c r="N9" s="89" t="n">
        <v>790.0000000000005</v>
      </c>
    </row>
    <row r="10" spans="2:14">
      <c r="B10" s="36" t="s">
        <v>108</v>
      </c>
      <c r="C10" s="88" t="n">
        <v>4.4545693303151884E-20</v>
      </c>
      <c r="D10" s="89" t="n">
        <v>4.4545693303151884E-20</v>
      </c>
      <c r="E10" s="89" t="n">
        <v>4.4545693303151884E-20</v>
      </c>
      <c r="F10" s="89" t="n">
        <v>4.4545693303151884E-20</v>
      </c>
      <c r="G10" s="89" t="n">
        <v>4.4545693303151884E-20</v>
      </c>
      <c r="H10" s="89" t="n">
        <v>4.4545693303151884E-20</v>
      </c>
      <c r="I10" s="89" t="n">
        <v>4.4545693303151884E-20</v>
      </c>
      <c r="J10" s="89" t="n">
        <v>4.4545693303151884E-20</v>
      </c>
      <c r="K10" s="89" t="n">
        <v>4.4545693303151884E-20</v>
      </c>
      <c r="L10" s="89" t="n">
        <v>4.4545693303151884E-20</v>
      </c>
      <c r="M10" s="89" t="n">
        <v>4.4545693303151884E-20</v>
      </c>
      <c r="N10" s="89" t="n">
        <v>4.4545693303151884E-20</v>
      </c>
    </row>
    <row r="11" spans="2:14">
      <c r="B11" s="37" t="s">
        <v>109</v>
      </c>
      <c r="C11" s="88" t="n">
        <v>4.519728567860734E-21</v>
      </c>
      <c r="D11" s="89" t="n">
        <v>4.519728567860734E-21</v>
      </c>
      <c r="E11" s="89" t="n">
        <v>4.519728567860734E-21</v>
      </c>
      <c r="F11" s="89" t="n">
        <v>4.519728567860734E-21</v>
      </c>
      <c r="G11" s="89" t="n">
        <v>4.519728567860734E-21</v>
      </c>
      <c r="H11" s="89" t="n">
        <v>4.519728567860734E-21</v>
      </c>
      <c r="I11" s="89" t="n">
        <v>4.519728567860734E-21</v>
      </c>
      <c r="J11" s="89" t="n">
        <v>4.519728567860734E-21</v>
      </c>
      <c r="K11" s="89" t="n">
        <v>4.519728567860734E-21</v>
      </c>
      <c r="L11" s="89" t="n">
        <v>4.519728567860734E-21</v>
      </c>
      <c r="M11" s="89" t="n">
        <v>4.519728567860734E-21</v>
      </c>
      <c r="N11" s="89" t="n">
        <v>4.519728567860734E-21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0.5606284671710361</v>
      </c>
      <c r="E17" s="90" t="n">
        <v>1.0</v>
      </c>
      <c r="F17" s="90" t="n">
        <v>0.7751654664338706</v>
      </c>
      <c r="G17" s="90" t="n">
        <v>0.8</v>
      </c>
      <c r="H17" s="90" t="n">
        <v>0.9897024656967051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0.6412143062749575</v>
      </c>
      <c r="E18" s="91" t="n">
        <v>1.0</v>
      </c>
      <c r="F18" s="91" t="n">
        <v>0.7708288156810407</v>
      </c>
      <c r="G18" s="91" t="n">
        <v>0.8</v>
      </c>
      <c r="H18" s="91" t="n">
        <v>0.900443325087124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0.6814152382149745</v>
      </c>
      <c r="E19" s="91" t="n">
        <v>1.0</v>
      </c>
      <c r="F19" s="91" t="n">
        <v>0.8388411791653478</v>
      </c>
      <c r="G19" s="91" t="n">
        <v>0.8</v>
      </c>
      <c r="H19" s="91" t="n">
        <v>0.9962671201157209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0.6475663887344966</v>
      </c>
      <c r="E20" s="91" t="n">
        <v>1.0</v>
      </c>
      <c r="F20" s="91" t="n">
        <v>0.8092313508025383</v>
      </c>
      <c r="G20" s="91" t="n">
        <v>0.8</v>
      </c>
      <c r="H20" s="91" t="n">
        <v>0.9708963128705801</v>
      </c>
    </row>
    <row r="21" spans="2:33">
      <c r="B21" s="36" t="s">
        <v>108</v>
      </c>
      <c r="C21" s="91" t="n">
        <v>1.2</v>
      </c>
      <c r="D21" s="91" t="n">
        <v>0.7059754286774489</v>
      </c>
      <c r="E21" s="91" t="n">
        <v>1.0</v>
      </c>
      <c r="F21" s="91" t="n">
        <v>0.7335296741163853</v>
      </c>
      <c r="G21" s="91" t="n">
        <v>0.8</v>
      </c>
      <c r="H21" s="91" t="n">
        <v>0.7610839195553215</v>
      </c>
    </row>
    <row r="22" spans="2:33">
      <c r="B22" s="37" t="s">
        <v>109</v>
      </c>
      <c r="C22" s="91" t="n">
        <v>1.2</v>
      </c>
      <c r="D22" s="91" t="n">
        <v>0.6823970256794082</v>
      </c>
      <c r="E22" s="91" t="n">
        <v>1.0</v>
      </c>
      <c r="F22" s="91" t="n">
        <v>0.7448099665886004</v>
      </c>
      <c r="G22" s="91" t="n">
        <v>0.8</v>
      </c>
      <c r="H22" s="91" t="n">
        <v>0.8072229074977928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2026</v>
      </c>
      <c r="E28" s="49"/>
      <c r="F28" s="45">
        <f>basic_info!$D$5-4</f>
        <v>2027</v>
      </c>
      <c r="G28" s="49"/>
      <c r="H28" s="45">
        <f>basic_info!$D$5-3</f>
        <v>2028</v>
      </c>
      <c r="I28" s="49"/>
      <c r="J28" s="45">
        <f>basic_info!$D$5-2</f>
        <v>2029</v>
      </c>
      <c r="K28" s="49"/>
      <c r="L28" s="45">
        <f>basic_info!$D$5-1</f>
        <v>2030</v>
      </c>
      <c r="N28" s="45">
        <f>basic_info!$D$5</f>
        <v>2031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2031</v>
      </c>
      <c r="D30" s="44">
        <v>0.68012294996082789</v>
      </c>
      <c r="E30" s="35">
        <v>0.68012294996082789</v>
      </c>
      <c r="F30" s="47">
        <v>0.70796417212980489</v>
      </c>
      <c r="G30" s="46">
        <v>0.70796417212980489</v>
      </c>
      <c r="H30" s="47">
        <v>0.76520281338787444</v>
      </c>
      <c r="I30" s="46">
        <v>0.76520281338787444</v>
      </c>
      <c r="J30" s="47">
        <v>0.7413359861182125</v>
      </c>
      <c r="K30" s="46">
        <v>0.7413359861182125</v>
      </c>
      <c r="L30" s="47">
        <v>0.81090191034329706</v>
      </c>
      <c r="M30" s="46">
        <v>0.81090191034329706</v>
      </c>
      <c r="N30" s="60"/>
      <c r="O30" s="71" t="s">
        <v>162</v>
      </c>
      <c r="P30" s="41">
        <f>M30+K30+I30+E30+G30</f>
        <v>3.7055278319400173</v>
      </c>
      <c r="Q30" s="70"/>
    </row>
    <row r="31" spans="2:33">
      <c r="B31" s="36"/>
      <c r="C31" s="47">
        <f>basic_info!$D$5+1</f>
        <v>2032</v>
      </c>
      <c r="D31" s="76"/>
      <c r="E31" s="75"/>
      <c r="F31" s="69">
        <v>0.66081657635867597</v>
      </c>
      <c r="G31" s="79">
        <v>0.66081657635867597</v>
      </c>
      <c r="H31" s="61">
        <v>0.72379884448625331</v>
      </c>
      <c r="I31" s="62">
        <v>0.72379884448625331</v>
      </c>
      <c r="J31" s="61">
        <v>0.69143952821589572</v>
      </c>
      <c r="K31" s="62">
        <v>0.69143952821589572</v>
      </c>
      <c r="L31" s="61">
        <v>0.79834376345265456</v>
      </c>
      <c r="M31" s="62">
        <v>0.79834376345265456</v>
      </c>
      <c r="N31" s="63">
        <v>0.94619245980522715</v>
      </c>
      <c r="O31" s="89" t="n">
        <v>0.9461924598052271</v>
      </c>
      <c r="P31" s="63">
        <f>O31+M31+K31+I31+G31</f>
        <v>2.8743987125134796</v>
      </c>
    </row>
    <row r="32" spans="2:33">
      <c r="B32" s="36"/>
      <c r="C32" s="47">
        <f>basic_info!$D$5+2</f>
        <v>2033</v>
      </c>
      <c r="D32" s="76"/>
      <c r="E32" s="75"/>
      <c r="F32" s="75"/>
      <c r="G32" s="75"/>
      <c r="H32" s="69">
        <v>0.68604024631083016</v>
      </c>
      <c r="I32" s="79">
        <v>0.68604024631083016</v>
      </c>
      <c r="J32" s="61">
        <v>0.69892836613039744</v>
      </c>
      <c r="K32" s="62">
        <v>0.69892836613039744</v>
      </c>
      <c r="L32" s="61">
        <v>0.72958384051727887</v>
      </c>
      <c r="M32" s="62">
        <v>0.72958384051727887</v>
      </c>
      <c r="N32" s="63">
        <v>0.88436510431531268</v>
      </c>
      <c r="O32" s="89" t="n">
        <v>0.8843651043153127</v>
      </c>
      <c r="P32" s="63">
        <f>O32+M32+K32+I32</f>
        <v>2.1145524529585065</v>
      </c>
    </row>
    <row r="33" spans="2:17">
      <c r="B33" s="36"/>
      <c r="C33" s="47">
        <f>basic_info!$D$5+3</f>
        <v>2034</v>
      </c>
      <c r="D33" s="76"/>
      <c r="E33" s="75"/>
      <c r="F33" s="75"/>
      <c r="G33" s="75"/>
      <c r="H33" s="75"/>
      <c r="I33" s="75"/>
      <c r="J33" s="69">
        <v>0.64970057869851594</v>
      </c>
      <c r="K33" s="79">
        <v>0.64970057869851594</v>
      </c>
      <c r="L33" s="61">
        <v>0.71232034054491844</v>
      </c>
      <c r="M33" s="62">
        <v>0.71232034054491844</v>
      </c>
      <c r="N33" s="63">
        <v>0.80679373337835147</v>
      </c>
      <c r="O33" s="89" t="n">
        <v>0.8067937333783515</v>
      </c>
      <c r="P33" s="63">
        <f>O33+M33+K33</f>
        <v>1.3620209192434345</v>
      </c>
    </row>
    <row r="34" spans="2:17">
      <c r="B34" s="36"/>
      <c r="C34" s="47">
        <f>basic_info!$D$5+4</f>
        <v>2035</v>
      </c>
      <c r="D34" s="76"/>
      <c r="E34" s="75"/>
      <c r="F34" s="75"/>
      <c r="G34" s="75"/>
      <c r="H34" s="75"/>
      <c r="I34" s="75"/>
      <c r="J34" s="75"/>
      <c r="K34" s="75"/>
      <c r="L34" s="69">
        <v>0.66346635976135726</v>
      </c>
      <c r="M34" s="79">
        <v>0.66346635976135726</v>
      </c>
      <c r="N34" s="63">
        <v>0.78732311045330217</v>
      </c>
      <c r="O34" s="89" t="n">
        <v>0.7873231104533022</v>
      </c>
      <c r="P34" s="63">
        <f>O34+M34</f>
        <v>0.66346635976135726</v>
      </c>
    </row>
    <row r="35" spans="2:17">
      <c r="B35" s="37"/>
      <c r="C35" s="72">
        <f>basic_info!$D$5+5</f>
        <v>2036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0.74404547180831448</v>
      </c>
      <c r="O35" s="89" t="n">
        <v>0.7440454718083145</v>
      </c>
      <c r="P35" s="65">
        <f>O35</f>
        <v>0</v>
      </c>
    </row>
    <row r="36" spans="2:17">
      <c r="B36" s="41" t="s">
        <v>113</v>
      </c>
      <c r="C36" s="36">
        <f>basic_info!$D$5</f>
        <v>2031</v>
      </c>
      <c r="D36" s="44">
        <v>1.0482402778565885</v>
      </c>
      <c r="E36" s="35">
        <v>1.0482402778565885</v>
      </c>
      <c r="F36" s="73">
        <v>0.97045032301312806</v>
      </c>
      <c r="G36" s="74">
        <v>0.97045032301312806</v>
      </c>
      <c r="H36" s="73">
        <v>0.98789917790483717</v>
      </c>
      <c r="I36" s="74">
        <v>0.98789917790483717</v>
      </c>
      <c r="J36" s="73">
        <v>1.0512867234689989</v>
      </c>
      <c r="K36" s="74">
        <v>1.0512867234689989</v>
      </c>
      <c r="L36" s="66">
        <v>1.0713967576029952</v>
      </c>
      <c r="M36" s="67">
        <v>1.0713967576029952</v>
      </c>
      <c r="N36" s="68"/>
      <c r="O36" s="71" t="s">
        <v>162</v>
      </c>
      <c r="P36" s="41">
        <f>M36+K36+I36+E36+G36</f>
        <v>5.1292732598465474</v>
      </c>
      <c r="Q36" s="70"/>
    </row>
    <row r="37" spans="2:17">
      <c r="B37" s="36"/>
      <c r="C37" s="47">
        <f>basic_info!$D$5+1</f>
        <v>2032</v>
      </c>
      <c r="D37" s="76"/>
      <c r="E37" s="75"/>
      <c r="F37" s="69">
        <v>0.96112931388616563</v>
      </c>
      <c r="G37" s="79">
        <v>0.96112931388616563</v>
      </c>
      <c r="H37" s="61">
        <v>0.89988736013715631</v>
      </c>
      <c r="I37" s="62">
        <v>0.89988736013715631</v>
      </c>
      <c r="J37" s="61">
        <v>1.053586334277947</v>
      </c>
      <c r="K37" s="62">
        <v>1.053586334277947</v>
      </c>
      <c r="L37" s="61">
        <v>1.0072098965412106</v>
      </c>
      <c r="M37" s="62">
        <v>1.0072098965412106</v>
      </c>
      <c r="N37" s="61">
        <v>1.1529275049158922</v>
      </c>
      <c r="O37" s="89" t="n">
        <v>1.1529275049158922</v>
      </c>
      <c r="P37" s="63">
        <f>O37+M37+K37+I37+G37</f>
        <v>3.9218129048424792</v>
      </c>
    </row>
    <row r="38" spans="2:17">
      <c r="B38" s="36"/>
      <c r="C38" s="47">
        <f>basic_info!$D$5+2</f>
        <v>2033</v>
      </c>
      <c r="D38" s="76"/>
      <c r="E38" s="75"/>
      <c r="F38" s="75"/>
      <c r="G38" s="75"/>
      <c r="H38" s="69">
        <v>0.86972962859272962</v>
      </c>
      <c r="I38" s="79">
        <v>0.86972962859272962</v>
      </c>
      <c r="J38" s="61">
        <v>1.0074343602156002</v>
      </c>
      <c r="K38" s="62">
        <v>1.0074343602156002</v>
      </c>
      <c r="L38" s="61">
        <v>0.97524463386379778</v>
      </c>
      <c r="M38" s="62">
        <v>0.97524463386379778</v>
      </c>
      <c r="N38" s="61">
        <v>1.1000244643116297</v>
      </c>
      <c r="O38" s="89" t="n">
        <v>1.1000244643116297</v>
      </c>
      <c r="P38" s="63">
        <f>O38+M38+K38+I38</f>
        <v>2.8524086226721277</v>
      </c>
    </row>
    <row r="39" spans="2:17">
      <c r="B39" s="36"/>
      <c r="C39" s="47">
        <f>basic_info!$D$5+3</f>
        <v>2034</v>
      </c>
      <c r="D39" s="76"/>
      <c r="E39" s="75"/>
      <c r="F39" s="75"/>
      <c r="G39" s="75"/>
      <c r="H39" s="75"/>
      <c r="I39" s="75"/>
      <c r="J39" s="69">
        <v>0.9264638961553574</v>
      </c>
      <c r="K39" s="79">
        <v>0.9264638961553574</v>
      </c>
      <c r="L39" s="61">
        <v>0.9730984368342821</v>
      </c>
      <c r="M39" s="62">
        <v>0.9730984368342821</v>
      </c>
      <c r="N39" s="61">
        <v>1.0442678920247443</v>
      </c>
      <c r="O39" s="89" t="n">
        <v>1.0442678920247443</v>
      </c>
      <c r="P39" s="63">
        <f>O39+M39+K39</f>
        <v>1.8995623329896394</v>
      </c>
    </row>
    <row r="40" spans="2:17">
      <c r="B40" s="36"/>
      <c r="C40" s="47">
        <f>basic_info!$D$5+4</f>
        <v>2035</v>
      </c>
      <c r="D40" s="76"/>
      <c r="E40" s="75"/>
      <c r="F40" s="75"/>
      <c r="G40" s="75"/>
      <c r="H40" s="75"/>
      <c r="I40" s="75"/>
      <c r="J40" s="75"/>
      <c r="K40" s="75"/>
      <c r="L40" s="69">
        <v>0.8868314356505872</v>
      </c>
      <c r="M40" s="79">
        <v>0.8868314356505872</v>
      </c>
      <c r="N40" s="61">
        <v>0.99109879015775826</v>
      </c>
      <c r="O40" s="89" t="n">
        <v>0.9910987901577583</v>
      </c>
      <c r="P40" s="63">
        <f>O40+M40</f>
        <v>0.8868314356505872</v>
      </c>
    </row>
    <row r="41" spans="2:17">
      <c r="B41" s="37"/>
      <c r="C41" s="72">
        <f>basic_info!$D$5+5</f>
        <v>2036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0.90685486632585532</v>
      </c>
      <c r="O41" s="89" t="n">
        <v>0.9068548663258553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</v>
      </c>
      <c r="D47" s="92" t="n">
        <v>8.33333333333333</v>
      </c>
      <c r="E47" s="92" t="n">
        <v>8.33333333333333</v>
      </c>
      <c r="F47" s="92" t="n">
        <v>8.33333333333333</v>
      </c>
      <c r="G47" s="92" t="n">
        <v>8.33333333333333</v>
      </c>
      <c r="H47" s="92" t="n">
        <v>8.33333333333333</v>
      </c>
      <c r="I47" s="92" t="n">
        <v>8.33333333333333</v>
      </c>
      <c r="J47" s="92" t="n">
        <v>8.33333333333333</v>
      </c>
      <c r="K47" s="92" t="n">
        <v>8.33333333333333</v>
      </c>
      <c r="L47" s="92" t="n">
        <v>8.33333333333333</v>
      </c>
      <c r="M47" s="92" t="n">
        <v>8.33333333333333</v>
      </c>
      <c r="N47" s="92" t="n">
        <v>8.33333333333333</v>
      </c>
      <c r="O47" s="33">
        <f>SUM(C47:N47)</f>
        <v>0</v>
      </c>
    </row>
    <row r="48" spans="2:17">
      <c r="B48" s="37" t="s">
        <v>113</v>
      </c>
      <c r="C48" s="92" t="n">
        <v>8.333333333333332</v>
      </c>
      <c r="D48" s="92" t="n">
        <v>8.333333333333332</v>
      </c>
      <c r="E48" s="92" t="n">
        <v>8.333333333333332</v>
      </c>
      <c r="F48" s="92" t="n">
        <v>8.333333333333332</v>
      </c>
      <c r="G48" s="92" t="n">
        <v>8.333333333333332</v>
      </c>
      <c r="H48" s="92" t="n">
        <v>8.333333333333332</v>
      </c>
      <c r="I48" s="92" t="n">
        <v>8.333333333333332</v>
      </c>
      <c r="J48" s="92" t="n">
        <v>8.333333333333332</v>
      </c>
      <c r="K48" s="92" t="n">
        <v>8.333333333333332</v>
      </c>
      <c r="L48" s="92" t="n">
        <v>8.333333333333332</v>
      </c>
      <c r="M48" s="92" t="n">
        <v>8.333333333333332</v>
      </c>
      <c r="N48" s="92" t="n">
        <v>8.333333333333332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9IG+dR2vLv8F9L5qo39eXhGosd5XRPedeIX7FKiTE3doLe84iwnmDQG/THNwRuC+QlLm0JXtZkZMTPhquLYtw==" saltValue="zJOal72U0D45gfE/M6MVt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2.209045603051714E-22</v>
      </c>
      <c r="D6" s="93" t="n">
        <v>60.66665551778191</v>
      </c>
      <c r="E6" s="93" t="n">
        <v>1.261943851609641E-22</v>
      </c>
      <c r="F6" s="93" t="n">
        <v>0.0</v>
      </c>
      <c r="G6" s="93" t="n">
        <v>39.33334448221809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76.68761577034269</v>
      </c>
      <c r="D7" s="93" t="n">
        <v>19.94697962096754</v>
      </c>
      <c r="E7" s="93" t="n">
        <v>0.0</v>
      </c>
      <c r="F7" s="93" t="n">
        <v>0.0</v>
      </c>
      <c r="G7" s="93" t="n">
        <v>3.3654046086897638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1.91208017081442E-21</v>
      </c>
      <c r="D8" s="93" t="n">
        <v>8.915047183420063E-21</v>
      </c>
      <c r="E8" s="93" t="n">
        <v>100.0</v>
      </c>
      <c r="F8" s="93" t="n">
        <v>7.617934085891074E-22</v>
      </c>
      <c r="G8" s="93" t="n">
        <v>8.339877276759763E-22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75.9493670886076</v>
      </c>
      <c r="D9" s="93" t="n">
        <v>3.3172561197800926E-22</v>
      </c>
      <c r="E9" s="93" t="n">
        <v>1.2710767754550615E-22</v>
      </c>
      <c r="F9" s="93" t="n">
        <v>24.05063291139239</v>
      </c>
      <c r="G9" s="93" t="n">
        <v>1.736939218365926E-23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52.19117112110877</v>
      </c>
      <c r="D10" s="93" t="n">
        <v>29.886844279618995</v>
      </c>
      <c r="E10" s="93" t="n">
        <v>4.600646731906285</v>
      </c>
      <c r="F10" s="93" t="n">
        <v>13.321337867365937</v>
      </c>
      <c r="G10" s="93" t="n">
        <v>0.0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35.484619842481834</v>
      </c>
      <c r="D11" s="94" t="n">
        <v>64.51538015751817</v>
      </c>
      <c r="E11" s="94" t="n">
        <v>0.0</v>
      </c>
      <c r="F11" s="94" t="n">
        <v>0.0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42.96645687259038</v>
      </c>
      <c r="D19" s="44">
        <f>100-$C$19</f>
        <v>100</v>
      </c>
      <c r="E19" s="94" t="n">
        <v>42.953976270642904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14.386303434413811</v>
      </c>
      <c r="D27" s="93" t="n">
        <v>34.05708686347834</v>
      </c>
      <c r="E27" s="93" t="n">
        <v>28.862673093875447</v>
      </c>
      <c r="F27" s="93" t="n">
        <v>13.202769932741633</v>
      </c>
      <c r="G27" s="95" t="n">
        <v>11.123980638303948</v>
      </c>
      <c r="N27" s="50"/>
      <c r="O27" s="50"/>
      <c r="P27" s="50"/>
    </row>
    <row r="28" spans="2:16">
      <c r="B28" s="45" t="s">
        <v>46</v>
      </c>
      <c r="C28" s="93" t="n">
        <v>17.51835402849861</v>
      </c>
      <c r="D28" s="93" t="n">
        <v>65.94291313652165</v>
      </c>
      <c r="E28" s="93" t="n">
        <v>71.13732690612456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68.09534253708757</v>
      </c>
      <c r="D29" s="93" t="n">
        <v>0.0</v>
      </c>
      <c r="E29" s="93" t="n">
        <v>0.0</v>
      </c>
      <c r="F29" s="93" t="n">
        <v>86.79723006725837</v>
      </c>
      <c r="G29" s="95" t="n">
        <v>88.87601936169605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35.62888803084072</v>
      </c>
      <c r="D37" s="93" t="n">
        <v>35.62888803084072</v>
      </c>
      <c r="E37" s="93" t="n">
        <v>35.62888803084072</v>
      </c>
      <c r="F37" s="93" t="n">
        <v>35.62888803084072</v>
      </c>
      <c r="G37" s="93" t="n">
        <v>35.62888803084072</v>
      </c>
      <c r="H37" s="93" t="n">
        <v>35.62888803084072</v>
      </c>
      <c r="I37" s="93" t="n">
        <v>35.62888803084072</v>
      </c>
      <c r="J37" s="93" t="n">
        <v>35.62888803084072</v>
      </c>
      <c r="K37" s="93" t="n">
        <v>35.62888803084072</v>
      </c>
      <c r="L37" s="93" t="n">
        <v>35.62888803084072</v>
      </c>
      <c r="M37" s="93" t="n">
        <v>35.62888803084072</v>
      </c>
      <c r="N37" s="95" t="n">
        <v>35.62888803084072</v>
      </c>
    </row>
    <row r="38" spans="2:14">
      <c r="B38" s="45" t="s">
        <v>46</v>
      </c>
      <c r="C38" s="93" t="n">
        <v>49.29112214771247</v>
      </c>
      <c r="D38" s="93" t="n">
        <v>49.29112214771247</v>
      </c>
      <c r="E38" s="93" t="n">
        <v>49.29112214771247</v>
      </c>
      <c r="F38" s="93" t="n">
        <v>49.29112214771247</v>
      </c>
      <c r="G38" s="93" t="n">
        <v>49.29112214771247</v>
      </c>
      <c r="H38" s="93" t="n">
        <v>49.29112214771247</v>
      </c>
      <c r="I38" s="93" t="n">
        <v>49.29112214771247</v>
      </c>
      <c r="J38" s="93" t="n">
        <v>49.29112214771247</v>
      </c>
      <c r="K38" s="93" t="n">
        <v>49.29112214771247</v>
      </c>
      <c r="L38" s="93" t="n">
        <v>49.29112214771247</v>
      </c>
      <c r="M38" s="93" t="n">
        <v>49.29112214771247</v>
      </c>
      <c r="N38" s="95" t="n">
        <v>49.29112214771247</v>
      </c>
    </row>
    <row r="39" spans="2:14">
      <c r="B39" s="45" t="s">
        <v>59</v>
      </c>
      <c r="C39" s="94" t="n">
        <v>44.78296161058278</v>
      </c>
      <c r="D39" s="94" t="n">
        <v>44.78296161058278</v>
      </c>
      <c r="E39" s="94" t="n">
        <v>44.78296161058278</v>
      </c>
      <c r="F39" s="94" t="n">
        <v>44.78296161058278</v>
      </c>
      <c r="G39" s="94" t="n">
        <v>44.78296161058278</v>
      </c>
      <c r="H39" s="94" t="n">
        <v>44.78296161058278</v>
      </c>
      <c r="I39" s="94" t="n">
        <v>44.78296161058278</v>
      </c>
      <c r="J39" s="94" t="n">
        <v>44.78296161058278</v>
      </c>
      <c r="K39" s="94" t="n">
        <v>44.78296161058278</v>
      </c>
      <c r="L39" s="94" t="n">
        <v>44.78296161058278</v>
      </c>
      <c r="M39" s="94" t="n">
        <v>44.78296161058278</v>
      </c>
      <c r="N39" s="89" t="n">
        <v>44.78296161058278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FlyY2VmroEVoZxatReuzeFJ9XJlAIMOHugh4DbLdR7G5RDBP7TRXgv7c6djV9mAYPEARdzvtiLX+PHxjFyB/Pw==" saltValue="HBDvH/Pejmcv6muareY8h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zA265Mbq/VR5Pkyjfr7mNMnGOkxevZkDiqGhibk7EJ0k9+2nre/MelfxBwGE7Wy6uH4jxge8B35Nou0K+450Bg==" saltValue="z2p7v1VP6oGAN8jFLC5v/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2015-01-12T21:06:12Z</dcterms:modified>
</coreProperties>
</file>