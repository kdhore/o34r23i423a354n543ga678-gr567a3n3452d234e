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<sst xmlns="http://schemas.openxmlformats.org/spreadsheetml/2006/main" count="509" uniqueCount="167">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</sst>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2034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Kca9+45XfSOVQJWVuUfjOEYAbrs9mfatKpwTj7pKoM7bQv+shMKJr9gGi5TjPFgmdAMIuygZh64QnPzFhadq2w==" saltValue="4M+8zaFC/eQ4fEJyY8ek3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qNRtwLr5iOHitWjOO6dWL3TXLaLZ6TpCaG1cYm6IxzLHwdozRFKunr3a3kMZx0pqimQmBqyWThQBqqjjThHDQ==" saltValue="c1du59Eg+Yu/FWZwyJ+ac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2740.073412403842</v>
      </c>
      <c r="D6" s="87" t="n">
        <v>2740.073412403842</v>
      </c>
      <c r="E6" s="87" t="n">
        <v>2740.073412403842</v>
      </c>
      <c r="F6" s="87" t="n">
        <v>2740.073412403842</v>
      </c>
      <c r="G6" s="87" t="n">
        <v>2740.073412403842</v>
      </c>
      <c r="H6" s="87" t="n">
        <v>2740.073412403842</v>
      </c>
      <c r="I6" s="87" t="n">
        <v>2740.073412403842</v>
      </c>
      <c r="J6" s="87" t="n">
        <v>2740.073412403842</v>
      </c>
      <c r="K6" s="87" t="n">
        <v>2740.073412403842</v>
      </c>
      <c r="L6" s="87" t="n">
        <v>2740.073412403842</v>
      </c>
      <c r="M6" s="87" t="n">
        <v>2740.073412403842</v>
      </c>
      <c r="N6" s="87" t="n">
        <v>2740.073412403842</v>
      </c>
    </row>
    <row r="7" spans="2:14">
      <c r="B7" s="36" t="s">
        <v>105</v>
      </c>
      <c r="C7" s="88" t="n">
        <v>2.5114778396828356E-19</v>
      </c>
      <c r="D7" s="89" t="n">
        <v>2.5114778396828356E-19</v>
      </c>
      <c r="E7" s="89" t="n">
        <v>2.5114778396828356E-19</v>
      </c>
      <c r="F7" s="89" t="n">
        <v>2.5114778396828356E-19</v>
      </c>
      <c r="G7" s="89" t="n">
        <v>2.5114778396828356E-19</v>
      </c>
      <c r="H7" s="89" t="n">
        <v>2.5114778396828356E-19</v>
      </c>
      <c r="I7" s="89" t="n">
        <v>2.5114778396828356E-19</v>
      </c>
      <c r="J7" s="89" t="n">
        <v>2.5114778396828356E-19</v>
      </c>
      <c r="K7" s="89" t="n">
        <v>2.5114778396828356E-19</v>
      </c>
      <c r="L7" s="89" t="n">
        <v>2.5114778396828356E-19</v>
      </c>
      <c r="M7" s="89" t="n">
        <v>2.5114778396828356E-19</v>
      </c>
      <c r="N7" s="89" t="n">
        <v>2.5114778396828356E-19</v>
      </c>
    </row>
    <row r="8" spans="2:14">
      <c r="B8" s="36" t="s">
        <v>106</v>
      </c>
      <c r="C8" s="88" t="n">
        <v>140.0</v>
      </c>
      <c r="D8" s="89" t="n">
        <v>140.0</v>
      </c>
      <c r="E8" s="89" t="n">
        <v>140.0</v>
      </c>
      <c r="F8" s="89" t="n">
        <v>140.0</v>
      </c>
      <c r="G8" s="89" t="n">
        <v>140.0</v>
      </c>
      <c r="H8" s="89" t="n">
        <v>140.0</v>
      </c>
      <c r="I8" s="89" t="n">
        <v>140.0</v>
      </c>
      <c r="J8" s="89" t="n">
        <v>140.0</v>
      </c>
      <c r="K8" s="89" t="n">
        <v>140.0</v>
      </c>
      <c r="L8" s="89" t="n">
        <v>140.0</v>
      </c>
      <c r="M8" s="89" t="n">
        <v>140.0</v>
      </c>
      <c r="N8" s="89" t="n">
        <v>140.0</v>
      </c>
    </row>
    <row r="9" spans="2:14">
      <c r="B9" s="36" t="s">
        <v>107</v>
      </c>
      <c r="C9" s="88" t="n">
        <v>789.9999999999936</v>
      </c>
      <c r="D9" s="89" t="n">
        <v>789.9999999999936</v>
      </c>
      <c r="E9" s="89" t="n">
        <v>789.9999999999936</v>
      </c>
      <c r="F9" s="89" t="n">
        <v>789.9999999999936</v>
      </c>
      <c r="G9" s="89" t="n">
        <v>789.9999999999936</v>
      </c>
      <c r="H9" s="89" t="n">
        <v>789.9999999999936</v>
      </c>
      <c r="I9" s="89" t="n">
        <v>789.9999999999936</v>
      </c>
      <c r="J9" s="89" t="n">
        <v>789.9999999999936</v>
      </c>
      <c r="K9" s="89" t="n">
        <v>789.9999999999936</v>
      </c>
      <c r="L9" s="89" t="n">
        <v>789.9999999999936</v>
      </c>
      <c r="M9" s="89" t="n">
        <v>789.9999999999936</v>
      </c>
      <c r="N9" s="89" t="n">
        <v>789.9999999999936</v>
      </c>
    </row>
    <row r="10" spans="2:14">
      <c r="B10" s="36" t="s">
        <v>108</v>
      </c>
      <c r="C10" s="88" t="n">
        <v>1.222165048240969E-19</v>
      </c>
      <c r="D10" s="89" t="n">
        <v>1.222165048240969E-19</v>
      </c>
      <c r="E10" s="89" t="n">
        <v>1.222165048240969E-19</v>
      </c>
      <c r="F10" s="89" t="n">
        <v>1.222165048240969E-19</v>
      </c>
      <c r="G10" s="89" t="n">
        <v>1.222165048240969E-19</v>
      </c>
      <c r="H10" s="89" t="n">
        <v>1.222165048240969E-19</v>
      </c>
      <c r="I10" s="89" t="n">
        <v>1.222165048240969E-19</v>
      </c>
      <c r="J10" s="89" t="n">
        <v>1.222165048240969E-19</v>
      </c>
      <c r="K10" s="89" t="n">
        <v>1.222165048240969E-19</v>
      </c>
      <c r="L10" s="89" t="n">
        <v>1.222165048240969E-19</v>
      </c>
      <c r="M10" s="89" t="n">
        <v>1.222165048240969E-19</v>
      </c>
      <c r="N10" s="89" t="n">
        <v>1.222165048240969E-19</v>
      </c>
    </row>
    <row r="11" spans="2:14">
      <c r="B11" s="37" t="s">
        <v>109</v>
      </c>
      <c r="C11" s="88" t="n">
        <v>2.0478046282504486E-19</v>
      </c>
      <c r="D11" s="89" t="n">
        <v>2.0478046282504486E-19</v>
      </c>
      <c r="E11" s="89" t="n">
        <v>2.0478046282504486E-19</v>
      </c>
      <c r="F11" s="89" t="n">
        <v>2.0478046282504486E-19</v>
      </c>
      <c r="G11" s="89" t="n">
        <v>2.0478046282504486E-19</v>
      </c>
      <c r="H11" s="89" t="n">
        <v>2.0478046282504486E-19</v>
      </c>
      <c r="I11" s="89" t="n">
        <v>2.0478046282504486E-19</v>
      </c>
      <c r="J11" s="89" t="n">
        <v>2.0478046282504486E-19</v>
      </c>
      <c r="K11" s="89" t="n">
        <v>2.0478046282504486E-19</v>
      </c>
      <c r="L11" s="89" t="n">
        <v>2.0478046282504486E-19</v>
      </c>
      <c r="M11" s="89" t="n">
        <v>2.0478046282504486E-19</v>
      </c>
      <c r="N11" s="89" t="n">
        <v>2.0478046282504486E-19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0.558623214689768</v>
      </c>
      <c r="E17" s="90" t="n">
        <v>1.0</v>
      </c>
      <c r="F17" s="90" t="n">
        <v>0.7749052067325721</v>
      </c>
      <c r="G17" s="90" t="n">
        <v>0.8</v>
      </c>
      <c r="H17" s="90" t="n">
        <v>0.991187198775376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0.6433510673248245</v>
      </c>
      <c r="E18" s="91" t="n">
        <v>1.0</v>
      </c>
      <c r="F18" s="91" t="n">
        <v>0.7693298047850202</v>
      </c>
      <c r="G18" s="91" t="n">
        <v>0.8</v>
      </c>
      <c r="H18" s="91" t="n">
        <v>0.8953085422452159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0.6805497273378409</v>
      </c>
      <c r="E19" s="91" t="n">
        <v>1.0</v>
      </c>
      <c r="F19" s="91" t="n">
        <v>0.8398260088201785</v>
      </c>
      <c r="G19" s="91" t="n">
        <v>0.8</v>
      </c>
      <c r="H19" s="91" t="n">
        <v>0.9991022903025161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0.6470590775533636</v>
      </c>
      <c r="E20" s="91" t="n">
        <v>1.0</v>
      </c>
      <c r="F20" s="91" t="n">
        <v>0.8102850642439523</v>
      </c>
      <c r="G20" s="91" t="n">
        <v>0.8</v>
      </c>
      <c r="H20" s="91" t="n">
        <v>0.9735110509345409</v>
      </c>
    </row>
    <row r="21" spans="2:33">
      <c r="B21" s="36" t="s">
        <v>108</v>
      </c>
      <c r="C21" s="91" t="n">
        <v>1.2</v>
      </c>
      <c r="D21" s="91" t="n">
        <v>0.7108267231608348</v>
      </c>
      <c r="E21" s="91" t="n">
        <v>1.0</v>
      </c>
      <c r="F21" s="91" t="n">
        <v>0.7384243784730206</v>
      </c>
      <c r="G21" s="91" t="n">
        <v>0.8</v>
      </c>
      <c r="H21" s="91" t="n">
        <v>0.7660220337852063</v>
      </c>
    </row>
    <row r="22" spans="2:33">
      <c r="B22" s="37" t="s">
        <v>109</v>
      </c>
      <c r="C22" s="91" t="n">
        <v>1.2</v>
      </c>
      <c r="D22" s="91" t="n">
        <v>0.6849682135734679</v>
      </c>
      <c r="E22" s="91" t="n">
        <v>1.0</v>
      </c>
      <c r="F22" s="91" t="n">
        <v>0.7479510771546661</v>
      </c>
      <c r="G22" s="91" t="n">
        <v>0.8</v>
      </c>
      <c r="H22" s="91" t="n">
        <v>0.8109339407358642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2029</v>
      </c>
      <c r="E28" s="49"/>
      <c r="F28" s="45">
        <f>basic_info!$D$5-4</f>
        <v>2030</v>
      </c>
      <c r="G28" s="49"/>
      <c r="H28" s="45">
        <f>basic_info!$D$5-3</f>
        <v>2031</v>
      </c>
      <c r="I28" s="49"/>
      <c r="J28" s="45">
        <f>basic_info!$D$5-2</f>
        <v>2032</v>
      </c>
      <c r="K28" s="49"/>
      <c r="L28" s="45">
        <f>basic_info!$D$5-1</f>
        <v>2033</v>
      </c>
      <c r="N28" s="45">
        <f>basic_info!$D$5</f>
        <v>2034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2034</v>
      </c>
      <c r="D30" s="44">
        <v>0.64970057869851594</v>
      </c>
      <c r="E30" s="35">
        <v>0.64970057869851594</v>
      </c>
      <c r="F30" s="47">
        <v>0.71232034054491844</v>
      </c>
      <c r="G30" s="46">
        <v>0.71232034054491844</v>
      </c>
      <c r="H30" s="47">
        <v>0.80679373337835147</v>
      </c>
      <c r="I30" s="46">
        <v>0.80679373337835147</v>
      </c>
      <c r="J30" s="47">
        <v>0.79105931339882707</v>
      </c>
      <c r="K30" s="46">
        <v>0.79105931339882707</v>
      </c>
      <c r="L30" s="47">
        <v>0.89043464716424103</v>
      </c>
      <c r="M30" s="46">
        <v>0.89043464716424103</v>
      </c>
      <c r="N30" s="60"/>
      <c r="O30" s="71" t="s">
        <v>162</v>
      </c>
      <c r="P30" s="41">
        <f>M30+K30+I30+E30+G30</f>
        <v>3.8503086131848541</v>
      </c>
      <c r="Q30" s="70"/>
    </row>
    <row r="31" spans="2:33">
      <c r="B31" s="36"/>
      <c r="C31" s="47">
        <f>basic_info!$D$5+1</f>
        <v>2035</v>
      </c>
      <c r="D31" s="76"/>
      <c r="E31" s="75"/>
      <c r="F31" s="69">
        <v>0.66346635976135726</v>
      </c>
      <c r="G31" s="79">
        <v>0.66346635976135726</v>
      </c>
      <c r="H31" s="61">
        <v>0.78732311045330217</v>
      </c>
      <c r="I31" s="62">
        <v>0.78732311045330217</v>
      </c>
      <c r="J31" s="61">
        <v>0.76298126753191375</v>
      </c>
      <c r="K31" s="62">
        <v>0.76298126753191375</v>
      </c>
      <c r="L31" s="61">
        <v>0.81829514605656817</v>
      </c>
      <c r="M31" s="62">
        <v>0.81829514605656817</v>
      </c>
      <c r="N31" s="63">
        <v>0.76327255885061085</v>
      </c>
      <c r="O31" s="89" t="n">
        <v>0.7632725588506108</v>
      </c>
      <c r="P31" s="63">
        <f>O31+M31+K31+I31+G31</f>
        <v>3.0320658838031416</v>
      </c>
    </row>
    <row r="32" spans="2:33">
      <c r="B32" s="36"/>
      <c r="C32" s="47">
        <f>basic_info!$D$5+2</f>
        <v>2036</v>
      </c>
      <c r="D32" s="76"/>
      <c r="E32" s="75"/>
      <c r="F32" s="75"/>
      <c r="G32" s="75"/>
      <c r="H32" s="69">
        <v>0.74404547180831448</v>
      </c>
      <c r="I32" s="79">
        <v>0.74404547180831448</v>
      </c>
      <c r="J32" s="61">
        <v>0.69721272056293226</v>
      </c>
      <c r="K32" s="62">
        <v>0.69721272056293226</v>
      </c>
      <c r="L32" s="61">
        <v>0.76882835387956727</v>
      </c>
      <c r="M32" s="62">
        <v>0.76882835387956727</v>
      </c>
      <c r="N32" s="63">
        <v>0.76569231989214592</v>
      </c>
      <c r="O32" s="89" t="n">
        <v>0.7656923198921459</v>
      </c>
      <c r="P32" s="63">
        <f>O32+M32+K32+I32</f>
        <v>2.2100865462508139</v>
      </c>
    </row>
    <row r="33" spans="2:17">
      <c r="B33" s="36"/>
      <c r="C33" s="47">
        <f>basic_info!$D$5+3</f>
        <v>2037</v>
      </c>
      <c r="D33" s="76"/>
      <c r="E33" s="75"/>
      <c r="F33" s="75"/>
      <c r="G33" s="75"/>
      <c r="H33" s="75"/>
      <c r="I33" s="75"/>
      <c r="J33" s="69">
        <v>0.65119834536612031</v>
      </c>
      <c r="K33" s="79">
        <v>0.65119834536612031</v>
      </c>
      <c r="L33" s="61">
        <v>0.76681790999338961</v>
      </c>
      <c r="M33" s="62">
        <v>0.76681790999338961</v>
      </c>
      <c r="N33" s="63">
        <v>0.70959163384227419</v>
      </c>
      <c r="O33" s="89" t="n">
        <v>0.7095916338422742</v>
      </c>
      <c r="P33" s="63">
        <f>O33+M33+K33</f>
        <v>1.4180162553595099</v>
      </c>
    </row>
    <row r="34" spans="2:17">
      <c r="B34" s="36"/>
      <c r="C34" s="47">
        <f>basic_info!$D$5+4</f>
        <v>2038</v>
      </c>
      <c r="D34" s="76"/>
      <c r="E34" s="75"/>
      <c r="F34" s="75"/>
      <c r="G34" s="75"/>
      <c r="H34" s="75"/>
      <c r="I34" s="75"/>
      <c r="J34" s="75"/>
      <c r="K34" s="75"/>
      <c r="L34" s="69">
        <v>0.74667387226521975</v>
      </c>
      <c r="M34" s="79">
        <v>0.74667387226521975</v>
      </c>
      <c r="N34" s="63">
        <v>0.68013068169303958</v>
      </c>
      <c r="O34" s="89" t="n">
        <v>0.6801306816930396</v>
      </c>
      <c r="P34" s="63">
        <f>O34+M34</f>
        <v>0.74667387226521975</v>
      </c>
    </row>
    <row r="35" spans="2:17">
      <c r="B35" s="37"/>
      <c r="C35" s="72">
        <f>basic_info!$D$5+5</f>
        <v>2039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0.68044121716320516</v>
      </c>
      <c r="O35" s="89" t="n">
        <v>0.6804412171632052</v>
      </c>
      <c r="P35" s="65">
        <f>O35</f>
        <v>0</v>
      </c>
    </row>
    <row r="36" spans="2:17">
      <c r="B36" s="41" t="s">
        <v>113</v>
      </c>
      <c r="C36" s="36">
        <f>basic_info!$D$5</f>
        <v>2034</v>
      </c>
      <c r="D36" s="44">
        <v>0.9264638961553574</v>
      </c>
      <c r="E36" s="35">
        <v>0.9264638961553574</v>
      </c>
      <c r="F36" s="73">
        <v>0.9730984368342821</v>
      </c>
      <c r="G36" s="74">
        <v>0.9730984368342821</v>
      </c>
      <c r="H36" s="73">
        <v>1.0442678920247443</v>
      </c>
      <c r="I36" s="74">
        <v>1.0442678920247443</v>
      </c>
      <c r="J36" s="73">
        <v>0.98077290688446384</v>
      </c>
      <c r="K36" s="74">
        <v>0.98077290688446384</v>
      </c>
      <c r="L36" s="66">
        <v>1.1427414564900349</v>
      </c>
      <c r="M36" s="67">
        <v>1.1427414564900349</v>
      </c>
      <c r="N36" s="68"/>
      <c r="O36" s="71" t="s">
        <v>162</v>
      </c>
      <c r="P36" s="41">
        <f>M36+K36+I36+E36+G36</f>
        <v>5.0673445883888819</v>
      </c>
      <c r="Q36" s="70"/>
    </row>
    <row r="37" spans="2:17">
      <c r="B37" s="36"/>
      <c r="C37" s="47">
        <f>basic_info!$D$5+1</f>
        <v>2035</v>
      </c>
      <c r="D37" s="76"/>
      <c r="E37" s="75"/>
      <c r="F37" s="69">
        <v>0.8868314356505872</v>
      </c>
      <c r="G37" s="79">
        <v>0.8868314356505872</v>
      </c>
      <c r="H37" s="61">
        <v>0.99109879015775826</v>
      </c>
      <c r="I37" s="62">
        <v>0.99109879015775826</v>
      </c>
      <c r="J37" s="61">
        <v>0.95913227098070553</v>
      </c>
      <c r="K37" s="62">
        <v>0.95913227098070553</v>
      </c>
      <c r="L37" s="61">
        <v>1.0764485114091515</v>
      </c>
      <c r="M37" s="62">
        <v>1.0764485114091515</v>
      </c>
      <c r="N37" s="61">
        <v>1.1579697059832081</v>
      </c>
      <c r="O37" s="89" t="n">
        <v>1.1579697059832081</v>
      </c>
      <c r="P37" s="63">
        <f>O37+M37+K37+I37+G37</f>
        <v>3.9135110081982027</v>
      </c>
    </row>
    <row r="38" spans="2:17">
      <c r="B38" s="36"/>
      <c r="C38" s="47">
        <f>basic_info!$D$5+2</f>
        <v>2036</v>
      </c>
      <c r="D38" s="76"/>
      <c r="E38" s="75"/>
      <c r="F38" s="75"/>
      <c r="G38" s="75"/>
      <c r="H38" s="69">
        <v>0.90685486632585532</v>
      </c>
      <c r="I38" s="79">
        <v>0.90685486632585532</v>
      </c>
      <c r="J38" s="61">
        <v>0.96722108921344618</v>
      </c>
      <c r="K38" s="62">
        <v>0.96722108921344618</v>
      </c>
      <c r="L38" s="61">
        <v>1.0731617478435744</v>
      </c>
      <c r="M38" s="62">
        <v>1.0731617478435744</v>
      </c>
      <c r="N38" s="61">
        <v>1.0587261312265608</v>
      </c>
      <c r="O38" s="89" t="n">
        <v>1.0587261312265608</v>
      </c>
      <c r="P38" s="63">
        <f>O38+M38+K38+I38</f>
        <v>2.9472377033828758</v>
      </c>
    </row>
    <row r="39" spans="2:17">
      <c r="B39" s="36"/>
      <c r="C39" s="47">
        <f>basic_info!$D$5+3</f>
        <v>2037</v>
      </c>
      <c r="D39" s="76"/>
      <c r="E39" s="75"/>
      <c r="F39" s="75"/>
      <c r="G39" s="75"/>
      <c r="H39" s="75"/>
      <c r="I39" s="75"/>
      <c r="J39" s="69">
        <v>0.95287734881043429</v>
      </c>
      <c r="K39" s="79">
        <v>0.95287734881043429</v>
      </c>
      <c r="L39" s="61">
        <v>1.0551084650329126</v>
      </c>
      <c r="M39" s="62">
        <v>1.0551084650329126</v>
      </c>
      <c r="N39" s="61">
        <v>0.97246606459587315</v>
      </c>
      <c r="O39" s="89" t="n">
        <v>0.9724660645958731</v>
      </c>
      <c r="P39" s="63">
        <f>O39+M39+K39</f>
        <v>2.0079858138433471</v>
      </c>
    </row>
    <row r="40" spans="2:17">
      <c r="B40" s="36"/>
      <c r="C40" s="47">
        <f>basic_info!$D$5+4</f>
        <v>2038</v>
      </c>
      <c r="D40" s="76"/>
      <c r="E40" s="75"/>
      <c r="F40" s="75"/>
      <c r="G40" s="75"/>
      <c r="H40" s="75"/>
      <c r="I40" s="75"/>
      <c r="J40" s="75"/>
      <c r="K40" s="75"/>
      <c r="L40" s="69">
        <v>1.0463588497638703</v>
      </c>
      <c r="M40" s="79">
        <v>1.0463588497638703</v>
      </c>
      <c r="N40" s="61">
        <v>0.94771662324783268</v>
      </c>
      <c r="O40" s="89" t="n">
        <v>0.9477166232478327</v>
      </c>
      <c r="P40" s="63">
        <f>O40+M40</f>
        <v>1.0463588497638703</v>
      </c>
    </row>
    <row r="41" spans="2:17">
      <c r="B41" s="37"/>
      <c r="C41" s="72">
        <f>basic_info!$D$5+5</f>
        <v>2039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0.9522573674619198</v>
      </c>
      <c r="O41" s="89" t="n">
        <v>0.9522573674619198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8.333333333333334</v>
      </c>
      <c r="D48" s="92" t="n">
        <v>8.333333333333334</v>
      </c>
      <c r="E48" s="92" t="n">
        <v>8.333333333333334</v>
      </c>
      <c r="F48" s="92" t="n">
        <v>8.333333333333334</v>
      </c>
      <c r="G48" s="92" t="n">
        <v>8.333333333333334</v>
      </c>
      <c r="H48" s="92" t="n">
        <v>8.333333333333334</v>
      </c>
      <c r="I48" s="92" t="n">
        <v>8.333333333333334</v>
      </c>
      <c r="J48" s="92" t="n">
        <v>8.333333333333334</v>
      </c>
      <c r="K48" s="92" t="n">
        <v>8.333333333333334</v>
      </c>
      <c r="L48" s="92" t="n">
        <v>8.333333333333334</v>
      </c>
      <c r="M48" s="92" t="n">
        <v>8.333333333333334</v>
      </c>
      <c r="N48" s="92" t="n">
        <v>8.333333333333334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TMi7mbyRsywRApoc2HahdlciVq2+RleONAVLQfz9Hd8e8dD9jic2wl4Ws1zZ14jROFL0sJxdpQp0ZOryt4560w==" saltValue="0cnePd2mqj8fGfd1hAuJu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3.2625219166879996E-21</v>
      </c>
      <c r="D6" s="93" t="n">
        <v>61.48003556793528</v>
      </c>
      <c r="E6" s="93" t="n">
        <v>3.944258340958055E-22</v>
      </c>
      <c r="F6" s="93" t="n">
        <v>1.1833639099220017E-21</v>
      </c>
      <c r="G6" s="93" t="n">
        <v>38.51996443206471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59.39249958360257</v>
      </c>
      <c r="D7" s="93" t="n">
        <v>23.353718193831394</v>
      </c>
      <c r="E7" s="93" t="n">
        <v>0.0</v>
      </c>
      <c r="F7" s="93" t="n">
        <v>17.222163652196684</v>
      </c>
      <c r="G7" s="93" t="n">
        <v>0.031618570369356294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5.960105218934759E-20</v>
      </c>
      <c r="D8" s="93" t="n">
        <v>7.678262901540657E-20</v>
      </c>
      <c r="E8" s="93" t="n">
        <v>100.0</v>
      </c>
      <c r="F8" s="93" t="n">
        <v>1.3384997409337518E-26</v>
      </c>
      <c r="G8" s="93" t="n">
        <v>8.373588227659928E-23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75.9493670886074</v>
      </c>
      <c r="D9" s="93" t="n">
        <v>1.7533919494858524E-20</v>
      </c>
      <c r="E9" s="93" t="n">
        <v>1.3681803601933356E-21</v>
      </c>
      <c r="F9" s="93" t="n">
        <v>24.050632911392597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59.65180587615721</v>
      </c>
      <c r="D10" s="93" t="n">
        <v>22.660485272896803</v>
      </c>
      <c r="E10" s="93" t="n">
        <v>8.84383365981191</v>
      </c>
      <c r="F10" s="93" t="n">
        <v>8.84387519113406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21.775942854282206</v>
      </c>
      <c r="D11" s="94" t="n">
        <v>65.02791069846086</v>
      </c>
      <c r="E11" s="94" t="n">
        <v>2.6398015054695665</v>
      </c>
      <c r="F11" s="94" t="n">
        <v>10.556344941787362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38.21295877825391</v>
      </c>
      <c r="D19" s="44">
        <f>100-$C$19</f>
        <v>100</v>
      </c>
      <c r="E19" s="94" t="n">
        <v>43.27339795039118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14.415871185343573</v>
      </c>
      <c r="D27" s="93" t="n">
        <v>25.854123210533842</v>
      </c>
      <c r="E27" s="93" t="n">
        <v>19.081963519905326</v>
      </c>
      <c r="F27" s="93" t="n">
        <v>16.559884011955557</v>
      </c>
      <c r="G27" s="95" t="n">
        <v>13.831909108241986</v>
      </c>
      <c r="N27" s="50"/>
      <c r="O27" s="50"/>
      <c r="P27" s="50"/>
    </row>
    <row r="28" spans="2:16">
      <c r="B28" s="45" t="s">
        <v>46</v>
      </c>
      <c r="C28" s="93" t="n">
        <v>17.842874481773947</v>
      </c>
      <c r="D28" s="93" t="n">
        <v>74.14587678946616</v>
      </c>
      <c r="E28" s="93" t="n">
        <v>80.91803648009468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67.74125433288249</v>
      </c>
      <c r="D29" s="93" t="n">
        <v>0.0</v>
      </c>
      <c r="E29" s="93" t="n">
        <v>0.0</v>
      </c>
      <c r="F29" s="93" t="n">
        <v>83.44011598804443</v>
      </c>
      <c r="G29" s="95" t="n">
        <v>86.16809089175801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35.94165990815403</v>
      </c>
      <c r="D37" s="93" t="n">
        <v>35.94165990815403</v>
      </c>
      <c r="E37" s="93" t="n">
        <v>35.94165990815403</v>
      </c>
      <c r="F37" s="93" t="n">
        <v>35.94165990815403</v>
      </c>
      <c r="G37" s="93" t="n">
        <v>35.94165990815403</v>
      </c>
      <c r="H37" s="93" t="n">
        <v>35.94165990815403</v>
      </c>
      <c r="I37" s="93" t="n">
        <v>35.94165990815403</v>
      </c>
      <c r="J37" s="93" t="n">
        <v>35.94165990815403</v>
      </c>
      <c r="K37" s="93" t="n">
        <v>35.94165990815403</v>
      </c>
      <c r="L37" s="93" t="n">
        <v>35.94165990815403</v>
      </c>
      <c r="M37" s="93" t="n">
        <v>35.94165990815403</v>
      </c>
      <c r="N37" s="95" t="n">
        <v>35.94165990815403</v>
      </c>
    </row>
    <row r="38" spans="2:14">
      <c r="B38" s="45" t="s">
        <v>46</v>
      </c>
      <c r="C38" s="93" t="n">
        <v>46.666666666666664</v>
      </c>
      <c r="D38" s="93" t="n">
        <v>46.666666666666664</v>
      </c>
      <c r="E38" s="93" t="n">
        <v>46.666666666666664</v>
      </c>
      <c r="F38" s="93" t="n">
        <v>46.666666666666664</v>
      </c>
      <c r="G38" s="93" t="n">
        <v>46.666666666666664</v>
      </c>
      <c r="H38" s="93" t="n">
        <v>46.666666666666664</v>
      </c>
      <c r="I38" s="93" t="n">
        <v>46.666666666666664</v>
      </c>
      <c r="J38" s="93" t="n">
        <v>46.666666666666664</v>
      </c>
      <c r="K38" s="93" t="n">
        <v>46.666666666666664</v>
      </c>
      <c r="L38" s="93" t="n">
        <v>46.666666666666664</v>
      </c>
      <c r="M38" s="93" t="n">
        <v>46.666666666666664</v>
      </c>
      <c r="N38" s="95" t="n">
        <v>46.666666666666664</v>
      </c>
    </row>
    <row r="39" spans="2:14">
      <c r="B39" s="45" t="s">
        <v>59</v>
      </c>
      <c r="C39" s="94" t="n">
        <v>45.139249990444966</v>
      </c>
      <c r="D39" s="94" t="n">
        <v>45.139249990444966</v>
      </c>
      <c r="E39" s="94" t="n">
        <v>45.139249990444966</v>
      </c>
      <c r="F39" s="94" t="n">
        <v>45.139249990444966</v>
      </c>
      <c r="G39" s="94" t="n">
        <v>45.139249990444966</v>
      </c>
      <c r="H39" s="94" t="n">
        <v>45.139249990444966</v>
      </c>
      <c r="I39" s="94" t="n">
        <v>45.139249990444966</v>
      </c>
      <c r="J39" s="94" t="n">
        <v>45.139249990444966</v>
      </c>
      <c r="K39" s="94" t="n">
        <v>45.139249990444966</v>
      </c>
      <c r="L39" s="94" t="n">
        <v>45.139249990444966</v>
      </c>
      <c r="M39" s="94" t="n">
        <v>45.139249990444966</v>
      </c>
      <c r="N39" s="89" t="n">
        <v>45.139249990444966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QpFH0oThEqQ5W18EzzfuPuTnSJHDM7UK4TvPXSeNmRGsymwW+TBDN6K09Nt/yntTqrv/wvNN6alSRhH4+R7WeQ==" saltValue="v9m3ujC5GO1XhXnaCcL7w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5o39DJODRAmpe6y6VVDx3mvrsAJsp+Hpb2cw/0+RL9wu+ZjyPbnNO9ZCoW6vtYPyZrKgS/DeCB3xDxqRp7RVDg==" saltValue="PcwkwRUXYuMEdF4xXWvxy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2015-01-12T21:33:34Z</dcterms:modified>
</coreProperties>
</file>