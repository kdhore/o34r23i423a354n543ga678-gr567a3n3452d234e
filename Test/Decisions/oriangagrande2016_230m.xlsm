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5520" yWindow="1640" windowWidth="19340" windowHeight="12480" firstSheet="1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Sheet1" sheetId="9" r:id="rId6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9" l="1"/>
  <c r="G14" i="9"/>
  <c r="G15" i="9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<sst xmlns="http://schemas.openxmlformats.org/spreadsheetml/2006/main" count="516" uniqueCount="167">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</sst>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8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8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5" workbookViewId="0">
      <selection activeCell="J27" sqref="J2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topLeftCell="A3" workbookViewId="0">
      <selection activeCell="K20" sqref="K20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2248.4642903089393</v>
      </c>
      <c r="D6" s="86">
        <v>2248.4642903089393</v>
      </c>
      <c r="E6" s="86">
        <v>2248.4642903089393</v>
      </c>
      <c r="F6" s="86">
        <v>2248.4642903089393</v>
      </c>
      <c r="G6" s="86">
        <v>2248.4642903089393</v>
      </c>
      <c r="H6" s="86">
        <v>2248.4642903089393</v>
      </c>
      <c r="I6" s="86">
        <v>2248.4642903089393</v>
      </c>
      <c r="J6" s="86">
        <v>2248.4642903089393</v>
      </c>
      <c r="K6" s="86">
        <v>2248.4642903089393</v>
      </c>
      <c r="L6" s="86">
        <v>2248.4642903089393</v>
      </c>
      <c r="M6" s="86">
        <v>2248.4642903089393</v>
      </c>
      <c r="N6" s="86">
        <v>2248.4642903089393</v>
      </c>
    </row>
    <row r="7" spans="2:14">
      <c r="B7" s="36" t="s">
        <v>105</v>
      </c>
      <c r="C7" s="87">
        <v>694.99997364382489</v>
      </c>
      <c r="D7" s="87">
        <v>694.99997364382489</v>
      </c>
      <c r="E7" s="87">
        <v>694.99997364382489</v>
      </c>
      <c r="F7" s="87">
        <v>694.99997364382489</v>
      </c>
      <c r="G7" s="87">
        <v>694.99997364382489</v>
      </c>
      <c r="H7" s="87">
        <v>694.99997364382489</v>
      </c>
      <c r="I7" s="87">
        <v>694.99997364382489</v>
      </c>
      <c r="J7" s="87">
        <v>694.99997364382489</v>
      </c>
      <c r="K7" s="87">
        <v>694.99997364382489</v>
      </c>
      <c r="L7" s="87">
        <v>694.99997364382489</v>
      </c>
      <c r="M7" s="87">
        <v>694.99997364382489</v>
      </c>
      <c r="N7" s="87">
        <v>694.99997364382489</v>
      </c>
    </row>
    <row r="8" spans="2:14">
      <c r="B8" s="36" t="s">
        <v>106</v>
      </c>
      <c r="C8" s="87">
        <v>175.00000042412435</v>
      </c>
      <c r="D8" s="87">
        <v>175.00000042412435</v>
      </c>
      <c r="E8" s="87">
        <v>175.00000042412435</v>
      </c>
      <c r="F8" s="87">
        <v>175.00000042412435</v>
      </c>
      <c r="G8" s="87">
        <v>175.00000042412435</v>
      </c>
      <c r="H8" s="87">
        <v>175.00000042412435</v>
      </c>
      <c r="I8" s="87">
        <v>175.00000042412435</v>
      </c>
      <c r="J8" s="87">
        <v>175.00000042412435</v>
      </c>
      <c r="K8" s="87">
        <v>175.00000042412435</v>
      </c>
      <c r="L8" s="87">
        <v>175.00000042412435</v>
      </c>
      <c r="M8" s="87">
        <v>175.00000042412435</v>
      </c>
      <c r="N8" s="87">
        <v>175.00000042412435</v>
      </c>
    </row>
    <row r="9" spans="2:14">
      <c r="B9" s="36" t="s">
        <v>107</v>
      </c>
      <c r="C9" s="87">
        <v>1.3343033356113209E-4</v>
      </c>
      <c r="D9" s="87">
        <v>1.3343033356113209E-4</v>
      </c>
      <c r="E9" s="87">
        <v>1.3343033356113209E-4</v>
      </c>
      <c r="F9" s="87">
        <v>1.3343033356113209E-4</v>
      </c>
      <c r="G9" s="87">
        <v>1.3343033356113209E-4</v>
      </c>
      <c r="H9" s="87">
        <v>1.3343033356113209E-4</v>
      </c>
      <c r="I9" s="87">
        <v>1.3343033356113209E-4</v>
      </c>
      <c r="J9" s="87">
        <v>1.3343033356113209E-4</v>
      </c>
      <c r="K9" s="87">
        <v>1.3343033356113209E-4</v>
      </c>
      <c r="L9" s="87">
        <v>1.3343033356113209E-4</v>
      </c>
      <c r="M9" s="87">
        <v>1.3343033356113209E-4</v>
      </c>
      <c r="N9" s="87">
        <v>1.3343033356113209E-4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6.0938110816745252E-4</v>
      </c>
      <c r="D11" s="87">
        <v>6.0938110816745252E-4</v>
      </c>
      <c r="E11" s="87">
        <v>6.0938110816745252E-4</v>
      </c>
      <c r="F11" s="87">
        <v>6.0938110816745252E-4</v>
      </c>
      <c r="G11" s="87">
        <v>6.0938110816745252E-4</v>
      </c>
      <c r="H11" s="87">
        <v>6.0938110816745252E-4</v>
      </c>
      <c r="I11" s="87">
        <v>6.0938110816745252E-4</v>
      </c>
      <c r="J11" s="87">
        <v>6.0938110816745252E-4</v>
      </c>
      <c r="K11" s="87">
        <v>6.0938110816745252E-4</v>
      </c>
      <c r="L11" s="87">
        <v>6.0938110816745252E-4</v>
      </c>
      <c r="M11" s="87">
        <v>6.0938110816745252E-4</v>
      </c>
      <c r="N11" s="87">
        <v>6.0938110816745252E-4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K10" sqref="K10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69.014406683670089</v>
      </c>
      <c r="F6" s="92">
        <v>0</v>
      </c>
      <c r="G6" s="92">
        <v>0</v>
      </c>
      <c r="H6" s="92">
        <v>30.985593278169134</v>
      </c>
      <c r="I6" s="96">
        <f>SUM($C$6:$H$6)</f>
        <v>99.999999961839222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71.942444929115069</v>
      </c>
      <c r="E7" s="92">
        <v>0</v>
      </c>
      <c r="F7" s="92">
        <v>0</v>
      </c>
      <c r="G7" s="92">
        <v>28.057555020848678</v>
      </c>
      <c r="H7" s="92">
        <v>0</v>
      </c>
      <c r="I7" s="96">
        <f>SUM($C$7:$H$7)</f>
        <v>99.999999949963751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0</v>
      </c>
      <c r="F8" s="92">
        <v>99.999999757643238</v>
      </c>
      <c r="G8" s="92">
        <v>0</v>
      </c>
      <c r="H8" s="92">
        <v>0</v>
      </c>
      <c r="I8" s="96">
        <f>SUM($C$8:$H$8)</f>
        <v>99.999999757643238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58.536970907841223</v>
      </c>
      <c r="D9" s="92">
        <v>0</v>
      </c>
      <c r="E9" s="92">
        <v>41.463029092158791</v>
      </c>
      <c r="F9" s="92">
        <v>0</v>
      </c>
      <c r="G9" s="92">
        <v>0</v>
      </c>
      <c r="H9" s="92">
        <v>0</v>
      </c>
      <c r="I9" s="96">
        <f>SUM($C$9:$H$9)</f>
        <v>100.00000000000001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6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48.882566376629917</v>
      </c>
      <c r="D11" s="93">
        <v>4.2892459131433718</v>
      </c>
      <c r="E11" s="93">
        <v>46.828187709935229</v>
      </c>
      <c r="F11" s="93">
        <v>0</v>
      </c>
      <c r="G11" s="93">
        <v>0</v>
      </c>
      <c r="H11" s="93">
        <v>0</v>
      </c>
      <c r="I11" s="95">
        <f>SUM($C$11:$H$11)</f>
        <v>99.999999999708507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56.4</v>
      </c>
      <c r="D19" s="44">
        <f>100-$C$19</f>
        <v>43.6</v>
      </c>
      <c r="E19" s="93">
        <v>58.29</v>
      </c>
      <c r="F19" s="44">
        <f>100-$E$19</f>
        <v>41.71</v>
      </c>
      <c r="G19" s="93">
        <v>46.69</v>
      </c>
      <c r="H19" s="33">
        <f>100-$G$19</f>
        <v>53.31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10</v>
      </c>
      <c r="D27" s="92">
        <v>0</v>
      </c>
      <c r="E27" s="92">
        <v>0</v>
      </c>
      <c r="F27" s="92">
        <v>2.4371077795564593E-4</v>
      </c>
      <c r="G27" s="92">
        <v>40.26283920554684</v>
      </c>
      <c r="H27" s="92">
        <v>19.05413082376506</v>
      </c>
      <c r="I27" s="94">
        <v>7.9153193611600363</v>
      </c>
      <c r="P27" s="50"/>
      <c r="Q27" s="50"/>
      <c r="R27" s="50"/>
    </row>
    <row r="28" spans="2:18">
      <c r="B28" s="45" t="s">
        <v>46</v>
      </c>
      <c r="C28" s="92">
        <v>20</v>
      </c>
      <c r="D28" s="92">
        <v>100</v>
      </c>
      <c r="E28" s="92">
        <v>99.999999999999986</v>
      </c>
      <c r="F28" s="92">
        <v>99.999756289222034</v>
      </c>
      <c r="G28" s="92">
        <v>59.73716079445316</v>
      </c>
      <c r="H28" s="92">
        <v>4.8283618078418113E-6</v>
      </c>
      <c r="I28" s="94">
        <v>5.5058454926459365E-6</v>
      </c>
      <c r="P28" s="50"/>
      <c r="Q28" s="50"/>
      <c r="R28" s="50"/>
    </row>
    <row r="29" spans="2:18">
      <c r="B29" s="45" t="s">
        <v>59</v>
      </c>
      <c r="C29" s="92">
        <v>70</v>
      </c>
      <c r="D29" s="92">
        <v>0</v>
      </c>
      <c r="E29" s="92">
        <v>0</v>
      </c>
      <c r="F29" s="92">
        <v>0</v>
      </c>
      <c r="G29" s="92">
        <v>0</v>
      </c>
      <c r="H29" s="92">
        <v>80.94586434787314</v>
      </c>
      <c r="I29" s="94">
        <v>92.084675132994477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100</v>
      </c>
      <c r="E30" s="97">
        <f>SUM($E$27:$E$29)</f>
        <v>99.999999999999986</v>
      </c>
      <c r="F30" s="97">
        <f>SUM($F$27:$F$29)</f>
        <v>99.999999999999986</v>
      </c>
      <c r="G30" s="97">
        <f>SUM($G$27:$G$29)</f>
        <v>100</v>
      </c>
      <c r="H30" s="97">
        <f>SUM($H$27:$H$29)</f>
        <v>100</v>
      </c>
      <c r="I30" s="95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47.062621045836025</v>
      </c>
      <c r="D37" s="93">
        <v>47.062621045836025</v>
      </c>
      <c r="E37" s="93">
        <v>47.062621045836025</v>
      </c>
      <c r="F37" s="93">
        <v>47.062621045836025</v>
      </c>
      <c r="G37" s="93">
        <v>47.062621045836025</v>
      </c>
      <c r="H37" s="93">
        <v>47.062621045836025</v>
      </c>
      <c r="I37" s="93">
        <v>47.062621045836025</v>
      </c>
      <c r="J37" s="93">
        <v>47.062621045836025</v>
      </c>
      <c r="K37" s="93">
        <v>47.062621045836025</v>
      </c>
      <c r="L37" s="93">
        <v>47.062621045836025</v>
      </c>
      <c r="M37" s="93">
        <v>47.062621045836025</v>
      </c>
      <c r="N37" s="93">
        <v>47.062621045836025</v>
      </c>
    </row>
    <row r="38" spans="2:14">
      <c r="B38" s="45" t="s">
        <v>46</v>
      </c>
      <c r="C38" s="93">
        <v>56.1381887572553</v>
      </c>
      <c r="D38" s="93">
        <v>56.1381887572553</v>
      </c>
      <c r="E38" s="93">
        <v>56.1381887572553</v>
      </c>
      <c r="F38" s="93">
        <v>56.1381887572553</v>
      </c>
      <c r="G38" s="93">
        <v>56.1381887572553</v>
      </c>
      <c r="H38" s="93">
        <v>56.1381887572553</v>
      </c>
      <c r="I38" s="93">
        <v>56.1381887572553</v>
      </c>
      <c r="J38" s="93">
        <v>56.1381887572553</v>
      </c>
      <c r="K38" s="93">
        <v>56.1381887572553</v>
      </c>
      <c r="L38" s="93">
        <v>56.1381887572553</v>
      </c>
      <c r="M38" s="93">
        <v>56.1381887572553</v>
      </c>
      <c r="N38" s="93">
        <v>56.1381887572553</v>
      </c>
    </row>
    <row r="39" spans="2:14">
      <c r="B39" s="45" t="s">
        <v>59</v>
      </c>
      <c r="C39" s="93">
        <v>55.255968496185091</v>
      </c>
      <c r="D39" s="93">
        <v>55.255968496185091</v>
      </c>
      <c r="E39" s="93">
        <v>55.255968496185091</v>
      </c>
      <c r="F39" s="93">
        <v>55.255968496185091</v>
      </c>
      <c r="G39" s="93">
        <v>55.255968496185091</v>
      </c>
      <c r="H39" s="93">
        <v>55.255968496185091</v>
      </c>
      <c r="I39" s="93">
        <v>55.255968496185091</v>
      </c>
      <c r="J39" s="93">
        <v>55.255968496185091</v>
      </c>
      <c r="K39" s="93">
        <v>55.255968496185091</v>
      </c>
      <c r="L39" s="93">
        <v>55.255968496185091</v>
      </c>
      <c r="M39" s="93">
        <v>55.255968496185091</v>
      </c>
      <c r="N39" s="93">
        <v>55.255968496185091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xWindow="625" yWindow="285"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D6" sqref="D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2.5</v>
      </c>
      <c r="E7" s="88">
        <v>2.5</v>
      </c>
      <c r="F7" s="88">
        <v>2.5</v>
      </c>
      <c r="G7" s="88">
        <v>2.5</v>
      </c>
      <c r="H7" s="88">
        <v>2.5</v>
      </c>
      <c r="I7" s="88">
        <v>2.5</v>
      </c>
      <c r="J7" s="88">
        <v>2.5</v>
      </c>
      <c r="K7" s="88">
        <v>2.5</v>
      </c>
      <c r="L7" s="88">
        <v>2.5</v>
      </c>
      <c r="M7" s="88">
        <v>2.5</v>
      </c>
      <c r="N7" s="88">
        <v>2.5</v>
      </c>
      <c r="O7" s="88">
        <v>2.5</v>
      </c>
    </row>
    <row r="8" spans="2:15">
      <c r="C8" s="36" t="s">
        <v>128</v>
      </c>
      <c r="D8" s="88">
        <v>2.7</v>
      </c>
      <c r="E8" s="88">
        <v>2.7</v>
      </c>
      <c r="F8" s="88">
        <v>2.7</v>
      </c>
      <c r="G8" s="88">
        <v>2.7</v>
      </c>
      <c r="H8" s="88">
        <v>2.7</v>
      </c>
      <c r="I8" s="88">
        <v>2.7</v>
      </c>
      <c r="J8" s="88">
        <v>2.7</v>
      </c>
      <c r="K8" s="88">
        <v>2.7</v>
      </c>
      <c r="L8" s="88">
        <v>2.7</v>
      </c>
      <c r="M8" s="88">
        <v>2.7</v>
      </c>
      <c r="N8" s="88">
        <v>2.7</v>
      </c>
      <c r="O8" s="88">
        <v>2.7</v>
      </c>
    </row>
    <row r="9" spans="2:15">
      <c r="C9" s="36" t="s">
        <v>129</v>
      </c>
      <c r="D9" s="88">
        <v>2.7</v>
      </c>
      <c r="E9" s="88">
        <v>2.7</v>
      </c>
      <c r="F9" s="88">
        <v>2.7</v>
      </c>
      <c r="G9" s="88">
        <v>2.7</v>
      </c>
      <c r="H9" s="88">
        <v>2.7</v>
      </c>
      <c r="I9" s="88">
        <v>2.7</v>
      </c>
      <c r="J9" s="88">
        <v>2.7</v>
      </c>
      <c r="K9" s="88">
        <v>2.7</v>
      </c>
      <c r="L9" s="88">
        <v>2.7</v>
      </c>
      <c r="M9" s="88">
        <v>2.7</v>
      </c>
      <c r="N9" s="88">
        <v>2.7</v>
      </c>
      <c r="O9" s="88">
        <v>2.7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3.1</v>
      </c>
      <c r="E24" s="88">
        <v>3.1</v>
      </c>
      <c r="F24" s="88">
        <v>3.1</v>
      </c>
      <c r="G24" s="88">
        <v>3.1</v>
      </c>
      <c r="H24" s="88">
        <v>3.1</v>
      </c>
      <c r="I24" s="88">
        <v>3.1</v>
      </c>
      <c r="J24" s="88">
        <v>3.1</v>
      </c>
      <c r="K24" s="88">
        <v>3.1</v>
      </c>
      <c r="L24" s="88">
        <v>3.1</v>
      </c>
      <c r="M24" s="88">
        <v>3.1</v>
      </c>
      <c r="N24" s="88">
        <v>3.1</v>
      </c>
      <c r="O24" s="88">
        <v>3.1</v>
      </c>
    </row>
    <row r="25" spans="2:15">
      <c r="C25" s="36" t="s">
        <v>127</v>
      </c>
      <c r="D25" s="88">
        <v>3.1</v>
      </c>
      <c r="E25" s="88">
        <v>3.1</v>
      </c>
      <c r="F25" s="88">
        <v>3.1</v>
      </c>
      <c r="G25" s="88">
        <v>3.1</v>
      </c>
      <c r="H25" s="88">
        <v>3.1</v>
      </c>
      <c r="I25" s="88">
        <v>3.1</v>
      </c>
      <c r="J25" s="88">
        <v>3.1</v>
      </c>
      <c r="K25" s="88">
        <v>3.1</v>
      </c>
      <c r="L25" s="88">
        <v>3.1</v>
      </c>
      <c r="M25" s="88">
        <v>3.1</v>
      </c>
      <c r="N25" s="88">
        <v>3.1</v>
      </c>
      <c r="O25" s="88">
        <v>3.1</v>
      </c>
    </row>
    <row r="26" spans="2:15">
      <c r="C26" s="36" t="s">
        <v>128</v>
      </c>
      <c r="D26" s="88">
        <v>3.1</v>
      </c>
      <c r="E26" s="88">
        <v>3.1</v>
      </c>
      <c r="F26" s="88">
        <v>3.1</v>
      </c>
      <c r="G26" s="88">
        <v>3.1</v>
      </c>
      <c r="H26" s="88">
        <v>3.1</v>
      </c>
      <c r="I26" s="88">
        <v>3.1</v>
      </c>
      <c r="J26" s="88">
        <v>3.1</v>
      </c>
      <c r="K26" s="88">
        <v>3.1</v>
      </c>
      <c r="L26" s="88">
        <v>3.1</v>
      </c>
      <c r="M26" s="88">
        <v>3.1</v>
      </c>
      <c r="N26" s="88">
        <v>3.1</v>
      </c>
      <c r="O26" s="88">
        <v>3.1</v>
      </c>
    </row>
    <row r="27" spans="2:15">
      <c r="C27" s="36" t="s">
        <v>129</v>
      </c>
      <c r="D27" s="88">
        <v>3.3</v>
      </c>
      <c r="E27" s="88">
        <v>3.3</v>
      </c>
      <c r="F27" s="88">
        <v>3.3</v>
      </c>
      <c r="G27" s="88">
        <v>3.3</v>
      </c>
      <c r="H27" s="88">
        <v>3.3</v>
      </c>
      <c r="I27" s="88">
        <v>3.3</v>
      </c>
      <c r="J27" s="88">
        <v>3.3</v>
      </c>
      <c r="K27" s="88">
        <v>3.3</v>
      </c>
      <c r="L27" s="88">
        <v>3.3</v>
      </c>
      <c r="M27" s="88">
        <v>3.3</v>
      </c>
      <c r="N27" s="88">
        <v>3.3</v>
      </c>
      <c r="O27" s="88">
        <v>3.3</v>
      </c>
    </row>
    <row r="28" spans="2:15">
      <c r="C28" s="36" t="s">
        <v>130</v>
      </c>
      <c r="D28" s="88">
        <v>3.1</v>
      </c>
      <c r="E28" s="88">
        <v>3.1</v>
      </c>
      <c r="F28" s="88">
        <v>3.1</v>
      </c>
      <c r="G28" s="88">
        <v>3.1</v>
      </c>
      <c r="H28" s="88">
        <v>3.1</v>
      </c>
      <c r="I28" s="88">
        <v>3.1</v>
      </c>
      <c r="J28" s="88">
        <v>3.1</v>
      </c>
      <c r="K28" s="88">
        <v>3.1</v>
      </c>
      <c r="L28" s="88">
        <v>3.1</v>
      </c>
      <c r="M28" s="88">
        <v>3.1</v>
      </c>
      <c r="N28" s="88">
        <v>3.1</v>
      </c>
      <c r="O28" s="88">
        <v>3.1</v>
      </c>
    </row>
    <row r="29" spans="2:15">
      <c r="C29" s="36" t="s">
        <v>131</v>
      </c>
      <c r="D29" s="88">
        <v>3.1</v>
      </c>
      <c r="E29" s="88">
        <v>3.1</v>
      </c>
      <c r="F29" s="88">
        <v>3.1</v>
      </c>
      <c r="G29" s="88">
        <v>3.1</v>
      </c>
      <c r="H29" s="88">
        <v>3.1</v>
      </c>
      <c r="I29" s="88">
        <v>3.1</v>
      </c>
      <c r="J29" s="88">
        <v>3.1</v>
      </c>
      <c r="K29" s="88">
        <v>3.1</v>
      </c>
      <c r="L29" s="88">
        <v>3.1</v>
      </c>
      <c r="M29" s="88">
        <v>3.1</v>
      </c>
      <c r="N29" s="88">
        <v>3.1</v>
      </c>
      <c r="O29" s="88">
        <v>3.1</v>
      </c>
    </row>
    <row r="30" spans="2:15">
      <c r="C30" s="37" t="s">
        <v>132</v>
      </c>
      <c r="D30" s="88">
        <v>3.1</v>
      </c>
      <c r="E30" s="88">
        <v>3.1</v>
      </c>
      <c r="F30" s="88">
        <v>3.1</v>
      </c>
      <c r="G30" s="88">
        <v>3.1</v>
      </c>
      <c r="H30" s="88">
        <v>3.1</v>
      </c>
      <c r="I30" s="88">
        <v>3.1</v>
      </c>
      <c r="J30" s="88">
        <v>3.1</v>
      </c>
      <c r="K30" s="88">
        <v>3.1</v>
      </c>
      <c r="L30" s="88">
        <v>3.1</v>
      </c>
      <c r="M30" s="88">
        <v>3.1</v>
      </c>
      <c r="N30" s="88">
        <v>3.1</v>
      </c>
      <c r="O30" s="88">
        <v>3.1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2.9</v>
      </c>
      <c r="E33" s="88">
        <v>2.9</v>
      </c>
      <c r="F33" s="88">
        <v>2.9</v>
      </c>
      <c r="G33" s="88">
        <v>2.9</v>
      </c>
      <c r="H33" s="88">
        <v>2.9</v>
      </c>
      <c r="I33" s="88">
        <v>2.9</v>
      </c>
      <c r="J33" s="88">
        <v>2.9</v>
      </c>
      <c r="K33" s="88">
        <v>2.9</v>
      </c>
      <c r="L33" s="88">
        <v>2.9</v>
      </c>
      <c r="M33" s="88">
        <v>2.9</v>
      </c>
      <c r="N33" s="88">
        <v>2.9</v>
      </c>
      <c r="O33" s="88">
        <v>2.9</v>
      </c>
    </row>
    <row r="34" spans="3:15">
      <c r="C34" s="36" t="s">
        <v>127</v>
      </c>
      <c r="D34" s="88">
        <v>2.6</v>
      </c>
      <c r="E34" s="88">
        <v>2.6</v>
      </c>
      <c r="F34" s="88">
        <v>2.6</v>
      </c>
      <c r="G34" s="88">
        <v>2.6</v>
      </c>
      <c r="H34" s="88">
        <v>2.6</v>
      </c>
      <c r="I34" s="88">
        <v>2.6</v>
      </c>
      <c r="J34" s="88">
        <v>2.6</v>
      </c>
      <c r="K34" s="88">
        <v>2.6</v>
      </c>
      <c r="L34" s="88">
        <v>2.6</v>
      </c>
      <c r="M34" s="88">
        <v>2.6</v>
      </c>
      <c r="N34" s="88">
        <v>2.6</v>
      </c>
      <c r="O34" s="88">
        <v>2.6</v>
      </c>
    </row>
    <row r="35" spans="3:15">
      <c r="C35" s="36" t="s">
        <v>128</v>
      </c>
      <c r="D35" s="88">
        <v>2.5</v>
      </c>
      <c r="E35" s="88">
        <v>2.5</v>
      </c>
      <c r="F35" s="88">
        <v>2.5</v>
      </c>
      <c r="G35" s="88">
        <v>2.5</v>
      </c>
      <c r="H35" s="88">
        <v>2.5</v>
      </c>
      <c r="I35" s="88">
        <v>2.5</v>
      </c>
      <c r="J35" s="88">
        <v>2.5</v>
      </c>
      <c r="K35" s="88">
        <v>2.5</v>
      </c>
      <c r="L35" s="88">
        <v>2.5</v>
      </c>
      <c r="M35" s="88">
        <v>2.5</v>
      </c>
      <c r="N35" s="88">
        <v>2.5</v>
      </c>
      <c r="O35" s="88">
        <v>2.5</v>
      </c>
    </row>
    <row r="36" spans="3:15">
      <c r="C36" s="36" t="s">
        <v>129</v>
      </c>
      <c r="D36" s="88">
        <v>2.7</v>
      </c>
      <c r="E36" s="88">
        <v>2.7</v>
      </c>
      <c r="F36" s="88">
        <v>2.7</v>
      </c>
      <c r="G36" s="88">
        <v>2.7</v>
      </c>
      <c r="H36" s="88">
        <v>2.7</v>
      </c>
      <c r="I36" s="88">
        <v>2.7</v>
      </c>
      <c r="J36" s="88">
        <v>2.7</v>
      </c>
      <c r="K36" s="88">
        <v>2.7</v>
      </c>
      <c r="L36" s="88">
        <v>2.7</v>
      </c>
      <c r="M36" s="88">
        <v>2.7</v>
      </c>
      <c r="N36" s="88">
        <v>2.7</v>
      </c>
      <c r="O36" s="88">
        <v>2.7</v>
      </c>
    </row>
    <row r="37" spans="3:15">
      <c r="C37" s="36" t="s">
        <v>130</v>
      </c>
      <c r="D37" s="88">
        <v>2.8</v>
      </c>
      <c r="E37" s="88">
        <v>2.8</v>
      </c>
      <c r="F37" s="88">
        <v>2.8</v>
      </c>
      <c r="G37" s="88">
        <v>2.8</v>
      </c>
      <c r="H37" s="88">
        <v>2.8</v>
      </c>
      <c r="I37" s="88">
        <v>2.8</v>
      </c>
      <c r="J37" s="88">
        <v>2.8</v>
      </c>
      <c r="K37" s="88">
        <v>2.8</v>
      </c>
      <c r="L37" s="88">
        <v>2.8</v>
      </c>
      <c r="M37" s="88">
        <v>2.8</v>
      </c>
      <c r="N37" s="88">
        <v>2.8</v>
      </c>
      <c r="O37" s="88">
        <v>2.8</v>
      </c>
    </row>
    <row r="38" spans="3:15">
      <c r="C38" s="36" t="s">
        <v>131</v>
      </c>
      <c r="D38" s="88">
        <v>2.9</v>
      </c>
      <c r="E38" s="88">
        <v>2.9</v>
      </c>
      <c r="F38" s="88">
        <v>2.9</v>
      </c>
      <c r="G38" s="88">
        <v>2.9</v>
      </c>
      <c r="H38" s="88">
        <v>2.9</v>
      </c>
      <c r="I38" s="88">
        <v>2.9</v>
      </c>
      <c r="J38" s="88">
        <v>2.9</v>
      </c>
      <c r="K38" s="88">
        <v>2.9</v>
      </c>
      <c r="L38" s="88">
        <v>2.9</v>
      </c>
      <c r="M38" s="88">
        <v>2.9</v>
      </c>
      <c r="N38" s="88">
        <v>2.9</v>
      </c>
      <c r="O38" s="88">
        <v>2.9</v>
      </c>
    </row>
    <row r="39" spans="3:15">
      <c r="C39" s="37" t="s">
        <v>132</v>
      </c>
      <c r="D39" s="88">
        <v>2.7</v>
      </c>
      <c r="E39" s="88">
        <v>2.7</v>
      </c>
      <c r="F39" s="88">
        <v>2.7</v>
      </c>
      <c r="G39" s="88">
        <v>2.7</v>
      </c>
      <c r="H39" s="88">
        <v>2.7</v>
      </c>
      <c r="I39" s="88">
        <v>2.7</v>
      </c>
      <c r="J39" s="88">
        <v>2.7</v>
      </c>
      <c r="K39" s="88">
        <v>2.7</v>
      </c>
      <c r="L39" s="88">
        <v>2.7</v>
      </c>
      <c r="M39" s="88">
        <v>2.7</v>
      </c>
      <c r="N39" s="88">
        <v>2.7</v>
      </c>
      <c r="O39" s="88">
        <v>2.7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xWindow="550" yWindow="446"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3:G15"/>
  <sheetViews>
    <sheetView workbookViewId="0">
      <selection activeCell="G13" sqref="G13"/>
    </sheetView>
  </sheetViews>
  <sheetFormatPr baseColWidth="10" defaultRowHeight="12" x14ac:dyDescent="0"/>
  <sheetData>
    <row r="13" spans="7:7">
      <c r="G13">
        <f>shipping_manufacturing!C27*0.01*raw_materials!$P$36*raw_materials!$C$48*0.01/4</f>
        <v>21.874999124999999</v>
      </c>
    </row>
    <row r="14" spans="7:7">
      <c r="G14">
        <f>shipping_manufacturing!C28*0.01*raw_materials!$P$36*raw_materials!$C$48*0.01/4</f>
        <v>43.749998249999997</v>
      </c>
    </row>
    <row r="15" spans="7:7">
      <c r="G15">
        <f>shipping_manufacturing!C29*0.01*raw_materials!$P$36*raw_materials!$C$48*0.01/4</f>
        <v>153.12499387500003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basic_info</vt:lpstr>
      <vt:lpstr>facilities</vt:lpstr>
      <vt:lpstr>raw_materials</vt:lpstr>
      <vt:lpstr>shipping_manufacturing</vt:lpstr>
      <vt:lpstr>pricing</vt:lpstr>
      <vt:lpstr>Sheet1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2014-12-02T09:17:44Z</dcterms:modified>
</cp:coreProperties>
</file>