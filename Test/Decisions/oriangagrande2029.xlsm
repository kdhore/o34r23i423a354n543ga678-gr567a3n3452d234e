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5880" windowHeight="1752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<sst xmlns="http://schemas.openxmlformats.org/spreadsheetml/2006/main" count="509" uniqueCount="167">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</sst>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2029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lFSeTQ84WL+8AeVUvSRBO1ieLTtmvNCLWnVjEBnPqptL3rbU0m2Rd08nmqmhbPUzE8DUm3+j44hrqaKGesEMjA==" saltValue="LPQAEGn+RCExJ1CNPgror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1500</v>
      </c>
      <c r="E63" s="15" t="s">
        <v>166</v>
      </c>
      <c r="F63" s="15" t="s">
        <v>6</v>
      </c>
      <c r="G63" s="15">
        <f t="shared" si="3"/>
        <v>1500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SlLWdw+AlwU3vTerlh54ZcbXuBbTzzvX4iqXa61sTMB3OakLYFBtocuVG4t8kcC1Tfr70XcDjDDBaFO04o6lzA==" saltValue="Q/B0L9QunLKS6XMEsMUVz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2649.7393820990005</v>
      </c>
      <c r="D6" s="87" t="n">
        <v>2649.7393820990005</v>
      </c>
      <c r="E6" s="87" t="n">
        <v>2649.7393820990005</v>
      </c>
      <c r="F6" s="87" t="n">
        <v>2649.7393820990005</v>
      </c>
      <c r="G6" s="87" t="n">
        <v>2649.7393820990005</v>
      </c>
      <c r="H6" s="87" t="n">
        <v>2649.7393820990005</v>
      </c>
      <c r="I6" s="87" t="n">
        <v>2649.7393820990005</v>
      </c>
      <c r="J6" s="87" t="n">
        <v>2649.7393820990005</v>
      </c>
      <c r="K6" s="87" t="n">
        <v>2649.7393820990005</v>
      </c>
      <c r="L6" s="87" t="n">
        <v>2649.7393820990005</v>
      </c>
      <c r="M6" s="87" t="n">
        <v>2649.7393820990005</v>
      </c>
      <c r="N6" s="87" t="n">
        <v>2649.7393820990005</v>
      </c>
    </row>
    <row r="7" spans="2:14">
      <c r="B7" s="36" t="s">
        <v>105</v>
      </c>
      <c r="C7" s="88" t="n">
        <v>1.2547165770438028E-20</v>
      </c>
      <c r="D7" s="89" t="n">
        <v>1.2547165770438028E-20</v>
      </c>
      <c r="E7" s="89" t="n">
        <v>1.2547165770438028E-20</v>
      </c>
      <c r="F7" s="89" t="n">
        <v>1.2547165770438028E-20</v>
      </c>
      <c r="G7" s="89" t="n">
        <v>1.2547165770438028E-20</v>
      </c>
      <c r="H7" s="89" t="n">
        <v>1.2547165770438028E-20</v>
      </c>
      <c r="I7" s="89" t="n">
        <v>1.2547165770438028E-20</v>
      </c>
      <c r="J7" s="89" t="n">
        <v>1.2547165770438028E-20</v>
      </c>
      <c r="K7" s="89" t="n">
        <v>1.2547165770438028E-20</v>
      </c>
      <c r="L7" s="89" t="n">
        <v>1.2547165770438028E-20</v>
      </c>
      <c r="M7" s="89" t="n">
        <v>1.2547165770438028E-20</v>
      </c>
      <c r="N7" s="89" t="n">
        <v>1.2547165770438028E-20</v>
      </c>
    </row>
    <row r="8" spans="2:14">
      <c r="B8" s="36" t="s">
        <v>106</v>
      </c>
      <c r="C8" s="88" t="n">
        <v>160.0</v>
      </c>
      <c r="D8" s="89" t="n">
        <v>160.0</v>
      </c>
      <c r="E8" s="89" t="n">
        <v>160.0</v>
      </c>
      <c r="F8" s="89" t="n">
        <v>160.0</v>
      </c>
      <c r="G8" s="89" t="n">
        <v>160.0</v>
      </c>
      <c r="H8" s="89" t="n">
        <v>160.0</v>
      </c>
      <c r="I8" s="89" t="n">
        <v>160.0</v>
      </c>
      <c r="J8" s="89" t="n">
        <v>160.0</v>
      </c>
      <c r="K8" s="89" t="n">
        <v>160.0</v>
      </c>
      <c r="L8" s="89" t="n">
        <v>160.0</v>
      </c>
      <c r="M8" s="89" t="n">
        <v>160.0</v>
      </c>
      <c r="N8" s="89" t="n">
        <v>160.0</v>
      </c>
    </row>
    <row r="9" spans="2:14">
      <c r="B9" s="36" t="s">
        <v>107</v>
      </c>
      <c r="C9" s="88" t="n">
        <v>789.9999999999999</v>
      </c>
      <c r="D9" s="89" t="n">
        <v>789.9999999999999</v>
      </c>
      <c r="E9" s="89" t="n">
        <v>789.9999999999999</v>
      </c>
      <c r="F9" s="89" t="n">
        <v>789.9999999999999</v>
      </c>
      <c r="G9" s="89" t="n">
        <v>789.9999999999999</v>
      </c>
      <c r="H9" s="89" t="n">
        <v>789.9999999999999</v>
      </c>
      <c r="I9" s="89" t="n">
        <v>789.9999999999999</v>
      </c>
      <c r="J9" s="89" t="n">
        <v>789.9999999999999</v>
      </c>
      <c r="K9" s="89" t="n">
        <v>789.9999999999999</v>
      </c>
      <c r="L9" s="89" t="n">
        <v>789.9999999999999</v>
      </c>
      <c r="M9" s="89" t="n">
        <v>789.9999999999999</v>
      </c>
      <c r="N9" s="89" t="n">
        <v>789.9999999999999</v>
      </c>
    </row>
    <row r="10" spans="2:14">
      <c r="B10" s="36" t="s">
        <v>108</v>
      </c>
      <c r="C10" s="88" t="n">
        <v>5.054741412267437E-21</v>
      </c>
      <c r="D10" s="89" t="n">
        <v>5.054741412267437E-21</v>
      </c>
      <c r="E10" s="89" t="n">
        <v>5.054741412267437E-21</v>
      </c>
      <c r="F10" s="89" t="n">
        <v>5.054741412267437E-21</v>
      </c>
      <c r="G10" s="89" t="n">
        <v>5.054741412267437E-21</v>
      </c>
      <c r="H10" s="89" t="n">
        <v>5.054741412267437E-21</v>
      </c>
      <c r="I10" s="89" t="n">
        <v>5.054741412267437E-21</v>
      </c>
      <c r="J10" s="89" t="n">
        <v>5.054741412267437E-21</v>
      </c>
      <c r="K10" s="89" t="n">
        <v>5.054741412267437E-21</v>
      </c>
      <c r="L10" s="89" t="n">
        <v>5.054741412267437E-21</v>
      </c>
      <c r="M10" s="89" t="n">
        <v>5.054741412267437E-21</v>
      </c>
      <c r="N10" s="89" t="n">
        <v>5.054741412267437E-21</v>
      </c>
    </row>
    <row r="11" spans="2:14">
      <c r="B11" s="37" t="s">
        <v>109</v>
      </c>
      <c r="C11" s="88" t="n">
        <v>4.872782943663497E-21</v>
      </c>
      <c r="D11" s="89" t="n">
        <v>4.872782943663497E-21</v>
      </c>
      <c r="E11" s="89" t="n">
        <v>4.872782943663497E-21</v>
      </c>
      <c r="F11" s="89" t="n">
        <v>4.872782943663497E-21</v>
      </c>
      <c r="G11" s="89" t="n">
        <v>4.872782943663497E-21</v>
      </c>
      <c r="H11" s="89" t="n">
        <v>4.872782943663497E-21</v>
      </c>
      <c r="I11" s="89" t="n">
        <v>4.872782943663497E-21</v>
      </c>
      <c r="J11" s="89" t="n">
        <v>4.872782943663497E-21</v>
      </c>
      <c r="K11" s="89" t="n">
        <v>4.872782943663497E-21</v>
      </c>
      <c r="L11" s="89" t="n">
        <v>4.872782943663497E-21</v>
      </c>
      <c r="M11" s="89" t="n">
        <v>4.872782943663497E-21</v>
      </c>
      <c r="N11" s="89" t="n">
        <v>4.872782943663497E-21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0.5583162828394601</v>
      </c>
      <c r="E17" s="90" t="n">
        <v>1.0</v>
      </c>
      <c r="F17" s="90" t="n">
        <v>0.7782690305062299</v>
      </c>
      <c r="G17" s="90" t="n">
        <v>0.8</v>
      </c>
      <c r="H17" s="90" t="n">
        <v>0.9982217781729997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0.6427882679593276</v>
      </c>
      <c r="E18" s="91" t="n">
        <v>1.0</v>
      </c>
      <c r="F18" s="91" t="n">
        <v>0.7689970146878832</v>
      </c>
      <c r="G18" s="91" t="n">
        <v>0.8</v>
      </c>
      <c r="H18" s="91" t="n">
        <v>0.8952057614164386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0.681322234924228</v>
      </c>
      <c r="E19" s="91" t="n">
        <v>1.0</v>
      </c>
      <c r="F19" s="91" t="n">
        <v>0.8400453097366185</v>
      </c>
      <c r="G19" s="91" t="n">
        <v>0.8</v>
      </c>
      <c r="H19" s="91" t="n">
        <v>0.998768384549009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0.6457783558043583</v>
      </c>
      <c r="E20" s="91" t="n">
        <v>1.0</v>
      </c>
      <c r="F20" s="91" t="n">
        <v>0.8119272089884698</v>
      </c>
      <c r="G20" s="91" t="n">
        <v>0.8</v>
      </c>
      <c r="H20" s="91" t="n">
        <v>0.9780760621725814</v>
      </c>
    </row>
    <row r="21" spans="2:33">
      <c r="B21" s="36" t="s">
        <v>108</v>
      </c>
      <c r="C21" s="91" t="n">
        <v>1.2</v>
      </c>
      <c r="D21" s="91" t="n">
        <v>0.7008322093745504</v>
      </c>
      <c r="E21" s="91" t="n">
        <v>1.0</v>
      </c>
      <c r="F21" s="91" t="n">
        <v>0.7280936403980972</v>
      </c>
      <c r="G21" s="91" t="n">
        <v>0.8</v>
      </c>
      <c r="H21" s="91" t="n">
        <v>0.7553550714216439</v>
      </c>
    </row>
    <row r="22" spans="2:33">
      <c r="B22" s="37" t="s">
        <v>109</v>
      </c>
      <c r="C22" s="91" t="n">
        <v>1.2</v>
      </c>
      <c r="D22" s="91" t="n">
        <v>0.6838680891620206</v>
      </c>
      <c r="E22" s="91" t="n">
        <v>1.0</v>
      </c>
      <c r="F22" s="91" t="n">
        <v>0.7470342500310914</v>
      </c>
      <c r="G22" s="91" t="n">
        <v>0.8</v>
      </c>
      <c r="H22" s="91" t="n">
        <v>0.8102004109001623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2024</v>
      </c>
      <c r="E28" s="49"/>
      <c r="F28" s="45">
        <f>basic_info!$D$5-4</f>
        <v>2025</v>
      </c>
      <c r="G28" s="49"/>
      <c r="H28" s="45">
        <f>basic_info!$D$5-3</f>
        <v>2026</v>
      </c>
      <c r="I28" s="49"/>
      <c r="J28" s="45">
        <f>basic_info!$D$5-2</f>
        <v>2027</v>
      </c>
      <c r="K28" s="49"/>
      <c r="L28" s="45">
        <f>basic_info!$D$5-1</f>
        <v>2028</v>
      </c>
      <c r="N28" s="45">
        <f>basic_info!$D$5</f>
        <v>2029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2029</v>
      </c>
      <c r="D30" s="44">
        <v>0.77380428089201447</v>
      </c>
      <c r="E30" s="35">
        <v>0.77380428089201447</v>
      </c>
      <c r="F30" s="47">
        <v>0.74605181189556535</v>
      </c>
      <c r="G30" s="46">
        <v>0.74605181189556535</v>
      </c>
      <c r="H30" s="47">
        <v>0.69292953939969726</v>
      </c>
      <c r="I30" s="46">
        <v>0.69292953939969726</v>
      </c>
      <c r="J30" s="47">
        <v>0.69639882585167012</v>
      </c>
      <c r="K30" s="46">
        <v>0.69639882585167012</v>
      </c>
      <c r="L30" s="47">
        <v>0.87024640916707563</v>
      </c>
      <c r="M30" s="46">
        <v>0.87024640916707563</v>
      </c>
      <c r="N30" s="60"/>
      <c r="O30" s="71" t="s">
        <v>162</v>
      </c>
      <c r="P30" s="41">
        <f>M30+K30+I30+E30+G30</f>
        <v>3.7794308672060231</v>
      </c>
      <c r="Q30" s="70"/>
    </row>
    <row r="31" spans="2:33">
      <c r="B31" s="36"/>
      <c r="C31" s="47">
        <f>basic_info!$D$5+1</f>
        <v>2030</v>
      </c>
      <c r="D31" s="76"/>
      <c r="E31" s="75"/>
      <c r="F31" s="69">
        <v>0.69642607282102109</v>
      </c>
      <c r="G31" s="79">
        <v>0.69642607282102109</v>
      </c>
      <c r="H31" s="61">
        <v>0.68246257035314684</v>
      </c>
      <c r="I31" s="62">
        <v>0.68246257035314684</v>
      </c>
      <c r="J31" s="61">
        <v>0.69754554986117134</v>
      </c>
      <c r="K31" s="62">
        <v>0.69754554986117134</v>
      </c>
      <c r="L31" s="61">
        <v>0.79117891103596805</v>
      </c>
      <c r="M31" s="62">
        <v>0.79117891103596805</v>
      </c>
      <c r="N31" s="63">
        <v>0.73334909048531838</v>
      </c>
      <c r="O31" s="89" t="n">
        <v>0.7333490904853184</v>
      </c>
      <c r="P31" s="63">
        <f>O31+M31+K31+I31+G31</f>
        <v>2.8676131040713075</v>
      </c>
    </row>
    <row r="32" spans="2:33">
      <c r="B32" s="36"/>
      <c r="C32" s="47">
        <f>basic_info!$D$5+2</f>
        <v>2031</v>
      </c>
      <c r="D32" s="76"/>
      <c r="E32" s="75"/>
      <c r="F32" s="75"/>
      <c r="G32" s="75"/>
      <c r="H32" s="69">
        <v>0.68012294996082789</v>
      </c>
      <c r="I32" s="79">
        <v>0.68012294996082789</v>
      </c>
      <c r="J32" s="61">
        <v>0.70796417212980489</v>
      </c>
      <c r="K32" s="62">
        <v>0.70796417212980489</v>
      </c>
      <c r="L32" s="61">
        <v>0.76520281338787444</v>
      </c>
      <c r="M32" s="62">
        <v>0.76520281338787444</v>
      </c>
      <c r="N32" s="63">
        <v>0.7413359861182125</v>
      </c>
      <c r="O32" s="89" t="n">
        <v>0.7413359861182125</v>
      </c>
      <c r="P32" s="63">
        <f>O32+M32+K32+I32</f>
        <v>2.1532899354785071</v>
      </c>
    </row>
    <row r="33" spans="2:17">
      <c r="B33" s="36"/>
      <c r="C33" s="47">
        <f>basic_info!$D$5+3</f>
        <v>2032</v>
      </c>
      <c r="D33" s="76"/>
      <c r="E33" s="75"/>
      <c r="F33" s="75"/>
      <c r="G33" s="75"/>
      <c r="H33" s="75"/>
      <c r="I33" s="75"/>
      <c r="J33" s="69">
        <v>0.66081657635867597</v>
      </c>
      <c r="K33" s="79">
        <v>0.66081657635867597</v>
      </c>
      <c r="L33" s="61">
        <v>0.72379884448625331</v>
      </c>
      <c r="M33" s="62">
        <v>0.72379884448625331</v>
      </c>
      <c r="N33" s="63">
        <v>0.69143952821589572</v>
      </c>
      <c r="O33" s="89" t="n">
        <v>0.6914395282158957</v>
      </c>
      <c r="P33" s="63">
        <f>O33+M33+K33</f>
        <v>1.3846154208449293</v>
      </c>
    </row>
    <row r="34" spans="2:17">
      <c r="B34" s="36"/>
      <c r="C34" s="47">
        <f>basic_info!$D$5+4</f>
        <v>2033</v>
      </c>
      <c r="D34" s="76"/>
      <c r="E34" s="75"/>
      <c r="F34" s="75"/>
      <c r="G34" s="75"/>
      <c r="H34" s="75"/>
      <c r="I34" s="75"/>
      <c r="J34" s="75"/>
      <c r="K34" s="75"/>
      <c r="L34" s="69">
        <v>0.68604024631083016</v>
      </c>
      <c r="M34" s="79">
        <v>0.68604024631083016</v>
      </c>
      <c r="N34" s="63">
        <v>0.69892836613039744</v>
      </c>
      <c r="O34" s="89" t="n">
        <v>0.6989283661303974</v>
      </c>
      <c r="P34" s="63">
        <f>O34+M34</f>
        <v>0.68604024631083016</v>
      </c>
    </row>
    <row r="35" spans="2:17">
      <c r="B35" s="37"/>
      <c r="C35" s="72">
        <f>basic_info!$D$5+5</f>
        <v>2034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0.64970057869851594</v>
      </c>
      <c r="O35" s="89" t="n">
        <v>0.6497005786985159</v>
      </c>
      <c r="P35" s="65">
        <f>O35</f>
        <v>0</v>
      </c>
    </row>
    <row r="36" spans="2:17">
      <c r="B36" s="41" t="s">
        <v>113</v>
      </c>
      <c r="C36" s="36">
        <f>basic_info!$D$5</f>
        <v>2029</v>
      </c>
      <c r="D36" s="44">
        <v>0.88631273952126499</v>
      </c>
      <c r="E36" s="35">
        <v>0.88631273952126499</v>
      </c>
      <c r="F36" s="73">
        <v>1.0546694543357544</v>
      </c>
      <c r="G36" s="74">
        <v>1.0546694543357544</v>
      </c>
      <c r="H36" s="73">
        <v>1.1756596786689746</v>
      </c>
      <c r="I36" s="74">
        <v>1.1756596786689746</v>
      </c>
      <c r="J36" s="73">
        <v>1.0393683201042592</v>
      </c>
      <c r="K36" s="74">
        <v>1.0393683201042592</v>
      </c>
      <c r="L36" s="66">
        <v>1.0556709136350599</v>
      </c>
      <c r="M36" s="67">
        <v>1.0556709136350599</v>
      </c>
      <c r="N36" s="68"/>
      <c r="O36" s="71" t="s">
        <v>162</v>
      </c>
      <c r="P36" s="41">
        <f>M36+K36+I36+E36+G36</f>
        <v>5.2116811062653134</v>
      </c>
      <c r="Q36" s="70"/>
    </row>
    <row r="37" spans="2:17">
      <c r="B37" s="36"/>
      <c r="C37" s="47">
        <f>basic_info!$D$5+1</f>
        <v>2030</v>
      </c>
      <c r="D37" s="76"/>
      <c r="E37" s="75"/>
      <c r="F37" s="69">
        <v>1.0409094843864442</v>
      </c>
      <c r="G37" s="79">
        <v>1.0409094843864442</v>
      </c>
      <c r="H37" s="61">
        <v>1.0839331764160476</v>
      </c>
      <c r="I37" s="62">
        <v>1.0839331764160476</v>
      </c>
      <c r="J37" s="61">
        <v>0.98900041593085708</v>
      </c>
      <c r="K37" s="62">
        <v>0.98900041593085708</v>
      </c>
      <c r="L37" s="61">
        <v>0.97228088435753113</v>
      </c>
      <c r="M37" s="62">
        <v>0.97228088435753113</v>
      </c>
      <c r="N37" s="61">
        <v>1.0958450964136017</v>
      </c>
      <c r="O37" s="89" t="n">
        <v>1.0958450964136017</v>
      </c>
      <c r="P37" s="63">
        <f>O37+M37+K37+I37+G37</f>
        <v>4.0861239610908795</v>
      </c>
    </row>
    <row r="38" spans="2:17">
      <c r="B38" s="36"/>
      <c r="C38" s="47">
        <f>basic_info!$D$5+2</f>
        <v>2031</v>
      </c>
      <c r="D38" s="76"/>
      <c r="E38" s="75"/>
      <c r="F38" s="75"/>
      <c r="G38" s="75"/>
      <c r="H38" s="69">
        <v>1.0482402778565885</v>
      </c>
      <c r="I38" s="79">
        <v>1.0482402778565885</v>
      </c>
      <c r="J38" s="61">
        <v>0.97045032301312806</v>
      </c>
      <c r="K38" s="62">
        <v>0.97045032301312806</v>
      </c>
      <c r="L38" s="61">
        <v>0.98789917790483717</v>
      </c>
      <c r="M38" s="62">
        <v>0.98789917790483717</v>
      </c>
      <c r="N38" s="61">
        <v>1.0512867234689989</v>
      </c>
      <c r="O38" s="89" t="n">
        <v>1.0512867234689989</v>
      </c>
      <c r="P38" s="63">
        <f>O38+M38+K38+I38</f>
        <v>3.0065897787745537</v>
      </c>
    </row>
    <row r="39" spans="2:17">
      <c r="B39" s="36"/>
      <c r="C39" s="47">
        <f>basic_info!$D$5+3</f>
        <v>2032</v>
      </c>
      <c r="D39" s="76"/>
      <c r="E39" s="75"/>
      <c r="F39" s="75"/>
      <c r="G39" s="75"/>
      <c r="H39" s="75"/>
      <c r="I39" s="75"/>
      <c r="J39" s="69">
        <v>0.96112931388616563</v>
      </c>
      <c r="K39" s="79">
        <v>0.96112931388616563</v>
      </c>
      <c r="L39" s="61">
        <v>0.89988736013715631</v>
      </c>
      <c r="M39" s="62">
        <v>0.89988736013715631</v>
      </c>
      <c r="N39" s="61">
        <v>1.053586334277947</v>
      </c>
      <c r="O39" s="89" t="n">
        <v>1.053586334277947</v>
      </c>
      <c r="P39" s="63">
        <f>O39+M39+K39</f>
        <v>1.8610166740233218</v>
      </c>
    </row>
    <row r="40" spans="2:17">
      <c r="B40" s="36"/>
      <c r="C40" s="47">
        <f>basic_info!$D$5+4</f>
        <v>2033</v>
      </c>
      <c r="D40" s="76"/>
      <c r="E40" s="75"/>
      <c r="F40" s="75"/>
      <c r="G40" s="75"/>
      <c r="H40" s="75"/>
      <c r="I40" s="75"/>
      <c r="J40" s="75"/>
      <c r="K40" s="75"/>
      <c r="L40" s="69">
        <v>0.86972962859272962</v>
      </c>
      <c r="M40" s="79">
        <v>0.86972962859272962</v>
      </c>
      <c r="N40" s="61">
        <v>1.0074343602156002</v>
      </c>
      <c r="O40" s="89" t="n">
        <v>1.0074343602156002</v>
      </c>
      <c r="P40" s="63">
        <f>O40+M40</f>
        <v>0.86972962859272962</v>
      </c>
    </row>
    <row r="41" spans="2:17">
      <c r="B41" s="37"/>
      <c r="C41" s="72">
        <f>basic_info!$D$5+5</f>
        <v>2034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0.9264638961553574</v>
      </c>
      <c r="O41" s="89" t="n">
        <v>0.9264638961553574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8.333333333333336</v>
      </c>
      <c r="D48" s="92" t="n">
        <v>8.333333333333336</v>
      </c>
      <c r="E48" s="92" t="n">
        <v>8.333333333333336</v>
      </c>
      <c r="F48" s="92" t="n">
        <v>8.333333333333336</v>
      </c>
      <c r="G48" s="92" t="n">
        <v>8.333333333333336</v>
      </c>
      <c r="H48" s="92" t="n">
        <v>8.333333333333336</v>
      </c>
      <c r="I48" s="92" t="n">
        <v>8.333333333333336</v>
      </c>
      <c r="J48" s="92" t="n">
        <v>8.333333333333336</v>
      </c>
      <c r="K48" s="92" t="n">
        <v>8.333333333333336</v>
      </c>
      <c r="L48" s="92" t="n">
        <v>8.333333333333336</v>
      </c>
      <c r="M48" s="92" t="n">
        <v>8.333333333333336</v>
      </c>
      <c r="N48" s="92" t="n">
        <v>8.333333333333336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QCEEUooog1leRdpU2/pxXiL6QhB7XOr4RtsgKEt3lphjvmY4im6JOdxZEl3DyipPwUun3HTYZICeGRI+1M2Yg==" saltValue="iZh2wzhhu46bFWNI1tfH/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3.022667667877825E-22</v>
      </c>
      <c r="D6" s="93" t="n">
        <v>60.3413901607063</v>
      </c>
      <c r="E6" s="93" t="n">
        <v>1.9301401832222336E-23</v>
      </c>
      <c r="F6" s="93" t="n">
        <v>9.505490159307905E-24</v>
      </c>
      <c r="G6" s="93" t="n">
        <v>39.65860983929371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32.691138557148086</v>
      </c>
      <c r="D7" s="93" t="n">
        <v>56.278091684898854</v>
      </c>
      <c r="E7" s="93" t="n">
        <v>4.014916889912255</v>
      </c>
      <c r="F7" s="93" t="n">
        <v>2.2892381146022323</v>
      </c>
      <c r="G7" s="93" t="n">
        <v>4.726614753438579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5.963687247407851E-22</v>
      </c>
      <c r="D8" s="93" t="n">
        <v>1.5873621394354917E-21</v>
      </c>
      <c r="E8" s="93" t="n">
        <v>100.0</v>
      </c>
      <c r="F8" s="93" t="n">
        <v>3.1484767816247435E-22</v>
      </c>
      <c r="G8" s="93" t="n">
        <v>1.242852427668384E-21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75.94936708860759</v>
      </c>
      <c r="D9" s="93" t="n">
        <v>6.3089106887906415E-22</v>
      </c>
      <c r="E9" s="93" t="n">
        <v>6.376675781065989E-23</v>
      </c>
      <c r="F9" s="93" t="n">
        <v>24.05063291139241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30.943479679326867</v>
      </c>
      <c r="D10" s="93" t="n">
        <v>43.81578705245756</v>
      </c>
      <c r="E10" s="93" t="n">
        <v>10.291672091145395</v>
      </c>
      <c r="F10" s="93" t="n">
        <v>14.949061177070188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25.1635065945442</v>
      </c>
      <c r="D11" s="94" t="n">
        <v>44.36505834700213</v>
      </c>
      <c r="E11" s="94" t="n">
        <v>10.338184936198411</v>
      </c>
      <c r="F11" s="94" t="n">
        <v>0.0</v>
      </c>
      <c r="G11" s="94" t="n">
        <v>20.13325012225525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44.0723282609578</v>
      </c>
      <c r="D19" s="44">
        <f>100-$C$19</f>
        <v>100</v>
      </c>
      <c r="E19" s="94" t="n">
        <v>43.21654130118346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14.365694807890982</v>
      </c>
      <c r="D27" s="93" t="n">
        <v>35.71173919932684</v>
      </c>
      <c r="E27" s="93" t="n">
        <v>27.19940875538293</v>
      </c>
      <c r="F27" s="93" t="n">
        <v>12.382832582122276</v>
      </c>
      <c r="G27" s="95" t="n">
        <v>9.076021856432671</v>
      </c>
      <c r="N27" s="50"/>
      <c r="O27" s="50"/>
      <c r="P27" s="50"/>
    </row>
    <row r="28" spans="2:16">
      <c r="B28" s="45" t="s">
        <v>46</v>
      </c>
      <c r="C28" s="93" t="n">
        <v>17.350405247582348</v>
      </c>
      <c r="D28" s="93" t="n">
        <v>64.28826080067316</v>
      </c>
      <c r="E28" s="93" t="n">
        <v>72.80059124461705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68.28389994452668</v>
      </c>
      <c r="D29" s="93" t="n">
        <v>0.0</v>
      </c>
      <c r="E29" s="93" t="n">
        <v>0.0</v>
      </c>
      <c r="F29" s="93" t="n">
        <v>87.61716741787772</v>
      </c>
      <c r="G29" s="95" t="n">
        <v>90.92397814356731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41.16399283251442</v>
      </c>
      <c r="D37" s="93" t="n">
        <v>41.16399283251442</v>
      </c>
      <c r="E37" s="93" t="n">
        <v>41.16399283251442</v>
      </c>
      <c r="F37" s="93" t="n">
        <v>41.16399283251442</v>
      </c>
      <c r="G37" s="93" t="n">
        <v>41.16399283251442</v>
      </c>
      <c r="H37" s="93" t="n">
        <v>41.16399283251442</v>
      </c>
      <c r="I37" s="93" t="n">
        <v>41.16399283251442</v>
      </c>
      <c r="J37" s="93" t="n">
        <v>41.16399283251442</v>
      </c>
      <c r="K37" s="93" t="n">
        <v>41.16399283251442</v>
      </c>
      <c r="L37" s="93" t="n">
        <v>41.16399283251442</v>
      </c>
      <c r="M37" s="93" t="n">
        <v>41.16399283251442</v>
      </c>
      <c r="N37" s="95" t="n">
        <v>41.16399283251442</v>
      </c>
    </row>
    <row r="38" spans="2:14">
      <c r="B38" s="45" t="s">
        <v>46</v>
      </c>
      <c r="C38" s="93" t="n">
        <v>49.11734239220843</v>
      </c>
      <c r="D38" s="93" t="n">
        <v>49.11734239220843</v>
      </c>
      <c r="E38" s="93" t="n">
        <v>49.11734239220843</v>
      </c>
      <c r="F38" s="93" t="n">
        <v>49.11734239220843</v>
      </c>
      <c r="G38" s="93" t="n">
        <v>49.11734239220843</v>
      </c>
      <c r="H38" s="93" t="n">
        <v>49.11734239220843</v>
      </c>
      <c r="I38" s="93" t="n">
        <v>49.11734239220843</v>
      </c>
      <c r="J38" s="93" t="n">
        <v>49.11734239220843</v>
      </c>
      <c r="K38" s="93" t="n">
        <v>49.11734239220843</v>
      </c>
      <c r="L38" s="93" t="n">
        <v>49.11734239220843</v>
      </c>
      <c r="M38" s="93" t="n">
        <v>49.11734239220843</v>
      </c>
      <c r="N38" s="95" t="n">
        <v>49.11734239220843</v>
      </c>
    </row>
    <row r="39" spans="2:14">
      <c r="B39" s="45" t="s">
        <v>59</v>
      </c>
      <c r="C39" s="94" t="n">
        <v>44.59385790921916</v>
      </c>
      <c r="D39" s="94" t="n">
        <v>44.59385790921916</v>
      </c>
      <c r="E39" s="94" t="n">
        <v>44.59385790921916</v>
      </c>
      <c r="F39" s="94" t="n">
        <v>44.59385790921916</v>
      </c>
      <c r="G39" s="94" t="n">
        <v>44.59385790921916</v>
      </c>
      <c r="H39" s="94" t="n">
        <v>44.59385790921916</v>
      </c>
      <c r="I39" s="94" t="n">
        <v>44.59385790921916</v>
      </c>
      <c r="J39" s="94" t="n">
        <v>44.59385790921916</v>
      </c>
      <c r="K39" s="94" t="n">
        <v>44.59385790921916</v>
      </c>
      <c r="L39" s="94" t="n">
        <v>44.59385790921916</v>
      </c>
      <c r="M39" s="94" t="n">
        <v>44.59385790921916</v>
      </c>
      <c r="N39" s="89" t="n">
        <v>44.59385790921916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ym2vlonhGdXvQeWsqD4igYQQkdqll/PKNhw5h1mPp0PHRSHbh7YautHCc8QPgfq/9K5bEttsFlPvb6m+Vxcsg==" saltValue="pAyh53okB9N136orp21fn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XoFhitRuDoqo8WY9tYG7FaajnCd19E5N0VNats3IoBWgoWzGx27384xIPch7To/uAaaL/dfOBqkXNJ9WZdJVg==" saltValue="1I5MsRXrC4GxlS6cGMlQq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2015-01-12T20:41:38Z</dcterms:modified>
</coreProperties>
</file>