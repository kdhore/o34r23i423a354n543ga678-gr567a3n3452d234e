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5380" yWindow="0" windowWidth="19340" windowHeight="12480" firstSheet="1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" i="6" l="1"/>
  <c r="C27" i="7"/>
  <c r="G13" i="9"/>
  <c r="G14" i="9"/>
  <c r="G15" i="9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<sst xmlns="http://schemas.openxmlformats.org/spreadsheetml/2006/main" count="516" uniqueCount="167">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</sst>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4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J27" sqref="J2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H8" sqref="H8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573.20000000000005</v>
      </c>
      <c r="D6" s="86">
        <v>573.20000000000005</v>
      </c>
      <c r="E6" s="86">
        <v>573.20000000000005</v>
      </c>
      <c r="F6" s="86">
        <v>573.20000000000005</v>
      </c>
      <c r="G6" s="86">
        <v>573.20000000000005</v>
      </c>
      <c r="H6" s="86">
        <v>573.20000000000005</v>
      </c>
      <c r="I6" s="86">
        <v>573.20000000000005</v>
      </c>
      <c r="J6" s="86">
        <v>573.20000000000005</v>
      </c>
      <c r="K6" s="86">
        <v>573.20000000000005</v>
      </c>
      <c r="L6" s="86">
        <v>573.20000000000005</v>
      </c>
      <c r="M6" s="86">
        <v>573.20000000000005</v>
      </c>
      <c r="N6" s="86">
        <v>573.20000000000005</v>
      </c>
    </row>
    <row r="7" spans="2:14">
      <c r="B7" s="36" t="s">
        <v>105</v>
      </c>
      <c r="C7" s="87">
        <v>209.7</v>
      </c>
      <c r="D7" s="87">
        <v>209.7</v>
      </c>
      <c r="E7" s="87">
        <v>209.7</v>
      </c>
      <c r="F7" s="87">
        <v>209.7</v>
      </c>
      <c r="G7" s="87">
        <v>209.7</v>
      </c>
      <c r="H7" s="87">
        <v>209.7</v>
      </c>
      <c r="I7" s="87">
        <v>209.7</v>
      </c>
      <c r="J7" s="87">
        <v>209.7</v>
      </c>
      <c r="K7" s="87">
        <v>209.7</v>
      </c>
      <c r="L7" s="87">
        <v>209.7</v>
      </c>
      <c r="M7" s="87">
        <v>209.7</v>
      </c>
      <c r="N7" s="87">
        <v>209.7</v>
      </c>
    </row>
    <row r="8" spans="2:14">
      <c r="B8" s="36" t="s">
        <v>106</v>
      </c>
      <c r="C8" s="87">
        <f>262.4/4</f>
        <v>65.599999999999994</v>
      </c>
      <c r="D8" s="87">
        <v>262.39999999999998</v>
      </c>
      <c r="E8" s="87">
        <v>262.39999999999998</v>
      </c>
      <c r="F8" s="87">
        <v>262.39999999999998</v>
      </c>
      <c r="G8" s="87">
        <v>262.39999999999998</v>
      </c>
      <c r="H8" s="87">
        <v>262.39999999999998</v>
      </c>
      <c r="I8" s="87">
        <v>262.39999999999998</v>
      </c>
      <c r="J8" s="87">
        <v>262.39999999999998</v>
      </c>
      <c r="K8" s="87">
        <v>262.39999999999998</v>
      </c>
      <c r="L8" s="87">
        <v>262.39999999999998</v>
      </c>
      <c r="M8" s="87">
        <v>262.39999999999998</v>
      </c>
      <c r="N8" s="87">
        <v>262.39999999999998</v>
      </c>
    </row>
    <row r="9" spans="2:14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topLeftCell="A13" workbookViewId="0">
      <selection activeCell="C37" sqref="C37:N3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0</v>
      </c>
      <c r="F6" s="92">
        <v>0</v>
      </c>
      <c r="G6" s="92">
        <v>0</v>
      </c>
      <c r="H6" s="92">
        <v>100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0</v>
      </c>
      <c r="F7" s="92">
        <v>0</v>
      </c>
      <c r="G7" s="92">
        <v>100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0</v>
      </c>
      <c r="F8" s="92">
        <v>100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0</v>
      </c>
      <c r="E9" s="92">
        <v>0</v>
      </c>
      <c r="F9" s="92">
        <v>0</v>
      </c>
      <c r="G9" s="92">
        <v>0</v>
      </c>
      <c r="H9" s="92">
        <v>0</v>
      </c>
      <c r="I9" s="96">
        <f>SUM($C$9:$H$9)</f>
        <v>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6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5">
        <f>SUM($C$11:$H$11)</f>
        <v>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0</v>
      </c>
      <c r="F19" s="44">
        <f>100-$E$19</f>
        <v>100</v>
      </c>
      <c r="G19" s="93">
        <v>0</v>
      </c>
      <c r="H19" s="33">
        <f>100-$G$19</f>
        <v>100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f>100-C28-C29</f>
        <v>14.200000000000003</v>
      </c>
      <c r="D27" s="92">
        <v>94.918488411163253</v>
      </c>
      <c r="E27" s="92">
        <v>85.647365997734056</v>
      </c>
      <c r="F27" s="92">
        <v>23.368392483635862</v>
      </c>
      <c r="G27" s="92">
        <v>51.379923263822199</v>
      </c>
      <c r="H27" s="92">
        <v>3.0834416741006456</v>
      </c>
      <c r="I27" s="94">
        <v>2.4700201325332247</v>
      </c>
      <c r="P27" s="50"/>
      <c r="Q27" s="50"/>
      <c r="R27" s="50"/>
    </row>
    <row r="28" spans="2:18">
      <c r="B28" s="45" t="s">
        <v>46</v>
      </c>
      <c r="C28" s="92">
        <v>19.3</v>
      </c>
      <c r="D28" s="92">
        <v>5.0815115888367508</v>
      </c>
      <c r="E28" s="92">
        <v>14.352634002265949</v>
      </c>
      <c r="F28" s="92">
        <v>76.631607516364141</v>
      </c>
      <c r="G28" s="92">
        <v>48.620076736177808</v>
      </c>
      <c r="H28" s="92">
        <v>1.5646529088863534</v>
      </c>
      <c r="I28" s="94">
        <v>1.5091666291587458</v>
      </c>
      <c r="P28" s="50"/>
      <c r="Q28" s="50"/>
      <c r="R28" s="50"/>
    </row>
    <row r="29" spans="2:18">
      <c r="B29" s="45" t="s">
        <v>59</v>
      </c>
      <c r="C29" s="92">
        <v>66.5</v>
      </c>
      <c r="D29" s="92">
        <v>0</v>
      </c>
      <c r="E29" s="92">
        <v>0</v>
      </c>
      <c r="F29" s="92">
        <v>0</v>
      </c>
      <c r="G29" s="92">
        <v>0</v>
      </c>
      <c r="H29" s="92">
        <v>95.351905417013</v>
      </c>
      <c r="I29" s="94">
        <v>96.020813238308037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100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0</v>
      </c>
      <c r="D37" s="93">
        <v>0</v>
      </c>
      <c r="E37" s="93">
        <v>0</v>
      </c>
      <c r="F37" s="93">
        <v>0</v>
      </c>
      <c r="G37" s="93">
        <v>0</v>
      </c>
      <c r="H37" s="93">
        <v>0</v>
      </c>
      <c r="I37" s="93">
        <v>0</v>
      </c>
      <c r="J37" s="93">
        <v>0</v>
      </c>
      <c r="K37" s="93">
        <v>0</v>
      </c>
      <c r="L37" s="93">
        <v>0</v>
      </c>
      <c r="M37" s="93">
        <v>0</v>
      </c>
      <c r="N37" s="93">
        <v>0</v>
      </c>
    </row>
    <row r="38" spans="2:14">
      <c r="B38" s="45" t="s">
        <v>46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</row>
    <row r="39" spans="2:14">
      <c r="B39" s="45" t="s">
        <v>59</v>
      </c>
      <c r="C39" s="93">
        <v>0</v>
      </c>
      <c r="D39" s="93">
        <v>0</v>
      </c>
      <c r="E39" s="93">
        <v>0</v>
      </c>
      <c r="F39" s="93">
        <v>0</v>
      </c>
      <c r="G39" s="93">
        <v>0</v>
      </c>
      <c r="H39" s="93">
        <v>0</v>
      </c>
      <c r="I39" s="93">
        <v>0</v>
      </c>
      <c r="J39" s="93">
        <v>0</v>
      </c>
      <c r="K39" s="93">
        <v>0</v>
      </c>
      <c r="L39" s="93">
        <v>0</v>
      </c>
      <c r="M39" s="93">
        <v>0</v>
      </c>
      <c r="N39" s="93">
        <v>0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xWindow="456" yWindow="260"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O19" sqref="O19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2.8</v>
      </c>
      <c r="E15" s="88">
        <v>2.8</v>
      </c>
      <c r="F15" s="88">
        <v>2.8</v>
      </c>
      <c r="G15" s="88">
        <v>2.8</v>
      </c>
      <c r="H15" s="88">
        <v>2.8</v>
      </c>
      <c r="I15" s="88">
        <v>2.8</v>
      </c>
      <c r="J15" s="88">
        <v>2.8</v>
      </c>
      <c r="K15" s="88">
        <v>2.8</v>
      </c>
      <c r="L15" s="88">
        <v>2.8</v>
      </c>
      <c r="M15" s="88">
        <v>2.8</v>
      </c>
      <c r="N15" s="88">
        <v>2.8</v>
      </c>
      <c r="O15" s="88">
        <v>2.8</v>
      </c>
    </row>
    <row r="16" spans="2:15">
      <c r="C16" s="36" t="s">
        <v>127</v>
      </c>
      <c r="D16" s="88">
        <v>2.9</v>
      </c>
      <c r="E16" s="88">
        <v>2.9</v>
      </c>
      <c r="F16" s="88">
        <v>2.9</v>
      </c>
      <c r="G16" s="88">
        <v>2.9</v>
      </c>
      <c r="H16" s="88">
        <v>2.9</v>
      </c>
      <c r="I16" s="88">
        <v>2.9</v>
      </c>
      <c r="J16" s="88">
        <v>2.9</v>
      </c>
      <c r="K16" s="88">
        <v>2.9</v>
      </c>
      <c r="L16" s="88">
        <v>2.9</v>
      </c>
      <c r="M16" s="88">
        <v>2.9</v>
      </c>
      <c r="N16" s="88">
        <v>2.9</v>
      </c>
      <c r="O16" s="88">
        <v>2.9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2.5</v>
      </c>
      <c r="E18" s="88">
        <v>2.5</v>
      </c>
      <c r="F18" s="88">
        <v>2.5</v>
      </c>
      <c r="G18" s="88">
        <v>2.5</v>
      </c>
      <c r="H18" s="88">
        <v>2.5</v>
      </c>
      <c r="I18" s="88">
        <v>2.5</v>
      </c>
      <c r="J18" s="88">
        <v>2.5</v>
      </c>
      <c r="K18" s="88">
        <v>2.5</v>
      </c>
      <c r="L18" s="88">
        <v>2.5</v>
      </c>
      <c r="M18" s="88">
        <v>2.5</v>
      </c>
      <c r="N18" s="88">
        <v>2.5</v>
      </c>
      <c r="O18" s="88">
        <v>2.5</v>
      </c>
    </row>
    <row r="19" spans="2:15">
      <c r="C19" s="36" t="s">
        <v>130</v>
      </c>
      <c r="D19" s="88">
        <v>3</v>
      </c>
      <c r="E19" s="88">
        <v>3</v>
      </c>
      <c r="F19" s="88">
        <v>3</v>
      </c>
      <c r="G19" s="88">
        <v>3</v>
      </c>
      <c r="H19" s="88">
        <v>3</v>
      </c>
      <c r="I19" s="88">
        <v>3</v>
      </c>
      <c r="J19" s="88">
        <v>3</v>
      </c>
      <c r="K19" s="88">
        <v>3</v>
      </c>
      <c r="L19" s="88">
        <v>3</v>
      </c>
      <c r="M19" s="88">
        <v>3</v>
      </c>
      <c r="N19" s="88">
        <v>3</v>
      </c>
      <c r="O19" s="88">
        <v>3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3.1</v>
      </c>
      <c r="E21" s="88">
        <v>3.1</v>
      </c>
      <c r="F21" s="88">
        <v>3.1</v>
      </c>
      <c r="G21" s="88">
        <v>3.1</v>
      </c>
      <c r="H21" s="88">
        <v>3.1</v>
      </c>
      <c r="I21" s="88">
        <v>3.1</v>
      </c>
      <c r="J21" s="88">
        <v>3.1</v>
      </c>
      <c r="K21" s="88">
        <v>3.1</v>
      </c>
      <c r="L21" s="88">
        <v>3.1</v>
      </c>
      <c r="M21" s="88">
        <v>3.1</v>
      </c>
      <c r="N21" s="88">
        <v>3.1</v>
      </c>
      <c r="O21" s="88">
        <v>3.1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2.7</v>
      </c>
      <c r="E24" s="88">
        <v>2.7</v>
      </c>
      <c r="F24" s="88">
        <v>2.7</v>
      </c>
      <c r="G24" s="88">
        <v>2.7</v>
      </c>
      <c r="H24" s="88">
        <v>2.7</v>
      </c>
      <c r="I24" s="88">
        <v>2.7</v>
      </c>
      <c r="J24" s="88">
        <v>2.7</v>
      </c>
      <c r="K24" s="88">
        <v>2.7</v>
      </c>
      <c r="L24" s="88">
        <v>2.7</v>
      </c>
      <c r="M24" s="88">
        <v>2.7</v>
      </c>
      <c r="N24" s="88">
        <v>2.7</v>
      </c>
      <c r="O24" s="88">
        <v>2.7</v>
      </c>
    </row>
    <row r="25" spans="2:15">
      <c r="C25" s="36" t="s">
        <v>127</v>
      </c>
      <c r="D25" s="88">
        <v>2.7</v>
      </c>
      <c r="E25" s="88">
        <v>2.7</v>
      </c>
      <c r="F25" s="88">
        <v>2.7</v>
      </c>
      <c r="G25" s="88">
        <v>2.7</v>
      </c>
      <c r="H25" s="88">
        <v>2.7</v>
      </c>
      <c r="I25" s="88">
        <v>2.7</v>
      </c>
      <c r="J25" s="88">
        <v>2.7</v>
      </c>
      <c r="K25" s="88">
        <v>2.7</v>
      </c>
      <c r="L25" s="88">
        <v>2.7</v>
      </c>
      <c r="M25" s="88">
        <v>2.7</v>
      </c>
      <c r="N25" s="88">
        <v>2.7</v>
      </c>
      <c r="O25" s="88">
        <v>2.7</v>
      </c>
    </row>
    <row r="26" spans="2:15">
      <c r="C26" s="36" t="s">
        <v>128</v>
      </c>
      <c r="D26" s="88">
        <v>2.7</v>
      </c>
      <c r="E26" s="88">
        <v>2.7</v>
      </c>
      <c r="F26" s="88">
        <v>2.7</v>
      </c>
      <c r="G26" s="88">
        <v>2.7</v>
      </c>
      <c r="H26" s="88">
        <v>2.7</v>
      </c>
      <c r="I26" s="88">
        <v>2.7</v>
      </c>
      <c r="J26" s="88">
        <v>2.7</v>
      </c>
      <c r="K26" s="88">
        <v>2.7</v>
      </c>
      <c r="L26" s="88">
        <v>2.7</v>
      </c>
      <c r="M26" s="88">
        <v>2.7</v>
      </c>
      <c r="N26" s="88">
        <v>2.7</v>
      </c>
      <c r="O26" s="88">
        <v>2.7</v>
      </c>
    </row>
    <row r="27" spans="2:15">
      <c r="C27" s="36" t="s">
        <v>129</v>
      </c>
      <c r="D27" s="88">
        <v>3.1</v>
      </c>
      <c r="E27" s="88">
        <v>3.1</v>
      </c>
      <c r="F27" s="88">
        <v>3.1</v>
      </c>
      <c r="G27" s="88">
        <v>3.1</v>
      </c>
      <c r="H27" s="88">
        <v>3.1</v>
      </c>
      <c r="I27" s="88">
        <v>3.1</v>
      </c>
      <c r="J27" s="88">
        <v>3.1</v>
      </c>
      <c r="K27" s="88">
        <v>3.1</v>
      </c>
      <c r="L27" s="88">
        <v>3.1</v>
      </c>
      <c r="M27" s="88">
        <v>3.1</v>
      </c>
      <c r="N27" s="88">
        <v>3.1</v>
      </c>
      <c r="O27" s="88">
        <v>3.1</v>
      </c>
    </row>
    <row r="28" spans="2:15">
      <c r="C28" s="36" t="s">
        <v>130</v>
      </c>
      <c r="D28" s="88">
        <v>2.7</v>
      </c>
      <c r="E28" s="88">
        <v>2.7</v>
      </c>
      <c r="F28" s="88">
        <v>2.7</v>
      </c>
      <c r="G28" s="88">
        <v>2.7</v>
      </c>
      <c r="H28" s="88">
        <v>2.7</v>
      </c>
      <c r="I28" s="88">
        <v>2.7</v>
      </c>
      <c r="J28" s="88">
        <v>2.7</v>
      </c>
      <c r="K28" s="88">
        <v>2.7</v>
      </c>
      <c r="L28" s="88">
        <v>2.7</v>
      </c>
      <c r="M28" s="88">
        <v>2.7</v>
      </c>
      <c r="N28" s="88">
        <v>2.7</v>
      </c>
      <c r="O28" s="88">
        <v>2.7</v>
      </c>
    </row>
    <row r="29" spans="2:15">
      <c r="C29" s="36" t="s">
        <v>131</v>
      </c>
      <c r="D29" s="88">
        <v>2.7</v>
      </c>
      <c r="E29" s="88">
        <v>2.7</v>
      </c>
      <c r="F29" s="88">
        <v>2.7</v>
      </c>
      <c r="G29" s="88">
        <v>2.7</v>
      </c>
      <c r="H29" s="88">
        <v>2.7</v>
      </c>
      <c r="I29" s="88">
        <v>2.7</v>
      </c>
      <c r="J29" s="88">
        <v>2.7</v>
      </c>
      <c r="K29" s="88">
        <v>2.7</v>
      </c>
      <c r="L29" s="88">
        <v>2.7</v>
      </c>
      <c r="M29" s="88">
        <v>2.7</v>
      </c>
      <c r="N29" s="88">
        <v>2.7</v>
      </c>
      <c r="O29" s="88">
        <v>2.7</v>
      </c>
    </row>
    <row r="30" spans="2:15">
      <c r="C30" s="37" t="s">
        <v>132</v>
      </c>
      <c r="D30" s="88">
        <v>2.7</v>
      </c>
      <c r="E30" s="88">
        <v>2.7</v>
      </c>
      <c r="F30" s="88">
        <v>2.7</v>
      </c>
      <c r="G30" s="88">
        <v>2.7</v>
      </c>
      <c r="H30" s="88">
        <v>2.7</v>
      </c>
      <c r="I30" s="88">
        <v>2.7</v>
      </c>
      <c r="J30" s="88">
        <v>2.7</v>
      </c>
      <c r="K30" s="88">
        <v>2.7</v>
      </c>
      <c r="L30" s="88">
        <v>2.7</v>
      </c>
      <c r="M30" s="88">
        <v>2.7</v>
      </c>
      <c r="N30" s="88">
        <v>2.7</v>
      </c>
      <c r="O30" s="88">
        <v>2.7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2.9</v>
      </c>
      <c r="E33" s="88">
        <v>2.9</v>
      </c>
      <c r="F33" s="88">
        <v>2.9</v>
      </c>
      <c r="G33" s="88">
        <v>2.9</v>
      </c>
      <c r="H33" s="88">
        <v>2.9</v>
      </c>
      <c r="I33" s="88">
        <v>2.9</v>
      </c>
      <c r="J33" s="88">
        <v>2.9</v>
      </c>
      <c r="K33" s="88">
        <v>2.9</v>
      </c>
      <c r="L33" s="88">
        <v>2.9</v>
      </c>
      <c r="M33" s="88">
        <v>2.9</v>
      </c>
      <c r="N33" s="88">
        <v>2.9</v>
      </c>
      <c r="O33" s="88">
        <v>2.9</v>
      </c>
    </row>
    <row r="34" spans="3:15">
      <c r="C34" s="36" t="s">
        <v>127</v>
      </c>
      <c r="D34" s="88">
        <v>2.6</v>
      </c>
      <c r="E34" s="88">
        <v>2.6</v>
      </c>
      <c r="F34" s="88">
        <v>2.6</v>
      </c>
      <c r="G34" s="88">
        <v>2.6</v>
      </c>
      <c r="H34" s="88">
        <v>2.6</v>
      </c>
      <c r="I34" s="88">
        <v>2.6</v>
      </c>
      <c r="J34" s="88">
        <v>2.6</v>
      </c>
      <c r="K34" s="88">
        <v>2.6</v>
      </c>
      <c r="L34" s="88">
        <v>2.6</v>
      </c>
      <c r="M34" s="88">
        <v>2.6</v>
      </c>
      <c r="N34" s="88">
        <v>2.6</v>
      </c>
      <c r="O34" s="88">
        <v>2.6</v>
      </c>
    </row>
    <row r="35" spans="3:15">
      <c r="C35" s="36" t="s">
        <v>128</v>
      </c>
      <c r="D35" s="88">
        <v>2.5</v>
      </c>
      <c r="E35" s="88">
        <v>2.5</v>
      </c>
      <c r="F35" s="88">
        <v>2.5</v>
      </c>
      <c r="G35" s="88">
        <v>2.5</v>
      </c>
      <c r="H35" s="88">
        <v>2.5</v>
      </c>
      <c r="I35" s="88">
        <v>2.5</v>
      </c>
      <c r="J35" s="88">
        <v>2.5</v>
      </c>
      <c r="K35" s="88">
        <v>2.5</v>
      </c>
      <c r="L35" s="88">
        <v>2.5</v>
      </c>
      <c r="M35" s="88">
        <v>2.5</v>
      </c>
      <c r="N35" s="88">
        <v>2.5</v>
      </c>
      <c r="O35" s="88">
        <v>2.5</v>
      </c>
    </row>
    <row r="36" spans="3:15">
      <c r="C36" s="36" t="s">
        <v>129</v>
      </c>
      <c r="D36" s="88">
        <v>2.7</v>
      </c>
      <c r="E36" s="88">
        <v>2.7</v>
      </c>
      <c r="F36" s="88">
        <v>2.7</v>
      </c>
      <c r="G36" s="88">
        <v>2.7</v>
      </c>
      <c r="H36" s="88">
        <v>2.7</v>
      </c>
      <c r="I36" s="88">
        <v>2.7</v>
      </c>
      <c r="J36" s="88">
        <v>2.7</v>
      </c>
      <c r="K36" s="88">
        <v>2.7</v>
      </c>
      <c r="L36" s="88">
        <v>2.7</v>
      </c>
      <c r="M36" s="88">
        <v>2.7</v>
      </c>
      <c r="N36" s="88">
        <v>2.7</v>
      </c>
      <c r="O36" s="88">
        <v>2.7</v>
      </c>
    </row>
    <row r="37" spans="3:15">
      <c r="C37" s="36" t="s">
        <v>130</v>
      </c>
      <c r="D37" s="88">
        <v>2.8</v>
      </c>
      <c r="E37" s="88">
        <v>2.8</v>
      </c>
      <c r="F37" s="88">
        <v>2.8</v>
      </c>
      <c r="G37" s="88">
        <v>2.8</v>
      </c>
      <c r="H37" s="88">
        <v>2.8</v>
      </c>
      <c r="I37" s="88">
        <v>2.8</v>
      </c>
      <c r="J37" s="88">
        <v>2.8</v>
      </c>
      <c r="K37" s="88">
        <v>2.8</v>
      </c>
      <c r="L37" s="88">
        <v>2.8</v>
      </c>
      <c r="M37" s="88">
        <v>2.8</v>
      </c>
      <c r="N37" s="88">
        <v>2.8</v>
      </c>
      <c r="O37" s="88">
        <v>2.8</v>
      </c>
    </row>
    <row r="38" spans="3:15">
      <c r="C38" s="36" t="s">
        <v>131</v>
      </c>
      <c r="D38" s="88">
        <v>2.9</v>
      </c>
      <c r="E38" s="88">
        <v>2.9</v>
      </c>
      <c r="F38" s="88">
        <v>2.9</v>
      </c>
      <c r="G38" s="88">
        <v>2.9</v>
      </c>
      <c r="H38" s="88">
        <v>2.9</v>
      </c>
      <c r="I38" s="88">
        <v>2.9</v>
      </c>
      <c r="J38" s="88">
        <v>2.9</v>
      </c>
      <c r="K38" s="88">
        <v>2.9</v>
      </c>
      <c r="L38" s="88">
        <v>2.9</v>
      </c>
      <c r="M38" s="88">
        <v>2.9</v>
      </c>
      <c r="N38" s="88">
        <v>2.9</v>
      </c>
      <c r="O38" s="88">
        <v>2.9</v>
      </c>
    </row>
    <row r="39" spans="3:15">
      <c r="C39" s="37" t="s">
        <v>132</v>
      </c>
      <c r="D39" s="88">
        <v>2.7</v>
      </c>
      <c r="E39" s="88">
        <v>2.7</v>
      </c>
      <c r="F39" s="88">
        <v>2.7</v>
      </c>
      <c r="G39" s="88">
        <v>2.7</v>
      </c>
      <c r="H39" s="88">
        <v>2.7</v>
      </c>
      <c r="I39" s="88">
        <v>2.7</v>
      </c>
      <c r="J39" s="88">
        <v>2.7</v>
      </c>
      <c r="K39" s="88">
        <v>2.7</v>
      </c>
      <c r="L39" s="88">
        <v>2.7</v>
      </c>
      <c r="M39" s="88">
        <v>2.7</v>
      </c>
      <c r="N39" s="88">
        <v>2.7</v>
      </c>
      <c r="O39" s="88">
        <v>2.7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31.062498757500009</v>
      </c>
    </row>
    <row r="14" spans="7:7">
      <c r="G14">
        <f>shipping_manufacturing!C28*0.01*raw_materials!$P$36*raw_materials!$C$48*0.01/4</f>
        <v>42.218748311250003</v>
      </c>
    </row>
    <row r="15" spans="7:7">
      <c r="G15">
        <f>shipping_manufacturing!C29*0.01*raw_materials!$P$36*raw_materials!$C$48*0.01/4</f>
        <v>145.46874418125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2014-12-02T06:35:46Z</dcterms:modified>
</cp:coreProperties>
</file>