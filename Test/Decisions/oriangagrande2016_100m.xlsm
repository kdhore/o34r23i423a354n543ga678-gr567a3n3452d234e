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13060" yWindow="3460" windowWidth="19340" windowHeight="12480" firstSheet="1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C29" i="7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<sst xmlns="http://schemas.openxmlformats.org/spreadsheetml/2006/main" count="516" uniqueCount="167">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</sst>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4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6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1291.5073151039574</v>
      </c>
      <c r="D6" s="86">
        <v>1291.5073151039574</v>
      </c>
      <c r="E6" s="86">
        <v>1291.5073151039574</v>
      </c>
      <c r="F6" s="86">
        <v>1291.5073151039574</v>
      </c>
      <c r="G6" s="86">
        <v>1291.5073151039574</v>
      </c>
      <c r="H6" s="86">
        <v>1291.5073151039574</v>
      </c>
      <c r="I6" s="86">
        <v>1291.5073151039574</v>
      </c>
      <c r="J6" s="86">
        <v>1291.5073151039574</v>
      </c>
      <c r="K6" s="86">
        <v>1291.5073151039574</v>
      </c>
      <c r="L6" s="86">
        <v>1291.5073151039574</v>
      </c>
      <c r="M6" s="86">
        <v>1291.5073151039574</v>
      </c>
      <c r="N6" s="86">
        <v>1291.5073151039574</v>
      </c>
    </row>
    <row r="7" spans="2:14">
      <c r="B7" s="36" t="s">
        <v>105</v>
      </c>
      <c r="C7" s="87">
        <v>723.95962683053835</v>
      </c>
      <c r="D7" s="87">
        <v>723.95962683053835</v>
      </c>
      <c r="E7" s="87">
        <v>723.95962683053835</v>
      </c>
      <c r="F7" s="87">
        <v>723.95962683053835</v>
      </c>
      <c r="G7" s="87">
        <v>723.95962683053835</v>
      </c>
      <c r="H7" s="87">
        <v>723.95962683053835</v>
      </c>
      <c r="I7" s="87">
        <v>723.95962683053835</v>
      </c>
      <c r="J7" s="87">
        <v>723.95962683053835</v>
      </c>
      <c r="K7" s="87">
        <v>723.95962683053835</v>
      </c>
      <c r="L7" s="87">
        <v>723.95962683053835</v>
      </c>
      <c r="M7" s="87">
        <v>723.95962683053835</v>
      </c>
      <c r="N7" s="87">
        <v>723.95962683053835</v>
      </c>
    </row>
    <row r="8" spans="2:14">
      <c r="B8" s="36" t="s">
        <v>106</v>
      </c>
      <c r="C8" s="87">
        <v>277.69224911812466</v>
      </c>
      <c r="D8" s="87">
        <v>277.69224911812466</v>
      </c>
      <c r="E8" s="87">
        <v>277.69224911812466</v>
      </c>
      <c r="F8" s="87">
        <v>277.69224911812466</v>
      </c>
      <c r="G8" s="87">
        <v>277.69224911812466</v>
      </c>
      <c r="H8" s="87">
        <v>277.69224911812466</v>
      </c>
      <c r="I8" s="87">
        <v>277.69224911812466</v>
      </c>
      <c r="J8" s="87">
        <v>277.69224911812466</v>
      </c>
      <c r="K8" s="87">
        <v>277.69224911812466</v>
      </c>
      <c r="L8" s="87">
        <v>277.69224911812466</v>
      </c>
      <c r="M8" s="87">
        <v>277.69224911812466</v>
      </c>
      <c r="N8" s="87">
        <v>277.69224911812466</v>
      </c>
    </row>
    <row r="9" spans="2:14">
      <c r="B9" s="36" t="s">
        <v>107</v>
      </c>
      <c r="C9" s="87">
        <v>656.05707100686413</v>
      </c>
      <c r="D9" s="87">
        <v>656.05707100686413</v>
      </c>
      <c r="E9" s="87">
        <v>656.05707100686413</v>
      </c>
      <c r="F9" s="87">
        <v>656.05707100686413</v>
      </c>
      <c r="G9" s="87">
        <v>656.05707100686413</v>
      </c>
      <c r="H9" s="87">
        <v>656.05707100686413</v>
      </c>
      <c r="I9" s="87">
        <v>656.05707100686413</v>
      </c>
      <c r="J9" s="87">
        <v>656.05707100686413</v>
      </c>
      <c r="K9" s="87">
        <v>656.05707100686413</v>
      </c>
      <c r="L9" s="87">
        <v>656.05707100686413</v>
      </c>
      <c r="M9" s="87">
        <v>656.05707100686413</v>
      </c>
      <c r="N9" s="87">
        <v>656.05707100686413</v>
      </c>
    </row>
    <row r="10" spans="2:14">
      <c r="B10" s="36" t="s">
        <v>108</v>
      </c>
      <c r="C10" s="87">
        <v>13.479134498308467</v>
      </c>
      <c r="D10" s="87">
        <v>13.479134498308467</v>
      </c>
      <c r="E10" s="87">
        <v>13.479134498308467</v>
      </c>
      <c r="F10" s="87">
        <v>13.479134498308467</v>
      </c>
      <c r="G10" s="87">
        <v>13.479134498308467</v>
      </c>
      <c r="H10" s="87">
        <v>13.479134498308467</v>
      </c>
      <c r="I10" s="87">
        <v>13.479134498308467</v>
      </c>
      <c r="J10" s="87">
        <v>13.479134498308467</v>
      </c>
      <c r="K10" s="87">
        <v>13.479134498308467</v>
      </c>
      <c r="L10" s="87">
        <v>13.479134498308467</v>
      </c>
      <c r="M10" s="87">
        <v>13.479134498308467</v>
      </c>
      <c r="N10" s="87">
        <v>13.479134498308467</v>
      </c>
    </row>
    <row r="11" spans="2:14">
      <c r="B11" s="37" t="s">
        <v>109</v>
      </c>
      <c r="C11" s="87">
        <v>15.364603261261527</v>
      </c>
      <c r="D11" s="87">
        <v>15.364603261261527</v>
      </c>
      <c r="E11" s="87">
        <v>15.364603261261527</v>
      </c>
      <c r="F11" s="87">
        <v>15.364603261261527</v>
      </c>
      <c r="G11" s="87">
        <v>15.364603261261527</v>
      </c>
      <c r="H11" s="87">
        <v>15.364603261261527</v>
      </c>
      <c r="I11" s="87">
        <v>15.364603261261527</v>
      </c>
      <c r="J11" s="87">
        <v>15.364603261261527</v>
      </c>
      <c r="K11" s="87">
        <v>15.364603261261527</v>
      </c>
      <c r="L11" s="87">
        <v>15.364603261261527</v>
      </c>
      <c r="M11" s="87">
        <v>15.364603261261527</v>
      </c>
      <c r="N11" s="87">
        <v>15.364603261261527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opLeftCell="B1" workbookViewId="0">
      <selection activeCell="C29" sqref="C2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2.5953230286532243</v>
      </c>
      <c r="D6" s="92">
        <v>0</v>
      </c>
      <c r="E6" s="92">
        <v>53.022427386189655</v>
      </c>
      <c r="F6" s="92">
        <v>0</v>
      </c>
      <c r="G6" s="92">
        <v>0</v>
      </c>
      <c r="H6" s="92">
        <v>44.382249585157126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0.48321614731650103</v>
      </c>
      <c r="D7" s="92">
        <v>69.049537150520052</v>
      </c>
      <c r="E7" s="92">
        <v>1.5015430595367478</v>
      </c>
      <c r="F7" s="92">
        <v>0</v>
      </c>
      <c r="G7" s="92">
        <v>28.96570364262671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1.6551027611951108</v>
      </c>
      <c r="D8" s="92">
        <v>0</v>
      </c>
      <c r="E8" s="92">
        <v>3.8518025149473507</v>
      </c>
      <c r="F8" s="92">
        <v>94.493094723857524</v>
      </c>
      <c r="G8" s="92">
        <v>0</v>
      </c>
      <c r="H8" s="92">
        <v>0</v>
      </c>
      <c r="I8" s="96">
        <f>SUM($C$8:$H$8)</f>
        <v>99.999999999999986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0.53445274350555982</v>
      </c>
      <c r="D9" s="92">
        <v>0</v>
      </c>
      <c r="E9" s="92">
        <v>99.46554725649446</v>
      </c>
      <c r="F9" s="92">
        <v>0</v>
      </c>
      <c r="G9" s="92">
        <v>0</v>
      </c>
      <c r="H9" s="92">
        <v>0</v>
      </c>
      <c r="I9" s="96">
        <f>SUM($C$9:$H$9)</f>
        <v>100.00000000000001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43.786298724036214</v>
      </c>
      <c r="D10" s="92">
        <v>0.74368609025731225</v>
      </c>
      <c r="E10" s="92">
        <v>55.470015185706465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33.998300188978291</v>
      </c>
      <c r="D11" s="93">
        <v>5.8493519836735938E-2</v>
      </c>
      <c r="E11" s="93">
        <v>65.94320629118495</v>
      </c>
      <c r="F11" s="93">
        <v>0</v>
      </c>
      <c r="G11" s="93">
        <v>0</v>
      </c>
      <c r="H11" s="93">
        <v>1.1561358332492348E-14</v>
      </c>
      <c r="I11" s="95">
        <f>SUM($C$11:$H$11)</f>
        <v>99.999999999999986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26.171822838720939</v>
      </c>
      <c r="D19" s="44">
        <f>100-$C$19</f>
        <v>73.828177161279058</v>
      </c>
      <c r="E19" s="93">
        <v>49.079000000000001</v>
      </c>
      <c r="F19" s="44">
        <f>100-$E$19</f>
        <v>50.920999999999999</v>
      </c>
      <c r="G19" s="93">
        <v>50.902999999999999</v>
      </c>
      <c r="H19" s="33">
        <f>100-$G$19</f>
        <v>49.097000000000001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20</v>
      </c>
      <c r="D27" s="92">
        <v>94.918488411163253</v>
      </c>
      <c r="E27" s="92">
        <v>85.647365997734056</v>
      </c>
      <c r="F27" s="92">
        <v>23.368392483635862</v>
      </c>
      <c r="G27" s="92">
        <v>51.379923263822199</v>
      </c>
      <c r="H27" s="92">
        <v>3.0834416741006456</v>
      </c>
      <c r="I27" s="94">
        <v>2.4700201325332247</v>
      </c>
      <c r="P27" s="50"/>
      <c r="Q27" s="50"/>
      <c r="R27" s="50"/>
    </row>
    <row r="28" spans="2:18">
      <c r="B28" s="45" t="s">
        <v>46</v>
      </c>
      <c r="C28" s="92">
        <v>10</v>
      </c>
      <c r="D28" s="92">
        <v>5.0815115888367508</v>
      </c>
      <c r="E28" s="92">
        <v>14.352634002265949</v>
      </c>
      <c r="F28" s="92">
        <v>76.631607516364141</v>
      </c>
      <c r="G28" s="92">
        <v>48.620076736177808</v>
      </c>
      <c r="H28" s="92">
        <v>1.5646529088863534</v>
      </c>
      <c r="I28" s="94">
        <v>1.5091666291587458</v>
      </c>
      <c r="P28" s="50"/>
      <c r="Q28" s="50"/>
      <c r="R28" s="50"/>
    </row>
    <row r="29" spans="2:18">
      <c r="B29" s="45" t="s">
        <v>59</v>
      </c>
      <c r="C29" s="92">
        <f>100-C27-C28</f>
        <v>70</v>
      </c>
      <c r="D29" s="92">
        <v>0</v>
      </c>
      <c r="E29" s="92">
        <v>0</v>
      </c>
      <c r="F29" s="92">
        <v>0</v>
      </c>
      <c r="G29" s="92">
        <v>0</v>
      </c>
      <c r="H29" s="92">
        <v>95.351905417013</v>
      </c>
      <c r="I29" s="94">
        <v>96.020813238308037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55.045871559633028</v>
      </c>
      <c r="D37" s="93">
        <v>55.045871559633028</v>
      </c>
      <c r="E37" s="93">
        <v>55.045871559633028</v>
      </c>
      <c r="F37" s="93">
        <v>55.045871559633028</v>
      </c>
      <c r="G37" s="93">
        <v>55.045871559633028</v>
      </c>
      <c r="H37" s="93">
        <v>55.045871559633028</v>
      </c>
      <c r="I37" s="93">
        <v>55.045871559633028</v>
      </c>
      <c r="J37" s="93">
        <v>55.045871559633028</v>
      </c>
      <c r="K37" s="93">
        <v>55.045871559633028</v>
      </c>
      <c r="L37" s="93">
        <v>55.045871559633028</v>
      </c>
      <c r="M37" s="93">
        <v>55.045871559633028</v>
      </c>
      <c r="N37" s="93">
        <v>55.045871559633028</v>
      </c>
    </row>
    <row r="38" spans="2:14">
      <c r="B38" s="45" t="s">
        <v>46</v>
      </c>
      <c r="C38" s="93">
        <v>51.493281231309062</v>
      </c>
      <c r="D38" s="93">
        <v>51.493281231309062</v>
      </c>
      <c r="E38" s="93">
        <v>51.493281231309062</v>
      </c>
      <c r="F38" s="93">
        <v>51.493281231309062</v>
      </c>
      <c r="G38" s="93">
        <v>51.493281231309062</v>
      </c>
      <c r="H38" s="93">
        <v>51.493281231309062</v>
      </c>
      <c r="I38" s="93">
        <v>51.493281231309062</v>
      </c>
      <c r="J38" s="93">
        <v>51.493281231309062</v>
      </c>
      <c r="K38" s="93">
        <v>51.493281231309062</v>
      </c>
      <c r="L38" s="93">
        <v>51.493281231309062</v>
      </c>
      <c r="M38" s="93">
        <v>51.493281231309062</v>
      </c>
      <c r="N38" s="93">
        <v>51.493281231309062</v>
      </c>
    </row>
    <row r="39" spans="2:14">
      <c r="B39" s="45" t="s">
        <v>59</v>
      </c>
      <c r="C39" s="93">
        <v>57.560133092885621</v>
      </c>
      <c r="D39" s="93">
        <v>57.560133092885621</v>
      </c>
      <c r="E39" s="93">
        <v>57.560133092885621</v>
      </c>
      <c r="F39" s="93">
        <v>57.560133092885621</v>
      </c>
      <c r="G39" s="93">
        <v>57.560133092885621</v>
      </c>
      <c r="H39" s="93">
        <v>57.560133092885621</v>
      </c>
      <c r="I39" s="93">
        <v>57.560133092885621</v>
      </c>
      <c r="J39" s="93">
        <v>57.560133092885621</v>
      </c>
      <c r="K39" s="93">
        <v>57.560133092885621</v>
      </c>
      <c r="L39" s="93">
        <v>57.560133092885621</v>
      </c>
      <c r="M39" s="93">
        <v>57.560133092885621</v>
      </c>
      <c r="N39" s="93">
        <v>57.560133092885621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F7" sqref="F7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2.8</v>
      </c>
      <c r="E15" s="88">
        <v>2.8</v>
      </c>
      <c r="F15" s="88">
        <v>2.8</v>
      </c>
      <c r="G15" s="88">
        <v>2.8</v>
      </c>
      <c r="H15" s="88">
        <v>2.8</v>
      </c>
      <c r="I15" s="88">
        <v>2.8</v>
      </c>
      <c r="J15" s="88">
        <v>2.8</v>
      </c>
      <c r="K15" s="88">
        <v>2.8</v>
      </c>
      <c r="L15" s="88">
        <v>2.8</v>
      </c>
      <c r="M15" s="88">
        <v>2.8</v>
      </c>
      <c r="N15" s="88">
        <v>2.8</v>
      </c>
      <c r="O15" s="88">
        <v>2.8</v>
      </c>
    </row>
    <row r="16" spans="2:15">
      <c r="C16" s="36" t="s">
        <v>127</v>
      </c>
      <c r="D16" s="88">
        <v>2.9</v>
      </c>
      <c r="E16" s="88">
        <v>2.9</v>
      </c>
      <c r="F16" s="88">
        <v>2.9</v>
      </c>
      <c r="G16" s="88">
        <v>2.9</v>
      </c>
      <c r="H16" s="88">
        <v>2.9</v>
      </c>
      <c r="I16" s="88">
        <v>2.9</v>
      </c>
      <c r="J16" s="88">
        <v>2.9</v>
      </c>
      <c r="K16" s="88">
        <v>2.9</v>
      </c>
      <c r="L16" s="88">
        <v>2.9</v>
      </c>
      <c r="M16" s="88">
        <v>2.9</v>
      </c>
      <c r="N16" s="88">
        <v>2.9</v>
      </c>
      <c r="O16" s="88">
        <v>2.9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2.5</v>
      </c>
      <c r="E18" s="88">
        <v>2.5</v>
      </c>
      <c r="F18" s="88">
        <v>2.5</v>
      </c>
      <c r="G18" s="88">
        <v>2.5</v>
      </c>
      <c r="H18" s="88">
        <v>2.5</v>
      </c>
      <c r="I18" s="88">
        <v>2.5</v>
      </c>
      <c r="J18" s="88">
        <v>2.5</v>
      </c>
      <c r="K18" s="88">
        <v>2.5</v>
      </c>
      <c r="L18" s="88">
        <v>2.5</v>
      </c>
      <c r="M18" s="88">
        <v>2.5</v>
      </c>
      <c r="N18" s="88">
        <v>2.5</v>
      </c>
      <c r="O18" s="88">
        <v>2.5</v>
      </c>
    </row>
    <row r="19" spans="2:15">
      <c r="C19" s="36" t="s">
        <v>130</v>
      </c>
      <c r="D19" s="88">
        <v>3</v>
      </c>
      <c r="E19" s="88">
        <v>3</v>
      </c>
      <c r="F19" s="88">
        <v>3</v>
      </c>
      <c r="G19" s="88">
        <v>3</v>
      </c>
      <c r="H19" s="88">
        <v>3</v>
      </c>
      <c r="I19" s="88">
        <v>3</v>
      </c>
      <c r="J19" s="88">
        <v>3</v>
      </c>
      <c r="K19" s="88">
        <v>3</v>
      </c>
      <c r="L19" s="88">
        <v>3</v>
      </c>
      <c r="M19" s="88">
        <v>3</v>
      </c>
      <c r="N19" s="88">
        <v>3</v>
      </c>
      <c r="O19" s="88">
        <v>3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3.1</v>
      </c>
      <c r="E21" s="88">
        <v>3.1</v>
      </c>
      <c r="F21" s="88">
        <v>3.1</v>
      </c>
      <c r="G21" s="88">
        <v>3.1</v>
      </c>
      <c r="H21" s="88">
        <v>3.1</v>
      </c>
      <c r="I21" s="88">
        <v>3.1</v>
      </c>
      <c r="J21" s="88">
        <v>3.1</v>
      </c>
      <c r="K21" s="88">
        <v>3.1</v>
      </c>
      <c r="L21" s="88">
        <v>3.1</v>
      </c>
      <c r="M21" s="88">
        <v>3.1</v>
      </c>
      <c r="N21" s="88">
        <v>3.1</v>
      </c>
      <c r="O21" s="88">
        <v>3.1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2.7</v>
      </c>
      <c r="E24" s="88">
        <v>2.7</v>
      </c>
      <c r="F24" s="88">
        <v>2.7</v>
      </c>
      <c r="G24" s="88">
        <v>2.7</v>
      </c>
      <c r="H24" s="88">
        <v>2.7</v>
      </c>
      <c r="I24" s="88">
        <v>2.7</v>
      </c>
      <c r="J24" s="88">
        <v>2.7</v>
      </c>
      <c r="K24" s="88">
        <v>2.7</v>
      </c>
      <c r="L24" s="88">
        <v>2.7</v>
      </c>
      <c r="M24" s="88">
        <v>2.7</v>
      </c>
      <c r="N24" s="88">
        <v>2.7</v>
      </c>
      <c r="O24" s="88">
        <v>2.7</v>
      </c>
    </row>
    <row r="25" spans="2:15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>
      <c r="C26" s="36" t="s">
        <v>128</v>
      </c>
      <c r="D26" s="88">
        <v>2.7</v>
      </c>
      <c r="E26" s="88">
        <v>2.7</v>
      </c>
      <c r="F26" s="88">
        <v>2.7</v>
      </c>
      <c r="G26" s="88">
        <v>2.7</v>
      </c>
      <c r="H26" s="88">
        <v>2.7</v>
      </c>
      <c r="I26" s="88">
        <v>2.7</v>
      </c>
      <c r="J26" s="88">
        <v>2.7</v>
      </c>
      <c r="K26" s="88">
        <v>2.7</v>
      </c>
      <c r="L26" s="88">
        <v>2.7</v>
      </c>
      <c r="M26" s="88">
        <v>2.7</v>
      </c>
      <c r="N26" s="88">
        <v>2.7</v>
      </c>
      <c r="O26" s="88">
        <v>2.7</v>
      </c>
    </row>
    <row r="27" spans="2:15">
      <c r="C27" s="36" t="s">
        <v>129</v>
      </c>
      <c r="D27" s="88">
        <v>3.1</v>
      </c>
      <c r="E27" s="88">
        <v>3.1</v>
      </c>
      <c r="F27" s="88">
        <v>3.1</v>
      </c>
      <c r="G27" s="88">
        <v>3.1</v>
      </c>
      <c r="H27" s="88">
        <v>3.1</v>
      </c>
      <c r="I27" s="88">
        <v>3.1</v>
      </c>
      <c r="J27" s="88">
        <v>3.1</v>
      </c>
      <c r="K27" s="88">
        <v>3.1</v>
      </c>
      <c r="L27" s="88">
        <v>3.1</v>
      </c>
      <c r="M27" s="88">
        <v>3.1</v>
      </c>
      <c r="N27" s="88">
        <v>3.1</v>
      </c>
      <c r="O27" s="88">
        <v>3.1</v>
      </c>
    </row>
    <row r="28" spans="2:15">
      <c r="C28" s="36" t="s">
        <v>130</v>
      </c>
      <c r="D28" s="88">
        <v>2.7</v>
      </c>
      <c r="E28" s="88">
        <v>2.7</v>
      </c>
      <c r="F28" s="88">
        <v>2.7</v>
      </c>
      <c r="G28" s="88">
        <v>2.7</v>
      </c>
      <c r="H28" s="88">
        <v>2.7</v>
      </c>
      <c r="I28" s="88">
        <v>2.7</v>
      </c>
      <c r="J28" s="88">
        <v>2.7</v>
      </c>
      <c r="K28" s="88">
        <v>2.7</v>
      </c>
      <c r="L28" s="88">
        <v>2.7</v>
      </c>
      <c r="M28" s="88">
        <v>2.7</v>
      </c>
      <c r="N28" s="88">
        <v>2.7</v>
      </c>
      <c r="O28" s="88">
        <v>2.7</v>
      </c>
    </row>
    <row r="29" spans="2:15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>
      <c r="C30" s="37" t="s">
        <v>132</v>
      </c>
      <c r="D30" s="88">
        <v>2.7</v>
      </c>
      <c r="E30" s="88">
        <v>2.7</v>
      </c>
      <c r="F30" s="88">
        <v>2.7</v>
      </c>
      <c r="G30" s="88">
        <v>2.7</v>
      </c>
      <c r="H30" s="88">
        <v>2.7</v>
      </c>
      <c r="I30" s="88">
        <v>2.7</v>
      </c>
      <c r="J30" s="88">
        <v>2.7</v>
      </c>
      <c r="K30" s="88">
        <v>2.7</v>
      </c>
      <c r="L30" s="88">
        <v>2.7</v>
      </c>
      <c r="M30" s="88">
        <v>2.7</v>
      </c>
      <c r="N30" s="88">
        <v>2.7</v>
      </c>
      <c r="O30" s="88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43.749998249999997</v>
      </c>
    </row>
    <row r="14" spans="7:7">
      <c r="G14">
        <f>shipping_manufacturing!C28*0.01*raw_materials!$P$36*raw_materials!$C$48*0.01/4</f>
        <v>21.874999124999999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2014-12-02T06:48:28Z</dcterms:modified>
</cp:coreProperties>
</file>