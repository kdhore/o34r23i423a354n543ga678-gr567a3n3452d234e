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<sst xmlns="http://schemas.openxmlformats.org/spreadsheetml/2006/main" count="509" uniqueCount="167">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</sst>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2022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RCw1wFQzTiDfi5isGs+5PC7uiW7CvWqy4048SM3hHfbiHmcj0trXHGyLAENwnglLYzAQcxYjLx3yT0oUkzm6+Q==" saltValue="tiCnevYyyv5X7oVAA6pY+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1elc+XJoPR4Vh1+SYTSRDT4U6Mvc7vAfSrGnJ9LtRL6SZvh79OgtX8rJVTDJ/rs/DAOAnxEOyqYfSQqYfI9wLg==" saltValue="V8twKkKYjPR25I2NYlsrJA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2268.6956509912384</v>
      </c>
      <c r="D6" s="87" t="n">
        <v>2268.6956509912384</v>
      </c>
      <c r="E6" s="87" t="n">
        <v>2268.6956509912384</v>
      </c>
      <c r="F6" s="87" t="n">
        <v>2268.6956509912384</v>
      </c>
      <c r="G6" s="87" t="n">
        <v>2268.6956509912384</v>
      </c>
      <c r="H6" s="87" t="n">
        <v>2268.6956509912384</v>
      </c>
      <c r="I6" s="87" t="n">
        <v>2268.6956509912384</v>
      </c>
      <c r="J6" s="87" t="n">
        <v>2268.6956509912384</v>
      </c>
      <c r="K6" s="87" t="n">
        <v>2268.6956509912384</v>
      </c>
      <c r="L6" s="87" t="n">
        <v>2268.6956509912384</v>
      </c>
      <c r="M6" s="87" t="n">
        <v>2268.6956509912384</v>
      </c>
      <c r="N6" s="87" t="n">
        <v>2268.6956509912384</v>
      </c>
    </row>
    <row r="7" spans="2:14">
      <c r="B7" s="36" t="s">
        <v>105</v>
      </c>
      <c r="C7" s="88" t="n">
        <v>2.622519642860798E-21</v>
      </c>
      <c r="D7" s="89" t="n">
        <v>2.622519642860798E-21</v>
      </c>
      <c r="E7" s="89" t="n">
        <v>2.622519642860798E-21</v>
      </c>
      <c r="F7" s="89" t="n">
        <v>2.622519642860798E-21</v>
      </c>
      <c r="G7" s="89" t="n">
        <v>2.622519642860798E-21</v>
      </c>
      <c r="H7" s="89" t="n">
        <v>2.622519642860798E-21</v>
      </c>
      <c r="I7" s="89" t="n">
        <v>2.622519642860798E-21</v>
      </c>
      <c r="J7" s="89" t="n">
        <v>2.622519642860798E-21</v>
      </c>
      <c r="K7" s="89" t="n">
        <v>2.622519642860798E-21</v>
      </c>
      <c r="L7" s="89" t="n">
        <v>2.622519642860798E-21</v>
      </c>
      <c r="M7" s="89" t="n">
        <v>2.622519642860798E-21</v>
      </c>
      <c r="N7" s="89" t="n">
        <v>2.622519642860798E-21</v>
      </c>
    </row>
    <row r="8" spans="2:14">
      <c r="B8" s="36" t="s">
        <v>106</v>
      </c>
      <c r="C8" s="88" t="n">
        <v>198.7040201225875</v>
      </c>
      <c r="D8" s="89" t="n">
        <v>198.7040201225875</v>
      </c>
      <c r="E8" s="89" t="n">
        <v>198.7040201225875</v>
      </c>
      <c r="F8" s="89" t="n">
        <v>198.7040201225875</v>
      </c>
      <c r="G8" s="89" t="n">
        <v>198.7040201225875</v>
      </c>
      <c r="H8" s="89" t="n">
        <v>198.7040201225875</v>
      </c>
      <c r="I8" s="89" t="n">
        <v>198.7040201225875</v>
      </c>
      <c r="J8" s="89" t="n">
        <v>198.7040201225875</v>
      </c>
      <c r="K8" s="89" t="n">
        <v>198.7040201225875</v>
      </c>
      <c r="L8" s="89" t="n">
        <v>198.7040201225875</v>
      </c>
      <c r="M8" s="89" t="n">
        <v>198.7040201225875</v>
      </c>
      <c r="N8" s="89" t="n">
        <v>198.7040201225875</v>
      </c>
    </row>
    <row r="9" spans="2:14">
      <c r="B9" s="36" t="s">
        <v>107</v>
      </c>
      <c r="C9" s="88" t="n">
        <v>816.5325834432724</v>
      </c>
      <c r="D9" s="89" t="n">
        <v>816.5325834432724</v>
      </c>
      <c r="E9" s="89" t="n">
        <v>816.5325834432724</v>
      </c>
      <c r="F9" s="89" t="n">
        <v>816.5325834432724</v>
      </c>
      <c r="G9" s="89" t="n">
        <v>816.5325834432724</v>
      </c>
      <c r="H9" s="89" t="n">
        <v>816.5325834432724</v>
      </c>
      <c r="I9" s="89" t="n">
        <v>816.5325834432724</v>
      </c>
      <c r="J9" s="89" t="n">
        <v>816.5325834432724</v>
      </c>
      <c r="K9" s="89" t="n">
        <v>816.5325834432724</v>
      </c>
      <c r="L9" s="89" t="n">
        <v>816.5325834432724</v>
      </c>
      <c r="M9" s="89" t="n">
        <v>816.5325834432724</v>
      </c>
      <c r="N9" s="89" t="n">
        <v>816.5325834432724</v>
      </c>
    </row>
    <row r="10" spans="2:14">
      <c r="B10" s="36" t="s">
        <v>108</v>
      </c>
      <c r="C10" s="88" t="n">
        <v>1.970321555855962E-21</v>
      </c>
      <c r="D10" s="89" t="n">
        <v>1.970321555855962E-21</v>
      </c>
      <c r="E10" s="89" t="n">
        <v>1.970321555855962E-21</v>
      </c>
      <c r="F10" s="89" t="n">
        <v>1.970321555855962E-21</v>
      </c>
      <c r="G10" s="89" t="n">
        <v>1.970321555855962E-21</v>
      </c>
      <c r="H10" s="89" t="n">
        <v>1.970321555855962E-21</v>
      </c>
      <c r="I10" s="89" t="n">
        <v>1.970321555855962E-21</v>
      </c>
      <c r="J10" s="89" t="n">
        <v>1.970321555855962E-21</v>
      </c>
      <c r="K10" s="89" t="n">
        <v>1.970321555855962E-21</v>
      </c>
      <c r="L10" s="89" t="n">
        <v>1.970321555855962E-21</v>
      </c>
      <c r="M10" s="89" t="n">
        <v>1.970321555855962E-21</v>
      </c>
      <c r="N10" s="89" t="n">
        <v>1.970321555855962E-21</v>
      </c>
    </row>
    <row r="11" spans="2:14">
      <c r="B11" s="37" t="s">
        <v>109</v>
      </c>
      <c r="C11" s="88" t="n">
        <v>3.0657051062746413E-21</v>
      </c>
      <c r="D11" s="89" t="n">
        <v>3.0657051062746413E-21</v>
      </c>
      <c r="E11" s="89" t="n">
        <v>3.0657051062746413E-21</v>
      </c>
      <c r="F11" s="89" t="n">
        <v>3.0657051062746413E-21</v>
      </c>
      <c r="G11" s="89" t="n">
        <v>3.0657051062746413E-21</v>
      </c>
      <c r="H11" s="89" t="n">
        <v>3.0657051062746413E-21</v>
      </c>
      <c r="I11" s="89" t="n">
        <v>3.0657051062746413E-21</v>
      </c>
      <c r="J11" s="89" t="n">
        <v>3.0657051062746413E-21</v>
      </c>
      <c r="K11" s="89" t="n">
        <v>3.0657051062746413E-21</v>
      </c>
      <c r="L11" s="89" t="n">
        <v>3.0657051062746413E-21</v>
      </c>
      <c r="M11" s="89" t="n">
        <v>3.0657051062746413E-21</v>
      </c>
      <c r="N11" s="89" t="n">
        <v>3.0657051062746413E-21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0.5558988938794407</v>
      </c>
      <c r="E17" s="90" t="n">
        <v>1.0</v>
      </c>
      <c r="F17" s="90" t="n">
        <v>0.7840147042865948</v>
      </c>
      <c r="G17" s="90" t="n">
        <v>0.8</v>
      </c>
      <c r="H17" s="90" t="n">
        <v>1.012130514693749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0.6406046765562894</v>
      </c>
      <c r="E18" s="91" t="n">
        <v>1.0</v>
      </c>
      <c r="F18" s="91" t="n">
        <v>0.7643973242111752</v>
      </c>
      <c r="G18" s="91" t="n">
        <v>0.8</v>
      </c>
      <c r="H18" s="91" t="n">
        <v>0.888189971866061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0.6824120060702399</v>
      </c>
      <c r="E19" s="91" t="n">
        <v>1.0</v>
      </c>
      <c r="F19" s="91" t="n">
        <v>0.8364758793589835</v>
      </c>
      <c r="G19" s="91" t="n">
        <v>0.8</v>
      </c>
      <c r="H19" s="91" t="n">
        <v>0.9905397526477273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0.6439392530438214</v>
      </c>
      <c r="E20" s="91" t="n">
        <v>1.0</v>
      </c>
      <c r="F20" s="91" t="n">
        <v>0.8176722386517171</v>
      </c>
      <c r="G20" s="91" t="n">
        <v>0.8</v>
      </c>
      <c r="H20" s="91" t="n">
        <v>0.9914052242596127</v>
      </c>
    </row>
    <row r="21" spans="2:33">
      <c r="B21" s="36" t="s">
        <v>108</v>
      </c>
      <c r="C21" s="91" t="n">
        <v>1.2</v>
      </c>
      <c r="D21" s="91" t="n">
        <v>0.7030412097166573</v>
      </c>
      <c r="E21" s="91" t="n">
        <v>1.0</v>
      </c>
      <c r="F21" s="91" t="n">
        <v>0.7307168179885494</v>
      </c>
      <c r="G21" s="91" t="n">
        <v>0.8</v>
      </c>
      <c r="H21" s="91" t="n">
        <v>0.7583924262604413</v>
      </c>
    </row>
    <row r="22" spans="2:33">
      <c r="B22" s="37" t="s">
        <v>109</v>
      </c>
      <c r="C22" s="91" t="n">
        <v>1.2</v>
      </c>
      <c r="D22" s="91" t="n">
        <v>0.6996731617733364</v>
      </c>
      <c r="E22" s="91" t="n">
        <v>1.0</v>
      </c>
      <c r="F22" s="91" t="n">
        <v>0.7638098895591175</v>
      </c>
      <c r="G22" s="91" t="n">
        <v>0.8</v>
      </c>
      <c r="H22" s="91" t="n">
        <v>0.8279466173448987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2017</v>
      </c>
      <c r="E28" s="49"/>
      <c r="F28" s="45">
        <f>basic_info!$D$5-4</f>
        <v>2018</v>
      </c>
      <c r="G28" s="49"/>
      <c r="H28" s="45">
        <f>basic_info!$D$5-3</f>
        <v>2019</v>
      </c>
      <c r="I28" s="49"/>
      <c r="J28" s="45">
        <f>basic_info!$D$5-2</f>
        <v>2020</v>
      </c>
      <c r="K28" s="49"/>
      <c r="L28" s="45">
        <f>basic_info!$D$5-1</f>
        <v>2021</v>
      </c>
      <c r="N28" s="45">
        <f>basic_info!$D$5</f>
        <v>2022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2022</v>
      </c>
      <c r="D30" s="44">
        <v>0.77235281866490846</v>
      </c>
      <c r="E30" s="35">
        <v>1061.069</v>
      </c>
      <c r="F30" s="47">
        <v>0.74817568762620479</v>
      </c>
      <c r="G30" s="46">
        <v>0.74817568762620479</v>
      </c>
      <c r="H30" s="47">
        <v>0.80283888711486584</v>
      </c>
      <c r="I30" s="46">
        <v>0.80283888711486584</v>
      </c>
      <c r="J30" s="47">
        <v>0.74570195787797222</v>
      </c>
      <c r="K30" s="46">
        <v>0.74570195787797222</v>
      </c>
      <c r="L30" s="47">
        <v>1.0049511707471239</v>
      </c>
      <c r="M30" s="46">
        <v>1.0049511707471239</v>
      </c>
      <c r="N30" s="60"/>
      <c r="O30" s="71" t="s">
        <v>162</v>
      </c>
      <c r="P30" s="41">
        <f>M30+K30+I30+E30+G30</f>
        <v>1064.3706677033661</v>
      </c>
      <c r="Q30" s="70"/>
    </row>
    <row r="31" spans="2:33">
      <c r="B31" s="36"/>
      <c r="C31" s="47">
        <f>basic_info!$D$5+1</f>
        <v>2023</v>
      </c>
      <c r="D31" s="76"/>
      <c r="E31" s="75"/>
      <c r="F31" s="69">
        <v>0.76104814894497397</v>
      </c>
      <c r="G31" s="79">
        <v>0.76104814894497397</v>
      </c>
      <c r="H31" s="61">
        <v>0.79273633468025484</v>
      </c>
      <c r="I31" s="62">
        <v>0.79273633468025484</v>
      </c>
      <c r="J31" s="61">
        <v>0.69703697591794289</v>
      </c>
      <c r="K31" s="62">
        <v>0.69703697591794289</v>
      </c>
      <c r="L31" s="61">
        <v>0.95294777880413084</v>
      </c>
      <c r="M31" s="62">
        <v>0.95294777880413084</v>
      </c>
      <c r="N31" s="63">
        <v>0.78707912631273491</v>
      </c>
      <c r="O31" s="89" t="n">
        <v>0.7870791263127349</v>
      </c>
      <c r="P31" s="63">
        <f>O31+M31+K31+I31+G31</f>
        <v>3.2037692383473022</v>
      </c>
    </row>
    <row r="32" spans="2:33">
      <c r="B32" s="36"/>
      <c r="C32" s="47">
        <f>basic_info!$D$5+2</f>
        <v>2024</v>
      </c>
      <c r="D32" s="76"/>
      <c r="E32" s="75"/>
      <c r="F32" s="75"/>
      <c r="G32" s="75"/>
      <c r="H32" s="69">
        <v>0.74555828573405758</v>
      </c>
      <c r="I32" s="79">
        <v>0.74555828573405758</v>
      </c>
      <c r="J32" s="61">
        <v>0.64461704818677901</v>
      </c>
      <c r="K32" s="62">
        <v>0.64461704818677901</v>
      </c>
      <c r="L32" s="61">
        <v>0.87899184604331659</v>
      </c>
      <c r="M32" s="62">
        <v>0.87899184604331659</v>
      </c>
      <c r="N32" s="63">
        <v>0.79466405801506501</v>
      </c>
      <c r="O32" s="89" t="n">
        <v>0.794664058015065</v>
      </c>
      <c r="P32" s="63">
        <f>O32+M32+K32+I32</f>
        <v>2.2691671799641533</v>
      </c>
    </row>
    <row r="33" spans="2:17">
      <c r="B33" s="36"/>
      <c r="C33" s="47">
        <f>basic_info!$D$5+3</f>
        <v>2025</v>
      </c>
      <c r="D33" s="76"/>
      <c r="E33" s="75"/>
      <c r="F33" s="75"/>
      <c r="G33" s="75"/>
      <c r="H33" s="75"/>
      <c r="I33" s="75"/>
      <c r="J33" s="69">
        <v>0.64994232899248594</v>
      </c>
      <c r="K33" s="79">
        <v>0.64994232899248594</v>
      </c>
      <c r="L33" s="61">
        <v>0.79960135907517904</v>
      </c>
      <c r="M33" s="62">
        <v>0.79960135907517904</v>
      </c>
      <c r="N33" s="63">
        <v>0.80975882421710899</v>
      </c>
      <c r="O33" s="89" t="n">
        <v>0.809758824217109</v>
      </c>
      <c r="P33" s="63">
        <f>O33+M33+K33</f>
        <v>1.4495436880676649</v>
      </c>
    </row>
    <row r="34" spans="2:17">
      <c r="B34" s="36"/>
      <c r="C34" s="47">
        <f>basic_info!$D$5+4</f>
        <v>2026</v>
      </c>
      <c r="D34" s="76"/>
      <c r="E34" s="75"/>
      <c r="F34" s="75"/>
      <c r="G34" s="75"/>
      <c r="H34" s="75"/>
      <c r="I34" s="75"/>
      <c r="J34" s="75"/>
      <c r="K34" s="75"/>
      <c r="L34" s="69">
        <v>0.73880555482804788</v>
      </c>
      <c r="M34" s="79">
        <v>0.73880555482804788</v>
      </c>
      <c r="N34" s="63">
        <v>0.80660806339327296</v>
      </c>
      <c r="O34" s="89" t="n">
        <v>0.806608063393273</v>
      </c>
      <c r="P34" s="63">
        <f>O34+M34</f>
        <v>0.73880555482804788</v>
      </c>
    </row>
    <row r="35" spans="2:17">
      <c r="B35" s="37"/>
      <c r="C35" s="72">
        <f>basic_info!$D$5+5</f>
        <v>2027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0.76512732076942924</v>
      </c>
      <c r="O35" s="89" t="n">
        <v>0.7651273207694292</v>
      </c>
      <c r="P35" s="65">
        <f>O35</f>
        <v>0</v>
      </c>
    </row>
    <row r="36" spans="2:17">
      <c r="B36" s="41" t="s">
        <v>113</v>
      </c>
      <c r="C36" s="36">
        <f>basic_info!$D$5</f>
        <v>2022</v>
      </c>
      <c r="D36" s="44">
        <v>0.91683839964866642</v>
      </c>
      <c r="E36" s="35">
        <v>16262.2045658647</v>
      </c>
      <c r="F36" s="73">
        <v>0.95076571483281835</v>
      </c>
      <c r="G36" s="74">
        <v>0.95076571483281835</v>
      </c>
      <c r="H36" s="73">
        <v>0.99685742648302889</v>
      </c>
      <c r="I36" s="74">
        <v>0.99685742648302889</v>
      </c>
      <c r="J36" s="73">
        <v>1.1844849384504048</v>
      </c>
      <c r="K36" s="74">
        <v>1.1844849384504048</v>
      </c>
      <c r="L36" s="66">
        <v>1.0690742702798606</v>
      </c>
      <c r="M36" s="67">
        <v>1.0690742702798606</v>
      </c>
      <c r="N36" s="68"/>
      <c r="O36" s="71" t="s">
        <v>162</v>
      </c>
      <c r="P36" s="41">
        <f>M36+K36+I36+E36+G36</f>
        <v>16266.405748214747</v>
      </c>
      <c r="Q36" s="70"/>
    </row>
    <row r="37" spans="2:17">
      <c r="B37" s="36"/>
      <c r="C37" s="47">
        <f>basic_info!$D$5+1</f>
        <v>2023</v>
      </c>
      <c r="D37" s="76"/>
      <c r="E37" s="75"/>
      <c r="F37" s="69">
        <v>0.92028542885184295</v>
      </c>
      <c r="G37" s="79">
        <v>0.92028542885184295</v>
      </c>
      <c r="H37" s="61">
        <v>0.97101189850230707</v>
      </c>
      <c r="I37" s="62">
        <v>0.97101189850230707</v>
      </c>
      <c r="J37" s="61">
        <v>1.0883434339799747</v>
      </c>
      <c r="K37" s="62">
        <v>1.0883434339799747</v>
      </c>
      <c r="L37" s="61">
        <v>1.0379530990077617</v>
      </c>
      <c r="M37" s="62">
        <v>1.0379530990077617</v>
      </c>
      <c r="N37" s="61">
        <v>1.1107752080376758</v>
      </c>
      <c r="O37" s="89" t="n">
        <v>1.1107752080376758</v>
      </c>
      <c r="P37" s="63">
        <f>O37+M37+K37+I37+G37</f>
        <v>4.0175938603418864</v>
      </c>
    </row>
    <row r="38" spans="2:17">
      <c r="B38" s="36"/>
      <c r="C38" s="47">
        <f>basic_info!$D$5+2</f>
        <v>2024</v>
      </c>
      <c r="D38" s="76"/>
      <c r="E38" s="75"/>
      <c r="F38" s="75"/>
      <c r="G38" s="75"/>
      <c r="H38" s="69">
        <v>0.91845404595136637</v>
      </c>
      <c r="I38" s="79">
        <v>0.91845404595136637</v>
      </c>
      <c r="J38" s="61">
        <v>1.0508784733022103</v>
      </c>
      <c r="K38" s="62">
        <v>1.0508784733022103</v>
      </c>
      <c r="L38" s="61">
        <v>0.98950169448473901</v>
      </c>
      <c r="M38" s="62">
        <v>0.98950169448473901</v>
      </c>
      <c r="N38" s="61">
        <v>1.0747725428407104</v>
      </c>
      <c r="O38" s="89" t="n">
        <v>1.0747725428407104</v>
      </c>
      <c r="P38" s="63">
        <f>O38+M38+K38+I38</f>
        <v>2.9588342137383159</v>
      </c>
    </row>
    <row r="39" spans="2:17">
      <c r="B39" s="36"/>
      <c r="C39" s="47">
        <f>basic_info!$D$5+3</f>
        <v>2025</v>
      </c>
      <c r="D39" s="76"/>
      <c r="E39" s="75"/>
      <c r="F39" s="75"/>
      <c r="G39" s="75"/>
      <c r="H39" s="75"/>
      <c r="I39" s="75"/>
      <c r="J39" s="69">
        <v>1.0247439911663534</v>
      </c>
      <c r="K39" s="79">
        <v>1.0247439911663534</v>
      </c>
      <c r="L39" s="61">
        <v>0.93453935364490526</v>
      </c>
      <c r="M39" s="62">
        <v>0.93453935364490526</v>
      </c>
      <c r="N39" s="61">
        <v>1.047211124819112</v>
      </c>
      <c r="O39" s="89" t="n">
        <v>1.047211124819112</v>
      </c>
      <c r="P39" s="63">
        <f>O39+M39+K39</f>
        <v>1.9592833448112588</v>
      </c>
    </row>
    <row r="40" spans="2:17">
      <c r="B40" s="36"/>
      <c r="C40" s="47">
        <f>basic_info!$D$5+4</f>
        <v>2026</v>
      </c>
      <c r="D40" s="76"/>
      <c r="E40" s="75"/>
      <c r="F40" s="75"/>
      <c r="G40" s="75"/>
      <c r="H40" s="75"/>
      <c r="I40" s="75"/>
      <c r="J40" s="75"/>
      <c r="K40" s="75"/>
      <c r="L40" s="69">
        <v>0.93520843183994296</v>
      </c>
      <c r="M40" s="79">
        <v>0.93520843183994296</v>
      </c>
      <c r="N40" s="61">
        <v>1.0352907467437555</v>
      </c>
      <c r="O40" s="89" t="n">
        <v>1.0352907467437555</v>
      </c>
      <c r="P40" s="63">
        <f>O40+M40</f>
        <v>0.93520843183994296</v>
      </c>
    </row>
    <row r="41" spans="2:17">
      <c r="B41" s="37"/>
      <c r="C41" s="72">
        <f>basic_info!$D$5+5</f>
        <v>2027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1.0053375317752362</v>
      </c>
      <c r="O41" s="89" t="n">
        <v>1.0053375317752362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8.333333333333334</v>
      </c>
      <c r="D47" s="92" t="n">
        <v>8.333333333333334</v>
      </c>
      <c r="E47" s="92" t="n">
        <v>8.333333333333334</v>
      </c>
      <c r="F47" s="92" t="n">
        <v>8.333333333333334</v>
      </c>
      <c r="G47" s="92" t="n">
        <v>8.333333333333334</v>
      </c>
      <c r="H47" s="92" t="n">
        <v>8.333333333333334</v>
      </c>
      <c r="I47" s="92" t="n">
        <v>8.333333333333334</v>
      </c>
      <c r="J47" s="92" t="n">
        <v>8.333333333333334</v>
      </c>
      <c r="K47" s="92" t="n">
        <v>8.333333333333334</v>
      </c>
      <c r="L47" s="92" t="n">
        <v>8.333333333333334</v>
      </c>
      <c r="M47" s="92" t="n">
        <v>8.333333333333334</v>
      </c>
      <c r="N47" s="92" t="n">
        <v>8.333333333333334</v>
      </c>
      <c r="O47" s="33">
        <f>SUM(C47:N47)</f>
        <v>0</v>
      </c>
    </row>
    <row r="48" spans="2:17">
      <c r="B48" s="37" t="s">
        <v>113</v>
      </c>
      <c r="C48" s="92" t="n">
        <v>8.333333333333336</v>
      </c>
      <c r="D48" s="92" t="n">
        <v>8.333333333333336</v>
      </c>
      <c r="E48" s="92" t="n">
        <v>8.333333333333336</v>
      </c>
      <c r="F48" s="92" t="n">
        <v>8.333333333333336</v>
      </c>
      <c r="G48" s="92" t="n">
        <v>8.333333333333336</v>
      </c>
      <c r="H48" s="92" t="n">
        <v>8.333333333333336</v>
      </c>
      <c r="I48" s="92" t="n">
        <v>8.333333333333336</v>
      </c>
      <c r="J48" s="92" t="n">
        <v>8.333333333333336</v>
      </c>
      <c r="K48" s="92" t="n">
        <v>8.333333333333336</v>
      </c>
      <c r="L48" s="92" t="n">
        <v>8.333333333333336</v>
      </c>
      <c r="M48" s="92" t="n">
        <v>8.333333333333336</v>
      </c>
      <c r="N48" s="92" t="n">
        <v>8.333333333333336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kSJQsa5Cpb0raT62wbTeLH1zR0lUbsci8XaMCe0pLa0kV48SqBaVHasivRHwVDiurgazbGrF2xDL7JHilraToA==" saltValue="gHrPCnOGjk8/Kg97Wc4Mp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2.812974489419045E-24</v>
      </c>
      <c r="D6" s="93" t="n">
        <v>53.53124657437049</v>
      </c>
      <c r="E6" s="93" t="n">
        <v>0.0</v>
      </c>
      <c r="F6" s="93" t="n">
        <v>0.0</v>
      </c>
      <c r="G6" s="93" t="n">
        <v>46.468753425629494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35.374713732668376</v>
      </c>
      <c r="D7" s="93" t="n">
        <v>13.353633365050852</v>
      </c>
      <c r="E7" s="93" t="n">
        <v>0.0</v>
      </c>
      <c r="F7" s="93" t="n">
        <v>0.0</v>
      </c>
      <c r="G7" s="93" t="n">
        <v>51.27165290228077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2.002290137362296E-22</v>
      </c>
      <c r="D8" s="93" t="n">
        <v>1.6113986487640123E-22</v>
      </c>
      <c r="E8" s="93" t="n">
        <v>100.0</v>
      </c>
      <c r="F8" s="93" t="n">
        <v>0.0</v>
      </c>
      <c r="G8" s="93" t="n">
        <v>3.72713886989207E-23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73.48145219996408</v>
      </c>
      <c r="D9" s="93" t="n">
        <v>4.929300683828012E-23</v>
      </c>
      <c r="E9" s="93" t="n">
        <v>0.0</v>
      </c>
      <c r="F9" s="93" t="n">
        <v>26.51854780003592</v>
      </c>
      <c r="G9" s="93" t="n">
        <v>1.6467305724795204E-22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8.596342054286996</v>
      </c>
      <c r="D10" s="93" t="n">
        <v>78.99628217644273</v>
      </c>
      <c r="E10" s="93" t="n">
        <v>12.407375769270265</v>
      </c>
      <c r="F10" s="93" t="n">
        <v>0.0</v>
      </c>
      <c r="G10" s="93" t="n">
        <v>0.0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33.705126701394136</v>
      </c>
      <c r="D11" s="94" t="n">
        <v>63.87912406203736</v>
      </c>
      <c r="E11" s="94" t="n">
        <v>0.0</v>
      </c>
      <c r="F11" s="94" t="n">
        <v>0.0</v>
      </c>
      <c r="G11" s="94" t="n">
        <v>2.4157492365685007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51.24495025036494</v>
      </c>
      <c r="D19" s="44">
        <f>100-$C$19</f>
        <v>100</v>
      </c>
      <c r="E19" s="94" t="n">
        <v>50.672400183979285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14.73889894253634</v>
      </c>
      <c r="D27" s="93" t="n">
        <v>50.91899404522507</v>
      </c>
      <c r="E27" s="93" t="n">
        <v>45.21728601602546</v>
      </c>
      <c r="F27" s="93" t="n">
        <v>2.17653360657494</v>
      </c>
      <c r="G27" s="95" t="n">
        <v>0.0</v>
      </c>
      <c r="N27" s="50"/>
      <c r="O27" s="50"/>
      <c r="P27" s="50"/>
    </row>
    <row r="28" spans="2:16">
      <c r="B28" s="45" t="s">
        <v>46</v>
      </c>
      <c r="C28" s="93" t="n">
        <v>17.856818848471125</v>
      </c>
      <c r="D28" s="93" t="n">
        <v>49.081005954774916</v>
      </c>
      <c r="E28" s="93" t="n">
        <v>54.782713983974524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67.40428220899254</v>
      </c>
      <c r="D29" s="93" t="n">
        <v>0.0</v>
      </c>
      <c r="E29" s="93" t="n">
        <v>0.0</v>
      </c>
      <c r="F29" s="93" t="n">
        <v>97.82346639342505</v>
      </c>
      <c r="G29" s="95" t="n">
        <v>100.0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39.937194746999815</v>
      </c>
      <c r="D37" s="93" t="n">
        <v>39.937194746999815</v>
      </c>
      <c r="E37" s="93" t="n">
        <v>39.937194746999815</v>
      </c>
      <c r="F37" s="93" t="n">
        <v>39.937194746999815</v>
      </c>
      <c r="G37" s="93" t="n">
        <v>39.937194746999815</v>
      </c>
      <c r="H37" s="93" t="n">
        <v>39.937194746999815</v>
      </c>
      <c r="I37" s="93" t="n">
        <v>39.937194746999815</v>
      </c>
      <c r="J37" s="93" t="n">
        <v>39.937194746999815</v>
      </c>
      <c r="K37" s="93" t="n">
        <v>39.937194746999815</v>
      </c>
      <c r="L37" s="93" t="n">
        <v>39.937194746999815</v>
      </c>
      <c r="M37" s="93" t="n">
        <v>39.937194746999815</v>
      </c>
      <c r="N37" s="95" t="n">
        <v>39.937194746999815</v>
      </c>
    </row>
    <row r="38" spans="2:14">
      <c r="B38" s="45" t="s">
        <v>46</v>
      </c>
      <c r="C38" s="93" t="n">
        <v>40.80597762691184</v>
      </c>
      <c r="D38" s="93" t="n">
        <v>40.80597762691184</v>
      </c>
      <c r="E38" s="93" t="n">
        <v>40.80597762691184</v>
      </c>
      <c r="F38" s="93" t="n">
        <v>40.80597762691184</v>
      </c>
      <c r="G38" s="93" t="n">
        <v>40.80597762691184</v>
      </c>
      <c r="H38" s="93" t="n">
        <v>40.80597762691184</v>
      </c>
      <c r="I38" s="93" t="n">
        <v>40.80597762691184</v>
      </c>
      <c r="J38" s="93" t="n">
        <v>40.80597762691184</v>
      </c>
      <c r="K38" s="93" t="n">
        <v>40.80597762691184</v>
      </c>
      <c r="L38" s="93" t="n">
        <v>40.80597762691184</v>
      </c>
      <c r="M38" s="93" t="n">
        <v>40.80597762691184</v>
      </c>
      <c r="N38" s="95" t="n">
        <v>40.80597762691184</v>
      </c>
    </row>
    <row r="39" spans="2:14">
      <c r="B39" s="45" t="s">
        <v>59</v>
      </c>
      <c r="C39" s="94" t="n">
        <v>43.45485405381755</v>
      </c>
      <c r="D39" s="94" t="n">
        <v>43.45485405381755</v>
      </c>
      <c r="E39" s="94" t="n">
        <v>43.45485405381755</v>
      </c>
      <c r="F39" s="94" t="n">
        <v>43.45485405381755</v>
      </c>
      <c r="G39" s="94" t="n">
        <v>43.45485405381755</v>
      </c>
      <c r="H39" s="94" t="n">
        <v>43.45485405381755</v>
      </c>
      <c r="I39" s="94" t="n">
        <v>43.45485405381755</v>
      </c>
      <c r="J39" s="94" t="n">
        <v>43.45485405381755</v>
      </c>
      <c r="K39" s="94" t="n">
        <v>43.45485405381755</v>
      </c>
      <c r="L39" s="94" t="n">
        <v>43.45485405381755</v>
      </c>
      <c r="M39" s="94" t="n">
        <v>43.45485405381755</v>
      </c>
      <c r="N39" s="89" t="n">
        <v>43.45485405381755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LT5VSklPIUXEuNmHduUmVl2v3aajESI6q/KeDbkptPWE8KVcsgd29O/Y2V1uLo0ZZh4A+FGKX13mA9ANOkYvbA==" saltValue="tkRaiWXGsoQWoK7FejGYx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PYvSIkmn4F2TI4dsMbMC+cCrXUVuMM+86Wjb83shI1aWmfqTE4nJs8k5yHzvR5Nh5eZxKKgtkCaQAErykYPc+g==" saltValue="L6WMYRRbyQm4xssJu+KvL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Alex</lastModifiedBy>
  <dcterms:modified xsi:type="dcterms:W3CDTF">2015-01-12T18:54:05Z</dcterms:modified>
</coreProperties>
</file>