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/>
  <workbookPr showInkAnnotation="0" autoCompressPictures="0"/>
  <bookViews>
    <workbookView xWindow="0" yWindow="0" windowWidth="25600" windowHeight="14180" tabRatio="500" activeTab="4"/>
  </bookViews>
  <sheets>
    <sheet name="basic_info" sheetId="1" r:id="rId1"/>
    <sheet name="facilities" sheetId="2" r:id="rId2"/>
    <sheet name="raw_materials" sheetId="3" r:id="rId3"/>
    <sheet name="shipping_manufacturing" sheetId="4" r:id="rId4"/>
    <sheet name="pricing" sheetId="5" r:id="rId5"/>
  </sheets>
  <externalReferences>
    <externalReference r:id="rId6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4" l="1"/>
  <c r="I7" i="4"/>
  <c r="I8" i="4"/>
  <c r="I9" i="4"/>
  <c r="I10" i="4"/>
  <c r="I11" i="4"/>
  <c r="G31" i="4"/>
  <c r="F31" i="4"/>
  <c r="E31" i="4"/>
  <c r="D31" i="4"/>
  <c r="C31" i="4"/>
  <c r="F19" i="4"/>
  <c r="D19" i="4"/>
  <c r="O48" i="3"/>
  <c r="O47" i="3"/>
  <c r="P41" i="3"/>
  <c r="C41" i="3"/>
  <c r="P40" i="3"/>
  <c r="C40" i="3"/>
  <c r="P39" i="3"/>
  <c r="C39" i="3"/>
  <c r="P38" i="3"/>
  <c r="C38" i="3"/>
  <c r="P37" i="3"/>
  <c r="C37" i="3"/>
  <c r="P36" i="3"/>
  <c r="C36" i="3"/>
  <c r="P35" i="3"/>
  <c r="C35" i="3"/>
  <c r="P34" i="3"/>
  <c r="C34" i="3"/>
  <c r="P33" i="3"/>
  <c r="C33" i="3"/>
  <c r="P32" i="3"/>
  <c r="C32" i="3"/>
  <c r="P31" i="3"/>
  <c r="C31" i="3"/>
  <c r="P30" i="3"/>
  <c r="C30" i="3"/>
  <c r="N28" i="3"/>
  <c r="L28" i="3"/>
  <c r="J28" i="3"/>
  <c r="H28" i="3"/>
  <c r="F28" i="3"/>
  <c r="D28" i="3"/>
</calcChain>
</file>

<file path=xl/sharedStrings.xml><?xml version="1.0" encoding="utf-8"?>
<sst xmlns="http://schemas.openxmlformats.org/spreadsheetml/2006/main" count="432" uniqueCount="168">
  <si>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</si>
  <si>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</si>
  <si>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</si>
  <si>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</si>
  <si>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</si>
  <si>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</si>
  <si>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</si>
  <si>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</si>
  <si>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</si>
  <si>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</si>
  <si>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</si>
  <si>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>sold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</si>
  <si>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</si>
  <si>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</si>
  <si>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</si>
  <si>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</si>
  <si>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</si>
  <si>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</si>
  <si>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</si>
  <si>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</si>
  <si>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</si>
  <si>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</si>
  <si>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</si>
  <si>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</si>
  <si>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</si>
  <si>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</si>
  <si>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</si>
  <si>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</si>
  <si>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</si>
  <si>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</si>
  <si>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</si>
  <si>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</si>
  <si>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</si>
  <si>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</si>
  <si>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</si>
  <si>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</si>
  <si>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</si>
  <si>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</si>
  <si>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</si>
  <si>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</si>
  <si>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</si>
  <si>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</si>
  <si>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</si>
  <si>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</si>
  <si>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</si>
  <si>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</si>
  <si>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</si>
  <si>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</si>
  <si>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</si>
  <si>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</si>
  <si>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</si>
  <si>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</si>
  <si>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</si>
  <si>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</si>
  <si>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</si>
  <si>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</si>
  <si>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</si>
  <si>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</si>
  <si>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</si>
  <si>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</si>
  <si>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</si>
  <si>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</si>
  <si>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</si>
  <si>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</si>
  <si>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</si>
  <si>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</si>
  <si>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</si>
  <si>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</si>
  <si>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</si>
  <si>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</si>
  <si>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</si>
  <si>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</si>
  <si>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</si>
  <si>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</si>
  <si>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</si>
  <si>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</si>
  <si>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</si>
  <si>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</si>
  <si>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</si>
  <si>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</si>
  <si>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</si>
  <si>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</si>
  <si>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</si>
  <si>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</si>
  <si>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</si>
  <si>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</si>
  <si>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</si>
  <si>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</si>
  <si>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</si>
  <si>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</si>
  <si>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</si>
  <si>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</si>
  <si>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</si>
  <si>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</si>
  <si>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</si>
  <si>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</si>
  <si>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</si>
  <si>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</si>
  <si>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</si>
  <si>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</si>
  <si>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</si>
  <si>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</si>
  <si>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</si>
  <si>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</si>
  <si>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</si>
  <si>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</si>
  <si>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</si>
  <si>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</si>
  <si>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</si>
  <si>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</si>
  <si>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</si>
  <si>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</si>
  <si>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</si>
  <si>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</si>
  <si>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</si>
  <si>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</si>
  <si>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</si>
  <si>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</si>
  <si>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</si>
  <si>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</si>
  <si>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</si>
  <si>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</si>
  <si>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</si>
  <si>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</si>
  <si>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</si>
  <si>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</si>
  <si>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</si>
  <si>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</si>
  <si>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</si>
  <si>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</si>
  <si>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</si>
  <si>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</si>
  <si>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</si>
  <si>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</si>
  <si>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</si>
  <si>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</si>
  <si>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</si>
  <si>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</si>
  <si>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</si>
  <si>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</si>
  <si>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</si>
  <si>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</si>
  <si>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</si>
  <si>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</si>
  <si>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</si>
  <si>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</si>
  <si>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</si>
  <si>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</si>
  <si>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</si>
  <si>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</si>
  <si>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</si>
  <si>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</si>
  <si>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</si>
  <si>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</si>
  <si>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</si>
  <si>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</si>
  <si>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</si>
  <si>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</si>
  <si>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</si>
  <si>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</si>
  <si>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</si>
  <si>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</si>
  <si>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</si>
  <si>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</si>
  <si>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</si>
  <si>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</si>
  <si>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</si>
  <si>
    <t>S10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</si>
</sst>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</borders>
  <cellStyleXfs count="1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4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0" borderId="7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9" xfId="0" applyFill="1" applyBorder="1" applyAlignment="1"/>
    <xf numFmtId="0" fontId="0" fillId="3" borderId="4" xfId="0" applyFill="1" applyBorder="1" applyAlignment="1"/>
    <xf numFmtId="0" fontId="0" fillId="3" borderId="6" xfId="0" applyFill="1" applyBorder="1" applyAlignment="1"/>
    <xf numFmtId="0" fontId="0" fillId="3" borderId="5" xfId="0" applyFill="1" applyBorder="1" applyAlignment="1"/>
    <xf numFmtId="0" fontId="0" fillId="2" borderId="3" xfId="0" applyFill="1" applyBorder="1" applyAlignment="1"/>
    <xf numFmtId="0" fontId="3" fillId="2" borderId="0" xfId="0" applyFont="1" applyFill="1" applyBorder="1" applyAlignment="1"/>
    <xf numFmtId="0" fontId="0" fillId="0" borderId="7" xfId="0" applyBorder="1" applyAlignment="1" applyProtection="1">
      <protection locked="0"/>
    </xf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3" xfId="0" applyFill="1" applyBorder="1" applyAlignment="1"/>
    <xf numFmtId="0" fontId="0" fillId="3" borderId="12" xfId="0" applyFill="1" applyBorder="1" applyAlignment="1"/>
    <xf numFmtId="0" fontId="3" fillId="2" borderId="0" xfId="0" applyFont="1" applyFill="1" applyAlignment="1"/>
    <xf numFmtId="0" fontId="0" fillId="0" borderId="0" xfId="0" applyNumberFormat="1" applyAlignment="1"/>
    <xf numFmtId="0" fontId="1" fillId="0" borderId="0" xfId="0" applyNumberFormat="1" applyFon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7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7" xfId="0" applyNumberFormat="1" applyFill="1" applyBorder="1" applyAlignment="1" applyProtection="1">
      <protection locked="0"/>
    </xf>
    <xf numFmtId="0" fontId="0" fillId="3" borderId="15" xfId="0" applyNumberFormat="1" applyFill="1" applyBorder="1" applyAlignment="1"/>
    <xf numFmtId="0" fontId="0" fillId="2" borderId="4" xfId="0" applyNumberFormat="1" applyFill="1" applyBorder="1" applyAlignment="1"/>
    <xf numFmtId="0" fontId="0" fillId="2" borderId="6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10" xfId="0" applyNumberFormat="1" applyFill="1" applyBorder="1" applyAlignment="1"/>
    <xf numFmtId="0" fontId="5" fillId="0" borderId="15" xfId="0" applyNumberFormat="1" applyFont="1" applyFill="1" applyBorder="1" applyAlignment="1" applyProtection="1">
      <protection locked="0"/>
    </xf>
    <xf numFmtId="0" fontId="5" fillId="0" borderId="7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3" xfId="0" applyNumberFormat="1" applyFill="1" applyBorder="1" applyAlignment="1"/>
    <xf numFmtId="0" fontId="5" fillId="2" borderId="3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3" borderId="8" xfId="0" applyNumberFormat="1" applyFill="1" applyBorder="1" applyAlignment="1"/>
    <xf numFmtId="0" fontId="0" fillId="3" borderId="9" xfId="0" applyNumberFormat="1" applyFill="1" applyBorder="1" applyAlignment="1"/>
    <xf numFmtId="0" fontId="0" fillId="0" borderId="8" xfId="0" applyNumberFormat="1" applyBorder="1" applyAlignment="1"/>
    <xf numFmtId="0" fontId="0" fillId="0" borderId="9" xfId="0" applyNumberFormat="1" applyBorder="1" applyAlignment="1">
      <alignment horizontal="right"/>
    </xf>
    <xf numFmtId="0" fontId="3" fillId="0" borderId="0" xfId="0" applyNumberFormat="1" applyFont="1" applyAlignment="1"/>
    <xf numFmtId="0" fontId="0" fillId="4" borderId="8" xfId="0" applyNumberFormat="1" applyFill="1" applyBorder="1" applyAlignment="1"/>
    <xf numFmtId="0" fontId="0" fillId="4" borderId="0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4" xfId="0" applyNumberFormat="1" applyFill="1" applyBorder="1" applyAlignment="1"/>
    <xf numFmtId="0" fontId="0" fillId="4" borderId="4" xfId="0" applyNumberFormat="1" applyFill="1" applyBorder="1" applyAlignment="1"/>
    <xf numFmtId="0" fontId="0" fillId="4" borderId="6" xfId="0" applyNumberFormat="1" applyFill="1" applyBorder="1" applyAlignment="1"/>
    <xf numFmtId="0" fontId="0" fillId="0" borderId="6" xfId="0" applyNumberFormat="1" applyBorder="1" applyAlignment="1"/>
    <xf numFmtId="0" fontId="0" fillId="0" borderId="5" xfId="0" applyNumberFormat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3" borderId="2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3" borderId="26" xfId="0" applyNumberFormat="1" applyFill="1" applyBorder="1" applyAlignment="1"/>
    <xf numFmtId="0" fontId="0" fillId="0" borderId="25" xfId="0" applyNumberFormat="1" applyBorder="1" applyAlignment="1"/>
    <xf numFmtId="0" fontId="0" fillId="0" borderId="7" xfId="0" applyNumberFormat="1" applyBorder="1" applyAlignment="1" applyProtection="1">
      <protection locked="0"/>
    </xf>
    <xf numFmtId="0" fontId="2" fillId="2" borderId="0" xfId="0" applyNumberFormat="1" applyFon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3" borderId="10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7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10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5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3" fillId="3" borderId="7" xfId="0" applyNumberFormat="1" applyFont="1" applyFill="1" applyBorder="1" applyAlignment="1"/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ellescharfstein/Library/Containers/com.apple.mail/Data/Library/Mail%20Downloads/B0B1F042-FCEC-4D2A-8BE6-4EE1F78E8D02/oriangagrande2018testcop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ic_info"/>
      <sheetName val="facilities"/>
      <sheetName val="raw_materials"/>
      <sheetName val="shipping_manufacturing"/>
      <sheetName val="pricing"/>
    </sheetNames>
    <sheetDataSet>
      <sheetData sheetId="0">
        <row r="5">
          <cell r="D5">
            <v>2018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/>
  </sheetViews>
  <sheetFormatPr baseColWidth="10" defaultColWidth="8.83203125" defaultRowHeight="15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2</v>
      </c>
      <c r="E4" s="100"/>
      <c r="F4" s="101"/>
    </row>
    <row r="5" spans="2:6">
      <c r="B5" s="6"/>
      <c r="C5" s="7" t="s">
        <v>3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opLeftCell="A76" workbookViewId="0"/>
  </sheetViews>
  <sheetFormatPr baseColWidth="10" defaultColWidth="8.83203125" defaultRowHeight="15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4</v>
      </c>
    </row>
    <row r="3" spans="2:8">
      <c r="B3" s="10" t="s">
        <v>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6</v>
      </c>
      <c r="C5" s="13" t="s">
        <v>7</v>
      </c>
      <c r="D5" s="13" t="s">
        <v>8</v>
      </c>
      <c r="E5" s="13"/>
      <c r="F5" s="13"/>
      <c r="G5" s="13" t="s">
        <v>9</v>
      </c>
      <c r="H5" s="13"/>
    </row>
    <row r="6" spans="2:8">
      <c r="B6" s="14" t="s">
        <v>10</v>
      </c>
      <c r="C6" s="15"/>
      <c r="D6" s="16">
        <v>0</v>
      </c>
      <c r="E6" s="16" t="s">
        <v>11</v>
      </c>
      <c r="F6" s="16" t="s">
        <v>12</v>
      </c>
      <c r="G6" s="16">
        <v>0</v>
      </c>
      <c r="H6" s="17"/>
    </row>
    <row r="7" spans="2:8">
      <c r="B7" s="14" t="s">
        <v>13</v>
      </c>
      <c r="C7" s="15"/>
      <c r="D7" s="16">
        <v>0</v>
      </c>
      <c r="E7" s="16"/>
      <c r="F7" s="16" t="s">
        <v>12</v>
      </c>
      <c r="G7" s="16">
        <v>0</v>
      </c>
      <c r="H7" s="18"/>
    </row>
    <row r="8" spans="2:8">
      <c r="B8" s="14" t="s">
        <v>14</v>
      </c>
      <c r="C8" s="15"/>
      <c r="D8" s="16">
        <v>0</v>
      </c>
      <c r="E8" s="16"/>
      <c r="F8" s="16" t="s">
        <v>12</v>
      </c>
      <c r="G8" s="16">
        <v>0</v>
      </c>
      <c r="H8" s="18"/>
    </row>
    <row r="9" spans="2:8">
      <c r="B9" s="14" t="s">
        <v>15</v>
      </c>
      <c r="C9" s="15"/>
      <c r="D9" s="16">
        <v>0</v>
      </c>
      <c r="E9" s="16"/>
      <c r="F9" s="16" t="s">
        <v>12</v>
      </c>
      <c r="G9" s="16">
        <v>0</v>
      </c>
      <c r="H9" s="18"/>
    </row>
    <row r="10" spans="2:8">
      <c r="B10" s="14" t="s">
        <v>16</v>
      </c>
      <c r="C10" s="15"/>
      <c r="D10" s="16">
        <v>600</v>
      </c>
      <c r="E10" s="16"/>
      <c r="F10" s="16" t="s">
        <v>12</v>
      </c>
      <c r="G10" s="16">
        <v>600</v>
      </c>
      <c r="H10" s="18"/>
    </row>
    <row r="11" spans="2:8">
      <c r="B11" s="14" t="s">
        <v>17</v>
      </c>
      <c r="C11" s="15"/>
      <c r="D11" s="16">
        <v>0</v>
      </c>
      <c r="E11" s="16"/>
      <c r="F11" s="16" t="s">
        <v>12</v>
      </c>
      <c r="G11" s="16">
        <v>0</v>
      </c>
      <c r="H11" s="18"/>
    </row>
    <row r="12" spans="2:8">
      <c r="B12" s="14" t="s">
        <v>18</v>
      </c>
      <c r="C12" s="15"/>
      <c r="D12" s="16">
        <v>3589</v>
      </c>
      <c r="E12" s="16"/>
      <c r="F12" s="16" t="s">
        <v>12</v>
      </c>
      <c r="G12" s="16">
        <v>3589</v>
      </c>
      <c r="H12" s="18"/>
    </row>
    <row r="13" spans="2:8">
      <c r="B13" s="14" t="s">
        <v>19</v>
      </c>
      <c r="C13" s="15"/>
      <c r="D13" s="16">
        <v>0</v>
      </c>
      <c r="E13" s="16"/>
      <c r="F13" s="16" t="s">
        <v>12</v>
      </c>
      <c r="G13" s="16">
        <v>0</v>
      </c>
      <c r="H13" s="18"/>
    </row>
    <row r="14" spans="2:8">
      <c r="B14" s="14" t="s">
        <v>20</v>
      </c>
      <c r="C14" s="15"/>
      <c r="D14" s="16">
        <v>0</v>
      </c>
      <c r="E14" s="16"/>
      <c r="F14" s="16" t="s">
        <v>12</v>
      </c>
      <c r="G14" s="16">
        <v>0</v>
      </c>
      <c r="H14" s="18"/>
    </row>
    <row r="15" spans="2:8">
      <c r="B15" s="19" t="s">
        <v>21</v>
      </c>
      <c r="C15" s="15"/>
      <c r="D15" s="16">
        <v>0</v>
      </c>
      <c r="E15" s="16"/>
      <c r="F15" s="20" t="s">
        <v>12</v>
      </c>
      <c r="G15" s="16">
        <v>0</v>
      </c>
      <c r="H15" s="21"/>
    </row>
    <row r="16" spans="2:8">
      <c r="B16" s="22"/>
      <c r="C16" s="22"/>
      <c r="D16" s="22">
        <v>2</v>
      </c>
      <c r="E16" s="22" t="s">
        <v>22</v>
      </c>
      <c r="F16" s="12"/>
      <c r="G16" s="22">
        <v>2</v>
      </c>
      <c r="H16" s="23" t="s">
        <v>22</v>
      </c>
    </row>
    <row r="18" spans="2:8">
      <c r="B18" s="10" t="s">
        <v>23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6</v>
      </c>
      <c r="C20" s="13" t="s">
        <v>24</v>
      </c>
      <c r="D20" s="13" t="s">
        <v>8</v>
      </c>
      <c r="E20" s="13"/>
      <c r="F20" s="13"/>
      <c r="G20" s="13" t="s">
        <v>9</v>
      </c>
      <c r="H20" s="13"/>
    </row>
    <row r="21" spans="2:8">
      <c r="B21" s="14" t="s">
        <v>10</v>
      </c>
      <c r="C21" s="24"/>
      <c r="D21" s="16">
        <v>0</v>
      </c>
      <c r="E21" s="16"/>
      <c r="F21" s="16" t="s">
        <v>12</v>
      </c>
      <c r="G21" s="16">
        <v>0</v>
      </c>
      <c r="H21" s="18"/>
    </row>
    <row r="22" spans="2:8">
      <c r="B22" s="14" t="s">
        <v>13</v>
      </c>
      <c r="C22" s="24"/>
      <c r="D22" s="16">
        <v>0</v>
      </c>
      <c r="E22" s="16"/>
      <c r="F22" s="16" t="s">
        <v>12</v>
      </c>
      <c r="G22" s="16">
        <v>0</v>
      </c>
      <c r="H22" s="18"/>
    </row>
    <row r="23" spans="2:8">
      <c r="B23" s="14" t="s">
        <v>14</v>
      </c>
      <c r="C23" s="24"/>
      <c r="D23" s="16">
        <v>0</v>
      </c>
      <c r="E23" s="16"/>
      <c r="F23" s="16" t="s">
        <v>12</v>
      </c>
      <c r="G23" s="16">
        <v>0</v>
      </c>
      <c r="H23" s="18"/>
    </row>
    <row r="24" spans="2:8">
      <c r="B24" s="14" t="s">
        <v>15</v>
      </c>
      <c r="C24" s="24"/>
      <c r="D24" s="16">
        <v>0</v>
      </c>
      <c r="E24" s="16"/>
      <c r="F24" s="16" t="s">
        <v>12</v>
      </c>
      <c r="G24" s="16">
        <v>0</v>
      </c>
      <c r="H24" s="18"/>
    </row>
    <row r="25" spans="2:8">
      <c r="B25" s="14" t="s">
        <v>16</v>
      </c>
      <c r="C25" s="24"/>
      <c r="D25" s="16">
        <v>22</v>
      </c>
      <c r="E25" s="16"/>
      <c r="F25" s="16" t="s">
        <v>12</v>
      </c>
      <c r="G25" s="16">
        <v>22</v>
      </c>
      <c r="H25" s="18"/>
    </row>
    <row r="26" spans="2:8">
      <c r="B26" s="14" t="s">
        <v>17</v>
      </c>
      <c r="C26" s="24"/>
      <c r="D26" s="16">
        <v>0</v>
      </c>
      <c r="E26" s="16"/>
      <c r="F26" s="16" t="s">
        <v>12</v>
      </c>
      <c r="G26" s="16">
        <v>0</v>
      </c>
      <c r="H26" s="18"/>
    </row>
    <row r="27" spans="2:8">
      <c r="B27" s="14" t="s">
        <v>18</v>
      </c>
      <c r="C27" s="24"/>
      <c r="D27" s="16">
        <v>15</v>
      </c>
      <c r="E27" s="16"/>
      <c r="F27" s="16" t="s">
        <v>12</v>
      </c>
      <c r="G27" s="16">
        <v>15</v>
      </c>
      <c r="H27" s="18"/>
    </row>
    <row r="28" spans="2:8">
      <c r="B28" s="14" t="s">
        <v>19</v>
      </c>
      <c r="C28" s="24"/>
      <c r="D28" s="16">
        <v>0</v>
      </c>
      <c r="E28" s="16"/>
      <c r="F28" s="16" t="s">
        <v>12</v>
      </c>
      <c r="G28" s="16">
        <v>0</v>
      </c>
      <c r="H28" s="18"/>
    </row>
    <row r="29" spans="2:8">
      <c r="B29" s="14" t="s">
        <v>20</v>
      </c>
      <c r="C29" s="24"/>
      <c r="D29" s="16">
        <v>0</v>
      </c>
      <c r="E29" s="16"/>
      <c r="F29" s="16" t="s">
        <v>12</v>
      </c>
      <c r="G29" s="16">
        <v>0</v>
      </c>
      <c r="H29" s="18"/>
    </row>
    <row r="30" spans="2:8">
      <c r="B30" s="19" t="s">
        <v>21</v>
      </c>
      <c r="C30" s="24"/>
      <c r="D30" s="16">
        <v>0</v>
      </c>
      <c r="E30" s="16"/>
      <c r="F30" s="20" t="s">
        <v>12</v>
      </c>
      <c r="G30" s="16">
        <v>0</v>
      </c>
      <c r="H30" s="21"/>
    </row>
    <row r="31" spans="2:8">
      <c r="B31" s="22"/>
      <c r="C31" s="22"/>
      <c r="D31" s="22">
        <v>37</v>
      </c>
      <c r="E31" s="22" t="s">
        <v>25</v>
      </c>
      <c r="F31" s="22"/>
      <c r="G31" s="22"/>
      <c r="H31" s="25"/>
    </row>
    <row r="33" spans="2:8">
      <c r="B33" s="10" t="s">
        <v>26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6</v>
      </c>
      <c r="C35" s="13" t="s">
        <v>7</v>
      </c>
      <c r="D35" s="26" t="s">
        <v>8</v>
      </c>
      <c r="E35" s="26"/>
      <c r="F35" s="26"/>
      <c r="G35" s="27" t="s">
        <v>9</v>
      </c>
      <c r="H35" s="13"/>
    </row>
    <row r="36" spans="2:8">
      <c r="B36" s="28" t="s">
        <v>27</v>
      </c>
      <c r="C36" s="15"/>
      <c r="D36" s="28">
        <v>10000</v>
      </c>
      <c r="E36" s="29"/>
      <c r="F36" s="29" t="s">
        <v>12</v>
      </c>
      <c r="G36" s="16">
        <v>10000</v>
      </c>
      <c r="H36" s="18"/>
    </row>
    <row r="37" spans="2:8">
      <c r="B37" s="14" t="s">
        <v>28</v>
      </c>
      <c r="C37" s="15"/>
      <c r="D37" s="14">
        <v>0</v>
      </c>
      <c r="E37" s="16"/>
      <c r="F37" s="16" t="s">
        <v>12</v>
      </c>
      <c r="G37" s="16">
        <v>0</v>
      </c>
      <c r="H37" s="18"/>
    </row>
    <row r="38" spans="2:8">
      <c r="B38" s="14" t="s">
        <v>29</v>
      </c>
      <c r="C38" s="15"/>
      <c r="D38" s="14">
        <v>0</v>
      </c>
      <c r="E38" s="16"/>
      <c r="F38" s="16" t="s">
        <v>12</v>
      </c>
      <c r="G38" s="16">
        <v>0</v>
      </c>
      <c r="H38" s="18"/>
    </row>
    <row r="39" spans="2:8">
      <c r="B39" s="14" t="s">
        <v>30</v>
      </c>
      <c r="C39" s="15"/>
      <c r="D39" s="14">
        <v>4000</v>
      </c>
      <c r="E39" s="16"/>
      <c r="F39" s="16" t="s">
        <v>12</v>
      </c>
      <c r="G39" s="16">
        <v>4000</v>
      </c>
      <c r="H39" s="18"/>
    </row>
    <row r="40" spans="2:8">
      <c r="B40" s="14" t="s">
        <v>31</v>
      </c>
      <c r="C40" s="15"/>
      <c r="D40" s="14">
        <v>0</v>
      </c>
      <c r="E40" s="16"/>
      <c r="F40" s="16" t="s">
        <v>12</v>
      </c>
      <c r="G40" s="16">
        <v>0</v>
      </c>
      <c r="H40" s="18"/>
    </row>
    <row r="41" spans="2:8">
      <c r="B41" s="14" t="s">
        <v>32</v>
      </c>
      <c r="C41" s="15"/>
      <c r="D41" s="14">
        <v>0</v>
      </c>
      <c r="E41" s="16"/>
      <c r="F41" s="16" t="s">
        <v>12</v>
      </c>
      <c r="G41" s="16">
        <v>0</v>
      </c>
      <c r="H41" s="18"/>
    </row>
    <row r="42" spans="2:8">
      <c r="B42" s="14" t="s">
        <v>33</v>
      </c>
      <c r="C42" s="15"/>
      <c r="D42" s="14">
        <v>0</v>
      </c>
      <c r="E42" s="16"/>
      <c r="F42" s="16" t="s">
        <v>12</v>
      </c>
      <c r="G42" s="16">
        <v>0</v>
      </c>
      <c r="H42" s="18"/>
    </row>
    <row r="43" spans="2:8">
      <c r="B43" s="14" t="s">
        <v>34</v>
      </c>
      <c r="C43" s="15"/>
      <c r="D43" s="14">
        <v>0</v>
      </c>
      <c r="E43" s="16"/>
      <c r="F43" s="16" t="s">
        <v>12</v>
      </c>
      <c r="G43" s="16">
        <v>0</v>
      </c>
      <c r="H43" s="18"/>
    </row>
    <row r="44" spans="2:8">
      <c r="B44" s="14" t="s">
        <v>35</v>
      </c>
      <c r="C44" s="15"/>
      <c r="D44" s="14">
        <v>0</v>
      </c>
      <c r="E44" s="16"/>
      <c r="F44" s="16" t="s">
        <v>12</v>
      </c>
      <c r="G44" s="16">
        <v>0</v>
      </c>
      <c r="H44" s="18"/>
    </row>
    <row r="45" spans="2:8">
      <c r="B45" s="14" t="s">
        <v>36</v>
      </c>
      <c r="C45" s="15"/>
      <c r="D45" s="14">
        <v>0</v>
      </c>
      <c r="E45" s="16"/>
      <c r="F45" s="16" t="s">
        <v>12</v>
      </c>
      <c r="G45" s="16">
        <v>0</v>
      </c>
      <c r="H45" s="18"/>
    </row>
    <row r="46" spans="2:8">
      <c r="B46" s="14" t="s">
        <v>37</v>
      </c>
      <c r="C46" s="15"/>
      <c r="D46" s="14">
        <v>0</v>
      </c>
      <c r="E46" s="16"/>
      <c r="F46" s="16" t="s">
        <v>12</v>
      </c>
      <c r="G46" s="16">
        <v>0</v>
      </c>
      <c r="H46" s="18"/>
    </row>
    <row r="47" spans="2:8">
      <c r="B47" s="14" t="s">
        <v>38</v>
      </c>
      <c r="C47" s="15"/>
      <c r="D47" s="14">
        <v>0</v>
      </c>
      <c r="E47" s="16"/>
      <c r="F47" s="16" t="s">
        <v>12</v>
      </c>
      <c r="G47" s="16">
        <v>0</v>
      </c>
      <c r="H47" s="18"/>
    </row>
    <row r="48" spans="2:8">
      <c r="B48" s="14" t="s">
        <v>39</v>
      </c>
      <c r="C48" s="15"/>
      <c r="D48" s="14">
        <v>0</v>
      </c>
      <c r="E48" s="16"/>
      <c r="F48" s="16" t="s">
        <v>12</v>
      </c>
      <c r="G48" s="16">
        <v>0</v>
      </c>
      <c r="H48" s="18"/>
    </row>
    <row r="49" spans="2:8">
      <c r="B49" s="14" t="s">
        <v>40</v>
      </c>
      <c r="C49" s="15"/>
      <c r="D49" s="14">
        <v>0</v>
      </c>
      <c r="E49" s="16"/>
      <c r="F49" s="16" t="s">
        <v>12</v>
      </c>
      <c r="G49" s="16">
        <v>0</v>
      </c>
      <c r="H49" s="18"/>
    </row>
    <row r="50" spans="2:8">
      <c r="B50" s="14" t="s">
        <v>41</v>
      </c>
      <c r="C50" s="15"/>
      <c r="D50" s="14">
        <v>0</v>
      </c>
      <c r="E50" s="16"/>
      <c r="F50" s="16" t="s">
        <v>12</v>
      </c>
      <c r="G50" s="16">
        <v>0</v>
      </c>
      <c r="H50" s="18"/>
    </row>
    <row r="51" spans="2:8">
      <c r="B51" s="14" t="s">
        <v>42</v>
      </c>
      <c r="C51" s="15"/>
      <c r="D51" s="14">
        <v>0</v>
      </c>
      <c r="E51" s="16"/>
      <c r="F51" s="16" t="s">
        <v>12</v>
      </c>
      <c r="G51" s="16">
        <v>0</v>
      </c>
      <c r="H51" s="18"/>
    </row>
    <row r="52" spans="2:8">
      <c r="B52" s="14" t="s">
        <v>43</v>
      </c>
      <c r="C52" s="15"/>
      <c r="D52" s="14">
        <v>0</v>
      </c>
      <c r="E52" s="16"/>
      <c r="F52" s="16" t="s">
        <v>12</v>
      </c>
      <c r="G52" s="16">
        <v>0</v>
      </c>
      <c r="H52" s="18"/>
    </row>
    <row r="53" spans="2:8">
      <c r="B53" s="14" t="s">
        <v>44</v>
      </c>
      <c r="C53" s="15"/>
      <c r="D53" s="14">
        <v>0</v>
      </c>
      <c r="E53" s="16"/>
      <c r="F53" s="16" t="s">
        <v>12</v>
      </c>
      <c r="G53" s="16">
        <v>0</v>
      </c>
      <c r="H53" s="18"/>
    </row>
    <row r="54" spans="2:8">
      <c r="B54" s="14" t="s">
        <v>45</v>
      </c>
      <c r="C54" s="15"/>
      <c r="D54" s="14">
        <v>0</v>
      </c>
      <c r="E54" s="16"/>
      <c r="F54" s="16" t="s">
        <v>12</v>
      </c>
      <c r="G54" s="16">
        <v>0</v>
      </c>
      <c r="H54" s="18"/>
    </row>
    <row r="55" spans="2:8">
      <c r="B55" s="14" t="s">
        <v>46</v>
      </c>
      <c r="C55" s="15"/>
      <c r="D55" s="14">
        <v>0</v>
      </c>
      <c r="E55" s="16"/>
      <c r="F55" s="16" t="s">
        <v>12</v>
      </c>
      <c r="G55" s="16">
        <v>0</v>
      </c>
      <c r="H55" s="18"/>
    </row>
    <row r="56" spans="2:8">
      <c r="B56" s="14" t="s">
        <v>47</v>
      </c>
      <c r="C56" s="15"/>
      <c r="D56" s="14">
        <v>0</v>
      </c>
      <c r="E56" s="16"/>
      <c r="F56" s="16" t="s">
        <v>12</v>
      </c>
      <c r="G56" s="16">
        <v>0</v>
      </c>
      <c r="H56" s="18"/>
    </row>
    <row r="57" spans="2:8">
      <c r="B57" s="14" t="s">
        <v>48</v>
      </c>
      <c r="C57" s="15"/>
      <c r="D57" s="14">
        <v>0</v>
      </c>
      <c r="E57" s="16"/>
      <c r="F57" s="16" t="s">
        <v>12</v>
      </c>
      <c r="G57" s="16">
        <v>0</v>
      </c>
      <c r="H57" s="18"/>
    </row>
    <row r="58" spans="2:8">
      <c r="B58" s="14" t="s">
        <v>49</v>
      </c>
      <c r="C58" s="15"/>
      <c r="D58" s="14">
        <v>0</v>
      </c>
      <c r="E58" s="16"/>
      <c r="F58" s="16" t="s">
        <v>12</v>
      </c>
      <c r="G58" s="16">
        <v>0</v>
      </c>
      <c r="H58" s="18"/>
    </row>
    <row r="59" spans="2:8">
      <c r="B59" s="14" t="s">
        <v>50</v>
      </c>
      <c r="C59" s="15"/>
      <c r="D59" s="14">
        <v>0</v>
      </c>
      <c r="E59" s="16"/>
      <c r="F59" s="16" t="s">
        <v>12</v>
      </c>
      <c r="G59" s="16">
        <v>0</v>
      </c>
      <c r="H59" s="18"/>
    </row>
    <row r="60" spans="2:8">
      <c r="B60" s="14" t="s">
        <v>51</v>
      </c>
      <c r="C60" s="15"/>
      <c r="D60" s="16">
        <v>0</v>
      </c>
      <c r="E60" s="16"/>
      <c r="F60" s="16" t="s">
        <v>12</v>
      </c>
      <c r="G60" s="16">
        <v>0</v>
      </c>
      <c r="H60" s="18"/>
    </row>
    <row r="61" spans="2:8">
      <c r="B61" s="14" t="s">
        <v>52</v>
      </c>
      <c r="C61" s="24"/>
      <c r="D61" s="16">
        <v>0</v>
      </c>
      <c r="E61" s="16"/>
      <c r="F61" s="16" t="s">
        <v>12</v>
      </c>
      <c r="G61" s="16">
        <v>0</v>
      </c>
      <c r="H61" s="18"/>
    </row>
    <row r="62" spans="2:8">
      <c r="B62" s="14" t="s">
        <v>53</v>
      </c>
      <c r="C62" s="24"/>
      <c r="D62" s="16">
        <v>0</v>
      </c>
      <c r="E62" s="16"/>
      <c r="F62" s="16" t="s">
        <v>12</v>
      </c>
      <c r="G62" s="16">
        <v>0</v>
      </c>
      <c r="H62" s="18"/>
    </row>
    <row r="63" spans="2:8">
      <c r="B63" s="14" t="s">
        <v>54</v>
      </c>
      <c r="C63" s="24"/>
      <c r="D63" s="16">
        <v>4000</v>
      </c>
      <c r="E63" s="16"/>
      <c r="F63" s="16" t="s">
        <v>12</v>
      </c>
      <c r="G63" s="16">
        <v>4000</v>
      </c>
      <c r="H63" s="18"/>
    </row>
    <row r="64" spans="2:8">
      <c r="B64" s="14" t="s">
        <v>55</v>
      </c>
      <c r="C64" s="24"/>
      <c r="D64" s="16">
        <v>0</v>
      </c>
      <c r="E64" s="16"/>
      <c r="F64" s="16" t="s">
        <v>12</v>
      </c>
      <c r="G64" s="16">
        <v>0</v>
      </c>
      <c r="H64" s="18"/>
    </row>
    <row r="65" spans="2:8">
      <c r="B65" s="14" t="s">
        <v>56</v>
      </c>
      <c r="C65" s="24"/>
      <c r="D65" s="16">
        <v>0</v>
      </c>
      <c r="E65" s="16"/>
      <c r="F65" s="16" t="s">
        <v>12</v>
      </c>
      <c r="G65" s="16">
        <v>0</v>
      </c>
      <c r="H65" s="18"/>
    </row>
    <row r="66" spans="2:8">
      <c r="B66" s="14" t="s">
        <v>57</v>
      </c>
      <c r="C66" s="24"/>
      <c r="D66" s="16">
        <v>0</v>
      </c>
      <c r="E66" s="16"/>
      <c r="F66" s="16" t="s">
        <v>12</v>
      </c>
      <c r="G66" s="16">
        <v>0</v>
      </c>
      <c r="H66" s="18"/>
    </row>
    <row r="67" spans="2:8">
      <c r="B67" s="14" t="s">
        <v>58</v>
      </c>
      <c r="C67" s="24"/>
      <c r="D67" s="16">
        <v>0</v>
      </c>
      <c r="E67" s="16"/>
      <c r="F67" s="16" t="s">
        <v>12</v>
      </c>
      <c r="G67" s="16">
        <v>0</v>
      </c>
      <c r="H67" s="18"/>
    </row>
    <row r="68" spans="2:8">
      <c r="B68" s="14" t="s">
        <v>59</v>
      </c>
      <c r="C68" s="24"/>
      <c r="D68" s="16">
        <v>0</v>
      </c>
      <c r="E68" s="16"/>
      <c r="F68" s="16" t="s">
        <v>12</v>
      </c>
      <c r="G68" s="16">
        <v>0</v>
      </c>
      <c r="H68" s="18"/>
    </row>
    <row r="69" spans="2:8">
      <c r="B69" s="14" t="s">
        <v>60</v>
      </c>
      <c r="C69" s="24"/>
      <c r="D69" s="16">
        <v>0</v>
      </c>
      <c r="E69" s="16"/>
      <c r="F69" s="16" t="s">
        <v>12</v>
      </c>
      <c r="G69" s="16">
        <v>0</v>
      </c>
      <c r="H69" s="18"/>
    </row>
    <row r="70" spans="2:8">
      <c r="B70" s="14" t="s">
        <v>61</v>
      </c>
      <c r="C70" s="24"/>
      <c r="D70" s="16">
        <v>0</v>
      </c>
      <c r="E70" s="16"/>
      <c r="F70" s="16" t="s">
        <v>12</v>
      </c>
      <c r="G70" s="16">
        <v>0</v>
      </c>
      <c r="H70" s="18"/>
    </row>
    <row r="71" spans="2:8">
      <c r="B71" s="14" t="s">
        <v>62</v>
      </c>
      <c r="C71" s="24"/>
      <c r="D71" s="16">
        <v>0</v>
      </c>
      <c r="E71" s="16"/>
      <c r="F71" s="16" t="s">
        <v>12</v>
      </c>
      <c r="G71" s="16">
        <v>0</v>
      </c>
      <c r="H71" s="18"/>
    </row>
    <row r="72" spans="2:8">
      <c r="B72" s="14" t="s">
        <v>63</v>
      </c>
      <c r="C72" s="24"/>
      <c r="D72" s="16">
        <v>0</v>
      </c>
      <c r="E72" s="16"/>
      <c r="F72" s="16" t="s">
        <v>12</v>
      </c>
      <c r="G72" s="16">
        <v>0</v>
      </c>
      <c r="H72" s="18"/>
    </row>
    <row r="73" spans="2:8">
      <c r="B73" s="14" t="s">
        <v>64</v>
      </c>
      <c r="C73" s="24"/>
      <c r="D73" s="16">
        <v>0</v>
      </c>
      <c r="E73" s="16"/>
      <c r="F73" s="16" t="s">
        <v>12</v>
      </c>
      <c r="G73" s="16">
        <v>0</v>
      </c>
      <c r="H73" s="18"/>
    </row>
    <row r="74" spans="2:8">
      <c r="B74" s="14" t="s">
        <v>65</v>
      </c>
      <c r="C74" s="24"/>
      <c r="D74" s="16">
        <v>0</v>
      </c>
      <c r="E74" s="16"/>
      <c r="F74" s="16" t="s">
        <v>12</v>
      </c>
      <c r="G74" s="16">
        <v>0</v>
      </c>
      <c r="H74" s="18"/>
    </row>
    <row r="75" spans="2:8">
      <c r="B75" s="14" t="s">
        <v>66</v>
      </c>
      <c r="C75" s="24"/>
      <c r="D75" s="16">
        <v>0</v>
      </c>
      <c r="E75" s="16"/>
      <c r="F75" s="16" t="s">
        <v>12</v>
      </c>
      <c r="G75" s="16">
        <v>0</v>
      </c>
      <c r="H75" s="18"/>
    </row>
    <row r="76" spans="2:8">
      <c r="B76" s="14" t="s">
        <v>67</v>
      </c>
      <c r="C76" s="24"/>
      <c r="D76" s="16">
        <v>8000</v>
      </c>
      <c r="E76" s="16"/>
      <c r="F76" s="16" t="s">
        <v>12</v>
      </c>
      <c r="G76" s="16">
        <v>8000</v>
      </c>
      <c r="H76" s="18"/>
    </row>
    <row r="77" spans="2:8">
      <c r="B77" s="14" t="s">
        <v>68</v>
      </c>
      <c r="C77" s="24"/>
      <c r="D77" s="16">
        <v>0</v>
      </c>
      <c r="E77" s="16"/>
      <c r="F77" s="16" t="s">
        <v>12</v>
      </c>
      <c r="G77" s="16">
        <v>0</v>
      </c>
      <c r="H77" s="18"/>
    </row>
    <row r="78" spans="2:8">
      <c r="B78" s="14" t="s">
        <v>69</v>
      </c>
      <c r="C78" s="24"/>
      <c r="D78" s="16">
        <v>0</v>
      </c>
      <c r="E78" s="16"/>
      <c r="F78" s="16" t="s">
        <v>12</v>
      </c>
      <c r="G78" s="16">
        <v>0</v>
      </c>
      <c r="H78" s="18"/>
    </row>
    <row r="79" spans="2:8">
      <c r="B79" s="14" t="s">
        <v>70</v>
      </c>
      <c r="C79" s="24"/>
      <c r="D79" s="16">
        <v>0</v>
      </c>
      <c r="E79" s="16"/>
      <c r="F79" s="16" t="s">
        <v>12</v>
      </c>
      <c r="G79" s="16">
        <v>0</v>
      </c>
      <c r="H79" s="18"/>
    </row>
    <row r="80" spans="2:8">
      <c r="B80" s="14" t="s">
        <v>71</v>
      </c>
      <c r="C80" s="24"/>
      <c r="D80" s="16">
        <v>0</v>
      </c>
      <c r="E80" s="16"/>
      <c r="F80" s="16" t="s">
        <v>12</v>
      </c>
      <c r="G80" s="16">
        <v>0</v>
      </c>
      <c r="H80" s="18"/>
    </row>
    <row r="81" spans="2:8">
      <c r="B81" s="14" t="s">
        <v>72</v>
      </c>
      <c r="C81" s="24"/>
      <c r="D81" s="16">
        <v>0</v>
      </c>
      <c r="E81" s="16"/>
      <c r="F81" s="16" t="s">
        <v>12</v>
      </c>
      <c r="G81" s="16">
        <v>0</v>
      </c>
      <c r="H81" s="18"/>
    </row>
    <row r="82" spans="2:8">
      <c r="B82" s="14" t="s">
        <v>73</v>
      </c>
      <c r="C82" s="24"/>
      <c r="D82" s="16">
        <v>0</v>
      </c>
      <c r="E82" s="16"/>
      <c r="F82" s="16" t="s">
        <v>12</v>
      </c>
      <c r="G82" s="16">
        <v>0</v>
      </c>
      <c r="H82" s="18"/>
    </row>
    <row r="83" spans="2:8">
      <c r="B83" s="30" t="s">
        <v>74</v>
      </c>
      <c r="C83" s="24"/>
      <c r="D83" s="14">
        <v>0</v>
      </c>
      <c r="E83" s="16"/>
      <c r="F83" s="16" t="s">
        <v>12</v>
      </c>
      <c r="G83" s="16">
        <v>0</v>
      </c>
      <c r="H83" s="18"/>
    </row>
    <row r="84" spans="2:8">
      <c r="B84" s="14" t="s">
        <v>75</v>
      </c>
      <c r="C84" s="24"/>
      <c r="D84" s="16">
        <v>0</v>
      </c>
      <c r="E84" s="16"/>
      <c r="F84" s="16" t="s">
        <v>12</v>
      </c>
      <c r="G84" s="16">
        <v>0</v>
      </c>
      <c r="H84" s="18"/>
    </row>
    <row r="85" spans="2:8">
      <c r="B85" s="14" t="s">
        <v>76</v>
      </c>
      <c r="C85" s="24"/>
      <c r="D85" s="16">
        <v>0</v>
      </c>
      <c r="E85" s="16"/>
      <c r="F85" s="16" t="s">
        <v>12</v>
      </c>
      <c r="G85" s="16">
        <v>0</v>
      </c>
      <c r="H85" s="18"/>
    </row>
    <row r="86" spans="2:8">
      <c r="B86" s="14" t="s">
        <v>77</v>
      </c>
      <c r="C86" s="24"/>
      <c r="D86" s="16">
        <v>0</v>
      </c>
      <c r="E86" s="16"/>
      <c r="F86" s="16" t="s">
        <v>12</v>
      </c>
      <c r="G86" s="16">
        <v>0</v>
      </c>
      <c r="H86" s="18"/>
    </row>
    <row r="87" spans="2:8">
      <c r="B87" s="14" t="s">
        <v>78</v>
      </c>
      <c r="C87" s="24"/>
      <c r="D87" s="16">
        <v>0</v>
      </c>
      <c r="E87" s="16"/>
      <c r="F87" s="16" t="s">
        <v>12</v>
      </c>
      <c r="G87" s="16">
        <v>0</v>
      </c>
      <c r="H87" s="18"/>
    </row>
    <row r="88" spans="2:8">
      <c r="B88" s="14" t="s">
        <v>79</v>
      </c>
      <c r="C88" s="24"/>
      <c r="D88" s="16">
        <v>0</v>
      </c>
      <c r="E88" s="16"/>
      <c r="F88" s="16" t="s">
        <v>12</v>
      </c>
      <c r="G88" s="16">
        <v>0</v>
      </c>
      <c r="H88" s="18"/>
    </row>
    <row r="89" spans="2:8">
      <c r="B89" s="14" t="s">
        <v>80</v>
      </c>
      <c r="C89" s="24"/>
      <c r="D89" s="16">
        <v>0</v>
      </c>
      <c r="E89" s="16"/>
      <c r="F89" s="16" t="s">
        <v>12</v>
      </c>
      <c r="G89" s="16">
        <v>0</v>
      </c>
      <c r="H89" s="18"/>
    </row>
    <row r="90" spans="2:8">
      <c r="B90" s="14" t="s">
        <v>81</v>
      </c>
      <c r="C90" s="24"/>
      <c r="D90" s="16">
        <v>0</v>
      </c>
      <c r="E90" s="16"/>
      <c r="F90" s="16" t="s">
        <v>12</v>
      </c>
      <c r="G90" s="16">
        <v>0</v>
      </c>
      <c r="H90" s="18"/>
    </row>
    <row r="91" spans="2:8">
      <c r="B91" s="14" t="s">
        <v>82</v>
      </c>
      <c r="C91" s="24"/>
      <c r="D91" s="16">
        <v>0</v>
      </c>
      <c r="E91" s="16"/>
      <c r="F91" s="16" t="s">
        <v>12</v>
      </c>
      <c r="G91" s="16">
        <v>0</v>
      </c>
      <c r="H91" s="18"/>
    </row>
    <row r="92" spans="2:8">
      <c r="B92" s="14" t="s">
        <v>83</v>
      </c>
      <c r="C92" s="24"/>
      <c r="D92" s="16">
        <v>0</v>
      </c>
      <c r="E92" s="16"/>
      <c r="F92" s="16" t="s">
        <v>12</v>
      </c>
      <c r="G92" s="16">
        <v>0</v>
      </c>
      <c r="H92" s="18"/>
    </row>
    <row r="93" spans="2:8">
      <c r="B93" s="14" t="s">
        <v>84</v>
      </c>
      <c r="C93" s="24"/>
      <c r="D93" s="16">
        <v>0</v>
      </c>
      <c r="E93" s="16"/>
      <c r="F93" s="16" t="s">
        <v>12</v>
      </c>
      <c r="G93" s="16">
        <v>0</v>
      </c>
      <c r="H93" s="18"/>
    </row>
    <row r="94" spans="2:8">
      <c r="B94" s="14" t="s">
        <v>85</v>
      </c>
      <c r="C94" s="24"/>
      <c r="D94" s="16">
        <v>0</v>
      </c>
      <c r="E94" s="16"/>
      <c r="F94" s="16" t="s">
        <v>12</v>
      </c>
      <c r="G94" s="16">
        <v>0</v>
      </c>
      <c r="H94" s="18"/>
    </row>
    <row r="95" spans="2:8">
      <c r="B95" s="14" t="s">
        <v>86</v>
      </c>
      <c r="C95" s="24"/>
      <c r="D95" s="16">
        <v>0</v>
      </c>
      <c r="E95" s="16"/>
      <c r="F95" s="16" t="s">
        <v>12</v>
      </c>
      <c r="G95" s="16">
        <v>0</v>
      </c>
      <c r="H95" s="18"/>
    </row>
    <row r="96" spans="2:8">
      <c r="B96" s="14" t="s">
        <v>87</v>
      </c>
      <c r="C96" s="24"/>
      <c r="D96" s="16">
        <v>0</v>
      </c>
      <c r="E96" s="16"/>
      <c r="F96" s="16" t="s">
        <v>12</v>
      </c>
      <c r="G96" s="16">
        <v>0</v>
      </c>
      <c r="H96" s="18"/>
    </row>
    <row r="97" spans="2:8">
      <c r="B97" s="14" t="s">
        <v>88</v>
      </c>
      <c r="C97" s="24"/>
      <c r="D97" s="16">
        <v>0</v>
      </c>
      <c r="E97" s="16"/>
      <c r="F97" s="16" t="s">
        <v>12</v>
      </c>
      <c r="G97" s="16">
        <v>0</v>
      </c>
      <c r="H97" s="18"/>
    </row>
    <row r="98" spans="2:8">
      <c r="B98" s="14" t="s">
        <v>89</v>
      </c>
      <c r="C98" s="24"/>
      <c r="D98" s="16">
        <v>0</v>
      </c>
      <c r="E98" s="16"/>
      <c r="F98" s="16" t="s">
        <v>12</v>
      </c>
      <c r="G98" s="16">
        <v>0</v>
      </c>
      <c r="H98" s="18"/>
    </row>
    <row r="99" spans="2:8">
      <c r="B99" s="14" t="s">
        <v>90</v>
      </c>
      <c r="C99" s="24"/>
      <c r="D99" s="16">
        <v>0</v>
      </c>
      <c r="E99" s="16"/>
      <c r="F99" s="16" t="s">
        <v>12</v>
      </c>
      <c r="G99" s="16">
        <v>0</v>
      </c>
      <c r="H99" s="18"/>
    </row>
    <row r="100" spans="2:8">
      <c r="B100" s="14" t="s">
        <v>91</v>
      </c>
      <c r="C100" s="24"/>
      <c r="D100" s="16">
        <v>0</v>
      </c>
      <c r="E100" s="16"/>
      <c r="F100" s="16" t="s">
        <v>12</v>
      </c>
      <c r="G100" s="16">
        <v>0</v>
      </c>
      <c r="H100" s="18"/>
    </row>
    <row r="101" spans="2:8">
      <c r="B101" s="14" t="s">
        <v>92</v>
      </c>
      <c r="C101" s="24"/>
      <c r="D101" s="16">
        <v>0</v>
      </c>
      <c r="E101" s="16"/>
      <c r="F101" s="16" t="s">
        <v>12</v>
      </c>
      <c r="G101" s="16">
        <v>0</v>
      </c>
      <c r="H101" s="18"/>
    </row>
    <row r="102" spans="2:8">
      <c r="B102" s="14" t="s">
        <v>93</v>
      </c>
      <c r="C102" s="24"/>
      <c r="D102" s="16">
        <v>0</v>
      </c>
      <c r="E102" s="16"/>
      <c r="F102" s="16" t="s">
        <v>12</v>
      </c>
      <c r="G102" s="16">
        <v>0</v>
      </c>
      <c r="H102" s="18"/>
    </row>
    <row r="103" spans="2:8">
      <c r="B103" s="14" t="s">
        <v>94</v>
      </c>
      <c r="C103" s="24"/>
      <c r="D103" s="16">
        <v>0</v>
      </c>
      <c r="E103" s="16"/>
      <c r="F103" s="16" t="s">
        <v>12</v>
      </c>
      <c r="G103" s="16">
        <v>0</v>
      </c>
      <c r="H103" s="18"/>
    </row>
    <row r="104" spans="2:8">
      <c r="B104" s="14" t="s">
        <v>95</v>
      </c>
      <c r="C104" s="24"/>
      <c r="D104" s="16">
        <v>0</v>
      </c>
      <c r="E104" s="16"/>
      <c r="F104" s="16" t="s">
        <v>12</v>
      </c>
      <c r="G104" s="16">
        <v>0</v>
      </c>
      <c r="H104" s="18"/>
    </row>
    <row r="105" spans="2:8">
      <c r="B105" s="14" t="s">
        <v>96</v>
      </c>
      <c r="C105" s="24"/>
      <c r="D105" s="16">
        <v>0</v>
      </c>
      <c r="E105" s="16"/>
      <c r="F105" s="16" t="s">
        <v>12</v>
      </c>
      <c r="G105" s="16">
        <v>0</v>
      </c>
      <c r="H105" s="18"/>
    </row>
    <row r="106" spans="2:8">
      <c r="B106" s="19" t="s">
        <v>97</v>
      </c>
      <c r="C106" s="24"/>
      <c r="D106" s="20">
        <v>0</v>
      </c>
      <c r="E106" s="20"/>
      <c r="F106" s="20" t="s">
        <v>12</v>
      </c>
      <c r="G106" s="20">
        <v>0</v>
      </c>
      <c r="H106" s="21"/>
    </row>
    <row r="107" spans="2:8">
      <c r="B107" s="12"/>
      <c r="C107" s="12"/>
      <c r="D107" s="12">
        <v>4</v>
      </c>
      <c r="E107" s="12" t="s">
        <v>98</v>
      </c>
      <c r="F107" s="12"/>
      <c r="G107" s="12">
        <v>4</v>
      </c>
      <c r="H107" s="31" t="s">
        <v>98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32" workbookViewId="0"/>
  </sheetViews>
  <sheetFormatPr baseColWidth="10" defaultColWidth="8.83203125" defaultRowHeight="15" x14ac:dyDescent="0"/>
  <cols>
    <col min="1" max="1" width="4.6640625" style="32" customWidth="1"/>
    <col min="2" max="2" width="16.6640625" style="32" customWidth="1"/>
    <col min="3" max="14" width="8.6640625" style="32" customWidth="1"/>
    <col min="15" max="16384" width="8.83203125" style="32"/>
  </cols>
  <sheetData>
    <row r="2" spans="2:14">
      <c r="B2" s="33" t="s">
        <v>99</v>
      </c>
    </row>
    <row r="3" spans="2:14">
      <c r="B3" s="34" t="s">
        <v>100</v>
      </c>
    </row>
    <row r="4" spans="2:14">
      <c r="B4" s="35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</row>
    <row r="5" spans="2:14">
      <c r="B5" s="37" t="s">
        <v>101</v>
      </c>
      <c r="C5" s="38" t="s">
        <v>102</v>
      </c>
      <c r="D5" s="38" t="s">
        <v>103</v>
      </c>
      <c r="E5" s="38" t="s">
        <v>104</v>
      </c>
      <c r="F5" s="38" t="s">
        <v>105</v>
      </c>
      <c r="G5" s="38" t="s">
        <v>106</v>
      </c>
      <c r="H5" s="38" t="s">
        <v>107</v>
      </c>
      <c r="I5" s="38" t="s">
        <v>108</v>
      </c>
      <c r="J5" s="38" t="s">
        <v>109</v>
      </c>
      <c r="K5" s="38" t="s">
        <v>110</v>
      </c>
      <c r="L5" s="38" t="s">
        <v>111</v>
      </c>
      <c r="M5" s="38" t="s">
        <v>112</v>
      </c>
      <c r="N5" s="39" t="s">
        <v>113</v>
      </c>
    </row>
    <row r="6" spans="2:14">
      <c r="B6" s="40" t="s">
        <v>114</v>
      </c>
      <c r="C6" s="41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2:14">
      <c r="B7" s="40" t="s">
        <v>115</v>
      </c>
      <c r="C7" s="43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4">
      <c r="B8" s="40" t="s">
        <v>116</v>
      </c>
      <c r="C8" s="43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</row>
    <row r="9" spans="2:14">
      <c r="B9" s="40" t="s">
        <v>117</v>
      </c>
      <c r="C9" s="43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2:14">
      <c r="B10" s="40" t="s">
        <v>118</v>
      </c>
      <c r="C10" s="43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2:14">
      <c r="B11" s="45" t="s">
        <v>119</v>
      </c>
      <c r="C11" s="43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2:14">
      <c r="B12" s="46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8"/>
    </row>
    <row r="14" spans="2:14">
      <c r="B14" s="34" t="s">
        <v>120</v>
      </c>
    </row>
    <row r="15" spans="2:14">
      <c r="B15" s="35"/>
      <c r="C15" s="36"/>
      <c r="D15" s="36"/>
      <c r="E15" s="49"/>
      <c r="F15" s="36"/>
      <c r="G15" s="36"/>
      <c r="H15" s="36"/>
    </row>
    <row r="16" spans="2:14">
      <c r="B16" s="37" t="s">
        <v>121</v>
      </c>
      <c r="C16" s="38" t="s">
        <v>122</v>
      </c>
      <c r="D16" s="38" t="s">
        <v>123</v>
      </c>
      <c r="E16" s="38" t="s">
        <v>122</v>
      </c>
      <c r="F16" s="38" t="s">
        <v>124</v>
      </c>
      <c r="G16" s="38" t="s">
        <v>122</v>
      </c>
      <c r="H16" s="38" t="s">
        <v>125</v>
      </c>
    </row>
    <row r="17" spans="2:33">
      <c r="B17" s="50" t="s">
        <v>114</v>
      </c>
      <c r="C17" s="51"/>
      <c r="D17" s="51"/>
      <c r="E17" s="51"/>
      <c r="F17" s="51"/>
      <c r="G17" s="51"/>
      <c r="H17" s="51"/>
      <c r="I17" s="32" t="s">
        <v>126</v>
      </c>
    </row>
    <row r="18" spans="2:33">
      <c r="B18" s="40" t="s">
        <v>115</v>
      </c>
      <c r="C18" s="52"/>
      <c r="D18" s="52"/>
      <c r="E18" s="52"/>
      <c r="F18" s="52"/>
      <c r="G18" s="52"/>
      <c r="H18" s="52"/>
      <c r="I18" s="32" t="s">
        <v>126</v>
      </c>
    </row>
    <row r="19" spans="2:33">
      <c r="B19" s="40" t="s">
        <v>116</v>
      </c>
      <c r="C19" s="52"/>
      <c r="D19" s="52"/>
      <c r="E19" s="52"/>
      <c r="F19" s="52"/>
      <c r="G19" s="52"/>
      <c r="H19" s="52"/>
      <c r="I19" s="32" t="s">
        <v>126</v>
      </c>
    </row>
    <row r="20" spans="2:33">
      <c r="B20" s="40" t="s">
        <v>117</v>
      </c>
      <c r="C20" s="52"/>
      <c r="D20" s="52"/>
      <c r="E20" s="52"/>
      <c r="F20" s="52"/>
      <c r="G20" s="52"/>
      <c r="H20" s="52"/>
    </row>
    <row r="21" spans="2:33">
      <c r="B21" s="40" t="s">
        <v>118</v>
      </c>
      <c r="C21" s="52"/>
      <c r="D21" s="52"/>
      <c r="E21" s="52"/>
      <c r="F21" s="52"/>
      <c r="G21" s="52"/>
      <c r="H21" s="52"/>
    </row>
    <row r="22" spans="2:33">
      <c r="B22" s="45" t="s">
        <v>119</v>
      </c>
      <c r="C22" s="52"/>
      <c r="D22" s="52"/>
      <c r="E22" s="52"/>
      <c r="F22" s="52"/>
      <c r="G22" s="52"/>
      <c r="H22" s="52"/>
      <c r="K22" s="53"/>
      <c r="L22" s="54"/>
      <c r="M22" s="54"/>
      <c r="N22" s="54"/>
      <c r="O22" s="54"/>
      <c r="P22" s="54"/>
      <c r="Q22" s="54"/>
      <c r="R22" s="54"/>
      <c r="S22" s="54"/>
      <c r="T22" s="54"/>
      <c r="U22" s="53"/>
      <c r="V22" s="54"/>
      <c r="W22" s="53"/>
      <c r="X22" s="54"/>
      <c r="Y22" s="53"/>
      <c r="Z22" s="54"/>
      <c r="AA22" s="53"/>
      <c r="AB22" s="54"/>
      <c r="AC22" s="53"/>
      <c r="AD22" s="54"/>
      <c r="AE22" s="53"/>
      <c r="AF22" s="54"/>
      <c r="AG22" s="53"/>
    </row>
    <row r="23" spans="2:33">
      <c r="B23" s="55"/>
      <c r="C23" s="56"/>
      <c r="D23" s="56"/>
      <c r="E23" s="56"/>
      <c r="F23" s="56"/>
      <c r="G23" s="56"/>
      <c r="H23" s="36"/>
      <c r="K23" s="53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</row>
    <row r="24" spans="2:33">
      <c r="K24" s="54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</row>
    <row r="25" spans="2:33">
      <c r="K25" s="54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</row>
    <row r="26" spans="2:33">
      <c r="B26" s="34" t="s">
        <v>127</v>
      </c>
      <c r="K26" s="54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</row>
    <row r="27" spans="2:33">
      <c r="B27" s="35"/>
      <c r="C27" s="36"/>
      <c r="D27" s="36"/>
      <c r="E27" s="36"/>
      <c r="F27" s="36"/>
      <c r="G27" s="36"/>
      <c r="H27" s="36"/>
      <c r="I27" s="36"/>
      <c r="J27" s="36"/>
      <c r="K27" s="49"/>
      <c r="L27" s="36"/>
      <c r="M27" s="36"/>
      <c r="N27" s="36"/>
      <c r="O27" s="36"/>
      <c r="P27" s="36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</row>
    <row r="28" spans="2:33">
      <c r="D28" s="57">
        <f>[1]basic_info!$D$5-5</f>
        <v>2013</v>
      </c>
      <c r="E28" s="54"/>
      <c r="F28" s="57">
        <f>[1]basic_info!$D$5-4</f>
        <v>2014</v>
      </c>
      <c r="G28" s="54"/>
      <c r="H28" s="57">
        <f>[1]basic_info!$D$5-3</f>
        <v>2015</v>
      </c>
      <c r="I28" s="54"/>
      <c r="J28" s="57">
        <f>[1]basic_info!$D$5-2</f>
        <v>2016</v>
      </c>
      <c r="K28" s="54"/>
      <c r="L28" s="57">
        <f>[1]basic_info!$D$5-1</f>
        <v>2017</v>
      </c>
      <c r="N28" s="57">
        <f>[1]basic_info!$D$5</f>
        <v>2018</v>
      </c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</row>
    <row r="29" spans="2:33">
      <c r="B29" s="37" t="s">
        <v>128</v>
      </c>
      <c r="C29" s="37" t="s">
        <v>129</v>
      </c>
      <c r="D29" s="58" t="s">
        <v>130</v>
      </c>
      <c r="E29" s="39" t="s">
        <v>131</v>
      </c>
      <c r="F29" s="58" t="s">
        <v>130</v>
      </c>
      <c r="G29" s="39" t="s">
        <v>131</v>
      </c>
      <c r="H29" s="58" t="s">
        <v>130</v>
      </c>
      <c r="I29" s="39" t="s">
        <v>131</v>
      </c>
      <c r="J29" s="58" t="s">
        <v>130</v>
      </c>
      <c r="K29" s="39" t="s">
        <v>131</v>
      </c>
      <c r="L29" s="58" t="s">
        <v>130</v>
      </c>
      <c r="M29" s="39" t="s">
        <v>131</v>
      </c>
      <c r="N29" s="58" t="s">
        <v>130</v>
      </c>
      <c r="O29" s="39" t="s">
        <v>131</v>
      </c>
      <c r="P29" s="37" t="s">
        <v>132</v>
      </c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</row>
    <row r="30" spans="2:33">
      <c r="B30" s="50" t="s">
        <v>133</v>
      </c>
      <c r="C30" s="40">
        <f>[1]basic_info!$D$5</f>
        <v>2018</v>
      </c>
      <c r="D30" s="58">
        <v>0.72411525202691562</v>
      </c>
      <c r="E30" s="39">
        <v>0</v>
      </c>
      <c r="F30" s="59">
        <v>0.71135030767163665</v>
      </c>
      <c r="G30" s="60">
        <v>8000</v>
      </c>
      <c r="H30" s="59">
        <v>0.84236191971130692</v>
      </c>
      <c r="I30" s="60">
        <v>0</v>
      </c>
      <c r="J30" s="59">
        <v>0.74403649732441623</v>
      </c>
      <c r="K30" s="60">
        <v>0</v>
      </c>
      <c r="L30" s="59">
        <v>0.86489268210399939</v>
      </c>
      <c r="M30" s="60">
        <v>1061.069</v>
      </c>
      <c r="N30" s="61"/>
      <c r="O30" s="62" t="s">
        <v>134</v>
      </c>
      <c r="P30" s="50">
        <f>M30+K30+I30+E30+G30</f>
        <v>9061.0689999999995</v>
      </c>
      <c r="Q30" s="63"/>
    </row>
    <row r="31" spans="2:33">
      <c r="B31" s="40"/>
      <c r="C31" s="59">
        <f>[1]basic_info!$D$5+1</f>
        <v>2019</v>
      </c>
      <c r="D31" s="64"/>
      <c r="E31" s="65"/>
      <c r="F31" s="66">
        <v>0.67168145499527454</v>
      </c>
      <c r="G31" s="67">
        <v>8000</v>
      </c>
      <c r="H31" s="68">
        <v>0.80404254385936813</v>
      </c>
      <c r="I31" s="69">
        <v>0</v>
      </c>
      <c r="J31" s="68">
        <v>0.7527505289227433</v>
      </c>
      <c r="K31" s="69">
        <v>0</v>
      </c>
      <c r="L31" s="68">
        <v>0.88199853992657917</v>
      </c>
      <c r="M31" s="69">
        <v>1061.069</v>
      </c>
      <c r="N31" s="70">
        <v>0.85067072108996544</v>
      </c>
      <c r="O31" s="44"/>
      <c r="P31" s="70">
        <f>O31+M31+K31+I31+G31</f>
        <v>9061.0689999999995</v>
      </c>
    </row>
    <row r="32" spans="2:33">
      <c r="B32" s="40"/>
      <c r="C32" s="59">
        <f>[1]basic_info!$D$5+2</f>
        <v>2020</v>
      </c>
      <c r="D32" s="64"/>
      <c r="E32" s="65"/>
      <c r="F32" s="65"/>
      <c r="G32" s="65"/>
      <c r="H32" s="66">
        <v>0.74553772844970234</v>
      </c>
      <c r="I32" s="67">
        <v>1145.3</v>
      </c>
      <c r="J32" s="68">
        <v>0.69965863319312305</v>
      </c>
      <c r="K32" s="69">
        <v>0</v>
      </c>
      <c r="L32" s="68">
        <v>0.87457866977723531</v>
      </c>
      <c r="M32" s="69">
        <v>1061.069</v>
      </c>
      <c r="N32" s="70">
        <v>0.79998380292338289</v>
      </c>
      <c r="O32" s="44"/>
      <c r="P32" s="70">
        <f>O32+M32+K32+I32</f>
        <v>2206.3689999999997</v>
      </c>
    </row>
    <row r="33" spans="2:17">
      <c r="B33" s="40"/>
      <c r="C33" s="59">
        <f>[1]basic_info!$D$5+3</f>
        <v>2021</v>
      </c>
      <c r="D33" s="64"/>
      <c r="E33" s="65"/>
      <c r="F33" s="65"/>
      <c r="G33" s="65"/>
      <c r="H33" s="65"/>
      <c r="I33" s="65"/>
      <c r="J33" s="66">
        <v>0.67052111424505711</v>
      </c>
      <c r="K33" s="67">
        <v>2000</v>
      </c>
      <c r="L33" s="68">
        <v>0.82996059621196905</v>
      </c>
      <c r="M33" s="69">
        <v>1061.069</v>
      </c>
      <c r="N33" s="70">
        <v>0.81109959679484855</v>
      </c>
      <c r="O33" s="44"/>
      <c r="P33" s="70">
        <f>O33+M33+K33</f>
        <v>3061.069</v>
      </c>
    </row>
    <row r="34" spans="2:17">
      <c r="B34" s="40"/>
      <c r="C34" s="59">
        <f>[1]basic_info!$D$5+4</f>
        <v>2022</v>
      </c>
      <c r="D34" s="64"/>
      <c r="E34" s="65"/>
      <c r="F34" s="65"/>
      <c r="G34" s="65"/>
      <c r="H34" s="65"/>
      <c r="I34" s="65"/>
      <c r="J34" s="65"/>
      <c r="K34" s="65"/>
      <c r="L34" s="66">
        <v>0.77235281866490846</v>
      </c>
      <c r="M34" s="67">
        <v>1061.069</v>
      </c>
      <c r="N34" s="70">
        <v>0.74817568762620479</v>
      </c>
      <c r="O34" s="44"/>
      <c r="P34" s="70">
        <f>O34+M34</f>
        <v>1061.069</v>
      </c>
    </row>
    <row r="35" spans="2:17">
      <c r="B35" s="45"/>
      <c r="C35" s="71">
        <f>[1]basic_info!$D$5+5</f>
        <v>2023</v>
      </c>
      <c r="D35" s="72"/>
      <c r="E35" s="73"/>
      <c r="F35" s="73"/>
      <c r="G35" s="73"/>
      <c r="H35" s="73"/>
      <c r="I35" s="73"/>
      <c r="J35" s="73"/>
      <c r="K35" s="73"/>
      <c r="L35" s="74"/>
      <c r="M35" s="75"/>
      <c r="N35" s="76">
        <v>0.76104814894497397</v>
      </c>
      <c r="O35" s="44"/>
      <c r="P35" s="77">
        <f>O35</f>
        <v>0</v>
      </c>
    </row>
    <row r="36" spans="2:17">
      <c r="B36" s="50" t="s">
        <v>135</v>
      </c>
      <c r="C36" s="40">
        <f>[1]basic_info!$D$5</f>
        <v>2018</v>
      </c>
      <c r="D36" s="58">
        <v>0.99511689269542691</v>
      </c>
      <c r="E36" s="39">
        <v>0</v>
      </c>
      <c r="F36" s="78">
        <v>0.88880183448123806</v>
      </c>
      <c r="G36" s="79">
        <v>11500</v>
      </c>
      <c r="H36" s="78">
        <v>1.0484299690065144</v>
      </c>
      <c r="I36" s="79">
        <v>0</v>
      </c>
      <c r="J36" s="78">
        <v>0.99543758500835322</v>
      </c>
      <c r="K36" s="79">
        <v>0</v>
      </c>
      <c r="L36" s="80">
        <v>1.0843463381251608</v>
      </c>
      <c r="M36" s="81">
        <v>0</v>
      </c>
      <c r="N36" s="82"/>
      <c r="O36" s="62" t="s">
        <v>134</v>
      </c>
      <c r="P36" s="50">
        <f>M36+K36+I36+E36+G36</f>
        <v>11500</v>
      </c>
      <c r="Q36" s="63"/>
    </row>
    <row r="37" spans="2:17">
      <c r="B37" s="40"/>
      <c r="C37" s="59">
        <f>[1]basic_info!$D$5+1</f>
        <v>2019</v>
      </c>
      <c r="D37" s="64"/>
      <c r="E37" s="65"/>
      <c r="F37" s="66">
        <v>0.87392979428172113</v>
      </c>
      <c r="G37" s="67">
        <v>12000</v>
      </c>
      <c r="H37" s="68">
        <v>1.0036399921766941</v>
      </c>
      <c r="I37" s="69">
        <v>0</v>
      </c>
      <c r="J37" s="68">
        <v>1.0042666663707007</v>
      </c>
      <c r="K37" s="69">
        <v>0</v>
      </c>
      <c r="L37" s="68">
        <v>1.0512236928821403</v>
      </c>
      <c r="M37" s="69">
        <v>0</v>
      </c>
      <c r="N37" s="68">
        <v>1.0686812583458234</v>
      </c>
      <c r="O37" s="44"/>
      <c r="P37" s="70">
        <f>O37+M37+K37+I37+G37</f>
        <v>12000</v>
      </c>
    </row>
    <row r="38" spans="2:17">
      <c r="B38" s="40"/>
      <c r="C38" s="59">
        <f>[1]basic_info!$D$5+2</f>
        <v>2020</v>
      </c>
      <c r="D38" s="64"/>
      <c r="E38" s="65"/>
      <c r="F38" s="65"/>
      <c r="G38" s="65"/>
      <c r="H38" s="66">
        <v>0.93049090272188195</v>
      </c>
      <c r="I38" s="67">
        <v>298.27199999999999</v>
      </c>
      <c r="J38" s="68">
        <v>0.94087785036126215</v>
      </c>
      <c r="K38" s="69">
        <v>15000</v>
      </c>
      <c r="L38" s="68">
        <v>1.0674782123792534</v>
      </c>
      <c r="M38" s="69">
        <v>0</v>
      </c>
      <c r="N38" s="68">
        <v>1.0255380813967128</v>
      </c>
      <c r="O38" s="44"/>
      <c r="P38" s="70">
        <f>O38+M38+K38+I38</f>
        <v>15298.272000000001</v>
      </c>
    </row>
    <row r="39" spans="2:17">
      <c r="B39" s="40"/>
      <c r="C39" s="59">
        <f>[1]basic_info!$D$5+3</f>
        <v>2021</v>
      </c>
      <c r="D39" s="64"/>
      <c r="E39" s="65"/>
      <c r="F39" s="65"/>
      <c r="G39" s="65"/>
      <c r="H39" s="65"/>
      <c r="I39" s="65"/>
      <c r="J39" s="66">
        <v>0.88851178684830667</v>
      </c>
      <c r="K39" s="67">
        <v>20000</v>
      </c>
      <c r="L39" s="68">
        <v>0.9979103092184296</v>
      </c>
      <c r="M39" s="69">
        <v>16262.2045658647</v>
      </c>
      <c r="N39" s="68">
        <v>0.98917274591614612</v>
      </c>
      <c r="O39" s="44"/>
      <c r="P39" s="70">
        <f>O39+M39+K39</f>
        <v>36262.204565864697</v>
      </c>
    </row>
    <row r="40" spans="2:17">
      <c r="B40" s="40"/>
      <c r="C40" s="59">
        <f>[1]basic_info!$D$5+4</f>
        <v>2022</v>
      </c>
      <c r="D40" s="64"/>
      <c r="E40" s="65"/>
      <c r="F40" s="65"/>
      <c r="G40" s="65"/>
      <c r="H40" s="65"/>
      <c r="I40" s="65"/>
      <c r="J40" s="65"/>
      <c r="K40" s="65"/>
      <c r="L40" s="66">
        <v>0.91683839964866642</v>
      </c>
      <c r="M40" s="67">
        <v>16262.2045658647</v>
      </c>
      <c r="N40" s="68">
        <v>0.95076571483281835</v>
      </c>
      <c r="O40" s="44"/>
      <c r="P40" s="70">
        <f>O40+M40</f>
        <v>16262.2045658647</v>
      </c>
    </row>
    <row r="41" spans="2:17">
      <c r="B41" s="45"/>
      <c r="C41" s="71">
        <f>[1]basic_info!$D$5+5</f>
        <v>2023</v>
      </c>
      <c r="D41" s="72"/>
      <c r="E41" s="73"/>
      <c r="F41" s="73"/>
      <c r="G41" s="73"/>
      <c r="H41" s="73"/>
      <c r="I41" s="73"/>
      <c r="J41" s="73"/>
      <c r="K41" s="73"/>
      <c r="L41" s="74"/>
      <c r="M41" s="75"/>
      <c r="N41" s="66">
        <v>0.92028542885184295</v>
      </c>
      <c r="O41" s="44"/>
      <c r="P41" s="76">
        <f>O41</f>
        <v>0</v>
      </c>
    </row>
    <row r="42" spans="2:17"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53"/>
    </row>
    <row r="44" spans="2:17">
      <c r="B44" s="34" t="s">
        <v>136</v>
      </c>
    </row>
    <row r="45" spans="2:17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</row>
    <row r="46" spans="2:17">
      <c r="B46" s="37" t="s">
        <v>137</v>
      </c>
      <c r="C46" s="38" t="s">
        <v>102</v>
      </c>
      <c r="D46" s="38" t="s">
        <v>103</v>
      </c>
      <c r="E46" s="38" t="s">
        <v>104</v>
      </c>
      <c r="F46" s="38" t="s">
        <v>105</v>
      </c>
      <c r="G46" s="38" t="s">
        <v>106</v>
      </c>
      <c r="H46" s="38" t="s">
        <v>107</v>
      </c>
      <c r="I46" s="38" t="s">
        <v>108</v>
      </c>
      <c r="J46" s="38" t="s">
        <v>109</v>
      </c>
      <c r="K46" s="38" t="s">
        <v>110</v>
      </c>
      <c r="L46" s="38" t="s">
        <v>111</v>
      </c>
      <c r="M46" s="38" t="s">
        <v>112</v>
      </c>
      <c r="N46" s="39" t="s">
        <v>113</v>
      </c>
      <c r="O46" s="37" t="s">
        <v>132</v>
      </c>
    </row>
    <row r="47" spans="2:17">
      <c r="B47" s="50" t="s">
        <v>133</v>
      </c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37">
        <f>SUM(C47:N47)</f>
        <v>0</v>
      </c>
    </row>
    <row r="48" spans="2:17">
      <c r="B48" s="45" t="s">
        <v>135</v>
      </c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37">
        <f>SUM(C48:N48)</f>
        <v>0</v>
      </c>
    </row>
    <row r="49" spans="2:15"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7"/>
  <sheetViews>
    <sheetView topLeftCell="A19" workbookViewId="0"/>
  </sheetViews>
  <sheetFormatPr baseColWidth="10" defaultColWidth="8.83203125" defaultRowHeight="15" x14ac:dyDescent="0"/>
  <cols>
    <col min="1" max="1" width="4.6640625" style="32" customWidth="1"/>
    <col min="2" max="2" width="17.33203125" style="32" customWidth="1"/>
    <col min="3" max="16384" width="8.83203125" style="32"/>
  </cols>
  <sheetData>
    <row r="2" spans="2:17">
      <c r="B2" s="33" t="s">
        <v>138</v>
      </c>
    </row>
    <row r="3" spans="2:17">
      <c r="B3" s="34" t="s">
        <v>139</v>
      </c>
    </row>
    <row r="4" spans="2:17">
      <c r="B4" s="84"/>
      <c r="C4" s="84"/>
      <c r="D4" s="84"/>
      <c r="E4" s="84"/>
      <c r="F4" s="84"/>
      <c r="G4" s="84"/>
      <c r="H4" s="84"/>
      <c r="I4" s="84"/>
      <c r="J4" s="54"/>
      <c r="K4" s="54"/>
      <c r="L4" s="54"/>
      <c r="M4" s="54"/>
      <c r="N4" s="54"/>
    </row>
    <row r="5" spans="2:17">
      <c r="B5" s="57" t="s">
        <v>140</v>
      </c>
      <c r="C5" s="57" t="s">
        <v>16</v>
      </c>
      <c r="D5" s="57" t="s">
        <v>18</v>
      </c>
      <c r="E5" s="57" t="s">
        <v>27</v>
      </c>
      <c r="F5" s="57" t="s">
        <v>30</v>
      </c>
      <c r="G5" s="57" t="s">
        <v>54</v>
      </c>
      <c r="H5" s="57" t="s">
        <v>67</v>
      </c>
      <c r="I5" s="57" t="s">
        <v>132</v>
      </c>
      <c r="J5" s="53"/>
      <c r="K5" s="53"/>
      <c r="L5" s="53"/>
      <c r="M5" s="53"/>
      <c r="N5" s="53"/>
      <c r="O5" s="53"/>
      <c r="P5" s="53"/>
      <c r="Q5" s="53"/>
    </row>
    <row r="6" spans="2:17">
      <c r="B6" s="57" t="s">
        <v>141</v>
      </c>
      <c r="C6" s="85"/>
      <c r="D6" s="85"/>
      <c r="E6" s="85"/>
      <c r="F6" s="85"/>
      <c r="G6" s="85"/>
      <c r="H6" s="85"/>
      <c r="I6" s="86">
        <f>SUM($C$6:$G$6)</f>
        <v>0</v>
      </c>
      <c r="J6" s="54"/>
      <c r="K6" s="54"/>
      <c r="L6" s="54"/>
      <c r="M6" s="54"/>
      <c r="N6" s="54"/>
      <c r="O6" s="53"/>
      <c r="P6" s="53"/>
      <c r="Q6" s="53"/>
    </row>
    <row r="7" spans="2:17">
      <c r="B7" s="57" t="s">
        <v>115</v>
      </c>
      <c r="C7" s="85"/>
      <c r="D7" s="85"/>
      <c r="E7" s="85"/>
      <c r="F7" s="85"/>
      <c r="G7" s="85"/>
      <c r="H7" s="85"/>
      <c r="I7" s="86">
        <f>SUM($C$7:$G$7)</f>
        <v>0</v>
      </c>
      <c r="J7" s="54"/>
      <c r="K7" s="54"/>
      <c r="L7" s="54"/>
      <c r="M7" s="54"/>
      <c r="N7" s="54"/>
      <c r="O7" s="53"/>
      <c r="P7" s="53"/>
      <c r="Q7" s="53"/>
    </row>
    <row r="8" spans="2:17">
      <c r="B8" s="57" t="s">
        <v>116</v>
      </c>
      <c r="C8" s="85"/>
      <c r="D8" s="85"/>
      <c r="E8" s="85"/>
      <c r="F8" s="85"/>
      <c r="G8" s="85"/>
      <c r="H8" s="85"/>
      <c r="I8" s="86">
        <f>SUM($C$8:$G$8)</f>
        <v>0</v>
      </c>
      <c r="J8" s="54"/>
      <c r="K8" s="54"/>
      <c r="L8" s="54"/>
      <c r="M8" s="54"/>
      <c r="N8" s="54"/>
      <c r="O8" s="53"/>
      <c r="P8" s="53"/>
      <c r="Q8" s="53"/>
    </row>
    <row r="9" spans="2:17">
      <c r="B9" s="57" t="s">
        <v>117</v>
      </c>
      <c r="C9" s="85"/>
      <c r="D9" s="85"/>
      <c r="E9" s="85"/>
      <c r="F9" s="85"/>
      <c r="G9" s="85"/>
      <c r="H9" s="85"/>
      <c r="I9" s="86">
        <f>SUM($C$9:$G$9)</f>
        <v>0</v>
      </c>
      <c r="J9" s="54"/>
      <c r="K9" s="54"/>
      <c r="L9" s="54"/>
      <c r="M9" s="54"/>
      <c r="N9" s="54"/>
      <c r="O9" s="53"/>
      <c r="P9" s="53"/>
      <c r="Q9" s="53"/>
    </row>
    <row r="10" spans="2:17">
      <c r="B10" s="57" t="s">
        <v>118</v>
      </c>
      <c r="C10" s="85"/>
      <c r="D10" s="85"/>
      <c r="E10" s="85"/>
      <c r="F10" s="85"/>
      <c r="G10" s="85"/>
      <c r="H10" s="85"/>
      <c r="I10" s="86">
        <f>SUM($C$10:$G$10)</f>
        <v>0</v>
      </c>
      <c r="J10" s="54"/>
      <c r="K10" s="54"/>
      <c r="L10" s="54"/>
      <c r="M10" s="54"/>
      <c r="N10" s="54"/>
      <c r="O10" s="53"/>
      <c r="P10" s="53"/>
      <c r="Q10" s="53"/>
    </row>
    <row r="11" spans="2:17">
      <c r="B11" s="57" t="s">
        <v>119</v>
      </c>
      <c r="C11" s="87"/>
      <c r="D11" s="87"/>
      <c r="E11" s="87"/>
      <c r="F11" s="87"/>
      <c r="G11" s="87"/>
      <c r="H11" s="87"/>
      <c r="I11" s="88">
        <f>SUM($C$11:$G$11)</f>
        <v>0</v>
      </c>
      <c r="J11" s="54"/>
      <c r="K11" s="54"/>
      <c r="L11" s="54"/>
      <c r="M11" s="54"/>
      <c r="N11" s="54"/>
      <c r="O11" s="53"/>
      <c r="P11" s="53"/>
      <c r="Q11" s="53"/>
    </row>
    <row r="12" spans="2:17">
      <c r="B12" s="49"/>
      <c r="C12" s="49"/>
      <c r="D12" s="49"/>
      <c r="E12" s="49"/>
      <c r="F12" s="49"/>
      <c r="G12" s="49"/>
      <c r="H12" s="49"/>
      <c r="I12" s="49"/>
      <c r="J12" s="54"/>
      <c r="K12" s="54"/>
      <c r="L12" s="54"/>
      <c r="M12" s="54"/>
      <c r="N12" s="54"/>
      <c r="O12" s="53"/>
      <c r="P12" s="53"/>
      <c r="Q12" s="53"/>
    </row>
    <row r="13" spans="2:17">
      <c r="C13" s="54"/>
      <c r="D13" s="54"/>
      <c r="E13" s="54"/>
      <c r="F13" s="54"/>
      <c r="G13" s="54"/>
      <c r="H13" s="54"/>
      <c r="I13" s="53"/>
      <c r="J13" s="53"/>
      <c r="K13" s="53"/>
    </row>
    <row r="14" spans="2:17">
      <c r="B14" s="89" t="s">
        <v>142</v>
      </c>
      <c r="C14" s="54"/>
      <c r="D14" s="54"/>
      <c r="E14" s="54"/>
      <c r="F14" s="54"/>
      <c r="G14" s="54"/>
      <c r="H14" s="54"/>
      <c r="I14" s="53"/>
      <c r="J14" s="53"/>
      <c r="K14" s="53"/>
    </row>
    <row r="15" spans="2:17">
      <c r="B15" s="90" t="s">
        <v>143</v>
      </c>
      <c r="C15" s="53"/>
      <c r="D15" s="53"/>
      <c r="E15" s="53"/>
      <c r="F15" s="53"/>
      <c r="G15" s="53"/>
      <c r="H15" s="53"/>
      <c r="I15" s="53"/>
      <c r="J15" s="53"/>
      <c r="K15" s="53"/>
    </row>
    <row r="16" spans="2:17">
      <c r="B16" s="35"/>
      <c r="C16" s="35"/>
      <c r="D16" s="35"/>
      <c r="E16" s="35"/>
      <c r="F16" s="35"/>
      <c r="G16" s="53"/>
      <c r="H16" s="53"/>
      <c r="I16" s="53"/>
      <c r="J16" s="53"/>
      <c r="M16" s="53"/>
      <c r="N16" s="53"/>
      <c r="O16" s="53"/>
    </row>
    <row r="17" spans="2:16">
      <c r="B17" s="57" t="s">
        <v>144</v>
      </c>
      <c r="C17" s="57" t="s">
        <v>16</v>
      </c>
      <c r="D17" s="57"/>
      <c r="E17" s="57" t="s">
        <v>18</v>
      </c>
      <c r="F17" s="57"/>
      <c r="G17" s="53"/>
      <c r="H17" s="53"/>
      <c r="I17" s="53"/>
      <c r="J17" s="53"/>
      <c r="M17" s="53"/>
      <c r="N17" s="53"/>
      <c r="O17" s="53"/>
    </row>
    <row r="18" spans="2:16">
      <c r="B18" s="57" t="s">
        <v>145</v>
      </c>
      <c r="C18" s="57" t="s">
        <v>146</v>
      </c>
      <c r="D18" s="57" t="s">
        <v>147</v>
      </c>
      <c r="E18" s="57" t="s">
        <v>146</v>
      </c>
      <c r="F18" s="57" t="s">
        <v>147</v>
      </c>
      <c r="G18" s="53"/>
      <c r="H18" s="53"/>
      <c r="I18" s="53"/>
      <c r="J18" s="53"/>
      <c r="K18" s="53"/>
      <c r="M18" s="53"/>
      <c r="N18" s="53"/>
      <c r="O18" s="53"/>
    </row>
    <row r="19" spans="2:16">
      <c r="B19" s="57" t="s">
        <v>148</v>
      </c>
      <c r="C19" s="87"/>
      <c r="D19" s="58">
        <f>100-$C$19</f>
        <v>100</v>
      </c>
      <c r="E19" s="87"/>
      <c r="F19" s="37">
        <f>100-$E$19</f>
        <v>100</v>
      </c>
      <c r="M19" s="53"/>
      <c r="N19" s="53"/>
      <c r="O19" s="53"/>
    </row>
    <row r="20" spans="2:16">
      <c r="B20" s="91"/>
      <c r="C20" s="91"/>
      <c r="D20" s="91"/>
      <c r="E20" s="91"/>
      <c r="F20" s="91"/>
      <c r="G20" s="53"/>
      <c r="H20" s="53"/>
      <c r="I20" s="53"/>
      <c r="J20" s="53"/>
      <c r="M20" s="53"/>
      <c r="N20" s="53"/>
      <c r="O20" s="53"/>
    </row>
    <row r="21" spans="2:16">
      <c r="I21" s="53"/>
      <c r="J21" s="53"/>
      <c r="K21" s="53"/>
    </row>
    <row r="22" spans="2:16">
      <c r="B22" s="89" t="s">
        <v>138</v>
      </c>
      <c r="I22" s="53"/>
      <c r="J22" s="53"/>
      <c r="K22" s="53"/>
    </row>
    <row r="23" spans="2:16">
      <c r="B23" s="92" t="s">
        <v>149</v>
      </c>
      <c r="I23" s="53"/>
      <c r="J23" s="53"/>
      <c r="K23" s="53"/>
    </row>
    <row r="24" spans="2:16">
      <c r="B24" s="35"/>
      <c r="C24" s="35"/>
      <c r="D24" s="35"/>
      <c r="E24" s="35"/>
      <c r="F24" s="35"/>
      <c r="G24" s="35"/>
      <c r="N24" s="53"/>
      <c r="O24" s="53"/>
      <c r="P24" s="53"/>
    </row>
    <row r="25" spans="2:16">
      <c r="B25" s="57" t="s">
        <v>150</v>
      </c>
      <c r="C25" s="57" t="s">
        <v>151</v>
      </c>
      <c r="D25" s="57" t="s">
        <v>16</v>
      </c>
      <c r="E25" s="57"/>
      <c r="F25" s="57" t="s">
        <v>18</v>
      </c>
      <c r="G25" s="57"/>
      <c r="N25" s="53"/>
      <c r="O25" s="53"/>
      <c r="P25" s="53"/>
    </row>
    <row r="26" spans="2:16">
      <c r="B26" s="57" t="s">
        <v>145</v>
      </c>
      <c r="C26" s="57" t="s">
        <v>147</v>
      </c>
      <c r="D26" s="57" t="s">
        <v>146</v>
      </c>
      <c r="E26" s="57" t="s">
        <v>147</v>
      </c>
      <c r="F26" s="57" t="s">
        <v>146</v>
      </c>
      <c r="G26" s="57" t="s">
        <v>147</v>
      </c>
      <c r="N26" s="53"/>
      <c r="O26" s="53"/>
      <c r="P26" s="53"/>
    </row>
    <row r="27" spans="2:16">
      <c r="B27" s="57" t="s">
        <v>27</v>
      </c>
      <c r="C27" s="85"/>
      <c r="D27" s="85"/>
      <c r="E27" s="85"/>
      <c r="F27" s="85"/>
      <c r="G27" s="93"/>
      <c r="N27" s="53"/>
      <c r="O27" s="53"/>
      <c r="P27" s="53"/>
    </row>
    <row r="28" spans="2:16">
      <c r="B28" s="57" t="s">
        <v>30</v>
      </c>
      <c r="C28" s="85"/>
      <c r="D28" s="85"/>
      <c r="E28" s="85"/>
      <c r="F28" s="85"/>
      <c r="G28" s="93"/>
      <c r="N28" s="53"/>
      <c r="O28" s="53"/>
      <c r="P28" s="53"/>
    </row>
    <row r="29" spans="2:16">
      <c r="B29" s="57" t="s">
        <v>54</v>
      </c>
      <c r="C29" s="85"/>
      <c r="D29" s="85"/>
      <c r="E29" s="85"/>
      <c r="F29" s="85"/>
      <c r="G29" s="93"/>
      <c r="N29" s="53"/>
      <c r="O29" s="53"/>
      <c r="P29" s="53"/>
    </row>
    <row r="30" spans="2:16">
      <c r="B30" s="57" t="s">
        <v>67</v>
      </c>
      <c r="C30" s="85"/>
      <c r="D30" s="85"/>
      <c r="E30" s="85"/>
      <c r="F30" s="85"/>
      <c r="G30" s="93"/>
      <c r="N30" s="53"/>
      <c r="O30" s="53"/>
      <c r="P30" s="53"/>
    </row>
    <row r="31" spans="2:16">
      <c r="B31" s="57" t="s">
        <v>132</v>
      </c>
      <c r="C31" s="94">
        <f>SUM($C$28:$C$30)</f>
        <v>0</v>
      </c>
      <c r="D31" s="94">
        <f>SUM($D$28:$D$30)</f>
        <v>0</v>
      </c>
      <c r="E31" s="94">
        <f>SUM($E$28:$E$30)</f>
        <v>0</v>
      </c>
      <c r="F31" s="94">
        <f>SUM($F$28:$F$30)</f>
        <v>0</v>
      </c>
      <c r="G31" s="88">
        <f>SUM($G$28:$G$30)</f>
        <v>0</v>
      </c>
      <c r="N31" s="53"/>
      <c r="O31" s="53"/>
      <c r="P31" s="53"/>
    </row>
    <row r="32" spans="2:16">
      <c r="B32" s="91"/>
      <c r="C32" s="91"/>
      <c r="D32" s="91"/>
      <c r="E32" s="91"/>
      <c r="F32" s="91"/>
      <c r="G32" s="91"/>
      <c r="N32" s="53"/>
      <c r="O32" s="53"/>
      <c r="P32" s="53"/>
    </row>
    <row r="33" spans="2:14">
      <c r="I33" s="53"/>
      <c r="J33" s="53"/>
      <c r="K33" s="53"/>
    </row>
    <row r="34" spans="2:14">
      <c r="B34" s="89" t="s">
        <v>152</v>
      </c>
      <c r="C34" s="53"/>
      <c r="D34" s="53"/>
      <c r="E34" s="53"/>
      <c r="F34" s="53"/>
      <c r="G34" s="53"/>
      <c r="H34" s="53"/>
      <c r="I34" s="53"/>
      <c r="J34" s="53"/>
      <c r="K34" s="53"/>
    </row>
    <row r="35" spans="2:14">
      <c r="B35" s="90" t="s">
        <v>153</v>
      </c>
      <c r="C35" s="53"/>
      <c r="D35" s="53"/>
      <c r="E35" s="53"/>
      <c r="F35" s="53"/>
      <c r="G35" s="53"/>
      <c r="H35" s="53"/>
      <c r="I35" s="53"/>
      <c r="J35" s="53"/>
      <c r="K35" s="53"/>
    </row>
    <row r="36" spans="2:14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</row>
    <row r="37" spans="2:14">
      <c r="B37" s="57" t="s">
        <v>154</v>
      </c>
      <c r="C37" s="57" t="s">
        <v>102</v>
      </c>
      <c r="D37" s="57" t="s">
        <v>103</v>
      </c>
      <c r="E37" s="57" t="s">
        <v>104</v>
      </c>
      <c r="F37" s="57" t="s">
        <v>105</v>
      </c>
      <c r="G37" s="57" t="s">
        <v>106</v>
      </c>
      <c r="H37" s="57" t="s">
        <v>107</v>
      </c>
      <c r="I37" s="57" t="s">
        <v>108</v>
      </c>
      <c r="J37" s="57" t="s">
        <v>109</v>
      </c>
      <c r="K37" s="57" t="s">
        <v>110</v>
      </c>
      <c r="L37" s="57" t="s">
        <v>111</v>
      </c>
      <c r="M37" s="57" t="s">
        <v>112</v>
      </c>
      <c r="N37" s="57" t="s">
        <v>113</v>
      </c>
    </row>
    <row r="38" spans="2:14">
      <c r="B38" s="57" t="s">
        <v>167</v>
      </c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93"/>
    </row>
    <row r="39" spans="2:14">
      <c r="B39" s="57" t="s">
        <v>30</v>
      </c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93"/>
    </row>
    <row r="40" spans="2:14">
      <c r="B40" s="57" t="s">
        <v>54</v>
      </c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93"/>
    </row>
    <row r="41" spans="2:14">
      <c r="B41" s="57" t="s">
        <v>67</v>
      </c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44"/>
    </row>
    <row r="42" spans="2:14"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2:14">
      <c r="I43" s="53"/>
      <c r="J43" s="53"/>
      <c r="K43" s="53"/>
    </row>
    <row r="44" spans="2:14"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2:14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2:14"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</row>
    <row r="47" spans="2:14">
      <c r="B47" s="95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</row>
    <row r="48" spans="2:14"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</row>
    <row r="49" spans="2:24"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</row>
    <row r="50" spans="2:24"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</row>
    <row r="51" spans="2:24"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</row>
    <row r="53" spans="2:24">
      <c r="P53" s="53"/>
      <c r="Q53" s="53"/>
      <c r="R53" s="53"/>
      <c r="S53" s="53"/>
      <c r="T53" s="53"/>
      <c r="U53" s="53"/>
      <c r="V53" s="53"/>
      <c r="W53" s="53"/>
      <c r="X53" s="53"/>
    </row>
    <row r="65" spans="9:10">
      <c r="I65" s="53"/>
      <c r="J65" s="53"/>
    </row>
    <row r="66" spans="9:10">
      <c r="I66" s="53"/>
      <c r="J66" s="53"/>
    </row>
    <row r="67" spans="9:10">
      <c r="I67" s="53"/>
      <c r="J67" s="53"/>
    </row>
  </sheetData>
  <dataValidations xWindow="195" yWindow="805" count="1">
    <dataValidation type="decimal" allowBlank="1" showInputMessage="1" showErrorMessage="1" errorTitle="Error" error="You must enter a number between 0 and 100 (inclusive)" promptTitle="Percentage" prompt="Enter a number between 0 and 100 (inclusive)" sqref="C19 E19 C38:N41 C27:G30 C6:H11">
      <formula1>0</formula1>
      <formula2>100</formula2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tabSelected="1" workbookViewId="0"/>
  </sheetViews>
  <sheetFormatPr baseColWidth="10" defaultColWidth="8.83203125" defaultRowHeight="15" x14ac:dyDescent="0"/>
  <cols>
    <col min="1" max="2" width="4.6640625" style="32" customWidth="1"/>
    <col min="3" max="3" width="12.6640625" style="32" customWidth="1"/>
    <col min="4" max="15" width="8.6640625" style="32" customWidth="1"/>
    <col min="16" max="16384" width="8.83203125" style="32"/>
  </cols>
  <sheetData>
    <row r="2" spans="2:15">
      <c r="C2" s="33" t="s">
        <v>155</v>
      </c>
    </row>
    <row r="3" spans="2:15">
      <c r="C3" s="34" t="s">
        <v>156</v>
      </c>
    </row>
    <row r="4" spans="2:15">
      <c r="C4" s="9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</row>
    <row r="5" spans="2:15">
      <c r="B5" s="97" t="s">
        <v>157</v>
      </c>
      <c r="C5" s="98" t="s">
        <v>158</v>
      </c>
      <c r="D5" s="38" t="s">
        <v>102</v>
      </c>
      <c r="E5" s="38" t="s">
        <v>103</v>
      </c>
      <c r="F5" s="38" t="s">
        <v>104</v>
      </c>
      <c r="G5" s="38" t="s">
        <v>105</v>
      </c>
      <c r="H5" s="38" t="s">
        <v>106</v>
      </c>
      <c r="I5" s="38" t="s">
        <v>107</v>
      </c>
      <c r="J5" s="38" t="s">
        <v>108</v>
      </c>
      <c r="K5" s="38" t="s">
        <v>109</v>
      </c>
      <c r="L5" s="38" t="s">
        <v>110</v>
      </c>
      <c r="M5" s="38" t="s">
        <v>111</v>
      </c>
      <c r="N5" s="38" t="s">
        <v>112</v>
      </c>
      <c r="O5" s="39" t="s">
        <v>113</v>
      </c>
    </row>
    <row r="6" spans="2:15">
      <c r="C6" s="50" t="s">
        <v>159</v>
      </c>
      <c r="D6" s="44">
        <v>1.7</v>
      </c>
      <c r="E6" s="44">
        <v>1.7</v>
      </c>
      <c r="F6" s="44">
        <v>1.7</v>
      </c>
      <c r="G6" s="44">
        <v>1.7</v>
      </c>
      <c r="H6" s="44">
        <v>1.7</v>
      </c>
      <c r="I6" s="44">
        <v>1.7</v>
      </c>
      <c r="J6" s="44">
        <v>1.7</v>
      </c>
      <c r="K6" s="44">
        <v>1.7</v>
      </c>
      <c r="L6" s="44">
        <v>1.7</v>
      </c>
      <c r="M6" s="44">
        <v>1.7</v>
      </c>
      <c r="N6" s="44">
        <v>1.7</v>
      </c>
      <c r="O6" s="44">
        <v>1.7</v>
      </c>
    </row>
    <row r="7" spans="2:15">
      <c r="C7" s="40" t="s">
        <v>160</v>
      </c>
      <c r="D7" s="44">
        <v>2</v>
      </c>
      <c r="E7" s="44">
        <v>2</v>
      </c>
      <c r="F7" s="44">
        <v>2</v>
      </c>
      <c r="G7" s="44">
        <v>2</v>
      </c>
      <c r="H7" s="44">
        <v>2</v>
      </c>
      <c r="I7" s="44">
        <v>2</v>
      </c>
      <c r="J7" s="44">
        <v>2</v>
      </c>
      <c r="K7" s="44">
        <v>2</v>
      </c>
      <c r="L7" s="44">
        <v>2</v>
      </c>
      <c r="M7" s="44">
        <v>2</v>
      </c>
      <c r="N7" s="44">
        <v>2</v>
      </c>
      <c r="O7" s="44">
        <v>2</v>
      </c>
    </row>
    <row r="8" spans="2:15">
      <c r="C8" s="40" t="s">
        <v>161</v>
      </c>
      <c r="D8" s="44">
        <v>2.25</v>
      </c>
      <c r="E8" s="44">
        <v>2.25</v>
      </c>
      <c r="F8" s="44">
        <v>2.25</v>
      </c>
      <c r="G8" s="44">
        <v>2.25</v>
      </c>
      <c r="H8" s="44">
        <v>2.25</v>
      </c>
      <c r="I8" s="44">
        <v>2.25</v>
      </c>
      <c r="J8" s="44">
        <v>2.25</v>
      </c>
      <c r="K8" s="44">
        <v>2.25</v>
      </c>
      <c r="L8" s="44">
        <v>2.25</v>
      </c>
      <c r="M8" s="44">
        <v>2.25</v>
      </c>
      <c r="N8" s="44">
        <v>2.25</v>
      </c>
      <c r="O8" s="44">
        <v>2.25</v>
      </c>
    </row>
    <row r="9" spans="2:15">
      <c r="C9" s="40" t="s">
        <v>162</v>
      </c>
      <c r="D9" s="44">
        <v>2.25</v>
      </c>
      <c r="E9" s="44">
        <v>2.25</v>
      </c>
      <c r="F9" s="44">
        <v>2.25</v>
      </c>
      <c r="G9" s="44">
        <v>2.25</v>
      </c>
      <c r="H9" s="44">
        <v>2.25</v>
      </c>
      <c r="I9" s="44">
        <v>2.25</v>
      </c>
      <c r="J9" s="44">
        <v>2.25</v>
      </c>
      <c r="K9" s="44">
        <v>2.25</v>
      </c>
      <c r="L9" s="44">
        <v>2.25</v>
      </c>
      <c r="M9" s="44">
        <v>2.25</v>
      </c>
      <c r="N9" s="44">
        <v>2.25</v>
      </c>
      <c r="O9" s="44">
        <v>2.25</v>
      </c>
    </row>
    <row r="10" spans="2:15">
      <c r="C10" s="40" t="s">
        <v>163</v>
      </c>
      <c r="D10" s="44">
        <v>2.5</v>
      </c>
      <c r="E10" s="44">
        <v>2.5</v>
      </c>
      <c r="F10" s="44">
        <v>2.5</v>
      </c>
      <c r="G10" s="44">
        <v>2.5</v>
      </c>
      <c r="H10" s="44">
        <v>2.5</v>
      </c>
      <c r="I10" s="44">
        <v>2.5</v>
      </c>
      <c r="J10" s="44">
        <v>2.5</v>
      </c>
      <c r="K10" s="44">
        <v>2.5</v>
      </c>
      <c r="L10" s="44">
        <v>2.5</v>
      </c>
      <c r="M10" s="44">
        <v>2.5</v>
      </c>
      <c r="N10" s="44">
        <v>2.5</v>
      </c>
      <c r="O10" s="44">
        <v>2.5</v>
      </c>
    </row>
    <row r="11" spans="2:15">
      <c r="C11" s="40" t="s">
        <v>164</v>
      </c>
      <c r="D11" s="44">
        <v>2.6</v>
      </c>
      <c r="E11" s="44">
        <v>2.6</v>
      </c>
      <c r="F11" s="44">
        <v>2.6</v>
      </c>
      <c r="G11" s="44">
        <v>2.6</v>
      </c>
      <c r="H11" s="44">
        <v>2.6</v>
      </c>
      <c r="I11" s="44">
        <v>2.6</v>
      </c>
      <c r="J11" s="44">
        <v>2.6</v>
      </c>
      <c r="K11" s="44">
        <v>2.6</v>
      </c>
      <c r="L11" s="44">
        <v>2.6</v>
      </c>
      <c r="M11" s="44">
        <v>2.6</v>
      </c>
      <c r="N11" s="44">
        <v>2.6</v>
      </c>
      <c r="O11" s="44">
        <v>2.6</v>
      </c>
    </row>
    <row r="12" spans="2:15">
      <c r="C12" s="45" t="s">
        <v>165</v>
      </c>
      <c r="D12" s="44">
        <v>2.7</v>
      </c>
      <c r="E12" s="44">
        <v>2.7</v>
      </c>
      <c r="F12" s="44">
        <v>2.7</v>
      </c>
      <c r="G12" s="44">
        <v>2.7</v>
      </c>
      <c r="H12" s="44">
        <v>2.7</v>
      </c>
      <c r="I12" s="44">
        <v>2.7</v>
      </c>
      <c r="J12" s="44">
        <v>2.7</v>
      </c>
      <c r="K12" s="44">
        <v>2.7</v>
      </c>
      <c r="L12" s="44">
        <v>2.7</v>
      </c>
      <c r="M12" s="44">
        <v>2.7</v>
      </c>
      <c r="N12" s="44">
        <v>2.7</v>
      </c>
      <c r="O12" s="44">
        <v>2.7</v>
      </c>
    </row>
    <row r="13" spans="2:15">
      <c r="C13" s="9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</row>
    <row r="14" spans="2:15">
      <c r="B14" s="97" t="s">
        <v>146</v>
      </c>
      <c r="C14" s="98" t="s">
        <v>158</v>
      </c>
      <c r="D14" s="38" t="s">
        <v>102</v>
      </c>
      <c r="E14" s="38" t="s">
        <v>103</v>
      </c>
      <c r="F14" s="38" t="s">
        <v>104</v>
      </c>
      <c r="G14" s="38" t="s">
        <v>105</v>
      </c>
      <c r="H14" s="38" t="s">
        <v>106</v>
      </c>
      <c r="I14" s="38" t="s">
        <v>107</v>
      </c>
      <c r="J14" s="38" t="s">
        <v>108</v>
      </c>
      <c r="K14" s="38" t="s">
        <v>109</v>
      </c>
      <c r="L14" s="38" t="s">
        <v>110</v>
      </c>
      <c r="M14" s="38" t="s">
        <v>111</v>
      </c>
      <c r="N14" s="38" t="s">
        <v>112</v>
      </c>
      <c r="O14" s="39" t="s">
        <v>113</v>
      </c>
    </row>
    <row r="15" spans="2:15">
      <c r="C15" s="50" t="s">
        <v>159</v>
      </c>
      <c r="D15" s="44">
        <v>3.5</v>
      </c>
      <c r="E15" s="44">
        <v>3.5</v>
      </c>
      <c r="F15" s="44">
        <v>3.5</v>
      </c>
      <c r="G15" s="44">
        <v>3.5</v>
      </c>
      <c r="H15" s="44">
        <v>3.5</v>
      </c>
      <c r="I15" s="44">
        <v>3.5</v>
      </c>
      <c r="J15" s="44">
        <v>3.5</v>
      </c>
      <c r="K15" s="44">
        <v>3.5</v>
      </c>
      <c r="L15" s="44">
        <v>3.5</v>
      </c>
      <c r="M15" s="44">
        <v>3.5</v>
      </c>
      <c r="N15" s="44">
        <v>3.5</v>
      </c>
      <c r="O15" s="44">
        <v>3.5</v>
      </c>
    </row>
    <row r="16" spans="2:15">
      <c r="C16" s="40" t="s">
        <v>160</v>
      </c>
      <c r="D16" s="44">
        <v>3.5</v>
      </c>
      <c r="E16" s="44">
        <v>3.5</v>
      </c>
      <c r="F16" s="44">
        <v>3.5</v>
      </c>
      <c r="G16" s="44">
        <v>3.5</v>
      </c>
      <c r="H16" s="44">
        <v>3.5</v>
      </c>
      <c r="I16" s="44">
        <v>3.5</v>
      </c>
      <c r="J16" s="44">
        <v>3.5</v>
      </c>
      <c r="K16" s="44">
        <v>3.5</v>
      </c>
      <c r="L16" s="44">
        <v>3.5</v>
      </c>
      <c r="M16" s="44">
        <v>3.5</v>
      </c>
      <c r="N16" s="44">
        <v>3.5</v>
      </c>
      <c r="O16" s="44">
        <v>3.5</v>
      </c>
    </row>
    <row r="17" spans="2:15">
      <c r="C17" s="40" t="s">
        <v>161</v>
      </c>
      <c r="D17" s="44">
        <v>3.5</v>
      </c>
      <c r="E17" s="44">
        <v>3.5</v>
      </c>
      <c r="F17" s="44">
        <v>3.5</v>
      </c>
      <c r="G17" s="44">
        <v>3.5</v>
      </c>
      <c r="H17" s="44">
        <v>3.5</v>
      </c>
      <c r="I17" s="44">
        <v>3.5</v>
      </c>
      <c r="J17" s="44">
        <v>3.5</v>
      </c>
      <c r="K17" s="44">
        <v>3.5</v>
      </c>
      <c r="L17" s="44">
        <v>3.5</v>
      </c>
      <c r="M17" s="44">
        <v>3.5</v>
      </c>
      <c r="N17" s="44">
        <v>3.5</v>
      </c>
      <c r="O17" s="44">
        <v>3.5</v>
      </c>
    </row>
    <row r="18" spans="2:15">
      <c r="C18" s="40" t="s">
        <v>162</v>
      </c>
      <c r="D18" s="44">
        <v>3.5</v>
      </c>
      <c r="E18" s="44">
        <v>3.5</v>
      </c>
      <c r="F18" s="44">
        <v>3.5</v>
      </c>
      <c r="G18" s="44">
        <v>3.5</v>
      </c>
      <c r="H18" s="44">
        <v>3.5</v>
      </c>
      <c r="I18" s="44">
        <v>3.5</v>
      </c>
      <c r="J18" s="44">
        <v>3.5</v>
      </c>
      <c r="K18" s="44">
        <v>3.5</v>
      </c>
      <c r="L18" s="44">
        <v>3.5</v>
      </c>
      <c r="M18" s="44">
        <v>3.5</v>
      </c>
      <c r="N18" s="44">
        <v>3.5</v>
      </c>
      <c r="O18" s="44">
        <v>3.5</v>
      </c>
    </row>
    <row r="19" spans="2:15">
      <c r="C19" s="40" t="s">
        <v>163</v>
      </c>
      <c r="D19" s="44">
        <v>3.5</v>
      </c>
      <c r="E19" s="44">
        <v>3.5</v>
      </c>
      <c r="F19" s="44">
        <v>3.5</v>
      </c>
      <c r="G19" s="44">
        <v>3.5</v>
      </c>
      <c r="H19" s="44">
        <v>3.5</v>
      </c>
      <c r="I19" s="44">
        <v>3.5</v>
      </c>
      <c r="J19" s="44">
        <v>3.5</v>
      </c>
      <c r="K19" s="44">
        <v>3.5</v>
      </c>
      <c r="L19" s="44">
        <v>3.5</v>
      </c>
      <c r="M19" s="44">
        <v>3.5</v>
      </c>
      <c r="N19" s="44">
        <v>3.5</v>
      </c>
      <c r="O19" s="44">
        <v>3.5</v>
      </c>
    </row>
    <row r="20" spans="2:15">
      <c r="C20" s="40" t="s">
        <v>164</v>
      </c>
      <c r="D20" s="44">
        <v>3.5</v>
      </c>
      <c r="E20" s="44">
        <v>3.5</v>
      </c>
      <c r="F20" s="44">
        <v>3.5</v>
      </c>
      <c r="G20" s="44">
        <v>3.5</v>
      </c>
      <c r="H20" s="44">
        <v>3.5</v>
      </c>
      <c r="I20" s="44">
        <v>3.5</v>
      </c>
      <c r="J20" s="44">
        <v>3.5</v>
      </c>
      <c r="K20" s="44">
        <v>3.5</v>
      </c>
      <c r="L20" s="44">
        <v>3.5</v>
      </c>
      <c r="M20" s="44">
        <v>3.5</v>
      </c>
      <c r="N20" s="44">
        <v>3.5</v>
      </c>
      <c r="O20" s="44">
        <v>3.5</v>
      </c>
    </row>
    <row r="21" spans="2:15">
      <c r="C21" s="45" t="s">
        <v>165</v>
      </c>
      <c r="D21" s="44">
        <v>3.5</v>
      </c>
      <c r="E21" s="44">
        <v>3.5</v>
      </c>
      <c r="F21" s="44">
        <v>3.5</v>
      </c>
      <c r="G21" s="44">
        <v>3.5</v>
      </c>
      <c r="H21" s="44">
        <v>3.5</v>
      </c>
      <c r="I21" s="44">
        <v>3.5</v>
      </c>
      <c r="J21" s="44">
        <v>3.5</v>
      </c>
      <c r="K21" s="44">
        <v>3.5</v>
      </c>
      <c r="L21" s="44">
        <v>3.5</v>
      </c>
      <c r="M21" s="44">
        <v>3.5</v>
      </c>
      <c r="N21" s="44">
        <v>3.5</v>
      </c>
      <c r="O21" s="44">
        <v>3.5</v>
      </c>
    </row>
    <row r="22" spans="2:15">
      <c r="C22" s="9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2:15">
      <c r="B23" s="97" t="s">
        <v>166</v>
      </c>
      <c r="C23" s="98" t="s">
        <v>158</v>
      </c>
      <c r="D23" s="38" t="s">
        <v>102</v>
      </c>
      <c r="E23" s="38" t="s">
        <v>103</v>
      </c>
      <c r="F23" s="38" t="s">
        <v>104</v>
      </c>
      <c r="G23" s="38" t="s">
        <v>105</v>
      </c>
      <c r="H23" s="38" t="s">
        <v>106</v>
      </c>
      <c r="I23" s="38" t="s">
        <v>107</v>
      </c>
      <c r="J23" s="38" t="s">
        <v>108</v>
      </c>
      <c r="K23" s="38" t="s">
        <v>109</v>
      </c>
      <c r="L23" s="38" t="s">
        <v>110</v>
      </c>
      <c r="M23" s="38" t="s">
        <v>111</v>
      </c>
      <c r="N23" s="38" t="s">
        <v>112</v>
      </c>
      <c r="O23" s="39" t="s">
        <v>113</v>
      </c>
    </row>
    <row r="24" spans="2:15">
      <c r="C24" s="50" t="s">
        <v>159</v>
      </c>
      <c r="D24" s="44">
        <v>3.8</v>
      </c>
      <c r="E24" s="44">
        <v>3.8</v>
      </c>
      <c r="F24" s="44">
        <v>3.8</v>
      </c>
      <c r="G24" s="44">
        <v>3.8</v>
      </c>
      <c r="H24" s="44">
        <v>3.8</v>
      </c>
      <c r="I24" s="44">
        <v>3.8</v>
      </c>
      <c r="J24" s="44">
        <v>3.8</v>
      </c>
      <c r="K24" s="44">
        <v>3.8</v>
      </c>
      <c r="L24" s="44">
        <v>3.8</v>
      </c>
      <c r="M24" s="44">
        <v>3.8</v>
      </c>
      <c r="N24" s="44">
        <v>3.8</v>
      </c>
      <c r="O24" s="44">
        <v>3.8</v>
      </c>
    </row>
    <row r="25" spans="2:15">
      <c r="C25" s="40" t="s">
        <v>160</v>
      </c>
      <c r="D25" s="44">
        <v>3.8</v>
      </c>
      <c r="E25" s="44">
        <v>3.8</v>
      </c>
      <c r="F25" s="44">
        <v>3.8</v>
      </c>
      <c r="G25" s="44">
        <v>3.8</v>
      </c>
      <c r="H25" s="44">
        <v>3.8</v>
      </c>
      <c r="I25" s="44">
        <v>3.8</v>
      </c>
      <c r="J25" s="44">
        <v>3.8</v>
      </c>
      <c r="K25" s="44">
        <v>3.8</v>
      </c>
      <c r="L25" s="44">
        <v>3.8</v>
      </c>
      <c r="M25" s="44">
        <v>3.8</v>
      </c>
      <c r="N25" s="44">
        <v>3.8</v>
      </c>
      <c r="O25" s="44">
        <v>3.8</v>
      </c>
    </row>
    <row r="26" spans="2:15">
      <c r="C26" s="40" t="s">
        <v>161</v>
      </c>
      <c r="D26" s="44">
        <v>3.8</v>
      </c>
      <c r="E26" s="44">
        <v>3.8</v>
      </c>
      <c r="F26" s="44">
        <v>3.8</v>
      </c>
      <c r="G26" s="44">
        <v>3.8</v>
      </c>
      <c r="H26" s="44">
        <v>3.8</v>
      </c>
      <c r="I26" s="44">
        <v>3.8</v>
      </c>
      <c r="J26" s="44">
        <v>3.8</v>
      </c>
      <c r="K26" s="44">
        <v>3.8</v>
      </c>
      <c r="L26" s="44">
        <v>3.8</v>
      </c>
      <c r="M26" s="44">
        <v>3.8</v>
      </c>
      <c r="N26" s="44">
        <v>3.8</v>
      </c>
      <c r="O26" s="44">
        <v>3.8</v>
      </c>
    </row>
    <row r="27" spans="2:15">
      <c r="C27" s="40" t="s">
        <v>162</v>
      </c>
      <c r="D27" s="44">
        <v>3.8</v>
      </c>
      <c r="E27" s="44">
        <v>3.8</v>
      </c>
      <c r="F27" s="44">
        <v>3.8</v>
      </c>
      <c r="G27" s="44">
        <v>3.8</v>
      </c>
      <c r="H27" s="44">
        <v>3.8</v>
      </c>
      <c r="I27" s="44">
        <v>3.8</v>
      </c>
      <c r="J27" s="44">
        <v>3.8</v>
      </c>
      <c r="K27" s="44">
        <v>3.8</v>
      </c>
      <c r="L27" s="44">
        <v>3.8</v>
      </c>
      <c r="M27" s="44">
        <v>3.8</v>
      </c>
      <c r="N27" s="44">
        <v>3.8</v>
      </c>
      <c r="O27" s="44">
        <v>3.8</v>
      </c>
    </row>
    <row r="28" spans="2:15">
      <c r="C28" s="40" t="s">
        <v>163</v>
      </c>
      <c r="D28" s="44">
        <v>3.8</v>
      </c>
      <c r="E28" s="44">
        <v>3.8</v>
      </c>
      <c r="F28" s="44">
        <v>3.8</v>
      </c>
      <c r="G28" s="44">
        <v>3.8</v>
      </c>
      <c r="H28" s="44">
        <v>3.8</v>
      </c>
      <c r="I28" s="44">
        <v>3.8</v>
      </c>
      <c r="J28" s="44">
        <v>3.8</v>
      </c>
      <c r="K28" s="44">
        <v>3.8</v>
      </c>
      <c r="L28" s="44">
        <v>3.8</v>
      </c>
      <c r="M28" s="44">
        <v>3.8</v>
      </c>
      <c r="N28" s="44">
        <v>3.8</v>
      </c>
      <c r="O28" s="44">
        <v>3.8</v>
      </c>
    </row>
    <row r="29" spans="2:15">
      <c r="C29" s="40" t="s">
        <v>164</v>
      </c>
      <c r="D29" s="44">
        <v>3.8</v>
      </c>
      <c r="E29" s="44">
        <v>3.8</v>
      </c>
      <c r="F29" s="44">
        <v>3.8</v>
      </c>
      <c r="G29" s="44">
        <v>3.8</v>
      </c>
      <c r="H29" s="44">
        <v>3.8</v>
      </c>
      <c r="I29" s="44">
        <v>3.8</v>
      </c>
      <c r="J29" s="44">
        <v>3.8</v>
      </c>
      <c r="K29" s="44">
        <v>3.8</v>
      </c>
      <c r="L29" s="44">
        <v>3.8</v>
      </c>
      <c r="M29" s="44">
        <v>3.8</v>
      </c>
      <c r="N29" s="44">
        <v>3.8</v>
      </c>
      <c r="O29" s="44">
        <v>3.8</v>
      </c>
    </row>
    <row r="30" spans="2:15">
      <c r="C30" s="45" t="s">
        <v>165</v>
      </c>
      <c r="D30" s="44">
        <v>3.8</v>
      </c>
      <c r="E30" s="44">
        <v>3.8</v>
      </c>
      <c r="F30" s="44">
        <v>3.8</v>
      </c>
      <c r="G30" s="44">
        <v>3.8</v>
      </c>
      <c r="H30" s="44">
        <v>3.8</v>
      </c>
      <c r="I30" s="44">
        <v>3.8</v>
      </c>
      <c r="J30" s="44">
        <v>3.8</v>
      </c>
      <c r="K30" s="44">
        <v>3.8</v>
      </c>
      <c r="L30" s="44">
        <v>3.8</v>
      </c>
      <c r="M30" s="44">
        <v>3.8</v>
      </c>
      <c r="N30" s="44">
        <v>3.8</v>
      </c>
      <c r="O30" s="44">
        <v>3.8</v>
      </c>
    </row>
    <row r="31" spans="2:15">
      <c r="C31" s="9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</row>
    <row r="32" spans="2:15">
      <c r="B32" s="97" t="s">
        <v>147</v>
      </c>
      <c r="C32" s="98" t="s">
        <v>158</v>
      </c>
      <c r="D32" s="38" t="s">
        <v>102</v>
      </c>
      <c r="E32" s="38" t="s">
        <v>103</v>
      </c>
      <c r="F32" s="38" t="s">
        <v>104</v>
      </c>
      <c r="G32" s="38" t="s">
        <v>105</v>
      </c>
      <c r="H32" s="38" t="s">
        <v>106</v>
      </c>
      <c r="I32" s="38" t="s">
        <v>107</v>
      </c>
      <c r="J32" s="38" t="s">
        <v>108</v>
      </c>
      <c r="K32" s="38" t="s">
        <v>109</v>
      </c>
      <c r="L32" s="38" t="s">
        <v>110</v>
      </c>
      <c r="M32" s="38" t="s">
        <v>111</v>
      </c>
      <c r="N32" s="38" t="s">
        <v>112</v>
      </c>
      <c r="O32" s="39" t="s">
        <v>113</v>
      </c>
    </row>
    <row r="33" spans="3:15">
      <c r="C33" s="50" t="s">
        <v>159</v>
      </c>
      <c r="D33" s="44">
        <v>2.7</v>
      </c>
      <c r="E33" s="44">
        <v>2.7</v>
      </c>
      <c r="F33" s="44">
        <v>2.7</v>
      </c>
      <c r="G33" s="44">
        <v>2.7</v>
      </c>
      <c r="H33" s="44">
        <v>2.7</v>
      </c>
      <c r="I33" s="44">
        <v>2.7</v>
      </c>
      <c r="J33" s="44">
        <v>2.7</v>
      </c>
      <c r="K33" s="44">
        <v>2.7</v>
      </c>
      <c r="L33" s="44">
        <v>2.7</v>
      </c>
      <c r="M33" s="44">
        <v>2.7</v>
      </c>
      <c r="N33" s="44">
        <v>2.7</v>
      </c>
      <c r="O33" s="44">
        <v>2.7</v>
      </c>
    </row>
    <row r="34" spans="3:15">
      <c r="C34" s="40" t="s">
        <v>160</v>
      </c>
      <c r="D34" s="44">
        <v>2.4</v>
      </c>
      <c r="E34" s="44">
        <v>2.4</v>
      </c>
      <c r="F34" s="44">
        <v>2.4</v>
      </c>
      <c r="G34" s="44">
        <v>2.4</v>
      </c>
      <c r="H34" s="44">
        <v>2.4</v>
      </c>
      <c r="I34" s="44">
        <v>2.4</v>
      </c>
      <c r="J34" s="44">
        <v>2.4</v>
      </c>
      <c r="K34" s="44">
        <v>2.4</v>
      </c>
      <c r="L34" s="44">
        <v>2.4</v>
      </c>
      <c r="M34" s="44">
        <v>2.4</v>
      </c>
      <c r="N34" s="44">
        <v>2.4</v>
      </c>
      <c r="O34" s="44">
        <v>2.4</v>
      </c>
    </row>
    <row r="35" spans="3:15">
      <c r="C35" s="40" t="s">
        <v>161</v>
      </c>
      <c r="D35" s="44">
        <v>2.2999999999999998</v>
      </c>
      <c r="E35" s="44">
        <v>2.2999999999999998</v>
      </c>
      <c r="F35" s="44">
        <v>2.2999999999999998</v>
      </c>
      <c r="G35" s="44">
        <v>2.2999999999999998</v>
      </c>
      <c r="H35" s="44">
        <v>2.2999999999999998</v>
      </c>
      <c r="I35" s="44">
        <v>2.2999999999999998</v>
      </c>
      <c r="J35" s="44">
        <v>2.2999999999999998</v>
      </c>
      <c r="K35" s="44">
        <v>2.2999999999999998</v>
      </c>
      <c r="L35" s="44">
        <v>2.2999999999999998</v>
      </c>
      <c r="M35" s="44">
        <v>2.2999999999999998</v>
      </c>
      <c r="N35" s="44">
        <v>2.2999999999999998</v>
      </c>
      <c r="O35" s="44">
        <v>2.2999999999999998</v>
      </c>
    </row>
    <row r="36" spans="3:15">
      <c r="C36" s="40" t="s">
        <v>162</v>
      </c>
      <c r="D36" s="44">
        <v>2.5</v>
      </c>
      <c r="E36" s="44">
        <v>2.5</v>
      </c>
      <c r="F36" s="44">
        <v>2.5</v>
      </c>
      <c r="G36" s="44">
        <v>2.5</v>
      </c>
      <c r="H36" s="44">
        <v>2.5</v>
      </c>
      <c r="I36" s="44">
        <v>2.5</v>
      </c>
      <c r="J36" s="44">
        <v>2.5</v>
      </c>
      <c r="K36" s="44">
        <v>2.5</v>
      </c>
      <c r="L36" s="44">
        <v>2.5</v>
      </c>
      <c r="M36" s="44">
        <v>2.5</v>
      </c>
      <c r="N36" s="44">
        <v>2.5</v>
      </c>
      <c r="O36" s="44">
        <v>2.5</v>
      </c>
    </row>
    <row r="37" spans="3:15">
      <c r="C37" s="40" t="s">
        <v>163</v>
      </c>
      <c r="D37" s="44">
        <v>2.6</v>
      </c>
      <c r="E37" s="44">
        <v>2.6</v>
      </c>
      <c r="F37" s="44">
        <v>2.6</v>
      </c>
      <c r="G37" s="44">
        <v>2.6</v>
      </c>
      <c r="H37" s="44">
        <v>2.6</v>
      </c>
      <c r="I37" s="44">
        <v>2.6</v>
      </c>
      <c r="J37" s="44">
        <v>2.6</v>
      </c>
      <c r="K37" s="44">
        <v>2.6</v>
      </c>
      <c r="L37" s="44">
        <v>2.6</v>
      </c>
      <c r="M37" s="44">
        <v>2.6</v>
      </c>
      <c r="N37" s="44">
        <v>2.6</v>
      </c>
      <c r="O37" s="44">
        <v>2.6</v>
      </c>
    </row>
    <row r="38" spans="3:15">
      <c r="C38" s="40" t="s">
        <v>164</v>
      </c>
      <c r="D38" s="44">
        <v>2.8</v>
      </c>
      <c r="E38" s="44">
        <v>2.8</v>
      </c>
      <c r="F38" s="44">
        <v>2.8</v>
      </c>
      <c r="G38" s="44">
        <v>2.8</v>
      </c>
      <c r="H38" s="44">
        <v>2.8</v>
      </c>
      <c r="I38" s="44">
        <v>2.8</v>
      </c>
      <c r="J38" s="44">
        <v>2.8</v>
      </c>
      <c r="K38" s="44">
        <v>2.8</v>
      </c>
      <c r="L38" s="44">
        <v>2.8</v>
      </c>
      <c r="M38" s="44">
        <v>2.8</v>
      </c>
      <c r="N38" s="44">
        <v>2.8</v>
      </c>
      <c r="O38" s="44">
        <v>2.8</v>
      </c>
    </row>
    <row r="39" spans="3:15">
      <c r="C39" s="45" t="s">
        <v>165</v>
      </c>
      <c r="D39" s="44">
        <v>2.6</v>
      </c>
      <c r="E39" s="44">
        <v>2.6</v>
      </c>
      <c r="F39" s="44">
        <v>2.6</v>
      </c>
      <c r="G39" s="44">
        <v>2.6</v>
      </c>
      <c r="H39" s="44">
        <v>2.6</v>
      </c>
      <c r="I39" s="44">
        <v>2.6</v>
      </c>
      <c r="J39" s="44">
        <v>2.6</v>
      </c>
      <c r="K39" s="44">
        <v>2.6</v>
      </c>
      <c r="L39" s="44">
        <v>2.6</v>
      </c>
      <c r="M39" s="44">
        <v>2.6</v>
      </c>
      <c r="N39" s="44">
        <v>2.6</v>
      </c>
      <c r="O39" s="44">
        <v>2.6</v>
      </c>
    </row>
    <row r="40" spans="3:15"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</row>
    <row r="41" spans="3:15"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</row>
  </sheetData>
  <dataValidations xWindow="447" yWindow="773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Michelle Scharfstein</cp:lastModifiedBy>
  <dcterms:created xsi:type="dcterms:W3CDTF">2015-01-11T04:34:19Z</dcterms:created>
  <dcterms:modified xsi:type="dcterms:W3CDTF">2015-01-11T20:59:55Z</dcterms:modified>
</cp:coreProperties>
</file>