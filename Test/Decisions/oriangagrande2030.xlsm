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3540" windowHeight="174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<sst xmlns="http://schemas.openxmlformats.org/spreadsheetml/2006/main" count="509" uniqueCount="167">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</sst>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2030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0/pu22d0uJ2GMzYGNLRRW6hxc6TLcd/5I6/eNhZmp0nrm23hKU/5Etz84qCv7kr+OSb3TpckgqL7SgpcfGLl7Q==" saltValue="VWuHI7FOir3ibc1QyDGgg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1500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etmHx5AJLOtuXhCVDIbBnvUw472xgNhfg10w5R0UqbbuatPW5aqVqPqAMzxp02vn78ZvYJLU0HiE89cMt5Dnw==" saltValue="5ltSaej2P07QT5eDayxJs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2679.616742160288</v>
      </c>
      <c r="D6" s="87" t="n">
        <v>2679.616742160288</v>
      </c>
      <c r="E6" s="87" t="n">
        <v>2679.616742160288</v>
      </c>
      <c r="F6" s="87" t="n">
        <v>2679.616742160288</v>
      </c>
      <c r="G6" s="87" t="n">
        <v>2679.616742160288</v>
      </c>
      <c r="H6" s="87" t="n">
        <v>2679.616742160288</v>
      </c>
      <c r="I6" s="87" t="n">
        <v>2679.616742160288</v>
      </c>
      <c r="J6" s="87" t="n">
        <v>2679.616742160288</v>
      </c>
      <c r="K6" s="87" t="n">
        <v>2679.616742160288</v>
      </c>
      <c r="L6" s="87" t="n">
        <v>2679.616742160288</v>
      </c>
      <c r="M6" s="87" t="n">
        <v>2679.616742160288</v>
      </c>
      <c r="N6" s="87" t="n">
        <v>2679.616742160288</v>
      </c>
    </row>
    <row r="7" spans="2:14">
      <c r="B7" s="36" t="s">
        <v>105</v>
      </c>
      <c r="C7" s="88" t="n">
        <v>2.6946691715297984E-20</v>
      </c>
      <c r="D7" s="89" t="n">
        <v>2.6946691715297984E-20</v>
      </c>
      <c r="E7" s="89" t="n">
        <v>2.6946691715297984E-20</v>
      </c>
      <c r="F7" s="89" t="n">
        <v>2.6946691715297984E-20</v>
      </c>
      <c r="G7" s="89" t="n">
        <v>2.6946691715297984E-20</v>
      </c>
      <c r="H7" s="89" t="n">
        <v>2.6946691715297984E-20</v>
      </c>
      <c r="I7" s="89" t="n">
        <v>2.6946691715297984E-20</v>
      </c>
      <c r="J7" s="89" t="n">
        <v>2.6946691715297984E-20</v>
      </c>
      <c r="K7" s="89" t="n">
        <v>2.6946691715297984E-20</v>
      </c>
      <c r="L7" s="89" t="n">
        <v>2.6946691715297984E-20</v>
      </c>
      <c r="M7" s="89" t="n">
        <v>2.6946691715297984E-20</v>
      </c>
      <c r="N7" s="89" t="n">
        <v>2.6946691715297984E-20</v>
      </c>
    </row>
    <row r="8" spans="2:14">
      <c r="B8" s="36" t="s">
        <v>106</v>
      </c>
      <c r="C8" s="88" t="n">
        <v>140.0</v>
      </c>
      <c r="D8" s="89" t="n">
        <v>140.0</v>
      </c>
      <c r="E8" s="89" t="n">
        <v>140.0</v>
      </c>
      <c r="F8" s="89" t="n">
        <v>140.0</v>
      </c>
      <c r="G8" s="89" t="n">
        <v>140.0</v>
      </c>
      <c r="H8" s="89" t="n">
        <v>140.0</v>
      </c>
      <c r="I8" s="89" t="n">
        <v>140.0</v>
      </c>
      <c r="J8" s="89" t="n">
        <v>140.0</v>
      </c>
      <c r="K8" s="89" t="n">
        <v>140.0</v>
      </c>
      <c r="L8" s="89" t="n">
        <v>140.0</v>
      </c>
      <c r="M8" s="89" t="n">
        <v>140.0</v>
      </c>
      <c r="N8" s="89" t="n">
        <v>140.0</v>
      </c>
    </row>
    <row r="9" spans="2:14">
      <c r="B9" s="36" t="s">
        <v>107</v>
      </c>
      <c r="C9" s="88" t="n">
        <v>790.0000000000034</v>
      </c>
      <c r="D9" s="89" t="n">
        <v>790.0000000000034</v>
      </c>
      <c r="E9" s="89" t="n">
        <v>790.0000000000034</v>
      </c>
      <c r="F9" s="89" t="n">
        <v>790.0000000000034</v>
      </c>
      <c r="G9" s="89" t="n">
        <v>790.0000000000034</v>
      </c>
      <c r="H9" s="89" t="n">
        <v>790.0000000000034</v>
      </c>
      <c r="I9" s="89" t="n">
        <v>790.0000000000034</v>
      </c>
      <c r="J9" s="89" t="n">
        <v>790.0000000000034</v>
      </c>
      <c r="K9" s="89" t="n">
        <v>790.0000000000034</v>
      </c>
      <c r="L9" s="89" t="n">
        <v>790.0000000000034</v>
      </c>
      <c r="M9" s="89" t="n">
        <v>790.0000000000034</v>
      </c>
      <c r="N9" s="89" t="n">
        <v>790.0000000000034</v>
      </c>
    </row>
    <row r="10" spans="2:14">
      <c r="B10" s="36" t="s">
        <v>108</v>
      </c>
      <c r="C10" s="88" t="n">
        <v>1.0746744760746714E-19</v>
      </c>
      <c r="D10" s="89" t="n">
        <v>1.0746744760746714E-19</v>
      </c>
      <c r="E10" s="89" t="n">
        <v>1.0746744760746714E-19</v>
      </c>
      <c r="F10" s="89" t="n">
        <v>1.0746744760746714E-19</v>
      </c>
      <c r="G10" s="89" t="n">
        <v>1.0746744760746714E-19</v>
      </c>
      <c r="H10" s="89" t="n">
        <v>1.0746744760746714E-19</v>
      </c>
      <c r="I10" s="89" t="n">
        <v>1.0746744760746714E-19</v>
      </c>
      <c r="J10" s="89" t="n">
        <v>1.0746744760746714E-19</v>
      </c>
      <c r="K10" s="89" t="n">
        <v>1.0746744760746714E-19</v>
      </c>
      <c r="L10" s="89" t="n">
        <v>1.0746744760746714E-19</v>
      </c>
      <c r="M10" s="89" t="n">
        <v>1.0746744760746714E-19</v>
      </c>
      <c r="N10" s="89" t="n">
        <v>1.0746744760746714E-19</v>
      </c>
    </row>
    <row r="11" spans="2:14">
      <c r="B11" s="37" t="s">
        <v>109</v>
      </c>
      <c r="C11" s="88" t="n">
        <v>5.455419870062259E-20</v>
      </c>
      <c r="D11" s="89" t="n">
        <v>5.455419870062259E-20</v>
      </c>
      <c r="E11" s="89" t="n">
        <v>5.455419870062259E-20</v>
      </c>
      <c r="F11" s="89" t="n">
        <v>5.455419870062259E-20</v>
      </c>
      <c r="G11" s="89" t="n">
        <v>5.455419870062259E-20</v>
      </c>
      <c r="H11" s="89" t="n">
        <v>5.455419870062259E-20</v>
      </c>
      <c r="I11" s="89" t="n">
        <v>5.455419870062259E-20</v>
      </c>
      <c r="J11" s="89" t="n">
        <v>5.455419870062259E-20</v>
      </c>
      <c r="K11" s="89" t="n">
        <v>5.455419870062259E-20</v>
      </c>
      <c r="L11" s="89" t="n">
        <v>5.455419870062259E-20</v>
      </c>
      <c r="M11" s="89" t="n">
        <v>5.455419870062259E-20</v>
      </c>
      <c r="N11" s="89" t="n">
        <v>5.455419870062259E-20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0.5588661801664648</v>
      </c>
      <c r="E17" s="90" t="n">
        <v>1.0</v>
      </c>
      <c r="F17" s="90" t="n">
        <v>0.7759693588304469</v>
      </c>
      <c r="G17" s="90" t="n">
        <v>0.8</v>
      </c>
      <c r="H17" s="90" t="n">
        <v>0.993072537494429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0.6416528855203572</v>
      </c>
      <c r="E18" s="91" t="n">
        <v>1.0</v>
      </c>
      <c r="F18" s="91" t="n">
        <v>0.7694878022796103</v>
      </c>
      <c r="G18" s="91" t="n">
        <v>0.8</v>
      </c>
      <c r="H18" s="91" t="n">
        <v>0.8973227190388636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0.681744806794238</v>
      </c>
      <c r="E19" s="91" t="n">
        <v>1.0</v>
      </c>
      <c r="F19" s="91" t="n">
        <v>0.8387266661364621</v>
      </c>
      <c r="G19" s="91" t="n">
        <v>0.8</v>
      </c>
      <c r="H19" s="91" t="n">
        <v>0.9957085254786859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0.6468000511461974</v>
      </c>
      <c r="E20" s="91" t="n">
        <v>1.0</v>
      </c>
      <c r="F20" s="91" t="n">
        <v>0.8111693880541441</v>
      </c>
      <c r="G20" s="91" t="n">
        <v>0.8</v>
      </c>
      <c r="H20" s="91" t="n">
        <v>0.9755387249620907</v>
      </c>
    </row>
    <row r="21" spans="2:33">
      <c r="B21" s="36" t="s">
        <v>108</v>
      </c>
      <c r="C21" s="91" t="n">
        <v>1.2</v>
      </c>
      <c r="D21" s="91" t="n">
        <v>0.7034315121020488</v>
      </c>
      <c r="E21" s="91" t="n">
        <v>1.0</v>
      </c>
      <c r="F21" s="91" t="n">
        <v>0.7307662842945796</v>
      </c>
      <c r="G21" s="91" t="n">
        <v>0.8</v>
      </c>
      <c r="H21" s="91" t="n">
        <v>0.7581010564871102</v>
      </c>
    </row>
    <row r="22" spans="2:33">
      <c r="B22" s="37" t="s">
        <v>109</v>
      </c>
      <c r="C22" s="91" t="n">
        <v>1.2</v>
      </c>
      <c r="D22" s="91" t="n">
        <v>0.6829621051526537</v>
      </c>
      <c r="E22" s="91" t="n">
        <v>1.0</v>
      </c>
      <c r="F22" s="91" t="n">
        <v>0.7453614042591278</v>
      </c>
      <c r="G22" s="91" t="n">
        <v>0.8</v>
      </c>
      <c r="H22" s="91" t="n">
        <v>0.8077607033656018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2025</v>
      </c>
      <c r="E28" s="49"/>
      <c r="F28" s="45">
        <f>basic_info!$D$5-4</f>
        <v>2026</v>
      </c>
      <c r="G28" s="49"/>
      <c r="H28" s="45">
        <f>basic_info!$D$5-3</f>
        <v>2027</v>
      </c>
      <c r="I28" s="49"/>
      <c r="J28" s="45">
        <f>basic_info!$D$5-2</f>
        <v>2028</v>
      </c>
      <c r="K28" s="49"/>
      <c r="L28" s="45">
        <f>basic_info!$D$5-1</f>
        <v>2029</v>
      </c>
      <c r="N28" s="45">
        <f>basic_info!$D$5</f>
        <v>2030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2030</v>
      </c>
      <c r="D30" s="44">
        <v>0.69642607282102109</v>
      </c>
      <c r="E30" s="35">
        <v>0.69642607282102109</v>
      </c>
      <c r="F30" s="47">
        <v>0.68246257035314684</v>
      </c>
      <c r="G30" s="46">
        <v>0.68246257035314684</v>
      </c>
      <c r="H30" s="47">
        <v>0.69754554986117134</v>
      </c>
      <c r="I30" s="46">
        <v>0.69754554986117134</v>
      </c>
      <c r="J30" s="47">
        <v>0.79117891103596805</v>
      </c>
      <c r="K30" s="46">
        <v>0.79117891103596805</v>
      </c>
      <c r="L30" s="47">
        <v>0.73334909048531838</v>
      </c>
      <c r="M30" s="46">
        <v>0.73334909048531838</v>
      </c>
      <c r="N30" s="60"/>
      <c r="O30" s="71" t="s">
        <v>162</v>
      </c>
      <c r="P30" s="41">
        <f>M30+K30+I30+E30+G30</f>
        <v>3.6009621945566259</v>
      </c>
      <c r="Q30" s="70"/>
    </row>
    <row r="31" spans="2:33">
      <c r="B31" s="36"/>
      <c r="C31" s="47">
        <f>basic_info!$D$5+1</f>
        <v>2031</v>
      </c>
      <c r="D31" s="76"/>
      <c r="E31" s="75"/>
      <c r="F31" s="69">
        <v>0.68012294996082789</v>
      </c>
      <c r="G31" s="79">
        <v>0.68012294996082789</v>
      </c>
      <c r="H31" s="61">
        <v>0.70796417212980489</v>
      </c>
      <c r="I31" s="62">
        <v>0.70796417212980489</v>
      </c>
      <c r="J31" s="61">
        <v>0.76520281338787444</v>
      </c>
      <c r="K31" s="62">
        <v>0.76520281338787444</v>
      </c>
      <c r="L31" s="61">
        <v>0.7413359861182125</v>
      </c>
      <c r="M31" s="62">
        <v>0.7413359861182125</v>
      </c>
      <c r="N31" s="63">
        <v>0.81090191034329706</v>
      </c>
      <c r="O31" s="89" t="n">
        <v>0.8109019103432971</v>
      </c>
      <c r="P31" s="63">
        <f>O31+M31+K31+I31+G31</f>
        <v>2.8946259215967203</v>
      </c>
    </row>
    <row r="32" spans="2:33">
      <c r="B32" s="36"/>
      <c r="C32" s="47">
        <f>basic_info!$D$5+2</f>
        <v>2032</v>
      </c>
      <c r="D32" s="76"/>
      <c r="E32" s="75"/>
      <c r="F32" s="75"/>
      <c r="G32" s="75"/>
      <c r="H32" s="69">
        <v>0.66081657635867597</v>
      </c>
      <c r="I32" s="79">
        <v>0.66081657635867597</v>
      </c>
      <c r="J32" s="61">
        <v>0.72379884448625331</v>
      </c>
      <c r="K32" s="62">
        <v>0.72379884448625331</v>
      </c>
      <c r="L32" s="61">
        <v>0.69143952821589572</v>
      </c>
      <c r="M32" s="62">
        <v>0.69143952821589572</v>
      </c>
      <c r="N32" s="63">
        <v>0.79834376345265456</v>
      </c>
      <c r="O32" s="89" t="n">
        <v>0.7983437634526546</v>
      </c>
      <c r="P32" s="63">
        <f>O32+M32+K32+I32</f>
        <v>2.0760549490608251</v>
      </c>
    </row>
    <row r="33" spans="2:17">
      <c r="B33" s="36"/>
      <c r="C33" s="47">
        <f>basic_info!$D$5+3</f>
        <v>2033</v>
      </c>
      <c r="D33" s="76"/>
      <c r="E33" s="75"/>
      <c r="F33" s="75"/>
      <c r="G33" s="75"/>
      <c r="H33" s="75"/>
      <c r="I33" s="75"/>
      <c r="J33" s="69">
        <v>0.68604024631083016</v>
      </c>
      <c r="K33" s="79">
        <v>0.68604024631083016</v>
      </c>
      <c r="L33" s="61">
        <v>0.69892836613039744</v>
      </c>
      <c r="M33" s="62">
        <v>0.69892836613039744</v>
      </c>
      <c r="N33" s="63">
        <v>0.72958384051727887</v>
      </c>
      <c r="O33" s="89" t="n">
        <v>0.7295838405172789</v>
      </c>
      <c r="P33" s="63">
        <f>O33+M33+K33</f>
        <v>1.3849686124412277</v>
      </c>
    </row>
    <row r="34" spans="2:17">
      <c r="B34" s="36"/>
      <c r="C34" s="47">
        <f>basic_info!$D$5+4</f>
        <v>2034</v>
      </c>
      <c r="D34" s="76"/>
      <c r="E34" s="75"/>
      <c r="F34" s="75"/>
      <c r="G34" s="75"/>
      <c r="H34" s="75"/>
      <c r="I34" s="75"/>
      <c r="J34" s="75"/>
      <c r="K34" s="75"/>
      <c r="L34" s="69">
        <v>0.64970057869851594</v>
      </c>
      <c r="M34" s="79">
        <v>0.64970057869851594</v>
      </c>
      <c r="N34" s="63">
        <v>0.71232034054491844</v>
      </c>
      <c r="O34" s="89" t="n">
        <v>0.7123203405449184</v>
      </c>
      <c r="P34" s="63">
        <f>O34+M34</f>
        <v>0.64970057869851594</v>
      </c>
    </row>
    <row r="35" spans="2:17">
      <c r="B35" s="37"/>
      <c r="C35" s="72">
        <f>basic_info!$D$5+5</f>
        <v>2035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0.66346635976135726</v>
      </c>
      <c r="O35" s="89" t="n">
        <v>0.6634663597613573</v>
      </c>
      <c r="P35" s="65">
        <f>O35</f>
        <v>0</v>
      </c>
    </row>
    <row r="36" spans="2:17">
      <c r="B36" s="41" t="s">
        <v>113</v>
      </c>
      <c r="C36" s="36">
        <f>basic_info!$D$5</f>
        <v>2030</v>
      </c>
      <c r="D36" s="44">
        <v>1.0409094843864442</v>
      </c>
      <c r="E36" s="35">
        <v>1.0409094843864442</v>
      </c>
      <c r="F36" s="73">
        <v>1.0839331764160476</v>
      </c>
      <c r="G36" s="74">
        <v>1.0839331764160476</v>
      </c>
      <c r="H36" s="73">
        <v>0.98900041593085708</v>
      </c>
      <c r="I36" s="74">
        <v>0.98900041593085708</v>
      </c>
      <c r="J36" s="73">
        <v>0.97228088435753113</v>
      </c>
      <c r="K36" s="74">
        <v>0.97228088435753113</v>
      </c>
      <c r="L36" s="66">
        <v>1.0958450964136017</v>
      </c>
      <c r="M36" s="67">
        <v>1.0958450964136017</v>
      </c>
      <c r="N36" s="68"/>
      <c r="O36" s="71" t="s">
        <v>162</v>
      </c>
      <c r="P36" s="41">
        <f>M36+K36+I36+E36+G36</f>
        <v>5.1819690575044817</v>
      </c>
      <c r="Q36" s="70"/>
    </row>
    <row r="37" spans="2:17">
      <c r="B37" s="36"/>
      <c r="C37" s="47">
        <f>basic_info!$D$5+1</f>
        <v>2031</v>
      </c>
      <c r="D37" s="76"/>
      <c r="E37" s="75"/>
      <c r="F37" s="69">
        <v>1.0482402778565885</v>
      </c>
      <c r="G37" s="79">
        <v>1.0482402778565885</v>
      </c>
      <c r="H37" s="61">
        <v>0.97045032301312806</v>
      </c>
      <c r="I37" s="62">
        <v>0.97045032301312806</v>
      </c>
      <c r="J37" s="61">
        <v>0.98789917790483717</v>
      </c>
      <c r="K37" s="62">
        <v>0.98789917790483717</v>
      </c>
      <c r="L37" s="61">
        <v>1.0512867234689989</v>
      </c>
      <c r="M37" s="62">
        <v>1.0512867234689989</v>
      </c>
      <c r="N37" s="61">
        <v>1.0713967576029952</v>
      </c>
      <c r="O37" s="89" t="n">
        <v>1.0713967576029952</v>
      </c>
      <c r="P37" s="63">
        <f>O37+M37+K37+I37+G37</f>
        <v>4.0578765022435519</v>
      </c>
    </row>
    <row r="38" spans="2:17">
      <c r="B38" s="36"/>
      <c r="C38" s="47">
        <f>basic_info!$D$5+2</f>
        <v>2032</v>
      </c>
      <c r="D38" s="76"/>
      <c r="E38" s="75"/>
      <c r="F38" s="75"/>
      <c r="G38" s="75"/>
      <c r="H38" s="69">
        <v>0.96112931388616563</v>
      </c>
      <c r="I38" s="79">
        <v>0.96112931388616563</v>
      </c>
      <c r="J38" s="61">
        <v>0.89988736013715631</v>
      </c>
      <c r="K38" s="62">
        <v>0.89988736013715631</v>
      </c>
      <c r="L38" s="61">
        <v>1.053586334277947</v>
      </c>
      <c r="M38" s="62">
        <v>1.053586334277947</v>
      </c>
      <c r="N38" s="61">
        <v>1.0072098965412106</v>
      </c>
      <c r="O38" s="89" t="n">
        <v>1.0072098965412106</v>
      </c>
      <c r="P38" s="63">
        <f>O38+M38+K38+I38</f>
        <v>2.9146030083012691</v>
      </c>
    </row>
    <row r="39" spans="2:17">
      <c r="B39" s="36"/>
      <c r="C39" s="47">
        <f>basic_info!$D$5+3</f>
        <v>2033</v>
      </c>
      <c r="D39" s="76"/>
      <c r="E39" s="75"/>
      <c r="F39" s="75"/>
      <c r="G39" s="75"/>
      <c r="H39" s="75"/>
      <c r="I39" s="75"/>
      <c r="J39" s="69">
        <v>0.86972962859272962</v>
      </c>
      <c r="K39" s="79">
        <v>0.86972962859272962</v>
      </c>
      <c r="L39" s="61">
        <v>1.0074343602156002</v>
      </c>
      <c r="M39" s="62">
        <v>1.0074343602156002</v>
      </c>
      <c r="N39" s="61">
        <v>0.97524463386379778</v>
      </c>
      <c r="O39" s="89" t="n">
        <v>0.9752446338637978</v>
      </c>
      <c r="P39" s="63">
        <f>O39+M39+K39</f>
        <v>1.8771639888083298</v>
      </c>
    </row>
    <row r="40" spans="2:17">
      <c r="B40" s="36"/>
      <c r="C40" s="47">
        <f>basic_info!$D$5+4</f>
        <v>2034</v>
      </c>
      <c r="D40" s="76"/>
      <c r="E40" s="75"/>
      <c r="F40" s="75"/>
      <c r="G40" s="75"/>
      <c r="H40" s="75"/>
      <c r="I40" s="75"/>
      <c r="J40" s="75"/>
      <c r="K40" s="75"/>
      <c r="L40" s="69">
        <v>0.9264638961553574</v>
      </c>
      <c r="M40" s="79">
        <v>0.9264638961553574</v>
      </c>
      <c r="N40" s="61">
        <v>0.9730984368342821</v>
      </c>
      <c r="O40" s="89" t="n">
        <v>0.9730984368342821</v>
      </c>
      <c r="P40" s="63">
        <f>O40+M40</f>
        <v>0.9264638961553574</v>
      </c>
    </row>
    <row r="41" spans="2:17">
      <c r="B41" s="37"/>
      <c r="C41" s="72">
        <f>basic_info!$D$5+5</f>
        <v>2035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0.8868314356505872</v>
      </c>
      <c r="O41" s="89" t="n">
        <v>0.8868314356505872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8.333333333333332</v>
      </c>
      <c r="D47" s="92" t="n">
        <v>8.333333333333332</v>
      </c>
      <c r="E47" s="92" t="n">
        <v>8.333333333333332</v>
      </c>
      <c r="F47" s="92" t="n">
        <v>8.333333333333332</v>
      </c>
      <c r="G47" s="92" t="n">
        <v>8.333333333333332</v>
      </c>
      <c r="H47" s="92" t="n">
        <v>8.333333333333332</v>
      </c>
      <c r="I47" s="92" t="n">
        <v>8.333333333333332</v>
      </c>
      <c r="J47" s="92" t="n">
        <v>8.333333333333332</v>
      </c>
      <c r="K47" s="92" t="n">
        <v>8.333333333333332</v>
      </c>
      <c r="L47" s="92" t="n">
        <v>8.333333333333332</v>
      </c>
      <c r="M47" s="92" t="n">
        <v>8.333333333333332</v>
      </c>
      <c r="N47" s="92" t="n">
        <v>8.333333333333332</v>
      </c>
      <c r="O47" s="33">
        <f>SUM(C47:N47)</f>
        <v>0</v>
      </c>
    </row>
    <row r="48" spans="2:17">
      <c r="B48" s="37" t="s">
        <v>113</v>
      </c>
      <c r="C48" s="92" t="n">
        <v>8.333333333333332</v>
      </c>
      <c r="D48" s="92" t="n">
        <v>8.333333333333332</v>
      </c>
      <c r="E48" s="92" t="n">
        <v>8.333333333333332</v>
      </c>
      <c r="F48" s="92" t="n">
        <v>8.333333333333332</v>
      </c>
      <c r="G48" s="92" t="n">
        <v>8.333333333333332</v>
      </c>
      <c r="H48" s="92" t="n">
        <v>8.333333333333332</v>
      </c>
      <c r="I48" s="92" t="n">
        <v>8.333333333333332</v>
      </c>
      <c r="J48" s="92" t="n">
        <v>8.333333333333332</v>
      </c>
      <c r="K48" s="92" t="n">
        <v>8.333333333333332</v>
      </c>
      <c r="L48" s="92" t="n">
        <v>8.333333333333332</v>
      </c>
      <c r="M48" s="92" t="n">
        <v>8.333333333333332</v>
      </c>
      <c r="N48" s="92" t="n">
        <v>8.333333333333332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4QUVHTo0bXy7Hen79HfK7Wk8L0uvZBpXzgb6+PB0qJBIWVwcAAkWK7HpHDA+FZb0tDvBJipZO/MPBuehJQC7wQ==" saltValue="dB3J4rA3H1hPIFQI2/uxz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1.0471160179453765E-21</v>
      </c>
      <c r="D6" s="93" t="n">
        <v>60.75638313885849</v>
      </c>
      <c r="E6" s="93" t="n">
        <v>1.7150644158338667E-22</v>
      </c>
      <c r="F6" s="93" t="n">
        <v>1.3100591778370718E-22</v>
      </c>
      <c r="G6" s="93" t="n">
        <v>39.243616861141504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52.81925760333784</v>
      </c>
      <c r="D7" s="93" t="n">
        <v>38.79274054817668</v>
      </c>
      <c r="E7" s="93" t="n">
        <v>0.0</v>
      </c>
      <c r="F7" s="93" t="n">
        <v>8.388001848485471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5.824149476029042E-21</v>
      </c>
      <c r="D8" s="93" t="n">
        <v>1.5122659344429053E-20</v>
      </c>
      <c r="E8" s="93" t="n">
        <v>100.0</v>
      </c>
      <c r="F8" s="93" t="n">
        <v>1.6099083949842781E-21</v>
      </c>
      <c r="G8" s="93" t="n">
        <v>2.22572923710483E-21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75.9493670886077</v>
      </c>
      <c r="D9" s="93" t="n">
        <v>3.125650511400688E-21</v>
      </c>
      <c r="E9" s="93" t="n">
        <v>2.8314656323344865E-21</v>
      </c>
      <c r="F9" s="93" t="n">
        <v>24.050632911392302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62.65630456388628</v>
      </c>
      <c r="D10" s="93" t="n">
        <v>21.605788977057635</v>
      </c>
      <c r="E10" s="93" t="n">
        <v>5.476431783746071</v>
      </c>
      <c r="F10" s="93" t="n">
        <v>6.774695498907733</v>
      </c>
      <c r="G10" s="93" t="n">
        <v>3.4867791764022904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1.2326931046741814</v>
      </c>
      <c r="D11" s="94" t="n">
        <v>77.6816128378285</v>
      </c>
      <c r="E11" s="94" t="n">
        <v>0.0</v>
      </c>
      <c r="F11" s="94" t="n">
        <v>0.0</v>
      </c>
      <c r="G11" s="94" t="n">
        <v>21.08569405749732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42.975159754170214</v>
      </c>
      <c r="D19" s="44">
        <f>100-$C$19</f>
        <v>100</v>
      </c>
      <c r="E19" s="94" t="n">
        <v>42.96452102520631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14.334539086074356</v>
      </c>
      <c r="D27" s="93" t="n">
        <v>34.07044093516424</v>
      </c>
      <c r="E27" s="93" t="n">
        <v>28.826223559739947</v>
      </c>
      <c r="F27" s="93" t="n">
        <v>13.173588524476495</v>
      </c>
      <c r="G27" s="95" t="n">
        <v>11.083341153757656</v>
      </c>
      <c r="N27" s="50"/>
      <c r="O27" s="50"/>
      <c r="P27" s="50"/>
    </row>
    <row r="28" spans="2:16">
      <c r="B28" s="45" t="s">
        <v>46</v>
      </c>
      <c r="C28" s="93" t="n">
        <v>17.423399252861387</v>
      </c>
      <c r="D28" s="93" t="n">
        <v>65.92955906483574</v>
      </c>
      <c r="E28" s="93" t="n">
        <v>71.17377644026006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68.24206166106426</v>
      </c>
      <c r="D29" s="93" t="n">
        <v>0.0</v>
      </c>
      <c r="E29" s="93" t="n">
        <v>0.0</v>
      </c>
      <c r="F29" s="93" t="n">
        <v>86.8264114755235</v>
      </c>
      <c r="G29" s="95" t="n">
        <v>88.91665884624236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35.503847016814774</v>
      </c>
      <c r="D37" s="93" t="n">
        <v>35.503847016814774</v>
      </c>
      <c r="E37" s="93" t="n">
        <v>35.503847016814774</v>
      </c>
      <c r="F37" s="93" t="n">
        <v>35.503847016814774</v>
      </c>
      <c r="G37" s="93" t="n">
        <v>35.503847016814774</v>
      </c>
      <c r="H37" s="93" t="n">
        <v>35.503847016814774</v>
      </c>
      <c r="I37" s="93" t="n">
        <v>35.503847016814774</v>
      </c>
      <c r="J37" s="93" t="n">
        <v>35.503847016814774</v>
      </c>
      <c r="K37" s="93" t="n">
        <v>35.503847016814774</v>
      </c>
      <c r="L37" s="93" t="n">
        <v>35.503847016814774</v>
      </c>
      <c r="M37" s="93" t="n">
        <v>35.503847016814774</v>
      </c>
      <c r="N37" s="95" t="n">
        <v>35.503847016814774</v>
      </c>
    </row>
    <row r="38" spans="2:14">
      <c r="B38" s="45" t="s">
        <v>46</v>
      </c>
      <c r="C38" s="93" t="n">
        <v>49.27338109917838</v>
      </c>
      <c r="D38" s="93" t="n">
        <v>49.27338109917838</v>
      </c>
      <c r="E38" s="93" t="n">
        <v>49.27338109917838</v>
      </c>
      <c r="F38" s="93" t="n">
        <v>49.27338109917838</v>
      </c>
      <c r="G38" s="93" t="n">
        <v>49.27338109917838</v>
      </c>
      <c r="H38" s="93" t="n">
        <v>49.27338109917838</v>
      </c>
      <c r="I38" s="93" t="n">
        <v>49.27338109917838</v>
      </c>
      <c r="J38" s="93" t="n">
        <v>49.27338109917838</v>
      </c>
      <c r="K38" s="93" t="n">
        <v>49.27338109917838</v>
      </c>
      <c r="L38" s="93" t="n">
        <v>49.27338109917838</v>
      </c>
      <c r="M38" s="93" t="n">
        <v>49.27338109917838</v>
      </c>
      <c r="N38" s="95" t="n">
        <v>49.27338109917838</v>
      </c>
    </row>
    <row r="39" spans="2:14">
      <c r="B39" s="45" t="s">
        <v>59</v>
      </c>
      <c r="C39" s="94" t="n">
        <v>44.78231270999172</v>
      </c>
      <c r="D39" s="94" t="n">
        <v>44.78231270999172</v>
      </c>
      <c r="E39" s="94" t="n">
        <v>44.78231270999172</v>
      </c>
      <c r="F39" s="94" t="n">
        <v>44.78231270999172</v>
      </c>
      <c r="G39" s="94" t="n">
        <v>44.78231270999172</v>
      </c>
      <c r="H39" s="94" t="n">
        <v>44.78231270999172</v>
      </c>
      <c r="I39" s="94" t="n">
        <v>44.78231270999172</v>
      </c>
      <c r="J39" s="94" t="n">
        <v>44.78231270999172</v>
      </c>
      <c r="K39" s="94" t="n">
        <v>44.78231270999172</v>
      </c>
      <c r="L39" s="94" t="n">
        <v>44.78231270999172</v>
      </c>
      <c r="M39" s="94" t="n">
        <v>44.78231270999172</v>
      </c>
      <c r="N39" s="89" t="n">
        <v>44.78231270999172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cclp6e9k5OKgnNMXq6Q65BKdq9i6TmoCdMEPivbFYGzzthi/cHf8NC9zF4wa6ZNuRAYZjUNI+okPHGtYk+hJ/g==" saltValue="UZLcIcDYFPmTiAcNwus6Y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pA7UNzp1LcSM2doEX8h6lifkP4JCzQikO4N6Klr3o6HaCYJzcT0kKcshWW+lWWrWqJaxy4jyPZAHWr/hyJjOiA==" saltValue="NJAagTY0dDAzerdKMDTOI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2015-01-12T20:53:57Z</dcterms:modified>
</coreProperties>
</file>