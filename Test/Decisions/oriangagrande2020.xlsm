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6840" windowHeight="1752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<sst xmlns="http://schemas.openxmlformats.org/spreadsheetml/2006/main" count="509" uniqueCount="167">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</sst>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6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2020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WJjCo4J51j+3m8+/GafDG36NKn7GMgpfeYhf1garfYfQCxajp7e2V2XKxpKc3toldLISUKM4inaLIrx2Ygavtw==" saltValue="zMEpFHIQHMcq4mrINI3bo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3500</v>
      </c>
      <c r="E39" s="15" t="s">
        <v>166</v>
      </c>
      <c r="F39" s="15" t="s">
        <v>6</v>
      </c>
      <c r="G39" s="15">
        <f t="shared" si="3"/>
        <v>3500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2250</v>
      </c>
      <c r="E63" s="15" t="s">
        <v>166</v>
      </c>
      <c r="F63" s="15" t="s">
        <v>6</v>
      </c>
      <c r="G63" s="15">
        <f t="shared" si="3"/>
        <v>2250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6000</v>
      </c>
      <c r="E76" s="15" t="s">
        <v>166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E4kJrsiH9EagNkyDsX2tw1Sas90JH4dzHbhBgSylV/6jfQa+1+WT8jmGMxcXm4Am7yCcvcnBzneGOJsNUA4O9A==" saltValue="HJ7JoWFzxVHjJi4sULbj/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9" sqref="C9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2286.3733812813821</v>
      </c>
      <c r="D6" s="87">
        <v>2286.3733812813821</v>
      </c>
      <c r="E6" s="87">
        <v>2286.3733812813821</v>
      </c>
      <c r="F6" s="87">
        <v>2286.3733812813821</v>
      </c>
      <c r="G6" s="87">
        <v>2286.3733812813821</v>
      </c>
      <c r="H6" s="87">
        <v>2286.3733812813821</v>
      </c>
      <c r="I6" s="87">
        <v>2286.3733812813821</v>
      </c>
      <c r="J6" s="87">
        <v>2286.3733812813821</v>
      </c>
      <c r="K6" s="87">
        <v>2286.3733812813821</v>
      </c>
      <c r="L6" s="87">
        <v>2286.3733812813821</v>
      </c>
      <c r="M6" s="87">
        <v>2286.3733812813821</v>
      </c>
      <c r="N6" s="87">
        <v>2286.3733812813821</v>
      </c>
    </row>
    <row r="7" spans="2:14">
      <c r="B7" s="36" t="s">
        <v>105</v>
      </c>
      <c r="C7" s="88">
        <v>1.1822953366672563E-21</v>
      </c>
      <c r="D7" s="89">
        <v>1.1822953366672563E-21</v>
      </c>
      <c r="E7" s="89">
        <v>1.1822953366672563E-21</v>
      </c>
      <c r="F7" s="89">
        <v>1.1822953366672563E-21</v>
      </c>
      <c r="G7" s="89">
        <v>1.1822953366672563E-21</v>
      </c>
      <c r="H7" s="89">
        <v>1.1822953366672563E-21</v>
      </c>
      <c r="I7" s="89">
        <v>1.1822953366672563E-21</v>
      </c>
      <c r="J7" s="89">
        <v>1.1822953366672563E-21</v>
      </c>
      <c r="K7" s="89">
        <v>1.1822953366672563E-21</v>
      </c>
      <c r="L7" s="89">
        <v>1.1822953366672563E-21</v>
      </c>
      <c r="M7" s="89">
        <v>1.1822953366672563E-21</v>
      </c>
      <c r="N7" s="89">
        <v>1.1822953366672563E-21</v>
      </c>
    </row>
    <row r="8" spans="2:14">
      <c r="B8" s="36" t="s">
        <v>106</v>
      </c>
      <c r="C8" s="88">
        <v>120</v>
      </c>
      <c r="D8" s="88">
        <v>160</v>
      </c>
      <c r="E8" s="88">
        <v>160</v>
      </c>
      <c r="F8" s="88">
        <v>160</v>
      </c>
      <c r="G8" s="88">
        <v>160</v>
      </c>
      <c r="H8" s="88">
        <v>160</v>
      </c>
      <c r="I8" s="88">
        <v>160</v>
      </c>
      <c r="J8" s="88">
        <v>160</v>
      </c>
      <c r="K8" s="88">
        <v>160</v>
      </c>
      <c r="L8" s="88">
        <v>160</v>
      </c>
      <c r="M8" s="88">
        <v>160</v>
      </c>
      <c r="N8" s="88">
        <v>160</v>
      </c>
    </row>
    <row r="9" spans="2:14">
      <c r="B9" s="36" t="s">
        <v>107</v>
      </c>
      <c r="C9" s="88">
        <v>815.15335703879305</v>
      </c>
      <c r="D9" s="89">
        <v>815.15335703879305</v>
      </c>
      <c r="E9" s="89">
        <v>815.15335703879305</v>
      </c>
      <c r="F9" s="89">
        <v>815.15335703879305</v>
      </c>
      <c r="G9" s="89">
        <v>815.15335703879305</v>
      </c>
      <c r="H9" s="89">
        <v>815.15335703879305</v>
      </c>
      <c r="I9" s="89">
        <v>815.15335703879305</v>
      </c>
      <c r="J9" s="89">
        <v>815.15335703879305</v>
      </c>
      <c r="K9" s="89">
        <v>815.15335703879305</v>
      </c>
      <c r="L9" s="89">
        <v>815.15335703879305</v>
      </c>
      <c r="M9" s="89">
        <v>815.15335703879305</v>
      </c>
      <c r="N9" s="89">
        <v>815.15335703879305</v>
      </c>
    </row>
    <row r="10" spans="2:14">
      <c r="B10" s="36" t="s">
        <v>108</v>
      </c>
      <c r="C10" s="88">
        <v>4.859486158924392E-22</v>
      </c>
      <c r="D10" s="89">
        <v>4.859486158924392E-22</v>
      </c>
      <c r="E10" s="89">
        <v>4.859486158924392E-22</v>
      </c>
      <c r="F10" s="89">
        <v>4.859486158924392E-22</v>
      </c>
      <c r="G10" s="89">
        <v>4.859486158924392E-22</v>
      </c>
      <c r="H10" s="89">
        <v>4.859486158924392E-22</v>
      </c>
      <c r="I10" s="89">
        <v>4.859486158924392E-22</v>
      </c>
      <c r="J10" s="89">
        <v>4.859486158924392E-22</v>
      </c>
      <c r="K10" s="89">
        <v>4.859486158924392E-22</v>
      </c>
      <c r="L10" s="89">
        <v>4.859486158924392E-22</v>
      </c>
      <c r="M10" s="89">
        <v>4.859486158924392E-22</v>
      </c>
      <c r="N10" s="89">
        <v>4.859486158924392E-22</v>
      </c>
    </row>
    <row r="11" spans="2:14">
      <c r="B11" s="37" t="s">
        <v>109</v>
      </c>
      <c r="C11" s="88">
        <v>1.6556289414246386E-21</v>
      </c>
      <c r="D11" s="89">
        <v>1.6556289414246386E-21</v>
      </c>
      <c r="E11" s="89">
        <v>1.6556289414246386E-21</v>
      </c>
      <c r="F11" s="89">
        <v>1.6556289414246386E-21</v>
      </c>
      <c r="G11" s="89">
        <v>1.6556289414246386E-21</v>
      </c>
      <c r="H11" s="89">
        <v>1.6556289414246386E-21</v>
      </c>
      <c r="I11" s="89">
        <v>1.6556289414246386E-21</v>
      </c>
      <c r="J11" s="89">
        <v>1.6556289414246386E-21</v>
      </c>
      <c r="K11" s="89">
        <v>1.6556289414246386E-21</v>
      </c>
      <c r="L11" s="89">
        <v>1.6556289414246386E-21</v>
      </c>
      <c r="M11" s="89">
        <v>1.6556289414246386E-21</v>
      </c>
      <c r="N11" s="89">
        <v>1.6556289414246386E-21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0.55903119155075243</v>
      </c>
      <c r="E17" s="90">
        <v>1</v>
      </c>
      <c r="F17" s="90">
        <v>0.78242407516446932</v>
      </c>
      <c r="G17" s="90">
        <v>0.8</v>
      </c>
      <c r="H17" s="90">
        <v>1.0058169587781862</v>
      </c>
      <c r="I17" s="29" t="s">
        <v>110</v>
      </c>
    </row>
    <row r="18" spans="2:33">
      <c r="B18" s="36" t="s">
        <v>105</v>
      </c>
      <c r="C18" s="91">
        <v>1.2</v>
      </c>
      <c r="D18" s="91">
        <v>0.63784786282160688</v>
      </c>
      <c r="E18" s="91">
        <v>1</v>
      </c>
      <c r="F18" s="91">
        <v>0.76630229792259485</v>
      </c>
      <c r="G18" s="91">
        <v>0.8</v>
      </c>
      <c r="H18" s="91">
        <v>0.89475673302358261</v>
      </c>
      <c r="I18" s="29" t="s">
        <v>110</v>
      </c>
    </row>
    <row r="19" spans="2:33">
      <c r="B19" s="36" t="s">
        <v>106</v>
      </c>
      <c r="C19" s="91">
        <v>1.2</v>
      </c>
      <c r="D19" s="91">
        <v>0.68362873999170948</v>
      </c>
      <c r="E19" s="91">
        <v>1</v>
      </c>
      <c r="F19" s="91">
        <v>0.83625110419460869</v>
      </c>
      <c r="G19" s="91">
        <v>0.8</v>
      </c>
      <c r="H19" s="91">
        <v>0.98887346839750778</v>
      </c>
      <c r="I19" s="29" t="s">
        <v>110</v>
      </c>
    </row>
    <row r="20" spans="2:33">
      <c r="B20" s="36" t="s">
        <v>107</v>
      </c>
      <c r="C20" s="91">
        <v>1.2</v>
      </c>
      <c r="D20" s="91">
        <v>0.64566278632824503</v>
      </c>
      <c r="E20" s="91">
        <v>1</v>
      </c>
      <c r="F20" s="91">
        <v>0.8175727618138281</v>
      </c>
      <c r="G20" s="91">
        <v>0.8</v>
      </c>
      <c r="H20" s="91">
        <v>0.98948273729941105</v>
      </c>
    </row>
    <row r="21" spans="2:33">
      <c r="B21" s="36" t="s">
        <v>108</v>
      </c>
      <c r="C21" s="91">
        <v>1.2</v>
      </c>
      <c r="D21" s="91">
        <v>0.71164424678667748</v>
      </c>
      <c r="E21" s="91">
        <v>1</v>
      </c>
      <c r="F21" s="91">
        <v>0.74009711833390912</v>
      </c>
      <c r="G21" s="91">
        <v>0.8</v>
      </c>
      <c r="H21" s="91">
        <v>0.76854998988114087</v>
      </c>
    </row>
    <row r="22" spans="2:33">
      <c r="B22" s="37" t="s">
        <v>109</v>
      </c>
      <c r="C22" s="91">
        <v>1.2</v>
      </c>
      <c r="D22" s="91">
        <v>0.70021354704439331</v>
      </c>
      <c r="E22" s="91">
        <v>1</v>
      </c>
      <c r="F22" s="91">
        <v>0.76327855712684678</v>
      </c>
      <c r="G22" s="91">
        <v>0.8</v>
      </c>
      <c r="H22" s="91">
        <v>0.82634356720930013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2015</v>
      </c>
      <c r="E28" s="49"/>
      <c r="F28" s="45">
        <f>basic_info!$D$5-4</f>
        <v>2016</v>
      </c>
      <c r="G28" s="49"/>
      <c r="H28" s="45">
        <f>basic_info!$D$5-3</f>
        <v>2017</v>
      </c>
      <c r="I28" s="49"/>
      <c r="J28" s="45">
        <f>basic_info!$D$5-2</f>
        <v>2018</v>
      </c>
      <c r="K28" s="49"/>
      <c r="L28" s="45">
        <f>basic_info!$D$5-1</f>
        <v>2019</v>
      </c>
      <c r="N28" s="45">
        <f>basic_info!$D$5</f>
        <v>2020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2020</v>
      </c>
      <c r="D30" s="44">
        <v>0.74553772844970234</v>
      </c>
      <c r="E30" s="35">
        <v>1145.3</v>
      </c>
      <c r="F30" s="47">
        <v>0.69965863319312305</v>
      </c>
      <c r="G30" s="46">
        <v>0</v>
      </c>
      <c r="H30" s="47">
        <v>0.87457866977723531</v>
      </c>
      <c r="I30" s="46">
        <v>1061.069</v>
      </c>
      <c r="J30" s="47">
        <v>0.79998380292338289</v>
      </c>
      <c r="K30" s="46">
        <v>0.79998380292338289</v>
      </c>
      <c r="L30" s="47">
        <v>0.87461334533313895</v>
      </c>
      <c r="M30" s="46">
        <v>0.87461334533313895</v>
      </c>
      <c r="N30" s="60"/>
      <c r="O30" s="71" t="s">
        <v>162</v>
      </c>
      <c r="P30" s="41">
        <f>M30+K30+I30+E30+G30</f>
        <v>2208.0435971482566</v>
      </c>
      <c r="Q30" s="70"/>
    </row>
    <row r="31" spans="2:33">
      <c r="B31" s="36"/>
      <c r="C31" s="47">
        <f>basic_info!$D$5+1</f>
        <v>2021</v>
      </c>
      <c r="D31" s="76"/>
      <c r="E31" s="75"/>
      <c r="F31" s="69">
        <v>0.67052111424505711</v>
      </c>
      <c r="G31" s="79">
        <v>2000</v>
      </c>
      <c r="H31" s="61">
        <v>0.82996059621196905</v>
      </c>
      <c r="I31" s="62">
        <v>1061.069</v>
      </c>
      <c r="J31" s="61">
        <v>0.81109959679484855</v>
      </c>
      <c r="K31" s="62">
        <v>0.81109959679484855</v>
      </c>
      <c r="L31" s="61">
        <v>0.85598770293106174</v>
      </c>
      <c r="M31" s="62">
        <v>0.85598770293106174</v>
      </c>
      <c r="N31" s="63">
        <v>0.73990162963512685</v>
      </c>
      <c r="O31" s="89">
        <v>0.73990162963512685</v>
      </c>
      <c r="P31" s="63">
        <f>O31+M31+K31+I31+G31</f>
        <v>3062.736087299726</v>
      </c>
    </row>
    <row r="32" spans="2:33">
      <c r="B32" s="36"/>
      <c r="C32" s="47">
        <f>basic_info!$D$5+2</f>
        <v>2022</v>
      </c>
      <c r="D32" s="76"/>
      <c r="E32" s="75"/>
      <c r="F32" s="75"/>
      <c r="G32" s="75"/>
      <c r="H32" s="69">
        <v>0.77235281866490846</v>
      </c>
      <c r="I32" s="79">
        <v>1061.069</v>
      </c>
      <c r="J32" s="61">
        <v>0.74817568762620479</v>
      </c>
      <c r="K32" s="62">
        <v>0.74817568762620479</v>
      </c>
      <c r="L32" s="61">
        <v>0.80283888711486584</v>
      </c>
      <c r="M32" s="62">
        <v>0.80283888711486584</v>
      </c>
      <c r="N32" s="63">
        <v>0.74570195787797222</v>
      </c>
      <c r="O32" s="89">
        <v>0.74570195787797222</v>
      </c>
      <c r="P32" s="63">
        <f>O32+M32+K32+I32</f>
        <v>1062.6200145747409</v>
      </c>
    </row>
    <row r="33" spans="2:17">
      <c r="B33" s="36"/>
      <c r="C33" s="47">
        <f>basic_info!$D$5+3</f>
        <v>2023</v>
      </c>
      <c r="D33" s="76"/>
      <c r="E33" s="75"/>
      <c r="F33" s="75"/>
      <c r="G33" s="75"/>
      <c r="H33" s="75"/>
      <c r="I33" s="75"/>
      <c r="J33" s="69">
        <v>0.76104814894497397</v>
      </c>
      <c r="K33" s="79">
        <v>0.76104814894497397</v>
      </c>
      <c r="L33" s="61">
        <v>0.79273633468025484</v>
      </c>
      <c r="M33" s="62">
        <v>0.79273633468025484</v>
      </c>
      <c r="N33" s="63">
        <v>0.69703697591794289</v>
      </c>
      <c r="O33" s="89">
        <v>0.69703697591794289</v>
      </c>
      <c r="P33" s="63">
        <f>O33+M33+K33</f>
        <v>1.5537844836252288</v>
      </c>
    </row>
    <row r="34" spans="2:17">
      <c r="B34" s="36"/>
      <c r="C34" s="47">
        <f>basic_info!$D$5+4</f>
        <v>2024</v>
      </c>
      <c r="D34" s="76"/>
      <c r="E34" s="75"/>
      <c r="F34" s="75"/>
      <c r="G34" s="75"/>
      <c r="H34" s="75"/>
      <c r="I34" s="75"/>
      <c r="J34" s="75"/>
      <c r="K34" s="75"/>
      <c r="L34" s="69">
        <v>0.74555828573405758</v>
      </c>
      <c r="M34" s="79">
        <v>0.74555828573405758</v>
      </c>
      <c r="N34" s="63">
        <v>0.64461704818677901</v>
      </c>
      <c r="O34" s="89">
        <v>0.64461704818677901</v>
      </c>
      <c r="P34" s="63">
        <f>O34+M34</f>
        <v>0.74555828573405758</v>
      </c>
    </row>
    <row r="35" spans="2:17">
      <c r="B35" s="37"/>
      <c r="C35" s="72">
        <f>basic_info!$D$5+5</f>
        <v>2025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0.64994232899248594</v>
      </c>
      <c r="O35" s="89">
        <v>0.64994232899248594</v>
      </c>
      <c r="P35" s="65">
        <f>O35</f>
        <v>0</v>
      </c>
    </row>
    <row r="36" spans="2:17">
      <c r="B36" s="41" t="s">
        <v>113</v>
      </c>
      <c r="C36" s="36">
        <f>basic_info!$D$5</f>
        <v>2020</v>
      </c>
      <c r="D36" s="44">
        <v>0.93049090272188195</v>
      </c>
      <c r="E36" s="35">
        <v>298.27199999999999</v>
      </c>
      <c r="F36" s="73">
        <v>0.94087785036126215</v>
      </c>
      <c r="G36" s="74">
        <v>15000</v>
      </c>
      <c r="H36" s="73">
        <v>1.0674782123792534</v>
      </c>
      <c r="I36" s="74">
        <v>0</v>
      </c>
      <c r="J36" s="73">
        <v>1.0255380813967128</v>
      </c>
      <c r="K36" s="74">
        <v>1.0255380813967128</v>
      </c>
      <c r="L36" s="66">
        <v>1.064074118420409</v>
      </c>
      <c r="M36" s="67">
        <v>1.064074118420409</v>
      </c>
      <c r="N36" s="68"/>
      <c r="O36" s="71" t="s">
        <v>162</v>
      </c>
      <c r="P36" s="41">
        <f>M36+K36+I36+E36+G36</f>
        <v>15300.361612199817</v>
      </c>
      <c r="Q36" s="70"/>
    </row>
    <row r="37" spans="2:17">
      <c r="B37" s="36"/>
      <c r="C37" s="47">
        <f>basic_info!$D$5+1</f>
        <v>2021</v>
      </c>
      <c r="D37" s="76"/>
      <c r="E37" s="75"/>
      <c r="F37" s="69">
        <v>0.88851178684830667</v>
      </c>
      <c r="G37" s="79">
        <v>20000</v>
      </c>
      <c r="H37" s="61">
        <v>0.9979103092184296</v>
      </c>
      <c r="I37" s="62">
        <v>16262.2045658647</v>
      </c>
      <c r="J37" s="61">
        <v>0.98917274591614612</v>
      </c>
      <c r="K37" s="62">
        <v>0.98917274591614612</v>
      </c>
      <c r="L37" s="61">
        <v>1.0530186656760385</v>
      </c>
      <c r="M37" s="62">
        <v>1.0530186656760385</v>
      </c>
      <c r="N37" s="61">
        <v>1.225624111661084</v>
      </c>
      <c r="O37" s="89">
        <v>1.225624111661084</v>
      </c>
      <c r="P37" s="63">
        <f>O37+M37+K37+I37+G37</f>
        <v>36264.246757276291</v>
      </c>
    </row>
    <row r="38" spans="2:17">
      <c r="B38" s="36"/>
      <c r="C38" s="47">
        <f>basic_info!$D$5+2</f>
        <v>2022</v>
      </c>
      <c r="D38" s="76"/>
      <c r="E38" s="75"/>
      <c r="F38" s="75"/>
      <c r="G38" s="75"/>
      <c r="H38" s="69">
        <v>0.91683839964866642</v>
      </c>
      <c r="I38" s="79">
        <v>16262.2045658647</v>
      </c>
      <c r="J38" s="61">
        <v>0.95076571483281835</v>
      </c>
      <c r="K38" s="62">
        <v>0.95076571483281835</v>
      </c>
      <c r="L38" s="61">
        <v>0.99685742648302889</v>
      </c>
      <c r="M38" s="62">
        <v>0.99685742648302889</v>
      </c>
      <c r="N38" s="61">
        <v>1.1844849384504048</v>
      </c>
      <c r="O38" s="89">
        <v>1.1844849384504048</v>
      </c>
      <c r="P38" s="63">
        <f>O38+M38+K38+I38</f>
        <v>16264.152189006016</v>
      </c>
    </row>
    <row r="39" spans="2:17">
      <c r="B39" s="36"/>
      <c r="C39" s="47">
        <f>basic_info!$D$5+3</f>
        <v>2023</v>
      </c>
      <c r="D39" s="76"/>
      <c r="E39" s="75"/>
      <c r="F39" s="75"/>
      <c r="G39" s="75"/>
      <c r="H39" s="75"/>
      <c r="I39" s="75"/>
      <c r="J39" s="69">
        <v>0.92028542885184295</v>
      </c>
      <c r="K39" s="79">
        <v>0.92028542885184295</v>
      </c>
      <c r="L39" s="61">
        <v>0.97101189850230707</v>
      </c>
      <c r="M39" s="62">
        <v>0.97101189850230707</v>
      </c>
      <c r="N39" s="61">
        <v>1.0883434339799747</v>
      </c>
      <c r="O39" s="89">
        <v>1.0883434339799747</v>
      </c>
      <c r="P39" s="63">
        <f>O39+M39+K39</f>
        <v>1.89129732735415</v>
      </c>
    </row>
    <row r="40" spans="2:17">
      <c r="B40" s="36"/>
      <c r="C40" s="47">
        <f>basic_info!$D$5+4</f>
        <v>2024</v>
      </c>
      <c r="D40" s="76"/>
      <c r="E40" s="75"/>
      <c r="F40" s="75"/>
      <c r="G40" s="75"/>
      <c r="H40" s="75"/>
      <c r="I40" s="75"/>
      <c r="J40" s="75"/>
      <c r="K40" s="75"/>
      <c r="L40" s="69">
        <v>0.91845404595136637</v>
      </c>
      <c r="M40" s="79">
        <v>0.91845404595136637</v>
      </c>
      <c r="N40" s="61">
        <v>1.0508784733022103</v>
      </c>
      <c r="O40" s="89">
        <v>1.0508784733022103</v>
      </c>
      <c r="P40" s="63">
        <f>O40+M40</f>
        <v>0.91845404595136637</v>
      </c>
    </row>
    <row r="41" spans="2:17">
      <c r="B41" s="37"/>
      <c r="C41" s="72">
        <f>basic_info!$D$5+5</f>
        <v>2025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1.0247439911663534</v>
      </c>
      <c r="O41" s="89">
        <v>1.0247439911663534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8.3333333333333304</v>
      </c>
      <c r="D47" s="92">
        <v>8.3333333333333304</v>
      </c>
      <c r="E47" s="92">
        <v>8.3333333333333304</v>
      </c>
      <c r="F47" s="92">
        <v>8.3333333333333304</v>
      </c>
      <c r="G47" s="92">
        <v>8.3333333333333304</v>
      </c>
      <c r="H47" s="92">
        <v>8.3333333333333304</v>
      </c>
      <c r="I47" s="92">
        <v>8.3333333333333304</v>
      </c>
      <c r="J47" s="92">
        <v>8.3333333333333304</v>
      </c>
      <c r="K47" s="92">
        <v>8.3333333333333304</v>
      </c>
      <c r="L47" s="92">
        <v>8.3333333333333304</v>
      </c>
      <c r="M47" s="92">
        <v>8.3333333333333304</v>
      </c>
      <c r="N47" s="92">
        <v>8.3333333333333304</v>
      </c>
      <c r="O47" s="33">
        <f>SUM(C47:N47)</f>
        <v>0</v>
      </c>
    </row>
    <row r="48" spans="2:17">
      <c r="B48" s="37" t="s">
        <v>113</v>
      </c>
      <c r="C48" s="92">
        <v>8.3333333333333304</v>
      </c>
      <c r="D48" s="92">
        <v>8.3333333333333304</v>
      </c>
      <c r="E48" s="92">
        <v>8.3333333333333304</v>
      </c>
      <c r="F48" s="92">
        <v>8.3333333333333304</v>
      </c>
      <c r="G48" s="92">
        <v>8.3333333333333304</v>
      </c>
      <c r="H48" s="92">
        <v>8.3333333333333304</v>
      </c>
      <c r="I48" s="92">
        <v>8.3333333333333304</v>
      </c>
      <c r="J48" s="92">
        <v>8.3333333333333304</v>
      </c>
      <c r="K48" s="92">
        <v>8.3333333333333304</v>
      </c>
      <c r="L48" s="92">
        <v>8.3333333333333304</v>
      </c>
      <c r="M48" s="92">
        <v>8.3333333333333304</v>
      </c>
      <c r="N48" s="92">
        <v>8.3333333333333304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fPiJkIFuwCC5Ic4apUdfv9tl74YRei9DGMKD5nnQPGxo8I2FmU9hbwvndIOwcmdq4l8DoFeVsj6w0umOxExi2A==" saltValue="mLOAXhOn0+9Uz51R3GnTV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workbookViewId="0">
      <selection activeCell="D46" sqref="D46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1.9408369896125283E-23</v>
      </c>
      <c r="D6" s="93">
        <v>54.685611819137051</v>
      </c>
      <c r="E6" s="93">
        <v>2.1789332530058259E-23</v>
      </c>
      <c r="F6" s="93">
        <v>1.8470426603302493E-23</v>
      </c>
      <c r="G6" s="93">
        <v>45.314388180862949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78.507544510177055</v>
      </c>
      <c r="D7" s="93">
        <v>17.50709653950404</v>
      </c>
      <c r="E7" s="93">
        <v>0</v>
      </c>
      <c r="F7" s="93">
        <v>0</v>
      </c>
      <c r="G7" s="93">
        <v>3.9853589503189002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7.5156228431741451E-22</v>
      </c>
      <c r="D8" s="93">
        <v>2.3540980548377715E-22</v>
      </c>
      <c r="E8" s="93">
        <v>100.00000000000001</v>
      </c>
      <c r="F8" s="93">
        <v>5.4258312813737097E-23</v>
      </c>
      <c r="G8" s="93">
        <v>2.3738016197254699E-23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73.6057816383925</v>
      </c>
      <c r="D9" s="93">
        <v>1.2215235407971839E-22</v>
      </c>
      <c r="E9" s="93">
        <v>0</v>
      </c>
      <c r="F9" s="93">
        <v>26.394218361607503</v>
      </c>
      <c r="G9" s="93">
        <v>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6.2559498766288311</v>
      </c>
      <c r="D10" s="93">
        <v>93.744050123371167</v>
      </c>
      <c r="E10" s="93">
        <v>0</v>
      </c>
      <c r="F10" s="93">
        <v>0</v>
      </c>
      <c r="G10" s="93">
        <v>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29.565351062181517</v>
      </c>
      <c r="D11" s="94">
        <v>67.588679849293371</v>
      </c>
      <c r="E11" s="94">
        <v>0</v>
      </c>
      <c r="F11" s="94">
        <v>0</v>
      </c>
      <c r="G11" s="94">
        <v>2.8459690885251128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49.939160482043782</v>
      </c>
      <c r="D19" s="44">
        <f>100-$C$19</f>
        <v>100</v>
      </c>
      <c r="E19" s="94">
        <v>49.676454736647365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14.778802026561191</v>
      </c>
      <c r="D27" s="93">
        <v>48.851549334333114</v>
      </c>
      <c r="E27" s="93">
        <v>43.808277315778696</v>
      </c>
      <c r="F27" s="93">
        <v>3.5571520681326456</v>
      </c>
      <c r="G27" s="95">
        <v>1.1942283124418829</v>
      </c>
      <c r="N27" s="50"/>
      <c r="O27" s="50"/>
      <c r="P27" s="50"/>
    </row>
    <row r="28" spans="2:16">
      <c r="B28" s="45" t="s">
        <v>46</v>
      </c>
      <c r="C28" s="93">
        <v>17.912885932697556</v>
      </c>
      <c r="D28" s="93">
        <v>51.148450665666893</v>
      </c>
      <c r="E28" s="93">
        <v>56.19172268422129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67.308312040741242</v>
      </c>
      <c r="D29" s="93">
        <v>0</v>
      </c>
      <c r="E29" s="93">
        <v>0</v>
      </c>
      <c r="F29" s="93">
        <v>96.442847931867348</v>
      </c>
      <c r="G29" s="95">
        <v>98.805771687558106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39.28388747885986</v>
      </c>
      <c r="D37" s="93">
        <v>39.28388747885986</v>
      </c>
      <c r="E37" s="93">
        <v>39.28388747885986</v>
      </c>
      <c r="F37" s="93">
        <v>39.28388747885986</v>
      </c>
      <c r="G37" s="93">
        <v>39.28388747885986</v>
      </c>
      <c r="H37" s="93">
        <v>39.28388747885986</v>
      </c>
      <c r="I37" s="93">
        <v>39.28388747885986</v>
      </c>
      <c r="J37" s="93">
        <v>39.28388747885986</v>
      </c>
      <c r="K37" s="93">
        <v>39.28388747885986</v>
      </c>
      <c r="L37" s="93">
        <v>39.28388747885986</v>
      </c>
      <c r="M37" s="93">
        <v>39.28388747885986</v>
      </c>
      <c r="N37" s="95">
        <v>39.28388747885986</v>
      </c>
    </row>
    <row r="38" spans="2:14">
      <c r="B38" s="45" t="s">
        <v>46</v>
      </c>
      <c r="C38" s="93">
        <v>41.180328899486284</v>
      </c>
      <c r="D38" s="93">
        <v>41.180328899486284</v>
      </c>
      <c r="E38" s="93">
        <v>41.180328899486284</v>
      </c>
      <c r="F38" s="93">
        <v>41.180328899486284</v>
      </c>
      <c r="G38" s="93">
        <v>41.180328899486284</v>
      </c>
      <c r="H38" s="93">
        <v>41.180328899486284</v>
      </c>
      <c r="I38" s="93">
        <v>41.180328899486284</v>
      </c>
      <c r="J38" s="93">
        <v>41.180328899486284</v>
      </c>
      <c r="K38" s="93">
        <v>41.180328899486284</v>
      </c>
      <c r="L38" s="93">
        <v>41.180328899486284</v>
      </c>
      <c r="M38" s="93">
        <v>41.180328899486284</v>
      </c>
      <c r="N38" s="95">
        <v>41.180328899486284</v>
      </c>
    </row>
    <row r="39" spans="2:14">
      <c r="B39" s="45" t="s">
        <v>59</v>
      </c>
      <c r="C39" s="94">
        <v>43.627634665399007</v>
      </c>
      <c r="D39" s="94">
        <v>43.627634665399007</v>
      </c>
      <c r="E39" s="94">
        <v>43.627634665399007</v>
      </c>
      <c r="F39" s="94">
        <v>43.627634665399007</v>
      </c>
      <c r="G39" s="94">
        <v>43.627634665399007</v>
      </c>
      <c r="H39" s="94">
        <v>43.627634665399007</v>
      </c>
      <c r="I39" s="94">
        <v>43.627634665399007</v>
      </c>
      <c r="J39" s="94">
        <v>43.627634665399007</v>
      </c>
      <c r="K39" s="94">
        <v>43.627634665399007</v>
      </c>
      <c r="L39" s="94">
        <v>43.627634665399007</v>
      </c>
      <c r="M39" s="94">
        <v>43.627634665399007</v>
      </c>
      <c r="N39" s="89">
        <v>43.627634665399007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6JnN/D9bCBn2UaugHsc928qoJWQkjZbwzDlkRUJdhcaQwDrCJ5mMVoQO2y87s+9uBTYuTwLUcl20M+PJw6M6w==" saltValue="KXZdsrR+5FoQtLspRiCYq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boccJ2ohKGeN0RTMXe8BpMxOy8xHo6dDRjwR8MofclNQvH5JQvEvwu5aC0TurThVjhPIkh4KaYvACq0H1uqn+Q==" saltValue="PDoTfTHoD2DZYu3byPbyr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2015-01-12T18:22:07Z</dcterms:modified>
</cp:coreProperties>
</file>