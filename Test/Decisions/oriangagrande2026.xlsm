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1700" windowHeight="145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<sst xmlns="http://schemas.openxmlformats.org/spreadsheetml/2006/main" count="509" uniqueCount="167">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</sst>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2026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bPKo59FKezFOmrN4BqDS4UAmTpVYgiJKGBCrhTvmIsiUt5G8y3VjI9xwPXlVSbjP86XSPVmbgFFKZ7nEL+kHtw==" saltValue="lVwXSln+4vgbcGL3RZuhq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3dNJmQrJ8SJ95DPZYZ0noAYR239tohGSec68wgS9uWtmaQKQ8YdwnUmR5+FN55G6wn6uti0pSfJBKveN7B/OFg==" saltValue="PFTczO35YT69I+gSfe16m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2604.69725146226</v>
      </c>
      <c r="D6" s="87" t="n">
        <v>2604.69725146226</v>
      </c>
      <c r="E6" s="87" t="n">
        <v>2604.69725146226</v>
      </c>
      <c r="F6" s="87" t="n">
        <v>2604.69725146226</v>
      </c>
      <c r="G6" s="87" t="n">
        <v>2604.69725146226</v>
      </c>
      <c r="H6" s="87" t="n">
        <v>2604.69725146226</v>
      </c>
      <c r="I6" s="87" t="n">
        <v>2604.69725146226</v>
      </c>
      <c r="J6" s="87" t="n">
        <v>2604.69725146226</v>
      </c>
      <c r="K6" s="87" t="n">
        <v>2604.69725146226</v>
      </c>
      <c r="L6" s="87" t="n">
        <v>2604.69725146226</v>
      </c>
      <c r="M6" s="87" t="n">
        <v>2604.69725146226</v>
      </c>
      <c r="N6" s="87" t="n">
        <v>2604.69725146226</v>
      </c>
    </row>
    <row r="7" spans="2:14">
      <c r="B7" s="36" t="s">
        <v>105</v>
      </c>
      <c r="C7" s="88" t="n">
        <v>1.088392592576984E-18</v>
      </c>
      <c r="D7" s="89" t="n">
        <v>1.088392592576984E-18</v>
      </c>
      <c r="E7" s="89" t="n">
        <v>1.088392592576984E-18</v>
      </c>
      <c r="F7" s="89" t="n">
        <v>1.088392592576984E-18</v>
      </c>
      <c r="G7" s="89" t="n">
        <v>1.088392592576984E-18</v>
      </c>
      <c r="H7" s="89" t="n">
        <v>1.088392592576984E-18</v>
      </c>
      <c r="I7" s="89" t="n">
        <v>1.088392592576984E-18</v>
      </c>
      <c r="J7" s="89" t="n">
        <v>1.088392592576984E-18</v>
      </c>
      <c r="K7" s="89" t="n">
        <v>1.088392592576984E-18</v>
      </c>
      <c r="L7" s="89" t="n">
        <v>1.088392592576984E-18</v>
      </c>
      <c r="M7" s="89" t="n">
        <v>1.088392592576984E-18</v>
      </c>
      <c r="N7" s="89" t="n">
        <v>1.088392592576984E-18</v>
      </c>
    </row>
    <row r="8" spans="2:14">
      <c r="B8" s="36" t="s">
        <v>106</v>
      </c>
      <c r="C8" s="88" t="n">
        <v>125.0</v>
      </c>
      <c r="D8" s="89" t="n">
        <v>125.0</v>
      </c>
      <c r="E8" s="89" t="n">
        <v>125.0</v>
      </c>
      <c r="F8" s="89" t="n">
        <v>125.0</v>
      </c>
      <c r="G8" s="89" t="n">
        <v>125.0</v>
      </c>
      <c r="H8" s="89" t="n">
        <v>125.0</v>
      </c>
      <c r="I8" s="89" t="n">
        <v>125.0</v>
      </c>
      <c r="J8" s="89" t="n">
        <v>125.0</v>
      </c>
      <c r="K8" s="89" t="n">
        <v>125.0</v>
      </c>
      <c r="L8" s="89" t="n">
        <v>125.0</v>
      </c>
      <c r="M8" s="89" t="n">
        <v>125.0</v>
      </c>
      <c r="N8" s="89" t="n">
        <v>125.0</v>
      </c>
    </row>
    <row r="9" spans="2:14">
      <c r="B9" s="36" t="s">
        <v>107</v>
      </c>
      <c r="C9" s="88" t="n">
        <v>790.0</v>
      </c>
      <c r="D9" s="89" t="n">
        <v>790.0</v>
      </c>
      <c r="E9" s="89" t="n">
        <v>790.0</v>
      </c>
      <c r="F9" s="89" t="n">
        <v>790.0</v>
      </c>
      <c r="G9" s="89" t="n">
        <v>790.0</v>
      </c>
      <c r="H9" s="89" t="n">
        <v>790.0</v>
      </c>
      <c r="I9" s="89" t="n">
        <v>790.0</v>
      </c>
      <c r="J9" s="89" t="n">
        <v>790.0</v>
      </c>
      <c r="K9" s="89" t="n">
        <v>790.0</v>
      </c>
      <c r="L9" s="89" t="n">
        <v>790.0</v>
      </c>
      <c r="M9" s="89" t="n">
        <v>790.0</v>
      </c>
      <c r="N9" s="89" t="n">
        <v>790.0</v>
      </c>
    </row>
    <row r="10" spans="2:14">
      <c r="B10" s="36" t="s">
        <v>108</v>
      </c>
      <c r="C10" s="88" t="n">
        <v>1.2422105405595607E-18</v>
      </c>
      <c r="D10" s="89" t="n">
        <v>1.2422105405595607E-18</v>
      </c>
      <c r="E10" s="89" t="n">
        <v>1.2422105405595607E-18</v>
      </c>
      <c r="F10" s="89" t="n">
        <v>1.2422105405595607E-18</v>
      </c>
      <c r="G10" s="89" t="n">
        <v>1.2422105405595607E-18</v>
      </c>
      <c r="H10" s="89" t="n">
        <v>1.2422105405595607E-18</v>
      </c>
      <c r="I10" s="89" t="n">
        <v>1.2422105405595607E-18</v>
      </c>
      <c r="J10" s="89" t="n">
        <v>1.2422105405595607E-18</v>
      </c>
      <c r="K10" s="89" t="n">
        <v>1.2422105405595607E-18</v>
      </c>
      <c r="L10" s="89" t="n">
        <v>1.2422105405595607E-18</v>
      </c>
      <c r="M10" s="89" t="n">
        <v>1.2422105405595607E-18</v>
      </c>
      <c r="N10" s="89" t="n">
        <v>1.2422105405595607E-18</v>
      </c>
    </row>
    <row r="11" spans="2:14">
      <c r="B11" s="37" t="s">
        <v>109</v>
      </c>
      <c r="C11" s="88" t="n">
        <v>7.563677655640433E-19</v>
      </c>
      <c r="D11" s="89" t="n">
        <v>7.563677655640433E-19</v>
      </c>
      <c r="E11" s="89" t="n">
        <v>7.563677655640433E-19</v>
      </c>
      <c r="F11" s="89" t="n">
        <v>7.563677655640433E-19</v>
      </c>
      <c r="G11" s="89" t="n">
        <v>7.563677655640433E-19</v>
      </c>
      <c r="H11" s="89" t="n">
        <v>7.563677655640433E-19</v>
      </c>
      <c r="I11" s="89" t="n">
        <v>7.563677655640433E-19</v>
      </c>
      <c r="J11" s="89" t="n">
        <v>7.563677655640433E-19</v>
      </c>
      <c r="K11" s="89" t="n">
        <v>7.563677655640433E-19</v>
      </c>
      <c r="L11" s="89" t="n">
        <v>7.563677655640433E-19</v>
      </c>
      <c r="M11" s="89" t="n">
        <v>7.563677655640433E-19</v>
      </c>
      <c r="N11" s="89" t="n">
        <v>7.563677655640433E-19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0.5550470694788429</v>
      </c>
      <c r="E17" s="90" t="n">
        <v>1.0</v>
      </c>
      <c r="F17" s="90" t="n">
        <v>0.7820377666157331</v>
      </c>
      <c r="G17" s="90" t="n">
        <v>0.8</v>
      </c>
      <c r="H17" s="90" t="n">
        <v>1.0090284637526232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0.6401792731060121</v>
      </c>
      <c r="E18" s="91" t="n">
        <v>1.0</v>
      </c>
      <c r="F18" s="91" t="n">
        <v>0.7700796418671689</v>
      </c>
      <c r="G18" s="91" t="n">
        <v>0.8</v>
      </c>
      <c r="H18" s="91" t="n">
        <v>0.8999800106283256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0.6801524027465224</v>
      </c>
      <c r="E19" s="91" t="n">
        <v>1.0</v>
      </c>
      <c r="F19" s="91" t="n">
        <v>0.8418686565296465</v>
      </c>
      <c r="G19" s="91" t="n">
        <v>0.8</v>
      </c>
      <c r="H19" s="91" t="n">
        <v>1.0035849103127705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0.646149925101119</v>
      </c>
      <c r="E20" s="91" t="n">
        <v>1.0</v>
      </c>
      <c r="F20" s="91" t="n">
        <v>0.8120215416456839</v>
      </c>
      <c r="G20" s="91" t="n">
        <v>0.8</v>
      </c>
      <c r="H20" s="91" t="n">
        <v>0.9778931581902486</v>
      </c>
    </row>
    <row r="21" spans="2:33">
      <c r="B21" s="36" t="s">
        <v>108</v>
      </c>
      <c r="C21" s="91" t="n">
        <v>1.2</v>
      </c>
      <c r="D21" s="91" t="n">
        <v>0.6960381104059646</v>
      </c>
      <c r="E21" s="91" t="n">
        <v>1.0</v>
      </c>
      <c r="F21" s="91" t="n">
        <v>0.7228661015569054</v>
      </c>
      <c r="G21" s="91" t="n">
        <v>0.8</v>
      </c>
      <c r="H21" s="91" t="n">
        <v>0.7496940927078463</v>
      </c>
    </row>
    <row r="22" spans="2:33">
      <c r="B22" s="37" t="s">
        <v>109</v>
      </c>
      <c r="C22" s="91" t="n">
        <v>1.2</v>
      </c>
      <c r="D22" s="91" t="n">
        <v>0.6914010327676157</v>
      </c>
      <c r="E22" s="91" t="n">
        <v>1.0</v>
      </c>
      <c r="F22" s="91" t="n">
        <v>0.7548086667501523</v>
      </c>
      <c r="G22" s="91" t="n">
        <v>0.8</v>
      </c>
      <c r="H22" s="91" t="n">
        <v>0.818216300732689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2021</v>
      </c>
      <c r="E28" s="49"/>
      <c r="F28" s="45">
        <f>basic_info!$D$5-4</f>
        <v>2022</v>
      </c>
      <c r="G28" s="49"/>
      <c r="H28" s="45">
        <f>basic_info!$D$5-3</f>
        <v>2023</v>
      </c>
      <c r="I28" s="49"/>
      <c r="J28" s="45">
        <f>basic_info!$D$5-2</f>
        <v>2024</v>
      </c>
      <c r="K28" s="49"/>
      <c r="L28" s="45">
        <f>basic_info!$D$5-1</f>
        <v>2025</v>
      </c>
      <c r="N28" s="45">
        <f>basic_info!$D$5</f>
        <v>2026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2026</v>
      </c>
      <c r="D30" s="44">
        <v>0.73880555482804788</v>
      </c>
      <c r="E30" s="35">
        <v>0.73880555482804788</v>
      </c>
      <c r="F30" s="47">
        <v>0.80660806339327296</v>
      </c>
      <c r="G30" s="46">
        <v>0.80660806339327296</v>
      </c>
      <c r="H30" s="47">
        <v>0.66770912421851791</v>
      </c>
      <c r="I30" s="46">
        <v>0.66770912421851791</v>
      </c>
      <c r="J30" s="47">
        <v>0.80424226781322339</v>
      </c>
      <c r="K30" s="46">
        <v>0.80424226781322339</v>
      </c>
      <c r="L30" s="47">
        <v>0.90763329631080369</v>
      </c>
      <c r="M30" s="46">
        <v>0.90763329631080369</v>
      </c>
      <c r="N30" s="60"/>
      <c r="O30" s="71" t="s">
        <v>162</v>
      </c>
      <c r="P30" s="41">
        <f>M30+K30+I30+E30+G30</f>
        <v>3.9249983065638658</v>
      </c>
      <c r="Q30" s="70"/>
    </row>
    <row r="31" spans="2:33">
      <c r="B31" s="36"/>
      <c r="C31" s="47">
        <f>basic_info!$D$5+1</f>
        <v>2027</v>
      </c>
      <c r="D31" s="76"/>
      <c r="E31" s="75"/>
      <c r="F31" s="69">
        <v>0.76512732076942924</v>
      </c>
      <c r="G31" s="79">
        <v>0.76512732076942924</v>
      </c>
      <c r="H31" s="61">
        <v>0.65019748550057865</v>
      </c>
      <c r="I31" s="62">
        <v>0.65019748550057865</v>
      </c>
      <c r="J31" s="61">
        <v>0.78825317361714797</v>
      </c>
      <c r="K31" s="62">
        <v>0.78825317361714797</v>
      </c>
      <c r="L31" s="61">
        <v>0.83418333387532106</v>
      </c>
      <c r="M31" s="62">
        <v>0.83418333387532106</v>
      </c>
      <c r="N31" s="63">
        <v>0.75973931162527031</v>
      </c>
      <c r="O31" s="89" t="n">
        <v>0.7597393116252703</v>
      </c>
      <c r="P31" s="63">
        <f>O31+M31+K31+I31+G31</f>
        <v>3.037761313762477</v>
      </c>
    </row>
    <row r="32" spans="2:33">
      <c r="B32" s="36"/>
      <c r="C32" s="47">
        <f>basic_info!$D$5+2</f>
        <v>2028</v>
      </c>
      <c r="D32" s="76"/>
      <c r="E32" s="75"/>
      <c r="F32" s="75"/>
      <c r="G32" s="75"/>
      <c r="H32" s="69">
        <v>0.66023955697715286</v>
      </c>
      <c r="I32" s="79">
        <v>0.66023955697715286</v>
      </c>
      <c r="J32" s="61">
        <v>0.76028061435442029</v>
      </c>
      <c r="K32" s="62">
        <v>0.76028061435442029</v>
      </c>
      <c r="L32" s="61">
        <v>0.78705796464934707</v>
      </c>
      <c r="M32" s="62">
        <v>0.78705796464934707</v>
      </c>
      <c r="N32" s="63">
        <v>0.76209966338188417</v>
      </c>
      <c r="O32" s="89" t="n">
        <v>0.7620996633818842</v>
      </c>
      <c r="P32" s="63">
        <f>O32+M32+K32+I32</f>
        <v>2.2075781359809206</v>
      </c>
    </row>
    <row r="33" spans="2:17">
      <c r="B33" s="36"/>
      <c r="C33" s="47">
        <f>basic_info!$D$5+3</f>
        <v>2029</v>
      </c>
      <c r="D33" s="76"/>
      <c r="E33" s="75"/>
      <c r="F33" s="75"/>
      <c r="G33" s="75"/>
      <c r="H33" s="75"/>
      <c r="I33" s="75"/>
      <c r="J33" s="69">
        <v>0.77380428089201447</v>
      </c>
      <c r="K33" s="79">
        <v>0.77380428089201447</v>
      </c>
      <c r="L33" s="61">
        <v>0.74605181189556535</v>
      </c>
      <c r="M33" s="62">
        <v>0.74605181189556535</v>
      </c>
      <c r="N33" s="63">
        <v>0.69292953939969726</v>
      </c>
      <c r="O33" s="89" t="n">
        <v>0.6929295393996973</v>
      </c>
      <c r="P33" s="63">
        <f>O33+M33+K33</f>
        <v>1.5198560927875797</v>
      </c>
    </row>
    <row r="34" spans="2:17">
      <c r="B34" s="36"/>
      <c r="C34" s="47">
        <f>basic_info!$D$5+4</f>
        <v>2030</v>
      </c>
      <c r="D34" s="76"/>
      <c r="E34" s="75"/>
      <c r="F34" s="75"/>
      <c r="G34" s="75"/>
      <c r="H34" s="75"/>
      <c r="I34" s="75"/>
      <c r="J34" s="75"/>
      <c r="K34" s="75"/>
      <c r="L34" s="69">
        <v>0.69642607282102109</v>
      </c>
      <c r="M34" s="79">
        <v>0.69642607282102109</v>
      </c>
      <c r="N34" s="63">
        <v>0.68246257035314684</v>
      </c>
      <c r="O34" s="89" t="n">
        <v>0.6824625703531468</v>
      </c>
      <c r="P34" s="63">
        <f>O34+M34</f>
        <v>0.69642607282102109</v>
      </c>
    </row>
    <row r="35" spans="2:17">
      <c r="B35" s="37"/>
      <c r="C35" s="72">
        <f>basic_info!$D$5+5</f>
        <v>2031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0.68012294996082789</v>
      </c>
      <c r="O35" s="89" t="n">
        <v>0.6801229499608279</v>
      </c>
      <c r="P35" s="65">
        <f>O35</f>
        <v>0</v>
      </c>
    </row>
    <row r="36" spans="2:17">
      <c r="B36" s="41" t="s">
        <v>113</v>
      </c>
      <c r="C36" s="36">
        <f>basic_info!$D$5</f>
        <v>2026</v>
      </c>
      <c r="D36" s="44">
        <v>0.93520843183994296</v>
      </c>
      <c r="E36" s="35">
        <v>0.93520843183994296</v>
      </c>
      <c r="F36" s="73">
        <v>1.0352907467437555</v>
      </c>
      <c r="G36" s="74">
        <v>1.0352907467437555</v>
      </c>
      <c r="H36" s="73">
        <v>0.88683645767326402</v>
      </c>
      <c r="I36" s="74">
        <v>0.88683645767326402</v>
      </c>
      <c r="J36" s="73">
        <v>0.95481203910000689</v>
      </c>
      <c r="K36" s="74">
        <v>0.95481203910000689</v>
      </c>
      <c r="L36" s="66">
        <v>1.087525706124693</v>
      </c>
      <c r="M36" s="67">
        <v>1.087525706124693</v>
      </c>
      <c r="N36" s="68"/>
      <c r="O36" s="71" t="s">
        <v>162</v>
      </c>
      <c r="P36" s="41">
        <f>M36+K36+I36+E36+G36</f>
        <v>4.8996733814816622</v>
      </c>
      <c r="Q36" s="70"/>
    </row>
    <row r="37" spans="2:17">
      <c r="B37" s="36"/>
      <c r="C37" s="47">
        <f>basic_info!$D$5+1</f>
        <v>2027</v>
      </c>
      <c r="D37" s="76"/>
      <c r="E37" s="75"/>
      <c r="F37" s="69">
        <v>1.0053375317752362</v>
      </c>
      <c r="G37" s="79">
        <v>1.0053375317752362</v>
      </c>
      <c r="H37" s="61">
        <v>0.87530734595100446</v>
      </c>
      <c r="I37" s="62">
        <v>0.87530734595100446</v>
      </c>
      <c r="J37" s="61">
        <v>0.97417948833143708</v>
      </c>
      <c r="K37" s="62">
        <v>0.97417948833143708</v>
      </c>
      <c r="L37" s="61">
        <v>1.0855802099290006</v>
      </c>
      <c r="M37" s="62">
        <v>1.0855802099290006</v>
      </c>
      <c r="N37" s="61">
        <v>1.3097582193821362</v>
      </c>
      <c r="O37" s="89" t="n">
        <v>1.3097582193821362</v>
      </c>
      <c r="P37" s="63">
        <f>O37+M37+K37+I37+G37</f>
        <v>3.9404045759866784</v>
      </c>
    </row>
    <row r="38" spans="2:17">
      <c r="B38" s="36"/>
      <c r="C38" s="47">
        <f>basic_info!$D$5+2</f>
        <v>2028</v>
      </c>
      <c r="D38" s="76"/>
      <c r="E38" s="75"/>
      <c r="F38" s="75"/>
      <c r="G38" s="75"/>
      <c r="H38" s="69">
        <v>0.87304416900873183</v>
      </c>
      <c r="I38" s="79">
        <v>0.87304416900873183</v>
      </c>
      <c r="J38" s="61">
        <v>0.95442559833887075</v>
      </c>
      <c r="K38" s="62">
        <v>0.95442559833887075</v>
      </c>
      <c r="L38" s="61">
        <v>1.0750677373803734</v>
      </c>
      <c r="M38" s="62">
        <v>1.0750677373803734</v>
      </c>
      <c r="N38" s="61">
        <v>1.2198040079418053</v>
      </c>
      <c r="O38" s="89" t="n">
        <v>1.2198040079418053</v>
      </c>
      <c r="P38" s="63">
        <f>O38+M38+K38+I38</f>
        <v>2.9025375047279756</v>
      </c>
    </row>
    <row r="39" spans="2:17">
      <c r="B39" s="36"/>
      <c r="C39" s="47">
        <f>basic_info!$D$5+3</f>
        <v>2029</v>
      </c>
      <c r="D39" s="76"/>
      <c r="E39" s="75"/>
      <c r="F39" s="75"/>
      <c r="G39" s="75"/>
      <c r="H39" s="75"/>
      <c r="I39" s="75"/>
      <c r="J39" s="69">
        <v>0.88631273952126499</v>
      </c>
      <c r="K39" s="79">
        <v>0.88631273952126499</v>
      </c>
      <c r="L39" s="61">
        <v>1.0546694543357544</v>
      </c>
      <c r="M39" s="62">
        <v>1.0546694543357544</v>
      </c>
      <c r="N39" s="61">
        <v>1.1756596786689746</v>
      </c>
      <c r="O39" s="89" t="n">
        <v>1.1756596786689746</v>
      </c>
      <c r="P39" s="63">
        <f>O39+M39+K39</f>
        <v>1.9409821938570193</v>
      </c>
    </row>
    <row r="40" spans="2:17">
      <c r="B40" s="36"/>
      <c r="C40" s="47">
        <f>basic_info!$D$5+4</f>
        <v>2030</v>
      </c>
      <c r="D40" s="76"/>
      <c r="E40" s="75"/>
      <c r="F40" s="75"/>
      <c r="G40" s="75"/>
      <c r="H40" s="75"/>
      <c r="I40" s="75"/>
      <c r="J40" s="75"/>
      <c r="K40" s="75"/>
      <c r="L40" s="69">
        <v>1.0409094843864442</v>
      </c>
      <c r="M40" s="79">
        <v>1.0409094843864442</v>
      </c>
      <c r="N40" s="61">
        <v>1.0839331764160476</v>
      </c>
      <c r="O40" s="89" t="n">
        <v>1.0839331764160476</v>
      </c>
      <c r="P40" s="63">
        <f>O40+M40</f>
        <v>1.0409094843864442</v>
      </c>
    </row>
    <row r="41" spans="2:17">
      <c r="B41" s="37"/>
      <c r="C41" s="72">
        <f>basic_info!$D$5+5</f>
        <v>2031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1.0482402778565885</v>
      </c>
      <c r="O41" s="89" t="n">
        <v>1.0482402778565885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8.333333333333332</v>
      </c>
      <c r="D47" s="92" t="n">
        <v>8.333333333333332</v>
      </c>
      <c r="E47" s="92" t="n">
        <v>8.333333333333332</v>
      </c>
      <c r="F47" s="92" t="n">
        <v>8.333333333333332</v>
      </c>
      <c r="G47" s="92" t="n">
        <v>8.333333333333332</v>
      </c>
      <c r="H47" s="92" t="n">
        <v>8.333333333333332</v>
      </c>
      <c r="I47" s="92" t="n">
        <v>8.333333333333332</v>
      </c>
      <c r="J47" s="92" t="n">
        <v>8.333333333333332</v>
      </c>
      <c r="K47" s="92" t="n">
        <v>8.333333333333332</v>
      </c>
      <c r="L47" s="92" t="n">
        <v>8.333333333333332</v>
      </c>
      <c r="M47" s="92" t="n">
        <v>8.333333333333332</v>
      </c>
      <c r="N47" s="92" t="n">
        <v>8.333333333333332</v>
      </c>
      <c r="O47" s="33">
        <f>SUM(C47:N47)</f>
        <v>0</v>
      </c>
    </row>
    <row r="48" spans="2:17">
      <c r="B48" s="37" t="s">
        <v>113</v>
      </c>
      <c r="C48" s="92" t="n">
        <v>8.33333333333333</v>
      </c>
      <c r="D48" s="92" t="n">
        <v>8.33333333333333</v>
      </c>
      <c r="E48" s="92" t="n">
        <v>8.33333333333333</v>
      </c>
      <c r="F48" s="92" t="n">
        <v>8.33333333333333</v>
      </c>
      <c r="G48" s="92" t="n">
        <v>8.33333333333333</v>
      </c>
      <c r="H48" s="92" t="n">
        <v>8.33333333333333</v>
      </c>
      <c r="I48" s="92" t="n">
        <v>8.33333333333333</v>
      </c>
      <c r="J48" s="92" t="n">
        <v>8.33333333333333</v>
      </c>
      <c r="K48" s="92" t="n">
        <v>8.33333333333333</v>
      </c>
      <c r="L48" s="92" t="n">
        <v>8.33333333333333</v>
      </c>
      <c r="M48" s="92" t="n">
        <v>8.33333333333333</v>
      </c>
      <c r="N48" s="92" t="n">
        <v>8.33333333333333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OSVSTPvjLpbAPmLOcd0T3F8Pk9tvjiUJVuVwGEs/ogQDPORmUCs9mBPIvOZBWlBmgulg/2IMbQc8/Bfxiy+KMg==" saltValue="9k0N1OJksgJUZJu6y5SXU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2.3651529527596604E-20</v>
      </c>
      <c r="D6" s="93" t="n">
        <v>59.56964890765474</v>
      </c>
      <c r="E6" s="93" t="n">
        <v>1.2267136902172804E-20</v>
      </c>
      <c r="F6" s="93" t="n">
        <v>0.0</v>
      </c>
      <c r="G6" s="93" t="n">
        <v>40.430351092345276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54.666878404543866</v>
      </c>
      <c r="D7" s="93" t="n">
        <v>45.33312159545614</v>
      </c>
      <c r="E7" s="93" t="n">
        <v>0.0</v>
      </c>
      <c r="F7" s="93" t="n">
        <v>0.0</v>
      </c>
      <c r="G7" s="93" t="n">
        <v>0.0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4.376120118409736E-19</v>
      </c>
      <c r="D8" s="93" t="n">
        <v>8.351900366795422E-19</v>
      </c>
      <c r="E8" s="93" t="n">
        <v>100.0</v>
      </c>
      <c r="F8" s="93" t="n">
        <v>0.0</v>
      </c>
      <c r="G8" s="93" t="n">
        <v>2.291814337375441E-19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75.9493670886076</v>
      </c>
      <c r="D9" s="93" t="n">
        <v>6.734968920869066E-20</v>
      </c>
      <c r="E9" s="93" t="n">
        <v>4.0447065999466073E-20</v>
      </c>
      <c r="F9" s="93" t="n">
        <v>24.050632911392405</v>
      </c>
      <c r="G9" s="93" t="n">
        <v>5.578905812609259E-21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35.1765472398115</v>
      </c>
      <c r="D10" s="93" t="n">
        <v>42.648592097809974</v>
      </c>
      <c r="E10" s="93" t="n">
        <v>4.434972252605307</v>
      </c>
      <c r="F10" s="93" t="n">
        <v>0.0</v>
      </c>
      <c r="G10" s="93" t="n">
        <v>17.739888409773236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24.76463777483803</v>
      </c>
      <c r="D11" s="94" t="n">
        <v>57.75443786045092</v>
      </c>
      <c r="E11" s="94" t="n">
        <v>0.0</v>
      </c>
      <c r="F11" s="94" t="n">
        <v>0.0</v>
      </c>
      <c r="G11" s="94" t="n">
        <v>17.480924364711054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44.81800740998735</v>
      </c>
      <c r="D19" s="44">
        <f>100-$C$19</f>
        <v>100</v>
      </c>
      <c r="E19" s="94" t="n">
        <v>42.81313063124979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14.469738124756603</v>
      </c>
      <c r="D27" s="93" t="n">
        <v>43.05718308801213</v>
      </c>
      <c r="E27" s="93" t="n">
        <v>35.65215175888594</v>
      </c>
      <c r="F27" s="93" t="n">
        <v>8.43182514857755</v>
      </c>
      <c r="G27" s="95" t="n">
        <v>6.566013054226246</v>
      </c>
      <c r="N27" s="50"/>
      <c r="O27" s="50"/>
      <c r="P27" s="50"/>
    </row>
    <row r="28" spans="2:16">
      <c r="B28" s="45" t="s">
        <v>46</v>
      </c>
      <c r="C28" s="93" t="n">
        <v>17.485569554012297</v>
      </c>
      <c r="D28" s="93" t="n">
        <v>56.94281691198786</v>
      </c>
      <c r="E28" s="93" t="n">
        <v>64.34784824111406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68.0446923212311</v>
      </c>
      <c r="D29" s="93" t="n">
        <v>0.0</v>
      </c>
      <c r="E29" s="93" t="n">
        <v>0.0</v>
      </c>
      <c r="F29" s="93" t="n">
        <v>91.56817485142246</v>
      </c>
      <c r="G29" s="95" t="n">
        <v>93.43398694577375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40.70066351613533</v>
      </c>
      <c r="D37" s="93" t="n">
        <v>40.70066351613533</v>
      </c>
      <c r="E37" s="93" t="n">
        <v>40.70066351613533</v>
      </c>
      <c r="F37" s="93" t="n">
        <v>40.70066351613533</v>
      </c>
      <c r="G37" s="93" t="n">
        <v>40.70066351613533</v>
      </c>
      <c r="H37" s="93" t="n">
        <v>40.70066351613533</v>
      </c>
      <c r="I37" s="93" t="n">
        <v>40.70066351613533</v>
      </c>
      <c r="J37" s="93" t="n">
        <v>40.70066351613533</v>
      </c>
      <c r="K37" s="93" t="n">
        <v>40.70066351613533</v>
      </c>
      <c r="L37" s="93" t="n">
        <v>40.70066351613533</v>
      </c>
      <c r="M37" s="93" t="n">
        <v>40.70066351613533</v>
      </c>
      <c r="N37" s="95" t="n">
        <v>40.70066351613533</v>
      </c>
    </row>
    <row r="38" spans="2:14">
      <c r="B38" s="45" t="s">
        <v>46</v>
      </c>
      <c r="C38" s="93" t="n">
        <v>40.656896701165536</v>
      </c>
      <c r="D38" s="93" t="n">
        <v>40.656896701165536</v>
      </c>
      <c r="E38" s="93" t="n">
        <v>40.656896701165536</v>
      </c>
      <c r="F38" s="93" t="n">
        <v>40.656896701165536</v>
      </c>
      <c r="G38" s="93" t="n">
        <v>40.656896701165536</v>
      </c>
      <c r="H38" s="93" t="n">
        <v>40.656896701165536</v>
      </c>
      <c r="I38" s="93" t="n">
        <v>40.656896701165536</v>
      </c>
      <c r="J38" s="93" t="n">
        <v>40.656896701165536</v>
      </c>
      <c r="K38" s="93" t="n">
        <v>40.656896701165536</v>
      </c>
      <c r="L38" s="93" t="n">
        <v>40.656896701165536</v>
      </c>
      <c r="M38" s="93" t="n">
        <v>40.656896701165536</v>
      </c>
      <c r="N38" s="95" t="n">
        <v>40.656896701165536</v>
      </c>
    </row>
    <row r="39" spans="2:14">
      <c r="B39" s="45" t="s">
        <v>59</v>
      </c>
      <c r="C39" s="94" t="n">
        <v>44.22608064044304</v>
      </c>
      <c r="D39" s="94" t="n">
        <v>44.22608064044304</v>
      </c>
      <c r="E39" s="94" t="n">
        <v>44.22608064044304</v>
      </c>
      <c r="F39" s="94" t="n">
        <v>44.22608064044304</v>
      </c>
      <c r="G39" s="94" t="n">
        <v>44.22608064044304</v>
      </c>
      <c r="H39" s="94" t="n">
        <v>44.22608064044304</v>
      </c>
      <c r="I39" s="94" t="n">
        <v>44.22608064044304</v>
      </c>
      <c r="J39" s="94" t="n">
        <v>44.22608064044304</v>
      </c>
      <c r="K39" s="94" t="n">
        <v>44.22608064044304</v>
      </c>
      <c r="L39" s="94" t="n">
        <v>44.22608064044304</v>
      </c>
      <c r="M39" s="94" t="n">
        <v>44.22608064044304</v>
      </c>
      <c r="N39" s="89" t="n">
        <v>44.22608064044304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6Ck4FvJRFZU3qQPI4OQZ47be00B/AS5oTboJHSy1nQeoqrJsCVSfImXno+1vM1PbNBBZCUXDoUNzRfDME4iA1g==" saltValue="uKtpZsGbY74vK1z+NIPJz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JnHvCBComfLB3amDi3pM530TUIuJ1gF1nFs7qqAdiU9W1glXEiw90JgQbJzMR0iXy8GMDV2hPKOfz5kmWkMxOQ==" saltValue="swHv7LNe/061RgPLn88eWg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2015-01-12T19:48:51Z</dcterms:modified>
</coreProperties>
</file>