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codeName="ThisWorkbook" autoCompressPictures="0"/>
  <bookViews>
    <workbookView xWindow="0" yWindow="40" windowWidth="15480" windowHeight="11640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shipping_manufacturing!$I$4:$I$12</definedName>
    <definedName name="AddColumn2">shipping_manufacturing!$G$16:$G$20</definedName>
    <definedName name="AddColumn3">shipping_manufacturing!$H$24:$H$31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0" i="7" l="1"/>
  <c r="F30" i="7"/>
  <c r="E30" i="7"/>
  <c r="D30" i="7"/>
  <c r="C30" i="7"/>
  <c r="F19" i="7"/>
  <c r="D19" i="7"/>
  <c r="H11" i="7"/>
  <c r="H10" i="7"/>
  <c r="H9" i="7"/>
  <c r="H8" i="7"/>
  <c r="H7" i="7"/>
  <c r="H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H36" i="5"/>
  <c r="H6" i="5"/>
  <c r="G16" i="5"/>
</calcChain>
</file>

<file path=xl/sharedStrings.xml><?xml version="1.0" encoding="utf-8"?>
<sst xmlns="http://schemas.openxmlformats.org/spreadsheetml/2006/main" count="509" uniqueCount="168">
  <si>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</si>
  <si>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</si>
  <si>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</si>
  <si>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</si>
  <si>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</si>
  <si>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</si>
  <si>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</si>
  <si>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</si>
  <si>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</si>
  <si>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</si>
  <si>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</si>
  <si>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</si>
  <si>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</si>
  <si>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</si>
  <si>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</si>
  <si>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</si>
  <si>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</si>
  <si>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</si>
  <si>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</si>
  <si>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</si>
  <si>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</si>
  <si>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</si>
  <si>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</si>
  <si>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</si>
  <si>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</si>
  <si>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</si>
  <si>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</si>
  <si>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</si>
  <si>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</si>
  <si>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</si>
  <si>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</si>
  <si>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</si>
  <si>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</si>
  <si>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</si>
  <si>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</si>
  <si>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</si>
  <si>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</si>
  <si>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</si>
  <si>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</si>
  <si>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</si>
  <si>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</si>
  <si>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</si>
  <si>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</si>
  <si>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</si>
  <si>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</si>
  <si>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</si>
  <si>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</si>
  <si>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</si>
  <si>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</si>
  <si>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</si>
  <si>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</si>
  <si>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</si>
  <si>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</si>
  <si>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</si>
  <si>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</si>
  <si>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</si>
  <si>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</si>
  <si>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</si>
  <si>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</si>
  <si>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</si>
  <si>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</si>
  <si>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</si>
  <si>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</si>
  <si>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</si>
  <si>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</si>
  <si>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</si>
  <si>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</si>
  <si>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</si>
  <si>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</si>
  <si>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</si>
  <si>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</si>
  <si>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</si>
  <si>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</si>
  <si>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</si>
  <si>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</si>
  <si>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</si>
  <si>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</si>
  <si>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</si>
  <si>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</si>
  <si>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</si>
  <si>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</si>
  <si>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</si>
  <si>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</si>
  <si>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</si>
  <si>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</si>
  <si>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</si>
  <si>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</si>
  <si>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</si>
  <si>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</si>
  <si>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</si>
  <si>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</si>
  <si>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</si>
  <si>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</si>
  <si>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</si>
  <si>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</si>
  <si>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</si>
  <si>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</si>
  <si>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</si>
  <si>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</si>
  <si>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</si>
  <si>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</si>
  <si>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</si>
  <si>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</si>
  <si>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</si>
  <si>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</si>
  <si>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</si>
  <si>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</si>
  <si>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</si>
  <si>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</si>
  <si>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</si>
  <si>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</si>
  <si>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</si>
  <si>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</si>
  <si>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</si>
  <si>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</si>
  <si>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</si>
  <si>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</si>
  <si>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</si>
  <si>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</si>
  <si>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</si>
  <si>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</si>
  <si>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</si>
  <si>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</si>
  <si>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</si>
  <si>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</si>
  <si>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</si>
  <si>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</si>
  <si>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</si>
  <si>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</si>
  <si>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</si>
  <si>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</si>
  <si>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</si>
  <si>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</si>
  <si>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</si>
  <si>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</si>
  <si>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</si>
  <si>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</si>
  <si>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</si>
  <si>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</si>
  <si>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</si>
  <si>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</si>
  <si>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</si>
  <si>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</si>
  <si>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</si>
  <si>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</si>
  <si>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</si>
  <si>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</si>
  <si>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</si>
  <si>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</si>
  <si>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</si>
  <si>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</si>
  <si>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</si>
  <si>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</si>
  <si>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</si>
  <si>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</si>
  <si>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</si>
  <si>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</si>
  <si>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</si>
  <si>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</si>
  <si>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</si>
  <si>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</si>
  <si>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</si>
  <si>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</si>
  <si>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</si>
  <si>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</si>
  <si>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</si>
  <si>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>sold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</si>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</sst>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6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theme" Target="theme/theme1.xml"/>
  <Relationship Id="rId7" Type="http://schemas.openxmlformats.org/officeDocument/2006/relationships/styles" Target="styles.xml"/>
  <Relationship Id="rId8" Type="http://schemas.openxmlformats.org/officeDocument/2006/relationships/sharedStrings" Target="sharedStrings.xml"/>
  <Relationship Id="rId9" Type="http://schemas.openxmlformats.org/officeDocument/2006/relationships/calcChain" Target="calcChain.xml"/>
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tabSelected="1" workbookViewId="0"/>
  </sheetViews>
  <sheetFormatPr baseColWidth="10" defaultColWidth="8.83203125" defaultRowHeight="12" x14ac:dyDescent="0"/>
  <cols>
    <col min="1" max="1" customWidth="true" width="4.6640625" collapsed="true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9" t="s">
        <v>165</v>
      </c>
      <c r="E4" s="100"/>
      <c r="F4" s="101"/>
    </row>
    <row r="5" spans="2:6">
      <c r="B5" s="6"/>
      <c r="C5" s="7" t="s">
        <v>111</v>
      </c>
      <c r="D5" s="102">
        <v>2018</v>
      </c>
      <c r="E5" s="103"/>
      <c r="F5" s="104"/>
    </row>
    <row r="6" spans="2:6">
      <c r="B6" s="3"/>
      <c r="C6" s="3"/>
      <c r="D6" s="3"/>
      <c r="E6" s="3"/>
      <c r="F6" s="3"/>
    </row>
  </sheetData>
  <sheetProtection algorithmName="SHA-512" hashValue="sGS7NcFpycjy7Lt1U0ICPdB1k2gpD+ydAi29+bwYAmtZYPHCZj0Dlr76FEF0tbPo2odAsZE+0KFSZ/2DrAGfFw==" saltValue="QdOIVfIwW9iQuDmq0v1Xhw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workbookViewId="0"/>
  </sheetViews>
  <sheetFormatPr baseColWidth="10" defaultColWidth="8.83203125" defaultRowHeight="12" x14ac:dyDescent="0"/>
  <cols>
    <col min="1" max="1" customWidth="true" style="9" width="4.6640625" collapsed="true"/>
    <col min="2" max="2" bestFit="true" customWidth="true" style="9" width="8.0" collapsed="true"/>
    <col min="3" max="3" bestFit="true" customWidth="true" style="9" width="15.6640625" collapsed="true"/>
    <col min="4" max="4" customWidth="true" style="9" width="8.6640625" collapsed="true"/>
    <col min="5" max="5" customWidth="true" style="9" width="4.5" collapsed="true"/>
    <col min="6" max="6" bestFit="true" customWidth="true" style="9" width="3.33203125" collapsed="true"/>
    <col min="7" max="7" customWidth="true" style="9" width="8.6640625" collapsed="true"/>
    <col min="8" max="8" customWidth="true" style="9" width="9.5" collapsed="true"/>
    <col min="9" max="16384" style="9" width="8.83203125" collapsed="true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 t="n">
        <v>0.0</v>
      </c>
      <c r="D6" s="15">
        <v>0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 t="n">
        <v>0.0</v>
      </c>
      <c r="D7" s="15">
        <v>0</v>
      </c>
      <c r="E7" s="15" t="s">
        <v>167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 t="n">
        <v>0.0</v>
      </c>
      <c r="D8" s="15">
        <v>0</v>
      </c>
      <c r="E8" s="15" t="s">
        <v>167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 t="n">
        <v>0.0</v>
      </c>
      <c r="D9" s="15">
        <v>0</v>
      </c>
      <c r="E9" s="15" t="s">
        <v>167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 t="n">
        <v>0.0</v>
      </c>
      <c r="D10" s="15">
        <v>600</v>
      </c>
      <c r="E10" s="15" t="s">
        <v>167</v>
      </c>
      <c r="F10" s="15" t="s">
        <v>6</v>
      </c>
      <c r="G10" s="15">
        <f t="shared" si="0"/>
        <v>600</v>
      </c>
      <c r="H10" s="17" t="str">
        <f t="shared" si="1"/>
        <v/>
      </c>
    </row>
    <row r="11" spans="2:8">
      <c r="B11" s="14" t="s">
        <v>11</v>
      </c>
      <c r="C11" s="84" t="n">
        <v>0.0</v>
      </c>
      <c r="D11" s="15">
        <v>0</v>
      </c>
      <c r="E11" s="15" t="s">
        <v>167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 t="n">
        <v>0.0</v>
      </c>
      <c r="D12" s="15">
        <v>3589</v>
      </c>
      <c r="E12" s="15" t="s">
        <v>167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 t="n">
        <v>0.0</v>
      </c>
      <c r="D13" s="15">
        <v>0</v>
      </c>
      <c r="E13" s="15" t="s">
        <v>167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 t="n">
        <v>0.0</v>
      </c>
      <c r="D14" s="15">
        <v>0</v>
      </c>
      <c r="E14" s="15" t="s">
        <v>167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 t="n">
        <v>0.0</v>
      </c>
      <c r="D15" s="15">
        <v>0</v>
      </c>
      <c r="E15" s="15" t="s">
        <v>167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2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 t="n">
        <v>0.0</v>
      </c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>
      <c r="B22" s="14" t="s">
        <v>7</v>
      </c>
      <c r="C22" s="85" t="n">
        <v>0.0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 t="n">
        <v>0.0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 t="n">
        <v>0.0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 t="n">
        <v>0.0</v>
      </c>
      <c r="D25" s="15">
        <v>22</v>
      </c>
      <c r="E25" s="15"/>
      <c r="F25" s="15" t="s">
        <v>6</v>
      </c>
      <c r="G25" s="15">
        <f t="shared" si="2"/>
        <v>22</v>
      </c>
      <c r="H25" s="17"/>
    </row>
    <row r="26" spans="2:8">
      <c r="B26" s="14" t="s">
        <v>11</v>
      </c>
      <c r="C26" s="85" t="n">
        <v>0.0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 t="n">
        <v>0.0</v>
      </c>
      <c r="D27" s="15">
        <v>15</v>
      </c>
      <c r="E27" s="15"/>
      <c r="F27" s="15" t="s">
        <v>6</v>
      </c>
      <c r="G27" s="15">
        <f t="shared" si="2"/>
        <v>15</v>
      </c>
      <c r="H27" s="17"/>
    </row>
    <row r="28" spans="2:8">
      <c r="B28" s="14" t="s">
        <v>13</v>
      </c>
      <c r="C28" s="85" t="n">
        <v>0.0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 t="n">
        <v>0.0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 t="n">
        <v>0.0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37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 t="n">
        <v>0.0</v>
      </c>
      <c r="D36" s="25">
        <v>0</v>
      </c>
      <c r="E36" s="26" t="s">
        <v>167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 t="n">
        <v>0.0</v>
      </c>
      <c r="D37" s="14">
        <v>0</v>
      </c>
      <c r="E37" s="15" t="s">
        <v>167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 t="n">
        <v>0.0</v>
      </c>
      <c r="D38" s="14">
        <v>0</v>
      </c>
      <c r="E38" s="15" t="s">
        <v>167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 t="n">
        <v>0.0</v>
      </c>
      <c r="D39" s="14">
        <v>4000</v>
      </c>
      <c r="E39" s="15" t="s">
        <v>167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 t="n">
        <v>0.0</v>
      </c>
      <c r="D40" s="14">
        <v>0</v>
      </c>
      <c r="E40" s="15" t="s">
        <v>167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 t="n">
        <v>0.0</v>
      </c>
      <c r="D41" s="14">
        <v>0</v>
      </c>
      <c r="E41" s="15" t="s">
        <v>167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 t="n">
        <v>0.0</v>
      </c>
      <c r="D42" s="14">
        <v>0</v>
      </c>
      <c r="E42" s="15" t="s">
        <v>167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 t="n">
        <v>0.0</v>
      </c>
      <c r="D43" s="14">
        <v>0</v>
      </c>
      <c r="E43" s="15" t="s">
        <v>167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 t="n">
        <v>0.0</v>
      </c>
      <c r="D44" s="14">
        <v>0</v>
      </c>
      <c r="E44" s="15" t="s">
        <v>167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 t="n">
        <v>0.0</v>
      </c>
      <c r="D45" s="14">
        <v>0</v>
      </c>
      <c r="E45" s="15" t="s">
        <v>167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 t="n">
        <v>0.0</v>
      </c>
      <c r="D46" s="14">
        <v>0</v>
      </c>
      <c r="E46" s="15" t="s">
        <v>167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 t="n">
        <v>0.0</v>
      </c>
      <c r="D47" s="14">
        <v>0</v>
      </c>
      <c r="E47" s="15" t="s">
        <v>167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 t="n">
        <v>0.0</v>
      </c>
      <c r="D48" s="14">
        <v>0</v>
      </c>
      <c r="E48" s="15" t="s">
        <v>167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 t="n">
        <v>0.0</v>
      </c>
      <c r="D49" s="14">
        <v>0</v>
      </c>
      <c r="E49" s="15" t="s">
        <v>167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 t="n">
        <v>0.0</v>
      </c>
      <c r="D50" s="14">
        <v>0</v>
      </c>
      <c r="E50" s="15" t="s">
        <v>167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 t="n">
        <v>0.0</v>
      </c>
      <c r="D51" s="14">
        <v>0</v>
      </c>
      <c r="E51" s="15" t="s">
        <v>167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 t="n">
        <v>0.0</v>
      </c>
      <c r="D52" s="14">
        <v>0</v>
      </c>
      <c r="E52" s="15" t="s">
        <v>167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 t="n">
        <v>0.0</v>
      </c>
      <c r="D53" s="14">
        <v>0</v>
      </c>
      <c r="E53" s="15" t="s">
        <v>167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 t="n">
        <v>0.0</v>
      </c>
      <c r="D54" s="14">
        <v>0</v>
      </c>
      <c r="E54" s="15" t="s">
        <v>167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 t="n">
        <v>0.0</v>
      </c>
      <c r="D55" s="14">
        <v>0</v>
      </c>
      <c r="E55" s="15" t="s">
        <v>167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 t="n">
        <v>0.0</v>
      </c>
      <c r="D56" s="14">
        <v>0</v>
      </c>
      <c r="E56" s="15" t="s">
        <v>167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 t="n">
        <v>0.0</v>
      </c>
      <c r="D57" s="14">
        <v>0</v>
      </c>
      <c r="E57" s="15" t="s">
        <v>167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 t="n">
        <v>0.0</v>
      </c>
      <c r="D58" s="14">
        <v>0</v>
      </c>
      <c r="E58" s="15" t="s">
        <v>167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 t="n">
        <v>0.0</v>
      </c>
      <c r="D59" s="14">
        <v>0</v>
      </c>
      <c r="E59" s="15" t="s">
        <v>167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 t="n">
        <v>0.0</v>
      </c>
      <c r="D60" s="15">
        <v>0</v>
      </c>
      <c r="E60" s="15" t="s">
        <v>167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 t="n">
        <v>0.0</v>
      </c>
      <c r="D61" s="15">
        <v>0</v>
      </c>
      <c r="E61" s="15" t="s">
        <v>167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 t="n">
        <v>0.0</v>
      </c>
      <c r="D62" s="15">
        <v>0</v>
      </c>
      <c r="E62" s="15" t="s">
        <v>167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 t="n">
        <v>0.0</v>
      </c>
      <c r="D63" s="15">
        <v>4000</v>
      </c>
      <c r="E63" s="15" t="s">
        <v>167</v>
      </c>
      <c r="F63" s="15" t="s">
        <v>6</v>
      </c>
      <c r="G63" s="15">
        <f t="shared" si="3"/>
        <v>4000</v>
      </c>
      <c r="H63" s="17" t="str">
        <f t="shared" si="4"/>
        <v/>
      </c>
    </row>
    <row r="64" spans="2:8">
      <c r="B64" s="14" t="s">
        <v>47</v>
      </c>
      <c r="C64" s="85" t="n">
        <v>0.0</v>
      </c>
      <c r="D64" s="15">
        <v>0</v>
      </c>
      <c r="E64" s="15" t="s">
        <v>167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 t="n">
        <v>0.0</v>
      </c>
      <c r="D65" s="15">
        <v>0</v>
      </c>
      <c r="E65" s="15" t="s">
        <v>167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 t="n">
        <v>0.0</v>
      </c>
      <c r="D66" s="15">
        <v>0</v>
      </c>
      <c r="E66" s="15" t="s">
        <v>167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 t="n">
        <v>0.0</v>
      </c>
      <c r="D67" s="15">
        <v>0</v>
      </c>
      <c r="E67" s="15" t="s">
        <v>167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 t="n">
        <v>0.0</v>
      </c>
      <c r="D68" s="15">
        <v>0</v>
      </c>
      <c r="E68" s="15" t="s">
        <v>167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 t="n">
        <v>0.0</v>
      </c>
      <c r="D69" s="15">
        <v>0</v>
      </c>
      <c r="E69" s="15" t="s">
        <v>167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 t="n">
        <v>0.0</v>
      </c>
      <c r="D70" s="15">
        <v>0</v>
      </c>
      <c r="E70" s="15" t="s">
        <v>167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 t="n">
        <v>0.0</v>
      </c>
      <c r="D71" s="15">
        <v>0</v>
      </c>
      <c r="E71" s="15" t="s">
        <v>167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 t="n">
        <v>0.0</v>
      </c>
      <c r="D72" s="15">
        <v>0</v>
      </c>
      <c r="E72" s="15" t="s">
        <v>167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 t="n">
        <v>0.0</v>
      </c>
      <c r="D73" s="15">
        <v>0</v>
      </c>
      <c r="E73" s="15" t="s">
        <v>167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 t="n">
        <v>0.0</v>
      </c>
      <c r="D74" s="15">
        <v>0</v>
      </c>
      <c r="E74" s="15" t="s">
        <v>167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 t="n">
        <v>0.0</v>
      </c>
      <c r="D75" s="15">
        <v>0</v>
      </c>
      <c r="E75" s="15" t="s">
        <v>167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 t="n">
        <v>0.0</v>
      </c>
      <c r="D76" s="15">
        <v>8000</v>
      </c>
      <c r="E76" s="15" t="s">
        <v>167</v>
      </c>
      <c r="F76" s="15" t="s">
        <v>6</v>
      </c>
      <c r="G76" s="15">
        <f t="shared" si="5"/>
        <v>8000</v>
      </c>
      <c r="H76" s="17" t="str">
        <f t="shared" si="6"/>
        <v/>
      </c>
    </row>
    <row r="77" spans="2:8">
      <c r="B77" s="14" t="s">
        <v>60</v>
      </c>
      <c r="C77" s="85" t="n">
        <v>0.0</v>
      </c>
      <c r="D77" s="15">
        <v>0</v>
      </c>
      <c r="E77" s="15" t="s">
        <v>167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 t="n">
        <v>0.0</v>
      </c>
      <c r="D78" s="15">
        <v>0</v>
      </c>
      <c r="E78" s="15" t="s">
        <v>167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 t="n">
        <v>0.0</v>
      </c>
      <c r="D79" s="15">
        <v>0</v>
      </c>
      <c r="E79" s="15" t="s">
        <v>167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 t="n">
        <v>0.0</v>
      </c>
      <c r="D80" s="15">
        <v>0</v>
      </c>
      <c r="E80" s="15" t="s">
        <v>167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 t="n">
        <v>0.0</v>
      </c>
      <c r="D81" s="15">
        <v>0</v>
      </c>
      <c r="E81" s="15" t="s">
        <v>167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 t="n">
        <v>0.0</v>
      </c>
      <c r="D82" s="15">
        <v>0</v>
      </c>
      <c r="E82" s="15" t="s">
        <v>167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 t="n">
        <v>0.0</v>
      </c>
      <c r="D83" s="14">
        <v>0</v>
      </c>
      <c r="E83" s="15" t="s">
        <v>167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 t="n">
        <v>0.0</v>
      </c>
      <c r="D84" s="15">
        <v>0</v>
      </c>
      <c r="E84" s="15" t="s">
        <v>167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 t="n">
        <v>0.0</v>
      </c>
      <c r="D85" s="15">
        <v>0</v>
      </c>
      <c r="E85" s="15" t="s">
        <v>167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 t="n">
        <v>0.0</v>
      </c>
      <c r="D86" s="15">
        <v>0</v>
      </c>
      <c r="E86" s="15" t="s">
        <v>167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 t="n">
        <v>0.0</v>
      </c>
      <c r="D87" s="15">
        <v>0</v>
      </c>
      <c r="E87" s="15" t="s">
        <v>167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 t="n">
        <v>0.0</v>
      </c>
      <c r="D88" s="15">
        <v>0</v>
      </c>
      <c r="E88" s="15" t="s">
        <v>167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 t="n">
        <v>0.0</v>
      </c>
      <c r="D89" s="15">
        <v>0</v>
      </c>
      <c r="E89" s="15" t="s">
        <v>167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 t="n">
        <v>0.0</v>
      </c>
      <c r="D90" s="15">
        <v>0</v>
      </c>
      <c r="E90" s="15" t="s">
        <v>167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 t="n">
        <v>0.0</v>
      </c>
      <c r="D91" s="15">
        <v>0</v>
      </c>
      <c r="E91" s="15" t="s">
        <v>167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 t="n">
        <v>0.0</v>
      </c>
      <c r="D92" s="15">
        <v>0</v>
      </c>
      <c r="E92" s="15" t="s">
        <v>167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 t="n">
        <v>0.0</v>
      </c>
      <c r="D93" s="15">
        <v>0</v>
      </c>
      <c r="E93" s="15" t="s">
        <v>167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 t="n">
        <v>0.0</v>
      </c>
      <c r="D94" s="15">
        <v>0</v>
      </c>
      <c r="E94" s="15" t="s">
        <v>167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 t="n">
        <v>0.0</v>
      </c>
      <c r="D95" s="15">
        <v>0</v>
      </c>
      <c r="E95" s="15" t="s">
        <v>167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 t="n">
        <v>0.0</v>
      </c>
      <c r="D96" s="15">
        <v>0</v>
      </c>
      <c r="E96" s="15" t="s">
        <v>167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 t="n">
        <v>0.0</v>
      </c>
      <c r="D97" s="15">
        <v>0</v>
      </c>
      <c r="E97" s="15" t="s">
        <v>167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 t="n">
        <v>0.0</v>
      </c>
      <c r="D98" s="15">
        <v>0</v>
      </c>
      <c r="E98" s="15" t="s">
        <v>167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 t="n">
        <v>0.0</v>
      </c>
      <c r="D99" s="15">
        <v>0</v>
      </c>
      <c r="E99" s="15" t="s">
        <v>167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 t="n">
        <v>0.0</v>
      </c>
      <c r="D100" s="15">
        <v>0</v>
      </c>
      <c r="E100" s="15" t="s">
        <v>167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 t="n">
        <v>0.0</v>
      </c>
      <c r="D101" s="15">
        <v>0</v>
      </c>
      <c r="E101" s="15" t="s">
        <v>167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 t="n">
        <v>0.0</v>
      </c>
      <c r="D102" s="15">
        <v>0</v>
      </c>
      <c r="E102" s="15" t="s">
        <v>167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 t="n">
        <v>0.0</v>
      </c>
      <c r="D103" s="15">
        <v>0</v>
      </c>
      <c r="E103" s="15" t="s">
        <v>167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 t="n">
        <v>0.0</v>
      </c>
      <c r="D104" s="15">
        <v>0</v>
      </c>
      <c r="E104" s="15" t="s">
        <v>167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 t="n">
        <v>0.0</v>
      </c>
      <c r="D105" s="15">
        <v>0</v>
      </c>
      <c r="E105" s="15" t="s">
        <v>167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 t="n">
        <v>0.0</v>
      </c>
      <c r="D106" s="19">
        <v>0</v>
      </c>
      <c r="E106" s="19" t="s">
        <v>167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4KKuZsEoBrMGMbnqH7dIXyI8TSw+9iOONvUjSSYEKMP5cHPOjmV+k9Z2HXOjem7+jCSiIDYFgmWz+xFNzUQj3w==" saltValue="ziTNBw4heOr60TuVoOYFmg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6.6640625" collapsed="true"/>
    <col min="3" max="14" customWidth="true" style="29" width="8.6640625" collapsed="true"/>
    <col min="15" max="16384" style="29" width="8.83203125" collapsed="true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 t="n">
        <v>2264.2256576095033</v>
      </c>
      <c r="D6" s="87" t="n">
        <v>2264.2256576095033</v>
      </c>
      <c r="E6" s="87" t="n">
        <v>2264.2256576095033</v>
      </c>
      <c r="F6" s="87" t="n">
        <v>2264.2256576095033</v>
      </c>
      <c r="G6" s="87" t="n">
        <v>2264.2256576095033</v>
      </c>
      <c r="H6" s="87" t="n">
        <v>2264.2256576095033</v>
      </c>
      <c r="I6" s="87" t="n">
        <v>2264.2256576095033</v>
      </c>
      <c r="J6" s="87" t="n">
        <v>2264.2256576095033</v>
      </c>
      <c r="K6" s="87" t="n">
        <v>2264.2256576095033</v>
      </c>
      <c r="L6" s="87" t="n">
        <v>2264.2256576095033</v>
      </c>
      <c r="M6" s="87" t="n">
        <v>2264.2256576095033</v>
      </c>
      <c r="N6" s="87" t="n">
        <v>2264.2256576095033</v>
      </c>
    </row>
    <row r="7" spans="2:14">
      <c r="B7" s="36" t="s">
        <v>105</v>
      </c>
      <c r="C7" s="88" t="n">
        <v>600.0</v>
      </c>
      <c r="D7" s="89" t="n">
        <v>600.0</v>
      </c>
      <c r="E7" s="89" t="n">
        <v>600.0</v>
      </c>
      <c r="F7" s="89" t="n">
        <v>600.0</v>
      </c>
      <c r="G7" s="89" t="n">
        <v>600.0</v>
      </c>
      <c r="H7" s="89" t="n">
        <v>600.0</v>
      </c>
      <c r="I7" s="89" t="n">
        <v>600.0</v>
      </c>
      <c r="J7" s="89" t="n">
        <v>600.0</v>
      </c>
      <c r="K7" s="89" t="n">
        <v>600.0</v>
      </c>
      <c r="L7" s="89" t="n">
        <v>600.0</v>
      </c>
      <c r="M7" s="89" t="n">
        <v>600.0</v>
      </c>
      <c r="N7" s="89" t="n">
        <v>600.0</v>
      </c>
    </row>
    <row r="8" spans="2:14">
      <c r="B8" s="36" t="s">
        <v>106</v>
      </c>
      <c r="C8" s="88" t="n">
        <v>198.68823639603863</v>
      </c>
      <c r="D8" s="89" t="n">
        <v>198.68823639603863</v>
      </c>
      <c r="E8" s="89" t="n">
        <v>198.68823639603863</v>
      </c>
      <c r="F8" s="89" t="n">
        <v>198.68823639603863</v>
      </c>
      <c r="G8" s="89" t="n">
        <v>198.68823639603863</v>
      </c>
      <c r="H8" s="89" t="n">
        <v>198.68823639603863</v>
      </c>
      <c r="I8" s="89" t="n">
        <v>198.68823639603863</v>
      </c>
      <c r="J8" s="89" t="n">
        <v>198.68823639603863</v>
      </c>
      <c r="K8" s="89" t="n">
        <v>198.68823639603863</v>
      </c>
      <c r="L8" s="89" t="n">
        <v>198.68823639603863</v>
      </c>
      <c r="M8" s="89" t="n">
        <v>198.68823639603863</v>
      </c>
      <c r="N8" s="89" t="n">
        <v>198.68823639603863</v>
      </c>
    </row>
    <row r="9" spans="2:14">
      <c r="B9" s="36" t="s">
        <v>107</v>
      </c>
      <c r="C9" s="88" t="n">
        <v>214.0885836752059</v>
      </c>
      <c r="D9" s="89" t="n">
        <v>214.0885836752059</v>
      </c>
      <c r="E9" s="89" t="n">
        <v>214.0885836752059</v>
      </c>
      <c r="F9" s="89" t="n">
        <v>214.0885836752059</v>
      </c>
      <c r="G9" s="89" t="n">
        <v>214.0885836752059</v>
      </c>
      <c r="H9" s="89" t="n">
        <v>214.0885836752059</v>
      </c>
      <c r="I9" s="89" t="n">
        <v>214.0885836752059</v>
      </c>
      <c r="J9" s="89" t="n">
        <v>214.0885836752059</v>
      </c>
      <c r="K9" s="89" t="n">
        <v>214.0885836752059</v>
      </c>
      <c r="L9" s="89" t="n">
        <v>214.0885836752059</v>
      </c>
      <c r="M9" s="89" t="n">
        <v>214.0885836752059</v>
      </c>
      <c r="N9" s="89" t="n">
        <v>214.0885836752059</v>
      </c>
    </row>
    <row r="10" spans="2:14">
      <c r="B10" s="36" t="s">
        <v>108</v>
      </c>
      <c r="C10" s="88" t="n">
        <v>3.0443808974892566E-18</v>
      </c>
      <c r="D10" s="89" t="n">
        <v>3.0443808974892566E-18</v>
      </c>
      <c r="E10" s="89" t="n">
        <v>3.0443808974892566E-18</v>
      </c>
      <c r="F10" s="89" t="n">
        <v>3.0443808974892566E-18</v>
      </c>
      <c r="G10" s="89" t="n">
        <v>3.0443808974892566E-18</v>
      </c>
      <c r="H10" s="89" t="n">
        <v>3.0443808974892566E-18</v>
      </c>
      <c r="I10" s="89" t="n">
        <v>3.0443808974892566E-18</v>
      </c>
      <c r="J10" s="89" t="n">
        <v>3.0443808974892566E-18</v>
      </c>
      <c r="K10" s="89" t="n">
        <v>3.0443808974892566E-18</v>
      </c>
      <c r="L10" s="89" t="n">
        <v>3.0443808974892566E-18</v>
      </c>
      <c r="M10" s="89" t="n">
        <v>3.0443808974892566E-18</v>
      </c>
      <c r="N10" s="89" t="n">
        <v>3.0443808974892566E-18</v>
      </c>
    </row>
    <row r="11" spans="2:14">
      <c r="B11" s="37" t="s">
        <v>109</v>
      </c>
      <c r="C11" s="88" t="n">
        <v>4.014369072160868E-18</v>
      </c>
      <c r="D11" s="89" t="n">
        <v>4.014369072160868E-18</v>
      </c>
      <c r="E11" s="89" t="n">
        <v>4.014369072160868E-18</v>
      </c>
      <c r="F11" s="89" t="n">
        <v>4.014369072160868E-18</v>
      </c>
      <c r="G11" s="89" t="n">
        <v>4.014369072160868E-18</v>
      </c>
      <c r="H11" s="89" t="n">
        <v>4.014369072160868E-18</v>
      </c>
      <c r="I11" s="89" t="n">
        <v>4.014369072160868E-18</v>
      </c>
      <c r="J11" s="89" t="n">
        <v>4.014369072160868E-18</v>
      </c>
      <c r="K11" s="89" t="n">
        <v>4.014369072160868E-18</v>
      </c>
      <c r="L11" s="89" t="n">
        <v>4.014369072160868E-18</v>
      </c>
      <c r="M11" s="89" t="n">
        <v>4.014369072160868E-18</v>
      </c>
      <c r="N11" s="89" t="n">
        <v>4.014369072160868E-18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90" t="n">
        <v>1.2</v>
      </c>
      <c r="D17" s="90" t="n">
        <v>0.559265845860037</v>
      </c>
      <c r="E17" s="90" t="n">
        <v>1.0</v>
      </c>
      <c r="F17" s="90" t="n">
        <v>0.7858386451085684</v>
      </c>
      <c r="G17" s="90" t="n">
        <v>0.8</v>
      </c>
      <c r="H17" s="90" t="n">
        <v>1.0124114443571</v>
      </c>
      <c r="I17" s="29" t="s">
        <v>110</v>
      </c>
    </row>
    <row r="18" spans="2:33">
      <c r="B18" s="36" t="s">
        <v>105</v>
      </c>
      <c r="C18" s="91" t="n">
        <v>1.2</v>
      </c>
      <c r="D18" s="91" t="n">
        <v>0.6401398775727817</v>
      </c>
      <c r="E18" s="91" t="n">
        <v>1.0</v>
      </c>
      <c r="F18" s="91" t="n">
        <v>0.7622596510480747</v>
      </c>
      <c r="G18" s="91" t="n">
        <v>0.8</v>
      </c>
      <c r="H18" s="91" t="n">
        <v>0.8843794245233676</v>
      </c>
      <c r="I18" s="29" t="s">
        <v>110</v>
      </c>
    </row>
    <row r="19" spans="2:33">
      <c r="B19" s="36" t="s">
        <v>106</v>
      </c>
      <c r="C19" s="91" t="n">
        <v>1.2</v>
      </c>
      <c r="D19" s="91" t="n">
        <v>0.6821939761673379</v>
      </c>
      <c r="E19" s="91" t="n">
        <v>1.0</v>
      </c>
      <c r="F19" s="91" t="n">
        <v>0.8365354954044535</v>
      </c>
      <c r="G19" s="91" t="n">
        <v>0.8</v>
      </c>
      <c r="H19" s="91" t="n">
        <v>0.990877014641569</v>
      </c>
      <c r="I19" s="29" t="s">
        <v>110</v>
      </c>
    </row>
    <row r="20" spans="2:33">
      <c r="B20" s="36" t="s">
        <v>107</v>
      </c>
      <c r="C20" s="91" t="n">
        <v>1.2</v>
      </c>
      <c r="D20" s="91" t="n">
        <v>0.6471585642381044</v>
      </c>
      <c r="E20" s="91" t="n">
        <v>1.0</v>
      </c>
      <c r="F20" s="91" t="n">
        <v>0.8164804033589212</v>
      </c>
      <c r="G20" s="91" t="n">
        <v>0.8</v>
      </c>
      <c r="H20" s="91" t="n">
        <v>0.9858022424797381</v>
      </c>
    </row>
    <row r="21" spans="2:33">
      <c r="B21" s="36" t="s">
        <v>108</v>
      </c>
      <c r="C21" s="91" t="n">
        <v>1.2</v>
      </c>
      <c r="D21" s="91" t="n">
        <v>0.7209816280499861</v>
      </c>
      <c r="E21" s="91" t="n">
        <v>1.0</v>
      </c>
      <c r="F21" s="91" t="n">
        <v>0.7502872319748626</v>
      </c>
      <c r="G21" s="91" t="n">
        <v>0.8</v>
      </c>
      <c r="H21" s="91" t="n">
        <v>0.7795928358997392</v>
      </c>
    </row>
    <row r="22" spans="2:33">
      <c r="B22" s="37" t="s">
        <v>109</v>
      </c>
      <c r="C22" s="91" t="n">
        <v>1.2</v>
      </c>
      <c r="D22" s="91" t="n">
        <v>0.6938851795651481</v>
      </c>
      <c r="E22" s="91" t="n">
        <v>1.0</v>
      </c>
      <c r="F22" s="91" t="n">
        <v>0.7585297357984108</v>
      </c>
      <c r="G22" s="91" t="n">
        <v>0.8</v>
      </c>
      <c r="H22" s="91" t="n">
        <v>0.8231742920316736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2013</v>
      </c>
      <c r="E28" s="49"/>
      <c r="F28" s="45">
        <f>basic_info!$D$5-4</f>
        <v>2014</v>
      </c>
      <c r="G28" s="49"/>
      <c r="H28" s="45">
        <f>basic_info!$D$5-3</f>
        <v>2015</v>
      </c>
      <c r="I28" s="49"/>
      <c r="J28" s="45">
        <f>basic_info!$D$5-2</f>
        <v>2016</v>
      </c>
      <c r="K28" s="49"/>
      <c r="L28" s="45">
        <f>basic_info!$D$5-1</f>
        <v>2017</v>
      </c>
      <c r="N28" s="45">
        <f>basic_info!$D$5</f>
        <v>2018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2018</v>
      </c>
      <c r="D30" s="44">
        <v>0.72411525202691562</v>
      </c>
      <c r="E30" s="35">
        <v>0</v>
      </c>
      <c r="F30" s="47">
        <v>0.71135030767163665</v>
      </c>
      <c r="G30" s="46">
        <v>8000</v>
      </c>
      <c r="H30" s="47">
        <v>0.84236191971130692</v>
      </c>
      <c r="I30" s="46">
        <v>0</v>
      </c>
      <c r="J30" s="47">
        <v>0.74403649732441623</v>
      </c>
      <c r="K30" s="46">
        <v>0</v>
      </c>
      <c r="L30" s="47">
        <v>0.86489268210399939</v>
      </c>
      <c r="M30" s="46">
        <v>1061.069</v>
      </c>
      <c r="N30" s="60"/>
      <c r="O30" s="71" t="s">
        <v>162</v>
      </c>
      <c r="P30" s="41">
        <f>M30+K30+I30+E30+G30</f>
        <v>9061.0689999999995</v>
      </c>
      <c r="Q30" s="70"/>
    </row>
    <row r="31" spans="2:33">
      <c r="B31" s="36"/>
      <c r="C31" s="47">
        <f>basic_info!$D$5+1</f>
        <v>2019</v>
      </c>
      <c r="D31" s="76"/>
      <c r="E31" s="75"/>
      <c r="F31" s="69">
        <v>0.67168145499527454</v>
      </c>
      <c r="G31" s="79">
        <v>8000</v>
      </c>
      <c r="H31" s="61">
        <v>0.80404254385936813</v>
      </c>
      <c r="I31" s="62">
        <v>0</v>
      </c>
      <c r="J31" s="61">
        <v>0.7527505289227433</v>
      </c>
      <c r="K31" s="62">
        <v>0</v>
      </c>
      <c r="L31" s="61">
        <v>0.88199853992657917</v>
      </c>
      <c r="M31" s="62">
        <v>1061.069</v>
      </c>
      <c r="N31" s="63">
        <v>0.85067072108996544</v>
      </c>
      <c r="O31" s="89" t="n">
        <v>0.8506707210899654</v>
      </c>
      <c r="P31" s="63">
        <f>O31+M31+K31+I31+G31</f>
        <v>9061.0689999999995</v>
      </c>
    </row>
    <row r="32" spans="2:33">
      <c r="B32" s="36"/>
      <c r="C32" s="47">
        <f>basic_info!$D$5+2</f>
        <v>2020</v>
      </c>
      <c r="D32" s="76"/>
      <c r="E32" s="75"/>
      <c r="F32" s="75"/>
      <c r="G32" s="75"/>
      <c r="H32" s="69">
        <v>0.74553772844970234</v>
      </c>
      <c r="I32" s="79">
        <v>1145.3</v>
      </c>
      <c r="J32" s="61">
        <v>0.69965863319312305</v>
      </c>
      <c r="K32" s="62">
        <v>0</v>
      </c>
      <c r="L32" s="61">
        <v>0.87457866977723531</v>
      </c>
      <c r="M32" s="62">
        <v>1061.069</v>
      </c>
      <c r="N32" s="63">
        <v>0.79998380292338289</v>
      </c>
      <c r="O32" s="89" t="n">
        <v>0.7999838029233829</v>
      </c>
      <c r="P32" s="63">
        <f>O32+M32+K32+I32</f>
        <v>2206.3689999999997</v>
      </c>
    </row>
    <row r="33" spans="2:17">
      <c r="B33" s="36"/>
      <c r="C33" s="47">
        <f>basic_info!$D$5+3</f>
        <v>2021</v>
      </c>
      <c r="D33" s="76"/>
      <c r="E33" s="75"/>
      <c r="F33" s="75"/>
      <c r="G33" s="75"/>
      <c r="H33" s="75"/>
      <c r="I33" s="75"/>
      <c r="J33" s="69">
        <v>0.67052111424505711</v>
      </c>
      <c r="K33" s="79">
        <v>2000</v>
      </c>
      <c r="L33" s="61">
        <v>0.82996059621196905</v>
      </c>
      <c r="M33" s="62">
        <v>1061.069</v>
      </c>
      <c r="N33" s="63">
        <v>0.81109959679484855</v>
      </c>
      <c r="O33" s="89" t="n">
        <v>0.8110995967948486</v>
      </c>
      <c r="P33" s="63">
        <f>O33+M33+K33</f>
        <v>3061.069</v>
      </c>
    </row>
    <row r="34" spans="2:17">
      <c r="B34" s="36"/>
      <c r="C34" s="47">
        <f>basic_info!$D$5+4</f>
        <v>2022</v>
      </c>
      <c r="D34" s="76"/>
      <c r="E34" s="75"/>
      <c r="F34" s="75"/>
      <c r="G34" s="75"/>
      <c r="H34" s="75"/>
      <c r="I34" s="75"/>
      <c r="J34" s="75"/>
      <c r="K34" s="75"/>
      <c r="L34" s="69">
        <v>0.77235281866490846</v>
      </c>
      <c r="M34" s="79">
        <v>1061.069</v>
      </c>
      <c r="N34" s="63">
        <v>0.74817568762620479</v>
      </c>
      <c r="O34" s="89" t="n">
        <v>0.7481756876262048</v>
      </c>
      <c r="P34" s="63">
        <f>O34+M34</f>
        <v>1061.069</v>
      </c>
    </row>
    <row r="35" spans="2:17">
      <c r="B35" s="37"/>
      <c r="C35" s="72">
        <f>basic_info!$D$5+5</f>
        <v>2023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0.76104814894497397</v>
      </c>
      <c r="O35" s="89" t="n">
        <v>0.761048148944974</v>
      </c>
      <c r="P35" s="65">
        <f>O35</f>
        <v>0</v>
      </c>
    </row>
    <row r="36" spans="2:17">
      <c r="B36" s="41" t="s">
        <v>113</v>
      </c>
      <c r="C36" s="36">
        <f>basic_info!$D$5</f>
        <v>2018</v>
      </c>
      <c r="D36" s="44">
        <v>0.99511689269542691</v>
      </c>
      <c r="E36" s="35">
        <v>0</v>
      </c>
      <c r="F36" s="73">
        <v>0.88880183448123806</v>
      </c>
      <c r="G36" s="74">
        <v>11500</v>
      </c>
      <c r="H36" s="73">
        <v>1.0484299690065144</v>
      </c>
      <c r="I36" s="74">
        <v>0</v>
      </c>
      <c r="J36" s="73">
        <v>0.99543758500835322</v>
      </c>
      <c r="K36" s="74">
        <v>0</v>
      </c>
      <c r="L36" s="66">
        <v>1.0843463381251608</v>
      </c>
      <c r="M36" s="67">
        <v>0</v>
      </c>
      <c r="N36" s="68"/>
      <c r="O36" s="71" t="s">
        <v>162</v>
      </c>
      <c r="P36" s="41">
        <f>M36+K36+I36+E36+G36</f>
        <v>11500</v>
      </c>
      <c r="Q36" s="70"/>
    </row>
    <row r="37" spans="2:17">
      <c r="B37" s="36"/>
      <c r="C37" s="47">
        <f>basic_info!$D$5+1</f>
        <v>2019</v>
      </c>
      <c r="D37" s="76"/>
      <c r="E37" s="75"/>
      <c r="F37" s="69">
        <v>0.87392979428172113</v>
      </c>
      <c r="G37" s="79">
        <v>12000</v>
      </c>
      <c r="H37" s="61">
        <v>1.0036399921766941</v>
      </c>
      <c r="I37" s="62">
        <v>0</v>
      </c>
      <c r="J37" s="61">
        <v>1.0042666663707007</v>
      </c>
      <c r="K37" s="62">
        <v>0</v>
      </c>
      <c r="L37" s="61">
        <v>1.0512236928821403</v>
      </c>
      <c r="M37" s="62">
        <v>0</v>
      </c>
      <c r="N37" s="61">
        <v>1.0686812583458234</v>
      </c>
      <c r="O37" s="89" t="n">
        <v>1.0686812583458234</v>
      </c>
      <c r="P37" s="63">
        <f>O37+M37+K37+I37+G37</f>
        <v>12000</v>
      </c>
    </row>
    <row r="38" spans="2:17">
      <c r="B38" s="36"/>
      <c r="C38" s="47">
        <f>basic_info!$D$5+2</f>
        <v>2020</v>
      </c>
      <c r="D38" s="76"/>
      <c r="E38" s="75"/>
      <c r="F38" s="75"/>
      <c r="G38" s="75"/>
      <c r="H38" s="69">
        <v>0.93049090272188195</v>
      </c>
      <c r="I38" s="79">
        <v>298.27199999999999</v>
      </c>
      <c r="J38" s="61">
        <v>0.94087785036126215</v>
      </c>
      <c r="K38" s="62">
        <v>15000</v>
      </c>
      <c r="L38" s="61">
        <v>1.0674782123792534</v>
      </c>
      <c r="M38" s="62">
        <v>0</v>
      </c>
      <c r="N38" s="61">
        <v>1.0255380813967128</v>
      </c>
      <c r="O38" s="89" t="n">
        <v>1.0255380813967128</v>
      </c>
      <c r="P38" s="63">
        <f>O38+M38+K38+I38</f>
        <v>15298.272000000001</v>
      </c>
    </row>
    <row r="39" spans="2:17">
      <c r="B39" s="36"/>
      <c r="C39" s="47">
        <f>basic_info!$D$5+3</f>
        <v>2021</v>
      </c>
      <c r="D39" s="76"/>
      <c r="E39" s="75"/>
      <c r="F39" s="75"/>
      <c r="G39" s="75"/>
      <c r="H39" s="75"/>
      <c r="I39" s="75"/>
      <c r="J39" s="69">
        <v>0.88851178684830667</v>
      </c>
      <c r="K39" s="79">
        <v>20000</v>
      </c>
      <c r="L39" s="61">
        <v>0.9979103092184296</v>
      </c>
      <c r="M39" s="62">
        <v>16262.2045658647</v>
      </c>
      <c r="N39" s="61">
        <v>0.98917274591614612</v>
      </c>
      <c r="O39" s="89" t="n">
        <v>0.9891727459161461</v>
      </c>
      <c r="P39" s="63">
        <f>O39+M39+K39</f>
        <v>36262.204565864697</v>
      </c>
    </row>
    <row r="40" spans="2:17">
      <c r="B40" s="36"/>
      <c r="C40" s="47">
        <f>basic_info!$D$5+4</f>
        <v>2022</v>
      </c>
      <c r="D40" s="76"/>
      <c r="E40" s="75"/>
      <c r="F40" s="75"/>
      <c r="G40" s="75"/>
      <c r="H40" s="75"/>
      <c r="I40" s="75"/>
      <c r="J40" s="75"/>
      <c r="K40" s="75"/>
      <c r="L40" s="69">
        <v>0.91683839964866642</v>
      </c>
      <c r="M40" s="79">
        <v>16262.2045658647</v>
      </c>
      <c r="N40" s="61">
        <v>0.95076571483281835</v>
      </c>
      <c r="O40" s="89" t="n">
        <v>0.9507657148328184</v>
      </c>
      <c r="P40" s="63">
        <f>O40+M40</f>
        <v>16262.2045658647</v>
      </c>
    </row>
    <row r="41" spans="2:17">
      <c r="B41" s="37"/>
      <c r="C41" s="72">
        <f>basic_info!$D$5+5</f>
        <v>2023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0.92028542885184295</v>
      </c>
      <c r="O41" s="89" t="n">
        <v>0.920285428851843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2" t="n">
        <v>8.333333333333334</v>
      </c>
      <c r="D47" s="92" t="n">
        <v>8.333333333333334</v>
      </c>
      <c r="E47" s="92" t="n">
        <v>8.333333333333334</v>
      </c>
      <c r="F47" s="92" t="n">
        <v>8.333333333333334</v>
      </c>
      <c r="G47" s="92" t="n">
        <v>8.333333333333334</v>
      </c>
      <c r="H47" s="92" t="n">
        <v>8.333333333333334</v>
      </c>
      <c r="I47" s="92" t="n">
        <v>8.333333333333334</v>
      </c>
      <c r="J47" s="92" t="n">
        <v>8.333333333333334</v>
      </c>
      <c r="K47" s="92" t="n">
        <v>8.333333333333334</v>
      </c>
      <c r="L47" s="92" t="n">
        <v>8.333333333333334</v>
      </c>
      <c r="M47" s="92" t="n">
        <v>8.333333333333334</v>
      </c>
      <c r="N47" s="92" t="n">
        <v>8.333333333333334</v>
      </c>
      <c r="O47" s="33">
        <f>SUM(C47:N47)</f>
        <v>0</v>
      </c>
    </row>
    <row r="48" spans="2:17">
      <c r="B48" s="37" t="s">
        <v>113</v>
      </c>
      <c r="C48" s="92" t="n">
        <v>8.333333333333332</v>
      </c>
      <c r="D48" s="92" t="n">
        <v>8.333333333333332</v>
      </c>
      <c r="E48" s="92" t="n">
        <v>8.333333333333332</v>
      </c>
      <c r="F48" s="92" t="n">
        <v>8.333333333333332</v>
      </c>
      <c r="G48" s="92" t="n">
        <v>8.333333333333332</v>
      </c>
      <c r="H48" s="92" t="n">
        <v>8.333333333333332</v>
      </c>
      <c r="I48" s="92" t="n">
        <v>8.333333333333332</v>
      </c>
      <c r="J48" s="92" t="n">
        <v>8.333333333333332</v>
      </c>
      <c r="K48" s="92" t="n">
        <v>8.333333333333332</v>
      </c>
      <c r="L48" s="92" t="n">
        <v>8.333333333333332</v>
      </c>
      <c r="M48" s="92" t="n">
        <v>8.333333333333332</v>
      </c>
      <c r="N48" s="92" t="n">
        <v>8.333333333333332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6DmkX9dS0R2nuuMhp1ulEfE8f9B5ngPEnIOLuczMh0YmzE/bGUtvIkAav1L2timzUZLBG9FPeb31Q0g8Lyn1qw==" saltValue="l0zaVTf/FvYfII9LDdCBPg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/>
  </sheetViews>
  <sheetFormatPr baseColWidth="10" defaultColWidth="8.83203125" defaultRowHeight="12" x14ac:dyDescent="0"/>
  <cols>
    <col min="1" max="1" customWidth="true" style="29" width="4.6640625" collapsed="true"/>
    <col min="2" max="2" customWidth="true" style="29" width="17.33203125" collapsed="true"/>
    <col min="3" max="16384" style="29" width="8.83203125" collapsed="true"/>
  </cols>
  <sheetData>
    <row r="2" spans="2:17">
      <c r="B2" s="28" t="s">
        <v>114</v>
      </c>
    </row>
    <row r="3" spans="2:17">
      <c r="B3" s="30" t="s">
        <v>144</v>
      </c>
    </row>
    <row r="4" spans="2:17">
      <c r="B4" s="48"/>
      <c r="C4" s="48"/>
      <c r="D4" s="48"/>
      <c r="E4" s="48"/>
      <c r="F4" s="48"/>
      <c r="G4" s="48"/>
      <c r="H4" s="48"/>
      <c r="I4" s="49"/>
      <c r="J4" s="49"/>
      <c r="K4" s="49"/>
      <c r="L4" s="49"/>
      <c r="M4" s="49"/>
      <c r="N4" s="49"/>
    </row>
    <row r="5" spans="2:17">
      <c r="B5" s="45" t="s">
        <v>115</v>
      </c>
      <c r="C5" s="45" t="s">
        <v>10</v>
      </c>
      <c r="D5" s="45" t="s">
        <v>12</v>
      </c>
      <c r="E5" s="45" t="s">
        <v>22</v>
      </c>
      <c r="F5" s="45" t="s">
        <v>46</v>
      </c>
      <c r="G5" s="45" t="s">
        <v>59</v>
      </c>
      <c r="H5" s="45" t="s">
        <v>150</v>
      </c>
      <c r="I5" s="50"/>
      <c r="J5" s="50"/>
      <c r="K5" s="50"/>
      <c r="L5" s="50"/>
      <c r="M5" s="50"/>
      <c r="N5" s="50"/>
      <c r="O5" s="50"/>
      <c r="P5" s="50"/>
      <c r="Q5" s="50"/>
    </row>
    <row r="6" spans="2:17">
      <c r="B6" s="45" t="s">
        <v>163</v>
      </c>
      <c r="C6" s="93" t="n">
        <v>4.075549801633436E-20</v>
      </c>
      <c r="D6" s="93" t="n">
        <v>57.347747335517475</v>
      </c>
      <c r="E6" s="93" t="n">
        <v>-8.587393622508017E-37</v>
      </c>
      <c r="F6" s="93" t="n">
        <v>3.091808475978201E-20</v>
      </c>
      <c r="G6" s="93" t="n">
        <v>42.65225266448253</v>
      </c>
      <c r="H6" s="97">
        <f>SUM($C$6:$G$6)</f>
        <v>0</v>
      </c>
      <c r="I6" s="49"/>
      <c r="J6" s="49"/>
      <c r="K6" s="49"/>
      <c r="L6" s="49"/>
      <c r="M6" s="49"/>
      <c r="N6" s="49"/>
      <c r="O6" s="50"/>
      <c r="P6" s="50"/>
      <c r="Q6" s="50"/>
    </row>
    <row r="7" spans="2:17">
      <c r="B7" s="45" t="s">
        <v>105</v>
      </c>
      <c r="C7" s="93" t="n">
        <v>100.0</v>
      </c>
      <c r="D7" s="93" t="n">
        <v>2.656865135055046E-19</v>
      </c>
      <c r="E7" s="93" t="n">
        <v>1.0050100752109719E-19</v>
      </c>
      <c r="F7" s="93" t="n">
        <v>0.0</v>
      </c>
      <c r="G7" s="93" t="n">
        <v>9.324835999164485E-21</v>
      </c>
      <c r="H7" s="97">
        <f>SUM($C$7:$G$7)</f>
        <v>0</v>
      </c>
      <c r="I7" s="49"/>
      <c r="J7" s="49"/>
      <c r="K7" s="49"/>
      <c r="L7" s="49"/>
      <c r="M7" s="49"/>
      <c r="N7" s="49"/>
      <c r="O7" s="50"/>
      <c r="P7" s="50"/>
      <c r="Q7" s="50"/>
    </row>
    <row r="8" spans="2:17">
      <c r="B8" s="45" t="s">
        <v>106</v>
      </c>
      <c r="C8" s="93" t="n">
        <v>4.0048636854614844E-19</v>
      </c>
      <c r="D8" s="93" t="n">
        <v>7.74701586209971E-19</v>
      </c>
      <c r="E8" s="93" t="n">
        <v>100.0</v>
      </c>
      <c r="F8" s="93" t="n">
        <v>-1.7417515156371944E-35</v>
      </c>
      <c r="G8" s="93" t="n">
        <v>2.815920067694025E-20</v>
      </c>
      <c r="H8" s="97">
        <f>SUM($C$8:$G$8)</f>
        <v>0</v>
      </c>
      <c r="I8" s="49"/>
      <c r="J8" s="49"/>
      <c r="K8" s="49"/>
      <c r="L8" s="49"/>
      <c r="M8" s="49"/>
      <c r="N8" s="49"/>
      <c r="O8" s="50"/>
      <c r="P8" s="50"/>
      <c r="Q8" s="50"/>
    </row>
    <row r="9" spans="2:17">
      <c r="B9" s="45" t="s">
        <v>107</v>
      </c>
      <c r="C9" s="93" t="n">
        <v>8.595044657154174E-19</v>
      </c>
      <c r="D9" s="93" t="n">
        <v>1.0200979458613873E-18</v>
      </c>
      <c r="E9" s="93" t="n">
        <v>0.0</v>
      </c>
      <c r="F9" s="93" t="n">
        <v>100.0</v>
      </c>
      <c r="G9" s="93" t="n">
        <v>-7.730893528020762E-36</v>
      </c>
      <c r="H9" s="97">
        <f>SUM($C$9:$G$9)</f>
        <v>0</v>
      </c>
      <c r="I9" s="49"/>
      <c r="J9" s="49"/>
      <c r="K9" s="49"/>
      <c r="L9" s="49"/>
      <c r="M9" s="49"/>
      <c r="N9" s="49"/>
      <c r="O9" s="50"/>
      <c r="P9" s="50"/>
      <c r="Q9" s="50"/>
    </row>
    <row r="10" spans="2:17">
      <c r="B10" s="45" t="s">
        <v>108</v>
      </c>
      <c r="C10" s="93" t="n">
        <v>52.217728444995565</v>
      </c>
      <c r="D10" s="93" t="n">
        <v>42.47313005191233</v>
      </c>
      <c r="E10" s="93" t="n">
        <v>-9.884655171062331E-17</v>
      </c>
      <c r="F10" s="93" t="n">
        <v>5.309141503092109</v>
      </c>
      <c r="G10" s="93" t="n">
        <v>0.0</v>
      </c>
      <c r="H10" s="97">
        <f>SUM($C$10:$G$10)</f>
        <v>0</v>
      </c>
      <c r="I10" s="49"/>
      <c r="J10" s="49"/>
      <c r="K10" s="49"/>
      <c r="L10" s="49"/>
      <c r="M10" s="49"/>
      <c r="N10" s="49"/>
      <c r="O10" s="50"/>
      <c r="P10" s="50"/>
      <c r="Q10" s="50"/>
    </row>
    <row r="11" spans="2:17">
      <c r="B11" s="45" t="s">
        <v>109</v>
      </c>
      <c r="C11" s="94" t="n">
        <v>36.105205281872294</v>
      </c>
      <c r="D11" s="94" t="n">
        <v>58.16506181460903</v>
      </c>
      <c r="E11" s="94" t="n">
        <v>2.6325799193443946</v>
      </c>
      <c r="F11" s="94" t="n">
        <v>3.0971529841742806</v>
      </c>
      <c r="G11" s="94" t="n">
        <v>-1.4992470717124266E-16</v>
      </c>
      <c r="H11" s="96">
        <f>SUM($C$11:$G$11)</f>
        <v>0</v>
      </c>
      <c r="I11" s="49"/>
      <c r="J11" s="49"/>
      <c r="K11" s="49"/>
      <c r="L11" s="49"/>
      <c r="M11" s="49"/>
      <c r="N11" s="49"/>
      <c r="O11" s="50"/>
      <c r="P11" s="50"/>
      <c r="Q11" s="50"/>
    </row>
    <row r="12" spans="2:17">
      <c r="B12" s="51"/>
      <c r="C12" s="51"/>
      <c r="D12" s="51"/>
      <c r="E12" s="51"/>
      <c r="F12" s="51"/>
      <c r="G12" s="51"/>
      <c r="H12" s="51"/>
      <c r="I12" s="49"/>
      <c r="J12" s="49"/>
      <c r="K12" s="49"/>
      <c r="L12" s="49"/>
      <c r="M12" s="49"/>
      <c r="N12" s="49"/>
      <c r="O12" s="50"/>
      <c r="P12" s="50"/>
      <c r="Q12" s="50"/>
    </row>
    <row r="13" spans="2:17">
      <c r="C13" s="49"/>
      <c r="D13" s="49"/>
      <c r="E13" s="49"/>
      <c r="F13" s="49"/>
      <c r="G13" s="49"/>
      <c r="H13" s="49"/>
      <c r="I13" s="50"/>
      <c r="J13" s="50"/>
      <c r="K13" s="50"/>
    </row>
    <row r="14" spans="2:17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7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7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>
      <c r="B17" s="45" t="s">
        <v>118</v>
      </c>
      <c r="C17" s="45" t="s">
        <v>10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>
      <c r="B19" s="45" t="s">
        <v>120</v>
      </c>
      <c r="C19" s="94" t="n">
        <v>47.66643778900391</v>
      </c>
      <c r="D19" s="44">
        <f>100-$C$19</f>
        <v>100</v>
      </c>
      <c r="E19" s="94" t="n">
        <v>46.81658591384568</v>
      </c>
      <c r="F19" s="33">
        <f>100-$E$19</f>
        <v>100</v>
      </c>
      <c r="M19" s="50"/>
      <c r="N19" s="50"/>
      <c r="O19" s="50"/>
    </row>
    <row r="20" spans="2:16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>
      <c r="I21" s="50"/>
      <c r="J21" s="50"/>
      <c r="K21" s="50"/>
    </row>
    <row r="22" spans="2:16">
      <c r="B22" s="52" t="s">
        <v>114</v>
      </c>
      <c r="I22" s="50"/>
      <c r="J22" s="50"/>
      <c r="K22" s="50"/>
    </row>
    <row r="23" spans="2:16">
      <c r="B23" s="55" t="s">
        <v>145</v>
      </c>
      <c r="I23" s="50"/>
      <c r="J23" s="50"/>
      <c r="K23" s="50"/>
    </row>
    <row r="24" spans="2:16">
      <c r="B24" s="31"/>
      <c r="C24" s="31"/>
      <c r="D24" s="31"/>
      <c r="E24" s="31"/>
      <c r="F24" s="31"/>
      <c r="G24" s="31"/>
      <c r="N24" s="50"/>
      <c r="O24" s="50"/>
      <c r="P24" s="50"/>
    </row>
    <row r="25" spans="2:16">
      <c r="B25" s="45" t="s">
        <v>121</v>
      </c>
      <c r="C25" s="45" t="s">
        <v>122</v>
      </c>
      <c r="D25" s="45" t="s">
        <v>10</v>
      </c>
      <c r="E25" s="45"/>
      <c r="F25" s="45" t="s">
        <v>12</v>
      </c>
      <c r="G25" s="45"/>
      <c r="N25" s="50"/>
      <c r="O25" s="50"/>
      <c r="P25" s="50"/>
    </row>
    <row r="26" spans="2:16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>
      <c r="B27" s="45" t="s">
        <v>22</v>
      </c>
      <c r="C27" s="93" t="n">
        <v>14.856107561908868</v>
      </c>
      <c r="D27" s="93" t="n">
        <v>45.418578693469506</v>
      </c>
      <c r="E27" s="93" t="n">
        <v>39.505973265789365</v>
      </c>
      <c r="F27" s="93" t="n">
        <v>6.007548387286922</v>
      </c>
      <c r="G27" s="95" t="n">
        <v>4.510491739568046</v>
      </c>
      <c r="N27" s="50"/>
      <c r="O27" s="50"/>
      <c r="P27" s="50"/>
    </row>
    <row r="28" spans="2:16">
      <c r="B28" s="45" t="s">
        <v>46</v>
      </c>
      <c r="C28" s="93" t="n">
        <v>17.883679059241526</v>
      </c>
      <c r="D28" s="93" t="n">
        <v>54.5814213065305</v>
      </c>
      <c r="E28" s="93" t="n">
        <v>60.49402673421063</v>
      </c>
      <c r="F28" s="93" t="n">
        <v>0.0</v>
      </c>
      <c r="G28" s="95" t="n">
        <v>0.0</v>
      </c>
      <c r="N28" s="50"/>
      <c r="O28" s="50"/>
      <c r="P28" s="50"/>
    </row>
    <row r="29" spans="2:16">
      <c r="B29" s="45" t="s">
        <v>59</v>
      </c>
      <c r="C29" s="93" t="n">
        <v>67.2602133788496</v>
      </c>
      <c r="D29" s="93" t="n">
        <v>0.0</v>
      </c>
      <c r="E29" s="93" t="n">
        <v>0.0</v>
      </c>
      <c r="F29" s="93" t="n">
        <v>93.99245161271308</v>
      </c>
      <c r="G29" s="95" t="n">
        <v>95.48950826043195</v>
      </c>
      <c r="N29" s="50"/>
      <c r="O29" s="50"/>
      <c r="P29" s="50"/>
    </row>
    <row r="30" spans="2:16">
      <c r="B30" s="45" t="s">
        <v>150</v>
      </c>
      <c r="C30" s="98">
        <f>SUM($C$27:$C$29)</f>
        <v>0</v>
      </c>
      <c r="D30" s="98">
        <f>SUM($D$27:$D$29)</f>
        <v>0</v>
      </c>
      <c r="E30" s="98">
        <f>SUM($E$27:$E$29)</f>
        <v>0</v>
      </c>
      <c r="F30" s="98">
        <f>SUM($F$27:$F$29)</f>
        <v>0</v>
      </c>
      <c r="G30" s="96">
        <f>SUM($G$27:$G$29)</f>
        <v>0</v>
      </c>
      <c r="N30" s="50"/>
      <c r="O30" s="50"/>
      <c r="P30" s="50"/>
    </row>
    <row r="31" spans="2:16">
      <c r="B31" s="54"/>
      <c r="C31" s="54"/>
      <c r="D31" s="54"/>
      <c r="E31" s="54"/>
      <c r="F31" s="54"/>
      <c r="G31" s="54"/>
      <c r="N31" s="50"/>
      <c r="O31" s="50"/>
      <c r="P31" s="50"/>
    </row>
    <row r="32" spans="2:16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3" t="n">
        <v>38.55996868971084</v>
      </c>
      <c r="D37" s="93" t="n">
        <v>38.55996868971084</v>
      </c>
      <c r="E37" s="93" t="n">
        <v>38.55996868971084</v>
      </c>
      <c r="F37" s="93" t="n">
        <v>38.55996868971084</v>
      </c>
      <c r="G37" s="93" t="n">
        <v>38.55996868971084</v>
      </c>
      <c r="H37" s="93" t="n">
        <v>38.55996868971084</v>
      </c>
      <c r="I37" s="93" t="n">
        <v>38.55996868971084</v>
      </c>
      <c r="J37" s="93" t="n">
        <v>38.55996868971084</v>
      </c>
      <c r="K37" s="93" t="n">
        <v>38.55996868971084</v>
      </c>
      <c r="L37" s="93" t="n">
        <v>38.55996868971084</v>
      </c>
      <c r="M37" s="93" t="n">
        <v>38.55996868971084</v>
      </c>
      <c r="N37" s="95" t="n">
        <v>38.55996868971084</v>
      </c>
    </row>
    <row r="38" spans="2:14">
      <c r="B38" s="45" t="s">
        <v>46</v>
      </c>
      <c r="C38" s="93" t="n">
        <v>40.675210128439865</v>
      </c>
      <c r="D38" s="93" t="n">
        <v>40.675210128439865</v>
      </c>
      <c r="E38" s="93" t="n">
        <v>40.675210128439865</v>
      </c>
      <c r="F38" s="93" t="n">
        <v>40.675210128439865</v>
      </c>
      <c r="G38" s="93" t="n">
        <v>40.675210128439865</v>
      </c>
      <c r="H38" s="93" t="n">
        <v>40.675210128439865</v>
      </c>
      <c r="I38" s="93" t="n">
        <v>40.675210128439865</v>
      </c>
      <c r="J38" s="93" t="n">
        <v>40.675210128439865</v>
      </c>
      <c r="K38" s="93" t="n">
        <v>40.675210128439865</v>
      </c>
      <c r="L38" s="93" t="n">
        <v>40.675210128439865</v>
      </c>
      <c r="M38" s="93" t="n">
        <v>40.675210128439865</v>
      </c>
      <c r="N38" s="95" t="n">
        <v>40.675210128439865</v>
      </c>
    </row>
    <row r="39" spans="2:14">
      <c r="B39" s="45" t="s">
        <v>59</v>
      </c>
      <c r="C39" s="94" t="n">
        <v>42.92045705662393</v>
      </c>
      <c r="D39" s="94" t="n">
        <v>42.92045705662393</v>
      </c>
      <c r="E39" s="94" t="n">
        <v>42.92045705662393</v>
      </c>
      <c r="F39" s="94" t="n">
        <v>42.92045705662393</v>
      </c>
      <c r="G39" s="94" t="n">
        <v>42.92045705662393</v>
      </c>
      <c r="H39" s="94" t="n">
        <v>42.92045705662393</v>
      </c>
      <c r="I39" s="94" t="n">
        <v>42.92045705662393</v>
      </c>
      <c r="J39" s="94" t="n">
        <v>42.92045705662393</v>
      </c>
      <c r="K39" s="94" t="n">
        <v>42.92045705662393</v>
      </c>
      <c r="L39" s="94" t="n">
        <v>42.92045705662393</v>
      </c>
      <c r="M39" s="94" t="n">
        <v>42.92045705662393</v>
      </c>
      <c r="N39" s="89" t="n">
        <v>42.92045705662393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uBjIrowpgF0WyLyZ2/HNrWEQ6bfAXGPuWEV/qyLmgT8KCiMMQgzhxSynsVeGkkn1VJLhiFmSMX4455nZOCcJWg==" saltValue="We4xxs1VLvbO1g2MLxlnGA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G11 C19 E19 C27:G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workbookViewId="0"/>
  </sheetViews>
  <sheetFormatPr baseColWidth="10" defaultColWidth="8.83203125" defaultRowHeight="12" x14ac:dyDescent="0"/>
  <cols>
    <col min="1" max="2" customWidth="true" style="29" width="4.6640625" collapsed="true"/>
    <col min="3" max="3" customWidth="true" style="29" width="12.6640625" collapsed="true"/>
    <col min="4" max="15" customWidth="true" style="29" width="8.6640625" collapsed="true"/>
    <col min="16" max="16384" style="29" width="8.83203125" collapsed="true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9" t="n">
        <v>1.7</v>
      </c>
      <c r="E6" s="89" t="n">
        <v>1.7</v>
      </c>
      <c r="F6" s="89" t="n">
        <v>1.7</v>
      </c>
      <c r="G6" s="89" t="n">
        <v>1.7</v>
      </c>
      <c r="H6" s="89" t="n">
        <v>1.7</v>
      </c>
      <c r="I6" s="89" t="n">
        <v>1.7</v>
      </c>
      <c r="J6" s="89" t="n">
        <v>1.7</v>
      </c>
      <c r="K6" s="89" t="n">
        <v>1.7</v>
      </c>
      <c r="L6" s="89" t="n">
        <v>1.7</v>
      </c>
      <c r="M6" s="89" t="n">
        <v>1.7</v>
      </c>
      <c r="N6" s="89" t="n">
        <v>1.7</v>
      </c>
      <c r="O6" s="89" t="n">
        <v>1.7</v>
      </c>
    </row>
    <row r="7" spans="2:15">
      <c r="C7" s="36" t="s">
        <v>127</v>
      </c>
      <c r="D7" s="89" t="n">
        <v>2.0</v>
      </c>
      <c r="E7" s="89" t="n">
        <v>2.0</v>
      </c>
      <c r="F7" s="89" t="n">
        <v>2.0</v>
      </c>
      <c r="G7" s="89" t="n">
        <v>2.0</v>
      </c>
      <c r="H7" s="89" t="n">
        <v>2.0</v>
      </c>
      <c r="I7" s="89" t="n">
        <v>2.0</v>
      </c>
      <c r="J7" s="89" t="n">
        <v>2.0</v>
      </c>
      <c r="K7" s="89" t="n">
        <v>2.0</v>
      </c>
      <c r="L7" s="89" t="n">
        <v>2.0</v>
      </c>
      <c r="M7" s="89" t="n">
        <v>2.0</v>
      </c>
      <c r="N7" s="89" t="n">
        <v>2.0</v>
      </c>
      <c r="O7" s="89" t="n">
        <v>2.0</v>
      </c>
    </row>
    <row r="8" spans="2:15">
      <c r="C8" s="36" t="s">
        <v>128</v>
      </c>
      <c r="D8" s="89" t="n">
        <v>2.25</v>
      </c>
      <c r="E8" s="89" t="n">
        <v>2.25</v>
      </c>
      <c r="F8" s="89" t="n">
        <v>2.25</v>
      </c>
      <c r="G8" s="89" t="n">
        <v>2.25</v>
      </c>
      <c r="H8" s="89" t="n">
        <v>2.25</v>
      </c>
      <c r="I8" s="89" t="n">
        <v>2.25</v>
      </c>
      <c r="J8" s="89" t="n">
        <v>2.25</v>
      </c>
      <c r="K8" s="89" t="n">
        <v>2.25</v>
      </c>
      <c r="L8" s="89" t="n">
        <v>2.25</v>
      </c>
      <c r="M8" s="89" t="n">
        <v>2.25</v>
      </c>
      <c r="N8" s="89" t="n">
        <v>2.25</v>
      </c>
      <c r="O8" s="89" t="n">
        <v>2.25</v>
      </c>
    </row>
    <row r="9" spans="2:15">
      <c r="C9" s="36" t="s">
        <v>129</v>
      </c>
      <c r="D9" s="89" t="n">
        <v>2.25</v>
      </c>
      <c r="E9" s="89" t="n">
        <v>2.25</v>
      </c>
      <c r="F9" s="89" t="n">
        <v>2.25</v>
      </c>
      <c r="G9" s="89" t="n">
        <v>2.25</v>
      </c>
      <c r="H9" s="89" t="n">
        <v>2.25</v>
      </c>
      <c r="I9" s="89" t="n">
        <v>2.25</v>
      </c>
      <c r="J9" s="89" t="n">
        <v>2.25</v>
      </c>
      <c r="K9" s="89" t="n">
        <v>2.25</v>
      </c>
      <c r="L9" s="89" t="n">
        <v>2.25</v>
      </c>
      <c r="M9" s="89" t="n">
        <v>2.25</v>
      </c>
      <c r="N9" s="89" t="n">
        <v>2.25</v>
      </c>
      <c r="O9" s="89" t="n">
        <v>2.25</v>
      </c>
    </row>
    <row r="10" spans="2:15">
      <c r="C10" s="36" t="s">
        <v>130</v>
      </c>
      <c r="D10" s="89" t="n">
        <v>2.5</v>
      </c>
      <c r="E10" s="89" t="n">
        <v>2.5</v>
      </c>
      <c r="F10" s="89" t="n">
        <v>2.5</v>
      </c>
      <c r="G10" s="89" t="n">
        <v>2.5</v>
      </c>
      <c r="H10" s="89" t="n">
        <v>2.5</v>
      </c>
      <c r="I10" s="89" t="n">
        <v>2.5</v>
      </c>
      <c r="J10" s="89" t="n">
        <v>2.5</v>
      </c>
      <c r="K10" s="89" t="n">
        <v>2.5</v>
      </c>
      <c r="L10" s="89" t="n">
        <v>2.5</v>
      </c>
      <c r="M10" s="89" t="n">
        <v>2.5</v>
      </c>
      <c r="N10" s="89" t="n">
        <v>2.5</v>
      </c>
      <c r="O10" s="89" t="n">
        <v>2.5</v>
      </c>
    </row>
    <row r="11" spans="2:15">
      <c r="C11" s="36" t="s">
        <v>131</v>
      </c>
      <c r="D11" s="89" t="n">
        <v>2.6</v>
      </c>
      <c r="E11" s="89" t="n">
        <v>2.6</v>
      </c>
      <c r="F11" s="89" t="n">
        <v>2.6</v>
      </c>
      <c r="G11" s="89" t="n">
        <v>2.6</v>
      </c>
      <c r="H11" s="89" t="n">
        <v>2.6</v>
      </c>
      <c r="I11" s="89" t="n">
        <v>2.6</v>
      </c>
      <c r="J11" s="89" t="n">
        <v>2.6</v>
      </c>
      <c r="K11" s="89" t="n">
        <v>2.6</v>
      </c>
      <c r="L11" s="89" t="n">
        <v>2.6</v>
      </c>
      <c r="M11" s="89" t="n">
        <v>2.6</v>
      </c>
      <c r="N11" s="89" t="n">
        <v>2.6</v>
      </c>
      <c r="O11" s="89" t="n">
        <v>2.6</v>
      </c>
    </row>
    <row r="12" spans="2:15">
      <c r="C12" s="37" t="s">
        <v>132</v>
      </c>
      <c r="D12" s="89" t="n">
        <v>2.7</v>
      </c>
      <c r="E12" s="89" t="n">
        <v>2.7</v>
      </c>
      <c r="F12" s="89" t="n">
        <v>2.7</v>
      </c>
      <c r="G12" s="89" t="n">
        <v>2.7</v>
      </c>
      <c r="H12" s="89" t="n">
        <v>2.7</v>
      </c>
      <c r="I12" s="89" t="n">
        <v>2.7</v>
      </c>
      <c r="J12" s="89" t="n">
        <v>2.7</v>
      </c>
      <c r="K12" s="89" t="n">
        <v>2.7</v>
      </c>
      <c r="L12" s="89" t="n">
        <v>2.7</v>
      </c>
      <c r="M12" s="89" t="n">
        <v>2.7</v>
      </c>
      <c r="N12" s="89" t="n">
        <v>2.7</v>
      </c>
      <c r="O12" s="89" t="n">
        <v>2.7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9" t="n">
        <v>3.5</v>
      </c>
      <c r="E15" s="89" t="n">
        <v>3.5</v>
      </c>
      <c r="F15" s="89" t="n">
        <v>3.5</v>
      </c>
      <c r="G15" s="89" t="n">
        <v>3.5</v>
      </c>
      <c r="H15" s="89" t="n">
        <v>3.5</v>
      </c>
      <c r="I15" s="89" t="n">
        <v>3.5</v>
      </c>
      <c r="J15" s="89" t="n">
        <v>3.5</v>
      </c>
      <c r="K15" s="89" t="n">
        <v>3.5</v>
      </c>
      <c r="L15" s="89" t="n">
        <v>3.5</v>
      </c>
      <c r="M15" s="89" t="n">
        <v>3.5</v>
      </c>
      <c r="N15" s="89" t="n">
        <v>3.5</v>
      </c>
      <c r="O15" s="89" t="n">
        <v>3.5</v>
      </c>
    </row>
    <row r="16" spans="2:15">
      <c r="C16" s="36" t="s">
        <v>127</v>
      </c>
      <c r="D16" s="89" t="n">
        <v>3.5</v>
      </c>
      <c r="E16" s="89" t="n">
        <v>3.5</v>
      </c>
      <c r="F16" s="89" t="n">
        <v>3.5</v>
      </c>
      <c r="G16" s="89" t="n">
        <v>3.5</v>
      </c>
      <c r="H16" s="89" t="n">
        <v>3.5</v>
      </c>
      <c r="I16" s="89" t="n">
        <v>3.5</v>
      </c>
      <c r="J16" s="89" t="n">
        <v>3.5</v>
      </c>
      <c r="K16" s="89" t="n">
        <v>3.5</v>
      </c>
      <c r="L16" s="89" t="n">
        <v>3.5</v>
      </c>
      <c r="M16" s="89" t="n">
        <v>3.5</v>
      </c>
      <c r="N16" s="89" t="n">
        <v>3.5</v>
      </c>
      <c r="O16" s="89" t="n">
        <v>3.5</v>
      </c>
    </row>
    <row r="17" spans="2:15">
      <c r="C17" s="36" t="s">
        <v>128</v>
      </c>
      <c r="D17" s="89" t="n">
        <v>3.5</v>
      </c>
      <c r="E17" s="89" t="n">
        <v>3.5</v>
      </c>
      <c r="F17" s="89" t="n">
        <v>3.5</v>
      </c>
      <c r="G17" s="89" t="n">
        <v>3.5</v>
      </c>
      <c r="H17" s="89" t="n">
        <v>3.5</v>
      </c>
      <c r="I17" s="89" t="n">
        <v>3.5</v>
      </c>
      <c r="J17" s="89" t="n">
        <v>3.5</v>
      </c>
      <c r="K17" s="89" t="n">
        <v>3.5</v>
      </c>
      <c r="L17" s="89" t="n">
        <v>3.5</v>
      </c>
      <c r="M17" s="89" t="n">
        <v>3.5</v>
      </c>
      <c r="N17" s="89" t="n">
        <v>3.5</v>
      </c>
      <c r="O17" s="89" t="n">
        <v>3.5</v>
      </c>
    </row>
    <row r="18" spans="2:15">
      <c r="C18" s="36" t="s">
        <v>129</v>
      </c>
      <c r="D18" s="89" t="n">
        <v>3.5</v>
      </c>
      <c r="E18" s="89" t="n">
        <v>3.5</v>
      </c>
      <c r="F18" s="89" t="n">
        <v>3.5</v>
      </c>
      <c r="G18" s="89" t="n">
        <v>3.5</v>
      </c>
      <c r="H18" s="89" t="n">
        <v>3.5</v>
      </c>
      <c r="I18" s="89" t="n">
        <v>3.5</v>
      </c>
      <c r="J18" s="89" t="n">
        <v>3.5</v>
      </c>
      <c r="K18" s="89" t="n">
        <v>3.5</v>
      </c>
      <c r="L18" s="89" t="n">
        <v>3.5</v>
      </c>
      <c r="M18" s="89" t="n">
        <v>3.5</v>
      </c>
      <c r="N18" s="89" t="n">
        <v>3.5</v>
      </c>
      <c r="O18" s="89" t="n">
        <v>3.5</v>
      </c>
    </row>
    <row r="19" spans="2:15">
      <c r="C19" s="36" t="s">
        <v>130</v>
      </c>
      <c r="D19" s="89" t="n">
        <v>3.5</v>
      </c>
      <c r="E19" s="89" t="n">
        <v>3.5</v>
      </c>
      <c r="F19" s="89" t="n">
        <v>3.5</v>
      </c>
      <c r="G19" s="89" t="n">
        <v>3.5</v>
      </c>
      <c r="H19" s="89" t="n">
        <v>3.5</v>
      </c>
      <c r="I19" s="89" t="n">
        <v>3.5</v>
      </c>
      <c r="J19" s="89" t="n">
        <v>3.5</v>
      </c>
      <c r="K19" s="89" t="n">
        <v>3.5</v>
      </c>
      <c r="L19" s="89" t="n">
        <v>3.5</v>
      </c>
      <c r="M19" s="89" t="n">
        <v>3.5</v>
      </c>
      <c r="N19" s="89" t="n">
        <v>3.5</v>
      </c>
      <c r="O19" s="89" t="n">
        <v>3.5</v>
      </c>
    </row>
    <row r="20" spans="2:15">
      <c r="C20" s="36" t="s">
        <v>131</v>
      </c>
      <c r="D20" s="89" t="n">
        <v>3.5</v>
      </c>
      <c r="E20" s="89" t="n">
        <v>3.5</v>
      </c>
      <c r="F20" s="89" t="n">
        <v>3.5</v>
      </c>
      <c r="G20" s="89" t="n">
        <v>3.5</v>
      </c>
      <c r="H20" s="89" t="n">
        <v>3.5</v>
      </c>
      <c r="I20" s="89" t="n">
        <v>3.5</v>
      </c>
      <c r="J20" s="89" t="n">
        <v>3.5</v>
      </c>
      <c r="K20" s="89" t="n">
        <v>3.5</v>
      </c>
      <c r="L20" s="89" t="n">
        <v>3.5</v>
      </c>
      <c r="M20" s="89" t="n">
        <v>3.5</v>
      </c>
      <c r="N20" s="89" t="n">
        <v>3.5</v>
      </c>
      <c r="O20" s="89" t="n">
        <v>3.5</v>
      </c>
    </row>
    <row r="21" spans="2:15">
      <c r="C21" s="37" t="s">
        <v>132</v>
      </c>
      <c r="D21" s="89" t="n">
        <v>3.5</v>
      </c>
      <c r="E21" s="89" t="n">
        <v>3.5</v>
      </c>
      <c r="F21" s="89" t="n">
        <v>3.5</v>
      </c>
      <c r="G21" s="89" t="n">
        <v>3.5</v>
      </c>
      <c r="H21" s="89" t="n">
        <v>3.5</v>
      </c>
      <c r="I21" s="89" t="n">
        <v>3.5</v>
      </c>
      <c r="J21" s="89" t="n">
        <v>3.5</v>
      </c>
      <c r="K21" s="89" t="n">
        <v>3.5</v>
      </c>
      <c r="L21" s="89" t="n">
        <v>3.5</v>
      </c>
      <c r="M21" s="89" t="n">
        <v>3.5</v>
      </c>
      <c r="N21" s="89" t="n">
        <v>3.5</v>
      </c>
      <c r="O21" s="89" t="n">
        <v>3.5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9" t="n">
        <v>3.8</v>
      </c>
      <c r="E24" s="89" t="n">
        <v>3.8</v>
      </c>
      <c r="F24" s="89" t="n">
        <v>3.8</v>
      </c>
      <c r="G24" s="89" t="n">
        <v>3.8</v>
      </c>
      <c r="H24" s="89" t="n">
        <v>3.8</v>
      </c>
      <c r="I24" s="89" t="n">
        <v>3.8</v>
      </c>
      <c r="J24" s="89" t="n">
        <v>3.8</v>
      </c>
      <c r="K24" s="89" t="n">
        <v>3.8</v>
      </c>
      <c r="L24" s="89" t="n">
        <v>3.8</v>
      </c>
      <c r="M24" s="89" t="n">
        <v>3.8</v>
      </c>
      <c r="N24" s="89" t="n">
        <v>3.8</v>
      </c>
      <c r="O24" s="89" t="n">
        <v>3.8</v>
      </c>
    </row>
    <row r="25" spans="2:15">
      <c r="C25" s="36" t="s">
        <v>127</v>
      </c>
      <c r="D25" s="89" t="n">
        <v>3.8</v>
      </c>
      <c r="E25" s="89" t="n">
        <v>3.8</v>
      </c>
      <c r="F25" s="89" t="n">
        <v>3.8</v>
      </c>
      <c r="G25" s="89" t="n">
        <v>3.8</v>
      </c>
      <c r="H25" s="89" t="n">
        <v>3.8</v>
      </c>
      <c r="I25" s="89" t="n">
        <v>3.8</v>
      </c>
      <c r="J25" s="89" t="n">
        <v>3.8</v>
      </c>
      <c r="K25" s="89" t="n">
        <v>3.8</v>
      </c>
      <c r="L25" s="89" t="n">
        <v>3.8</v>
      </c>
      <c r="M25" s="89" t="n">
        <v>3.8</v>
      </c>
      <c r="N25" s="89" t="n">
        <v>3.8</v>
      </c>
      <c r="O25" s="89" t="n">
        <v>3.8</v>
      </c>
    </row>
    <row r="26" spans="2:15">
      <c r="C26" s="36" t="s">
        <v>128</v>
      </c>
      <c r="D26" s="89" t="n">
        <v>3.8</v>
      </c>
      <c r="E26" s="89" t="n">
        <v>3.8</v>
      </c>
      <c r="F26" s="89" t="n">
        <v>3.8</v>
      </c>
      <c r="G26" s="89" t="n">
        <v>3.8</v>
      </c>
      <c r="H26" s="89" t="n">
        <v>3.8</v>
      </c>
      <c r="I26" s="89" t="n">
        <v>3.8</v>
      </c>
      <c r="J26" s="89" t="n">
        <v>3.8</v>
      </c>
      <c r="K26" s="89" t="n">
        <v>3.8</v>
      </c>
      <c r="L26" s="89" t="n">
        <v>3.8</v>
      </c>
      <c r="M26" s="89" t="n">
        <v>3.8</v>
      </c>
      <c r="N26" s="89" t="n">
        <v>3.8</v>
      </c>
      <c r="O26" s="89" t="n">
        <v>3.8</v>
      </c>
    </row>
    <row r="27" spans="2:15">
      <c r="C27" s="36" t="s">
        <v>129</v>
      </c>
      <c r="D27" s="89" t="n">
        <v>3.8</v>
      </c>
      <c r="E27" s="89" t="n">
        <v>3.8</v>
      </c>
      <c r="F27" s="89" t="n">
        <v>3.8</v>
      </c>
      <c r="G27" s="89" t="n">
        <v>3.8</v>
      </c>
      <c r="H27" s="89" t="n">
        <v>3.8</v>
      </c>
      <c r="I27" s="89" t="n">
        <v>3.8</v>
      </c>
      <c r="J27" s="89" t="n">
        <v>3.8</v>
      </c>
      <c r="K27" s="89" t="n">
        <v>3.8</v>
      </c>
      <c r="L27" s="89" t="n">
        <v>3.8</v>
      </c>
      <c r="M27" s="89" t="n">
        <v>3.8</v>
      </c>
      <c r="N27" s="89" t="n">
        <v>3.8</v>
      </c>
      <c r="O27" s="89" t="n">
        <v>3.8</v>
      </c>
    </row>
    <row r="28" spans="2:15">
      <c r="C28" s="36" t="s">
        <v>130</v>
      </c>
      <c r="D28" s="89" t="n">
        <v>3.8</v>
      </c>
      <c r="E28" s="89" t="n">
        <v>3.8</v>
      </c>
      <c r="F28" s="89" t="n">
        <v>3.8</v>
      </c>
      <c r="G28" s="89" t="n">
        <v>3.8</v>
      </c>
      <c r="H28" s="89" t="n">
        <v>3.8</v>
      </c>
      <c r="I28" s="89" t="n">
        <v>3.8</v>
      </c>
      <c r="J28" s="89" t="n">
        <v>3.8</v>
      </c>
      <c r="K28" s="89" t="n">
        <v>3.8</v>
      </c>
      <c r="L28" s="89" t="n">
        <v>3.8</v>
      </c>
      <c r="M28" s="89" t="n">
        <v>3.8</v>
      </c>
      <c r="N28" s="89" t="n">
        <v>3.8</v>
      </c>
      <c r="O28" s="89" t="n">
        <v>3.8</v>
      </c>
    </row>
    <row r="29" spans="2:15">
      <c r="C29" s="36" t="s">
        <v>131</v>
      </c>
      <c r="D29" s="89" t="n">
        <v>3.8</v>
      </c>
      <c r="E29" s="89" t="n">
        <v>3.8</v>
      </c>
      <c r="F29" s="89" t="n">
        <v>3.8</v>
      </c>
      <c r="G29" s="89" t="n">
        <v>3.8</v>
      </c>
      <c r="H29" s="89" t="n">
        <v>3.8</v>
      </c>
      <c r="I29" s="89" t="n">
        <v>3.8</v>
      </c>
      <c r="J29" s="89" t="n">
        <v>3.8</v>
      </c>
      <c r="K29" s="89" t="n">
        <v>3.8</v>
      </c>
      <c r="L29" s="89" t="n">
        <v>3.8</v>
      </c>
      <c r="M29" s="89" t="n">
        <v>3.8</v>
      </c>
      <c r="N29" s="89" t="n">
        <v>3.8</v>
      </c>
      <c r="O29" s="89" t="n">
        <v>3.8</v>
      </c>
    </row>
    <row r="30" spans="2:15">
      <c r="C30" s="37" t="s">
        <v>132</v>
      </c>
      <c r="D30" s="89" t="n">
        <v>3.8</v>
      </c>
      <c r="E30" s="89" t="n">
        <v>3.8</v>
      </c>
      <c r="F30" s="89" t="n">
        <v>3.8</v>
      </c>
      <c r="G30" s="89" t="n">
        <v>3.8</v>
      </c>
      <c r="H30" s="89" t="n">
        <v>3.8</v>
      </c>
      <c r="I30" s="89" t="n">
        <v>3.8</v>
      </c>
      <c r="J30" s="89" t="n">
        <v>3.8</v>
      </c>
      <c r="K30" s="89" t="n">
        <v>3.8</v>
      </c>
      <c r="L30" s="89" t="n">
        <v>3.8</v>
      </c>
      <c r="M30" s="89" t="n">
        <v>3.8</v>
      </c>
      <c r="N30" s="89" t="n">
        <v>3.8</v>
      </c>
      <c r="O30" s="89" t="n">
        <v>3.8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9" t="n">
        <v>2.7</v>
      </c>
      <c r="E33" s="89" t="n">
        <v>2.7</v>
      </c>
      <c r="F33" s="89" t="n">
        <v>2.7</v>
      </c>
      <c r="G33" s="89" t="n">
        <v>2.7</v>
      </c>
      <c r="H33" s="89" t="n">
        <v>2.7</v>
      </c>
      <c r="I33" s="89" t="n">
        <v>2.7</v>
      </c>
      <c r="J33" s="89" t="n">
        <v>2.7</v>
      </c>
      <c r="K33" s="89" t="n">
        <v>2.7</v>
      </c>
      <c r="L33" s="89" t="n">
        <v>2.7</v>
      </c>
      <c r="M33" s="89" t="n">
        <v>2.7</v>
      </c>
      <c r="N33" s="89" t="n">
        <v>2.7</v>
      </c>
      <c r="O33" s="89" t="n">
        <v>2.7</v>
      </c>
    </row>
    <row r="34" spans="3:15">
      <c r="C34" s="36" t="s">
        <v>127</v>
      </c>
      <c r="D34" s="89" t="n">
        <v>2.4</v>
      </c>
      <c r="E34" s="89" t="n">
        <v>2.4</v>
      </c>
      <c r="F34" s="89" t="n">
        <v>2.4</v>
      </c>
      <c r="G34" s="89" t="n">
        <v>2.4</v>
      </c>
      <c r="H34" s="89" t="n">
        <v>2.4</v>
      </c>
      <c r="I34" s="89" t="n">
        <v>2.4</v>
      </c>
      <c r="J34" s="89" t="n">
        <v>2.4</v>
      </c>
      <c r="K34" s="89" t="n">
        <v>2.4</v>
      </c>
      <c r="L34" s="89" t="n">
        <v>2.4</v>
      </c>
      <c r="M34" s="89" t="n">
        <v>2.4</v>
      </c>
      <c r="N34" s="89" t="n">
        <v>2.4</v>
      </c>
      <c r="O34" s="89" t="n">
        <v>2.4</v>
      </c>
    </row>
    <row r="35" spans="3:15">
      <c r="C35" s="36" t="s">
        <v>128</v>
      </c>
      <c r="D35" s="89" t="n">
        <v>2.3</v>
      </c>
      <c r="E35" s="89" t="n">
        <v>2.3</v>
      </c>
      <c r="F35" s="89" t="n">
        <v>2.3</v>
      </c>
      <c r="G35" s="89" t="n">
        <v>2.3</v>
      </c>
      <c r="H35" s="89" t="n">
        <v>2.3</v>
      </c>
      <c r="I35" s="89" t="n">
        <v>2.3</v>
      </c>
      <c r="J35" s="89" t="n">
        <v>2.3</v>
      </c>
      <c r="K35" s="89" t="n">
        <v>2.3</v>
      </c>
      <c r="L35" s="89" t="n">
        <v>2.3</v>
      </c>
      <c r="M35" s="89" t="n">
        <v>2.3</v>
      </c>
      <c r="N35" s="89" t="n">
        <v>2.3</v>
      </c>
      <c r="O35" s="89" t="n">
        <v>2.3</v>
      </c>
    </row>
    <row r="36" spans="3:15">
      <c r="C36" s="36" t="s">
        <v>129</v>
      </c>
      <c r="D36" s="89" t="n">
        <v>2.5</v>
      </c>
      <c r="E36" s="89" t="n">
        <v>2.5</v>
      </c>
      <c r="F36" s="89" t="n">
        <v>2.5</v>
      </c>
      <c r="G36" s="89" t="n">
        <v>2.5</v>
      </c>
      <c r="H36" s="89" t="n">
        <v>2.5</v>
      </c>
      <c r="I36" s="89" t="n">
        <v>2.5</v>
      </c>
      <c r="J36" s="89" t="n">
        <v>2.5</v>
      </c>
      <c r="K36" s="89" t="n">
        <v>2.5</v>
      </c>
      <c r="L36" s="89" t="n">
        <v>2.5</v>
      </c>
      <c r="M36" s="89" t="n">
        <v>2.5</v>
      </c>
      <c r="N36" s="89" t="n">
        <v>2.5</v>
      </c>
      <c r="O36" s="89" t="n">
        <v>2.5</v>
      </c>
    </row>
    <row r="37" spans="3:15">
      <c r="C37" s="36" t="s">
        <v>130</v>
      </c>
      <c r="D37" s="89" t="n">
        <v>2.6</v>
      </c>
      <c r="E37" s="89" t="n">
        <v>2.6</v>
      </c>
      <c r="F37" s="89" t="n">
        <v>2.6</v>
      </c>
      <c r="G37" s="89" t="n">
        <v>2.6</v>
      </c>
      <c r="H37" s="89" t="n">
        <v>2.6</v>
      </c>
      <c r="I37" s="89" t="n">
        <v>2.6</v>
      </c>
      <c r="J37" s="89" t="n">
        <v>2.6</v>
      </c>
      <c r="K37" s="89" t="n">
        <v>2.6</v>
      </c>
      <c r="L37" s="89" t="n">
        <v>2.6</v>
      </c>
      <c r="M37" s="89" t="n">
        <v>2.6</v>
      </c>
      <c r="N37" s="89" t="n">
        <v>2.6</v>
      </c>
      <c r="O37" s="89" t="n">
        <v>2.6</v>
      </c>
    </row>
    <row r="38" spans="3:15">
      <c r="C38" s="36" t="s">
        <v>131</v>
      </c>
      <c r="D38" s="89" t="n">
        <v>2.8</v>
      </c>
      <c r="E38" s="89" t="n">
        <v>2.8</v>
      </c>
      <c r="F38" s="89" t="n">
        <v>2.8</v>
      </c>
      <c r="G38" s="89" t="n">
        <v>2.8</v>
      </c>
      <c r="H38" s="89" t="n">
        <v>2.8</v>
      </c>
      <c r="I38" s="89" t="n">
        <v>2.8</v>
      </c>
      <c r="J38" s="89" t="n">
        <v>2.8</v>
      </c>
      <c r="K38" s="89" t="n">
        <v>2.8</v>
      </c>
      <c r="L38" s="89" t="n">
        <v>2.8</v>
      </c>
      <c r="M38" s="89" t="n">
        <v>2.8</v>
      </c>
      <c r="N38" s="89" t="n">
        <v>2.8</v>
      </c>
      <c r="O38" s="89" t="n">
        <v>2.8</v>
      </c>
    </row>
    <row r="39" spans="3:15">
      <c r="C39" s="37" t="s">
        <v>132</v>
      </c>
      <c r="D39" s="89" t="n">
        <v>2.6</v>
      </c>
      <c r="E39" s="89" t="n">
        <v>2.6</v>
      </c>
      <c r="F39" s="89" t="n">
        <v>2.6</v>
      </c>
      <c r="G39" s="89" t="n">
        <v>2.6</v>
      </c>
      <c r="H39" s="89" t="n">
        <v>2.6</v>
      </c>
      <c r="I39" s="89" t="n">
        <v>2.6</v>
      </c>
      <c r="J39" s="89" t="n">
        <v>2.6</v>
      </c>
      <c r="K39" s="89" t="n">
        <v>2.6</v>
      </c>
      <c r="L39" s="89" t="n">
        <v>2.6</v>
      </c>
      <c r="M39" s="89" t="n">
        <v>2.6</v>
      </c>
      <c r="N39" s="89" t="n">
        <v>2.6</v>
      </c>
      <c r="O39" s="89" t="n">
        <v>2.6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9MpNS8+p6c9hQwBLMzsfcu/meC/zF3j3vOnNQXS1okh1HxU7SnjBfzRzLswc66zg4RGFDXMkOiStg6spbJI9eg==" saltValue="NopY67jPGkxZNRXW6ymClA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2003-07-09T21:14:27Z</dcterms:created>
  <dc:creator>Stella Ma</dc:creator>
  <lastModifiedBy>Michelle Scharfstein</lastModifiedBy>
  <dcterms:modified xsi:type="dcterms:W3CDTF">2015-01-10T02:40:11Z</dcterms:modified>
</coreProperties>
</file>