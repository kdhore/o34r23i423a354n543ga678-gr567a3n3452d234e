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21240" windowHeight="12240" activeTab="3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<sst xmlns="http://schemas.openxmlformats.org/spreadsheetml/2006/main" count="509" uniqueCount="168">
  <si>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</si>
  <si>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</si>
  <si>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</si>
  <si>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</si>
  <si>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</si>
  <si>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</si>
  <si>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</si>
  <si>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</si>
  <si>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</si>
  <si>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</si>
  <si>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</si>
  <si>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</si>
  <si>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</si>
  <si>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</si>
  <si>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</si>
  <si>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</si>
  <si>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</si>
  <si>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</si>
  <si>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</si>
  <si>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</si>
  <si>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</si>
  <si>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</si>
  <si>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</si>
  <si>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</si>
  <si>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</si>
  <si>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</si>
  <si>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</si>
  <si>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</si>
  <si>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</si>
  <si>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</si>
  <si>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</si>
  <si>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</si>
  <si>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</si>
  <si>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</si>
  <si>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</si>
  <si>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</si>
  <si>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</si>
  <si>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</si>
  <si>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</si>
  <si>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</si>
  <si>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</si>
  <si>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</si>
  <si>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</si>
  <si>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</si>
  <si>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</si>
  <si>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</si>
  <si>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</si>
  <si>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</si>
  <si>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</si>
  <si>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</si>
  <si>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</si>
  <si>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</si>
  <si>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</si>
  <si>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</si>
  <si>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</si>
  <si>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</si>
  <si>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</si>
  <si>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</si>
  <si>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</si>
  <si>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</si>
  <si>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</si>
  <si>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</si>
  <si>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</si>
  <si>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</si>
  <si>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</si>
  <si>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</si>
  <si>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</si>
  <si>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</si>
  <si>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</si>
  <si>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</si>
  <si>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</si>
  <si>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</si>
  <si>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</si>
  <si>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</si>
  <si>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</si>
  <si>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</si>
  <si>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</si>
  <si>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</si>
  <si>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</si>
  <si>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</si>
  <si>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</si>
  <si>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</si>
  <si>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</si>
  <si>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</si>
  <si>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</si>
  <si>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</si>
  <si>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</si>
  <si>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</si>
  <si>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</si>
  <si>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</si>
  <si>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</si>
  <si>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</si>
  <si>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</si>
  <si>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</si>
  <si>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</si>
  <si>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</si>
  <si>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</si>
  <si>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</si>
  <si>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</si>
  <si>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</si>
  <si>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</si>
  <si>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</si>
  <si>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</si>
  <si>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</si>
  <si>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</si>
  <si>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</si>
  <si>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</si>
  <si>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</si>
  <si>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</si>
  <si>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</si>
  <si>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</si>
  <si>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</si>
  <si>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</si>
  <si>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</si>
  <si>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</si>
  <si>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</si>
  <si>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</si>
  <si>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</si>
  <si>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</si>
  <si>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</si>
  <si>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</si>
  <si>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</si>
  <si>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</si>
  <si>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</si>
  <si>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</si>
  <si>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</si>
  <si>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</si>
  <si>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</si>
  <si>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</si>
  <si>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</si>
  <si>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</si>
  <si>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</si>
  <si>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</si>
  <si>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</si>
  <si>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</si>
  <si>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</si>
  <si>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</si>
  <si>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</si>
  <si>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</si>
  <si>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</si>
  <si>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</si>
  <si>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</si>
  <si>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</si>
  <si>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</si>
  <si>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</si>
  <si>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</si>
  <si>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</si>
  <si>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</si>
  <si>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</si>
  <si>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</si>
  <si>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</si>
  <si>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</si>
  <si>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</si>
  <si>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</si>
  <si>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</si>
  <si>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</si>
  <si>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</si>
  <si>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</si>
  <si>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</si>
  <si>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</si>
  <si>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</si>
  <si>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</si>
  <si>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</si>
  <si>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</si>
  <si>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</si>
  <si>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</si>
  <si>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>sold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</si>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</sst>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6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2018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sGS7NcFpycjy7Lt1U0ICPdB1k2gpD+ydAi29+bwYAmtZYPHCZj0Dlr76FEF0tbPo2odAsZE+0KFSZ/2DrAGfFw==" saltValue="QdOIVfIwW9iQuDmq0v1Xh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72" workbookViewId="0">
      <selection activeCell="C76" sqref="C76"/>
    </sheetView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167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167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167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167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167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167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167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167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167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167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167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167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167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167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167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167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167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167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167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167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167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167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167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167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167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167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167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167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167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167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167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167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167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167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167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167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-1500</v>
      </c>
      <c r="D63" s="15">
        <v>4000</v>
      </c>
      <c r="E63" s="15" t="s">
        <v>167</v>
      </c>
      <c r="F63" s="15" t="s">
        <v>6</v>
      </c>
      <c r="G63" s="15">
        <f t="shared" si="3"/>
        <v>2500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167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167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167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167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167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167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167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167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167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167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167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167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-2000</v>
      </c>
      <c r="D76" s="15">
        <v>8000</v>
      </c>
      <c r="E76" s="15" t="s">
        <v>167</v>
      </c>
      <c r="F76" s="15" t="s">
        <v>6</v>
      </c>
      <c r="G76" s="15">
        <f t="shared" si="5"/>
        <v>6000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167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167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167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167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167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167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167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167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167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167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167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167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167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167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167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167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167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167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167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167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167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167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167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167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167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167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167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167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167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167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4KKuZsEoBrMGMbnqH7dIXyI8TSw+9iOONvUjSSYEKMP5cHPOjmV+k9Z2HXOjem7+jCSiIDYFgmWz+xFNzUQj3w==" saltValue="ziTNBw4heOr60TuVoOYFm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22" workbookViewId="0">
      <selection activeCell="O15" sqref="O15"/>
    </sheetView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2264.2256576095024</v>
      </c>
      <c r="D6" s="87">
        <v>2264.2256576095024</v>
      </c>
      <c r="E6" s="87">
        <v>2264.2256576095024</v>
      </c>
      <c r="F6" s="87">
        <v>2264.2256576095024</v>
      </c>
      <c r="G6" s="87">
        <v>2264.2256576095024</v>
      </c>
      <c r="H6" s="87">
        <v>2264.2256576095024</v>
      </c>
      <c r="I6" s="87">
        <v>2264.2256576095024</v>
      </c>
      <c r="J6" s="87">
        <v>2264.2256576095024</v>
      </c>
      <c r="K6" s="87">
        <v>2264.2256576095024</v>
      </c>
      <c r="L6" s="87">
        <v>2264.2256576095024</v>
      </c>
      <c r="M6" s="87">
        <v>2264.2256576095024</v>
      </c>
      <c r="N6" s="87">
        <v>2264.2256576095024</v>
      </c>
    </row>
    <row r="7" spans="2:14">
      <c r="B7" s="36" t="s">
        <v>105</v>
      </c>
      <c r="C7" s="88">
        <v>600.00000000000045</v>
      </c>
      <c r="D7" s="89">
        <v>600.00000000000045</v>
      </c>
      <c r="E7" s="89">
        <v>600.00000000000045</v>
      </c>
      <c r="F7" s="89">
        <v>600.00000000000045</v>
      </c>
      <c r="G7" s="89">
        <v>600.00000000000045</v>
      </c>
      <c r="H7" s="89">
        <v>600.00000000000045</v>
      </c>
      <c r="I7" s="89">
        <v>600.00000000000045</v>
      </c>
      <c r="J7" s="89">
        <v>600.00000000000045</v>
      </c>
      <c r="K7" s="89">
        <v>600.00000000000045</v>
      </c>
      <c r="L7" s="89">
        <v>600.00000000000045</v>
      </c>
      <c r="M7" s="89">
        <v>600.00000000000045</v>
      </c>
      <c r="N7" s="89">
        <v>600.00000000000045</v>
      </c>
    </row>
    <row r="8" spans="2:14">
      <c r="B8" s="36" t="s">
        <v>106</v>
      </c>
      <c r="C8" s="88">
        <v>30</v>
      </c>
      <c r="D8" s="89">
        <v>160</v>
      </c>
      <c r="E8" s="89">
        <v>160</v>
      </c>
      <c r="F8" s="89">
        <v>160</v>
      </c>
      <c r="G8" s="89">
        <v>160</v>
      </c>
      <c r="H8" s="89">
        <v>160</v>
      </c>
      <c r="I8" s="89">
        <v>160</v>
      </c>
      <c r="J8" s="89">
        <v>160</v>
      </c>
      <c r="K8" s="89">
        <v>160</v>
      </c>
      <c r="L8" s="89">
        <v>160</v>
      </c>
      <c r="M8" s="89">
        <v>160</v>
      </c>
      <c r="N8" s="89">
        <v>160</v>
      </c>
    </row>
    <row r="9" spans="2:14">
      <c r="B9" s="36" t="s">
        <v>107</v>
      </c>
      <c r="C9" s="88">
        <v>214.08858367520591</v>
      </c>
      <c r="D9" s="89">
        <v>214.08858367520591</v>
      </c>
      <c r="E9" s="89">
        <v>214.08858367520591</v>
      </c>
      <c r="F9" s="89">
        <v>214.08858367520591</v>
      </c>
      <c r="G9" s="89">
        <v>214.08858367520591</v>
      </c>
      <c r="H9" s="89">
        <v>214.08858367520591</v>
      </c>
      <c r="I9" s="89">
        <v>214.08858367520591</v>
      </c>
      <c r="J9" s="89">
        <v>214.08858367520591</v>
      </c>
      <c r="K9" s="89">
        <v>214.08858367520591</v>
      </c>
      <c r="L9" s="89">
        <v>214.08858367520591</v>
      </c>
      <c r="M9" s="89">
        <v>214.08858367520591</v>
      </c>
      <c r="N9" s="89">
        <v>214.08858367520591</v>
      </c>
    </row>
    <row r="10" spans="2:14">
      <c r="B10" s="36" t="s">
        <v>108</v>
      </c>
      <c r="C10" s="88">
        <v>4.8216148030580734E-20</v>
      </c>
      <c r="D10" s="89">
        <v>4.8216148030580734E-20</v>
      </c>
      <c r="E10" s="89">
        <v>4.8216148030580734E-20</v>
      </c>
      <c r="F10" s="89">
        <v>4.8216148030580734E-20</v>
      </c>
      <c r="G10" s="89">
        <v>4.8216148030580734E-20</v>
      </c>
      <c r="H10" s="89">
        <v>4.8216148030580734E-20</v>
      </c>
      <c r="I10" s="89">
        <v>4.8216148030580734E-20</v>
      </c>
      <c r="J10" s="89">
        <v>4.8216148030580734E-20</v>
      </c>
      <c r="K10" s="89">
        <v>4.8216148030580734E-20</v>
      </c>
      <c r="L10" s="89">
        <v>4.8216148030580734E-20</v>
      </c>
      <c r="M10" s="89">
        <v>4.8216148030580734E-20</v>
      </c>
      <c r="N10" s="89">
        <v>4.8216148030580734E-20</v>
      </c>
    </row>
    <row r="11" spans="2:14">
      <c r="B11" s="37" t="s">
        <v>109</v>
      </c>
      <c r="C11" s="88">
        <v>9.5617489996985466E-20</v>
      </c>
      <c r="D11" s="89">
        <v>9.5617489996985466E-20</v>
      </c>
      <c r="E11" s="89">
        <v>9.5617489996985466E-20</v>
      </c>
      <c r="F11" s="89">
        <v>9.5617489996985466E-20</v>
      </c>
      <c r="G11" s="89">
        <v>9.5617489996985466E-20</v>
      </c>
      <c r="H11" s="89">
        <v>9.5617489996985466E-20</v>
      </c>
      <c r="I11" s="89">
        <v>9.5617489996985466E-20</v>
      </c>
      <c r="J11" s="89">
        <v>9.5617489996985466E-20</v>
      </c>
      <c r="K11" s="89">
        <v>9.5617489996985466E-20</v>
      </c>
      <c r="L11" s="89">
        <v>9.5617489996985466E-20</v>
      </c>
      <c r="M11" s="89">
        <v>9.5617489996985466E-20</v>
      </c>
      <c r="N11" s="89">
        <v>9.5617489996985466E-20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0.55926584586003703</v>
      </c>
      <c r="E17" s="90">
        <v>1</v>
      </c>
      <c r="F17" s="90">
        <v>0.78583864510856838</v>
      </c>
      <c r="G17" s="90">
        <v>0.8</v>
      </c>
      <c r="H17" s="90">
        <v>1.0124114443571</v>
      </c>
      <c r="I17" s="29" t="s">
        <v>110</v>
      </c>
    </row>
    <row r="18" spans="2:33">
      <c r="B18" s="36" t="s">
        <v>105</v>
      </c>
      <c r="C18" s="91">
        <v>1.2</v>
      </c>
      <c r="D18" s="91">
        <v>0.64013987757278168</v>
      </c>
      <c r="E18" s="91">
        <v>1</v>
      </c>
      <c r="F18" s="91">
        <v>0.76225965104807469</v>
      </c>
      <c r="G18" s="91">
        <v>0.8</v>
      </c>
      <c r="H18" s="91">
        <v>0.8843794245233676</v>
      </c>
      <c r="I18" s="29" t="s">
        <v>110</v>
      </c>
    </row>
    <row r="19" spans="2:33">
      <c r="B19" s="36" t="s">
        <v>106</v>
      </c>
      <c r="C19" s="91">
        <v>1.2</v>
      </c>
      <c r="D19" s="91">
        <v>0.6821939761673379</v>
      </c>
      <c r="E19" s="91">
        <v>1</v>
      </c>
      <c r="F19" s="91">
        <v>0.83653549540445349</v>
      </c>
      <c r="G19" s="91">
        <v>0.8</v>
      </c>
      <c r="H19" s="91">
        <v>0.99087701464156897</v>
      </c>
      <c r="I19" s="29" t="s">
        <v>110</v>
      </c>
    </row>
    <row r="20" spans="2:33">
      <c r="B20" s="36" t="s">
        <v>107</v>
      </c>
      <c r="C20" s="91">
        <v>1.2</v>
      </c>
      <c r="D20" s="91">
        <v>0.64715856423810436</v>
      </c>
      <c r="E20" s="91">
        <v>1</v>
      </c>
      <c r="F20" s="91">
        <v>0.81648040335892125</v>
      </c>
      <c r="G20" s="91">
        <v>0.8</v>
      </c>
      <c r="H20" s="91">
        <v>0.98580224247973813</v>
      </c>
    </row>
    <row r="21" spans="2:33">
      <c r="B21" s="36" t="s">
        <v>108</v>
      </c>
      <c r="C21" s="91">
        <v>1.2</v>
      </c>
      <c r="D21" s="91">
        <v>0.72098162804998611</v>
      </c>
      <c r="E21" s="91">
        <v>1</v>
      </c>
      <c r="F21" s="91">
        <v>0.75028723197486258</v>
      </c>
      <c r="G21" s="91">
        <v>0.8</v>
      </c>
      <c r="H21" s="91">
        <v>0.77959283589973916</v>
      </c>
    </row>
    <row r="22" spans="2:33">
      <c r="B22" s="37" t="s">
        <v>109</v>
      </c>
      <c r="C22" s="91">
        <v>1.2</v>
      </c>
      <c r="D22" s="91">
        <v>0.69388517956514806</v>
      </c>
      <c r="E22" s="91">
        <v>1</v>
      </c>
      <c r="F22" s="91">
        <v>0.75852973579841076</v>
      </c>
      <c r="G22" s="91">
        <v>0.8</v>
      </c>
      <c r="H22" s="91">
        <v>0.82317429203167358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2018</v>
      </c>
      <c r="D30" s="44">
        <v>0.72411525202691562</v>
      </c>
      <c r="E30" s="35">
        <v>0</v>
      </c>
      <c r="F30" s="47">
        <v>0.71135030767163665</v>
      </c>
      <c r="G30" s="46">
        <v>8000</v>
      </c>
      <c r="H30" s="47">
        <v>0.84236191971130692</v>
      </c>
      <c r="I30" s="46">
        <v>0</v>
      </c>
      <c r="J30" s="47">
        <v>0.74403649732441623</v>
      </c>
      <c r="K30" s="46">
        <v>0</v>
      </c>
      <c r="L30" s="47">
        <v>0.86489268210399939</v>
      </c>
      <c r="M30" s="46">
        <v>1061.069</v>
      </c>
      <c r="N30" s="60"/>
      <c r="O30" s="71" t="s">
        <v>162</v>
      </c>
      <c r="P30" s="41">
        <f>M30+K30+I30+E30+G30</f>
        <v>9061.0689999999995</v>
      </c>
      <c r="Q30" s="70"/>
    </row>
    <row r="31" spans="2:33">
      <c r="B31" s="36"/>
      <c r="C31" s="47">
        <f>basic_info!$D$5+1</f>
        <v>2019</v>
      </c>
      <c r="D31" s="76"/>
      <c r="E31" s="75"/>
      <c r="F31" s="69">
        <v>0.67168145499527454</v>
      </c>
      <c r="G31" s="79">
        <v>8000</v>
      </c>
      <c r="H31" s="61">
        <v>0.80404254385936813</v>
      </c>
      <c r="I31" s="62">
        <v>0</v>
      </c>
      <c r="J31" s="61">
        <v>0.7527505289227433</v>
      </c>
      <c r="K31" s="62">
        <v>0</v>
      </c>
      <c r="L31" s="61">
        <v>0.88199853992657917</v>
      </c>
      <c r="M31" s="62">
        <v>1061.069</v>
      </c>
      <c r="N31" s="63">
        <v>0.85067072108996544</v>
      </c>
      <c r="O31" s="89">
        <v>0.85067072108996544</v>
      </c>
      <c r="P31" s="63">
        <f>O31+M31+K31+I31+G31</f>
        <v>9061.0689999999995</v>
      </c>
    </row>
    <row r="32" spans="2:33">
      <c r="B32" s="36"/>
      <c r="C32" s="47">
        <f>basic_info!$D$5+2</f>
        <v>2020</v>
      </c>
      <c r="D32" s="76"/>
      <c r="E32" s="75"/>
      <c r="F32" s="75"/>
      <c r="G32" s="75"/>
      <c r="H32" s="69">
        <v>0.74553772844970234</v>
      </c>
      <c r="I32" s="79">
        <v>1145.3</v>
      </c>
      <c r="J32" s="61">
        <v>0.69965863319312305</v>
      </c>
      <c r="K32" s="62">
        <v>0</v>
      </c>
      <c r="L32" s="61">
        <v>0.87457866977723531</v>
      </c>
      <c r="M32" s="62">
        <v>1061.069</v>
      </c>
      <c r="N32" s="63">
        <v>0.79998380292338289</v>
      </c>
      <c r="O32" s="89">
        <v>0.79998380292338289</v>
      </c>
      <c r="P32" s="63">
        <f>O32+M32+K32+I32</f>
        <v>2206.3689999999997</v>
      </c>
    </row>
    <row r="33" spans="2:17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0.67052111424505711</v>
      </c>
      <c r="K33" s="79">
        <v>2000</v>
      </c>
      <c r="L33" s="61">
        <v>0.82996059621196905</v>
      </c>
      <c r="M33" s="62">
        <v>1061.069</v>
      </c>
      <c r="N33" s="63">
        <v>0.81109959679484855</v>
      </c>
      <c r="O33" s="89">
        <v>0.81109959679484855</v>
      </c>
      <c r="P33" s="63">
        <f>O33+M33+K33</f>
        <v>3061.069</v>
      </c>
    </row>
    <row r="34" spans="2:17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0.77235281866490846</v>
      </c>
      <c r="M34" s="79">
        <v>1061.069</v>
      </c>
      <c r="N34" s="63">
        <v>0.74817568762620479</v>
      </c>
      <c r="O34" s="89">
        <v>0.74817568762620479</v>
      </c>
      <c r="P34" s="63">
        <f>O34+M34</f>
        <v>1061.069</v>
      </c>
    </row>
    <row r="35" spans="2:17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0.76104814894497397</v>
      </c>
      <c r="O35" s="89">
        <v>0.76104814894497397</v>
      </c>
      <c r="P35" s="65">
        <f>O35</f>
        <v>0</v>
      </c>
    </row>
    <row r="36" spans="2:17">
      <c r="B36" s="41" t="s">
        <v>113</v>
      </c>
      <c r="C36" s="36">
        <f>basic_info!$D$5</f>
        <v>2018</v>
      </c>
      <c r="D36" s="44">
        <v>0.99511689269542691</v>
      </c>
      <c r="E36" s="35">
        <v>0</v>
      </c>
      <c r="F36" s="73">
        <v>0.88880183448123806</v>
      </c>
      <c r="G36" s="74">
        <v>11500</v>
      </c>
      <c r="H36" s="73">
        <v>1.0484299690065144</v>
      </c>
      <c r="I36" s="74">
        <v>0</v>
      </c>
      <c r="J36" s="73">
        <v>0.99543758500835322</v>
      </c>
      <c r="K36" s="74">
        <v>0</v>
      </c>
      <c r="L36" s="66">
        <v>1.0843463381251608</v>
      </c>
      <c r="M36" s="67">
        <v>0</v>
      </c>
      <c r="N36" s="68"/>
      <c r="O36" s="71" t="s">
        <v>162</v>
      </c>
      <c r="P36" s="41">
        <f>M36+K36+I36+E36+G36</f>
        <v>11500</v>
      </c>
      <c r="Q36" s="70"/>
    </row>
    <row r="37" spans="2:17">
      <c r="B37" s="36"/>
      <c r="C37" s="47">
        <f>basic_info!$D$5+1</f>
        <v>2019</v>
      </c>
      <c r="D37" s="76"/>
      <c r="E37" s="75"/>
      <c r="F37" s="69">
        <v>0.87392979428172113</v>
      </c>
      <c r="G37" s="79">
        <v>12000</v>
      </c>
      <c r="H37" s="61">
        <v>1.0036399921766941</v>
      </c>
      <c r="I37" s="62">
        <v>0</v>
      </c>
      <c r="J37" s="61">
        <v>1.0042666663707007</v>
      </c>
      <c r="K37" s="62">
        <v>0</v>
      </c>
      <c r="L37" s="61">
        <v>1.0512236928821403</v>
      </c>
      <c r="M37" s="62">
        <v>0</v>
      </c>
      <c r="N37" s="61">
        <v>1.0686812583458234</v>
      </c>
      <c r="O37" s="89">
        <v>1.0686812583458234</v>
      </c>
      <c r="P37" s="63">
        <f>O37+M37+K37+I37+G37</f>
        <v>12000</v>
      </c>
    </row>
    <row r="38" spans="2:17">
      <c r="B38" s="36"/>
      <c r="C38" s="47">
        <f>basic_info!$D$5+2</f>
        <v>2020</v>
      </c>
      <c r="D38" s="76"/>
      <c r="E38" s="75"/>
      <c r="F38" s="75"/>
      <c r="G38" s="75"/>
      <c r="H38" s="69">
        <v>0.93049090272188195</v>
      </c>
      <c r="I38" s="79">
        <v>298.27199999999999</v>
      </c>
      <c r="J38" s="61">
        <v>0.94087785036126215</v>
      </c>
      <c r="K38" s="62">
        <v>15000</v>
      </c>
      <c r="L38" s="61">
        <v>1.0674782123792534</v>
      </c>
      <c r="M38" s="62">
        <v>0</v>
      </c>
      <c r="N38" s="61">
        <v>1.0255380813967128</v>
      </c>
      <c r="O38" s="89">
        <v>1.0255380813967128</v>
      </c>
      <c r="P38" s="63">
        <f>O38+M38+K38+I38</f>
        <v>15298.272000000001</v>
      </c>
    </row>
    <row r="39" spans="2:17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0.88851178684830667</v>
      </c>
      <c r="K39" s="79">
        <v>20000</v>
      </c>
      <c r="L39" s="61">
        <v>0.9979103092184296</v>
      </c>
      <c r="M39" s="62">
        <v>16262.2045658647</v>
      </c>
      <c r="N39" s="61">
        <v>0.98917274591614612</v>
      </c>
      <c r="O39" s="89">
        <v>0.98917274591614612</v>
      </c>
      <c r="P39" s="63">
        <f>O39+M39+K39</f>
        <v>36262.204565864697</v>
      </c>
    </row>
    <row r="40" spans="2:17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0.91683839964866642</v>
      </c>
      <c r="M40" s="79">
        <v>16262.2045658647</v>
      </c>
      <c r="N40" s="61">
        <v>0.95076571483281835</v>
      </c>
      <c r="O40" s="89">
        <v>0.95076571483281835</v>
      </c>
      <c r="P40" s="63">
        <f>O40+M40</f>
        <v>16262.2045658647</v>
      </c>
    </row>
    <row r="41" spans="2:17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0.92028542885184295</v>
      </c>
      <c r="O41" s="89">
        <v>0.92028542885184295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0</v>
      </c>
    </row>
    <row r="48" spans="2:17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6DmkX9dS0R2nuuMhp1ulEfE8f9B5ngPEnIOLuczMh0YmzE/bGUtvIkAav1L2timzUZLBG9FPeb31Q0g8Lyn1qw==" saltValue="l0zaVTf/FvYfII9LDdCBP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tabSelected="1" workbookViewId="0">
      <selection activeCell="I24" sqref="I24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6.5825495709214627E-22</v>
      </c>
      <c r="D6" s="93">
        <v>57.347747335517454</v>
      </c>
      <c r="E6" s="93">
        <v>1.6816296891738821E-22</v>
      </c>
      <c r="F6" s="93">
        <v>2.6158685005908967E-22</v>
      </c>
      <c r="G6" s="93">
        <v>42.652252664482546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100</v>
      </c>
      <c r="D7" s="93">
        <v>8.7266650009098154E-22</v>
      </c>
      <c r="E7" s="93">
        <v>7.6389487526221734E-23</v>
      </c>
      <c r="F7" s="93">
        <v>2.291685298947958E-22</v>
      </c>
      <c r="G7" s="93">
        <v>0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2.5374971955396355E-20</v>
      </c>
      <c r="D8" s="93">
        <v>3.2821546159512013E-20</v>
      </c>
      <c r="E8" s="93">
        <v>100</v>
      </c>
      <c r="F8" s="93">
        <v>1.6147710611619723E-21</v>
      </c>
      <c r="G8" s="93">
        <v>5.4786870975541585E-21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3.3176867719848261E-20</v>
      </c>
      <c r="D9" s="93">
        <v>6.8508037876961457E-21</v>
      </c>
      <c r="E9" s="93">
        <v>-3.51404251273671E-37</v>
      </c>
      <c r="F9" s="93">
        <v>100</v>
      </c>
      <c r="G9" s="93">
        <v>8.0282851452508701E-22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32.508222469346677</v>
      </c>
      <c r="D10" s="93">
        <v>59.887070127715766</v>
      </c>
      <c r="E10" s="93">
        <v>4.7529421495176187</v>
      </c>
      <c r="F10" s="93">
        <v>2.8517652534199285</v>
      </c>
      <c r="G10" s="93">
        <v>0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49.793925939814876</v>
      </c>
      <c r="D11" s="94">
        <v>43.734924191155265</v>
      </c>
      <c r="E11" s="94">
        <v>3.3554112450745581</v>
      </c>
      <c r="F11" s="94">
        <v>1.4380330966149013</v>
      </c>
      <c r="G11" s="94">
        <v>1.6777055273404022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47.663827622302179</v>
      </c>
      <c r="D19" s="44">
        <f>100-$C$19</f>
        <v>100</v>
      </c>
      <c r="E19" s="94">
        <v>46.817699197802973</v>
      </c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14.856107561908868</v>
      </c>
      <c r="D27" s="93">
        <v>45.415589705477295</v>
      </c>
      <c r="E27" s="93">
        <v>39.508990289906052</v>
      </c>
      <c r="F27" s="93">
        <v>6.0097834456147856</v>
      </c>
      <c r="G27" s="95">
        <v>4.5084928238378792</v>
      </c>
      <c r="N27" s="50"/>
      <c r="O27" s="50"/>
      <c r="P27" s="50"/>
    </row>
    <row r="28" spans="2:16">
      <c r="B28" s="45" t="s">
        <v>46</v>
      </c>
      <c r="C28" s="93">
        <v>17.883679059241526</v>
      </c>
      <c r="D28" s="93">
        <v>54.584410294522705</v>
      </c>
      <c r="E28" s="93">
        <v>60.491009710093948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67.260213378849599</v>
      </c>
      <c r="D29" s="93">
        <v>0</v>
      </c>
      <c r="E29" s="93">
        <v>0</v>
      </c>
      <c r="F29" s="93">
        <v>93.990216554385213</v>
      </c>
      <c r="G29" s="95">
        <v>95.491507176162116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38.559968689710843</v>
      </c>
      <c r="D37" s="93">
        <v>38.559968689710843</v>
      </c>
      <c r="E37" s="93">
        <v>38.559968689710843</v>
      </c>
      <c r="F37" s="93">
        <v>38.559968689710843</v>
      </c>
      <c r="G37" s="93">
        <v>38.559968689710843</v>
      </c>
      <c r="H37" s="93">
        <v>38.559968689710843</v>
      </c>
      <c r="I37" s="93">
        <v>38.559968689710843</v>
      </c>
      <c r="J37" s="93">
        <v>38.559968689710843</v>
      </c>
      <c r="K37" s="93">
        <v>38.559968689710843</v>
      </c>
      <c r="L37" s="93">
        <v>38.559968689710843</v>
      </c>
      <c r="M37" s="93">
        <v>38.559968689710843</v>
      </c>
      <c r="N37" s="95">
        <v>38.559968689710843</v>
      </c>
    </row>
    <row r="38" spans="2:14">
      <c r="B38" s="45" t="s">
        <v>46</v>
      </c>
      <c r="C38" s="93">
        <v>40.675210128439865</v>
      </c>
      <c r="D38" s="93">
        <v>40.675210128439865</v>
      </c>
      <c r="E38" s="93">
        <v>40.675210128439865</v>
      </c>
      <c r="F38" s="93">
        <v>40.675210128439865</v>
      </c>
      <c r="G38" s="93">
        <v>40.675210128439865</v>
      </c>
      <c r="H38" s="93">
        <v>40.675210128439865</v>
      </c>
      <c r="I38" s="93">
        <v>40.675210128439865</v>
      </c>
      <c r="J38" s="93">
        <v>40.675210128439865</v>
      </c>
      <c r="K38" s="93">
        <v>40.675210128439865</v>
      </c>
      <c r="L38" s="93">
        <v>40.675210128439865</v>
      </c>
      <c r="M38" s="93">
        <v>40.675210128439865</v>
      </c>
      <c r="N38" s="95">
        <v>40.675210128439865</v>
      </c>
    </row>
    <row r="39" spans="2:14">
      <c r="B39" s="45" t="s">
        <v>59</v>
      </c>
      <c r="C39" s="94">
        <v>42.920457056623931</v>
      </c>
      <c r="D39" s="94">
        <v>42.920457056623931</v>
      </c>
      <c r="E39" s="94">
        <v>42.920457056623931</v>
      </c>
      <c r="F39" s="94">
        <v>42.920457056623931</v>
      </c>
      <c r="G39" s="94">
        <v>42.920457056623931</v>
      </c>
      <c r="H39" s="94">
        <v>42.920457056623931</v>
      </c>
      <c r="I39" s="94">
        <v>42.920457056623931</v>
      </c>
      <c r="J39" s="94">
        <v>42.920457056623931</v>
      </c>
      <c r="K39" s="94">
        <v>42.920457056623931</v>
      </c>
      <c r="L39" s="94">
        <v>42.920457056623931</v>
      </c>
      <c r="M39" s="94">
        <v>42.920457056623931</v>
      </c>
      <c r="N39" s="89">
        <v>42.920457056623931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uBjIrowpgF0WyLyZ2/HNrWEQ6bfAXGPuWEV/qyLmgT8KCiMMQgzhxSynsVeGkkn1VJLhiFmSMX4455nZOCcJWg==" saltValue="We4xxs1VLvbO1g2MLxlnG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A5" workbookViewId="0">
      <selection activeCell="G27" sqref="G27"/>
    </sheetView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9MpNS8+p6c9hQwBLMzsfcu/meC/zF3j3vOnNQXS1okh1HxU7SnjBfzRzLswc66zg4RGFDXMkOiStg6spbJI9eg==" saltValue="NopY67jPGkxZNRXW6ymCl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2015-01-11T23:54:21Z</dcterms:modified>
</cp:coreProperties>
</file>