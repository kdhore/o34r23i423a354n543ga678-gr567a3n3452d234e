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2440" yWindow="300" windowWidth="19340" windowHeight="12480" firstSheet="1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Sheet1" sheetId="9" r:id="rId6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3" i="9" l="1"/>
  <c r="G14" i="9"/>
  <c r="G15" i="9"/>
  <c r="I30" i="7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<sst xmlns="http://schemas.openxmlformats.org/spreadsheetml/2006/main" count="516" uniqueCount="167">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</sst>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1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1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2016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YvcTK0R51FVd3PWHAmOk2SpDXaTd6ZyP5qiKdXNRy0aU0KXwp37PkRRcALSqyczWTT5EB/0q+xwLZDhVJTj3Hg==" saltValue="icsmFIS3PJXrJAOeR6+ch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>
      <selection activeCell="C63" sqref="C63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-800</v>
      </c>
      <c r="D6" s="15">
        <v>1000</v>
      </c>
      <c r="E6" s="15" t="s">
        <v>166</v>
      </c>
      <c r="F6" s="15" t="s">
        <v>6</v>
      </c>
      <c r="G6" s="15">
        <f t="shared" ref="G6:G15" si="0">$D6+$C6</f>
        <v>200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100</v>
      </c>
      <c r="D10" s="15">
        <v>500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-30</v>
      </c>
      <c r="D21" s="15">
        <v>30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-55</v>
      </c>
      <c r="D27" s="15">
        <v>70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-5000</v>
      </c>
      <c r="D63" s="15">
        <v>10000</v>
      </c>
      <c r="E63" s="15" t="s">
        <v>166</v>
      </c>
      <c r="F63" s="15" t="s">
        <v>6</v>
      </c>
      <c r="G63" s="15">
        <f t="shared" si="3"/>
        <v>5000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-10000</v>
      </c>
      <c r="D76" s="15">
        <v>20000</v>
      </c>
      <c r="E76" s="15" t="s">
        <v>166</v>
      </c>
      <c r="F76" s="15" t="s">
        <v>6</v>
      </c>
      <c r="G76" s="15">
        <f t="shared" si="5"/>
        <v>10000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Zx09t3HnfBemJKvYhQfvLNlCtzzQdPbsH0T02VC/AaYsR6HYwr7iqnGcEV2uYOEqiX/hlAmMaWnWRXQ4OX4jAw==" saltValue="r6MFa//LIVOUJttxf7Mc3w==" spinCount="100000" sheet="1" objects="1" scenarios="1"/>
  <phoneticPr fontId="0" type="noConversion"/>
  <dataValidations xWindow="195" yWindow="727"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3" workbookViewId="0">
      <selection activeCell="J22" sqref="J22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2564.2349986469526</v>
      </c>
      <c r="D6" s="86">
        <v>2564.2349986469526</v>
      </c>
      <c r="E6" s="86">
        <v>2564.2349986469526</v>
      </c>
      <c r="F6" s="86">
        <v>2564.2349986469526</v>
      </c>
      <c r="G6" s="86">
        <v>2564.2349986469526</v>
      </c>
      <c r="H6" s="86">
        <v>2564.2349986469526</v>
      </c>
      <c r="I6" s="86">
        <v>2564.2349986469526</v>
      </c>
      <c r="J6" s="86">
        <v>2564.2349986469526</v>
      </c>
      <c r="K6" s="86">
        <v>2564.2349986469526</v>
      </c>
      <c r="L6" s="86">
        <v>2564.2349986469526</v>
      </c>
      <c r="M6" s="86">
        <v>2564.2349986469526</v>
      </c>
      <c r="N6" s="86">
        <v>2564.2349986469526</v>
      </c>
    </row>
    <row r="7" spans="2:14">
      <c r="B7" s="36" t="s">
        <v>105</v>
      </c>
      <c r="C7" s="87">
        <v>695.00000057637862</v>
      </c>
      <c r="D7" s="87">
        <v>695.00000057637862</v>
      </c>
      <c r="E7" s="87">
        <v>695.00000057637862</v>
      </c>
      <c r="F7" s="87">
        <v>695.00000057637862</v>
      </c>
      <c r="G7" s="87">
        <v>695.00000057637862</v>
      </c>
      <c r="H7" s="87">
        <v>695.00000057637862</v>
      </c>
      <c r="I7" s="87">
        <v>695.00000057637862</v>
      </c>
      <c r="J7" s="87">
        <v>695.00000057637862</v>
      </c>
      <c r="K7" s="87">
        <v>695.00000057637862</v>
      </c>
      <c r="L7" s="87">
        <v>695.00000057637862</v>
      </c>
      <c r="M7" s="87">
        <v>695.00000057637862</v>
      </c>
      <c r="N7" s="87">
        <v>695.00000057637862</v>
      </c>
    </row>
    <row r="8" spans="2:14">
      <c r="B8" s="36" t="s">
        <v>106</v>
      </c>
      <c r="C8" s="87">
        <v>175.00000042412435</v>
      </c>
      <c r="D8" s="87">
        <v>175.00000042412435</v>
      </c>
      <c r="E8" s="87">
        <v>175.00000042412435</v>
      </c>
      <c r="F8" s="87">
        <v>175.00000042412435</v>
      </c>
      <c r="G8" s="87">
        <v>175.00000042412435</v>
      </c>
      <c r="H8" s="87">
        <v>175.00000042412435</v>
      </c>
      <c r="I8" s="87">
        <v>175.00000042412435</v>
      </c>
      <c r="J8" s="87">
        <v>175.00000042412435</v>
      </c>
      <c r="K8" s="87">
        <v>175.00000042412435</v>
      </c>
      <c r="L8" s="87">
        <v>175.00000042412435</v>
      </c>
      <c r="M8" s="87">
        <v>175.00000042412435</v>
      </c>
      <c r="N8" s="87">
        <v>175.00000042412435</v>
      </c>
    </row>
    <row r="9" spans="2:14">
      <c r="B9" s="36" t="s">
        <v>107</v>
      </c>
      <c r="C9" s="87">
        <v>0</v>
      </c>
      <c r="D9" s="87">
        <v>0</v>
      </c>
      <c r="E9" s="87">
        <v>0</v>
      </c>
      <c r="F9" s="87">
        <v>0</v>
      </c>
      <c r="G9" s="87">
        <v>0</v>
      </c>
      <c r="H9" s="87">
        <v>0</v>
      </c>
      <c r="I9" s="87">
        <v>0</v>
      </c>
      <c r="J9" s="87">
        <v>0</v>
      </c>
      <c r="K9" s="87">
        <v>0</v>
      </c>
      <c r="L9" s="87">
        <v>0</v>
      </c>
      <c r="M9" s="87">
        <v>0</v>
      </c>
      <c r="N9" s="87">
        <v>0</v>
      </c>
    </row>
    <row r="10" spans="2:14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>
      <c r="B11" s="37" t="s">
        <v>109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2016</v>
      </c>
      <c r="D30" s="44">
        <v>0.76975257071765368</v>
      </c>
      <c r="E30" s="35">
        <v>0</v>
      </c>
      <c r="F30" s="47">
        <v>0.86235916043001337</v>
      </c>
      <c r="G30" s="46">
        <v>0</v>
      </c>
      <c r="H30" s="47">
        <v>0.83860677402910089</v>
      </c>
      <c r="I30" s="46">
        <v>0</v>
      </c>
      <c r="J30" s="47">
        <v>0.7848152178006883</v>
      </c>
      <c r="K30" s="46">
        <v>0</v>
      </c>
      <c r="L30" s="47">
        <v>0.92524257787922448</v>
      </c>
      <c r="M30" s="46">
        <v>1145.3</v>
      </c>
      <c r="N30" s="60"/>
      <c r="O30" s="71" t="s">
        <v>162</v>
      </c>
      <c r="P30" s="41">
        <f>M30+K30+I30+E30+G30</f>
        <v>1145.3</v>
      </c>
      <c r="Q30" s="70"/>
    </row>
    <row r="31" spans="2:33">
      <c r="B31" s="36"/>
      <c r="C31" s="47">
        <f>basic_info!$D$5+1</f>
        <v>2017</v>
      </c>
      <c r="D31" s="76"/>
      <c r="E31" s="75"/>
      <c r="F31" s="69">
        <v>0.82723927824938992</v>
      </c>
      <c r="G31" s="79">
        <v>0</v>
      </c>
      <c r="H31" s="61">
        <v>0.78982841454849262</v>
      </c>
      <c r="I31" s="62">
        <v>0</v>
      </c>
      <c r="J31" s="61">
        <v>0.73764396117770215</v>
      </c>
      <c r="K31" s="62">
        <v>8000</v>
      </c>
      <c r="L31" s="61">
        <v>0.89619567162872515</v>
      </c>
      <c r="M31" s="62">
        <v>0</v>
      </c>
      <c r="N31" s="63">
        <v>0.7794039403879286</v>
      </c>
      <c r="O31" s="88">
        <v>0</v>
      </c>
      <c r="P31" s="63">
        <f>O31+M31+K31+I31+G31</f>
        <v>8000</v>
      </c>
    </row>
    <row r="32" spans="2:33">
      <c r="B32" s="36"/>
      <c r="C32" s="47">
        <f>basic_info!$D$5+2</f>
        <v>2018</v>
      </c>
      <c r="D32" s="76"/>
      <c r="E32" s="75"/>
      <c r="F32" s="75"/>
      <c r="G32" s="75"/>
      <c r="H32" s="69">
        <v>0.72411525202691562</v>
      </c>
      <c r="I32" s="79">
        <v>0</v>
      </c>
      <c r="J32" s="61">
        <v>0.71135030767163665</v>
      </c>
      <c r="K32" s="62">
        <v>8000</v>
      </c>
      <c r="L32" s="61">
        <v>0.84236191971130692</v>
      </c>
      <c r="M32" s="62">
        <v>0</v>
      </c>
      <c r="N32" s="63">
        <v>0.74403649732441623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0.67168145499527454</v>
      </c>
      <c r="K33" s="79">
        <v>8000</v>
      </c>
      <c r="L33" s="61">
        <v>0.80404254385936813</v>
      </c>
      <c r="M33" s="62">
        <v>0</v>
      </c>
      <c r="N33" s="63">
        <v>0.7527505289227433</v>
      </c>
      <c r="O33" s="88">
        <v>0</v>
      </c>
      <c r="P33" s="63">
        <f>O33+M33+K33</f>
        <v>8000</v>
      </c>
    </row>
    <row r="34" spans="2:17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0.74553772844970234</v>
      </c>
      <c r="M34" s="79">
        <v>1145.3</v>
      </c>
      <c r="N34" s="63">
        <v>0.69965863319312305</v>
      </c>
      <c r="O34" s="88">
        <v>0</v>
      </c>
      <c r="P34" s="63">
        <f>O34+M34</f>
        <v>1145.3</v>
      </c>
    </row>
    <row r="35" spans="2:17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0.67052111424505711</v>
      </c>
      <c r="O35" s="88">
        <v>0</v>
      </c>
      <c r="P35" s="65">
        <f>O35</f>
        <v>0</v>
      </c>
    </row>
    <row r="36" spans="2:17">
      <c r="B36" s="41" t="s">
        <v>113</v>
      </c>
      <c r="C36" s="36">
        <f>basic_info!$D$5</f>
        <v>2016</v>
      </c>
      <c r="D36" s="44">
        <v>1.0296840787328012</v>
      </c>
      <c r="E36" s="35">
        <v>0</v>
      </c>
      <c r="F36" s="73">
        <v>0.89692452423078717</v>
      </c>
      <c r="G36" s="74">
        <v>0</v>
      </c>
      <c r="H36" s="73">
        <v>1.1330883338899427</v>
      </c>
      <c r="I36" s="74">
        <v>0</v>
      </c>
      <c r="J36" s="73">
        <v>0.96974342417907566</v>
      </c>
      <c r="K36" s="74">
        <v>10500</v>
      </c>
      <c r="L36" s="66">
        <v>1.233785181788428</v>
      </c>
      <c r="M36" s="67">
        <v>0</v>
      </c>
      <c r="N36" s="68"/>
      <c r="O36" s="71" t="s">
        <v>162</v>
      </c>
      <c r="P36" s="41">
        <f>M36+K36+I36+E36+G36</f>
        <v>10500</v>
      </c>
      <c r="Q36" s="70"/>
    </row>
    <row r="37" spans="2:17">
      <c r="B37" s="36"/>
      <c r="C37" s="47">
        <f>basic_info!$D$5+1</f>
        <v>2017</v>
      </c>
      <c r="D37" s="76"/>
      <c r="E37" s="75"/>
      <c r="F37" s="69">
        <v>0.90603754280275017</v>
      </c>
      <c r="G37" s="79">
        <v>0</v>
      </c>
      <c r="H37" s="61">
        <v>1.0875125598816084</v>
      </c>
      <c r="I37" s="62">
        <v>0</v>
      </c>
      <c r="J37" s="61">
        <v>0.93160995934739854</v>
      </c>
      <c r="K37" s="62">
        <v>11000</v>
      </c>
      <c r="L37" s="61">
        <v>1.1406943529243774</v>
      </c>
      <c r="M37" s="62">
        <v>0</v>
      </c>
      <c r="N37" s="61">
        <v>1.0322843568963027</v>
      </c>
      <c r="O37" s="88">
        <v>0</v>
      </c>
      <c r="P37" s="63">
        <f>O37+M37+K37+I37+G37</f>
        <v>11000</v>
      </c>
    </row>
    <row r="38" spans="2:17">
      <c r="B38" s="36"/>
      <c r="C38" s="47">
        <f>basic_info!$D$5+2</f>
        <v>2018</v>
      </c>
      <c r="D38" s="76"/>
      <c r="E38" s="75"/>
      <c r="F38" s="75"/>
      <c r="G38" s="75"/>
      <c r="H38" s="69">
        <v>0.99511689269542691</v>
      </c>
      <c r="I38" s="79">
        <v>0</v>
      </c>
      <c r="J38" s="61">
        <v>0.88880183448123806</v>
      </c>
      <c r="K38" s="62">
        <v>11500</v>
      </c>
      <c r="L38" s="61">
        <v>1.0484299690065144</v>
      </c>
      <c r="M38" s="62">
        <v>0</v>
      </c>
      <c r="N38" s="61">
        <v>0.99543758500835322</v>
      </c>
      <c r="O38" s="88">
        <v>0</v>
      </c>
      <c r="P38" s="63">
        <f>O38+M38+K38+I38</f>
        <v>11500</v>
      </c>
    </row>
    <row r="39" spans="2:17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0.87392979428172113</v>
      </c>
      <c r="K39" s="79">
        <v>12000</v>
      </c>
      <c r="L39" s="61">
        <v>1.0036399921766941</v>
      </c>
      <c r="M39" s="62">
        <v>0</v>
      </c>
      <c r="N39" s="61">
        <v>1.0042666663707007</v>
      </c>
      <c r="O39" s="88">
        <v>0</v>
      </c>
      <c r="P39" s="63">
        <f>O39+M39+K39</f>
        <v>12000</v>
      </c>
    </row>
    <row r="40" spans="2:17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0.93049090272188195</v>
      </c>
      <c r="M40" s="79">
        <v>298.27199999999999</v>
      </c>
      <c r="N40" s="61">
        <v>0.94087785036126215</v>
      </c>
      <c r="O40" s="88">
        <v>0</v>
      </c>
      <c r="P40" s="63">
        <f>O40+M40</f>
        <v>298.27199999999999</v>
      </c>
    </row>
    <row r="41" spans="2:17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0.88851178684830667</v>
      </c>
      <c r="O41" s="88">
        <v>0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Qv2vPk/42kI4SfG+ffMg7k11cNa6eImv/a/F2NS4jCs0OFxsfRL8wzZO/m7QyfMZlaT5uSNRUQeFjzai9KC/qQ==" saltValue="JgqGZIGsbIKunVBYHvcxyA==" spinCount="100000" sheet="1" objects="1" scenarios="1"/>
  <phoneticPr fontId="0" type="noConversion"/>
  <dataValidations xWindow="671" yWindow="522"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J17" sqref="J17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72.830103277365239</v>
      </c>
      <c r="F6" s="92">
        <v>0</v>
      </c>
      <c r="G6" s="92">
        <v>0</v>
      </c>
      <c r="H6" s="92">
        <v>27.169896689173246</v>
      </c>
      <c r="I6" s="96">
        <f>SUM($C$6:$H$6)</f>
        <v>99.999999966538482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71.942446016397966</v>
      </c>
      <c r="E7" s="92">
        <v>0</v>
      </c>
      <c r="F7" s="92">
        <v>0</v>
      </c>
      <c r="G7" s="92">
        <v>28.057553933565789</v>
      </c>
      <c r="H7" s="92">
        <v>0</v>
      </c>
      <c r="I7" s="96">
        <f>SUM($C$7:$H$7)</f>
        <v>99.999999949963751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0</v>
      </c>
      <c r="F8" s="92">
        <v>99.999999757643238</v>
      </c>
      <c r="G8" s="92">
        <v>0</v>
      </c>
      <c r="H8" s="92">
        <v>0</v>
      </c>
      <c r="I8" s="96">
        <f>SUM($C$8:$H$8)</f>
        <v>99.999999757643238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</v>
      </c>
      <c r="D9" s="92">
        <v>0</v>
      </c>
      <c r="E9" s="92">
        <v>100</v>
      </c>
      <c r="F9" s="92">
        <v>0</v>
      </c>
      <c r="G9" s="92">
        <v>0</v>
      </c>
      <c r="H9" s="92">
        <v>0</v>
      </c>
      <c r="I9" s="96">
        <f>SUM($C$9:$H$9)</f>
        <v>100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0</v>
      </c>
      <c r="D10" s="92">
        <v>0</v>
      </c>
      <c r="E10" s="92">
        <v>0</v>
      </c>
      <c r="F10" s="92">
        <v>0</v>
      </c>
      <c r="G10" s="92">
        <v>0</v>
      </c>
      <c r="H10" s="92">
        <v>0</v>
      </c>
      <c r="I10" s="96">
        <f>SUM($C$10:$H$10)</f>
        <v>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0</v>
      </c>
      <c r="D11" s="93">
        <v>0</v>
      </c>
      <c r="E11" s="93">
        <v>0</v>
      </c>
      <c r="F11" s="93">
        <v>0</v>
      </c>
      <c r="G11" s="93">
        <v>0</v>
      </c>
      <c r="H11" s="93">
        <v>100</v>
      </c>
      <c r="I11" s="95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100</v>
      </c>
      <c r="D19" s="44">
        <f>100-$C$19</f>
        <v>0</v>
      </c>
      <c r="E19" s="93">
        <v>48.86</v>
      </c>
      <c r="F19" s="44">
        <f>100-$E$19</f>
        <v>51.14</v>
      </c>
      <c r="G19" s="93">
        <v>41.32</v>
      </c>
      <c r="H19" s="33">
        <f>100-$G$19</f>
        <v>58.68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10</v>
      </c>
      <c r="D27" s="92">
        <v>0</v>
      </c>
      <c r="E27" s="92">
        <v>0</v>
      </c>
      <c r="F27" s="92">
        <v>1.8475788744355554E-4</v>
      </c>
      <c r="G27" s="92">
        <v>28.733848822437206</v>
      </c>
      <c r="H27" s="92">
        <v>18.841219201041557</v>
      </c>
      <c r="I27" s="94">
        <v>13.541672026632043</v>
      </c>
      <c r="P27" s="50"/>
      <c r="Q27" s="50"/>
      <c r="R27" s="50"/>
    </row>
    <row r="28" spans="2:18">
      <c r="B28" s="45" t="s">
        <v>46</v>
      </c>
      <c r="C28" s="92">
        <v>20</v>
      </c>
      <c r="D28" s="92">
        <v>0</v>
      </c>
      <c r="E28" s="92">
        <v>100</v>
      </c>
      <c r="F28" s="92">
        <v>99.999815242112561</v>
      </c>
      <c r="G28" s="92">
        <v>71.26615117756279</v>
      </c>
      <c r="H28" s="92">
        <v>5.3268621476805057E-8</v>
      </c>
      <c r="I28" s="94">
        <v>6.7295877417354097E-8</v>
      </c>
      <c r="P28" s="50"/>
      <c r="Q28" s="50"/>
      <c r="R28" s="50"/>
    </row>
    <row r="29" spans="2:18">
      <c r="B29" s="45" t="s">
        <v>59</v>
      </c>
      <c r="C29" s="92">
        <v>70</v>
      </c>
      <c r="D29" s="92">
        <v>0</v>
      </c>
      <c r="E29" s="92">
        <v>0</v>
      </c>
      <c r="F29" s="92">
        <v>0</v>
      </c>
      <c r="G29" s="92">
        <v>0</v>
      </c>
      <c r="H29" s="92">
        <v>81.15878074568981</v>
      </c>
      <c r="I29" s="94">
        <v>86.458327906072086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0</v>
      </c>
      <c r="E30" s="97">
        <f>SUM($E$27:$E$29)</f>
        <v>100</v>
      </c>
      <c r="F30" s="97">
        <f>SUM($F$27:$F$29)</f>
        <v>100</v>
      </c>
      <c r="G30" s="97">
        <f>SUM($G$27:$G$29)</f>
        <v>100</v>
      </c>
      <c r="H30" s="97">
        <f>SUM($H$27:$H$29)</f>
        <v>99.999999999999986</v>
      </c>
      <c r="I30" s="95">
        <f>SUM($I$27:$I$29)</f>
        <v>100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41.063863799856129</v>
      </c>
      <c r="D37" s="93">
        <v>41.063863799856129</v>
      </c>
      <c r="E37" s="93">
        <v>41.063863799856129</v>
      </c>
      <c r="F37" s="93">
        <v>41.063863799856129</v>
      </c>
      <c r="G37" s="93">
        <v>41.063863799856129</v>
      </c>
      <c r="H37" s="93">
        <v>41.063863799856129</v>
      </c>
      <c r="I37" s="93">
        <v>41.063863799856129</v>
      </c>
      <c r="J37" s="93">
        <v>41.063863799856129</v>
      </c>
      <c r="K37" s="93">
        <v>41.063863799856129</v>
      </c>
      <c r="L37" s="93">
        <v>41.063863799856129</v>
      </c>
      <c r="M37" s="93">
        <v>41.063863799856129</v>
      </c>
      <c r="N37" s="93">
        <v>41.063863799856129</v>
      </c>
    </row>
    <row r="38" spans="2:14">
      <c r="B38" s="45" t="s">
        <v>46</v>
      </c>
      <c r="C38" s="93">
        <v>51.062974990793137</v>
      </c>
      <c r="D38" s="93">
        <v>51.062974990793137</v>
      </c>
      <c r="E38" s="93">
        <v>51.062974990793137</v>
      </c>
      <c r="F38" s="93">
        <v>51.062974990793137</v>
      </c>
      <c r="G38" s="93">
        <v>51.062974990793137</v>
      </c>
      <c r="H38" s="93">
        <v>51.062974990793137</v>
      </c>
      <c r="I38" s="93">
        <v>51.062974990793137</v>
      </c>
      <c r="J38" s="93">
        <v>51.062974990793137</v>
      </c>
      <c r="K38" s="93">
        <v>51.062974990793137</v>
      </c>
      <c r="L38" s="93">
        <v>51.062974990793137</v>
      </c>
      <c r="M38" s="93">
        <v>51.062974990793137</v>
      </c>
      <c r="N38" s="93">
        <v>51.062974990793137</v>
      </c>
    </row>
    <row r="39" spans="2:14">
      <c r="B39" s="45" t="s">
        <v>59</v>
      </c>
      <c r="C39" s="93">
        <v>47.156542712399627</v>
      </c>
      <c r="D39" s="93">
        <v>47.156542712399627</v>
      </c>
      <c r="E39" s="93">
        <v>47.156542712399627</v>
      </c>
      <c r="F39" s="93">
        <v>47.156542712399627</v>
      </c>
      <c r="G39" s="93">
        <v>47.156542712399627</v>
      </c>
      <c r="H39" s="93">
        <v>47.156542712399627</v>
      </c>
      <c r="I39" s="93">
        <v>47.156542712399627</v>
      </c>
      <c r="J39" s="93">
        <v>47.156542712399627</v>
      </c>
      <c r="K39" s="93">
        <v>47.156542712399627</v>
      </c>
      <c r="L39" s="93">
        <v>47.156542712399627</v>
      </c>
      <c r="M39" s="93">
        <v>47.156542712399627</v>
      </c>
      <c r="N39" s="93">
        <v>47.156542712399627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+gAzSYcg6YVkia6KxYRhbEy2GqVocV4X81eQv8oXq2VIVjmLoBXjJ8hdi0IM5EsZDDUwH7bb1qltgDSFcS2fBA==" saltValue="iUnoI5WjeOqQqf87w/uLdg==" spinCount="100000" sheet="1" objects="1" scenarios="1"/>
  <phoneticPr fontId="0" type="noConversion"/>
  <dataValidations xWindow="625" yWindow="285"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abSelected="1" topLeftCell="A12" workbookViewId="0">
      <selection activeCell="P28" sqref="P28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2</v>
      </c>
      <c r="E6" s="88">
        <v>2</v>
      </c>
      <c r="F6" s="88">
        <v>2</v>
      </c>
      <c r="G6" s="88">
        <v>2</v>
      </c>
      <c r="H6" s="88">
        <v>2</v>
      </c>
      <c r="I6" s="88">
        <v>2</v>
      </c>
      <c r="J6" s="88">
        <v>2</v>
      </c>
      <c r="K6" s="88">
        <v>2</v>
      </c>
      <c r="L6" s="88">
        <v>2</v>
      </c>
      <c r="M6" s="88">
        <v>2</v>
      </c>
      <c r="N6" s="88">
        <v>2</v>
      </c>
      <c r="O6" s="88">
        <v>2</v>
      </c>
    </row>
    <row r="7" spans="2:15">
      <c r="C7" s="36" t="s">
        <v>127</v>
      </c>
      <c r="D7" s="88">
        <v>2.5</v>
      </c>
      <c r="E7" s="88">
        <v>2.5</v>
      </c>
      <c r="F7" s="88">
        <v>2.5</v>
      </c>
      <c r="G7" s="88">
        <v>2.5</v>
      </c>
      <c r="H7" s="88">
        <v>2.5</v>
      </c>
      <c r="I7" s="88">
        <v>2.5</v>
      </c>
      <c r="J7" s="88">
        <v>2.5</v>
      </c>
      <c r="K7" s="88">
        <v>2.5</v>
      </c>
      <c r="L7" s="88">
        <v>2.5</v>
      </c>
      <c r="M7" s="88">
        <v>2.5</v>
      </c>
      <c r="N7" s="88">
        <v>2.5</v>
      </c>
      <c r="O7" s="88">
        <v>2.5</v>
      </c>
    </row>
    <row r="8" spans="2:15">
      <c r="C8" s="36" t="s">
        <v>128</v>
      </c>
      <c r="D8" s="88">
        <v>2.7</v>
      </c>
      <c r="E8" s="88">
        <v>2.7</v>
      </c>
      <c r="F8" s="88">
        <v>2.7</v>
      </c>
      <c r="G8" s="88">
        <v>2.7</v>
      </c>
      <c r="H8" s="88">
        <v>2.7</v>
      </c>
      <c r="I8" s="88">
        <v>2.7</v>
      </c>
      <c r="J8" s="88">
        <v>2.7</v>
      </c>
      <c r="K8" s="88">
        <v>2.7</v>
      </c>
      <c r="L8" s="88">
        <v>2.7</v>
      </c>
      <c r="M8" s="88">
        <v>2.7</v>
      </c>
      <c r="N8" s="88">
        <v>2.7</v>
      </c>
      <c r="O8" s="88">
        <v>2.7</v>
      </c>
    </row>
    <row r="9" spans="2:15">
      <c r="C9" s="36" t="s">
        <v>129</v>
      </c>
      <c r="D9" s="88">
        <v>2.7</v>
      </c>
      <c r="E9" s="88">
        <v>2.7</v>
      </c>
      <c r="F9" s="88">
        <v>2.7</v>
      </c>
      <c r="G9" s="88">
        <v>2.7</v>
      </c>
      <c r="H9" s="88">
        <v>2.7</v>
      </c>
      <c r="I9" s="88">
        <v>2.7</v>
      </c>
      <c r="J9" s="88">
        <v>2.7</v>
      </c>
      <c r="K9" s="88">
        <v>2.7</v>
      </c>
      <c r="L9" s="88">
        <v>2.7</v>
      </c>
      <c r="M9" s="88">
        <v>2.7</v>
      </c>
      <c r="N9" s="88">
        <v>2.7</v>
      </c>
      <c r="O9" s="88">
        <v>2.7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3.3</v>
      </c>
      <c r="E15" s="88">
        <v>3.3</v>
      </c>
      <c r="F15" s="88">
        <v>3.3</v>
      </c>
      <c r="G15" s="88">
        <v>3.3</v>
      </c>
      <c r="H15" s="88">
        <v>3.3</v>
      </c>
      <c r="I15" s="88">
        <v>3.3</v>
      </c>
      <c r="J15" s="88">
        <v>3.3</v>
      </c>
      <c r="K15" s="88">
        <v>3.3</v>
      </c>
      <c r="L15" s="88">
        <v>3.3</v>
      </c>
      <c r="M15" s="88">
        <v>3.3</v>
      </c>
      <c r="N15" s="88">
        <v>3.3</v>
      </c>
      <c r="O15" s="88">
        <v>3.3</v>
      </c>
    </row>
    <row r="16" spans="2:15">
      <c r="C16" s="36" t="s">
        <v>127</v>
      </c>
      <c r="D16" s="88">
        <v>3.3</v>
      </c>
      <c r="E16" s="88">
        <v>3.3</v>
      </c>
      <c r="F16" s="88">
        <v>3.3</v>
      </c>
      <c r="G16" s="88">
        <v>3.3</v>
      </c>
      <c r="H16" s="88">
        <v>3.3</v>
      </c>
      <c r="I16" s="88">
        <v>3.3</v>
      </c>
      <c r="J16" s="88">
        <v>3.3</v>
      </c>
      <c r="K16" s="88">
        <v>3.3</v>
      </c>
      <c r="L16" s="88">
        <v>3.3</v>
      </c>
      <c r="M16" s="88">
        <v>3.3</v>
      </c>
      <c r="N16" s="88">
        <v>3.3</v>
      </c>
      <c r="O16" s="88">
        <v>3.3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3.3</v>
      </c>
      <c r="E18" s="88">
        <v>3.3</v>
      </c>
      <c r="F18" s="88">
        <v>3.3</v>
      </c>
      <c r="G18" s="88">
        <v>3.3</v>
      </c>
      <c r="H18" s="88">
        <v>3.3</v>
      </c>
      <c r="I18" s="88">
        <v>3.3</v>
      </c>
      <c r="J18" s="88">
        <v>3.3</v>
      </c>
      <c r="K18" s="88">
        <v>3.3</v>
      </c>
      <c r="L18" s="88">
        <v>3.3</v>
      </c>
      <c r="M18" s="88">
        <v>3.3</v>
      </c>
      <c r="N18" s="88">
        <v>3.3</v>
      </c>
      <c r="O18" s="88">
        <v>3.3</v>
      </c>
    </row>
    <row r="19" spans="2:15">
      <c r="C19" s="36" t="s">
        <v>130</v>
      </c>
      <c r="D19" s="88">
        <v>3.3</v>
      </c>
      <c r="E19" s="88">
        <v>3.3</v>
      </c>
      <c r="F19" s="88">
        <v>3.3</v>
      </c>
      <c r="G19" s="88">
        <v>3.3</v>
      </c>
      <c r="H19" s="88">
        <v>3.3</v>
      </c>
      <c r="I19" s="88">
        <v>3.3</v>
      </c>
      <c r="J19" s="88">
        <v>3.3</v>
      </c>
      <c r="K19" s="88">
        <v>3.3</v>
      </c>
      <c r="L19" s="88">
        <v>3.3</v>
      </c>
      <c r="M19" s="88">
        <v>3.3</v>
      </c>
      <c r="N19" s="88">
        <v>3.3</v>
      </c>
      <c r="O19" s="88">
        <v>3.3</v>
      </c>
    </row>
    <row r="20" spans="2:15">
      <c r="C20" s="36" t="s">
        <v>131</v>
      </c>
      <c r="D20" s="88">
        <v>3.2</v>
      </c>
      <c r="E20" s="88">
        <v>3.2</v>
      </c>
      <c r="F20" s="88">
        <v>3.2</v>
      </c>
      <c r="G20" s="88">
        <v>3.2</v>
      </c>
      <c r="H20" s="88">
        <v>3.2</v>
      </c>
      <c r="I20" s="88">
        <v>3.2</v>
      </c>
      <c r="J20" s="88">
        <v>3.2</v>
      </c>
      <c r="K20" s="88">
        <v>3.2</v>
      </c>
      <c r="L20" s="88">
        <v>3.2</v>
      </c>
      <c r="M20" s="88">
        <v>3.2</v>
      </c>
      <c r="N20" s="88">
        <v>3.2</v>
      </c>
      <c r="O20" s="88">
        <v>3.2</v>
      </c>
    </row>
    <row r="21" spans="2:15">
      <c r="C21" s="37" t="s">
        <v>132</v>
      </c>
      <c r="D21" s="88">
        <v>3.2</v>
      </c>
      <c r="E21" s="88">
        <v>3.2</v>
      </c>
      <c r="F21" s="88">
        <v>3.2</v>
      </c>
      <c r="G21" s="88">
        <v>3.2</v>
      </c>
      <c r="H21" s="88">
        <v>3.2</v>
      </c>
      <c r="I21" s="88">
        <v>3.2</v>
      </c>
      <c r="J21" s="88">
        <v>3.2</v>
      </c>
      <c r="K21" s="88">
        <v>3.2</v>
      </c>
      <c r="L21" s="88">
        <v>3.2</v>
      </c>
      <c r="M21" s="88">
        <v>3.2</v>
      </c>
      <c r="N21" s="88">
        <v>3.2</v>
      </c>
      <c r="O21" s="88">
        <v>3.2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3.1</v>
      </c>
      <c r="E24" s="88">
        <v>3.1</v>
      </c>
      <c r="F24" s="88">
        <v>3.1</v>
      </c>
      <c r="G24" s="88">
        <v>3.1</v>
      </c>
      <c r="H24" s="88">
        <v>3.1</v>
      </c>
      <c r="I24" s="88">
        <v>3.1</v>
      </c>
      <c r="J24" s="88">
        <v>3.1</v>
      </c>
      <c r="K24" s="88">
        <v>3.1</v>
      </c>
      <c r="L24" s="88">
        <v>3.1</v>
      </c>
      <c r="M24" s="88">
        <v>3.1</v>
      </c>
      <c r="N24" s="88">
        <v>3.1</v>
      </c>
      <c r="O24" s="88">
        <v>3.1</v>
      </c>
    </row>
    <row r="25" spans="2:15">
      <c r="C25" s="36" t="s">
        <v>127</v>
      </c>
      <c r="D25" s="88">
        <v>3.1</v>
      </c>
      <c r="E25" s="88">
        <v>3.1</v>
      </c>
      <c r="F25" s="88">
        <v>3.1</v>
      </c>
      <c r="G25" s="88">
        <v>3.1</v>
      </c>
      <c r="H25" s="88">
        <v>3.1</v>
      </c>
      <c r="I25" s="88">
        <v>3.1</v>
      </c>
      <c r="J25" s="88">
        <v>3.1</v>
      </c>
      <c r="K25" s="88">
        <v>3.1</v>
      </c>
      <c r="L25" s="88">
        <v>3.1</v>
      </c>
      <c r="M25" s="88">
        <v>3.1</v>
      </c>
      <c r="N25" s="88">
        <v>3.1</v>
      </c>
      <c r="O25" s="88">
        <v>3.1</v>
      </c>
    </row>
    <row r="26" spans="2:15">
      <c r="C26" s="36" t="s">
        <v>128</v>
      </c>
      <c r="D26" s="88">
        <v>3.1</v>
      </c>
      <c r="E26" s="88">
        <v>3.1</v>
      </c>
      <c r="F26" s="88">
        <v>3.1</v>
      </c>
      <c r="G26" s="88">
        <v>3.1</v>
      </c>
      <c r="H26" s="88">
        <v>3.1</v>
      </c>
      <c r="I26" s="88">
        <v>3.1</v>
      </c>
      <c r="J26" s="88">
        <v>3.1</v>
      </c>
      <c r="K26" s="88">
        <v>3.1</v>
      </c>
      <c r="L26" s="88">
        <v>3.1</v>
      </c>
      <c r="M26" s="88">
        <v>3.1</v>
      </c>
      <c r="N26" s="88">
        <v>3.1</v>
      </c>
      <c r="O26" s="88">
        <v>3.1</v>
      </c>
    </row>
    <row r="27" spans="2:15">
      <c r="C27" s="36" t="s">
        <v>129</v>
      </c>
      <c r="D27" s="88">
        <v>3.3</v>
      </c>
      <c r="E27" s="88">
        <v>3.3</v>
      </c>
      <c r="F27" s="88">
        <v>3.3</v>
      </c>
      <c r="G27" s="88">
        <v>3.3</v>
      </c>
      <c r="H27" s="88">
        <v>3.3</v>
      </c>
      <c r="I27" s="88">
        <v>3.3</v>
      </c>
      <c r="J27" s="88">
        <v>3.3</v>
      </c>
      <c r="K27" s="88">
        <v>3.3</v>
      </c>
      <c r="L27" s="88">
        <v>3.3</v>
      </c>
      <c r="M27" s="88">
        <v>3.3</v>
      </c>
      <c r="N27" s="88">
        <v>3.3</v>
      </c>
      <c r="O27" s="88">
        <v>3.3</v>
      </c>
    </row>
    <row r="28" spans="2:15">
      <c r="C28" s="36" t="s">
        <v>130</v>
      </c>
      <c r="D28" s="88">
        <v>3.1</v>
      </c>
      <c r="E28" s="88">
        <v>3.1</v>
      </c>
      <c r="F28" s="88">
        <v>3.1</v>
      </c>
      <c r="G28" s="88">
        <v>3.1</v>
      </c>
      <c r="H28" s="88">
        <v>3.1</v>
      </c>
      <c r="I28" s="88">
        <v>3.1</v>
      </c>
      <c r="J28" s="88">
        <v>3.1</v>
      </c>
      <c r="K28" s="88">
        <v>3.1</v>
      </c>
      <c r="L28" s="88">
        <v>3.1</v>
      </c>
      <c r="M28" s="88">
        <v>3.1</v>
      </c>
      <c r="N28" s="88">
        <v>3.1</v>
      </c>
      <c r="O28" s="88">
        <v>3.1</v>
      </c>
    </row>
    <row r="29" spans="2:15">
      <c r="C29" s="36" t="s">
        <v>131</v>
      </c>
      <c r="D29" s="88">
        <v>3.1</v>
      </c>
      <c r="E29" s="88">
        <v>3.1</v>
      </c>
      <c r="F29" s="88">
        <v>3.1</v>
      </c>
      <c r="G29" s="88">
        <v>3.1</v>
      </c>
      <c r="H29" s="88">
        <v>3.1</v>
      </c>
      <c r="I29" s="88">
        <v>3.1</v>
      </c>
      <c r="J29" s="88">
        <v>3.1</v>
      </c>
      <c r="K29" s="88">
        <v>3.1</v>
      </c>
      <c r="L29" s="88">
        <v>3.1</v>
      </c>
      <c r="M29" s="88">
        <v>3.1</v>
      </c>
      <c r="N29" s="88">
        <v>3.1</v>
      </c>
      <c r="O29" s="88">
        <v>3.1</v>
      </c>
    </row>
    <row r="30" spans="2:15">
      <c r="C30" s="37" t="s">
        <v>132</v>
      </c>
      <c r="D30" s="88">
        <v>3.1</v>
      </c>
      <c r="E30" s="88">
        <v>3.1</v>
      </c>
      <c r="F30" s="88">
        <v>3.1</v>
      </c>
      <c r="G30" s="88">
        <v>3.1</v>
      </c>
      <c r="H30" s="88">
        <v>3.1</v>
      </c>
      <c r="I30" s="88">
        <v>3.1</v>
      </c>
      <c r="J30" s="88">
        <v>3.1</v>
      </c>
      <c r="K30" s="88">
        <v>3.1</v>
      </c>
      <c r="L30" s="88">
        <v>3.1</v>
      </c>
      <c r="M30" s="88">
        <v>3.1</v>
      </c>
      <c r="N30" s="88">
        <v>3.1</v>
      </c>
      <c r="O30" s="88">
        <v>3.1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2.7</v>
      </c>
      <c r="E33" s="88">
        <v>2.7</v>
      </c>
      <c r="F33" s="88">
        <v>2.7</v>
      </c>
      <c r="G33" s="88">
        <v>2.7</v>
      </c>
      <c r="H33" s="88">
        <v>2.7</v>
      </c>
      <c r="I33" s="88">
        <v>2.7</v>
      </c>
      <c r="J33" s="88">
        <v>2.7</v>
      </c>
      <c r="K33" s="88">
        <v>2.7</v>
      </c>
      <c r="L33" s="88">
        <v>2.7</v>
      </c>
      <c r="M33" s="88">
        <v>2.7</v>
      </c>
      <c r="N33" s="88">
        <v>2.7</v>
      </c>
      <c r="O33" s="88">
        <v>2.7</v>
      </c>
    </row>
    <row r="34" spans="3:15">
      <c r="C34" s="36" t="s">
        <v>127</v>
      </c>
      <c r="D34" s="88">
        <v>2.4</v>
      </c>
      <c r="E34" s="88">
        <v>2.4</v>
      </c>
      <c r="F34" s="88">
        <v>2.4</v>
      </c>
      <c r="G34" s="88">
        <v>2.4</v>
      </c>
      <c r="H34" s="88">
        <v>2.4</v>
      </c>
      <c r="I34" s="88">
        <v>2.4</v>
      </c>
      <c r="J34" s="88">
        <v>2.4</v>
      </c>
      <c r="K34" s="88">
        <v>2.4</v>
      </c>
      <c r="L34" s="88">
        <v>2.4</v>
      </c>
      <c r="M34" s="88">
        <v>2.4</v>
      </c>
      <c r="N34" s="88">
        <v>2.4</v>
      </c>
      <c r="O34" s="88">
        <v>2.4</v>
      </c>
    </row>
    <row r="35" spans="3:15">
      <c r="C35" s="36" t="s">
        <v>128</v>
      </c>
      <c r="D35" s="88">
        <v>2.2999999999999998</v>
      </c>
      <c r="E35" s="88">
        <v>2.2999999999999998</v>
      </c>
      <c r="F35" s="88">
        <v>2.2999999999999998</v>
      </c>
      <c r="G35" s="88">
        <v>2.2999999999999998</v>
      </c>
      <c r="H35" s="88">
        <v>2.2999999999999998</v>
      </c>
      <c r="I35" s="88">
        <v>2.2999999999999998</v>
      </c>
      <c r="J35" s="88">
        <v>2.2999999999999998</v>
      </c>
      <c r="K35" s="88">
        <v>2.2999999999999998</v>
      </c>
      <c r="L35" s="88">
        <v>2.2999999999999998</v>
      </c>
      <c r="M35" s="88">
        <v>2.2999999999999998</v>
      </c>
      <c r="N35" s="88">
        <v>2.2999999999999998</v>
      </c>
      <c r="O35" s="88">
        <v>2.2999999999999998</v>
      </c>
    </row>
    <row r="36" spans="3:15">
      <c r="C36" s="36" t="s">
        <v>129</v>
      </c>
      <c r="D36" s="88">
        <v>2.5</v>
      </c>
      <c r="E36" s="88">
        <v>2.5</v>
      </c>
      <c r="F36" s="88">
        <v>2.5</v>
      </c>
      <c r="G36" s="88">
        <v>2.5</v>
      </c>
      <c r="H36" s="88">
        <v>2.5</v>
      </c>
      <c r="I36" s="88">
        <v>2.5</v>
      </c>
      <c r="J36" s="88">
        <v>2.5</v>
      </c>
      <c r="K36" s="88">
        <v>2.5</v>
      </c>
      <c r="L36" s="88">
        <v>2.5</v>
      </c>
      <c r="M36" s="88">
        <v>2.5</v>
      </c>
      <c r="N36" s="88">
        <v>2.5</v>
      </c>
      <c r="O36" s="88">
        <v>2.5</v>
      </c>
    </row>
    <row r="37" spans="3:15">
      <c r="C37" s="36" t="s">
        <v>130</v>
      </c>
      <c r="D37" s="88">
        <v>2.6</v>
      </c>
      <c r="E37" s="88">
        <v>2.6</v>
      </c>
      <c r="F37" s="88">
        <v>2.6</v>
      </c>
      <c r="G37" s="88">
        <v>2.6</v>
      </c>
      <c r="H37" s="88">
        <v>2.6</v>
      </c>
      <c r="I37" s="88">
        <v>2.6</v>
      </c>
      <c r="J37" s="88">
        <v>2.6</v>
      </c>
      <c r="K37" s="88">
        <v>2.6</v>
      </c>
      <c r="L37" s="88">
        <v>2.6</v>
      </c>
      <c r="M37" s="88">
        <v>2.6</v>
      </c>
      <c r="N37" s="88">
        <v>2.6</v>
      </c>
      <c r="O37" s="88">
        <v>2.6</v>
      </c>
    </row>
    <row r="38" spans="3:15">
      <c r="C38" s="36" t="s">
        <v>131</v>
      </c>
      <c r="D38" s="88">
        <v>2.8</v>
      </c>
      <c r="E38" s="88">
        <v>2.8</v>
      </c>
      <c r="F38" s="88">
        <v>2.8</v>
      </c>
      <c r="G38" s="88">
        <v>2.8</v>
      </c>
      <c r="H38" s="88">
        <v>2.8</v>
      </c>
      <c r="I38" s="88">
        <v>2.8</v>
      </c>
      <c r="J38" s="88">
        <v>2.8</v>
      </c>
      <c r="K38" s="88">
        <v>2.8</v>
      </c>
      <c r="L38" s="88">
        <v>2.8</v>
      </c>
      <c r="M38" s="88">
        <v>2.8</v>
      </c>
      <c r="N38" s="88">
        <v>2.8</v>
      </c>
      <c r="O38" s="88">
        <v>2.8</v>
      </c>
    </row>
    <row r="39" spans="3:15">
      <c r="C39" s="37" t="s">
        <v>132</v>
      </c>
      <c r="D39" s="88">
        <v>2.6</v>
      </c>
      <c r="E39" s="88">
        <v>2.6</v>
      </c>
      <c r="F39" s="88">
        <v>2.6</v>
      </c>
      <c r="G39" s="88">
        <v>2.6</v>
      </c>
      <c r="H39" s="88">
        <v>2.6</v>
      </c>
      <c r="I39" s="88">
        <v>2.6</v>
      </c>
      <c r="J39" s="88">
        <v>2.6</v>
      </c>
      <c r="K39" s="88">
        <v>2.6</v>
      </c>
      <c r="L39" s="88">
        <v>2.6</v>
      </c>
      <c r="M39" s="88">
        <v>2.6</v>
      </c>
      <c r="N39" s="88">
        <v>2.6</v>
      </c>
      <c r="O39" s="88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Y1sOESAAD6yC3bSmF2srrFf0vpxxtu6wQU5kLa5sqwRMTNmRVtHKj4cb6Cy9vxafeOqvIFFAh4b/NhNI9SEopA==" saltValue="KN1V6Mbkut0md+ZDd1yvnQ==" spinCount="100000" sheet="1" objects="1" scenarios="1"/>
  <phoneticPr fontId="0" type="noConversion"/>
  <dataValidations xWindow="550" yWindow="446"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13:G15"/>
  <sheetViews>
    <sheetView workbookViewId="0">
      <selection activeCell="G13" sqref="G13"/>
    </sheetView>
  </sheetViews>
  <sheetFormatPr baseColWidth="10" defaultRowHeight="12" x14ac:dyDescent="0"/>
  <sheetData>
    <row r="13" spans="7:7">
      <c r="G13">
        <f>shipping_manufacturing!C27*0.01*raw_materials!$P$36*raw_materials!$C$48*0.01/4</f>
        <v>21.874999124999999</v>
      </c>
    </row>
    <row r="14" spans="7:7">
      <c r="G14">
        <f>shipping_manufacturing!C28*0.01*raw_materials!$P$36*raw_materials!$C$48*0.01/4</f>
        <v>43.749998249999997</v>
      </c>
    </row>
    <row r="15" spans="7:7">
      <c r="G15">
        <f>shipping_manufacturing!C29*0.01*raw_materials!$P$36*raw_materials!$C$48*0.01/4</f>
        <v>153.12499387500003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basic_info</vt:lpstr>
      <vt:lpstr>facilities</vt:lpstr>
      <vt:lpstr>raw_materials</vt:lpstr>
      <vt:lpstr>shipping_manufacturing</vt:lpstr>
      <vt:lpstr>pricing</vt:lpstr>
      <vt:lpstr>Sheet1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2014-12-02T17:23:12Z</dcterms:modified>
</cp:coreProperties>
</file>