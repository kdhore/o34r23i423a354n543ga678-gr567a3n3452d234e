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/>
  <workbookPr showInkAnnotation="0" autoCompressPictures="0"/>
  <bookViews>
    <workbookView xWindow="480" yWindow="480" windowWidth="20730" windowHeight="11760" tabRatio="500" activeTab="2"/>
  </bookViews>
  <sheets>
    <sheet name="basic_info" sheetId="2" r:id="rId1"/>
    <sheet name="facilities" sheetId="3" r:id="rId2"/>
    <sheet name="raw_materials" sheetId="1" r:id="rId3"/>
    <sheet name="shipping_manufacturing" sheetId="4" r:id="rId4"/>
    <sheet name="pricing" sheetId="5" r:id="rId5"/>
  </sheets>
  <calcPr calcId="145621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P36" i="1" l="1"/>
  <c r="P37" i="1"/>
  <c r="P38" i="1"/>
  <c r="P39" i="1"/>
  <c r="P40" i="1"/>
  <c r="N28" i="1"/>
  <c r="L28" i="1"/>
  <c r="J28" i="1"/>
  <c r="H28" i="1"/>
  <c r="F28" i="1"/>
  <c r="D28" i="1"/>
  <c r="C41" i="1"/>
  <c r="C40" i="1"/>
  <c r="C39" i="1"/>
  <c r="C38" i="1"/>
  <c r="C37" i="1"/>
  <c r="C36" i="1"/>
  <c r="C35" i="1"/>
  <c r="C34" i="1"/>
  <c r="C33" i="1"/>
  <c r="C32" i="1"/>
  <c r="C31" i="1"/>
  <c r="C30" i="1"/>
  <c r="I30" i="4"/>
  <c r="H30" i="4"/>
  <c r="G30" i="4"/>
  <c r="F30" i="4"/>
  <c r="E30" i="4"/>
  <c r="D30" i="4"/>
  <c r="C30" i="4"/>
  <c r="H19" i="4"/>
  <c r="F19" i="4"/>
  <c r="D19" i="4"/>
  <c r="I11" i="4"/>
  <c r="I10" i="4"/>
  <c r="I9" i="4"/>
  <c r="I8" i="4"/>
  <c r="I7" i="4"/>
  <c r="I6" i="4"/>
  <c r="G36" i="3"/>
  <c r="H36" i="3" s="1"/>
  <c r="G37" i="3"/>
  <c r="G38" i="3"/>
  <c r="H38" i="3" s="1"/>
  <c r="G39" i="3"/>
  <c r="G40" i="3"/>
  <c r="H40" i="3" s="1"/>
  <c r="G41" i="3"/>
  <c r="G42" i="3"/>
  <c r="H42" i="3" s="1"/>
  <c r="G43" i="3"/>
  <c r="G44" i="3"/>
  <c r="H44" i="3" s="1"/>
  <c r="G45" i="3"/>
  <c r="G46" i="3"/>
  <c r="H46" i="3" s="1"/>
  <c r="G47" i="3"/>
  <c r="G48" i="3"/>
  <c r="H48" i="3" s="1"/>
  <c r="G49" i="3"/>
  <c r="G50" i="3"/>
  <c r="H50" i="3" s="1"/>
  <c r="G51" i="3"/>
  <c r="G52" i="3"/>
  <c r="H52" i="3" s="1"/>
  <c r="G53" i="3"/>
  <c r="G54" i="3"/>
  <c r="H54" i="3" s="1"/>
  <c r="G55" i="3"/>
  <c r="G56" i="3"/>
  <c r="H56" i="3" s="1"/>
  <c r="G57" i="3"/>
  <c r="G58" i="3"/>
  <c r="H58" i="3" s="1"/>
  <c r="G59" i="3"/>
  <c r="G60" i="3"/>
  <c r="H60" i="3" s="1"/>
  <c r="G61" i="3"/>
  <c r="G62" i="3"/>
  <c r="H62" i="3" s="1"/>
  <c r="G63" i="3"/>
  <c r="G64" i="3"/>
  <c r="H64" i="3" s="1"/>
  <c r="G65" i="3"/>
  <c r="G66" i="3"/>
  <c r="H66" i="3" s="1"/>
  <c r="G67" i="3"/>
  <c r="G68" i="3"/>
  <c r="H68" i="3" s="1"/>
  <c r="G69" i="3"/>
  <c r="G70" i="3"/>
  <c r="H70" i="3" s="1"/>
  <c r="G71" i="3"/>
  <c r="G72" i="3"/>
  <c r="H72" i="3" s="1"/>
  <c r="G73" i="3"/>
  <c r="G74" i="3"/>
  <c r="H74" i="3" s="1"/>
  <c r="G75" i="3"/>
  <c r="G76" i="3"/>
  <c r="H76" i="3" s="1"/>
  <c r="G77" i="3"/>
  <c r="G78" i="3"/>
  <c r="H78" i="3" s="1"/>
  <c r="G79" i="3"/>
  <c r="G80" i="3"/>
  <c r="H80" i="3" s="1"/>
  <c r="G81" i="3"/>
  <c r="G82" i="3"/>
  <c r="H82" i="3" s="1"/>
  <c r="G83" i="3"/>
  <c r="G84" i="3"/>
  <c r="H84" i="3" s="1"/>
  <c r="G85" i="3"/>
  <c r="G86" i="3"/>
  <c r="H86" i="3" s="1"/>
  <c r="G87" i="3"/>
  <c r="G88" i="3"/>
  <c r="H88" i="3" s="1"/>
  <c r="G89" i="3"/>
  <c r="G90" i="3"/>
  <c r="H90" i="3" s="1"/>
  <c r="G91" i="3"/>
  <c r="G92" i="3"/>
  <c r="H92" i="3" s="1"/>
  <c r="G93" i="3"/>
  <c r="G94" i="3"/>
  <c r="H94" i="3" s="1"/>
  <c r="G95" i="3"/>
  <c r="G96" i="3"/>
  <c r="H96" i="3" s="1"/>
  <c r="G97" i="3"/>
  <c r="G98" i="3"/>
  <c r="H98" i="3" s="1"/>
  <c r="G99" i="3"/>
  <c r="G100" i="3"/>
  <c r="H100" i="3" s="1"/>
  <c r="G101" i="3"/>
  <c r="G102" i="3"/>
  <c r="H102" i="3" s="1"/>
  <c r="G103" i="3"/>
  <c r="G104" i="3"/>
  <c r="H104" i="3" s="1"/>
  <c r="G105" i="3"/>
  <c r="G106" i="3"/>
  <c r="H106" i="3" s="1"/>
  <c r="D107" i="3"/>
  <c r="H105" i="3"/>
  <c r="H103" i="3"/>
  <c r="H101" i="3"/>
  <c r="H99" i="3"/>
  <c r="H97" i="3"/>
  <c r="H95" i="3"/>
  <c r="H93" i="3"/>
  <c r="H91" i="3"/>
  <c r="H89" i="3"/>
  <c r="H87" i="3"/>
  <c r="H85" i="3"/>
  <c r="H83" i="3"/>
  <c r="H81" i="3"/>
  <c r="H79" i="3"/>
  <c r="H77" i="3"/>
  <c r="H75" i="3"/>
  <c r="H73" i="3"/>
  <c r="H71" i="3"/>
  <c r="H69" i="3"/>
  <c r="H67" i="3"/>
  <c r="H65" i="3"/>
  <c r="H63" i="3"/>
  <c r="H61" i="3"/>
  <c r="H59" i="3"/>
  <c r="H57" i="3"/>
  <c r="H55" i="3"/>
  <c r="H53" i="3"/>
  <c r="H51" i="3"/>
  <c r="H49" i="3"/>
  <c r="H47" i="3"/>
  <c r="H45" i="3"/>
  <c r="H43" i="3"/>
  <c r="H41" i="3"/>
  <c r="H39" i="3"/>
  <c r="H37" i="3"/>
  <c r="D31" i="3"/>
  <c r="G30" i="3"/>
  <c r="G29" i="3"/>
  <c r="G28" i="3"/>
  <c r="G27" i="3"/>
  <c r="G26" i="3"/>
  <c r="G25" i="3"/>
  <c r="G24" i="3"/>
  <c r="G23" i="3"/>
  <c r="G22" i="3"/>
  <c r="G21" i="3"/>
  <c r="G6" i="3"/>
  <c r="G16" i="3" s="1"/>
  <c r="G7" i="3"/>
  <c r="H7" i="3" s="1"/>
  <c r="G8" i="3"/>
  <c r="G9" i="3"/>
  <c r="H9" i="3" s="1"/>
  <c r="G10" i="3"/>
  <c r="G11" i="3"/>
  <c r="H11" i="3" s="1"/>
  <c r="G12" i="3"/>
  <c r="G13" i="3"/>
  <c r="H13" i="3" s="1"/>
  <c r="G14" i="3"/>
  <c r="G15" i="3"/>
  <c r="H15" i="3" s="1"/>
  <c r="D16" i="3"/>
  <c r="H14" i="3"/>
  <c r="H12" i="3"/>
  <c r="H10" i="3"/>
  <c r="H8" i="3"/>
  <c r="H6" i="3"/>
  <c r="O48" i="1"/>
  <c r="O47" i="1"/>
  <c r="P41" i="1"/>
  <c r="P35" i="1"/>
  <c r="P34" i="1"/>
  <c r="P33" i="1"/>
  <c r="P32" i="1"/>
  <c r="P31" i="1"/>
  <c r="P30" i="1"/>
  <c r="G107" i="3" l="1"/>
</calcChain>
</file>

<file path=xl/sharedStrings.xml><?xml version="1.0" encoding="utf-8"?>
<sst xmlns="http://schemas.openxmlformats.org/spreadsheetml/2006/main" count="516" uniqueCount="167">
  <si>
    <t>Raw Materials</t>
  </si>
  <si>
    <r>
      <t xml:space="preserve">Purchases at the Spot Market(tons per </t>
    </r>
    <r>
      <rPr>
        <b/>
        <i/>
        <sz val="10"/>
        <rFont val="Arial"/>
        <family val="2"/>
      </rPr>
      <t>week</t>
    </r>
    <r>
      <rPr>
        <i/>
        <sz val="10"/>
        <rFont val="Arial"/>
        <family val="2"/>
      </rPr>
      <t xml:space="preserve"> in a month) (ORA)</t>
    </r>
  </si>
  <si>
    <t>Grove:Month</t>
  </si>
  <si>
    <t>Sep</t>
  </si>
  <si>
    <t>Oct</t>
  </si>
  <si>
    <t>Nov</t>
  </si>
  <si>
    <t>Dec</t>
  </si>
  <si>
    <t>Jan</t>
  </si>
  <si>
    <t>Feb</t>
  </si>
  <si>
    <t>Mar</t>
  </si>
  <si>
    <t>Apr</t>
  </si>
  <si>
    <t>May</t>
  </si>
  <si>
    <t>Jun</t>
  </si>
  <si>
    <t>Jul</t>
  </si>
  <si>
    <t>Aug</t>
  </si>
  <si>
    <t>FLA</t>
  </si>
  <si>
    <t>CAL</t>
  </si>
  <si>
    <t>TEX</t>
  </si>
  <si>
    <t>ARZ</t>
  </si>
  <si>
    <t>BRA</t>
  </si>
  <si>
    <t>SPA</t>
  </si>
  <si>
    <t>Quantity Multipliers(unit, $/lb)</t>
  </si>
  <si>
    <t>Grove:Multiplier</t>
  </si>
  <si>
    <t>Multiplier</t>
  </si>
  <si>
    <t>Price 1</t>
  </si>
  <si>
    <t>Price 2</t>
  </si>
  <si>
    <t>Price 3</t>
  </si>
  <si>
    <t xml:space="preserve"> </t>
  </si>
  <si>
    <t>Purchases at the Futures Market(tons) (ORA and FCOJ)</t>
  </si>
  <si>
    <t>Type</t>
  </si>
  <si>
    <t>Maturity</t>
  </si>
  <si>
    <t>Price</t>
  </si>
  <si>
    <t>Quantity</t>
  </si>
  <si>
    <t>Sum</t>
  </si>
  <si>
    <t>ORA Contracts</t>
  </si>
  <si>
    <t>Matured Amount:</t>
  </si>
  <si>
    <t>FCOJ Contracts</t>
  </si>
  <si>
    <t>Arrival of matured ORA Futures and FCOJ Futures(%)</t>
  </si>
  <si>
    <t>Type:Month</t>
  </si>
  <si>
    <t>Basic Information</t>
  </si>
  <si>
    <t>Company Name</t>
  </si>
  <si>
    <t>oriangagrande</t>
  </si>
  <si>
    <t>Year</t>
  </si>
  <si>
    <t>Facilities</t>
  </si>
  <si>
    <t>Plants(tons)</t>
  </si>
  <si>
    <t>Location</t>
  </si>
  <si>
    <t>Buy/Sell capacity</t>
  </si>
  <si>
    <t>This year</t>
  </si>
  <si>
    <t>Next year</t>
  </si>
  <si>
    <t>P01</t>
  </si>
  <si>
    <t/>
  </si>
  <si>
    <t xml:space="preserve"> -&gt;</t>
  </si>
  <si>
    <t>P02</t>
  </si>
  <si>
    <t>P03</t>
  </si>
  <si>
    <t>P04</t>
  </si>
  <si>
    <t>P05</t>
  </si>
  <si>
    <t>P06</t>
  </si>
  <si>
    <t>P07</t>
  </si>
  <si>
    <t>P08</t>
  </si>
  <si>
    <t>P09</t>
  </si>
  <si>
    <t>P10</t>
  </si>
  <si>
    <t>Plants</t>
  </si>
  <si>
    <t>TankCars(unit of cars)</t>
  </si>
  <si>
    <t>Buy/Sell tankcars</t>
  </si>
  <si>
    <t>TankCars</t>
  </si>
  <si>
    <t>Storages(tons)</t>
  </si>
  <si>
    <t>S01</t>
  </si>
  <si>
    <t>S13</t>
  </si>
  <si>
    <t>S14</t>
  </si>
  <si>
    <t>S15</t>
  </si>
  <si>
    <t>S21</t>
  </si>
  <si>
    <t>S22</t>
  </si>
  <si>
    <t>S23</t>
  </si>
  <si>
    <t>S24</t>
  </si>
  <si>
    <t>S25</t>
  </si>
  <si>
    <t>S26</t>
  </si>
  <si>
    <t>S27</t>
  </si>
  <si>
    <t>S31</t>
  </si>
  <si>
    <t>S32</t>
  </si>
  <si>
    <t>S33</t>
  </si>
  <si>
    <t>S34</t>
  </si>
  <si>
    <t>S35</t>
  </si>
  <si>
    <t>S36</t>
  </si>
  <si>
    <t>S37</t>
  </si>
  <si>
    <t>S38</t>
  </si>
  <si>
    <t>S40</t>
  </si>
  <si>
    <t>S41</t>
  </si>
  <si>
    <t>S42</t>
  </si>
  <si>
    <t>S43</t>
  </si>
  <si>
    <t>S44</t>
  </si>
  <si>
    <t>S45</t>
  </si>
  <si>
    <t>S46</t>
  </si>
  <si>
    <t>S47</t>
  </si>
  <si>
    <t>S48</t>
  </si>
  <si>
    <t>S49</t>
  </si>
  <si>
    <t>S50</t>
  </si>
  <si>
    <t>S51</t>
  </si>
  <si>
    <t>S52</t>
  </si>
  <si>
    <t>S53</t>
  </si>
  <si>
    <t>S54</t>
  </si>
  <si>
    <t>S55</t>
  </si>
  <si>
    <t>S56</t>
  </si>
  <si>
    <t>S57</t>
  </si>
  <si>
    <t>S58</t>
  </si>
  <si>
    <t>S59</t>
  </si>
  <si>
    <t>S60</t>
  </si>
  <si>
    <t>S61</t>
  </si>
  <si>
    <t>S62</t>
  </si>
  <si>
    <t>S63</t>
  </si>
  <si>
    <t>S64</t>
  </si>
  <si>
    <t>S65</t>
  </si>
  <si>
    <t>S66</t>
  </si>
  <si>
    <t>S67</t>
  </si>
  <si>
    <t>S68</t>
  </si>
  <si>
    <t>S69</t>
  </si>
  <si>
    <t>S70</t>
  </si>
  <si>
    <t>S72</t>
  </si>
  <si>
    <t>S73</t>
  </si>
  <si>
    <t>S74</t>
  </si>
  <si>
    <t>S75</t>
  </si>
  <si>
    <t>S76</t>
  </si>
  <si>
    <t>S77</t>
  </si>
  <si>
    <t>S78</t>
  </si>
  <si>
    <t>S79</t>
  </si>
  <si>
    <t>S83</t>
  </si>
  <si>
    <t>S84</t>
  </si>
  <si>
    <t>S85</t>
  </si>
  <si>
    <t>S86</t>
  </si>
  <si>
    <t>S87</t>
  </si>
  <si>
    <t>S88</t>
  </si>
  <si>
    <t>S89</t>
  </si>
  <si>
    <t>S94</t>
  </si>
  <si>
    <t>S95</t>
  </si>
  <si>
    <t>S96</t>
  </si>
  <si>
    <t>S97</t>
  </si>
  <si>
    <t>S98</t>
  </si>
  <si>
    <t>S99</t>
  </si>
  <si>
    <t>Storages</t>
  </si>
  <si>
    <t>Shipping</t>
  </si>
  <si>
    <t>Ship ORA from Groves to Plants or Storages(%)</t>
  </si>
  <si>
    <t>From:To</t>
  </si>
  <si>
    <r>
      <t xml:space="preserve">FLA </t>
    </r>
    <r>
      <rPr>
        <i/>
        <sz val="10"/>
        <rFont val="Arial"/>
        <family val="2"/>
      </rPr>
      <t>(spot &amp; futures)</t>
    </r>
  </si>
  <si>
    <t>Manufacturing</t>
  </si>
  <si>
    <t>Process ORA into POJ or FCOJ(%)</t>
  </si>
  <si>
    <t>Plant</t>
  </si>
  <si>
    <t>Product</t>
  </si>
  <si>
    <t>POJ</t>
  </si>
  <si>
    <t>FCOJ</t>
  </si>
  <si>
    <t>Proportion</t>
  </si>
  <si>
    <t>Ship FCOJ (futures) from FLA to Storages; Ship POJ, FCOJ from Plants to Storages(%)</t>
  </si>
  <si>
    <t>From</t>
  </si>
  <si>
    <t>Futures</t>
  </si>
  <si>
    <t>Reconstitution</t>
  </si>
  <si>
    <t>Reconstitute FCOJ into ROJ at Storages(%)</t>
  </si>
  <si>
    <t>Storage:Month</t>
  </si>
  <si>
    <t>Pricing</t>
  </si>
  <si>
    <t>Pricing for each product in each region($/lb)</t>
  </si>
  <si>
    <t>ORA</t>
  </si>
  <si>
    <t>Region:Month</t>
  </si>
  <si>
    <t>NE</t>
  </si>
  <si>
    <t>MA</t>
  </si>
  <si>
    <t>SE</t>
  </si>
  <si>
    <t>MW</t>
  </si>
  <si>
    <t>DS</t>
  </si>
  <si>
    <t>NW</t>
  </si>
  <si>
    <t>SW</t>
  </si>
  <si>
    <t>ROJ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</si>
</sst>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8" x14ac:knownFonts="1">
    <font>
      <sz val="12"/>
      <color theme="1"/>
      <name val="Calibri"/>
      <family val="2"/>
      <scheme val="minor"/>
    </font>
    <font>
      <b/>
      <sz val="10"/>
      <name val="Arial"/>
      <family val="2"/>
    </font>
    <font>
      <i/>
      <sz val="10"/>
      <name val="Arial"/>
      <family val="2"/>
    </font>
    <font>
      <b/>
      <i/>
      <sz val="10"/>
      <name val="Arial"/>
      <family val="2"/>
    </font>
    <font>
      <sz val="10"/>
      <color indexed="8"/>
      <name val="Arial"/>
      <family val="2"/>
    </font>
    <font>
      <sz val="10"/>
      <name val="Arial"/>
      <family val="2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indexed="52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9"/>
        <bgColor indexed="64"/>
      </patternFill>
    </fill>
  </fills>
  <borders count="2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 style="hair">
        <color auto="1"/>
      </top>
      <bottom style="thin">
        <color auto="1"/>
      </bottom>
      <diagonal/>
    </border>
    <border>
      <left/>
      <right style="thin">
        <color auto="1"/>
      </right>
      <top style="hair">
        <color auto="1"/>
      </top>
      <bottom style="thin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/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</borders>
  <cellStyleXfs count="91">
    <xf numFmtId="0" fontId="0" fillId="0" borderId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</cellStyleXfs>
  <cellXfs count="96">
    <xf numFmtId="0" fontId="0" fillId="0" borderId="0" xfId="0"/>
    <xf numFmtId="0" fontId="1" fillId="0" borderId="0" xfId="0" applyNumberFormat="1" applyFont="1" applyAlignment="1"/>
    <xf numFmtId="0" fontId="0" fillId="0" borderId="0" xfId="0" applyNumberFormat="1" applyAlignment="1"/>
    <xf numFmtId="0" fontId="2" fillId="0" borderId="0" xfId="0" applyNumberFormat="1" applyFont="1" applyAlignment="1"/>
    <xf numFmtId="0" fontId="2" fillId="2" borderId="0" xfId="0" applyNumberFormat="1" applyFont="1" applyFill="1" applyAlignment="1"/>
    <xf numFmtId="0" fontId="0" fillId="2" borderId="0" xfId="0" applyNumberFormat="1" applyFill="1" applyAlignment="1"/>
    <xf numFmtId="0" fontId="0" fillId="3" borderId="1" xfId="0" applyNumberFormat="1" applyFill="1" applyBorder="1" applyAlignment="1"/>
    <xf numFmtId="0" fontId="0" fillId="3" borderId="2" xfId="0" applyNumberFormat="1" applyFill="1" applyBorder="1" applyAlignment="1"/>
    <xf numFmtId="0" fontId="0" fillId="3" borderId="3" xfId="0" applyNumberFormat="1" applyFill="1" applyBorder="1" applyAlignment="1"/>
    <xf numFmtId="0" fontId="0" fillId="3" borderId="4" xfId="0" applyNumberFormat="1" applyFill="1" applyBorder="1" applyAlignment="1"/>
    <xf numFmtId="0" fontId="0" fillId="0" borderId="5" xfId="0" applyNumberFormat="1" applyFill="1" applyBorder="1" applyAlignment="1" applyProtection="1">
      <protection locked="0"/>
    </xf>
    <xf numFmtId="0" fontId="0" fillId="0" borderId="3" xfId="0" applyNumberFormat="1" applyFill="1" applyBorder="1" applyAlignment="1" applyProtection="1">
      <protection locked="0"/>
    </xf>
    <xf numFmtId="0" fontId="0" fillId="3" borderId="6" xfId="0" applyNumberFormat="1" applyFill="1" applyBorder="1" applyAlignment="1"/>
    <xf numFmtId="0" fontId="0" fillId="2" borderId="7" xfId="0" applyNumberFormat="1" applyFill="1" applyBorder="1" applyAlignment="1"/>
    <xf numFmtId="0" fontId="0" fillId="2" borderId="8" xfId="0" applyNumberFormat="1" applyFill="1" applyBorder="1" applyAlignment="1"/>
    <xf numFmtId="0" fontId="0" fillId="2" borderId="5" xfId="0" applyNumberFormat="1" applyFill="1" applyBorder="1" applyAlignment="1"/>
    <xf numFmtId="0" fontId="0" fillId="2" borderId="0" xfId="0" applyNumberFormat="1" applyFill="1" applyBorder="1" applyAlignment="1"/>
    <xf numFmtId="0" fontId="0" fillId="3" borderId="9" xfId="0" applyNumberFormat="1" applyFill="1" applyBorder="1" applyAlignment="1"/>
    <xf numFmtId="0" fontId="4" fillId="0" borderId="6" xfId="0" applyNumberFormat="1" applyFont="1" applyFill="1" applyBorder="1" applyAlignment="1" applyProtection="1">
      <protection locked="0"/>
    </xf>
    <xf numFmtId="0" fontId="4" fillId="0" borderId="1" xfId="0" applyNumberFormat="1" applyFont="1" applyFill="1" applyBorder="1" applyAlignment="1" applyProtection="1">
      <protection locked="0"/>
    </xf>
    <xf numFmtId="0" fontId="0" fillId="0" borderId="0" xfId="0" applyNumberFormat="1" applyFill="1" applyAlignment="1"/>
    <xf numFmtId="0" fontId="0" fillId="0" borderId="0" xfId="0" applyNumberFormat="1" applyFill="1" applyBorder="1" applyAlignment="1"/>
    <xf numFmtId="0" fontId="0" fillId="2" borderId="10" xfId="0" applyNumberFormat="1" applyFill="1" applyBorder="1" applyAlignment="1"/>
    <xf numFmtId="0" fontId="4" fillId="2" borderId="10" xfId="0" applyNumberFormat="1" applyFont="1" applyFill="1" applyBorder="1" applyAlignment="1"/>
    <xf numFmtId="0" fontId="0" fillId="3" borderId="0" xfId="0" applyNumberFormat="1" applyFill="1" applyBorder="1" applyAlignment="1"/>
    <xf numFmtId="0" fontId="0" fillId="3" borderId="11" xfId="0" applyNumberFormat="1" applyFill="1" applyBorder="1" applyAlignment="1"/>
    <xf numFmtId="0" fontId="0" fillId="0" borderId="12" xfId="0" applyNumberFormat="1" applyBorder="1" applyAlignment="1"/>
    <xf numFmtId="0" fontId="0" fillId="0" borderId="13" xfId="0" applyNumberFormat="1" applyBorder="1" applyAlignment="1">
      <alignment horizontal="right"/>
    </xf>
    <xf numFmtId="0" fontId="5" fillId="0" borderId="0" xfId="0" applyNumberFormat="1" applyFont="1" applyAlignment="1"/>
    <xf numFmtId="0" fontId="0" fillId="4" borderId="12" xfId="0" applyNumberFormat="1" applyFill="1" applyBorder="1" applyAlignment="1"/>
    <xf numFmtId="0" fontId="0" fillId="4" borderId="0" xfId="0" applyNumberFormat="1" applyFill="1" applyBorder="1" applyAlignment="1"/>
    <xf numFmtId="0" fontId="0" fillId="3" borderId="14" xfId="0" applyNumberFormat="1" applyFill="1" applyBorder="1" applyAlignment="1"/>
    <xf numFmtId="0" fontId="0" fillId="3" borderId="15" xfId="0" applyNumberFormat="1" applyFill="1" applyBorder="1" applyAlignment="1"/>
    <xf numFmtId="0" fontId="0" fillId="3" borderId="16" xfId="0" applyNumberFormat="1" applyFill="1" applyBorder="1" applyAlignment="1"/>
    <xf numFmtId="0" fontId="0" fillId="3" borderId="17" xfId="0" applyNumberFormat="1" applyFill="1" applyBorder="1" applyAlignment="1"/>
    <xf numFmtId="0" fontId="0" fillId="0" borderId="1" xfId="0" applyNumberFormat="1" applyFill="1" applyBorder="1" applyAlignment="1" applyProtection="1">
      <protection locked="0"/>
    </xf>
    <xf numFmtId="0" fontId="0" fillId="4" borderId="7" xfId="0" applyNumberFormat="1" applyFill="1" applyBorder="1" applyAlignment="1"/>
    <xf numFmtId="0" fontId="0" fillId="4" borderId="8" xfId="0" applyNumberFormat="1" applyFill="1" applyBorder="1" applyAlignment="1"/>
    <xf numFmtId="0" fontId="0" fillId="0" borderId="8" xfId="0" applyNumberFormat="1" applyBorder="1" applyAlignment="1"/>
    <xf numFmtId="0" fontId="0" fillId="0" borderId="5" xfId="0" applyNumberFormat="1" applyBorder="1" applyAlignment="1"/>
    <xf numFmtId="0" fontId="0" fillId="3" borderId="18" xfId="0" applyNumberFormat="1" applyFill="1" applyBorder="1" applyAlignment="1"/>
    <xf numFmtId="0" fontId="0" fillId="3" borderId="19" xfId="0" applyNumberFormat="1" applyFill="1" applyBorder="1" applyAlignment="1"/>
    <xf numFmtId="0" fontId="0" fillId="0" borderId="20" xfId="0" applyNumberFormat="1" applyBorder="1" applyAlignment="1"/>
    <xf numFmtId="0" fontId="0" fillId="0" borderId="1" xfId="0" applyNumberFormat="1" applyBorder="1" applyAlignment="1" applyProtection="1">
      <protection locked="0"/>
    </xf>
    <xf numFmtId="0" fontId="1" fillId="0" borderId="0" xfId="0" applyFont="1"/>
    <xf numFmtId="0" fontId="1" fillId="2" borderId="0" xfId="0" applyFont="1" applyFill="1"/>
    <xf numFmtId="0" fontId="0" fillId="2" borderId="0" xfId="0" applyFill="1"/>
    <xf numFmtId="0" fontId="0" fillId="3" borderId="21" xfId="0" applyFill="1" applyBorder="1"/>
    <xf numFmtId="0" fontId="0" fillId="3" borderId="22" xfId="0" applyFill="1" applyBorder="1" applyAlignment="1">
      <alignment horizontal="right"/>
    </xf>
    <xf numFmtId="0" fontId="0" fillId="3" borderId="7" xfId="0" applyFill="1" applyBorder="1"/>
    <xf numFmtId="0" fontId="0" fillId="3" borderId="5" xfId="0" applyFill="1" applyBorder="1" applyAlignment="1">
      <alignment horizontal="right"/>
    </xf>
    <xf numFmtId="0" fontId="1" fillId="0" borderId="0" xfId="0" applyFont="1" applyAlignment="1"/>
    <xf numFmtId="0" fontId="0" fillId="0" borderId="0" xfId="0" applyAlignment="1"/>
    <xf numFmtId="0" fontId="2" fillId="0" borderId="0" xfId="0" applyFont="1" applyAlignment="1"/>
    <xf numFmtId="0" fontId="1" fillId="2" borderId="0" xfId="0" applyFont="1" applyFill="1" applyAlignment="1"/>
    <xf numFmtId="0" fontId="0" fillId="2" borderId="0" xfId="0" applyFill="1" applyAlignment="1"/>
    <xf numFmtId="0" fontId="0" fillId="3" borderId="1" xfId="0" applyFill="1" applyBorder="1" applyAlignment="1"/>
    <xf numFmtId="0" fontId="0" fillId="3" borderId="12" xfId="0" applyFill="1" applyBorder="1" applyAlignment="1"/>
    <xf numFmtId="0" fontId="0" fillId="0" borderId="1" xfId="0" applyFill="1" applyBorder="1" applyAlignment="1" applyProtection="1">
      <protection locked="0"/>
    </xf>
    <xf numFmtId="0" fontId="0" fillId="3" borderId="0" xfId="0" applyFill="1" applyBorder="1" applyAlignment="1"/>
    <xf numFmtId="0" fontId="0" fillId="3" borderId="22" xfId="0" applyFill="1" applyBorder="1" applyAlignment="1"/>
    <xf numFmtId="0" fontId="0" fillId="3" borderId="13" xfId="0" applyFill="1" applyBorder="1" applyAlignment="1"/>
    <xf numFmtId="0" fontId="0" fillId="3" borderId="7" xfId="0" applyFill="1" applyBorder="1" applyAlignment="1"/>
    <xf numFmtId="0" fontId="0" fillId="3" borderId="8" xfId="0" applyFill="1" applyBorder="1" applyAlignment="1"/>
    <xf numFmtId="0" fontId="0" fillId="3" borderId="5" xfId="0" applyFill="1" applyBorder="1" applyAlignment="1"/>
    <xf numFmtId="0" fontId="0" fillId="2" borderId="10" xfId="0" applyFill="1" applyBorder="1" applyAlignment="1"/>
    <xf numFmtId="0" fontId="5" fillId="2" borderId="0" xfId="0" applyFont="1" applyFill="1" applyBorder="1" applyAlignment="1"/>
    <xf numFmtId="0" fontId="0" fillId="0" borderId="1" xfId="0" applyBorder="1" applyAlignment="1" applyProtection="1">
      <protection locked="0"/>
    </xf>
    <xf numFmtId="0" fontId="0" fillId="2" borderId="0" xfId="0" applyFill="1" applyBorder="1" applyAlignment="1"/>
    <xf numFmtId="0" fontId="0" fillId="3" borderId="9" xfId="0" applyFill="1" applyBorder="1" applyAlignment="1"/>
    <xf numFmtId="0" fontId="0" fillId="3" borderId="11" xfId="0" applyFill="1" applyBorder="1" applyAlignment="1"/>
    <xf numFmtId="0" fontId="0" fillId="3" borderId="21" xfId="0" applyFill="1" applyBorder="1" applyAlignment="1"/>
    <xf numFmtId="0" fontId="0" fillId="3" borderId="10" xfId="0" applyFill="1" applyBorder="1" applyAlignment="1"/>
    <xf numFmtId="0" fontId="0" fillId="3" borderId="4" xfId="0" applyFill="1" applyBorder="1" applyAlignment="1"/>
    <xf numFmtId="0" fontId="5" fillId="2" borderId="0" xfId="0" applyFont="1" applyFill="1" applyAlignment="1"/>
    <xf numFmtId="0" fontId="2" fillId="2" borderId="0" xfId="0" applyNumberFormat="1" applyFont="1" applyFill="1" applyBorder="1" applyAlignment="1"/>
    <xf numFmtId="0" fontId="0" fillId="0" borderId="21" xfId="0" applyNumberFormat="1" applyFill="1" applyBorder="1" applyAlignment="1" applyProtection="1">
      <protection locked="0"/>
    </xf>
    <xf numFmtId="0" fontId="0" fillId="3" borderId="9" xfId="0" applyNumberFormat="1" applyFill="1" applyBorder="1" applyAlignment="1" applyProtection="1"/>
    <xf numFmtId="0" fontId="0" fillId="0" borderId="11" xfId="0" applyNumberFormat="1" applyFill="1" applyBorder="1" applyAlignment="1" applyProtection="1">
      <protection locked="0"/>
    </xf>
    <xf numFmtId="0" fontId="0" fillId="3" borderId="1" xfId="0" applyNumberFormat="1" applyFill="1" applyBorder="1" applyAlignment="1" applyProtection="1"/>
    <xf numFmtId="0" fontId="1" fillId="0" borderId="0" xfId="0" applyNumberFormat="1" applyFont="1" applyFill="1" applyBorder="1" applyAlignment="1"/>
    <xf numFmtId="0" fontId="2" fillId="0" borderId="0" xfId="0" applyNumberFormat="1" applyFont="1" applyFill="1" applyAlignment="1"/>
    <xf numFmtId="0" fontId="1" fillId="2" borderId="0" xfId="0" applyNumberFormat="1" applyFont="1" applyFill="1" applyBorder="1" applyAlignment="1"/>
    <xf numFmtId="0" fontId="2" fillId="0" borderId="0" xfId="0" applyNumberFormat="1" applyFont="1" applyFill="1" applyBorder="1" applyAlignment="1"/>
    <xf numFmtId="0" fontId="0" fillId="0" borderId="9" xfId="0" applyNumberFormat="1" applyFill="1" applyBorder="1" applyAlignment="1" applyProtection="1">
      <protection locked="0"/>
    </xf>
    <xf numFmtId="0" fontId="0" fillId="3" borderId="11" xfId="0" applyNumberFormat="1" applyFill="1" applyBorder="1" applyAlignment="1" applyProtection="1"/>
    <xf numFmtId="0" fontId="4" fillId="0" borderId="0" xfId="0" applyNumberFormat="1" applyFont="1" applyFill="1" applyAlignment="1"/>
    <xf numFmtId="0" fontId="1" fillId="2" borderId="0" xfId="0" applyNumberFormat="1" applyFont="1" applyFill="1" applyAlignment="1"/>
    <xf numFmtId="0" fontId="2" fillId="0" borderId="0" xfId="0" applyNumberFormat="1" applyFont="1" applyAlignment="1">
      <alignment horizontal="right"/>
    </xf>
    <xf numFmtId="0" fontId="5" fillId="3" borderId="1" xfId="0" applyNumberFormat="1" applyFont="1" applyFill="1" applyBorder="1" applyAlignment="1"/>
    <xf numFmtId="0" fontId="0" fillId="3" borderId="21" xfId="0" applyFill="1" applyBorder="1" applyAlignment="1">
      <alignment horizontal="center"/>
    </xf>
    <xf numFmtId="0" fontId="0" fillId="3" borderId="10" xfId="0" applyFill="1" applyBorder="1" applyAlignment="1">
      <alignment horizontal="center"/>
    </xf>
    <xf numFmtId="0" fontId="0" fillId="3" borderId="22" xfId="0" applyFill="1" applyBorder="1" applyAlignment="1">
      <alignment horizontal="center"/>
    </xf>
    <xf numFmtId="0" fontId="0" fillId="3" borderId="7" xfId="0" applyFill="1" applyBorder="1" applyAlignment="1">
      <alignment horizontal="center"/>
    </xf>
    <xf numFmtId="0" fontId="0" fillId="3" borderId="8" xfId="0" applyFill="1" applyBorder="1" applyAlignment="1">
      <alignment horizontal="center"/>
    </xf>
    <xf numFmtId="0" fontId="0" fillId="3" borderId="5" xfId="0" applyFill="1" applyBorder="1" applyAlignment="1">
      <alignment horizontal="center"/>
    </xf>
  </cellXfs>
  <cellStyles count="91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Followed Hyperlink" xfId="50" builtinId="9" hidden="1"/>
    <cellStyle name="Followed Hyperlink" xfId="52" builtinId="9" hidden="1"/>
    <cellStyle name="Followed Hyperlink" xfId="54" builtinId="9" hidden="1"/>
    <cellStyle name="Followed Hyperlink" xfId="56" builtinId="9" hidden="1"/>
    <cellStyle name="Followed Hyperlink" xfId="58" builtinId="9" hidden="1"/>
    <cellStyle name="Followed Hyperlink" xfId="60" builtinId="9" hidden="1"/>
    <cellStyle name="Followed Hyperlink" xfId="62" builtinId="9" hidden="1"/>
    <cellStyle name="Followed Hyperlink" xfId="64" builtinId="9" hidden="1"/>
    <cellStyle name="Followed Hyperlink" xfId="66" builtinId="9" hidden="1"/>
    <cellStyle name="Followed Hyperlink" xfId="68" builtinId="9" hidden="1"/>
    <cellStyle name="Followed Hyperlink" xfId="70" builtinId="9" hidden="1"/>
    <cellStyle name="Followed Hyperlink" xfId="72" builtinId="9" hidden="1"/>
    <cellStyle name="Followed Hyperlink" xfId="74" builtinId="9" hidden="1"/>
    <cellStyle name="Followed Hyperlink" xfId="76" builtinId="9" hidden="1"/>
    <cellStyle name="Followed Hyperlink" xfId="78" builtinId="9" hidden="1"/>
    <cellStyle name="Followed Hyperlink" xfId="80" builtinId="9" hidden="1"/>
    <cellStyle name="Followed Hyperlink" xfId="82" builtinId="9" hidden="1"/>
    <cellStyle name="Followed Hyperlink" xfId="84" builtinId="9" hidden="1"/>
    <cellStyle name="Followed Hyperlink" xfId="86" builtinId="9" hidden="1"/>
    <cellStyle name="Followed Hyperlink" xfId="88" builtinId="9" hidden="1"/>
    <cellStyle name="Followed Hyperlink" xfId="90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Hyperlink" xfId="49" builtinId="8" hidden="1"/>
    <cellStyle name="Hyperlink" xfId="51" builtinId="8" hidden="1"/>
    <cellStyle name="Hyperlink" xfId="53" builtinId="8" hidden="1"/>
    <cellStyle name="Hyperlink" xfId="55" builtinId="8" hidden="1"/>
    <cellStyle name="Hyperlink" xfId="57" builtinId="8" hidden="1"/>
    <cellStyle name="Hyperlink" xfId="59" builtinId="8" hidden="1"/>
    <cellStyle name="Hyperlink" xfId="61" builtinId="8" hidden="1"/>
    <cellStyle name="Hyperlink" xfId="63" builtinId="8" hidden="1"/>
    <cellStyle name="Hyperlink" xfId="65" builtinId="8" hidden="1"/>
    <cellStyle name="Hyperlink" xfId="67" builtinId="8" hidden="1"/>
    <cellStyle name="Hyperlink" xfId="69" builtinId="8" hidden="1"/>
    <cellStyle name="Hyperlink" xfId="71" builtinId="8" hidden="1"/>
    <cellStyle name="Hyperlink" xfId="73" builtinId="8" hidden="1"/>
    <cellStyle name="Hyperlink" xfId="75" builtinId="8" hidden="1"/>
    <cellStyle name="Hyperlink" xfId="77" builtinId="8" hidden="1"/>
    <cellStyle name="Hyperlink" xfId="79" builtinId="8" hidden="1"/>
    <cellStyle name="Hyperlink" xfId="81" builtinId="8" hidden="1"/>
    <cellStyle name="Hyperlink" xfId="83" builtinId="8" hidden="1"/>
    <cellStyle name="Hyperlink" xfId="85" builtinId="8" hidden="1"/>
    <cellStyle name="Hyperlink" xfId="87" builtinId="8" hidden="1"/>
    <cellStyle name="Hyperlink" xfId="89" builtinId="8" hidden="1"/>
    <cellStyle name="Normal" xfId="0" builtinId="0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2:F6"/>
  <sheetViews>
    <sheetView workbookViewId="0">
      <selection activeCell="D5" sqref="D5:F5"/>
    </sheetView>
  </sheetViews>
  <sheetFormatPr defaultColWidth="8.875" defaultRowHeight="15.75" x14ac:dyDescent="0.25"/>
  <cols>
    <col min="1" max="1" width="4.625" customWidth="1"/>
  </cols>
  <sheetData>
    <row r="2" spans="2:6" x14ac:dyDescent="0.25">
      <c r="B2" s="44" t="s">
        <v>39</v>
      </c>
    </row>
    <row r="3" spans="2:6" x14ac:dyDescent="0.25">
      <c r="B3" s="45"/>
      <c r="C3" s="46"/>
      <c r="D3" s="46"/>
      <c r="E3" s="46"/>
      <c r="F3" s="46"/>
    </row>
    <row r="4" spans="2:6" x14ac:dyDescent="0.25">
      <c r="B4" s="47"/>
      <c r="C4" s="48" t="s">
        <v>40</v>
      </c>
      <c r="D4" s="90" t="s">
        <v>41</v>
      </c>
      <c r="E4" s="91"/>
      <c r="F4" s="92"/>
    </row>
    <row r="5" spans="2:6" x14ac:dyDescent="0.25">
      <c r="B5" s="49"/>
      <c r="C5" s="50" t="s">
        <v>42</v>
      </c>
      <c r="D5" s="93">
        <v>2022</v>
      </c>
      <c r="E5" s="94"/>
      <c r="F5" s="95"/>
    </row>
    <row r="6" spans="2:6" x14ac:dyDescent="0.25">
      <c r="B6" s="46"/>
      <c r="C6" s="46"/>
      <c r="D6" s="46"/>
      <c r="E6" s="46"/>
      <c r="F6" s="46"/>
    </row>
  </sheetData>
  <mergeCells count="2">
    <mergeCell ref="D4:F4"/>
    <mergeCell ref="D5:F5"/>
  </mergeCells>
  <pageMargins left="0.75" right="0.75" top="1" bottom="1" header="0.5" footer="0.5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2:H107"/>
  <sheetViews>
    <sheetView workbookViewId="0">
      <selection sqref="A1:XFD1048576"/>
    </sheetView>
  </sheetViews>
  <sheetFormatPr defaultColWidth="8.875" defaultRowHeight="15.75" x14ac:dyDescent="0.25"/>
  <cols>
    <col min="1" max="1" width="4.625" style="52" customWidth="1"/>
    <col min="2" max="2" width="8" style="52" bestFit="1" customWidth="1"/>
    <col min="3" max="3" width="15.625" style="52" bestFit="1" customWidth="1"/>
    <col min="4" max="4" width="8.625" style="52" customWidth="1"/>
    <col min="5" max="5" width="4.5" style="52" customWidth="1"/>
    <col min="6" max="6" width="3.375" style="52" bestFit="1" customWidth="1"/>
    <col min="7" max="7" width="8.625" style="52" customWidth="1"/>
    <col min="8" max="8" width="9.5" style="52" customWidth="1"/>
    <col min="9" max="16384" width="8.875" style="52"/>
  </cols>
  <sheetData>
    <row r="2" spans="2:8" x14ac:dyDescent="0.25">
      <c r="B2" s="51" t="s">
        <v>43</v>
      </c>
    </row>
    <row r="3" spans="2:8" x14ac:dyDescent="0.25">
      <c r="B3" s="53" t="s">
        <v>44</v>
      </c>
    </row>
    <row r="4" spans="2:8" x14ac:dyDescent="0.25">
      <c r="B4" s="54"/>
      <c r="C4" s="55"/>
      <c r="D4" s="55"/>
      <c r="E4" s="55"/>
      <c r="F4" s="55"/>
      <c r="G4" s="55"/>
      <c r="H4" s="55"/>
    </row>
    <row r="5" spans="2:8" x14ac:dyDescent="0.25">
      <c r="B5" s="56" t="s">
        <v>45</v>
      </c>
      <c r="C5" s="56" t="s">
        <v>46</v>
      </c>
      <c r="D5" s="56" t="s">
        <v>47</v>
      </c>
      <c r="E5" s="56"/>
      <c r="F5" s="56"/>
      <c r="G5" s="56" t="s">
        <v>48</v>
      </c>
      <c r="H5" s="56"/>
    </row>
    <row r="6" spans="2:8" x14ac:dyDescent="0.25">
      <c r="B6" s="57" t="s">
        <v>49</v>
      </c>
      <c r="C6" s="58"/>
      <c r="D6" s="59">
        <v>200</v>
      </c>
      <c r="E6" s="59" t="s">
        <v>50</v>
      </c>
      <c r="F6" s="59" t="s">
        <v>51</v>
      </c>
      <c r="G6" s="59">
        <f t="shared" ref="G6:G15" si="0">$D6+$C6</f>
        <v>200</v>
      </c>
      <c r="H6" s="60" t="str">
        <f t="shared" ref="H6:H15" si="1">IF(AND($D6=0, $G6&gt;0),"new", IF(AND($D6&gt;0, $G6=0),"sold",""))</f>
        <v/>
      </c>
    </row>
    <row r="7" spans="2:8" x14ac:dyDescent="0.25">
      <c r="B7" s="57" t="s">
        <v>52</v>
      </c>
      <c r="C7" s="58"/>
      <c r="D7" s="59">
        <v>0</v>
      </c>
      <c r="E7" s="59" t="s">
        <v>50</v>
      </c>
      <c r="F7" s="59" t="s">
        <v>51</v>
      </c>
      <c r="G7" s="59">
        <f t="shared" si="0"/>
        <v>0</v>
      </c>
      <c r="H7" s="61" t="str">
        <f t="shared" si="1"/>
        <v/>
      </c>
    </row>
    <row r="8" spans="2:8" x14ac:dyDescent="0.25">
      <c r="B8" s="57" t="s">
        <v>53</v>
      </c>
      <c r="C8" s="58"/>
      <c r="D8" s="59">
        <v>0</v>
      </c>
      <c r="E8" s="59" t="s">
        <v>50</v>
      </c>
      <c r="F8" s="59" t="s">
        <v>51</v>
      </c>
      <c r="G8" s="59">
        <f t="shared" si="0"/>
        <v>0</v>
      </c>
      <c r="H8" s="61" t="str">
        <f t="shared" si="1"/>
        <v/>
      </c>
    </row>
    <row r="9" spans="2:8" x14ac:dyDescent="0.25">
      <c r="B9" s="57" t="s">
        <v>54</v>
      </c>
      <c r="C9" s="58"/>
      <c r="D9" s="59">
        <v>0</v>
      </c>
      <c r="E9" s="59" t="s">
        <v>50</v>
      </c>
      <c r="F9" s="59" t="s">
        <v>51</v>
      </c>
      <c r="G9" s="59">
        <f t="shared" si="0"/>
        <v>0</v>
      </c>
      <c r="H9" s="61" t="str">
        <f t="shared" si="1"/>
        <v/>
      </c>
    </row>
    <row r="10" spans="2:8" x14ac:dyDescent="0.25">
      <c r="B10" s="57" t="s">
        <v>55</v>
      </c>
      <c r="C10" s="58"/>
      <c r="D10" s="59">
        <v>600</v>
      </c>
      <c r="E10" s="59" t="s">
        <v>50</v>
      </c>
      <c r="F10" s="59" t="s">
        <v>51</v>
      </c>
      <c r="G10" s="59">
        <f t="shared" si="0"/>
        <v>600</v>
      </c>
      <c r="H10" s="61" t="str">
        <f t="shared" si="1"/>
        <v/>
      </c>
    </row>
    <row r="11" spans="2:8" x14ac:dyDescent="0.25">
      <c r="B11" s="57" t="s">
        <v>56</v>
      </c>
      <c r="C11" s="58"/>
      <c r="D11" s="59">
        <v>0</v>
      </c>
      <c r="E11" s="59" t="s">
        <v>50</v>
      </c>
      <c r="F11" s="59" t="s">
        <v>51</v>
      </c>
      <c r="G11" s="59">
        <f t="shared" si="0"/>
        <v>0</v>
      </c>
      <c r="H11" s="61" t="str">
        <f t="shared" si="1"/>
        <v/>
      </c>
    </row>
    <row r="12" spans="2:8" x14ac:dyDescent="0.25">
      <c r="B12" s="57" t="s">
        <v>57</v>
      </c>
      <c r="C12" s="58"/>
      <c r="D12" s="59">
        <v>3589</v>
      </c>
      <c r="E12" s="59" t="s">
        <v>50</v>
      </c>
      <c r="F12" s="59" t="s">
        <v>51</v>
      </c>
      <c r="G12" s="59">
        <f t="shared" si="0"/>
        <v>3589</v>
      </c>
      <c r="H12" s="61" t="str">
        <f t="shared" si="1"/>
        <v/>
      </c>
    </row>
    <row r="13" spans="2:8" x14ac:dyDescent="0.25">
      <c r="B13" s="57" t="s">
        <v>58</v>
      </c>
      <c r="C13" s="58"/>
      <c r="D13" s="59">
        <v>0</v>
      </c>
      <c r="E13" s="59" t="s">
        <v>50</v>
      </c>
      <c r="F13" s="59" t="s">
        <v>51</v>
      </c>
      <c r="G13" s="59">
        <f t="shared" si="0"/>
        <v>0</v>
      </c>
      <c r="H13" s="61" t="str">
        <f t="shared" si="1"/>
        <v/>
      </c>
    </row>
    <row r="14" spans="2:8" x14ac:dyDescent="0.25">
      <c r="B14" s="57" t="s">
        <v>59</v>
      </c>
      <c r="C14" s="58"/>
      <c r="D14" s="59">
        <v>0</v>
      </c>
      <c r="E14" s="59" t="s">
        <v>50</v>
      </c>
      <c r="F14" s="59" t="s">
        <v>51</v>
      </c>
      <c r="G14" s="59">
        <f t="shared" si="0"/>
        <v>0</v>
      </c>
      <c r="H14" s="61" t="str">
        <f t="shared" si="1"/>
        <v/>
      </c>
    </row>
    <row r="15" spans="2:8" x14ac:dyDescent="0.25">
      <c r="B15" s="62" t="s">
        <v>60</v>
      </c>
      <c r="C15" s="58"/>
      <c r="D15" s="59">
        <v>0</v>
      </c>
      <c r="E15" s="59" t="s">
        <v>50</v>
      </c>
      <c r="F15" s="63" t="s">
        <v>51</v>
      </c>
      <c r="G15" s="59">
        <f t="shared" si="0"/>
        <v>0</v>
      </c>
      <c r="H15" s="64" t="str">
        <f t="shared" si="1"/>
        <v/>
      </c>
    </row>
    <row r="16" spans="2:8" x14ac:dyDescent="0.25">
      <c r="B16" s="65"/>
      <c r="C16" s="65"/>
      <c r="D16" s="65">
        <f>COUNTIF($D$6:$D$15,"&gt;0")</f>
        <v>3</v>
      </c>
      <c r="E16" s="65" t="s">
        <v>61</v>
      </c>
      <c r="F16" s="55"/>
      <c r="G16" s="65">
        <f>COUNTIF(G6:G15,"&gt;0")</f>
        <v>3</v>
      </c>
      <c r="H16" s="66" t="s">
        <v>61</v>
      </c>
    </row>
    <row r="18" spans="2:8" x14ac:dyDescent="0.25">
      <c r="B18" s="53" t="s">
        <v>62</v>
      </c>
    </row>
    <row r="19" spans="2:8" x14ac:dyDescent="0.25">
      <c r="B19" s="54"/>
      <c r="C19" s="55"/>
      <c r="D19" s="55"/>
      <c r="E19" s="55"/>
      <c r="F19" s="55"/>
      <c r="G19" s="55"/>
      <c r="H19" s="55"/>
    </row>
    <row r="20" spans="2:8" x14ac:dyDescent="0.25">
      <c r="B20" s="56" t="s">
        <v>45</v>
      </c>
      <c r="C20" s="56" t="s">
        <v>63</v>
      </c>
      <c r="D20" s="56" t="s">
        <v>47</v>
      </c>
      <c r="E20" s="56"/>
      <c r="F20" s="56"/>
      <c r="G20" s="56" t="s">
        <v>48</v>
      </c>
      <c r="H20" s="56"/>
    </row>
    <row r="21" spans="2:8" x14ac:dyDescent="0.25">
      <c r="B21" s="57" t="s">
        <v>49</v>
      </c>
      <c r="C21" s="67"/>
      <c r="D21" s="59">
        <v>0</v>
      </c>
      <c r="E21" s="59"/>
      <c r="F21" s="59" t="s">
        <v>51</v>
      </c>
      <c r="G21" s="59">
        <f t="shared" ref="G21:G30" si="2">$D21+$C21</f>
        <v>0</v>
      </c>
      <c r="H21" s="61"/>
    </row>
    <row r="22" spans="2:8" x14ac:dyDescent="0.25">
      <c r="B22" s="57" t="s">
        <v>52</v>
      </c>
      <c r="C22" s="67"/>
      <c r="D22" s="59">
        <v>0</v>
      </c>
      <c r="E22" s="59"/>
      <c r="F22" s="59" t="s">
        <v>51</v>
      </c>
      <c r="G22" s="59">
        <f t="shared" si="2"/>
        <v>0</v>
      </c>
      <c r="H22" s="61"/>
    </row>
    <row r="23" spans="2:8" x14ac:dyDescent="0.25">
      <c r="B23" s="57" t="s">
        <v>53</v>
      </c>
      <c r="C23" s="67"/>
      <c r="D23" s="59">
        <v>0</v>
      </c>
      <c r="E23" s="59"/>
      <c r="F23" s="59" t="s">
        <v>51</v>
      </c>
      <c r="G23" s="59">
        <f t="shared" si="2"/>
        <v>0</v>
      </c>
      <c r="H23" s="61"/>
    </row>
    <row r="24" spans="2:8" x14ac:dyDescent="0.25">
      <c r="B24" s="57" t="s">
        <v>54</v>
      </c>
      <c r="C24" s="67"/>
      <c r="D24" s="59">
        <v>0</v>
      </c>
      <c r="E24" s="59"/>
      <c r="F24" s="59" t="s">
        <v>51</v>
      </c>
      <c r="G24" s="59">
        <f t="shared" si="2"/>
        <v>0</v>
      </c>
      <c r="H24" s="61"/>
    </row>
    <row r="25" spans="2:8" x14ac:dyDescent="0.25">
      <c r="B25" s="57" t="s">
        <v>55</v>
      </c>
      <c r="C25" s="67"/>
      <c r="D25" s="59">
        <v>22</v>
      </c>
      <c r="E25" s="59"/>
      <c r="F25" s="59" t="s">
        <v>51</v>
      </c>
      <c r="G25" s="59">
        <f t="shared" si="2"/>
        <v>22</v>
      </c>
      <c r="H25" s="61"/>
    </row>
    <row r="26" spans="2:8" x14ac:dyDescent="0.25">
      <c r="B26" s="57" t="s">
        <v>56</v>
      </c>
      <c r="C26" s="67"/>
      <c r="D26" s="59">
        <v>0</v>
      </c>
      <c r="E26" s="59"/>
      <c r="F26" s="59" t="s">
        <v>51</v>
      </c>
      <c r="G26" s="59">
        <f t="shared" si="2"/>
        <v>0</v>
      </c>
      <c r="H26" s="61"/>
    </row>
    <row r="27" spans="2:8" x14ac:dyDescent="0.25">
      <c r="B27" s="57" t="s">
        <v>57</v>
      </c>
      <c r="C27" s="67"/>
      <c r="D27" s="59">
        <v>15</v>
      </c>
      <c r="E27" s="59"/>
      <c r="F27" s="59" t="s">
        <v>51</v>
      </c>
      <c r="G27" s="59">
        <f t="shared" si="2"/>
        <v>15</v>
      </c>
      <c r="H27" s="61"/>
    </row>
    <row r="28" spans="2:8" x14ac:dyDescent="0.25">
      <c r="B28" s="57" t="s">
        <v>58</v>
      </c>
      <c r="C28" s="67"/>
      <c r="D28" s="59">
        <v>0</v>
      </c>
      <c r="E28" s="59"/>
      <c r="F28" s="59" t="s">
        <v>51</v>
      </c>
      <c r="G28" s="59">
        <f t="shared" si="2"/>
        <v>0</v>
      </c>
      <c r="H28" s="61"/>
    </row>
    <row r="29" spans="2:8" x14ac:dyDescent="0.25">
      <c r="B29" s="57" t="s">
        <v>59</v>
      </c>
      <c r="C29" s="67"/>
      <c r="D29" s="59">
        <v>0</v>
      </c>
      <c r="E29" s="59"/>
      <c r="F29" s="59" t="s">
        <v>51</v>
      </c>
      <c r="G29" s="59">
        <f t="shared" si="2"/>
        <v>0</v>
      </c>
      <c r="H29" s="61"/>
    </row>
    <row r="30" spans="2:8" x14ac:dyDescent="0.25">
      <c r="B30" s="62" t="s">
        <v>60</v>
      </c>
      <c r="C30" s="67"/>
      <c r="D30" s="59">
        <v>0</v>
      </c>
      <c r="E30" s="59"/>
      <c r="F30" s="63" t="s">
        <v>51</v>
      </c>
      <c r="G30" s="59">
        <f t="shared" si="2"/>
        <v>0</v>
      </c>
      <c r="H30" s="64"/>
    </row>
    <row r="31" spans="2:8" x14ac:dyDescent="0.25">
      <c r="B31" s="65"/>
      <c r="C31" s="65"/>
      <c r="D31" s="65">
        <f>SUM($D$21:$D$30)</f>
        <v>37</v>
      </c>
      <c r="E31" s="65" t="s">
        <v>64</v>
      </c>
      <c r="F31" s="65"/>
      <c r="G31" s="65"/>
      <c r="H31" s="68"/>
    </row>
    <row r="33" spans="2:8" x14ac:dyDescent="0.25">
      <c r="B33" s="53" t="s">
        <v>65</v>
      </c>
    </row>
    <row r="34" spans="2:8" x14ac:dyDescent="0.25">
      <c r="B34" s="54"/>
      <c r="C34" s="55"/>
      <c r="D34" s="55"/>
      <c r="E34" s="55"/>
      <c r="F34" s="55"/>
      <c r="G34" s="55"/>
      <c r="H34" s="55"/>
    </row>
    <row r="35" spans="2:8" x14ac:dyDescent="0.25">
      <c r="B35" s="56" t="s">
        <v>45</v>
      </c>
      <c r="C35" s="56" t="s">
        <v>46</v>
      </c>
      <c r="D35" s="69" t="s">
        <v>47</v>
      </c>
      <c r="E35" s="69"/>
      <c r="F35" s="69"/>
      <c r="G35" s="70" t="s">
        <v>48</v>
      </c>
      <c r="H35" s="56"/>
    </row>
    <row r="36" spans="2:8" x14ac:dyDescent="0.25">
      <c r="B36" s="71" t="s">
        <v>66</v>
      </c>
      <c r="C36" s="58"/>
      <c r="D36" s="71">
        <v>0</v>
      </c>
      <c r="E36" s="72" t="s">
        <v>50</v>
      </c>
      <c r="F36" s="72" t="s">
        <v>51</v>
      </c>
      <c r="G36" s="59">
        <f t="shared" ref="G36:G99" si="3">$D36+$C36</f>
        <v>0</v>
      </c>
      <c r="H36" s="61" t="str">
        <f t="shared" ref="H36:H99" si="4">IF(AND($D36=0, $G36&gt;0),"new", IF(AND($D36&gt;0, $G36=0),"sold",""))</f>
        <v/>
      </c>
    </row>
    <row r="37" spans="2:8" x14ac:dyDescent="0.25">
      <c r="B37" s="57" t="s">
        <v>67</v>
      </c>
      <c r="C37" s="58"/>
      <c r="D37" s="57">
        <v>0</v>
      </c>
      <c r="E37" s="59" t="s">
        <v>50</v>
      </c>
      <c r="F37" s="59" t="s">
        <v>51</v>
      </c>
      <c r="G37" s="59">
        <f t="shared" si="3"/>
        <v>0</v>
      </c>
      <c r="H37" s="61" t="str">
        <f t="shared" si="4"/>
        <v/>
      </c>
    </row>
    <row r="38" spans="2:8" x14ac:dyDescent="0.25">
      <c r="B38" s="57" t="s">
        <v>68</v>
      </c>
      <c r="C38" s="58"/>
      <c r="D38" s="57">
        <v>0</v>
      </c>
      <c r="E38" s="59" t="s">
        <v>50</v>
      </c>
      <c r="F38" s="59" t="s">
        <v>51</v>
      </c>
      <c r="G38" s="59">
        <f t="shared" si="3"/>
        <v>0</v>
      </c>
      <c r="H38" s="61" t="str">
        <f t="shared" si="4"/>
        <v/>
      </c>
    </row>
    <row r="39" spans="2:8" x14ac:dyDescent="0.25">
      <c r="B39" s="57" t="s">
        <v>69</v>
      </c>
      <c r="C39" s="58"/>
      <c r="D39" s="57">
        <v>4000</v>
      </c>
      <c r="E39" s="59" t="s">
        <v>50</v>
      </c>
      <c r="F39" s="59" t="s">
        <v>51</v>
      </c>
      <c r="G39" s="59">
        <f t="shared" si="3"/>
        <v>4000</v>
      </c>
      <c r="H39" s="61" t="str">
        <f t="shared" si="4"/>
        <v/>
      </c>
    </row>
    <row r="40" spans="2:8" x14ac:dyDescent="0.25">
      <c r="B40" s="57" t="s">
        <v>70</v>
      </c>
      <c r="C40" s="58"/>
      <c r="D40" s="57">
        <v>0</v>
      </c>
      <c r="E40" s="59" t="s">
        <v>50</v>
      </c>
      <c r="F40" s="59" t="s">
        <v>51</v>
      </c>
      <c r="G40" s="59">
        <f t="shared" si="3"/>
        <v>0</v>
      </c>
      <c r="H40" s="61" t="str">
        <f t="shared" si="4"/>
        <v/>
      </c>
    </row>
    <row r="41" spans="2:8" x14ac:dyDescent="0.25">
      <c r="B41" s="57" t="s">
        <v>71</v>
      </c>
      <c r="C41" s="58"/>
      <c r="D41" s="57">
        <v>0</v>
      </c>
      <c r="E41" s="59" t="s">
        <v>50</v>
      </c>
      <c r="F41" s="59" t="s">
        <v>51</v>
      </c>
      <c r="G41" s="59">
        <f t="shared" si="3"/>
        <v>0</v>
      </c>
      <c r="H41" s="61" t="str">
        <f t="shared" si="4"/>
        <v/>
      </c>
    </row>
    <row r="42" spans="2:8" x14ac:dyDescent="0.25">
      <c r="B42" s="57" t="s">
        <v>72</v>
      </c>
      <c r="C42" s="58"/>
      <c r="D42" s="57">
        <v>0</v>
      </c>
      <c r="E42" s="59" t="s">
        <v>50</v>
      </c>
      <c r="F42" s="59" t="s">
        <v>51</v>
      </c>
      <c r="G42" s="59">
        <f t="shared" si="3"/>
        <v>0</v>
      </c>
      <c r="H42" s="61" t="str">
        <f t="shared" si="4"/>
        <v/>
      </c>
    </row>
    <row r="43" spans="2:8" x14ac:dyDescent="0.25">
      <c r="B43" s="57" t="s">
        <v>73</v>
      </c>
      <c r="C43" s="58"/>
      <c r="D43" s="57">
        <v>0</v>
      </c>
      <c r="E43" s="59" t="s">
        <v>50</v>
      </c>
      <c r="F43" s="59" t="s">
        <v>51</v>
      </c>
      <c r="G43" s="59">
        <f t="shared" si="3"/>
        <v>0</v>
      </c>
      <c r="H43" s="61" t="str">
        <f t="shared" si="4"/>
        <v/>
      </c>
    </row>
    <row r="44" spans="2:8" x14ac:dyDescent="0.25">
      <c r="B44" s="57" t="s">
        <v>74</v>
      </c>
      <c r="C44" s="58"/>
      <c r="D44" s="57">
        <v>0</v>
      </c>
      <c r="E44" s="59" t="s">
        <v>50</v>
      </c>
      <c r="F44" s="59" t="s">
        <v>51</v>
      </c>
      <c r="G44" s="59">
        <f t="shared" si="3"/>
        <v>0</v>
      </c>
      <c r="H44" s="61" t="str">
        <f t="shared" si="4"/>
        <v/>
      </c>
    </row>
    <row r="45" spans="2:8" x14ac:dyDescent="0.25">
      <c r="B45" s="57" t="s">
        <v>75</v>
      </c>
      <c r="C45" s="58"/>
      <c r="D45" s="57">
        <v>0</v>
      </c>
      <c r="E45" s="59" t="s">
        <v>50</v>
      </c>
      <c r="F45" s="59" t="s">
        <v>51</v>
      </c>
      <c r="G45" s="59">
        <f t="shared" si="3"/>
        <v>0</v>
      </c>
      <c r="H45" s="61" t="str">
        <f t="shared" si="4"/>
        <v/>
      </c>
    </row>
    <row r="46" spans="2:8" x14ac:dyDescent="0.25">
      <c r="B46" s="57" t="s">
        <v>76</v>
      </c>
      <c r="C46" s="58"/>
      <c r="D46" s="57">
        <v>0</v>
      </c>
      <c r="E46" s="59" t="s">
        <v>50</v>
      </c>
      <c r="F46" s="59" t="s">
        <v>51</v>
      </c>
      <c r="G46" s="59">
        <f t="shared" si="3"/>
        <v>0</v>
      </c>
      <c r="H46" s="61" t="str">
        <f t="shared" si="4"/>
        <v/>
      </c>
    </row>
    <row r="47" spans="2:8" x14ac:dyDescent="0.25">
      <c r="B47" s="57" t="s">
        <v>77</v>
      </c>
      <c r="C47" s="58"/>
      <c r="D47" s="57">
        <v>0</v>
      </c>
      <c r="E47" s="59" t="s">
        <v>50</v>
      </c>
      <c r="F47" s="59" t="s">
        <v>51</v>
      </c>
      <c r="G47" s="59">
        <f t="shared" si="3"/>
        <v>0</v>
      </c>
      <c r="H47" s="61" t="str">
        <f t="shared" si="4"/>
        <v/>
      </c>
    </row>
    <row r="48" spans="2:8" x14ac:dyDescent="0.25">
      <c r="B48" s="57" t="s">
        <v>78</v>
      </c>
      <c r="C48" s="58"/>
      <c r="D48" s="57">
        <v>0</v>
      </c>
      <c r="E48" s="59" t="s">
        <v>50</v>
      </c>
      <c r="F48" s="59" t="s">
        <v>51</v>
      </c>
      <c r="G48" s="59">
        <f t="shared" si="3"/>
        <v>0</v>
      </c>
      <c r="H48" s="61" t="str">
        <f t="shared" si="4"/>
        <v/>
      </c>
    </row>
    <row r="49" spans="2:8" x14ac:dyDescent="0.25">
      <c r="B49" s="57" t="s">
        <v>79</v>
      </c>
      <c r="C49" s="58"/>
      <c r="D49" s="57">
        <v>0</v>
      </c>
      <c r="E49" s="59" t="s">
        <v>50</v>
      </c>
      <c r="F49" s="59" t="s">
        <v>51</v>
      </c>
      <c r="G49" s="59">
        <f t="shared" si="3"/>
        <v>0</v>
      </c>
      <c r="H49" s="61" t="str">
        <f t="shared" si="4"/>
        <v/>
      </c>
    </row>
    <row r="50" spans="2:8" x14ac:dyDescent="0.25">
      <c r="B50" s="57" t="s">
        <v>80</v>
      </c>
      <c r="C50" s="58"/>
      <c r="D50" s="57">
        <v>0</v>
      </c>
      <c r="E50" s="59" t="s">
        <v>50</v>
      </c>
      <c r="F50" s="59" t="s">
        <v>51</v>
      </c>
      <c r="G50" s="59">
        <f t="shared" si="3"/>
        <v>0</v>
      </c>
      <c r="H50" s="61" t="str">
        <f t="shared" si="4"/>
        <v/>
      </c>
    </row>
    <row r="51" spans="2:8" x14ac:dyDescent="0.25">
      <c r="B51" s="57" t="s">
        <v>81</v>
      </c>
      <c r="C51" s="58"/>
      <c r="D51" s="57">
        <v>0</v>
      </c>
      <c r="E51" s="59" t="s">
        <v>50</v>
      </c>
      <c r="F51" s="59" t="s">
        <v>51</v>
      </c>
      <c r="G51" s="59">
        <f t="shared" si="3"/>
        <v>0</v>
      </c>
      <c r="H51" s="61" t="str">
        <f t="shared" si="4"/>
        <v/>
      </c>
    </row>
    <row r="52" spans="2:8" x14ac:dyDescent="0.25">
      <c r="B52" s="57" t="s">
        <v>82</v>
      </c>
      <c r="C52" s="58"/>
      <c r="D52" s="57">
        <v>0</v>
      </c>
      <c r="E52" s="59" t="s">
        <v>50</v>
      </c>
      <c r="F52" s="59" t="s">
        <v>51</v>
      </c>
      <c r="G52" s="59">
        <f t="shared" si="3"/>
        <v>0</v>
      </c>
      <c r="H52" s="61" t="str">
        <f t="shared" si="4"/>
        <v/>
      </c>
    </row>
    <row r="53" spans="2:8" x14ac:dyDescent="0.25">
      <c r="B53" s="57" t="s">
        <v>83</v>
      </c>
      <c r="C53" s="58"/>
      <c r="D53" s="57">
        <v>0</v>
      </c>
      <c r="E53" s="59" t="s">
        <v>50</v>
      </c>
      <c r="F53" s="59" t="s">
        <v>51</v>
      </c>
      <c r="G53" s="59">
        <f t="shared" si="3"/>
        <v>0</v>
      </c>
      <c r="H53" s="61" t="str">
        <f t="shared" si="4"/>
        <v/>
      </c>
    </row>
    <row r="54" spans="2:8" x14ac:dyDescent="0.25">
      <c r="B54" s="57" t="s">
        <v>84</v>
      </c>
      <c r="C54" s="58"/>
      <c r="D54" s="57">
        <v>0</v>
      </c>
      <c r="E54" s="59" t="s">
        <v>50</v>
      </c>
      <c r="F54" s="59" t="s">
        <v>51</v>
      </c>
      <c r="G54" s="59">
        <f t="shared" si="3"/>
        <v>0</v>
      </c>
      <c r="H54" s="61" t="str">
        <f t="shared" si="4"/>
        <v/>
      </c>
    </row>
    <row r="55" spans="2:8" x14ac:dyDescent="0.25">
      <c r="B55" s="57" t="s">
        <v>85</v>
      </c>
      <c r="C55" s="58"/>
      <c r="D55" s="57">
        <v>0</v>
      </c>
      <c r="E55" s="59" t="s">
        <v>50</v>
      </c>
      <c r="F55" s="59" t="s">
        <v>51</v>
      </c>
      <c r="G55" s="59">
        <f t="shared" si="3"/>
        <v>0</v>
      </c>
      <c r="H55" s="61" t="str">
        <f t="shared" si="4"/>
        <v/>
      </c>
    </row>
    <row r="56" spans="2:8" x14ac:dyDescent="0.25">
      <c r="B56" s="57" t="s">
        <v>86</v>
      </c>
      <c r="C56" s="58"/>
      <c r="D56" s="57">
        <v>0</v>
      </c>
      <c r="E56" s="59" t="s">
        <v>50</v>
      </c>
      <c r="F56" s="59" t="s">
        <v>51</v>
      </c>
      <c r="G56" s="59">
        <f t="shared" si="3"/>
        <v>0</v>
      </c>
      <c r="H56" s="61" t="str">
        <f t="shared" si="4"/>
        <v/>
      </c>
    </row>
    <row r="57" spans="2:8" x14ac:dyDescent="0.25">
      <c r="B57" s="57" t="s">
        <v>87</v>
      </c>
      <c r="C57" s="58"/>
      <c r="D57" s="57">
        <v>0</v>
      </c>
      <c r="E57" s="59" t="s">
        <v>50</v>
      </c>
      <c r="F57" s="59" t="s">
        <v>51</v>
      </c>
      <c r="G57" s="59">
        <f t="shared" si="3"/>
        <v>0</v>
      </c>
      <c r="H57" s="61" t="str">
        <f t="shared" si="4"/>
        <v/>
      </c>
    </row>
    <row r="58" spans="2:8" x14ac:dyDescent="0.25">
      <c r="B58" s="57" t="s">
        <v>88</v>
      </c>
      <c r="C58" s="58"/>
      <c r="D58" s="57">
        <v>0</v>
      </c>
      <c r="E58" s="59" t="s">
        <v>50</v>
      </c>
      <c r="F58" s="59" t="s">
        <v>51</v>
      </c>
      <c r="G58" s="59">
        <f t="shared" si="3"/>
        <v>0</v>
      </c>
      <c r="H58" s="61" t="str">
        <f t="shared" si="4"/>
        <v/>
      </c>
    </row>
    <row r="59" spans="2:8" x14ac:dyDescent="0.25">
      <c r="B59" s="57" t="s">
        <v>89</v>
      </c>
      <c r="C59" s="58"/>
      <c r="D59" s="57">
        <v>0</v>
      </c>
      <c r="E59" s="59" t="s">
        <v>50</v>
      </c>
      <c r="F59" s="59" t="s">
        <v>51</v>
      </c>
      <c r="G59" s="59">
        <f t="shared" si="3"/>
        <v>0</v>
      </c>
      <c r="H59" s="61" t="str">
        <f t="shared" si="4"/>
        <v/>
      </c>
    </row>
    <row r="60" spans="2:8" x14ac:dyDescent="0.25">
      <c r="B60" s="57" t="s">
        <v>90</v>
      </c>
      <c r="C60" s="58"/>
      <c r="D60" s="59">
        <v>0</v>
      </c>
      <c r="E60" s="59" t="s">
        <v>50</v>
      </c>
      <c r="F60" s="59" t="s">
        <v>51</v>
      </c>
      <c r="G60" s="59">
        <f t="shared" si="3"/>
        <v>0</v>
      </c>
      <c r="H60" s="61" t="str">
        <f t="shared" si="4"/>
        <v/>
      </c>
    </row>
    <row r="61" spans="2:8" x14ac:dyDescent="0.25">
      <c r="B61" s="57" t="s">
        <v>91</v>
      </c>
      <c r="C61" s="67"/>
      <c r="D61" s="59">
        <v>0</v>
      </c>
      <c r="E61" s="59" t="s">
        <v>50</v>
      </c>
      <c r="F61" s="59" t="s">
        <v>51</v>
      </c>
      <c r="G61" s="59">
        <f t="shared" si="3"/>
        <v>0</v>
      </c>
      <c r="H61" s="61" t="str">
        <f t="shared" si="4"/>
        <v/>
      </c>
    </row>
    <row r="62" spans="2:8" x14ac:dyDescent="0.25">
      <c r="B62" s="57" t="s">
        <v>92</v>
      </c>
      <c r="C62" s="67"/>
      <c r="D62" s="59">
        <v>0</v>
      </c>
      <c r="E62" s="59" t="s">
        <v>50</v>
      </c>
      <c r="F62" s="59" t="s">
        <v>51</v>
      </c>
      <c r="G62" s="59">
        <f t="shared" si="3"/>
        <v>0</v>
      </c>
      <c r="H62" s="61" t="str">
        <f t="shared" si="4"/>
        <v/>
      </c>
    </row>
    <row r="63" spans="2:8" x14ac:dyDescent="0.25">
      <c r="B63" s="57" t="s">
        <v>93</v>
      </c>
      <c r="C63" s="67"/>
      <c r="D63" s="59">
        <v>5000</v>
      </c>
      <c r="E63" s="59" t="s">
        <v>50</v>
      </c>
      <c r="F63" s="59" t="s">
        <v>51</v>
      </c>
      <c r="G63" s="59">
        <f t="shared" si="3"/>
        <v>5000</v>
      </c>
      <c r="H63" s="61" t="str">
        <f t="shared" si="4"/>
        <v/>
      </c>
    </row>
    <row r="64" spans="2:8" x14ac:dyDescent="0.25">
      <c r="B64" s="57" t="s">
        <v>94</v>
      </c>
      <c r="C64" s="67"/>
      <c r="D64" s="59">
        <v>0</v>
      </c>
      <c r="E64" s="59" t="s">
        <v>50</v>
      </c>
      <c r="F64" s="59" t="s">
        <v>51</v>
      </c>
      <c r="G64" s="59">
        <f t="shared" si="3"/>
        <v>0</v>
      </c>
      <c r="H64" s="61" t="str">
        <f t="shared" si="4"/>
        <v/>
      </c>
    </row>
    <row r="65" spans="2:8" x14ac:dyDescent="0.25">
      <c r="B65" s="57" t="s">
        <v>95</v>
      </c>
      <c r="C65" s="67"/>
      <c r="D65" s="59">
        <v>0</v>
      </c>
      <c r="E65" s="59" t="s">
        <v>50</v>
      </c>
      <c r="F65" s="59" t="s">
        <v>51</v>
      </c>
      <c r="G65" s="59">
        <f t="shared" si="3"/>
        <v>0</v>
      </c>
      <c r="H65" s="61" t="str">
        <f t="shared" si="4"/>
        <v/>
      </c>
    </row>
    <row r="66" spans="2:8" x14ac:dyDescent="0.25">
      <c r="B66" s="57" t="s">
        <v>96</v>
      </c>
      <c r="C66" s="67"/>
      <c r="D66" s="59">
        <v>0</v>
      </c>
      <c r="E66" s="59" t="s">
        <v>50</v>
      </c>
      <c r="F66" s="59" t="s">
        <v>51</v>
      </c>
      <c r="G66" s="59">
        <f t="shared" si="3"/>
        <v>0</v>
      </c>
      <c r="H66" s="61" t="str">
        <f t="shared" si="4"/>
        <v/>
      </c>
    </row>
    <row r="67" spans="2:8" x14ac:dyDescent="0.25">
      <c r="B67" s="57" t="s">
        <v>97</v>
      </c>
      <c r="C67" s="67"/>
      <c r="D67" s="59">
        <v>0</v>
      </c>
      <c r="E67" s="59" t="s">
        <v>50</v>
      </c>
      <c r="F67" s="59" t="s">
        <v>51</v>
      </c>
      <c r="G67" s="59">
        <f t="shared" si="3"/>
        <v>0</v>
      </c>
      <c r="H67" s="61" t="str">
        <f t="shared" si="4"/>
        <v/>
      </c>
    </row>
    <row r="68" spans="2:8" x14ac:dyDescent="0.25">
      <c r="B68" s="57" t="s">
        <v>98</v>
      </c>
      <c r="C68" s="67"/>
      <c r="D68" s="59">
        <v>0</v>
      </c>
      <c r="E68" s="59" t="s">
        <v>50</v>
      </c>
      <c r="F68" s="59" t="s">
        <v>51</v>
      </c>
      <c r="G68" s="59">
        <f t="shared" si="3"/>
        <v>0</v>
      </c>
      <c r="H68" s="61" t="str">
        <f t="shared" si="4"/>
        <v/>
      </c>
    </row>
    <row r="69" spans="2:8" x14ac:dyDescent="0.25">
      <c r="B69" s="57" t="s">
        <v>99</v>
      </c>
      <c r="C69" s="67"/>
      <c r="D69" s="59">
        <v>0</v>
      </c>
      <c r="E69" s="59" t="s">
        <v>50</v>
      </c>
      <c r="F69" s="59" t="s">
        <v>51</v>
      </c>
      <c r="G69" s="59">
        <f t="shared" si="3"/>
        <v>0</v>
      </c>
      <c r="H69" s="61" t="str">
        <f t="shared" si="4"/>
        <v/>
      </c>
    </row>
    <row r="70" spans="2:8" x14ac:dyDescent="0.25">
      <c r="B70" s="57" t="s">
        <v>100</v>
      </c>
      <c r="C70" s="67"/>
      <c r="D70" s="59">
        <v>0</v>
      </c>
      <c r="E70" s="59" t="s">
        <v>50</v>
      </c>
      <c r="F70" s="59" t="s">
        <v>51</v>
      </c>
      <c r="G70" s="59">
        <f t="shared" si="3"/>
        <v>0</v>
      </c>
      <c r="H70" s="61" t="str">
        <f t="shared" si="4"/>
        <v/>
      </c>
    </row>
    <row r="71" spans="2:8" x14ac:dyDescent="0.25">
      <c r="B71" s="57" t="s">
        <v>101</v>
      </c>
      <c r="C71" s="67"/>
      <c r="D71" s="59">
        <v>0</v>
      </c>
      <c r="E71" s="59" t="s">
        <v>50</v>
      </c>
      <c r="F71" s="59" t="s">
        <v>51</v>
      </c>
      <c r="G71" s="59">
        <f t="shared" si="3"/>
        <v>0</v>
      </c>
      <c r="H71" s="61" t="str">
        <f t="shared" si="4"/>
        <v/>
      </c>
    </row>
    <row r="72" spans="2:8" x14ac:dyDescent="0.25">
      <c r="B72" s="57" t="s">
        <v>102</v>
      </c>
      <c r="C72" s="67"/>
      <c r="D72" s="59">
        <v>0</v>
      </c>
      <c r="E72" s="59" t="s">
        <v>50</v>
      </c>
      <c r="F72" s="59" t="s">
        <v>51</v>
      </c>
      <c r="G72" s="59">
        <f t="shared" si="3"/>
        <v>0</v>
      </c>
      <c r="H72" s="61" t="str">
        <f t="shared" si="4"/>
        <v/>
      </c>
    </row>
    <row r="73" spans="2:8" x14ac:dyDescent="0.25">
      <c r="B73" s="57" t="s">
        <v>103</v>
      </c>
      <c r="C73" s="67"/>
      <c r="D73" s="59">
        <v>0</v>
      </c>
      <c r="E73" s="59" t="s">
        <v>50</v>
      </c>
      <c r="F73" s="59" t="s">
        <v>51</v>
      </c>
      <c r="G73" s="59">
        <f t="shared" si="3"/>
        <v>0</v>
      </c>
      <c r="H73" s="61" t="str">
        <f t="shared" si="4"/>
        <v/>
      </c>
    </row>
    <row r="74" spans="2:8" x14ac:dyDescent="0.25">
      <c r="B74" s="57" t="s">
        <v>104</v>
      </c>
      <c r="C74" s="67"/>
      <c r="D74" s="59">
        <v>0</v>
      </c>
      <c r="E74" s="59" t="s">
        <v>50</v>
      </c>
      <c r="F74" s="59" t="s">
        <v>51</v>
      </c>
      <c r="G74" s="59">
        <f t="shared" si="3"/>
        <v>0</v>
      </c>
      <c r="H74" s="61" t="str">
        <f t="shared" si="4"/>
        <v/>
      </c>
    </row>
    <row r="75" spans="2:8" x14ac:dyDescent="0.25">
      <c r="B75" s="57" t="s">
        <v>105</v>
      </c>
      <c r="C75" s="67"/>
      <c r="D75" s="59">
        <v>0</v>
      </c>
      <c r="E75" s="59" t="s">
        <v>50</v>
      </c>
      <c r="F75" s="59" t="s">
        <v>51</v>
      </c>
      <c r="G75" s="59">
        <f t="shared" si="3"/>
        <v>0</v>
      </c>
      <c r="H75" s="61" t="str">
        <f t="shared" si="4"/>
        <v/>
      </c>
    </row>
    <row r="76" spans="2:8" x14ac:dyDescent="0.25">
      <c r="B76" s="57" t="s">
        <v>106</v>
      </c>
      <c r="C76" s="67"/>
      <c r="D76" s="59">
        <v>10000</v>
      </c>
      <c r="E76" s="59" t="s">
        <v>50</v>
      </c>
      <c r="F76" s="59" t="s">
        <v>51</v>
      </c>
      <c r="G76" s="59">
        <f t="shared" si="3"/>
        <v>10000</v>
      </c>
      <c r="H76" s="61" t="str">
        <f t="shared" si="4"/>
        <v/>
      </c>
    </row>
    <row r="77" spans="2:8" x14ac:dyDescent="0.25">
      <c r="B77" s="57" t="s">
        <v>107</v>
      </c>
      <c r="C77" s="67"/>
      <c r="D77" s="59">
        <v>0</v>
      </c>
      <c r="E77" s="59" t="s">
        <v>50</v>
      </c>
      <c r="F77" s="59" t="s">
        <v>51</v>
      </c>
      <c r="G77" s="59">
        <f t="shared" si="3"/>
        <v>0</v>
      </c>
      <c r="H77" s="61" t="str">
        <f t="shared" si="4"/>
        <v/>
      </c>
    </row>
    <row r="78" spans="2:8" x14ac:dyDescent="0.25">
      <c r="B78" s="57" t="s">
        <v>108</v>
      </c>
      <c r="C78" s="67"/>
      <c r="D78" s="59">
        <v>0</v>
      </c>
      <c r="E78" s="59" t="s">
        <v>50</v>
      </c>
      <c r="F78" s="59" t="s">
        <v>51</v>
      </c>
      <c r="G78" s="59">
        <f t="shared" si="3"/>
        <v>0</v>
      </c>
      <c r="H78" s="61" t="str">
        <f t="shared" si="4"/>
        <v/>
      </c>
    </row>
    <row r="79" spans="2:8" x14ac:dyDescent="0.25">
      <c r="B79" s="57" t="s">
        <v>109</v>
      </c>
      <c r="C79" s="67"/>
      <c r="D79" s="59">
        <v>0</v>
      </c>
      <c r="E79" s="59" t="s">
        <v>50</v>
      </c>
      <c r="F79" s="59" t="s">
        <v>51</v>
      </c>
      <c r="G79" s="59">
        <f t="shared" si="3"/>
        <v>0</v>
      </c>
      <c r="H79" s="61" t="str">
        <f t="shared" si="4"/>
        <v/>
      </c>
    </row>
    <row r="80" spans="2:8" x14ac:dyDescent="0.25">
      <c r="B80" s="57" t="s">
        <v>110</v>
      </c>
      <c r="C80" s="67"/>
      <c r="D80" s="59">
        <v>0</v>
      </c>
      <c r="E80" s="59" t="s">
        <v>50</v>
      </c>
      <c r="F80" s="59" t="s">
        <v>51</v>
      </c>
      <c r="G80" s="59">
        <f t="shared" si="3"/>
        <v>0</v>
      </c>
      <c r="H80" s="61" t="str">
        <f t="shared" si="4"/>
        <v/>
      </c>
    </row>
    <row r="81" spans="2:8" x14ac:dyDescent="0.25">
      <c r="B81" s="57" t="s">
        <v>111</v>
      </c>
      <c r="C81" s="67"/>
      <c r="D81" s="59">
        <v>0</v>
      </c>
      <c r="E81" s="59" t="s">
        <v>50</v>
      </c>
      <c r="F81" s="59" t="s">
        <v>51</v>
      </c>
      <c r="G81" s="59">
        <f t="shared" si="3"/>
        <v>0</v>
      </c>
      <c r="H81" s="61" t="str">
        <f t="shared" si="4"/>
        <v/>
      </c>
    </row>
    <row r="82" spans="2:8" x14ac:dyDescent="0.25">
      <c r="B82" s="57" t="s">
        <v>112</v>
      </c>
      <c r="C82" s="67"/>
      <c r="D82" s="59">
        <v>0</v>
      </c>
      <c r="E82" s="59" t="s">
        <v>50</v>
      </c>
      <c r="F82" s="59" t="s">
        <v>51</v>
      </c>
      <c r="G82" s="59">
        <f t="shared" si="3"/>
        <v>0</v>
      </c>
      <c r="H82" s="61" t="str">
        <f t="shared" si="4"/>
        <v/>
      </c>
    </row>
    <row r="83" spans="2:8" x14ac:dyDescent="0.25">
      <c r="B83" s="73" t="s">
        <v>113</v>
      </c>
      <c r="C83" s="67"/>
      <c r="D83" s="57">
        <v>0</v>
      </c>
      <c r="E83" s="59" t="s">
        <v>50</v>
      </c>
      <c r="F83" s="59" t="s">
        <v>51</v>
      </c>
      <c r="G83" s="59">
        <f t="shared" si="3"/>
        <v>0</v>
      </c>
      <c r="H83" s="61" t="str">
        <f t="shared" si="4"/>
        <v/>
      </c>
    </row>
    <row r="84" spans="2:8" x14ac:dyDescent="0.25">
      <c r="B84" s="57" t="s">
        <v>114</v>
      </c>
      <c r="C84" s="67"/>
      <c r="D84" s="59">
        <v>0</v>
      </c>
      <c r="E84" s="59" t="s">
        <v>50</v>
      </c>
      <c r="F84" s="59" t="s">
        <v>51</v>
      </c>
      <c r="G84" s="59">
        <f t="shared" si="3"/>
        <v>0</v>
      </c>
      <c r="H84" s="61" t="str">
        <f t="shared" si="4"/>
        <v/>
      </c>
    </row>
    <row r="85" spans="2:8" x14ac:dyDescent="0.25">
      <c r="B85" s="57" t="s">
        <v>115</v>
      </c>
      <c r="C85" s="67"/>
      <c r="D85" s="59">
        <v>0</v>
      </c>
      <c r="E85" s="59" t="s">
        <v>50</v>
      </c>
      <c r="F85" s="59" t="s">
        <v>51</v>
      </c>
      <c r="G85" s="59">
        <f t="shared" si="3"/>
        <v>0</v>
      </c>
      <c r="H85" s="61" t="str">
        <f t="shared" si="4"/>
        <v/>
      </c>
    </row>
    <row r="86" spans="2:8" x14ac:dyDescent="0.25">
      <c r="B86" s="57" t="s">
        <v>116</v>
      </c>
      <c r="C86" s="67"/>
      <c r="D86" s="59">
        <v>0</v>
      </c>
      <c r="E86" s="59" t="s">
        <v>50</v>
      </c>
      <c r="F86" s="59" t="s">
        <v>51</v>
      </c>
      <c r="G86" s="59">
        <f t="shared" si="3"/>
        <v>0</v>
      </c>
      <c r="H86" s="61" t="str">
        <f t="shared" si="4"/>
        <v/>
      </c>
    </row>
    <row r="87" spans="2:8" x14ac:dyDescent="0.25">
      <c r="B87" s="57" t="s">
        <v>117</v>
      </c>
      <c r="C87" s="67"/>
      <c r="D87" s="59">
        <v>0</v>
      </c>
      <c r="E87" s="59" t="s">
        <v>50</v>
      </c>
      <c r="F87" s="59" t="s">
        <v>51</v>
      </c>
      <c r="G87" s="59">
        <f t="shared" si="3"/>
        <v>0</v>
      </c>
      <c r="H87" s="61" t="str">
        <f t="shared" si="4"/>
        <v/>
      </c>
    </row>
    <row r="88" spans="2:8" x14ac:dyDescent="0.25">
      <c r="B88" s="57" t="s">
        <v>118</v>
      </c>
      <c r="C88" s="67"/>
      <c r="D88" s="59">
        <v>0</v>
      </c>
      <c r="E88" s="59" t="s">
        <v>50</v>
      </c>
      <c r="F88" s="59" t="s">
        <v>51</v>
      </c>
      <c r="G88" s="59">
        <f t="shared" si="3"/>
        <v>0</v>
      </c>
      <c r="H88" s="61" t="str">
        <f t="shared" si="4"/>
        <v/>
      </c>
    </row>
    <row r="89" spans="2:8" x14ac:dyDescent="0.25">
      <c r="B89" s="57" t="s">
        <v>119</v>
      </c>
      <c r="C89" s="67"/>
      <c r="D89" s="59">
        <v>0</v>
      </c>
      <c r="E89" s="59" t="s">
        <v>50</v>
      </c>
      <c r="F89" s="59" t="s">
        <v>51</v>
      </c>
      <c r="G89" s="59">
        <f t="shared" si="3"/>
        <v>0</v>
      </c>
      <c r="H89" s="61" t="str">
        <f t="shared" si="4"/>
        <v/>
      </c>
    </row>
    <row r="90" spans="2:8" x14ac:dyDescent="0.25">
      <c r="B90" s="57" t="s">
        <v>120</v>
      </c>
      <c r="C90" s="67"/>
      <c r="D90" s="59">
        <v>0</v>
      </c>
      <c r="E90" s="59" t="s">
        <v>50</v>
      </c>
      <c r="F90" s="59" t="s">
        <v>51</v>
      </c>
      <c r="G90" s="59">
        <f t="shared" si="3"/>
        <v>0</v>
      </c>
      <c r="H90" s="61" t="str">
        <f t="shared" si="4"/>
        <v/>
      </c>
    </row>
    <row r="91" spans="2:8" x14ac:dyDescent="0.25">
      <c r="B91" s="57" t="s">
        <v>121</v>
      </c>
      <c r="C91" s="67"/>
      <c r="D91" s="59">
        <v>0</v>
      </c>
      <c r="E91" s="59" t="s">
        <v>50</v>
      </c>
      <c r="F91" s="59" t="s">
        <v>51</v>
      </c>
      <c r="G91" s="59">
        <f t="shared" si="3"/>
        <v>0</v>
      </c>
      <c r="H91" s="61" t="str">
        <f t="shared" si="4"/>
        <v/>
      </c>
    </row>
    <row r="92" spans="2:8" x14ac:dyDescent="0.25">
      <c r="B92" s="57" t="s">
        <v>122</v>
      </c>
      <c r="C92" s="67"/>
      <c r="D92" s="59">
        <v>0</v>
      </c>
      <c r="E92" s="59" t="s">
        <v>50</v>
      </c>
      <c r="F92" s="59" t="s">
        <v>51</v>
      </c>
      <c r="G92" s="59">
        <f t="shared" si="3"/>
        <v>0</v>
      </c>
      <c r="H92" s="61" t="str">
        <f t="shared" si="4"/>
        <v/>
      </c>
    </row>
    <row r="93" spans="2:8" x14ac:dyDescent="0.25">
      <c r="B93" s="57" t="s">
        <v>123</v>
      </c>
      <c r="C93" s="67"/>
      <c r="D93" s="59">
        <v>0</v>
      </c>
      <c r="E93" s="59" t="s">
        <v>50</v>
      </c>
      <c r="F93" s="59" t="s">
        <v>51</v>
      </c>
      <c r="G93" s="59">
        <f t="shared" si="3"/>
        <v>0</v>
      </c>
      <c r="H93" s="61" t="str">
        <f t="shared" si="4"/>
        <v/>
      </c>
    </row>
    <row r="94" spans="2:8" x14ac:dyDescent="0.25">
      <c r="B94" s="57" t="s">
        <v>124</v>
      </c>
      <c r="C94" s="67"/>
      <c r="D94" s="59">
        <v>0</v>
      </c>
      <c r="E94" s="59" t="s">
        <v>50</v>
      </c>
      <c r="F94" s="59" t="s">
        <v>51</v>
      </c>
      <c r="G94" s="59">
        <f t="shared" si="3"/>
        <v>0</v>
      </c>
      <c r="H94" s="61" t="str">
        <f t="shared" si="4"/>
        <v/>
      </c>
    </row>
    <row r="95" spans="2:8" x14ac:dyDescent="0.25">
      <c r="B95" s="57" t="s">
        <v>125</v>
      </c>
      <c r="C95" s="67"/>
      <c r="D95" s="59">
        <v>0</v>
      </c>
      <c r="E95" s="59" t="s">
        <v>50</v>
      </c>
      <c r="F95" s="59" t="s">
        <v>51</v>
      </c>
      <c r="G95" s="59">
        <f t="shared" si="3"/>
        <v>0</v>
      </c>
      <c r="H95" s="61" t="str">
        <f t="shared" si="4"/>
        <v/>
      </c>
    </row>
    <row r="96" spans="2:8" x14ac:dyDescent="0.25">
      <c r="B96" s="57" t="s">
        <v>126</v>
      </c>
      <c r="C96" s="67"/>
      <c r="D96" s="59">
        <v>0</v>
      </c>
      <c r="E96" s="59" t="s">
        <v>50</v>
      </c>
      <c r="F96" s="59" t="s">
        <v>51</v>
      </c>
      <c r="G96" s="59">
        <f t="shared" si="3"/>
        <v>0</v>
      </c>
      <c r="H96" s="61" t="str">
        <f t="shared" si="4"/>
        <v/>
      </c>
    </row>
    <row r="97" spans="2:8" x14ac:dyDescent="0.25">
      <c r="B97" s="57" t="s">
        <v>127</v>
      </c>
      <c r="C97" s="67"/>
      <c r="D97" s="59">
        <v>0</v>
      </c>
      <c r="E97" s="59" t="s">
        <v>50</v>
      </c>
      <c r="F97" s="59" t="s">
        <v>51</v>
      </c>
      <c r="G97" s="59">
        <f t="shared" si="3"/>
        <v>0</v>
      </c>
      <c r="H97" s="61" t="str">
        <f t="shared" si="4"/>
        <v/>
      </c>
    </row>
    <row r="98" spans="2:8" x14ac:dyDescent="0.25">
      <c r="B98" s="57" t="s">
        <v>128</v>
      </c>
      <c r="C98" s="67"/>
      <c r="D98" s="59">
        <v>0</v>
      </c>
      <c r="E98" s="59" t="s">
        <v>50</v>
      </c>
      <c r="F98" s="59" t="s">
        <v>51</v>
      </c>
      <c r="G98" s="59">
        <f t="shared" si="3"/>
        <v>0</v>
      </c>
      <c r="H98" s="61" t="str">
        <f t="shared" si="4"/>
        <v/>
      </c>
    </row>
    <row r="99" spans="2:8" x14ac:dyDescent="0.25">
      <c r="B99" s="57" t="s">
        <v>129</v>
      </c>
      <c r="C99" s="67"/>
      <c r="D99" s="59">
        <v>0</v>
      </c>
      <c r="E99" s="59" t="s">
        <v>50</v>
      </c>
      <c r="F99" s="59" t="s">
        <v>51</v>
      </c>
      <c r="G99" s="59">
        <f t="shared" si="3"/>
        <v>0</v>
      </c>
      <c r="H99" s="61" t="str">
        <f t="shared" si="4"/>
        <v/>
      </c>
    </row>
    <row r="100" spans="2:8" x14ac:dyDescent="0.25">
      <c r="B100" s="57" t="s">
        <v>130</v>
      </c>
      <c r="C100" s="67"/>
      <c r="D100" s="59">
        <v>0</v>
      </c>
      <c r="E100" s="59" t="s">
        <v>50</v>
      </c>
      <c r="F100" s="59" t="s">
        <v>51</v>
      </c>
      <c r="G100" s="59">
        <f t="shared" ref="G100:G106" si="5">$D100+$C100</f>
        <v>0</v>
      </c>
      <c r="H100" s="61" t="str">
        <f t="shared" ref="H100:H106" si="6">IF(AND($D100=0, $G100&gt;0),"new", IF(AND($D100&gt;0, $G100=0),"sold",""))</f>
        <v/>
      </c>
    </row>
    <row r="101" spans="2:8" x14ac:dyDescent="0.25">
      <c r="B101" s="57" t="s">
        <v>131</v>
      </c>
      <c r="C101" s="67"/>
      <c r="D101" s="59">
        <v>0</v>
      </c>
      <c r="E101" s="59" t="s">
        <v>50</v>
      </c>
      <c r="F101" s="59" t="s">
        <v>51</v>
      </c>
      <c r="G101" s="59">
        <f t="shared" si="5"/>
        <v>0</v>
      </c>
      <c r="H101" s="61" t="str">
        <f t="shared" si="6"/>
        <v/>
      </c>
    </row>
    <row r="102" spans="2:8" x14ac:dyDescent="0.25">
      <c r="B102" s="57" t="s">
        <v>132</v>
      </c>
      <c r="C102" s="67"/>
      <c r="D102" s="59">
        <v>0</v>
      </c>
      <c r="E102" s="59" t="s">
        <v>50</v>
      </c>
      <c r="F102" s="59" t="s">
        <v>51</v>
      </c>
      <c r="G102" s="59">
        <f t="shared" si="5"/>
        <v>0</v>
      </c>
      <c r="H102" s="61" t="str">
        <f t="shared" si="6"/>
        <v/>
      </c>
    </row>
    <row r="103" spans="2:8" x14ac:dyDescent="0.25">
      <c r="B103" s="57" t="s">
        <v>133</v>
      </c>
      <c r="C103" s="67"/>
      <c r="D103" s="59">
        <v>0</v>
      </c>
      <c r="E103" s="59" t="s">
        <v>50</v>
      </c>
      <c r="F103" s="59" t="s">
        <v>51</v>
      </c>
      <c r="G103" s="59">
        <f t="shared" si="5"/>
        <v>0</v>
      </c>
      <c r="H103" s="61" t="str">
        <f t="shared" si="6"/>
        <v/>
      </c>
    </row>
    <row r="104" spans="2:8" x14ac:dyDescent="0.25">
      <c r="B104" s="57" t="s">
        <v>134</v>
      </c>
      <c r="C104" s="67"/>
      <c r="D104" s="59">
        <v>0</v>
      </c>
      <c r="E104" s="59" t="s">
        <v>50</v>
      </c>
      <c r="F104" s="59" t="s">
        <v>51</v>
      </c>
      <c r="G104" s="59">
        <f t="shared" si="5"/>
        <v>0</v>
      </c>
      <c r="H104" s="61" t="str">
        <f t="shared" si="6"/>
        <v/>
      </c>
    </row>
    <row r="105" spans="2:8" x14ac:dyDescent="0.25">
      <c r="B105" s="57" t="s">
        <v>135</v>
      </c>
      <c r="C105" s="67"/>
      <c r="D105" s="59">
        <v>0</v>
      </c>
      <c r="E105" s="59" t="s">
        <v>50</v>
      </c>
      <c r="F105" s="59" t="s">
        <v>51</v>
      </c>
      <c r="G105" s="59">
        <f t="shared" si="5"/>
        <v>0</v>
      </c>
      <c r="H105" s="61" t="str">
        <f t="shared" si="6"/>
        <v/>
      </c>
    </row>
    <row r="106" spans="2:8" x14ac:dyDescent="0.25">
      <c r="B106" s="62" t="s">
        <v>136</v>
      </c>
      <c r="C106" s="67"/>
      <c r="D106" s="63">
        <v>0</v>
      </c>
      <c r="E106" s="63" t="s">
        <v>50</v>
      </c>
      <c r="F106" s="63" t="s">
        <v>51</v>
      </c>
      <c r="G106" s="63">
        <f t="shared" si="5"/>
        <v>0</v>
      </c>
      <c r="H106" s="64" t="str">
        <f t="shared" si="6"/>
        <v/>
      </c>
    </row>
    <row r="107" spans="2:8" x14ac:dyDescent="0.25">
      <c r="B107" s="55"/>
      <c r="C107" s="55"/>
      <c r="D107" s="55">
        <f>COUNTIF($D$36:$D$106,"&gt;0")</f>
        <v>3</v>
      </c>
      <c r="E107" s="55" t="s">
        <v>137</v>
      </c>
      <c r="F107" s="55"/>
      <c r="G107" s="55">
        <f>COUNTIF(G36:G106,"&gt;0")</f>
        <v>3</v>
      </c>
      <c r="H107" s="74" t="s">
        <v>137</v>
      </c>
    </row>
  </sheetData>
  <dataValidations count="3">
    <dataValidation type="decimal" operator="greaterThanOrEqual" allowBlank="1" showInputMessage="1" showErrorMessage="1" errorTitle="Error" error="This error occurred because user was trying to sell more than owned" promptTitle="Storages" prompt="Enter Capacity (Positive number to buy, Negative number to sell)" sqref="C36:C106">
      <formula1>-D36:D106</formula1>
    </dataValidation>
    <dataValidation type="whole" operator="greaterThanOrEqual" allowBlank="1" showInputMessage="1" showErrorMessage="1" errorTitle="Error" error="This error occurred because a non-integer was entered or user was trying to sell more than owned" promptTitle="TankCars" prompt="Enter Unit of Cars (Positive integer to buy, Negative integer to sell)" sqref="C21:C30">
      <formula1>-D21:D30</formula1>
    </dataValidation>
    <dataValidation type="decimal" operator="greaterThanOrEqual" allowBlank="1" showInputMessage="1" showErrorMessage="1" errorTitle="Error" error="This error occurred because user was trying to sell more than owned" promptTitle="Plants" prompt="Enter Capacity (Positive number to buy, Negative number to sell)" sqref="C6:C15">
      <formula1>-D6:D15</formula1>
    </dataValidation>
  </dataValidations>
  <pageMargins left="0.75" right="0.75" top="1" bottom="1" header="0.5" footer="0.5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2:AG49"/>
  <sheetViews>
    <sheetView tabSelected="1" topLeftCell="A14" workbookViewId="0">
      <selection activeCell="D33" sqref="D33"/>
    </sheetView>
  </sheetViews>
  <sheetFormatPr defaultColWidth="8.875" defaultRowHeight="15.75" x14ac:dyDescent="0.25"/>
  <cols>
    <col min="1" max="1" width="4.625" style="2" customWidth="1"/>
    <col min="2" max="2" width="16.625" style="2" customWidth="1"/>
    <col min="3" max="14" width="8.625" style="2" customWidth="1"/>
    <col min="15" max="16384" width="8.875" style="2"/>
  </cols>
  <sheetData>
    <row r="2" spans="2:14" x14ac:dyDescent="0.25">
      <c r="B2" s="1" t="s">
        <v>0</v>
      </c>
    </row>
    <row r="3" spans="2:14" x14ac:dyDescent="0.25">
      <c r="B3" s="3" t="s">
        <v>1</v>
      </c>
    </row>
    <row r="4" spans="2:14" x14ac:dyDescent="0.25">
      <c r="B4" s="4"/>
      <c r="C4" s="5"/>
      <c r="D4" s="5"/>
      <c r="E4" s="5"/>
      <c r="F4" s="5"/>
      <c r="G4" s="5"/>
      <c r="H4" s="5"/>
      <c r="I4" s="5"/>
      <c r="J4" s="5"/>
      <c r="K4" s="5"/>
      <c r="L4" s="5"/>
      <c r="M4" s="5"/>
      <c r="N4" s="5"/>
    </row>
    <row r="5" spans="2:14" x14ac:dyDescent="0.25">
      <c r="B5" s="6" t="s">
        <v>2</v>
      </c>
      <c r="C5" s="7" t="s">
        <v>3</v>
      </c>
      <c r="D5" s="7" t="s">
        <v>4</v>
      </c>
      <c r="E5" s="7" t="s">
        <v>5</v>
      </c>
      <c r="F5" s="7" t="s">
        <v>6</v>
      </c>
      <c r="G5" s="7" t="s">
        <v>7</v>
      </c>
      <c r="H5" s="7" t="s">
        <v>8</v>
      </c>
      <c r="I5" s="7" t="s">
        <v>9</v>
      </c>
      <c r="J5" s="7" t="s">
        <v>10</v>
      </c>
      <c r="K5" s="7" t="s">
        <v>11</v>
      </c>
      <c r="L5" s="7" t="s">
        <v>12</v>
      </c>
      <c r="M5" s="7" t="s">
        <v>13</v>
      </c>
      <c r="N5" s="8" t="s">
        <v>14</v>
      </c>
    </row>
    <row r="6" spans="2:14" x14ac:dyDescent="0.25">
      <c r="B6" s="9" t="s">
        <v>15</v>
      </c>
      <c r="C6" s="10">
        <v>2469.1999999999998</v>
      </c>
      <c r="D6" s="10">
        <v>2469.1999999999998</v>
      </c>
      <c r="E6" s="10">
        <v>2469.1999999999998</v>
      </c>
      <c r="F6" s="10">
        <v>2469.1999999999998</v>
      </c>
      <c r="G6" s="10">
        <v>2469.1999999999998</v>
      </c>
      <c r="H6" s="10">
        <v>2469.1999999999998</v>
      </c>
      <c r="I6" s="10">
        <v>2469.1999999999998</v>
      </c>
      <c r="J6" s="10">
        <v>2469.1999999999998</v>
      </c>
      <c r="K6" s="10">
        <v>2469.1999999999998</v>
      </c>
      <c r="L6" s="10">
        <v>2469.1999999999998</v>
      </c>
      <c r="M6" s="10">
        <v>2469.1999999999998</v>
      </c>
      <c r="N6" s="10">
        <v>2469.1999999999998</v>
      </c>
    </row>
    <row r="7" spans="2:14" x14ac:dyDescent="0.25">
      <c r="B7" s="9" t="s">
        <v>16</v>
      </c>
      <c r="C7" s="11">
        <v>1.1231528525154617E-5</v>
      </c>
      <c r="D7" s="11">
        <v>1.1231528525154617E-5</v>
      </c>
      <c r="E7" s="11">
        <v>1.1231528525154617E-5</v>
      </c>
      <c r="F7" s="11">
        <v>1.1231528525154617E-5</v>
      </c>
      <c r="G7" s="11">
        <v>1.1231528525154617E-5</v>
      </c>
      <c r="H7" s="11">
        <v>1.1231528525154617E-5</v>
      </c>
      <c r="I7" s="11">
        <v>1.1231528525154617E-5</v>
      </c>
      <c r="J7" s="11">
        <v>1.1231528525154617E-5</v>
      </c>
      <c r="K7" s="11">
        <v>1.1231528525154617E-5</v>
      </c>
      <c r="L7" s="11">
        <v>1.1231528525154617E-5</v>
      </c>
      <c r="M7" s="11">
        <v>1.1231528525154617E-5</v>
      </c>
      <c r="N7" s="11">
        <v>1.1231528525154617E-5</v>
      </c>
    </row>
    <row r="8" spans="2:14" x14ac:dyDescent="0.25">
      <c r="B8" s="9" t="s">
        <v>17</v>
      </c>
      <c r="C8" s="11">
        <v>192.47411844290016</v>
      </c>
      <c r="D8" s="11">
        <v>192.47411844290016</v>
      </c>
      <c r="E8" s="11">
        <v>192.47411844290016</v>
      </c>
      <c r="F8" s="11">
        <v>192.47411844290016</v>
      </c>
      <c r="G8" s="11">
        <v>192.47411844290016</v>
      </c>
      <c r="H8" s="11">
        <v>192.47411844290016</v>
      </c>
      <c r="I8" s="11">
        <v>192.47411844290016</v>
      </c>
      <c r="J8" s="11">
        <v>192.47411844290016</v>
      </c>
      <c r="K8" s="11">
        <v>192.47411844290016</v>
      </c>
      <c r="L8" s="11">
        <v>192.47411844290016</v>
      </c>
      <c r="M8" s="11">
        <v>192.47411844290016</v>
      </c>
      <c r="N8" s="11">
        <v>192.47411844290016</v>
      </c>
    </row>
    <row r="9" spans="2:14" x14ac:dyDescent="0.25">
      <c r="B9" s="9" t="s">
        <v>18</v>
      </c>
      <c r="C9" s="11">
        <v>616.16578543501112</v>
      </c>
      <c r="D9" s="11">
        <v>616.16578543501112</v>
      </c>
      <c r="E9" s="11">
        <v>616.16578543501112</v>
      </c>
      <c r="F9" s="11">
        <v>616.16578543501112</v>
      </c>
      <c r="G9" s="11">
        <v>616.16578543501112</v>
      </c>
      <c r="H9" s="11">
        <v>616.16578543501112</v>
      </c>
      <c r="I9" s="11">
        <v>616.16578543501112</v>
      </c>
      <c r="J9" s="11">
        <v>616.16578543501112</v>
      </c>
      <c r="K9" s="11">
        <v>616.16578543501112</v>
      </c>
      <c r="L9" s="11">
        <v>616.16578543501112</v>
      </c>
      <c r="M9" s="11">
        <v>616.16578543501112</v>
      </c>
      <c r="N9" s="11">
        <v>616.16578543501112</v>
      </c>
    </row>
    <row r="10" spans="2:14" x14ac:dyDescent="0.25">
      <c r="B10" s="9" t="s">
        <v>19</v>
      </c>
      <c r="C10" s="11">
        <v>4.4406370675498802E-8</v>
      </c>
      <c r="D10" s="11">
        <v>4.4406370675498802E-8</v>
      </c>
      <c r="E10" s="11">
        <v>4.4406370675498802E-8</v>
      </c>
      <c r="F10" s="11">
        <v>4.4406370675498802E-8</v>
      </c>
      <c r="G10" s="11">
        <v>4.4406370675498802E-8</v>
      </c>
      <c r="H10" s="11">
        <v>4.4406370675498802E-8</v>
      </c>
      <c r="I10" s="11">
        <v>4.4406370675498802E-8</v>
      </c>
      <c r="J10" s="11">
        <v>4.4406370675498802E-8</v>
      </c>
      <c r="K10" s="11">
        <v>4.4406370675498802E-8</v>
      </c>
      <c r="L10" s="11">
        <v>4.4406370675498802E-8</v>
      </c>
      <c r="M10" s="11">
        <v>4.4406370675498802E-8</v>
      </c>
      <c r="N10" s="11">
        <v>4.4406370675498802E-8</v>
      </c>
    </row>
    <row r="11" spans="2:14" x14ac:dyDescent="0.25">
      <c r="B11" s="12" t="s">
        <v>20</v>
      </c>
      <c r="C11" s="11">
        <v>8.4716359538475237E-8</v>
      </c>
      <c r="D11" s="11">
        <v>8.4716359538475237E-8</v>
      </c>
      <c r="E11" s="11">
        <v>8.4716359538475237E-8</v>
      </c>
      <c r="F11" s="11">
        <v>8.4716359538475237E-8</v>
      </c>
      <c r="G11" s="11">
        <v>8.4716359538475237E-8</v>
      </c>
      <c r="H11" s="11">
        <v>8.4716359538475237E-8</v>
      </c>
      <c r="I11" s="11">
        <v>8.4716359538475237E-8</v>
      </c>
      <c r="J11" s="11">
        <v>8.4716359538475237E-8</v>
      </c>
      <c r="K11" s="11">
        <v>8.4716359538475237E-8</v>
      </c>
      <c r="L11" s="11">
        <v>8.4716359538475237E-8</v>
      </c>
      <c r="M11" s="11">
        <v>8.4716359538475237E-8</v>
      </c>
      <c r="N11" s="11">
        <v>8.4716359538475237E-8</v>
      </c>
    </row>
    <row r="12" spans="2:14" x14ac:dyDescent="0.25">
      <c r="B12" s="13"/>
      <c r="C12" s="14"/>
      <c r="D12" s="14"/>
      <c r="E12" s="14"/>
      <c r="F12" s="14"/>
      <c r="G12" s="14"/>
      <c r="H12" s="14"/>
      <c r="I12" s="14"/>
      <c r="J12" s="14"/>
      <c r="K12" s="14"/>
      <c r="L12" s="14"/>
      <c r="M12" s="14"/>
      <c r="N12" s="15"/>
    </row>
    <row r="14" spans="2:14" x14ac:dyDescent="0.25">
      <c r="B14" s="3" t="s">
        <v>21</v>
      </c>
    </row>
    <row r="15" spans="2:14" x14ac:dyDescent="0.25">
      <c r="B15" s="4"/>
      <c r="C15" s="5"/>
      <c r="D15" s="5"/>
      <c r="E15" s="16"/>
      <c r="F15" s="5"/>
      <c r="G15" s="5"/>
      <c r="H15" s="5"/>
    </row>
    <row r="16" spans="2:14" x14ac:dyDescent="0.25">
      <c r="B16" s="6" t="s">
        <v>22</v>
      </c>
      <c r="C16" s="7" t="s">
        <v>23</v>
      </c>
      <c r="D16" s="7" t="s">
        <v>24</v>
      </c>
      <c r="E16" s="7" t="s">
        <v>23</v>
      </c>
      <c r="F16" s="7" t="s">
        <v>25</v>
      </c>
      <c r="G16" s="7" t="s">
        <v>23</v>
      </c>
      <c r="H16" s="7" t="s">
        <v>26</v>
      </c>
    </row>
    <row r="17" spans="2:33" x14ac:dyDescent="0.25">
      <c r="B17" s="17" t="s">
        <v>15</v>
      </c>
      <c r="C17" s="18">
        <v>1</v>
      </c>
      <c r="D17" s="18">
        <v>0.5554</v>
      </c>
      <c r="E17" s="18">
        <v>1</v>
      </c>
      <c r="F17" s="18">
        <v>0.79620000000000002</v>
      </c>
      <c r="G17" s="18">
        <v>0.8</v>
      </c>
      <c r="H17" s="18">
        <v>1.0368999999999999</v>
      </c>
      <c r="I17" s="2" t="s">
        <v>27</v>
      </c>
    </row>
    <row r="18" spans="2:33" x14ac:dyDescent="0.25">
      <c r="B18" s="9" t="s">
        <v>16</v>
      </c>
      <c r="C18" s="18">
        <v>1</v>
      </c>
      <c r="D18" s="19">
        <v>0.63470000000000004</v>
      </c>
      <c r="E18" s="18">
        <v>1</v>
      </c>
      <c r="F18" s="19">
        <v>0.76639999999999997</v>
      </c>
      <c r="G18" s="18">
        <v>0.8</v>
      </c>
      <c r="H18" s="19">
        <v>0.89810000000000001</v>
      </c>
      <c r="I18" s="2" t="s">
        <v>27</v>
      </c>
    </row>
    <row r="19" spans="2:33" x14ac:dyDescent="0.25">
      <c r="B19" s="9" t="s">
        <v>17</v>
      </c>
      <c r="C19" s="18">
        <v>1</v>
      </c>
      <c r="D19" s="19">
        <v>0.68510000000000004</v>
      </c>
      <c r="E19" s="18">
        <v>1</v>
      </c>
      <c r="F19" s="19">
        <v>0.83360000000000001</v>
      </c>
      <c r="G19" s="18">
        <v>0.8</v>
      </c>
      <c r="H19" s="19">
        <v>0.98209999999999997</v>
      </c>
      <c r="I19" s="2" t="s">
        <v>27</v>
      </c>
    </row>
    <row r="20" spans="2:33" x14ac:dyDescent="0.25">
      <c r="B20" s="9" t="s">
        <v>18</v>
      </c>
      <c r="C20" s="18">
        <v>1</v>
      </c>
      <c r="D20" s="19">
        <v>0.64649999999999996</v>
      </c>
      <c r="E20" s="18">
        <v>1</v>
      </c>
      <c r="F20" s="19">
        <v>0.8155</v>
      </c>
      <c r="G20" s="18">
        <v>0.8</v>
      </c>
      <c r="H20" s="19">
        <v>0.98440000000000005</v>
      </c>
    </row>
    <row r="21" spans="2:33" x14ac:dyDescent="0.25">
      <c r="B21" s="9" t="s">
        <v>19</v>
      </c>
      <c r="C21" s="18">
        <v>1</v>
      </c>
      <c r="D21" s="19">
        <v>0.72750000000000004</v>
      </c>
      <c r="E21" s="18">
        <v>1</v>
      </c>
      <c r="F21" s="19">
        <v>0.75749999999999995</v>
      </c>
      <c r="G21" s="18">
        <v>0.8</v>
      </c>
      <c r="H21" s="19">
        <v>0.78749999999999998</v>
      </c>
    </row>
    <row r="22" spans="2:33" x14ac:dyDescent="0.25">
      <c r="B22" s="12" t="s">
        <v>20</v>
      </c>
      <c r="C22" s="18">
        <v>1</v>
      </c>
      <c r="D22" s="19">
        <v>0.67669999999999997</v>
      </c>
      <c r="E22" s="18">
        <v>1</v>
      </c>
      <c r="F22" s="19">
        <v>0.7399</v>
      </c>
      <c r="G22" s="18">
        <v>0.8</v>
      </c>
      <c r="H22" s="19">
        <v>0.80320000000000003</v>
      </c>
      <c r="K22" s="20"/>
      <c r="L22" s="21"/>
      <c r="M22" s="21"/>
      <c r="N22" s="21"/>
      <c r="O22" s="21"/>
      <c r="P22" s="21"/>
      <c r="Q22" s="21"/>
      <c r="R22" s="21"/>
      <c r="S22" s="21"/>
      <c r="T22" s="21"/>
      <c r="U22" s="20"/>
      <c r="V22" s="21"/>
      <c r="W22" s="20"/>
      <c r="X22" s="21"/>
      <c r="Y22" s="20"/>
      <c r="Z22" s="21"/>
      <c r="AA22" s="20"/>
      <c r="AB22" s="21"/>
      <c r="AC22" s="20"/>
      <c r="AD22" s="21"/>
      <c r="AE22" s="20"/>
      <c r="AF22" s="21"/>
      <c r="AG22" s="20"/>
    </row>
    <row r="23" spans="2:33" x14ac:dyDescent="0.25">
      <c r="B23" s="22"/>
      <c r="C23" s="23"/>
      <c r="D23" s="23"/>
      <c r="E23" s="23"/>
      <c r="F23" s="23"/>
      <c r="G23" s="23"/>
      <c r="H23" s="5"/>
      <c r="K23" s="20"/>
      <c r="L23" s="21"/>
      <c r="M23" s="21"/>
      <c r="N23" s="21"/>
      <c r="O23" s="21"/>
      <c r="P23" s="21"/>
      <c r="Q23" s="21"/>
      <c r="R23" s="21"/>
      <c r="S23" s="21"/>
      <c r="T23" s="21"/>
      <c r="U23" s="21"/>
      <c r="V23" s="21"/>
      <c r="W23" s="21"/>
      <c r="X23" s="21"/>
      <c r="Y23" s="21"/>
      <c r="Z23" s="21"/>
      <c r="AA23" s="21"/>
      <c r="AB23" s="21"/>
      <c r="AC23" s="21"/>
      <c r="AD23" s="21"/>
      <c r="AE23" s="21"/>
      <c r="AF23" s="21"/>
      <c r="AG23" s="21"/>
    </row>
    <row r="24" spans="2:33" x14ac:dyDescent="0.25">
      <c r="K24" s="21"/>
      <c r="L24" s="20"/>
      <c r="M24" s="20"/>
      <c r="N24" s="20"/>
      <c r="O24" s="20"/>
      <c r="P24" s="20"/>
      <c r="Q24" s="20"/>
      <c r="R24" s="20"/>
      <c r="S24" s="20"/>
      <c r="T24" s="20"/>
      <c r="U24" s="20"/>
      <c r="V24" s="20"/>
      <c r="W24" s="20"/>
      <c r="X24" s="20"/>
      <c r="Y24" s="20"/>
      <c r="Z24" s="20"/>
      <c r="AA24" s="20"/>
      <c r="AB24" s="20"/>
      <c r="AC24" s="20"/>
      <c r="AD24" s="20"/>
      <c r="AE24" s="20"/>
      <c r="AF24" s="20"/>
      <c r="AG24" s="20"/>
    </row>
    <row r="25" spans="2:33" x14ac:dyDescent="0.25">
      <c r="K25" s="21"/>
      <c r="L25" s="20"/>
      <c r="M25" s="20"/>
      <c r="N25" s="20"/>
      <c r="O25" s="20"/>
      <c r="P25" s="20"/>
      <c r="Q25" s="20"/>
      <c r="R25" s="20"/>
      <c r="S25" s="20"/>
      <c r="T25" s="20"/>
      <c r="U25" s="20"/>
      <c r="V25" s="20"/>
      <c r="W25" s="20"/>
      <c r="X25" s="20"/>
      <c r="Y25" s="20"/>
      <c r="Z25" s="20"/>
      <c r="AA25" s="20"/>
      <c r="AB25" s="20"/>
      <c r="AC25" s="20"/>
      <c r="AD25" s="20"/>
      <c r="AE25" s="20"/>
      <c r="AF25" s="20"/>
      <c r="AG25" s="20"/>
    </row>
    <row r="26" spans="2:33" x14ac:dyDescent="0.25">
      <c r="B26" s="3" t="s">
        <v>28</v>
      </c>
      <c r="K26" s="21"/>
      <c r="L26" s="20"/>
      <c r="M26" s="20"/>
      <c r="N26" s="20"/>
      <c r="O26" s="20"/>
      <c r="P26" s="20"/>
      <c r="Q26" s="20"/>
      <c r="R26" s="20"/>
      <c r="S26" s="20"/>
      <c r="T26" s="20"/>
      <c r="U26" s="20"/>
      <c r="V26" s="20"/>
      <c r="W26" s="20"/>
      <c r="X26" s="20"/>
      <c r="Y26" s="20"/>
      <c r="Z26" s="20"/>
      <c r="AA26" s="20"/>
      <c r="AB26" s="20"/>
      <c r="AC26" s="20"/>
      <c r="AD26" s="20"/>
      <c r="AE26" s="20"/>
      <c r="AF26" s="20"/>
      <c r="AG26" s="20"/>
    </row>
    <row r="27" spans="2:33" x14ac:dyDescent="0.25">
      <c r="B27" s="4"/>
      <c r="C27" s="5"/>
      <c r="D27" s="5"/>
      <c r="E27" s="5"/>
      <c r="F27" s="5"/>
      <c r="G27" s="5"/>
      <c r="H27" s="5"/>
      <c r="I27" s="5"/>
      <c r="J27" s="5"/>
      <c r="K27" s="16"/>
      <c r="L27" s="5"/>
      <c r="M27" s="5"/>
      <c r="N27" s="5"/>
      <c r="O27" s="5"/>
      <c r="P27" s="5"/>
      <c r="Q27" s="20"/>
      <c r="R27" s="20"/>
      <c r="S27" s="20"/>
      <c r="T27" s="20"/>
      <c r="U27" s="20"/>
      <c r="V27" s="20"/>
      <c r="W27" s="20"/>
      <c r="X27" s="20"/>
      <c r="Y27" s="20"/>
      <c r="Z27" s="20"/>
      <c r="AA27" s="20"/>
      <c r="AB27" s="20"/>
      <c r="AC27" s="20"/>
      <c r="AD27" s="20"/>
      <c r="AE27" s="20"/>
      <c r="AF27" s="20"/>
      <c r="AG27" s="20"/>
    </row>
    <row r="28" spans="2:33" x14ac:dyDescent="0.25">
      <c r="D28" s="24">
        <f>basic_info!$D$5-5</f>
        <v>2017</v>
      </c>
      <c r="E28" s="21"/>
      <c r="F28" s="24">
        <f>basic_info!$D$5-4</f>
        <v>2018</v>
      </c>
      <c r="G28" s="21"/>
      <c r="H28" s="24">
        <f>basic_info!$D$5-3</f>
        <v>2019</v>
      </c>
      <c r="I28" s="21"/>
      <c r="J28" s="24">
        <f>basic_info!$D$5-2</f>
        <v>2020</v>
      </c>
      <c r="K28" s="21"/>
      <c r="L28" s="24">
        <f>basic_info!$D$5-1</f>
        <v>2021</v>
      </c>
      <c r="N28" s="24">
        <f>basic_info!$D$5</f>
        <v>2022</v>
      </c>
      <c r="P28" s="20"/>
      <c r="Q28" s="20"/>
      <c r="R28" s="20"/>
      <c r="S28" s="20"/>
      <c r="T28" s="20"/>
      <c r="U28" s="20"/>
      <c r="V28" s="20"/>
      <c r="W28" s="20"/>
      <c r="X28" s="20"/>
      <c r="Y28" s="20"/>
      <c r="Z28" s="20"/>
      <c r="AA28" s="20"/>
      <c r="AB28" s="20"/>
      <c r="AC28" s="20"/>
      <c r="AD28" s="20"/>
      <c r="AE28" s="20"/>
      <c r="AF28" s="20"/>
      <c r="AG28" s="20"/>
    </row>
    <row r="29" spans="2:33" x14ac:dyDescent="0.25">
      <c r="B29" s="6" t="s">
        <v>29</v>
      </c>
      <c r="C29" s="6" t="s">
        <v>30</v>
      </c>
      <c r="D29" s="25" t="s">
        <v>31</v>
      </c>
      <c r="E29" s="8" t="s">
        <v>32</v>
      </c>
      <c r="F29" s="25" t="s">
        <v>31</v>
      </c>
      <c r="G29" s="8" t="s">
        <v>32</v>
      </c>
      <c r="H29" s="25" t="s">
        <v>31</v>
      </c>
      <c r="I29" s="8" t="s">
        <v>32</v>
      </c>
      <c r="J29" s="25" t="s">
        <v>31</v>
      </c>
      <c r="K29" s="8" t="s">
        <v>32</v>
      </c>
      <c r="L29" s="25" t="s">
        <v>31</v>
      </c>
      <c r="M29" s="8" t="s">
        <v>32</v>
      </c>
      <c r="N29" s="25" t="s">
        <v>31</v>
      </c>
      <c r="O29" s="8" t="s">
        <v>32</v>
      </c>
      <c r="P29" s="6" t="s">
        <v>33</v>
      </c>
      <c r="Q29" s="20"/>
      <c r="R29" s="20"/>
      <c r="S29" s="20"/>
      <c r="T29" s="20"/>
      <c r="U29" s="20"/>
      <c r="V29" s="20"/>
      <c r="W29" s="20"/>
      <c r="X29" s="20"/>
      <c r="Y29" s="20"/>
      <c r="Z29" s="20"/>
      <c r="AA29" s="20"/>
      <c r="AB29" s="20"/>
      <c r="AC29" s="20"/>
      <c r="AD29" s="20"/>
      <c r="AE29" s="20"/>
      <c r="AF29" s="20"/>
      <c r="AG29" s="20"/>
    </row>
    <row r="30" spans="2:33" x14ac:dyDescent="0.25">
      <c r="B30" s="17" t="s">
        <v>34</v>
      </c>
      <c r="C30" s="9">
        <f>basic_info!D$5</f>
        <v>2022</v>
      </c>
      <c r="D30" s="40">
        <v>0.77235281866490846</v>
      </c>
      <c r="E30" s="32">
        <v>1061.0689556887801</v>
      </c>
      <c r="F30" s="34">
        <v>0</v>
      </c>
      <c r="G30" s="35">
        <v>0</v>
      </c>
      <c r="H30" s="34">
        <v>0</v>
      </c>
      <c r="I30" s="35">
        <v>0</v>
      </c>
      <c r="J30" s="34">
        <v>0</v>
      </c>
      <c r="K30" s="35">
        <v>0</v>
      </c>
      <c r="L30" s="34">
        <v>0</v>
      </c>
      <c r="M30" s="35">
        <v>0</v>
      </c>
      <c r="N30" s="26"/>
      <c r="O30" s="27" t="s">
        <v>35</v>
      </c>
      <c r="P30" s="17">
        <f>M30+K30+I30+E30+G30</f>
        <v>1061.0689556887801</v>
      </c>
      <c r="Q30" s="28"/>
    </row>
    <row r="31" spans="2:33" x14ac:dyDescent="0.25">
      <c r="B31" s="9"/>
      <c r="C31" s="9">
        <f>basic_info!D$5+1</f>
        <v>2023</v>
      </c>
      <c r="D31" s="29"/>
      <c r="E31" s="30"/>
      <c r="F31" s="34">
        <v>0</v>
      </c>
      <c r="G31" s="35">
        <v>0</v>
      </c>
      <c r="H31" s="34">
        <v>0</v>
      </c>
      <c r="I31" s="35">
        <v>0</v>
      </c>
      <c r="J31" s="34">
        <v>0</v>
      </c>
      <c r="K31" s="35">
        <v>0</v>
      </c>
      <c r="L31" s="34">
        <v>0</v>
      </c>
      <c r="M31" s="35">
        <v>0</v>
      </c>
      <c r="N31" s="34">
        <v>0</v>
      </c>
      <c r="O31" s="35">
        <v>0</v>
      </c>
      <c r="P31" s="34">
        <f>O31+M31+K31+I31+G31</f>
        <v>0</v>
      </c>
    </row>
    <row r="32" spans="2:33" x14ac:dyDescent="0.25">
      <c r="B32" s="9"/>
      <c r="C32" s="9">
        <f>basic_info!D$5+2</f>
        <v>2024</v>
      </c>
      <c r="D32" s="29"/>
      <c r="E32" s="30"/>
      <c r="F32" s="30"/>
      <c r="G32" s="30"/>
      <c r="H32" s="40">
        <v>0</v>
      </c>
      <c r="I32" s="35">
        <v>0</v>
      </c>
      <c r="J32" s="34">
        <v>0</v>
      </c>
      <c r="K32" s="35">
        <v>0</v>
      </c>
      <c r="L32" s="34">
        <v>0</v>
      </c>
      <c r="M32" s="35">
        <v>0</v>
      </c>
      <c r="N32" s="34">
        <v>0</v>
      </c>
      <c r="O32" s="35">
        <v>0</v>
      </c>
      <c r="P32" s="34">
        <f>O32+M32+K32+I32</f>
        <v>0</v>
      </c>
    </row>
    <row r="33" spans="2:17" x14ac:dyDescent="0.25">
      <c r="B33" s="9"/>
      <c r="C33" s="9">
        <f>basic_info!D$5+3</f>
        <v>2025</v>
      </c>
      <c r="D33" s="29"/>
      <c r="E33" s="30"/>
      <c r="F33" s="30"/>
      <c r="G33" s="30"/>
      <c r="H33" s="30"/>
      <c r="I33" s="30"/>
      <c r="J33" s="40">
        <v>0</v>
      </c>
      <c r="K33" s="35">
        <v>0</v>
      </c>
      <c r="L33" s="34">
        <v>0</v>
      </c>
      <c r="M33" s="35">
        <v>0</v>
      </c>
      <c r="N33" s="34">
        <v>0</v>
      </c>
      <c r="O33" s="35">
        <v>0</v>
      </c>
      <c r="P33" s="34">
        <f>O33+M33+K33</f>
        <v>0</v>
      </c>
    </row>
    <row r="34" spans="2:17" x14ac:dyDescent="0.25">
      <c r="B34" s="9"/>
      <c r="C34" s="9">
        <f>basic_info!D$5+4</f>
        <v>2026</v>
      </c>
      <c r="D34" s="29"/>
      <c r="E34" s="30"/>
      <c r="F34" s="30"/>
      <c r="G34" s="30"/>
      <c r="H34" s="30"/>
      <c r="I34" s="30"/>
      <c r="J34" s="30"/>
      <c r="K34" s="30"/>
      <c r="L34" s="40">
        <v>0</v>
      </c>
      <c r="M34" s="35">
        <v>0</v>
      </c>
      <c r="N34" s="34">
        <v>0</v>
      </c>
      <c r="O34" s="35">
        <v>0</v>
      </c>
      <c r="P34" s="34">
        <f>O34+M34</f>
        <v>0</v>
      </c>
    </row>
    <row r="35" spans="2:17" x14ac:dyDescent="0.25">
      <c r="B35" s="12"/>
      <c r="C35" s="9">
        <f>basic_info!D$5+5</f>
        <v>2027</v>
      </c>
      <c r="D35" s="36"/>
      <c r="E35" s="37"/>
      <c r="F35" s="37"/>
      <c r="G35" s="37"/>
      <c r="H35" s="37"/>
      <c r="I35" s="37"/>
      <c r="J35" s="37"/>
      <c r="K35" s="37"/>
      <c r="L35" s="38"/>
      <c r="M35" s="39"/>
      <c r="N35" s="40">
        <v>0</v>
      </c>
      <c r="O35" s="35">
        <v>0</v>
      </c>
      <c r="P35" s="41">
        <f>O35</f>
        <v>0</v>
      </c>
    </row>
    <row r="36" spans="2:17" x14ac:dyDescent="0.25">
      <c r="B36" s="17" t="s">
        <v>36</v>
      </c>
      <c r="C36" s="9">
        <f>basic_info!D$5</f>
        <v>2022</v>
      </c>
      <c r="D36" s="31">
        <v>0.91683839964866642</v>
      </c>
      <c r="E36" s="32">
        <v>1174.49255197912</v>
      </c>
      <c r="F36" s="33">
        <v>0</v>
      </c>
      <c r="G36" s="35">
        <v>0</v>
      </c>
      <c r="H36" s="33">
        <v>0</v>
      </c>
      <c r="I36" s="35">
        <v>0</v>
      </c>
      <c r="J36" s="33">
        <v>0</v>
      </c>
      <c r="K36" s="35">
        <v>0</v>
      </c>
      <c r="L36" s="33">
        <v>0</v>
      </c>
      <c r="M36" s="35">
        <v>0</v>
      </c>
      <c r="N36" s="42"/>
      <c r="O36" s="27" t="s">
        <v>35</v>
      </c>
      <c r="P36" s="17">
        <f>M36+K36+I36+E36+G36</f>
        <v>1174.49255197912</v>
      </c>
      <c r="Q36" s="28"/>
    </row>
    <row r="37" spans="2:17" x14ac:dyDescent="0.25">
      <c r="B37" s="9"/>
      <c r="C37" s="9">
        <f>basic_info!D$5+1</f>
        <v>2023</v>
      </c>
      <c r="D37" s="29"/>
      <c r="E37" s="30"/>
      <c r="F37" s="33">
        <v>0</v>
      </c>
      <c r="G37" s="35">
        <v>0</v>
      </c>
      <c r="H37" s="33">
        <v>0</v>
      </c>
      <c r="I37" s="35">
        <v>0</v>
      </c>
      <c r="J37" s="33">
        <v>0</v>
      </c>
      <c r="K37" s="35">
        <v>0</v>
      </c>
      <c r="L37" s="33">
        <v>0</v>
      </c>
      <c r="M37" s="35">
        <v>0</v>
      </c>
      <c r="N37" s="33">
        <v>0</v>
      </c>
      <c r="O37" s="35">
        <v>0</v>
      </c>
      <c r="P37" s="34">
        <f>O37+M37+K37+I37+G37</f>
        <v>0</v>
      </c>
    </row>
    <row r="38" spans="2:17" x14ac:dyDescent="0.25">
      <c r="B38" s="9"/>
      <c r="C38" s="9">
        <f>basic_info!D$5+2</f>
        <v>2024</v>
      </c>
      <c r="D38" s="29"/>
      <c r="E38" s="30"/>
      <c r="F38" s="30"/>
      <c r="G38" s="30"/>
      <c r="H38" s="33">
        <v>0</v>
      </c>
      <c r="I38" s="35">
        <v>0</v>
      </c>
      <c r="J38" s="33">
        <v>0</v>
      </c>
      <c r="K38" s="35">
        <v>0</v>
      </c>
      <c r="L38" s="33">
        <v>0</v>
      </c>
      <c r="M38" s="35">
        <v>0</v>
      </c>
      <c r="N38" s="33">
        <v>0</v>
      </c>
      <c r="O38" s="35">
        <v>0</v>
      </c>
      <c r="P38" s="34">
        <f>O38+M38+K38+I38</f>
        <v>0</v>
      </c>
    </row>
    <row r="39" spans="2:17" x14ac:dyDescent="0.25">
      <c r="B39" s="9"/>
      <c r="C39" s="9">
        <f>basic_info!D$5+3</f>
        <v>2025</v>
      </c>
      <c r="D39" s="29"/>
      <c r="E39" s="30"/>
      <c r="F39" s="30"/>
      <c r="G39" s="30"/>
      <c r="H39" s="30"/>
      <c r="I39" s="30"/>
      <c r="J39" s="31">
        <v>0</v>
      </c>
      <c r="K39" s="35">
        <v>0</v>
      </c>
      <c r="L39" s="33">
        <v>0</v>
      </c>
      <c r="M39" s="35">
        <v>0</v>
      </c>
      <c r="N39" s="33">
        <v>0</v>
      </c>
      <c r="O39" s="35">
        <v>0</v>
      </c>
      <c r="P39" s="34">
        <f>O39+M39+K39</f>
        <v>0</v>
      </c>
    </row>
    <row r="40" spans="2:17" x14ac:dyDescent="0.25">
      <c r="B40" s="9"/>
      <c r="C40" s="9">
        <f>basic_info!D$5+4</f>
        <v>2026</v>
      </c>
      <c r="D40" s="29"/>
      <c r="E40" s="30"/>
      <c r="F40" s="30"/>
      <c r="G40" s="30"/>
      <c r="H40" s="30"/>
      <c r="I40" s="30"/>
      <c r="J40" s="30"/>
      <c r="K40" s="30"/>
      <c r="L40" s="31">
        <v>0</v>
      </c>
      <c r="M40" s="35">
        <v>0</v>
      </c>
      <c r="N40" s="33">
        <v>0</v>
      </c>
      <c r="O40" s="35">
        <v>0</v>
      </c>
      <c r="P40" s="34">
        <f>O40+M40</f>
        <v>0</v>
      </c>
    </row>
    <row r="41" spans="2:17" x14ac:dyDescent="0.25">
      <c r="B41" s="12"/>
      <c r="C41" s="9">
        <f>basic_info!D$5+5</f>
        <v>2027</v>
      </c>
      <c r="D41" s="36"/>
      <c r="E41" s="37"/>
      <c r="F41" s="37"/>
      <c r="G41" s="37"/>
      <c r="H41" s="37"/>
      <c r="I41" s="37"/>
      <c r="J41" s="37"/>
      <c r="K41" s="37"/>
      <c r="L41" s="38"/>
      <c r="M41" s="39"/>
      <c r="N41" s="31">
        <v>0</v>
      </c>
      <c r="O41" s="35">
        <v>0</v>
      </c>
      <c r="P41" s="40">
        <f>O41</f>
        <v>0</v>
      </c>
    </row>
    <row r="42" spans="2:17" x14ac:dyDescent="0.25">
      <c r="B42" s="5"/>
      <c r="C42" s="5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20"/>
    </row>
    <row r="44" spans="2:17" x14ac:dyDescent="0.25">
      <c r="B44" s="3" t="s">
        <v>37</v>
      </c>
    </row>
    <row r="45" spans="2:17" x14ac:dyDescent="0.25">
      <c r="B45" s="4"/>
      <c r="C45" s="5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</row>
    <row r="46" spans="2:17" x14ac:dyDescent="0.25">
      <c r="B46" s="6" t="s">
        <v>38</v>
      </c>
      <c r="C46" s="7" t="s">
        <v>3</v>
      </c>
      <c r="D46" s="7" t="s">
        <v>4</v>
      </c>
      <c r="E46" s="7" t="s">
        <v>5</v>
      </c>
      <c r="F46" s="7" t="s">
        <v>6</v>
      </c>
      <c r="G46" s="7" t="s">
        <v>7</v>
      </c>
      <c r="H46" s="7" t="s">
        <v>8</v>
      </c>
      <c r="I46" s="7" t="s">
        <v>9</v>
      </c>
      <c r="J46" s="7" t="s">
        <v>10</v>
      </c>
      <c r="K46" s="7" t="s">
        <v>11</v>
      </c>
      <c r="L46" s="7" t="s">
        <v>12</v>
      </c>
      <c r="M46" s="7" t="s">
        <v>13</v>
      </c>
      <c r="N46" s="8" t="s">
        <v>14</v>
      </c>
      <c r="O46" s="6" t="s">
        <v>33</v>
      </c>
    </row>
    <row r="47" spans="2:17" x14ac:dyDescent="0.25">
      <c r="B47" s="17" t="s">
        <v>34</v>
      </c>
      <c r="C47" s="43">
        <v>8.3333329999999997</v>
      </c>
      <c r="D47" s="43">
        <v>8.3333329999999997</v>
      </c>
      <c r="E47" s="43">
        <v>8.3333329999999997</v>
      </c>
      <c r="F47" s="43">
        <v>8.3333329999999997</v>
      </c>
      <c r="G47" s="43">
        <v>8.3333329999999997</v>
      </c>
      <c r="H47" s="43">
        <v>8.3333329999999997</v>
      </c>
      <c r="I47" s="43">
        <v>8.3333329999999997</v>
      </c>
      <c r="J47" s="43">
        <v>8.3333329999999997</v>
      </c>
      <c r="K47" s="43">
        <v>8.3333329999999997</v>
      </c>
      <c r="L47" s="43">
        <v>8.3333329999999997</v>
      </c>
      <c r="M47" s="43">
        <v>8.3333329999999997</v>
      </c>
      <c r="N47" s="43">
        <v>8.3333329999999997</v>
      </c>
      <c r="O47" s="6">
        <f>SUM(C47:N47)</f>
        <v>99.999995999999967</v>
      </c>
    </row>
    <row r="48" spans="2:17" x14ac:dyDescent="0.25">
      <c r="B48" s="12" t="s">
        <v>36</v>
      </c>
      <c r="C48" s="43">
        <v>8.3333329999999997</v>
      </c>
      <c r="D48" s="43">
        <v>8.3333329999999997</v>
      </c>
      <c r="E48" s="43">
        <v>8.3333329999999997</v>
      </c>
      <c r="F48" s="43">
        <v>8.3333329999999997</v>
      </c>
      <c r="G48" s="43">
        <v>8.3333329999999997</v>
      </c>
      <c r="H48" s="43">
        <v>8.3333329999999997</v>
      </c>
      <c r="I48" s="43">
        <v>8.3333329999999997</v>
      </c>
      <c r="J48" s="43">
        <v>8.3333329999999997</v>
      </c>
      <c r="K48" s="43">
        <v>8.3333329999999997</v>
      </c>
      <c r="L48" s="43">
        <v>8.3333329999999997</v>
      </c>
      <c r="M48" s="43">
        <v>8.3333329999999997</v>
      </c>
      <c r="N48" s="43">
        <v>8.3333329999999997</v>
      </c>
      <c r="O48" s="6">
        <f>SUM(C48:N48)</f>
        <v>99.999995999999967</v>
      </c>
    </row>
    <row r="49" spans="2:15" x14ac:dyDescent="0.25">
      <c r="B49" s="5"/>
      <c r="C49" s="5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</row>
  </sheetData>
  <dataValidations count="8">
    <dataValidation type="decimal" allowBlank="1" showInputMessage="1" showErrorMessage="1" errorTitle="Error" error="You must enter a number between 0 and 100 (inclusive)" promptTitle="Percentage" prompt="Enter a number between 0 and 100 (inclusive)" sqref="C47:N48">
      <formula1>0</formula1>
      <formula2>100</formula2>
    </dataValidation>
    <dataValidation type="decimal" operator="greaterThanOrEqual" allowBlank="1" showInputMessage="1" showErrorMessage="1" errorTitle="Error" error="This error occurred because a non-positive number was entered" promptTitle="Futures" prompt="Enter amount of FCOJ futures to purchase" sqref="O37:O41 M36:M40 K36:K39 I36:I38 G36:G37">
      <formula1>0</formula1>
    </dataValidation>
    <dataValidation type="decimal" operator="greaterThanOrEqual" allowBlank="1" showInputMessage="1" showErrorMessage="1" errorTitle="Error" error="This error occurred because a non-positive number was entered" promptTitle="Futures" prompt="Enter amount of ORA futures to purchase" sqref="O31:O35 M30:M34 K30:K33 I30:I32 G30:G31">
      <formula1>0</formula1>
    </dataValidation>
    <dataValidation type="decimal" operator="greaterThanOrEqual" allowBlank="1" showInputMessage="1" showErrorMessage="1" errorTitle="Error" error="This error occurred because a non-positive number was entered" promptTitle="Prices" prompt="Enter prices (Note Unit: $/lb)" sqref="D17:D22 F17:F22 H17:H22">
      <formula1>0</formula1>
    </dataValidation>
    <dataValidation type="decimal" operator="greaterThanOrEqual" allowBlank="1" showInputMessage="1" showErrorMessage="1" errorTitle="Error" error="This error occurred because a non-positive number was entered" promptTitle="Quantity Multipliers" prompt="Enter quantity multiplier when price 2 &lt; real price &lt;= price 3 (Note: quantity multiplier = 0 if real price &gt; price 3)" sqref="G17:G22">
      <formula1>0</formula1>
    </dataValidation>
    <dataValidation type="decimal" operator="greaterThanOrEqual" allowBlank="1" showInputMessage="1" showErrorMessage="1" errorTitle="Error" error="This error occurred because a non-positive number was entered" promptTitle="Quantity Multipliers" prompt="Enter quantity multiplier when price 1 &lt; real price &lt;= price 2" sqref="E17:E22">
      <formula1>0</formula1>
    </dataValidation>
    <dataValidation type="decimal" operator="greaterThanOrEqual" allowBlank="1" showInputMessage="1" showErrorMessage="1" errorTitle="Error" error="This error occurred because a non-positive number was entered" promptTitle="Quantity Multipliers" prompt="Enter quantity multiplier when 0 &lt; real price &lt;= price 1" sqref="C17:C22">
      <formula1>0</formula1>
    </dataValidation>
    <dataValidation type="decimal" operator="greaterThanOrEqual" allowBlank="1" showInputMessage="1" showErrorMessage="1" errorTitle="Error" error="This error occurred because a non-positive number was entered" promptTitle="Purchases" prompt="Enter amount of fresh oranges (ORA) to purchase" sqref="C6:N11">
      <formula1>0</formula1>
    </dataValidation>
  </dataValidations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2:X65"/>
  <sheetViews>
    <sheetView workbookViewId="0">
      <selection sqref="A1:XFD1048576"/>
    </sheetView>
  </sheetViews>
  <sheetFormatPr defaultColWidth="8.875" defaultRowHeight="15.75" x14ac:dyDescent="0.25"/>
  <cols>
    <col min="1" max="1" width="4.625" style="2" customWidth="1"/>
    <col min="2" max="2" width="17.375" style="2" customWidth="1"/>
    <col min="3" max="16384" width="8.875" style="2"/>
  </cols>
  <sheetData>
    <row r="2" spans="2:18" x14ac:dyDescent="0.25">
      <c r="B2" s="1" t="s">
        <v>138</v>
      </c>
    </row>
    <row r="3" spans="2:18" x14ac:dyDescent="0.25">
      <c r="B3" s="3" t="s">
        <v>139</v>
      </c>
    </row>
    <row r="4" spans="2:18" x14ac:dyDescent="0.25">
      <c r="B4" s="75"/>
      <c r="C4" s="75"/>
      <c r="D4" s="75"/>
      <c r="E4" s="75"/>
      <c r="F4" s="75"/>
      <c r="G4" s="75"/>
      <c r="H4" s="75"/>
      <c r="I4" s="75"/>
      <c r="J4" s="21"/>
      <c r="K4" s="21"/>
      <c r="L4" s="21"/>
      <c r="M4" s="21"/>
      <c r="N4" s="21"/>
      <c r="O4" s="21"/>
    </row>
    <row r="5" spans="2:18" x14ac:dyDescent="0.25">
      <c r="B5" s="24" t="s">
        <v>140</v>
      </c>
      <c r="C5" s="24" t="s">
        <v>49</v>
      </c>
      <c r="D5" s="24" t="s">
        <v>55</v>
      </c>
      <c r="E5" s="24" t="s">
        <v>57</v>
      </c>
      <c r="F5" s="24" t="s">
        <v>69</v>
      </c>
      <c r="G5" s="24" t="s">
        <v>93</v>
      </c>
      <c r="H5" s="24" t="s">
        <v>106</v>
      </c>
      <c r="I5" s="24" t="s">
        <v>33</v>
      </c>
      <c r="J5" s="20"/>
      <c r="K5" s="20"/>
      <c r="L5" s="20"/>
      <c r="M5" s="20"/>
      <c r="N5" s="20"/>
      <c r="O5" s="20"/>
      <c r="P5" s="20"/>
      <c r="Q5" s="20"/>
      <c r="R5" s="20"/>
    </row>
    <row r="6" spans="2:18" x14ac:dyDescent="0.25">
      <c r="B6" s="24" t="s">
        <v>141</v>
      </c>
      <c r="C6" s="76">
        <v>0</v>
      </c>
      <c r="D6" s="76">
        <v>0</v>
      </c>
      <c r="E6" s="76">
        <v>61.617067175016146</v>
      </c>
      <c r="F6" s="76">
        <v>0</v>
      </c>
      <c r="G6" s="76">
        <v>0</v>
      </c>
      <c r="H6" s="76">
        <v>38.382932824983861</v>
      </c>
      <c r="I6" s="77">
        <f>SUM($C$6:$H$6)</f>
        <v>100</v>
      </c>
      <c r="J6" s="21"/>
      <c r="K6" s="21"/>
      <c r="L6" s="21"/>
      <c r="M6" s="21"/>
      <c r="N6" s="21"/>
      <c r="O6" s="21"/>
      <c r="P6" s="20"/>
      <c r="Q6" s="20"/>
      <c r="R6" s="20"/>
    </row>
    <row r="7" spans="2:18" x14ac:dyDescent="0.25">
      <c r="B7" s="24" t="s">
        <v>16</v>
      </c>
      <c r="C7" s="76">
        <v>0</v>
      </c>
      <c r="D7" s="76">
        <v>0</v>
      </c>
      <c r="E7" s="76">
        <v>100</v>
      </c>
      <c r="F7" s="76">
        <v>0</v>
      </c>
      <c r="G7" s="76">
        <v>0</v>
      </c>
      <c r="H7" s="76">
        <v>0</v>
      </c>
      <c r="I7" s="77">
        <f>SUM($C$7:$H$7)</f>
        <v>100</v>
      </c>
      <c r="J7" s="21"/>
      <c r="K7" s="21"/>
      <c r="L7" s="21"/>
      <c r="M7" s="21"/>
      <c r="N7" s="21"/>
      <c r="O7" s="21"/>
      <c r="P7" s="20"/>
      <c r="Q7" s="20"/>
      <c r="R7" s="20"/>
    </row>
    <row r="8" spans="2:18" x14ac:dyDescent="0.25">
      <c r="B8" s="24" t="s">
        <v>17</v>
      </c>
      <c r="C8" s="76">
        <v>0</v>
      </c>
      <c r="D8" s="76">
        <v>0</v>
      </c>
      <c r="E8" s="76">
        <v>1.3280259012988178</v>
      </c>
      <c r="F8" s="76">
        <v>98.67197409870117</v>
      </c>
      <c r="G8" s="76">
        <v>0</v>
      </c>
      <c r="H8" s="76">
        <v>0</v>
      </c>
      <c r="I8" s="77">
        <f>SUM($C$8:$H$8)</f>
        <v>99.999999999999986</v>
      </c>
      <c r="J8" s="21"/>
      <c r="K8" s="21"/>
      <c r="L8" s="21"/>
      <c r="M8" s="21"/>
      <c r="N8" s="21"/>
      <c r="O8" s="21"/>
      <c r="P8" s="20"/>
      <c r="Q8" s="20"/>
      <c r="R8" s="20"/>
    </row>
    <row r="9" spans="2:18" x14ac:dyDescent="0.25">
      <c r="B9" s="24" t="s">
        <v>18</v>
      </c>
      <c r="C9" s="76">
        <v>0</v>
      </c>
      <c r="D9" s="76">
        <v>66.411098994516351</v>
      </c>
      <c r="E9" s="76">
        <v>0</v>
      </c>
      <c r="F9" s="76">
        <v>0</v>
      </c>
      <c r="G9" s="76">
        <v>33.588899315048579</v>
      </c>
      <c r="H9" s="76">
        <v>0</v>
      </c>
      <c r="I9" s="77">
        <f>SUM($C$9:$H$9)</f>
        <v>99.99999830956493</v>
      </c>
      <c r="J9" s="21"/>
      <c r="K9" s="21"/>
      <c r="L9" s="21"/>
      <c r="M9" s="21"/>
      <c r="N9" s="21"/>
      <c r="O9" s="21"/>
      <c r="P9" s="20"/>
      <c r="Q9" s="20"/>
      <c r="R9" s="20"/>
    </row>
    <row r="10" spans="2:18" x14ac:dyDescent="0.25">
      <c r="B10" s="24" t="s">
        <v>19</v>
      </c>
      <c r="C10" s="76">
        <v>0</v>
      </c>
      <c r="D10" s="76">
        <v>0</v>
      </c>
      <c r="E10" s="76">
        <v>100</v>
      </c>
      <c r="F10" s="76">
        <v>0</v>
      </c>
      <c r="G10" s="76">
        <v>0</v>
      </c>
      <c r="H10" s="76">
        <v>0</v>
      </c>
      <c r="I10" s="77">
        <f>SUM($C$10:$H$10)</f>
        <v>100</v>
      </c>
      <c r="J10" s="21"/>
      <c r="K10" s="21"/>
      <c r="L10" s="21"/>
      <c r="M10" s="21"/>
      <c r="N10" s="21"/>
      <c r="O10" s="21"/>
      <c r="P10" s="20"/>
      <c r="Q10" s="20"/>
      <c r="R10" s="20"/>
    </row>
    <row r="11" spans="2:18" x14ac:dyDescent="0.25">
      <c r="B11" s="24" t="s">
        <v>20</v>
      </c>
      <c r="C11" s="78">
        <v>0</v>
      </c>
      <c r="D11" s="78">
        <v>0</v>
      </c>
      <c r="E11" s="78">
        <v>100</v>
      </c>
      <c r="F11" s="78">
        <v>0</v>
      </c>
      <c r="G11" s="78">
        <v>0</v>
      </c>
      <c r="H11" s="78">
        <v>0</v>
      </c>
      <c r="I11" s="79">
        <f>SUM($C$11:$H$11)</f>
        <v>100</v>
      </c>
      <c r="J11" s="21"/>
      <c r="K11" s="21"/>
      <c r="L11" s="21"/>
      <c r="M11" s="21"/>
      <c r="N11" s="21"/>
      <c r="O11" s="21"/>
      <c r="P11" s="20"/>
      <c r="Q11" s="20"/>
      <c r="R11" s="20"/>
    </row>
    <row r="12" spans="2:18" x14ac:dyDescent="0.25">
      <c r="B12" s="16"/>
      <c r="C12" s="16"/>
      <c r="D12" s="16"/>
      <c r="E12" s="16"/>
      <c r="F12" s="16"/>
      <c r="G12" s="16"/>
      <c r="H12" s="16"/>
      <c r="I12" s="16"/>
      <c r="J12" s="21"/>
      <c r="K12" s="21"/>
      <c r="L12" s="21"/>
      <c r="M12" s="21"/>
      <c r="N12" s="21"/>
      <c r="O12" s="21"/>
      <c r="P12" s="20"/>
      <c r="Q12" s="20"/>
      <c r="R12" s="20"/>
    </row>
    <row r="13" spans="2:18" x14ac:dyDescent="0.25">
      <c r="C13" s="21"/>
      <c r="D13" s="21"/>
      <c r="E13" s="21"/>
      <c r="F13" s="21"/>
      <c r="G13" s="21"/>
      <c r="H13" s="21"/>
      <c r="I13" s="20"/>
      <c r="J13" s="20"/>
      <c r="K13" s="20"/>
    </row>
    <row r="14" spans="2:18" x14ac:dyDescent="0.25">
      <c r="B14" s="80" t="s">
        <v>142</v>
      </c>
      <c r="C14" s="21"/>
      <c r="D14" s="21"/>
      <c r="E14" s="21"/>
      <c r="F14" s="21"/>
      <c r="G14" s="21"/>
      <c r="H14" s="21"/>
      <c r="I14" s="20"/>
      <c r="J14" s="20"/>
      <c r="K14" s="20"/>
    </row>
    <row r="15" spans="2:18" x14ac:dyDescent="0.25">
      <c r="B15" s="81" t="s">
        <v>143</v>
      </c>
      <c r="C15" s="20"/>
      <c r="D15" s="20"/>
      <c r="E15" s="20"/>
      <c r="F15" s="20"/>
      <c r="G15" s="20"/>
      <c r="H15" s="20"/>
      <c r="I15" s="20"/>
      <c r="J15" s="20"/>
      <c r="K15" s="20"/>
    </row>
    <row r="16" spans="2:18" x14ac:dyDescent="0.25">
      <c r="B16" s="4"/>
      <c r="C16" s="4"/>
      <c r="D16" s="4"/>
      <c r="E16" s="4"/>
      <c r="F16" s="4"/>
      <c r="G16" s="4"/>
      <c r="H16" s="4"/>
      <c r="I16" s="20"/>
      <c r="J16" s="20"/>
      <c r="K16" s="20"/>
      <c r="L16" s="20"/>
      <c r="O16" s="20"/>
      <c r="P16" s="20"/>
      <c r="Q16" s="20"/>
    </row>
    <row r="17" spans="2:18" x14ac:dyDescent="0.25">
      <c r="B17" s="24" t="s">
        <v>144</v>
      </c>
      <c r="C17" s="24" t="s">
        <v>49</v>
      </c>
      <c r="D17" s="24"/>
      <c r="E17" s="24" t="s">
        <v>55</v>
      </c>
      <c r="F17" s="24"/>
      <c r="G17" s="24" t="s">
        <v>57</v>
      </c>
      <c r="H17" s="24"/>
      <c r="I17" s="20"/>
      <c r="J17" s="20"/>
      <c r="K17" s="20"/>
      <c r="L17" s="20"/>
      <c r="O17" s="20"/>
      <c r="P17" s="20"/>
      <c r="Q17" s="20"/>
    </row>
    <row r="18" spans="2:18" x14ac:dyDescent="0.25">
      <c r="B18" s="24" t="s">
        <v>145</v>
      </c>
      <c r="C18" s="24" t="s">
        <v>146</v>
      </c>
      <c r="D18" s="24" t="s">
        <v>147</v>
      </c>
      <c r="E18" s="24" t="s">
        <v>146</v>
      </c>
      <c r="F18" s="24" t="s">
        <v>147</v>
      </c>
      <c r="G18" s="24" t="s">
        <v>146</v>
      </c>
      <c r="H18" s="24" t="s">
        <v>147</v>
      </c>
      <c r="I18" s="20"/>
      <c r="J18" s="20"/>
      <c r="K18" s="20"/>
      <c r="L18" s="20"/>
      <c r="M18" s="20"/>
      <c r="O18" s="20"/>
      <c r="P18" s="20"/>
      <c r="Q18" s="20"/>
    </row>
    <row r="19" spans="2:18" x14ac:dyDescent="0.25">
      <c r="B19" s="24" t="s">
        <v>148</v>
      </c>
      <c r="C19" s="78">
        <v>0</v>
      </c>
      <c r="D19" s="25">
        <f>100-$C$19</f>
        <v>100</v>
      </c>
      <c r="E19" s="78">
        <v>42.41</v>
      </c>
      <c r="F19" s="25">
        <f>100-$E$19</f>
        <v>57.59</v>
      </c>
      <c r="G19" s="78">
        <v>51.41</v>
      </c>
      <c r="H19" s="6">
        <f>100-$G$19</f>
        <v>48.59</v>
      </c>
      <c r="O19" s="20"/>
      <c r="P19" s="20"/>
      <c r="Q19" s="20"/>
    </row>
    <row r="20" spans="2:18" x14ac:dyDescent="0.25">
      <c r="B20" s="82"/>
      <c r="C20" s="82"/>
      <c r="D20" s="82"/>
      <c r="E20" s="82"/>
      <c r="F20" s="82"/>
      <c r="G20" s="82"/>
      <c r="H20" s="82"/>
      <c r="I20" s="20"/>
      <c r="J20" s="20"/>
      <c r="K20" s="20"/>
      <c r="L20" s="20"/>
      <c r="O20" s="20"/>
      <c r="P20" s="20"/>
      <c r="Q20" s="20"/>
    </row>
    <row r="21" spans="2:18" x14ac:dyDescent="0.25">
      <c r="I21" s="20"/>
      <c r="J21" s="20"/>
      <c r="K21" s="20"/>
    </row>
    <row r="22" spans="2:18" x14ac:dyDescent="0.25">
      <c r="B22" s="80" t="s">
        <v>138</v>
      </c>
      <c r="I22" s="20"/>
      <c r="J22" s="20"/>
      <c r="K22" s="20"/>
    </row>
    <row r="23" spans="2:18" x14ac:dyDescent="0.25">
      <c r="B23" s="83" t="s">
        <v>149</v>
      </c>
      <c r="I23" s="20"/>
      <c r="J23" s="20"/>
      <c r="K23" s="20"/>
    </row>
    <row r="24" spans="2:18" x14ac:dyDescent="0.25">
      <c r="B24" s="4"/>
      <c r="C24" s="4"/>
      <c r="D24" s="4"/>
      <c r="E24" s="4"/>
      <c r="F24" s="4"/>
      <c r="G24" s="4"/>
      <c r="H24" s="4"/>
      <c r="I24" s="4"/>
      <c r="P24" s="20"/>
      <c r="Q24" s="20"/>
      <c r="R24" s="20"/>
    </row>
    <row r="25" spans="2:18" x14ac:dyDescent="0.25">
      <c r="B25" s="24" t="s">
        <v>150</v>
      </c>
      <c r="C25" s="24" t="s">
        <v>151</v>
      </c>
      <c r="D25" s="24" t="s">
        <v>49</v>
      </c>
      <c r="E25" s="24"/>
      <c r="F25" s="24" t="s">
        <v>55</v>
      </c>
      <c r="G25" s="24"/>
      <c r="H25" s="24" t="s">
        <v>57</v>
      </c>
      <c r="I25" s="24"/>
      <c r="P25" s="20"/>
      <c r="Q25" s="20"/>
      <c r="R25" s="20"/>
    </row>
    <row r="26" spans="2:18" x14ac:dyDescent="0.25">
      <c r="B26" s="24" t="s">
        <v>145</v>
      </c>
      <c r="C26" s="24" t="s">
        <v>147</v>
      </c>
      <c r="D26" s="24" t="s">
        <v>146</v>
      </c>
      <c r="E26" s="24" t="s">
        <v>147</v>
      </c>
      <c r="F26" s="24" t="s">
        <v>146</v>
      </c>
      <c r="G26" s="24" t="s">
        <v>147</v>
      </c>
      <c r="H26" s="24" t="s">
        <v>146</v>
      </c>
      <c r="I26" s="24" t="s">
        <v>147</v>
      </c>
      <c r="P26" s="20"/>
      <c r="Q26" s="20"/>
      <c r="R26" s="20"/>
    </row>
    <row r="27" spans="2:18" x14ac:dyDescent="0.25">
      <c r="B27" s="24" t="s">
        <v>69</v>
      </c>
      <c r="C27" s="76">
        <v>0</v>
      </c>
      <c r="D27" s="76">
        <v>0</v>
      </c>
      <c r="E27" s="76">
        <v>0</v>
      </c>
      <c r="F27" s="76">
        <v>0</v>
      </c>
      <c r="G27" s="76">
        <v>0.21197611750920356</v>
      </c>
      <c r="H27" s="76">
        <v>23.473658877802158</v>
      </c>
      <c r="I27" s="84">
        <v>20.714539353967595</v>
      </c>
      <c r="P27" s="20"/>
      <c r="Q27" s="20"/>
      <c r="R27" s="20"/>
    </row>
    <row r="28" spans="2:18" x14ac:dyDescent="0.25">
      <c r="B28" s="24" t="s">
        <v>93</v>
      </c>
      <c r="C28" s="76">
        <v>0</v>
      </c>
      <c r="D28" s="76">
        <v>0</v>
      </c>
      <c r="E28" s="76">
        <v>0</v>
      </c>
      <c r="F28" s="76">
        <v>100</v>
      </c>
      <c r="G28" s="76">
        <v>99.788023882490791</v>
      </c>
      <c r="H28" s="76">
        <v>0</v>
      </c>
      <c r="I28" s="84">
        <v>0</v>
      </c>
      <c r="P28" s="20"/>
      <c r="Q28" s="20"/>
      <c r="R28" s="20"/>
    </row>
    <row r="29" spans="2:18" x14ac:dyDescent="0.25">
      <c r="B29" s="24" t="s">
        <v>106</v>
      </c>
      <c r="C29" s="76">
        <v>100</v>
      </c>
      <c r="D29" s="76">
        <v>0</v>
      </c>
      <c r="E29" s="76">
        <v>0</v>
      </c>
      <c r="F29" s="76">
        <v>0</v>
      </c>
      <c r="G29" s="76">
        <v>0</v>
      </c>
      <c r="H29" s="76">
        <v>76.52634111877795</v>
      </c>
      <c r="I29" s="84">
        <v>79.285459296001591</v>
      </c>
      <c r="P29" s="20"/>
      <c r="Q29" s="20"/>
      <c r="R29" s="20"/>
    </row>
    <row r="30" spans="2:18" x14ac:dyDescent="0.25">
      <c r="B30" s="24" t="s">
        <v>33</v>
      </c>
      <c r="C30" s="85">
        <f>SUM($C$27:$C$29)</f>
        <v>100</v>
      </c>
      <c r="D30" s="85">
        <f>SUM($D$27:$D$29)</f>
        <v>0</v>
      </c>
      <c r="E30" s="85">
        <f>SUM($E$27:$E$29)</f>
        <v>0</v>
      </c>
      <c r="F30" s="85">
        <f>SUM($F$27:$F$29)</f>
        <v>100</v>
      </c>
      <c r="G30" s="85">
        <f>SUM($G$27:$G$29)</f>
        <v>100</v>
      </c>
      <c r="H30" s="85">
        <f>SUM($H$27:$H$29)</f>
        <v>99.999999996580101</v>
      </c>
      <c r="I30" s="79">
        <f>SUM($I$27:$I$29)</f>
        <v>99.999998649969186</v>
      </c>
      <c r="P30" s="20"/>
      <c r="Q30" s="20"/>
      <c r="R30" s="20"/>
    </row>
    <row r="31" spans="2:18" x14ac:dyDescent="0.25">
      <c r="B31" s="82"/>
      <c r="C31" s="82"/>
      <c r="D31" s="82"/>
      <c r="E31" s="82"/>
      <c r="F31" s="82"/>
      <c r="G31" s="82"/>
      <c r="H31" s="82"/>
      <c r="I31" s="82"/>
      <c r="P31" s="20"/>
      <c r="Q31" s="20"/>
      <c r="R31" s="20"/>
    </row>
    <row r="32" spans="2:18" x14ac:dyDescent="0.25">
      <c r="I32" s="20"/>
      <c r="J32" s="20"/>
      <c r="K32" s="20"/>
    </row>
    <row r="33" spans="2:14" x14ac:dyDescent="0.25">
      <c r="B33" s="80" t="s">
        <v>152</v>
      </c>
      <c r="C33" s="20"/>
      <c r="D33" s="20"/>
      <c r="E33" s="20"/>
      <c r="F33" s="20"/>
      <c r="G33" s="20"/>
      <c r="H33" s="20"/>
      <c r="I33" s="20"/>
      <c r="J33" s="20"/>
      <c r="K33" s="20"/>
    </row>
    <row r="34" spans="2:14" x14ac:dyDescent="0.25">
      <c r="B34" s="81" t="s">
        <v>153</v>
      </c>
      <c r="C34" s="20"/>
      <c r="D34" s="20"/>
      <c r="E34" s="20"/>
      <c r="F34" s="20"/>
      <c r="G34" s="20"/>
      <c r="H34" s="20"/>
      <c r="I34" s="20"/>
      <c r="J34" s="20"/>
      <c r="K34" s="20"/>
    </row>
    <row r="35" spans="2:14" x14ac:dyDescent="0.25">
      <c r="B35" s="5"/>
      <c r="C35" s="5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</row>
    <row r="36" spans="2:14" x14ac:dyDescent="0.25">
      <c r="B36" s="24" t="s">
        <v>154</v>
      </c>
      <c r="C36" s="24" t="s">
        <v>3</v>
      </c>
      <c r="D36" s="24" t="s">
        <v>4</v>
      </c>
      <c r="E36" s="24" t="s">
        <v>5</v>
      </c>
      <c r="F36" s="24" t="s">
        <v>6</v>
      </c>
      <c r="G36" s="24" t="s">
        <v>7</v>
      </c>
      <c r="H36" s="24" t="s">
        <v>8</v>
      </c>
      <c r="I36" s="24" t="s">
        <v>9</v>
      </c>
      <c r="J36" s="24" t="s">
        <v>10</v>
      </c>
      <c r="K36" s="24" t="s">
        <v>11</v>
      </c>
      <c r="L36" s="24" t="s">
        <v>12</v>
      </c>
      <c r="M36" s="24" t="s">
        <v>13</v>
      </c>
      <c r="N36" s="24" t="s">
        <v>14</v>
      </c>
    </row>
    <row r="37" spans="2:14" x14ac:dyDescent="0.25">
      <c r="B37" s="24" t="s">
        <v>69</v>
      </c>
      <c r="C37" s="76">
        <v>26.000277050556484</v>
      </c>
      <c r="D37" s="76">
        <v>26.000277050556484</v>
      </c>
      <c r="E37" s="76">
        <v>26.000277050556484</v>
      </c>
      <c r="F37" s="76">
        <v>26.000277050556484</v>
      </c>
      <c r="G37" s="76">
        <v>26.000277050556484</v>
      </c>
      <c r="H37" s="76">
        <v>26.000277050556484</v>
      </c>
      <c r="I37" s="76">
        <v>26.000277050556484</v>
      </c>
      <c r="J37" s="76">
        <v>26.000277050556484</v>
      </c>
      <c r="K37" s="76">
        <v>26.000277050556484</v>
      </c>
      <c r="L37" s="76">
        <v>26.000277050556484</v>
      </c>
      <c r="M37" s="76">
        <v>26.000277050556484</v>
      </c>
      <c r="N37" s="76">
        <v>26.000277050556484</v>
      </c>
    </row>
    <row r="38" spans="2:14" x14ac:dyDescent="0.25">
      <c r="B38" s="24" t="s">
        <v>93</v>
      </c>
      <c r="C38" s="76">
        <v>32.159633133702023</v>
      </c>
      <c r="D38" s="76">
        <v>32.159633133702023</v>
      </c>
      <c r="E38" s="76">
        <v>32.159633133702023</v>
      </c>
      <c r="F38" s="76">
        <v>32.159633133702023</v>
      </c>
      <c r="G38" s="76">
        <v>32.159633133702023</v>
      </c>
      <c r="H38" s="76">
        <v>32.159633133702023</v>
      </c>
      <c r="I38" s="76">
        <v>32.159633133702023</v>
      </c>
      <c r="J38" s="76">
        <v>32.159633133702023</v>
      </c>
      <c r="K38" s="76">
        <v>32.159633133702023</v>
      </c>
      <c r="L38" s="76">
        <v>32.159633133702023</v>
      </c>
      <c r="M38" s="76">
        <v>32.159633133702023</v>
      </c>
      <c r="N38" s="76">
        <v>32.159633133702023</v>
      </c>
    </row>
    <row r="39" spans="2:14" x14ac:dyDescent="0.25">
      <c r="B39" s="24" t="s">
        <v>106</v>
      </c>
      <c r="C39" s="78">
        <v>37.67670338204011</v>
      </c>
      <c r="D39" s="78">
        <v>37.67670338204011</v>
      </c>
      <c r="E39" s="78">
        <v>37.67670338204011</v>
      </c>
      <c r="F39" s="78">
        <v>37.67670338204011</v>
      </c>
      <c r="G39" s="78">
        <v>37.67670338204011</v>
      </c>
      <c r="H39" s="78">
        <v>37.67670338204011</v>
      </c>
      <c r="I39" s="78">
        <v>37.67670338204011</v>
      </c>
      <c r="J39" s="78">
        <v>37.67670338204011</v>
      </c>
      <c r="K39" s="78">
        <v>37.67670338204011</v>
      </c>
      <c r="L39" s="78">
        <v>37.67670338204011</v>
      </c>
      <c r="M39" s="78">
        <v>37.67670338204011</v>
      </c>
      <c r="N39" s="78">
        <v>37.67670338204011</v>
      </c>
    </row>
    <row r="40" spans="2:14" x14ac:dyDescent="0.25">
      <c r="B40" s="5"/>
      <c r="C40" s="5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</row>
    <row r="41" spans="2:14" x14ac:dyDescent="0.25">
      <c r="I41" s="20"/>
      <c r="J41" s="20"/>
      <c r="K41" s="20"/>
    </row>
    <row r="42" spans="2:14" x14ac:dyDescent="0.25">
      <c r="B42" s="20"/>
      <c r="C42" s="20"/>
      <c r="D42" s="20"/>
      <c r="E42" s="20"/>
      <c r="F42" s="20"/>
      <c r="G42" s="20"/>
      <c r="H42" s="20"/>
      <c r="I42" s="20"/>
      <c r="J42" s="20"/>
      <c r="K42" s="20"/>
      <c r="L42" s="20"/>
      <c r="M42" s="20"/>
      <c r="N42" s="20"/>
    </row>
    <row r="43" spans="2:14" x14ac:dyDescent="0.25">
      <c r="B43" s="20"/>
      <c r="C43" s="20"/>
      <c r="D43" s="20"/>
      <c r="E43" s="20"/>
      <c r="F43" s="20"/>
      <c r="G43" s="20"/>
      <c r="H43" s="20"/>
      <c r="I43" s="20"/>
      <c r="J43" s="20"/>
      <c r="K43" s="20"/>
      <c r="L43" s="20"/>
      <c r="M43" s="20"/>
      <c r="N43" s="20"/>
    </row>
    <row r="44" spans="2:14" x14ac:dyDescent="0.25">
      <c r="B44" s="20"/>
      <c r="C44" s="20"/>
      <c r="D44" s="20"/>
      <c r="E44" s="20"/>
      <c r="F44" s="20"/>
      <c r="G44" s="20"/>
      <c r="H44" s="20"/>
      <c r="I44" s="20"/>
      <c r="J44" s="20"/>
      <c r="K44" s="20"/>
      <c r="L44" s="20"/>
      <c r="M44" s="20"/>
      <c r="N44" s="20"/>
    </row>
    <row r="45" spans="2:14" x14ac:dyDescent="0.25">
      <c r="B45" s="86"/>
      <c r="C45" s="20"/>
      <c r="D45" s="20"/>
      <c r="E45" s="20"/>
      <c r="F45" s="20"/>
      <c r="G45" s="20"/>
      <c r="H45" s="20"/>
      <c r="I45" s="20"/>
      <c r="J45" s="20"/>
      <c r="K45" s="20"/>
      <c r="L45" s="20"/>
      <c r="M45" s="20"/>
      <c r="N45" s="20"/>
    </row>
    <row r="46" spans="2:14" x14ac:dyDescent="0.25">
      <c r="B46" s="20"/>
      <c r="C46" s="20"/>
      <c r="D46" s="20"/>
      <c r="E46" s="20"/>
      <c r="F46" s="20"/>
      <c r="G46" s="20"/>
      <c r="H46" s="20"/>
      <c r="I46" s="20"/>
      <c r="J46" s="20"/>
      <c r="K46" s="20"/>
      <c r="L46" s="20"/>
      <c r="M46" s="20"/>
      <c r="N46" s="20"/>
    </row>
    <row r="47" spans="2:14" x14ac:dyDescent="0.25">
      <c r="B47" s="20"/>
      <c r="C47" s="20"/>
      <c r="D47" s="20"/>
      <c r="E47" s="20"/>
      <c r="F47" s="20"/>
      <c r="G47" s="20"/>
      <c r="H47" s="20"/>
      <c r="I47" s="20"/>
      <c r="J47" s="20"/>
      <c r="K47" s="20"/>
      <c r="L47" s="20"/>
      <c r="M47" s="20"/>
      <c r="N47" s="20"/>
    </row>
    <row r="48" spans="2:14" x14ac:dyDescent="0.25">
      <c r="B48" s="20"/>
      <c r="C48" s="20"/>
      <c r="D48" s="20"/>
      <c r="E48" s="20"/>
      <c r="F48" s="20"/>
      <c r="G48" s="20"/>
      <c r="H48" s="20"/>
      <c r="I48" s="20"/>
      <c r="J48" s="20"/>
      <c r="K48" s="20"/>
      <c r="L48" s="20"/>
      <c r="M48" s="20"/>
      <c r="N48" s="20"/>
    </row>
    <row r="49" spans="2:24" x14ac:dyDescent="0.25">
      <c r="B49" s="20"/>
      <c r="C49" s="20"/>
      <c r="D49" s="20"/>
      <c r="E49" s="20"/>
      <c r="F49" s="20"/>
      <c r="G49" s="20"/>
      <c r="H49" s="20"/>
      <c r="I49" s="20"/>
      <c r="J49" s="20"/>
      <c r="K49" s="20"/>
      <c r="L49" s="20"/>
      <c r="M49" s="20"/>
      <c r="N49" s="20"/>
    </row>
    <row r="51" spans="2:24" x14ac:dyDescent="0.25">
      <c r="P51" s="20"/>
      <c r="Q51" s="20"/>
      <c r="R51" s="20"/>
      <c r="S51" s="20"/>
      <c r="T51" s="20"/>
      <c r="U51" s="20"/>
      <c r="V51" s="20"/>
      <c r="W51" s="20"/>
      <c r="X51" s="20"/>
    </row>
    <row r="63" spans="2:24" x14ac:dyDescent="0.25">
      <c r="I63" s="20"/>
      <c r="J63" s="20"/>
    </row>
    <row r="64" spans="2:24" x14ac:dyDescent="0.25">
      <c r="I64" s="20"/>
      <c r="J64" s="20"/>
    </row>
    <row r="65" spans="9:10" x14ac:dyDescent="0.25">
      <c r="I65" s="20"/>
      <c r="J65" s="20"/>
    </row>
  </sheetData>
  <dataValidations count="1">
    <dataValidation type="decimal" allowBlank="1" showInputMessage="1" showErrorMessage="1" errorTitle="Error" error="You must enter a number between 0 and 100 (inclusive)" promptTitle="Percentage" prompt="Enter a number between 0 and 100 (inclusive)" sqref="C37:N39 C6:H11 C19 E19 G19 C27:I29">
      <formula1>0</formula1>
      <formula2>100</formula2>
    </dataValidation>
  </dataValidations>
  <pageMargins left="0.75" right="0.75" top="1" bottom="1" header="0.5" footer="0.5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2:O41"/>
  <sheetViews>
    <sheetView workbookViewId="0">
      <selection activeCell="L12" sqref="L12"/>
    </sheetView>
  </sheetViews>
  <sheetFormatPr defaultColWidth="8.875" defaultRowHeight="15.75" x14ac:dyDescent="0.25"/>
  <cols>
    <col min="1" max="2" width="4.625" style="2" customWidth="1"/>
    <col min="3" max="3" width="12.625" style="2" customWidth="1"/>
    <col min="4" max="15" width="8.625" style="2" customWidth="1"/>
    <col min="16" max="16384" width="8.875" style="2"/>
  </cols>
  <sheetData>
    <row r="2" spans="2:15" x14ac:dyDescent="0.25">
      <c r="C2" s="1" t="s">
        <v>155</v>
      </c>
    </row>
    <row r="3" spans="2:15" x14ac:dyDescent="0.25">
      <c r="C3" s="3" t="s">
        <v>156</v>
      </c>
    </row>
    <row r="4" spans="2:15" x14ac:dyDescent="0.25">
      <c r="C4" s="87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</row>
    <row r="5" spans="2:15" x14ac:dyDescent="0.25">
      <c r="B5" s="88" t="s">
        <v>157</v>
      </c>
      <c r="C5" s="89" t="s">
        <v>158</v>
      </c>
      <c r="D5" s="7" t="s">
        <v>3</v>
      </c>
      <c r="E5" s="7" t="s">
        <v>4</v>
      </c>
      <c r="F5" s="7" t="s">
        <v>5</v>
      </c>
      <c r="G5" s="7" t="s">
        <v>6</v>
      </c>
      <c r="H5" s="7" t="s">
        <v>7</v>
      </c>
      <c r="I5" s="7" t="s">
        <v>8</v>
      </c>
      <c r="J5" s="7" t="s">
        <v>9</v>
      </c>
      <c r="K5" s="7" t="s">
        <v>10</v>
      </c>
      <c r="L5" s="7" t="s">
        <v>11</v>
      </c>
      <c r="M5" s="7" t="s">
        <v>12</v>
      </c>
      <c r="N5" s="7" t="s">
        <v>13</v>
      </c>
      <c r="O5" s="8" t="s">
        <v>14</v>
      </c>
    </row>
    <row r="6" spans="2:15" x14ac:dyDescent="0.25">
      <c r="C6" s="17" t="s">
        <v>159</v>
      </c>
      <c r="D6" s="35">
        <v>1.7</v>
      </c>
      <c r="E6" s="35">
        <v>1.7</v>
      </c>
      <c r="F6" s="35">
        <v>1.7</v>
      </c>
      <c r="G6" s="35">
        <v>1.7</v>
      </c>
      <c r="H6" s="35">
        <v>1.7</v>
      </c>
      <c r="I6" s="35">
        <v>1.7</v>
      </c>
      <c r="J6" s="35">
        <v>1.7</v>
      </c>
      <c r="K6" s="35">
        <v>1.7</v>
      </c>
      <c r="L6" s="35">
        <v>1.7</v>
      </c>
      <c r="M6" s="35">
        <v>1.7</v>
      </c>
      <c r="N6" s="35">
        <v>1.7</v>
      </c>
      <c r="O6" s="35">
        <v>1.7</v>
      </c>
    </row>
    <row r="7" spans="2:15" x14ac:dyDescent="0.25">
      <c r="C7" s="9" t="s">
        <v>160</v>
      </c>
      <c r="D7" s="35">
        <v>2</v>
      </c>
      <c r="E7" s="35">
        <v>2</v>
      </c>
      <c r="F7" s="35">
        <v>2</v>
      </c>
      <c r="G7" s="35">
        <v>2</v>
      </c>
      <c r="H7" s="35">
        <v>2</v>
      </c>
      <c r="I7" s="35">
        <v>2</v>
      </c>
      <c r="J7" s="35">
        <v>2</v>
      </c>
      <c r="K7" s="35">
        <v>2</v>
      </c>
      <c r="L7" s="35">
        <v>2</v>
      </c>
      <c r="M7" s="35">
        <v>2</v>
      </c>
      <c r="N7" s="35">
        <v>2</v>
      </c>
      <c r="O7" s="35">
        <v>2</v>
      </c>
    </row>
    <row r="8" spans="2:15" x14ac:dyDescent="0.25">
      <c r="C8" s="9" t="s">
        <v>161</v>
      </c>
      <c r="D8" s="35">
        <v>2.25</v>
      </c>
      <c r="E8" s="35">
        <v>2.25</v>
      </c>
      <c r="F8" s="35">
        <v>2.25</v>
      </c>
      <c r="G8" s="35">
        <v>2.25</v>
      </c>
      <c r="H8" s="35">
        <v>2.25</v>
      </c>
      <c r="I8" s="35">
        <v>2.25</v>
      </c>
      <c r="J8" s="35">
        <v>2.25</v>
      </c>
      <c r="K8" s="35">
        <v>2.25</v>
      </c>
      <c r="L8" s="35">
        <v>2.25</v>
      </c>
      <c r="M8" s="35">
        <v>2.25</v>
      </c>
      <c r="N8" s="35">
        <v>2.25</v>
      </c>
      <c r="O8" s="35">
        <v>2.25</v>
      </c>
    </row>
    <row r="9" spans="2:15" x14ac:dyDescent="0.25">
      <c r="C9" s="9" t="s">
        <v>162</v>
      </c>
      <c r="D9" s="35">
        <v>2.25</v>
      </c>
      <c r="E9" s="35">
        <v>2.25</v>
      </c>
      <c r="F9" s="35">
        <v>2.25</v>
      </c>
      <c r="G9" s="35">
        <v>2.25</v>
      </c>
      <c r="H9" s="35">
        <v>2.25</v>
      </c>
      <c r="I9" s="35">
        <v>2.25</v>
      </c>
      <c r="J9" s="35">
        <v>2.25</v>
      </c>
      <c r="K9" s="35">
        <v>2.25</v>
      </c>
      <c r="L9" s="35">
        <v>2.25</v>
      </c>
      <c r="M9" s="35">
        <v>2.25</v>
      </c>
      <c r="N9" s="35">
        <v>2.25</v>
      </c>
      <c r="O9" s="35">
        <v>2.25</v>
      </c>
    </row>
    <row r="10" spans="2:15" x14ac:dyDescent="0.25">
      <c r="C10" s="9" t="s">
        <v>163</v>
      </c>
      <c r="D10" s="35">
        <v>2.5</v>
      </c>
      <c r="E10" s="35">
        <v>2.5</v>
      </c>
      <c r="F10" s="35">
        <v>2.5</v>
      </c>
      <c r="G10" s="35">
        <v>2.5</v>
      </c>
      <c r="H10" s="35">
        <v>2.5</v>
      </c>
      <c r="I10" s="35">
        <v>2.5</v>
      </c>
      <c r="J10" s="35">
        <v>2.5</v>
      </c>
      <c r="K10" s="35">
        <v>2.5</v>
      </c>
      <c r="L10" s="35">
        <v>2.5</v>
      </c>
      <c r="M10" s="35">
        <v>2.5</v>
      </c>
      <c r="N10" s="35">
        <v>2.5</v>
      </c>
      <c r="O10" s="35">
        <v>2.5</v>
      </c>
    </row>
    <row r="11" spans="2:15" x14ac:dyDescent="0.25">
      <c r="C11" s="9" t="s">
        <v>164</v>
      </c>
      <c r="D11" s="35">
        <v>2.6</v>
      </c>
      <c r="E11" s="35">
        <v>2.6</v>
      </c>
      <c r="F11" s="35">
        <v>2.6</v>
      </c>
      <c r="G11" s="35">
        <v>2.6</v>
      </c>
      <c r="H11" s="35">
        <v>2.6</v>
      </c>
      <c r="I11" s="35">
        <v>2.6</v>
      </c>
      <c r="J11" s="35">
        <v>2.6</v>
      </c>
      <c r="K11" s="35">
        <v>2.6</v>
      </c>
      <c r="L11" s="35">
        <v>2.6</v>
      </c>
      <c r="M11" s="35">
        <v>2.6</v>
      </c>
      <c r="N11" s="35">
        <v>2.6</v>
      </c>
      <c r="O11" s="35">
        <v>2.6</v>
      </c>
    </row>
    <row r="12" spans="2:15" x14ac:dyDescent="0.25">
      <c r="C12" s="12" t="s">
        <v>165</v>
      </c>
      <c r="D12" s="35">
        <v>2.7</v>
      </c>
      <c r="E12" s="35">
        <v>2.7</v>
      </c>
      <c r="F12" s="35">
        <v>2.7</v>
      </c>
      <c r="G12" s="35">
        <v>2.7</v>
      </c>
      <c r="H12" s="35">
        <v>2.7</v>
      </c>
      <c r="I12" s="35">
        <v>2.7</v>
      </c>
      <c r="J12" s="35">
        <v>2.7</v>
      </c>
      <c r="K12" s="35">
        <v>2.7</v>
      </c>
      <c r="L12" s="35">
        <v>2.7</v>
      </c>
      <c r="M12" s="35">
        <v>2.7</v>
      </c>
      <c r="N12" s="35">
        <v>2.7</v>
      </c>
      <c r="O12" s="35">
        <v>2.7</v>
      </c>
    </row>
    <row r="13" spans="2:15" x14ac:dyDescent="0.25">
      <c r="C13" s="87"/>
      <c r="D13" s="5"/>
      <c r="E13" s="5"/>
      <c r="F13" s="5"/>
      <c r="G13" s="5"/>
      <c r="H13" s="5"/>
      <c r="I13" s="5"/>
      <c r="J13" s="5"/>
      <c r="K13" s="5"/>
      <c r="L13" s="5"/>
      <c r="M13" s="5"/>
      <c r="N13" s="5"/>
      <c r="O13" s="5"/>
    </row>
    <row r="14" spans="2:15" x14ac:dyDescent="0.25">
      <c r="B14" s="88" t="s">
        <v>146</v>
      </c>
      <c r="C14" s="89" t="s">
        <v>158</v>
      </c>
      <c r="D14" s="7" t="s">
        <v>3</v>
      </c>
      <c r="E14" s="7" t="s">
        <v>4</v>
      </c>
      <c r="F14" s="7" t="s">
        <v>5</v>
      </c>
      <c r="G14" s="7" t="s">
        <v>6</v>
      </c>
      <c r="H14" s="7" t="s">
        <v>7</v>
      </c>
      <c r="I14" s="7" t="s">
        <v>8</v>
      </c>
      <c r="J14" s="7" t="s">
        <v>9</v>
      </c>
      <c r="K14" s="7" t="s">
        <v>10</v>
      </c>
      <c r="L14" s="7" t="s">
        <v>11</v>
      </c>
      <c r="M14" s="7" t="s">
        <v>12</v>
      </c>
      <c r="N14" s="7" t="s">
        <v>13</v>
      </c>
      <c r="O14" s="8" t="s">
        <v>14</v>
      </c>
    </row>
    <row r="15" spans="2:15" x14ac:dyDescent="0.25">
      <c r="C15" s="17" t="s">
        <v>159</v>
      </c>
      <c r="D15" s="35">
        <v>3.3</v>
      </c>
      <c r="E15" s="35">
        <v>3.3</v>
      </c>
      <c r="F15" s="35">
        <v>3.3</v>
      </c>
      <c r="G15" s="35">
        <v>3.3</v>
      </c>
      <c r="H15" s="35">
        <v>3.3</v>
      </c>
      <c r="I15" s="35">
        <v>3.3</v>
      </c>
      <c r="J15" s="35">
        <v>3.3</v>
      </c>
      <c r="K15" s="35">
        <v>3.3</v>
      </c>
      <c r="L15" s="35">
        <v>3.3</v>
      </c>
      <c r="M15" s="35">
        <v>3.3</v>
      </c>
      <c r="N15" s="35">
        <v>3.3</v>
      </c>
      <c r="O15" s="35">
        <v>3.3</v>
      </c>
    </row>
    <row r="16" spans="2:15" x14ac:dyDescent="0.25">
      <c r="C16" s="9" t="s">
        <v>160</v>
      </c>
      <c r="D16" s="35">
        <v>3.3</v>
      </c>
      <c r="E16" s="35">
        <v>3.3</v>
      </c>
      <c r="F16" s="35">
        <v>3.3</v>
      </c>
      <c r="G16" s="35">
        <v>3.3</v>
      </c>
      <c r="H16" s="35">
        <v>3.3</v>
      </c>
      <c r="I16" s="35">
        <v>3.3</v>
      </c>
      <c r="J16" s="35">
        <v>3.3</v>
      </c>
      <c r="K16" s="35">
        <v>3.3</v>
      </c>
      <c r="L16" s="35">
        <v>3.3</v>
      </c>
      <c r="M16" s="35">
        <v>3.3</v>
      </c>
      <c r="N16" s="35">
        <v>3.3</v>
      </c>
      <c r="O16" s="35">
        <v>3.3</v>
      </c>
    </row>
    <row r="17" spans="2:15" x14ac:dyDescent="0.25">
      <c r="C17" s="9" t="s">
        <v>161</v>
      </c>
      <c r="D17" s="35">
        <v>3.3</v>
      </c>
      <c r="E17" s="35">
        <v>3.3</v>
      </c>
      <c r="F17" s="35">
        <v>3.3</v>
      </c>
      <c r="G17" s="35">
        <v>3.3</v>
      </c>
      <c r="H17" s="35">
        <v>3.3</v>
      </c>
      <c r="I17" s="35">
        <v>3.3</v>
      </c>
      <c r="J17" s="35">
        <v>3.3</v>
      </c>
      <c r="K17" s="35">
        <v>3.3</v>
      </c>
      <c r="L17" s="35">
        <v>3.3</v>
      </c>
      <c r="M17" s="35">
        <v>3.3</v>
      </c>
      <c r="N17" s="35">
        <v>3.3</v>
      </c>
      <c r="O17" s="35">
        <v>3.3</v>
      </c>
    </row>
    <row r="18" spans="2:15" x14ac:dyDescent="0.25">
      <c r="C18" s="9" t="s">
        <v>162</v>
      </c>
      <c r="D18" s="35">
        <v>3.3</v>
      </c>
      <c r="E18" s="35">
        <v>3.3</v>
      </c>
      <c r="F18" s="35">
        <v>3.3</v>
      </c>
      <c r="G18" s="35">
        <v>3.3</v>
      </c>
      <c r="H18" s="35">
        <v>3.3</v>
      </c>
      <c r="I18" s="35">
        <v>3.3</v>
      </c>
      <c r="J18" s="35">
        <v>3.3</v>
      </c>
      <c r="K18" s="35">
        <v>3.3</v>
      </c>
      <c r="L18" s="35">
        <v>3.3</v>
      </c>
      <c r="M18" s="35">
        <v>3.3</v>
      </c>
      <c r="N18" s="35">
        <v>3.3</v>
      </c>
      <c r="O18" s="35">
        <v>3.3</v>
      </c>
    </row>
    <row r="19" spans="2:15" x14ac:dyDescent="0.25">
      <c r="C19" s="9" t="s">
        <v>163</v>
      </c>
      <c r="D19" s="35">
        <v>3.3</v>
      </c>
      <c r="E19" s="35">
        <v>3.3</v>
      </c>
      <c r="F19" s="35">
        <v>3.3</v>
      </c>
      <c r="G19" s="35">
        <v>3.3</v>
      </c>
      <c r="H19" s="35">
        <v>3.3</v>
      </c>
      <c r="I19" s="35">
        <v>3.3</v>
      </c>
      <c r="J19" s="35">
        <v>3.3</v>
      </c>
      <c r="K19" s="35">
        <v>3.3</v>
      </c>
      <c r="L19" s="35">
        <v>3.3</v>
      </c>
      <c r="M19" s="35">
        <v>3.3</v>
      </c>
      <c r="N19" s="35">
        <v>3.3</v>
      </c>
      <c r="O19" s="35">
        <v>3.3</v>
      </c>
    </row>
    <row r="20" spans="2:15" x14ac:dyDescent="0.25">
      <c r="C20" s="9" t="s">
        <v>164</v>
      </c>
      <c r="D20" s="35">
        <v>3.2</v>
      </c>
      <c r="E20" s="35">
        <v>3.2</v>
      </c>
      <c r="F20" s="35">
        <v>3.2</v>
      </c>
      <c r="G20" s="35">
        <v>3.2</v>
      </c>
      <c r="H20" s="35">
        <v>3.2</v>
      </c>
      <c r="I20" s="35">
        <v>3.2</v>
      </c>
      <c r="J20" s="35">
        <v>3.2</v>
      </c>
      <c r="K20" s="35">
        <v>3.2</v>
      </c>
      <c r="L20" s="35">
        <v>3.2</v>
      </c>
      <c r="M20" s="35">
        <v>3.2</v>
      </c>
      <c r="N20" s="35">
        <v>3.2</v>
      </c>
      <c r="O20" s="35">
        <v>3.2</v>
      </c>
    </row>
    <row r="21" spans="2:15" x14ac:dyDescent="0.25">
      <c r="C21" s="12" t="s">
        <v>165</v>
      </c>
      <c r="D21" s="35">
        <v>3.2</v>
      </c>
      <c r="E21" s="35">
        <v>3.2</v>
      </c>
      <c r="F21" s="35">
        <v>3.2</v>
      </c>
      <c r="G21" s="35">
        <v>3.2</v>
      </c>
      <c r="H21" s="35">
        <v>3.2</v>
      </c>
      <c r="I21" s="35">
        <v>3.2</v>
      </c>
      <c r="J21" s="35">
        <v>3.2</v>
      </c>
      <c r="K21" s="35">
        <v>3.2</v>
      </c>
      <c r="L21" s="35">
        <v>3.2</v>
      </c>
      <c r="M21" s="35">
        <v>3.2</v>
      </c>
      <c r="N21" s="35">
        <v>3.2</v>
      </c>
      <c r="O21" s="35">
        <v>3.2</v>
      </c>
    </row>
    <row r="22" spans="2:15" x14ac:dyDescent="0.25">
      <c r="C22" s="87"/>
      <c r="D22" s="5"/>
      <c r="E22" s="5"/>
      <c r="F22" s="5"/>
      <c r="G22" s="5"/>
      <c r="H22" s="5"/>
      <c r="I22" s="5"/>
      <c r="J22" s="5"/>
      <c r="K22" s="5"/>
      <c r="L22" s="5"/>
      <c r="M22" s="5"/>
      <c r="N22" s="5"/>
      <c r="O22" s="5"/>
    </row>
    <row r="23" spans="2:15" x14ac:dyDescent="0.25">
      <c r="B23" s="88" t="s">
        <v>166</v>
      </c>
      <c r="C23" s="89" t="s">
        <v>158</v>
      </c>
      <c r="D23" s="7" t="s">
        <v>3</v>
      </c>
      <c r="E23" s="7" t="s">
        <v>4</v>
      </c>
      <c r="F23" s="7" t="s">
        <v>5</v>
      </c>
      <c r="G23" s="7" t="s">
        <v>6</v>
      </c>
      <c r="H23" s="7" t="s">
        <v>7</v>
      </c>
      <c r="I23" s="7" t="s">
        <v>8</v>
      </c>
      <c r="J23" s="7" t="s">
        <v>9</v>
      </c>
      <c r="K23" s="7" t="s">
        <v>10</v>
      </c>
      <c r="L23" s="7" t="s">
        <v>11</v>
      </c>
      <c r="M23" s="7" t="s">
        <v>12</v>
      </c>
      <c r="N23" s="7" t="s">
        <v>13</v>
      </c>
      <c r="O23" s="8" t="s">
        <v>14</v>
      </c>
    </row>
    <row r="24" spans="2:15" x14ac:dyDescent="0.25">
      <c r="C24" s="17" t="s">
        <v>159</v>
      </c>
      <c r="D24" s="35">
        <v>3.9</v>
      </c>
      <c r="E24" s="35">
        <v>3.9</v>
      </c>
      <c r="F24" s="35">
        <v>3.9</v>
      </c>
      <c r="G24" s="35">
        <v>3.9</v>
      </c>
      <c r="H24" s="35">
        <v>3.9</v>
      </c>
      <c r="I24" s="35">
        <v>3.9</v>
      </c>
      <c r="J24" s="35">
        <v>3.9</v>
      </c>
      <c r="K24" s="35">
        <v>3.9</v>
      </c>
      <c r="L24" s="35">
        <v>3.9</v>
      </c>
      <c r="M24" s="35">
        <v>3.9</v>
      </c>
      <c r="N24" s="35">
        <v>3.9</v>
      </c>
      <c r="O24" s="35">
        <v>3.9</v>
      </c>
    </row>
    <row r="25" spans="2:15" x14ac:dyDescent="0.25">
      <c r="C25" s="9" t="s">
        <v>160</v>
      </c>
      <c r="D25" s="35">
        <v>3.9</v>
      </c>
      <c r="E25" s="35">
        <v>3.9</v>
      </c>
      <c r="F25" s="35">
        <v>3.9</v>
      </c>
      <c r="G25" s="35">
        <v>3.9</v>
      </c>
      <c r="H25" s="35">
        <v>3.9</v>
      </c>
      <c r="I25" s="35">
        <v>3.9</v>
      </c>
      <c r="J25" s="35">
        <v>3.9</v>
      </c>
      <c r="K25" s="35">
        <v>3.9</v>
      </c>
      <c r="L25" s="35">
        <v>3.9</v>
      </c>
      <c r="M25" s="35">
        <v>3.9</v>
      </c>
      <c r="N25" s="35">
        <v>3.9</v>
      </c>
      <c r="O25" s="35">
        <v>3.9</v>
      </c>
    </row>
    <row r="26" spans="2:15" x14ac:dyDescent="0.25">
      <c r="C26" s="9" t="s">
        <v>161</v>
      </c>
      <c r="D26" s="35">
        <v>3.9</v>
      </c>
      <c r="E26" s="35">
        <v>3.9</v>
      </c>
      <c r="F26" s="35">
        <v>3.9</v>
      </c>
      <c r="G26" s="35">
        <v>3.9</v>
      </c>
      <c r="H26" s="35">
        <v>3.9</v>
      </c>
      <c r="I26" s="35">
        <v>3.9</v>
      </c>
      <c r="J26" s="35">
        <v>3.9</v>
      </c>
      <c r="K26" s="35">
        <v>3.9</v>
      </c>
      <c r="L26" s="35">
        <v>3.9</v>
      </c>
      <c r="M26" s="35">
        <v>3.9</v>
      </c>
      <c r="N26" s="35">
        <v>3.9</v>
      </c>
      <c r="O26" s="35">
        <v>3.9</v>
      </c>
    </row>
    <row r="27" spans="2:15" x14ac:dyDescent="0.25">
      <c r="C27" s="9" t="s">
        <v>162</v>
      </c>
      <c r="D27" s="35">
        <v>3.9</v>
      </c>
      <c r="E27" s="35">
        <v>3.9</v>
      </c>
      <c r="F27" s="35">
        <v>3.9</v>
      </c>
      <c r="G27" s="35">
        <v>3.9</v>
      </c>
      <c r="H27" s="35">
        <v>3.9</v>
      </c>
      <c r="I27" s="35">
        <v>3.9</v>
      </c>
      <c r="J27" s="35">
        <v>3.9</v>
      </c>
      <c r="K27" s="35">
        <v>3.9</v>
      </c>
      <c r="L27" s="35">
        <v>3.9</v>
      </c>
      <c r="M27" s="35">
        <v>3.9</v>
      </c>
      <c r="N27" s="35">
        <v>3.9</v>
      </c>
      <c r="O27" s="35">
        <v>3.9</v>
      </c>
    </row>
    <row r="28" spans="2:15" x14ac:dyDescent="0.25">
      <c r="C28" s="9" t="s">
        <v>163</v>
      </c>
      <c r="D28" s="35">
        <v>3.9</v>
      </c>
      <c r="E28" s="35">
        <v>3.9</v>
      </c>
      <c r="F28" s="35">
        <v>3.9</v>
      </c>
      <c r="G28" s="35">
        <v>3.9</v>
      </c>
      <c r="H28" s="35">
        <v>3.9</v>
      </c>
      <c r="I28" s="35">
        <v>3.9</v>
      </c>
      <c r="J28" s="35">
        <v>3.9</v>
      </c>
      <c r="K28" s="35">
        <v>3.9</v>
      </c>
      <c r="L28" s="35">
        <v>3.9</v>
      </c>
      <c r="M28" s="35">
        <v>3.9</v>
      </c>
      <c r="N28" s="35">
        <v>3.9</v>
      </c>
      <c r="O28" s="35">
        <v>3.9</v>
      </c>
    </row>
    <row r="29" spans="2:15" x14ac:dyDescent="0.25">
      <c r="C29" s="9" t="s">
        <v>164</v>
      </c>
      <c r="D29" s="35">
        <v>3.9</v>
      </c>
      <c r="E29" s="35">
        <v>3.9</v>
      </c>
      <c r="F29" s="35">
        <v>3.9</v>
      </c>
      <c r="G29" s="35">
        <v>3.9</v>
      </c>
      <c r="H29" s="35">
        <v>3.9</v>
      </c>
      <c r="I29" s="35">
        <v>3.9</v>
      </c>
      <c r="J29" s="35">
        <v>3.9</v>
      </c>
      <c r="K29" s="35">
        <v>3.9</v>
      </c>
      <c r="L29" s="35">
        <v>3.9</v>
      </c>
      <c r="M29" s="35">
        <v>3.9</v>
      </c>
      <c r="N29" s="35">
        <v>3.9</v>
      </c>
      <c r="O29" s="35">
        <v>3.9</v>
      </c>
    </row>
    <row r="30" spans="2:15" x14ac:dyDescent="0.25">
      <c r="C30" s="12" t="s">
        <v>165</v>
      </c>
      <c r="D30" s="35">
        <v>3.9</v>
      </c>
      <c r="E30" s="35">
        <v>3.9</v>
      </c>
      <c r="F30" s="35">
        <v>3.9</v>
      </c>
      <c r="G30" s="35">
        <v>3.9</v>
      </c>
      <c r="H30" s="35">
        <v>3.9</v>
      </c>
      <c r="I30" s="35">
        <v>3.9</v>
      </c>
      <c r="J30" s="35">
        <v>3.9</v>
      </c>
      <c r="K30" s="35">
        <v>3.9</v>
      </c>
      <c r="L30" s="35">
        <v>3.9</v>
      </c>
      <c r="M30" s="35">
        <v>3.9</v>
      </c>
      <c r="N30" s="35">
        <v>3.9</v>
      </c>
      <c r="O30" s="35">
        <v>3.9</v>
      </c>
    </row>
    <row r="31" spans="2:15" x14ac:dyDescent="0.25">
      <c r="C31" s="87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</row>
    <row r="32" spans="2:15" x14ac:dyDescent="0.25">
      <c r="B32" s="88" t="s">
        <v>147</v>
      </c>
      <c r="C32" s="89" t="s">
        <v>158</v>
      </c>
      <c r="D32" s="7" t="s">
        <v>3</v>
      </c>
      <c r="E32" s="7" t="s">
        <v>4</v>
      </c>
      <c r="F32" s="7" t="s">
        <v>5</v>
      </c>
      <c r="G32" s="7" t="s">
        <v>6</v>
      </c>
      <c r="H32" s="7" t="s">
        <v>7</v>
      </c>
      <c r="I32" s="7" t="s">
        <v>8</v>
      </c>
      <c r="J32" s="7" t="s">
        <v>9</v>
      </c>
      <c r="K32" s="7" t="s">
        <v>10</v>
      </c>
      <c r="L32" s="7" t="s">
        <v>11</v>
      </c>
      <c r="M32" s="7" t="s">
        <v>12</v>
      </c>
      <c r="N32" s="7" t="s">
        <v>13</v>
      </c>
      <c r="O32" s="8" t="s">
        <v>14</v>
      </c>
    </row>
    <row r="33" spans="3:15" x14ac:dyDescent="0.25">
      <c r="C33" s="17" t="s">
        <v>159</v>
      </c>
      <c r="D33" s="35">
        <v>2.7</v>
      </c>
      <c r="E33" s="35">
        <v>2.7</v>
      </c>
      <c r="F33" s="35">
        <v>2.7</v>
      </c>
      <c r="G33" s="35">
        <v>2.7</v>
      </c>
      <c r="H33" s="35">
        <v>2.7</v>
      </c>
      <c r="I33" s="35">
        <v>2.7</v>
      </c>
      <c r="J33" s="35">
        <v>2.7</v>
      </c>
      <c r="K33" s="35">
        <v>2.7</v>
      </c>
      <c r="L33" s="35">
        <v>2.7</v>
      </c>
      <c r="M33" s="35">
        <v>2.7</v>
      </c>
      <c r="N33" s="35">
        <v>2.7</v>
      </c>
      <c r="O33" s="35">
        <v>2.7</v>
      </c>
    </row>
    <row r="34" spans="3:15" x14ac:dyDescent="0.25">
      <c r="C34" s="9" t="s">
        <v>160</v>
      </c>
      <c r="D34" s="35">
        <v>2.4</v>
      </c>
      <c r="E34" s="35">
        <v>2.4</v>
      </c>
      <c r="F34" s="35">
        <v>2.4</v>
      </c>
      <c r="G34" s="35">
        <v>2.4</v>
      </c>
      <c r="H34" s="35">
        <v>2.4</v>
      </c>
      <c r="I34" s="35">
        <v>2.4</v>
      </c>
      <c r="J34" s="35">
        <v>2.4</v>
      </c>
      <c r="K34" s="35">
        <v>2.4</v>
      </c>
      <c r="L34" s="35">
        <v>2.4</v>
      </c>
      <c r="M34" s="35">
        <v>2.4</v>
      </c>
      <c r="N34" s="35">
        <v>2.4</v>
      </c>
      <c r="O34" s="35">
        <v>2.4</v>
      </c>
    </row>
    <row r="35" spans="3:15" x14ac:dyDescent="0.25">
      <c r="C35" s="9" t="s">
        <v>161</v>
      </c>
      <c r="D35" s="35">
        <v>2.2999999999999998</v>
      </c>
      <c r="E35" s="35">
        <v>2.2999999999999998</v>
      </c>
      <c r="F35" s="35">
        <v>2.2999999999999998</v>
      </c>
      <c r="G35" s="35">
        <v>2.2999999999999998</v>
      </c>
      <c r="H35" s="35">
        <v>2.2999999999999998</v>
      </c>
      <c r="I35" s="35">
        <v>2.2999999999999998</v>
      </c>
      <c r="J35" s="35">
        <v>2.2999999999999998</v>
      </c>
      <c r="K35" s="35">
        <v>2.2999999999999998</v>
      </c>
      <c r="L35" s="35">
        <v>2.2999999999999998</v>
      </c>
      <c r="M35" s="35">
        <v>2.2999999999999998</v>
      </c>
      <c r="N35" s="35">
        <v>2.2999999999999998</v>
      </c>
      <c r="O35" s="35">
        <v>2.2999999999999998</v>
      </c>
    </row>
    <row r="36" spans="3:15" x14ac:dyDescent="0.25">
      <c r="C36" s="9" t="s">
        <v>162</v>
      </c>
      <c r="D36" s="35">
        <v>2.5</v>
      </c>
      <c r="E36" s="35">
        <v>2.5</v>
      </c>
      <c r="F36" s="35">
        <v>2.5</v>
      </c>
      <c r="G36" s="35">
        <v>2.5</v>
      </c>
      <c r="H36" s="35">
        <v>2.5</v>
      </c>
      <c r="I36" s="35">
        <v>2.5</v>
      </c>
      <c r="J36" s="35">
        <v>2.5</v>
      </c>
      <c r="K36" s="35">
        <v>2.5</v>
      </c>
      <c r="L36" s="35">
        <v>2.5</v>
      </c>
      <c r="M36" s="35">
        <v>2.5</v>
      </c>
      <c r="N36" s="35">
        <v>2.5</v>
      </c>
      <c r="O36" s="35">
        <v>2.5</v>
      </c>
    </row>
    <row r="37" spans="3:15" x14ac:dyDescent="0.25">
      <c r="C37" s="9" t="s">
        <v>163</v>
      </c>
      <c r="D37" s="35">
        <v>2.6</v>
      </c>
      <c r="E37" s="35">
        <v>2.6</v>
      </c>
      <c r="F37" s="35">
        <v>2.6</v>
      </c>
      <c r="G37" s="35">
        <v>2.6</v>
      </c>
      <c r="H37" s="35">
        <v>2.6</v>
      </c>
      <c r="I37" s="35">
        <v>2.6</v>
      </c>
      <c r="J37" s="35">
        <v>2.6</v>
      </c>
      <c r="K37" s="35">
        <v>2.6</v>
      </c>
      <c r="L37" s="35">
        <v>2.6</v>
      </c>
      <c r="M37" s="35">
        <v>2.6</v>
      </c>
      <c r="N37" s="35">
        <v>2.6</v>
      </c>
      <c r="O37" s="35">
        <v>2.6</v>
      </c>
    </row>
    <row r="38" spans="3:15" x14ac:dyDescent="0.25">
      <c r="C38" s="9" t="s">
        <v>164</v>
      </c>
      <c r="D38" s="35">
        <v>2.8</v>
      </c>
      <c r="E38" s="35">
        <v>2.8</v>
      </c>
      <c r="F38" s="35">
        <v>2.8</v>
      </c>
      <c r="G38" s="35">
        <v>2.8</v>
      </c>
      <c r="H38" s="35">
        <v>2.8</v>
      </c>
      <c r="I38" s="35">
        <v>2.8</v>
      </c>
      <c r="J38" s="35">
        <v>2.8</v>
      </c>
      <c r="K38" s="35">
        <v>2.8</v>
      </c>
      <c r="L38" s="35">
        <v>2.8</v>
      </c>
      <c r="M38" s="35">
        <v>2.8</v>
      </c>
      <c r="N38" s="35">
        <v>2.8</v>
      </c>
      <c r="O38" s="35">
        <v>2.8</v>
      </c>
    </row>
    <row r="39" spans="3:15" x14ac:dyDescent="0.25">
      <c r="C39" s="12" t="s">
        <v>165</v>
      </c>
      <c r="D39" s="35">
        <v>2.6</v>
      </c>
      <c r="E39" s="35">
        <v>2.6</v>
      </c>
      <c r="F39" s="35">
        <v>2.6</v>
      </c>
      <c r="G39" s="35">
        <v>2.6</v>
      </c>
      <c r="H39" s="35">
        <v>2.6</v>
      </c>
      <c r="I39" s="35">
        <v>2.6</v>
      </c>
      <c r="J39" s="35">
        <v>2.6</v>
      </c>
      <c r="K39" s="35">
        <v>2.6</v>
      </c>
      <c r="L39" s="35">
        <v>2.6</v>
      </c>
      <c r="M39" s="35">
        <v>2.6</v>
      </c>
      <c r="N39" s="35">
        <v>2.6</v>
      </c>
      <c r="O39" s="35">
        <v>2.6</v>
      </c>
    </row>
    <row r="40" spans="3:15" x14ac:dyDescent="0.25">
      <c r="C40" s="5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</row>
    <row r="41" spans="3:15" x14ac:dyDescent="0.25">
      <c r="C41" s="20"/>
      <c r="D41" s="20"/>
      <c r="E41" s="20"/>
      <c r="F41" s="20"/>
      <c r="G41" s="20"/>
      <c r="H41" s="20"/>
      <c r="I41" s="20"/>
      <c r="J41" s="20"/>
      <c r="K41" s="20"/>
      <c r="L41" s="20"/>
      <c r="M41" s="20"/>
      <c r="N41" s="20"/>
      <c r="O41" s="20"/>
    </row>
  </sheetData>
  <dataValidations count="1">
    <dataValidation type="decimal" allowBlank="1" showInputMessage="1" showErrorMessage="1" errorTitle="Error" error="You must enter a number between 0 and 4 (inclusive)" promptTitle="Pricing" prompt="Enter a number between 0 and 4 (inclusive)" sqref="D6:O12 D15:O21 D24:O30 D33:O39">
      <formula1>0</formula1>
      <formula2>4</formula2>
    </dataValidation>
  </dataValidations>
  <pageMargins left="0.75" right="0.75" top="1" bottom="1" header="0.5" footer="0.5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basic_info</vt:lpstr>
      <vt:lpstr>facilities</vt:lpstr>
      <vt:lpstr>raw_materials</vt:lpstr>
      <vt:lpstr>shipping_manufacturing</vt:lpstr>
      <vt:lpstr>pricing</vt:lpstr>
    </vt:vector>
  </TitlesOfParts>
  <Company>Princeton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Student</dc:creator>
  <cp:lastModifiedBy>Shompa</cp:lastModifiedBy>
  <dcterms:created xsi:type="dcterms:W3CDTF">2014-12-07T20:50:34Z</dcterms:created>
  <dcterms:modified xsi:type="dcterms:W3CDTF">2014-12-09T02:14:14Z</dcterms:modified>
</cp:coreProperties>
</file>