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O:\2014_15TeamFolders\oriangagrande\Decisions\"/>
    </mc:Choice>
  </mc:AlternateContent>
  <bookViews>
    <workbookView xWindow="0" yWindow="45" windowWidth="15480" windowHeight="11640"/>
  </bookViews>
  <sheets>
    <sheet name="basic_info" sheetId="4" r:id="rId1"/>
    <sheet name="facilities" sheetId="5" r:id="rId2"/>
    <sheet name="raw_materials" sheetId="6" r:id="rId3"/>
    <sheet name="shipping_manufacturing" sheetId="7" r:id="rId4"/>
    <sheet name="pricing" sheetId="8" r:id="rId5"/>
  </sheets>
  <definedNames>
    <definedName name="AddColumn1">shipping_manufacturing!$I$4:$I$12</definedName>
    <definedName name="AddColumn2">shipping_manufacturing!$I$16:$I$20</definedName>
    <definedName name="AddColumn3">shipping_manufacturing!$J$24:$J$30</definedName>
    <definedName name="AddRow3">shipping_manufacturing!$B$30</definedName>
    <definedName name="AddRow4">shipping_manufacturing!$B$38</definedName>
    <definedName name="Table1">shipping_manufacturing!$B$4</definedName>
    <definedName name="Table2">shipping_manufacturing!$B$16</definedName>
    <definedName name="Table3">shipping_manufacturing!$B$24</definedName>
    <definedName name="Table4">shipping_manufacturing!$B$34</definedName>
  </definedNames>
  <calcPr calcId="152511"/>
</workbook>
</file>

<file path=xl/calcChain.xml><?xml version="1.0" encoding="utf-8"?>
<calcChain xmlns="http://schemas.openxmlformats.org/spreadsheetml/2006/main">
  <c r="I29" i="7" l="1"/>
  <c r="H29" i="7"/>
  <c r="G29" i="7"/>
  <c r="F29" i="7"/>
  <c r="E29" i="7"/>
  <c r="D29" i="7"/>
  <c r="C29" i="7"/>
  <c r="H19" i="7"/>
  <c r="F19" i="7"/>
  <c r="D19" i="7"/>
  <c r="H11" i="7"/>
  <c r="H10" i="7"/>
  <c r="H9" i="7"/>
  <c r="H8" i="7"/>
  <c r="H7" i="7"/>
  <c r="H6" i="7"/>
  <c r="G12" i="5" l="1"/>
  <c r="G9" i="5"/>
  <c r="D16" i="5"/>
  <c r="P36" i="6" l="1"/>
  <c r="P30" i="6"/>
  <c r="G21" i="5"/>
  <c r="G6" i="5"/>
  <c r="G7" i="5"/>
  <c r="H7" i="5" s="1"/>
  <c r="G8" i="5"/>
  <c r="H8" i="5" s="1"/>
  <c r="H9" i="5"/>
  <c r="G10" i="5"/>
  <c r="H10" i="5" s="1"/>
  <c r="G11" i="5"/>
  <c r="H11" i="5" s="1"/>
  <c r="H12" i="5"/>
  <c r="G13" i="5"/>
  <c r="H13" i="5" s="1"/>
  <c r="G14" i="5"/>
  <c r="H14" i="5" s="1"/>
  <c r="G15" i="5"/>
  <c r="H15" i="5" s="1"/>
  <c r="G22" i="5"/>
  <c r="G23" i="5"/>
  <c r="G24" i="5"/>
  <c r="G25" i="5"/>
  <c r="G26" i="5"/>
  <c r="G27" i="5"/>
  <c r="G28" i="5"/>
  <c r="G29" i="5"/>
  <c r="G30" i="5"/>
  <c r="D31" i="5"/>
  <c r="G36" i="5"/>
  <c r="G37" i="5"/>
  <c r="H37" i="5"/>
  <c r="G38" i="5"/>
  <c r="H38" i="5" s="1"/>
  <c r="G39" i="5"/>
  <c r="H39" i="5"/>
  <c r="G40" i="5"/>
  <c r="H40" i="5" s="1"/>
  <c r="G41" i="5"/>
  <c r="H41" i="5"/>
  <c r="G42" i="5"/>
  <c r="H42" i="5" s="1"/>
  <c r="G43" i="5"/>
  <c r="H43" i="5"/>
  <c r="G44" i="5"/>
  <c r="H44" i="5" s="1"/>
  <c r="G45" i="5"/>
  <c r="H45" i="5"/>
  <c r="G46" i="5"/>
  <c r="H46" i="5" s="1"/>
  <c r="G47" i="5"/>
  <c r="H47" i="5"/>
  <c r="G48" i="5"/>
  <c r="H48" i="5" s="1"/>
  <c r="G49" i="5"/>
  <c r="H49" i="5"/>
  <c r="G50" i="5"/>
  <c r="H50" i="5" s="1"/>
  <c r="G51" i="5"/>
  <c r="H51" i="5"/>
  <c r="G52" i="5"/>
  <c r="H52" i="5" s="1"/>
  <c r="G53" i="5"/>
  <c r="H53" i="5"/>
  <c r="G54" i="5"/>
  <c r="H54" i="5" s="1"/>
  <c r="G55" i="5"/>
  <c r="H55" i="5"/>
  <c r="G56" i="5"/>
  <c r="H56" i="5" s="1"/>
  <c r="G57" i="5"/>
  <c r="H57" i="5"/>
  <c r="G58" i="5"/>
  <c r="H58" i="5" s="1"/>
  <c r="G59" i="5"/>
  <c r="H59" i="5"/>
  <c r="G60" i="5"/>
  <c r="H60" i="5" s="1"/>
  <c r="G61" i="5"/>
  <c r="H61" i="5"/>
  <c r="G62" i="5"/>
  <c r="H62" i="5" s="1"/>
  <c r="G63" i="5"/>
  <c r="H63" i="5"/>
  <c r="G64" i="5"/>
  <c r="H64" i="5" s="1"/>
  <c r="G65" i="5"/>
  <c r="H65" i="5"/>
  <c r="G66" i="5"/>
  <c r="H66" i="5" s="1"/>
  <c r="G67" i="5"/>
  <c r="H67" i="5"/>
  <c r="G68" i="5"/>
  <c r="H68" i="5" s="1"/>
  <c r="G69" i="5"/>
  <c r="H69" i="5"/>
  <c r="G70" i="5"/>
  <c r="H70" i="5" s="1"/>
  <c r="G71" i="5"/>
  <c r="H71" i="5"/>
  <c r="G72" i="5"/>
  <c r="H72" i="5" s="1"/>
  <c r="G73" i="5"/>
  <c r="H73" i="5"/>
  <c r="G74" i="5"/>
  <c r="H74" i="5" s="1"/>
  <c r="G75" i="5"/>
  <c r="H75" i="5"/>
  <c r="G76" i="5"/>
  <c r="H76" i="5" s="1"/>
  <c r="G77" i="5"/>
  <c r="H77" i="5"/>
  <c r="G78" i="5"/>
  <c r="H78" i="5" s="1"/>
  <c r="G79" i="5"/>
  <c r="H79" i="5"/>
  <c r="G80" i="5"/>
  <c r="H80" i="5" s="1"/>
  <c r="G81" i="5"/>
  <c r="H81" i="5"/>
  <c r="G82" i="5"/>
  <c r="H82" i="5" s="1"/>
  <c r="G83" i="5"/>
  <c r="H83" i="5"/>
  <c r="G84" i="5"/>
  <c r="H84" i="5" s="1"/>
  <c r="G85" i="5"/>
  <c r="H85" i="5"/>
  <c r="G86" i="5"/>
  <c r="H86" i="5" s="1"/>
  <c r="G87" i="5"/>
  <c r="H87" i="5"/>
  <c r="G88" i="5"/>
  <c r="H88" i="5" s="1"/>
  <c r="G89" i="5"/>
  <c r="H89" i="5"/>
  <c r="G90" i="5"/>
  <c r="H90" i="5" s="1"/>
  <c r="G91" i="5"/>
  <c r="H91" i="5"/>
  <c r="G92" i="5"/>
  <c r="H92" i="5" s="1"/>
  <c r="G93" i="5"/>
  <c r="H93" i="5"/>
  <c r="G94" i="5"/>
  <c r="H94" i="5" s="1"/>
  <c r="G95" i="5"/>
  <c r="H95" i="5"/>
  <c r="G96" i="5"/>
  <c r="H96" i="5" s="1"/>
  <c r="G97" i="5"/>
  <c r="H97" i="5"/>
  <c r="G98" i="5"/>
  <c r="H98" i="5" s="1"/>
  <c r="G99" i="5"/>
  <c r="H99" i="5"/>
  <c r="G100" i="5"/>
  <c r="H100" i="5" s="1"/>
  <c r="G101" i="5"/>
  <c r="H101" i="5"/>
  <c r="G102" i="5"/>
  <c r="H102" i="5" s="1"/>
  <c r="G103" i="5"/>
  <c r="H103" i="5"/>
  <c r="G104" i="5"/>
  <c r="H104" i="5" s="1"/>
  <c r="G105" i="5"/>
  <c r="H105" i="5"/>
  <c r="G106" i="5"/>
  <c r="H106" i="5" s="1"/>
  <c r="D107" i="5"/>
  <c r="P41" i="6"/>
  <c r="P40" i="6"/>
  <c r="P39" i="6"/>
  <c r="P38" i="6"/>
  <c r="P37" i="6"/>
  <c r="P35" i="6"/>
  <c r="P34" i="6"/>
  <c r="P33" i="6"/>
  <c r="P32" i="6"/>
  <c r="P31" i="6"/>
  <c r="C41" i="6"/>
  <c r="C40" i="6"/>
  <c r="C39" i="6"/>
  <c r="C38" i="6"/>
  <c r="C37" i="6"/>
  <c r="C36" i="6"/>
  <c r="D28" i="6"/>
  <c r="F28" i="6"/>
  <c r="H28" i="6"/>
  <c r="J28" i="6"/>
  <c r="L28" i="6"/>
  <c r="N28" i="6"/>
  <c r="C30" i="6"/>
  <c r="C31" i="6"/>
  <c r="C32" i="6"/>
  <c r="C33" i="6"/>
  <c r="C34" i="6"/>
  <c r="C35" i="6"/>
  <c r="O48" i="6"/>
  <c r="O47" i="6"/>
  <c r="G107" i="5" l="1"/>
  <c r="H36" i="5"/>
  <c r="H6" i="5"/>
  <c r="G16" i="5"/>
</calcChain>
</file>

<file path=xl/sharedStrings.xml><?xml version="1.0" encoding="utf-8"?>
<sst xmlns="http://schemas.openxmlformats.org/spreadsheetml/2006/main" count="432" uniqueCount="166">
  <si>
    <t>Basic Information</t>
  </si>
  <si>
    <t>Company Name</t>
  </si>
  <si>
    <t>Facilities</t>
  </si>
  <si>
    <t>Location</t>
  </si>
  <si>
    <t>Buy/Sell capacity</t>
  </si>
  <si>
    <t>P01</t>
  </si>
  <si>
    <t xml:space="preserve"> -&gt;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</si>
  <si>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</si>
  <si>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</si>
  <si>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</si>
  <si>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</si>
  <si>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</si>
  <si>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</si>
  <si>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</si>
  <si>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</si>
  <si>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</si>
  <si>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Plants</t>
  </si>
  <si>
    <t>Buy/Sell tankcars</t>
  </si>
  <si>
    <t>TankCars</t>
  </si>
  <si>
    <t>S01</t>
  </si>
  <si>
    <t>S13</t>
  </si>
  <si>
    <t>S14</t>
  </si>
  <si>
    <t>S15</t>
  </si>
  <si>
    <t>S21</t>
  </si>
  <si>
    <t>S22</t>
  </si>
  <si>
    <t>S23</t>
  </si>
  <si>
    <t>S24</t>
  </si>
  <si>
    <t>S25</t>
  </si>
  <si>
    <t>S26</t>
  </si>
  <si>
    <t>S27</t>
  </si>
  <si>
    <t>S31</t>
  </si>
  <si>
    <t>S32</t>
  </si>
  <si>
    <t>S33</t>
  </si>
  <si>
    <t>S34</t>
  </si>
  <si>
    <t>S35</t>
  </si>
  <si>
    <t>S36</t>
  </si>
  <si>
    <t>S37</t>
  </si>
  <si>
    <t>S38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</si>
  <si>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</si>
  <si>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</si>
  <si>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</si>
  <si>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</si>
  <si>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</si>
  <si>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</si>
  <si>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</si>
  <si>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</si>
  <si>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</si>
  <si>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</si>
  <si>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</si>
  <si>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</si>
  <si>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</si>
  <si>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</si>
  <si>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</si>
  <si>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</si>
  <si>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</si>
  <si>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</si>
  <si>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</si>
  <si>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</si>
  <si>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</si>
  <si>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</si>
  <si>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</si>
  <si>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</si>
  <si>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</si>
  <si>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</si>
  <si>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</si>
  <si>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</si>
  <si>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</si>
  <si>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</si>
  <si>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</si>
  <si>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S72</t>
  </si>
  <si>
    <t>S73</t>
  </si>
  <si>
    <t>S74</t>
  </si>
  <si>
    <t>S75</t>
  </si>
  <si>
    <t>S76</t>
  </si>
  <si>
    <t>S77</t>
  </si>
  <si>
    <t>S78</t>
  </si>
  <si>
    <t>S79</t>
  </si>
  <si>
    <t>S83</t>
  </si>
  <si>
    <t>S84</t>
  </si>
  <si>
    <t>S85</t>
  </si>
  <si>
    <t>S86</t>
  </si>
  <si>
    <t>S87</t>
  </si>
  <si>
    <t>S88</t>
  </si>
  <si>
    <t>S89</t>
  </si>
  <si>
    <t>S94</t>
  </si>
  <si>
    <t>S95</t>
  </si>
  <si>
    <t>S96</t>
  </si>
  <si>
    <t>S97</t>
  </si>
  <si>
    <t>S98</t>
  </si>
  <si>
    <t>S99</t>
  </si>
  <si>
    <t>Storages</t>
  </si>
  <si>
    <t>Grove:Month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</si>
  <si>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</si>
  <si>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</si>
  <si>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</si>
  <si>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</si>
  <si>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</si>
  <si>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</si>
  <si>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</si>
  <si>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</si>
  <si>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</si>
  <si>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</si>
  <si>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</si>
  <si>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</si>
  <si>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FLA</t>
  </si>
  <si>
    <t>CAL</t>
  </si>
  <si>
    <t>TEX</t>
  </si>
  <si>
    <t>ARZ</t>
  </si>
  <si>
    <t>BRA</t>
  </si>
  <si>
    <t>SPA</t>
  </si>
  <si>
    <t xml:space="preserve"> </t>
  </si>
  <si>
    <t>Year</t>
  </si>
  <si>
    <t>ORA Contracts</t>
  </si>
  <si>
    <t>FCOJ Contracts</t>
  </si>
  <si>
    <t>Shipping</t>
  </si>
  <si>
    <t>From:To</t>
  </si>
  <si>
    <t>Manufacturing</t>
  </si>
  <si>
    <t>Process ORA into POJ or FCOJ(%)</t>
  </si>
  <si>
    <t>Plant</t>
  </si>
  <si>
    <t>Product</t>
  </si>
  <si>
    <t>Proportion</t>
  </si>
  <si>
    <t>From</t>
  </si>
  <si>
    <t>Futures</t>
  </si>
  <si>
    <t>FCOJ</t>
  </si>
  <si>
    <t>Reconstitution</t>
  </si>
  <si>
    <t>ORA</t>
  </si>
  <si>
    <t>NE</t>
  </si>
  <si>
    <t>MA</t>
  </si>
  <si>
    <t>SE</t>
  </si>
  <si>
    <t>MW</t>
  </si>
  <si>
    <t>DS</t>
  </si>
  <si>
    <t>NW</t>
  </si>
  <si>
    <t>SW</t>
  </si>
  <si>
    <t>POJ</t>
  </si>
  <si>
    <t>ROJ</t>
  </si>
  <si>
    <t>Price 3</t>
  </si>
  <si>
    <t>Price 2</t>
  </si>
  <si>
    <t>Price 1</t>
  </si>
  <si>
    <t>Pricing for each product in each region($/lb)</t>
  </si>
  <si>
    <t>Grove:Multiplier</t>
  </si>
  <si>
    <t>Raw Materials</t>
  </si>
  <si>
    <t>Type</t>
  </si>
  <si>
    <t>Multiplier</t>
  </si>
  <si>
    <t>Reconstitute FCOJ into ROJ at Storages(%)</t>
  </si>
  <si>
    <t>Ship ORA from Groves to Plants or Storages(%)</t>
  </si>
  <si>
    <t>Ship FCOJ (futures) from FLA to Storages; Ship POJ, FCOJ from Plants to Storages(%)</t>
  </si>
  <si>
    <t>Region:Month</t>
  </si>
  <si>
    <t>Storage:Month</t>
  </si>
  <si>
    <t>TankCars(unit of cars)</t>
  </si>
  <si>
    <t>Type:Month</t>
  </si>
  <si>
    <t>Sum</t>
  </si>
  <si>
    <t>This year</t>
  </si>
  <si>
    <t>Next year</t>
  </si>
  <si>
    <t>Arrival of matured ORA Futures and FCOJ Futures(%)</t>
  </si>
  <si>
    <t>Purchases at the Futures Market(tons) (ORA and FCOJ)</t>
  </si>
  <si>
    <t>Plants(tons)</t>
  </si>
  <si>
    <t>Storages(tons)</t>
  </si>
  <si>
    <t>Quantity Multipliers(unit, $/lb)</t>
  </si>
  <si>
    <t>Pricing</t>
  </si>
  <si>
    <t>Price</t>
  </si>
  <si>
    <t>Quantity</t>
  </si>
  <si>
    <t>Maturity</t>
  </si>
  <si>
    <t>Matured Amount:</t>
  </si>
  <si>
    <r>
      <t xml:space="preserve">FLA </t>
    </r>
    <r>
      <rPr>
        <i/>
        <sz val="10"/>
        <rFont val="Arial"/>
        <family val="2"/>
      </rPr>
      <t>(spot &amp; futures)</t>
    </r>
  </si>
  <si>
    <r>
      <t xml:space="preserve">Purchases at the Spot Market(tons per </t>
    </r>
    <r>
      <rPr>
        <b/>
        <i/>
        <sz val="10"/>
        <rFont val="Arial"/>
        <family val="2"/>
      </rPr>
      <t>week</t>
    </r>
    <r>
      <rPr>
        <i/>
        <sz val="10"/>
        <rFont val="Arial"/>
        <family val="2"/>
      </rPr>
      <t xml:space="preserve"> in a month) (ORA)</t>
    </r>
  </si>
  <si>
    <t>oriangagrande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</si>
</sst>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i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5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0" fillId="3" borderId="1" xfId="0" applyFill="1" applyBorder="1"/>
    <xf numFmtId="0" fontId="0" fillId="3" borderId="2" xfId="0" applyFill="1" applyBorder="1" applyAlignment="1">
      <alignment horizontal="right"/>
    </xf>
    <xf numFmtId="0" fontId="0" fillId="3" borderId="3" xfId="0" applyFill="1" applyBorder="1"/>
    <xf numFmtId="0" fontId="0" fillId="3" borderId="4" xfId="0" applyFill="1" applyBorder="1" applyAlignment="1">
      <alignment horizontal="right"/>
    </xf>
    <xf numFmtId="0" fontId="1" fillId="0" borderId="0" xfId="0" applyFont="1" applyAlignment="1"/>
    <xf numFmtId="0" fontId="0" fillId="0" borderId="0" xfId="0" applyAlignment="1"/>
    <xf numFmtId="0" fontId="2" fillId="0" borderId="0" xfId="0" applyFont="1" applyAlignment="1"/>
    <xf numFmtId="0" fontId="1" fillId="2" borderId="0" xfId="0" applyFont="1" applyFill="1" applyAlignment="1"/>
    <xf numFmtId="0" fontId="0" fillId="2" borderId="0" xfId="0" applyFill="1" applyAlignment="1"/>
    <xf numFmtId="0" fontId="0" fillId="3" borderId="5" xfId="0" applyFill="1" applyBorder="1" applyAlignment="1"/>
    <xf numFmtId="0" fontId="0" fillId="3" borderId="6" xfId="0" applyFill="1" applyBorder="1" applyAlignment="1"/>
    <xf numFmtId="0" fontId="0" fillId="3" borderId="0" xfId="0" applyFill="1" applyBorder="1" applyAlignment="1"/>
    <xf numFmtId="0" fontId="0" fillId="3" borderId="2" xfId="0" applyFill="1" applyBorder="1" applyAlignment="1"/>
    <xf numFmtId="0" fontId="0" fillId="3" borderId="7" xfId="0" applyFill="1" applyBorder="1" applyAlignment="1"/>
    <xf numFmtId="0" fontId="0" fillId="3" borderId="3" xfId="0" applyFill="1" applyBorder="1" applyAlignment="1"/>
    <xf numFmtId="0" fontId="0" fillId="3" borderId="8" xfId="0" applyFill="1" applyBorder="1" applyAlignment="1"/>
    <xf numFmtId="0" fontId="0" fillId="3" borderId="4" xfId="0" applyFill="1" applyBorder="1" applyAlignment="1"/>
    <xf numFmtId="0" fontId="0" fillId="2" borderId="9" xfId="0" applyFill="1" applyBorder="1" applyAlignment="1"/>
    <xf numFmtId="0" fontId="0" fillId="2" borderId="0" xfId="0" applyFill="1" applyBorder="1" applyAlignment="1"/>
    <xf numFmtId="0" fontId="0" fillId="3" borderId="10" xfId="0" applyFill="1" applyBorder="1" applyAlignment="1"/>
    <xf numFmtId="0" fontId="0" fillId="3" borderId="11" xfId="0" applyFill="1" applyBorder="1" applyAlignment="1"/>
    <xf numFmtId="0" fontId="0" fillId="3" borderId="1" xfId="0" applyFill="1" applyBorder="1" applyAlignment="1"/>
    <xf numFmtId="0" fontId="0" fillId="3" borderId="9" xfId="0" applyFill="1" applyBorder="1" applyAlignment="1"/>
    <xf numFmtId="0" fontId="0" fillId="3" borderId="12" xfId="0" applyFill="1" applyBorder="1" applyAlignment="1"/>
    <xf numFmtId="0" fontId="1" fillId="0" borderId="0" xfId="0" applyNumberFormat="1" applyFont="1" applyAlignment="1"/>
    <xf numFmtId="0" fontId="0" fillId="0" borderId="0" xfId="0" applyNumberFormat="1" applyAlignment="1"/>
    <xf numFmtId="0" fontId="2" fillId="0" borderId="0" xfId="0" applyNumberFormat="1" applyFont="1" applyAlignment="1"/>
    <xf numFmtId="0" fontId="2" fillId="2" borderId="0" xfId="0" applyNumberFormat="1" applyFont="1" applyFill="1" applyAlignment="1"/>
    <xf numFmtId="0" fontId="0" fillId="2" borderId="0" xfId="0" applyNumberFormat="1" applyFill="1" applyAlignment="1"/>
    <xf numFmtId="0" fontId="0" fillId="3" borderId="5" xfId="0" applyNumberFormat="1" applyFill="1" applyBorder="1" applyAlignment="1"/>
    <xf numFmtId="0" fontId="0" fillId="3" borderId="13" xfId="0" applyNumberFormat="1" applyFill="1" applyBorder="1" applyAlignment="1"/>
    <xf numFmtId="0" fontId="0" fillId="3" borderId="14" xfId="0" applyNumberFormat="1" applyFill="1" applyBorder="1" applyAlignment="1"/>
    <xf numFmtId="0" fontId="0" fillId="3" borderId="12" xfId="0" applyNumberFormat="1" applyFill="1" applyBorder="1" applyAlignment="1"/>
    <xf numFmtId="0" fontId="0" fillId="3" borderId="15" xfId="0" applyNumberFormat="1" applyFill="1" applyBorder="1" applyAlignment="1"/>
    <xf numFmtId="0" fontId="0" fillId="2" borderId="3" xfId="0" applyNumberFormat="1" applyFill="1" applyBorder="1" applyAlignment="1"/>
    <xf numFmtId="0" fontId="0" fillId="2" borderId="8" xfId="0" applyNumberFormat="1" applyFill="1" applyBorder="1" applyAlignment="1"/>
    <xf numFmtId="0" fontId="0" fillId="2" borderId="4" xfId="0" applyNumberFormat="1" applyFill="1" applyBorder="1" applyAlignment="1"/>
    <xf numFmtId="0" fontId="0" fillId="3" borderId="10" xfId="0" applyNumberFormat="1" applyFill="1" applyBorder="1" applyAlignment="1"/>
    <xf numFmtId="0" fontId="0" fillId="2" borderId="9" xfId="0" applyNumberFormat="1" applyFill="1" applyBorder="1" applyAlignment="1"/>
    <xf numFmtId="0" fontId="3" fillId="2" borderId="9" xfId="0" applyNumberFormat="1" applyFont="1" applyFill="1" applyBorder="1" applyAlignment="1"/>
    <xf numFmtId="0" fontId="0" fillId="3" borderId="11" xfId="0" applyNumberFormat="1" applyFill="1" applyBorder="1" applyAlignment="1"/>
    <xf numFmtId="0" fontId="0" fillId="3" borderId="0" xfId="0" applyNumberFormat="1" applyFill="1" applyBorder="1" applyAlignment="1"/>
    <xf numFmtId="0" fontId="0" fillId="3" borderId="7" xfId="0" applyNumberFormat="1" applyFill="1" applyBorder="1" applyAlignment="1"/>
    <xf numFmtId="0" fontId="0" fillId="3" borderId="6" xfId="0" applyNumberFormat="1" applyFill="1" applyBorder="1" applyAlignment="1"/>
    <xf numFmtId="0" fontId="2" fillId="2" borderId="0" xfId="0" applyNumberFormat="1" applyFont="1" applyFill="1" applyBorder="1" applyAlignment="1"/>
    <xf numFmtId="0" fontId="0" fillId="0" borderId="0" xfId="0" applyNumberFormat="1" applyFill="1" applyBorder="1" applyAlignment="1"/>
    <xf numFmtId="0" fontId="0" fillId="0" borderId="0" xfId="0" applyNumberFormat="1" applyFill="1" applyAlignment="1"/>
    <xf numFmtId="0" fontId="0" fillId="2" borderId="0" xfId="0" applyNumberFormat="1" applyFill="1" applyBorder="1" applyAlignment="1"/>
    <xf numFmtId="0" fontId="1" fillId="0" borderId="0" xfId="0" applyNumberFormat="1" applyFont="1" applyFill="1" applyBorder="1" applyAlignment="1"/>
    <xf numFmtId="0" fontId="2" fillId="0" borderId="0" xfId="0" applyNumberFormat="1" applyFont="1" applyFill="1" applyAlignment="1"/>
    <xf numFmtId="0" fontId="1" fillId="2" borderId="0" xfId="0" applyNumberFormat="1" applyFont="1" applyFill="1" applyBorder="1" applyAlignment="1"/>
    <xf numFmtId="0" fontId="2" fillId="0" borderId="0" xfId="0" applyNumberFormat="1" applyFont="1" applyFill="1" applyBorder="1" applyAlignment="1"/>
    <xf numFmtId="0" fontId="3" fillId="0" borderId="0" xfId="0" applyNumberFormat="1" applyFont="1" applyFill="1" applyAlignment="1"/>
    <xf numFmtId="0" fontId="1" fillId="2" borderId="0" xfId="0" applyNumberFormat="1" applyFont="1" applyFill="1" applyAlignment="1"/>
    <xf numFmtId="0" fontId="2" fillId="0" borderId="0" xfId="0" applyNumberFormat="1" applyFont="1" applyAlignment="1">
      <alignment horizontal="right"/>
    </xf>
    <xf numFmtId="0" fontId="4" fillId="3" borderId="5" xfId="0" applyNumberFormat="1" applyFont="1" applyFill="1" applyBorder="1" applyAlignment="1"/>
    <xf numFmtId="0" fontId="0" fillId="0" borderId="6" xfId="0" applyNumberFormat="1" applyBorder="1" applyAlignment="1"/>
    <xf numFmtId="0" fontId="0" fillId="3" borderId="16" xfId="0" applyNumberFormat="1" applyFill="1" applyBorder="1" applyAlignment="1"/>
    <xf numFmtId="0" fontId="0" fillId="3" borderId="17" xfId="0" applyNumberFormat="1" applyFill="1" applyBorder="1" applyAlignment="1"/>
    <xf numFmtId="0" fontId="0" fillId="3" borderId="18" xfId="0" applyNumberFormat="1" applyFill="1" applyBorder="1" applyAlignment="1"/>
    <xf numFmtId="0" fontId="0" fillId="3" borderId="19" xfId="0" applyNumberFormat="1" applyFill="1" applyBorder="1" applyAlignment="1"/>
    <xf numFmtId="0" fontId="0" fillId="3" borderId="20" xfId="0" applyNumberFormat="1" applyFill="1" applyBorder="1" applyAlignment="1"/>
    <xf numFmtId="0" fontId="0" fillId="3" borderId="21" xfId="0" applyNumberFormat="1" applyFill="1" applyBorder="1" applyAlignment="1"/>
    <xf numFmtId="0" fontId="0" fillId="3" borderId="22" xfId="0" applyNumberFormat="1" applyFill="1" applyBorder="1" applyAlignment="1"/>
    <xf numFmtId="0" fontId="0" fillId="0" borderId="21" xfId="0" applyNumberFormat="1" applyBorder="1" applyAlignment="1"/>
    <xf numFmtId="0" fontId="0" fillId="3" borderId="23" xfId="0" applyNumberFormat="1" applyFill="1" applyBorder="1" applyAlignment="1"/>
    <xf numFmtId="0" fontId="4" fillId="0" borderId="0" xfId="0" applyNumberFormat="1" applyFont="1" applyAlignment="1"/>
    <xf numFmtId="0" fontId="0" fillId="0" borderId="7" xfId="0" applyNumberFormat="1" applyBorder="1" applyAlignment="1">
      <alignment horizontal="right"/>
    </xf>
    <xf numFmtId="0" fontId="0" fillId="3" borderId="3" xfId="0" applyNumberFormat="1" applyFill="1" applyBorder="1" applyAlignment="1"/>
    <xf numFmtId="0" fontId="0" fillId="3" borderId="24" xfId="0" applyNumberFormat="1" applyFill="1" applyBorder="1" applyAlignment="1"/>
    <xf numFmtId="0" fontId="0" fillId="3" borderId="25" xfId="0" applyNumberFormat="1" applyFill="1" applyBorder="1" applyAlignment="1"/>
    <xf numFmtId="0" fontId="0" fillId="4" borderId="0" xfId="0" applyNumberFormat="1" applyFill="1" applyBorder="1" applyAlignment="1"/>
    <xf numFmtId="0" fontId="0" fillId="4" borderId="6" xfId="0" applyNumberFormat="1" applyFill="1" applyBorder="1" applyAlignment="1"/>
    <xf numFmtId="0" fontId="0" fillId="4" borderId="3" xfId="0" applyNumberFormat="1" applyFill="1" applyBorder="1" applyAlignment="1"/>
    <xf numFmtId="0" fontId="0" fillId="4" borderId="8" xfId="0" applyNumberFormat="1" applyFill="1" applyBorder="1" applyAlignment="1"/>
    <xf numFmtId="0" fontId="0" fillId="3" borderId="26" xfId="0" applyNumberFormat="1" applyFill="1" applyBorder="1" applyAlignment="1"/>
    <xf numFmtId="0" fontId="0" fillId="0" borderId="8" xfId="0" applyNumberFormat="1" applyBorder="1" applyAlignment="1"/>
    <xf numFmtId="0" fontId="0" fillId="0" borderId="4" xfId="0" applyNumberFormat="1" applyBorder="1" applyAlignment="1"/>
    <xf numFmtId="0" fontId="4" fillId="2" borderId="0" xfId="0" applyFont="1" applyFill="1" applyBorder="1" applyAlignment="1"/>
    <xf numFmtId="0" fontId="4" fillId="2" borderId="0" xfId="0" applyFont="1" applyFill="1" applyAlignment="1"/>
    <xf numFmtId="0" fontId="0" fillId="3" borderId="1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0" borderId="5" xfId="0" applyFill="1" applyBorder="1" applyAlignment="1" applyProtection="1">
      <protection locked="0"/>
    </xf>
    <xf numFmtId="0" fontId="0" fillId="0" borderId="5" xfId="0" applyBorder="1" applyAlignment="1" applyProtection="1">
      <protection locked="0"/>
    </xf>
    <xf numFmtId="0" fontId="0" fillId="0" borderId="4" xfId="0" applyNumberFormat="1" applyFill="1" applyBorder="1" applyAlignment="1" applyProtection="1">
      <protection locked="0"/>
    </xf>
    <xf numFmtId="0" fontId="0" fillId="0" borderId="15" xfId="0" applyNumberFormat="1" applyFill="1" applyBorder="1" applyAlignment="1" applyProtection="1">
      <protection locked="0"/>
    </xf>
    <xf numFmtId="0" fontId="0" fillId="0" borderId="14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3" fillId="0" borderId="15" xfId="0" applyNumberFormat="1" applyFont="1" applyFill="1" applyBorder="1" applyAlignment="1" applyProtection="1">
      <protection locked="0"/>
    </xf>
    <xf numFmtId="0" fontId="3" fillId="0" borderId="5" xfId="0" applyNumberFormat="1" applyFont="1" applyFill="1" applyBorder="1" applyAlignment="1" applyProtection="1">
      <protection locked="0"/>
    </xf>
    <xf numFmtId="0" fontId="0" fillId="0" borderId="5" xfId="0" applyNumberFormat="1" applyBorder="1" applyAlignment="1" applyProtection="1"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11" xfId="0" applyNumberFormat="1" applyFill="1" applyBorder="1" applyAlignment="1" applyProtection="1">
      <protection locked="0"/>
    </xf>
    <xf numFmtId="0" fontId="0" fillId="0" borderId="10" xfId="0" applyNumberFormat="1" applyFill="1" applyBorder="1" applyAlignment="1" applyProtection="1">
      <protection locked="0"/>
    </xf>
    <xf numFmtId="0" fontId="0" fillId="3" borderId="5" xfId="0" applyNumberFormat="1" applyFill="1" applyBorder="1" applyAlignment="1" applyProtection="1"/>
    <xf numFmtId="0" fontId="0" fillId="3" borderId="10" xfId="0" applyNumberFormat="1" applyFill="1" applyBorder="1" applyAlignment="1" applyProtection="1"/>
    <xf numFmtId="0" fontId="0" fillId="3" borderId="11" xfId="0" applyNumberFormat="1" applyFill="1" applyBorder="1" applyAlignment="1" applyProtection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F6"/>
  <sheetViews>
    <sheetView showGridLines="0" tabSelected="1" workbookViewId="0"/>
  </sheetViews>
  <sheetFormatPr defaultRowHeight="12.75" x14ac:dyDescent="0.2"/>
  <cols>
    <col min="1" max="1" width="4.7109375" customWidth="1"/>
  </cols>
  <sheetData>
    <row r="2" spans="2:6" x14ac:dyDescent="0.2">
      <c r="B2" s="1" t="s">
        <v>0</v>
      </c>
    </row>
    <row r="3" spans="2:6" x14ac:dyDescent="0.2">
      <c r="B3" s="2"/>
      <c r="C3" s="3"/>
      <c r="D3" s="3"/>
      <c r="E3" s="3"/>
      <c r="F3" s="3"/>
    </row>
    <row r="4" spans="2:6" x14ac:dyDescent="0.2">
      <c r="B4" s="4"/>
      <c r="C4" s="5" t="s">
        <v>1</v>
      </c>
      <c r="D4" s="84" t="s">
        <v>165</v>
      </c>
      <c r="E4" s="85"/>
      <c r="F4" s="86"/>
    </row>
    <row r="5" spans="2:6" x14ac:dyDescent="0.2">
      <c r="B5" s="6"/>
      <c r="C5" s="7" t="s">
        <v>111</v>
      </c>
      <c r="D5" s="87">
        <v>2014</v>
      </c>
      <c r="E5" s="88"/>
      <c r="F5" s="89"/>
    </row>
    <row r="6" spans="2:6" x14ac:dyDescent="0.2">
      <c r="B6" s="3"/>
      <c r="C6" s="3"/>
      <c r="D6" s="3"/>
      <c r="E6" s="3"/>
      <c r="F6" s="3"/>
    </row>
  </sheetData>
  <sheetProtection algorithmName="SHA-512" hashValue="8zGFN7f3SskTXgF9XaoZ2dvw/7IUPhaId8IFgEc9B0NtJZw7hOGh5dhhawWKTx78IXwkYjnn2nPCflxXIbNQhg==" saltValue="XQlxFvPhl0h+iZ03nJl3Nw==" spinCount="100000" sheet="1" objects="1" scenarios="1"/>
  <mergeCells count="2">
    <mergeCell ref="D4:F4"/>
    <mergeCell ref="D5:F5"/>
  </mergeCells>
  <phoneticPr fontId="0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H107"/>
  <sheetViews>
    <sheetView showGridLines="0" workbookViewId="0"/>
  </sheetViews>
  <sheetFormatPr defaultRowHeight="12.75" x14ac:dyDescent="0.2"/>
  <cols>
    <col min="1" max="1" width="4.7109375" style="9" customWidth="1"/>
    <col min="2" max="2" width="8" style="9" bestFit="1" customWidth="1"/>
    <col min="3" max="3" width="15.7109375" style="9" bestFit="1" customWidth="1"/>
    <col min="4" max="4" width="8.7109375" style="9" customWidth="1"/>
    <col min="5" max="5" width="4.42578125" style="9" customWidth="1"/>
    <col min="6" max="6" width="3.28515625" style="9" bestFit="1" customWidth="1"/>
    <col min="7" max="7" width="8.7109375" style="9" customWidth="1"/>
    <col min="8" max="8" width="9.42578125" style="9" customWidth="1"/>
    <col min="9" max="16384" width="9.140625" style="9"/>
  </cols>
  <sheetData>
    <row r="2" spans="2:8" x14ac:dyDescent="0.2">
      <c r="B2" s="8" t="s">
        <v>2</v>
      </c>
    </row>
    <row r="3" spans="2:8" x14ac:dyDescent="0.2">
      <c r="B3" s="10" t="s">
        <v>155</v>
      </c>
    </row>
    <row r="4" spans="2:8" x14ac:dyDescent="0.2">
      <c r="B4" s="11"/>
      <c r="C4" s="12"/>
      <c r="D4" s="12"/>
      <c r="E4" s="12"/>
      <c r="F4" s="12"/>
      <c r="G4" s="12"/>
      <c r="H4" s="12"/>
    </row>
    <row r="5" spans="2:8" x14ac:dyDescent="0.2">
      <c r="B5" s="13" t="s">
        <v>3</v>
      </c>
      <c r="C5" s="13" t="s">
        <v>4</v>
      </c>
      <c r="D5" s="13" t="s">
        <v>151</v>
      </c>
      <c r="E5" s="13"/>
      <c r="F5" s="13"/>
      <c r="G5" s="13" t="s">
        <v>152</v>
      </c>
      <c r="H5" s="13"/>
    </row>
    <row r="6" spans="2:8" x14ac:dyDescent="0.2">
      <c r="B6" s="14" t="s">
        <v>5</v>
      </c>
      <c r="C6" s="90"/>
      <c r="D6" s="15">
        <v>345</v>
      </c>
      <c r="E6" s="15"/>
      <c r="F6" s="15" t="s">
        <v>6</v>
      </c>
      <c r="G6" s="15">
        <f t="shared" ref="G6:G15" si="0">$D6+$C6</f>
        <v>345</v>
      </c>
      <c r="H6" s="16" t="str">
        <f t="shared" ref="H6:H15" si="1">IF(AND($D6=0, $G6&gt;0),"new", IF(AND($D6&gt;0, $G6=0),"sold",""))</f>
        <v/>
      </c>
    </row>
    <row r="7" spans="2:8" x14ac:dyDescent="0.2">
      <c r="B7" s="14" t="s">
        <v>7</v>
      </c>
      <c r="C7" s="90"/>
      <c r="D7" s="15">
        <v>0</v>
      </c>
      <c r="E7" s="15"/>
      <c r="F7" s="15" t="s">
        <v>6</v>
      </c>
      <c r="G7" s="15">
        <f t="shared" si="0"/>
        <v>0</v>
      </c>
      <c r="H7" s="17" t="str">
        <f t="shared" si="1"/>
        <v/>
      </c>
    </row>
    <row r="8" spans="2:8" x14ac:dyDescent="0.2">
      <c r="B8" s="14" t="s">
        <v>8</v>
      </c>
      <c r="C8" s="90"/>
      <c r="D8" s="15">
        <v>0</v>
      </c>
      <c r="E8" s="15"/>
      <c r="F8" s="15" t="s">
        <v>6</v>
      </c>
      <c r="G8" s="15">
        <f t="shared" si="0"/>
        <v>0</v>
      </c>
      <c r="H8" s="17" t="str">
        <f t="shared" si="1"/>
        <v/>
      </c>
    </row>
    <row r="9" spans="2:8" x14ac:dyDescent="0.2">
      <c r="B9" s="14" t="s">
        <v>9</v>
      </c>
      <c r="C9" s="90"/>
      <c r="D9" s="15">
        <v>0</v>
      </c>
      <c r="E9" s="15"/>
      <c r="F9" s="15" t="s">
        <v>6</v>
      </c>
      <c r="G9" s="15">
        <f t="shared" si="0"/>
        <v>0</v>
      </c>
      <c r="H9" s="17" t="str">
        <f t="shared" si="1"/>
        <v/>
      </c>
    </row>
    <row r="10" spans="2:8" x14ac:dyDescent="0.2">
      <c r="B10" s="14" t="s">
        <v>10</v>
      </c>
      <c r="C10" s="90"/>
      <c r="D10" s="15">
        <v>500</v>
      </c>
      <c r="E10" s="15"/>
      <c r="F10" s="15" t="s">
        <v>6</v>
      </c>
      <c r="G10" s="15">
        <f t="shared" si="0"/>
        <v>500</v>
      </c>
      <c r="H10" s="17" t="str">
        <f t="shared" si="1"/>
        <v/>
      </c>
    </row>
    <row r="11" spans="2:8" x14ac:dyDescent="0.2">
      <c r="B11" s="14" t="s">
        <v>11</v>
      </c>
      <c r="C11" s="90"/>
      <c r="D11" s="15">
        <v>0</v>
      </c>
      <c r="E11" s="15"/>
      <c r="F11" s="15" t="s">
        <v>6</v>
      </c>
      <c r="G11" s="15">
        <f t="shared" si="0"/>
        <v>0</v>
      </c>
      <c r="H11" s="17" t="str">
        <f t="shared" si="1"/>
        <v/>
      </c>
    </row>
    <row r="12" spans="2:8" x14ac:dyDescent="0.2">
      <c r="B12" s="14" t="s">
        <v>12</v>
      </c>
      <c r="C12" s="90"/>
      <c r="D12" s="15">
        <v>3589</v>
      </c>
      <c r="E12" s="15"/>
      <c r="F12" s="15" t="s">
        <v>6</v>
      </c>
      <c r="G12" s="15">
        <f t="shared" si="0"/>
        <v>3589</v>
      </c>
      <c r="H12" s="17" t="str">
        <f t="shared" si="1"/>
        <v/>
      </c>
    </row>
    <row r="13" spans="2:8" x14ac:dyDescent="0.2">
      <c r="B13" s="14" t="s">
        <v>13</v>
      </c>
      <c r="C13" s="90"/>
      <c r="D13" s="15">
        <v>0</v>
      </c>
      <c r="E13" s="15"/>
      <c r="F13" s="15" t="s">
        <v>6</v>
      </c>
      <c r="G13" s="15">
        <f t="shared" si="0"/>
        <v>0</v>
      </c>
      <c r="H13" s="17" t="str">
        <f t="shared" si="1"/>
        <v/>
      </c>
    </row>
    <row r="14" spans="2:8" x14ac:dyDescent="0.2">
      <c r="B14" s="14" t="s">
        <v>14</v>
      </c>
      <c r="C14" s="90"/>
      <c r="D14" s="15">
        <v>0</v>
      </c>
      <c r="E14" s="15"/>
      <c r="F14" s="15" t="s">
        <v>6</v>
      </c>
      <c r="G14" s="15">
        <f t="shared" si="0"/>
        <v>0</v>
      </c>
      <c r="H14" s="17" t="str">
        <f t="shared" si="1"/>
        <v/>
      </c>
    </row>
    <row r="15" spans="2:8" x14ac:dyDescent="0.2">
      <c r="B15" s="18" t="s">
        <v>15</v>
      </c>
      <c r="C15" s="90"/>
      <c r="D15" s="15">
        <v>0</v>
      </c>
      <c r="E15" s="15"/>
      <c r="F15" s="19" t="s">
        <v>6</v>
      </c>
      <c r="G15" s="15">
        <f t="shared" si="0"/>
        <v>0</v>
      </c>
      <c r="H15" s="20" t="str">
        <f t="shared" si="1"/>
        <v/>
      </c>
    </row>
    <row r="16" spans="2:8" x14ac:dyDescent="0.2">
      <c r="B16" s="21"/>
      <c r="C16" s="21"/>
      <c r="D16" s="21">
        <f>COUNTIF($D$6:$D$15,"&gt;0")</f>
        <v>3</v>
      </c>
      <c r="E16" s="21" t="s">
        <v>16</v>
      </c>
      <c r="F16" s="12"/>
      <c r="G16" s="21">
        <f>COUNTIF(G6:G15,"&gt;0")</f>
        <v>3</v>
      </c>
      <c r="H16" s="82" t="s">
        <v>16</v>
      </c>
    </row>
    <row r="18" spans="2:8" x14ac:dyDescent="0.2">
      <c r="B18" s="10" t="s">
        <v>148</v>
      </c>
    </row>
    <row r="19" spans="2:8" x14ac:dyDescent="0.2">
      <c r="B19" s="11"/>
      <c r="C19" s="12"/>
      <c r="D19" s="12"/>
      <c r="E19" s="12"/>
      <c r="F19" s="12"/>
      <c r="G19" s="12"/>
      <c r="H19" s="12"/>
    </row>
    <row r="20" spans="2:8" x14ac:dyDescent="0.2">
      <c r="B20" s="13" t="s">
        <v>3</v>
      </c>
      <c r="C20" s="13" t="s">
        <v>17</v>
      </c>
      <c r="D20" s="13" t="s">
        <v>151</v>
      </c>
      <c r="E20" s="13"/>
      <c r="F20" s="13"/>
      <c r="G20" s="13" t="s">
        <v>152</v>
      </c>
      <c r="H20" s="13"/>
    </row>
    <row r="21" spans="2:8" x14ac:dyDescent="0.2">
      <c r="B21" s="14" t="s">
        <v>5</v>
      </c>
      <c r="C21" s="91"/>
      <c r="D21" s="15">
        <v>11</v>
      </c>
      <c r="E21" s="15"/>
      <c r="F21" s="15" t="s">
        <v>6</v>
      </c>
      <c r="G21" s="15">
        <f t="shared" ref="G21:G30" si="2">$D21+$C21</f>
        <v>11</v>
      </c>
      <c r="H21" s="17"/>
    </row>
    <row r="22" spans="2:8" x14ac:dyDescent="0.2">
      <c r="B22" s="14" t="s">
        <v>7</v>
      </c>
      <c r="C22" s="91"/>
      <c r="D22" s="15">
        <v>0</v>
      </c>
      <c r="E22" s="15"/>
      <c r="F22" s="15" t="s">
        <v>6</v>
      </c>
      <c r="G22" s="15">
        <f t="shared" si="2"/>
        <v>0</v>
      </c>
      <c r="H22" s="17"/>
    </row>
    <row r="23" spans="2:8" x14ac:dyDescent="0.2">
      <c r="B23" s="14" t="s">
        <v>8</v>
      </c>
      <c r="C23" s="91"/>
      <c r="D23" s="15">
        <v>0</v>
      </c>
      <c r="E23" s="15"/>
      <c r="F23" s="15" t="s">
        <v>6</v>
      </c>
      <c r="G23" s="15">
        <f t="shared" si="2"/>
        <v>0</v>
      </c>
      <c r="H23" s="17"/>
    </row>
    <row r="24" spans="2:8" x14ac:dyDescent="0.2">
      <c r="B24" s="14" t="s">
        <v>9</v>
      </c>
      <c r="C24" s="91"/>
      <c r="D24" s="15">
        <v>0</v>
      </c>
      <c r="E24" s="15"/>
      <c r="F24" s="15" t="s">
        <v>6</v>
      </c>
      <c r="G24" s="15">
        <f t="shared" si="2"/>
        <v>0</v>
      </c>
      <c r="H24" s="17"/>
    </row>
    <row r="25" spans="2:8" x14ac:dyDescent="0.2">
      <c r="B25" s="14" t="s">
        <v>10</v>
      </c>
      <c r="C25" s="91"/>
      <c r="D25" s="15">
        <v>22</v>
      </c>
      <c r="E25" s="15"/>
      <c r="F25" s="15" t="s">
        <v>6</v>
      </c>
      <c r="G25" s="15">
        <f t="shared" si="2"/>
        <v>22</v>
      </c>
      <c r="H25" s="17"/>
    </row>
    <row r="26" spans="2:8" x14ac:dyDescent="0.2">
      <c r="B26" s="14" t="s">
        <v>11</v>
      </c>
      <c r="C26" s="91"/>
      <c r="D26" s="15">
        <v>0</v>
      </c>
      <c r="E26" s="15"/>
      <c r="F26" s="15" t="s">
        <v>6</v>
      </c>
      <c r="G26" s="15">
        <f t="shared" si="2"/>
        <v>0</v>
      </c>
      <c r="H26" s="17"/>
    </row>
    <row r="27" spans="2:8" x14ac:dyDescent="0.2">
      <c r="B27" s="14" t="s">
        <v>12</v>
      </c>
      <c r="C27" s="91"/>
      <c r="D27" s="15">
        <v>53</v>
      </c>
      <c r="E27" s="15"/>
      <c r="F27" s="15" t="s">
        <v>6</v>
      </c>
      <c r="G27" s="15">
        <f t="shared" si="2"/>
        <v>53</v>
      </c>
      <c r="H27" s="17"/>
    </row>
    <row r="28" spans="2:8" x14ac:dyDescent="0.2">
      <c r="B28" s="14" t="s">
        <v>13</v>
      </c>
      <c r="C28" s="91"/>
      <c r="D28" s="15">
        <v>0</v>
      </c>
      <c r="E28" s="15"/>
      <c r="F28" s="15" t="s">
        <v>6</v>
      </c>
      <c r="G28" s="15">
        <f t="shared" si="2"/>
        <v>0</v>
      </c>
      <c r="H28" s="17"/>
    </row>
    <row r="29" spans="2:8" x14ac:dyDescent="0.2">
      <c r="B29" s="14" t="s">
        <v>14</v>
      </c>
      <c r="C29" s="91"/>
      <c r="D29" s="15">
        <v>0</v>
      </c>
      <c r="E29" s="15"/>
      <c r="F29" s="15" t="s">
        <v>6</v>
      </c>
      <c r="G29" s="15">
        <f t="shared" si="2"/>
        <v>0</v>
      </c>
      <c r="H29" s="17"/>
    </row>
    <row r="30" spans="2:8" x14ac:dyDescent="0.2">
      <c r="B30" s="18" t="s">
        <v>15</v>
      </c>
      <c r="C30" s="91"/>
      <c r="D30" s="15">
        <v>0</v>
      </c>
      <c r="E30" s="15"/>
      <c r="F30" s="19" t="s">
        <v>6</v>
      </c>
      <c r="G30" s="15">
        <f t="shared" si="2"/>
        <v>0</v>
      </c>
      <c r="H30" s="20"/>
    </row>
    <row r="31" spans="2:8" x14ac:dyDescent="0.2">
      <c r="B31" s="21"/>
      <c r="C31" s="21"/>
      <c r="D31" s="21">
        <f>SUM($D$21:$D$30)</f>
        <v>86</v>
      </c>
      <c r="E31" s="21" t="s">
        <v>18</v>
      </c>
      <c r="F31" s="21"/>
      <c r="G31" s="21"/>
      <c r="H31" s="22"/>
    </row>
    <row r="33" spans="2:8" x14ac:dyDescent="0.2">
      <c r="B33" s="10" t="s">
        <v>156</v>
      </c>
    </row>
    <row r="34" spans="2:8" x14ac:dyDescent="0.2">
      <c r="B34" s="11"/>
      <c r="C34" s="12"/>
      <c r="D34" s="12"/>
      <c r="E34" s="12"/>
      <c r="F34" s="12"/>
      <c r="G34" s="12"/>
      <c r="H34" s="12"/>
    </row>
    <row r="35" spans="2:8" x14ac:dyDescent="0.2">
      <c r="B35" s="13" t="s">
        <v>3</v>
      </c>
      <c r="C35" s="13" t="s">
        <v>4</v>
      </c>
      <c r="D35" s="23" t="s">
        <v>151</v>
      </c>
      <c r="E35" s="23"/>
      <c r="F35" s="23"/>
      <c r="G35" s="24" t="s">
        <v>152</v>
      </c>
      <c r="H35" s="13"/>
    </row>
    <row r="36" spans="2:8" x14ac:dyDescent="0.2">
      <c r="B36" s="25" t="s">
        <v>19</v>
      </c>
      <c r="C36" s="90"/>
      <c r="D36" s="25">
        <v>0</v>
      </c>
      <c r="E36" s="26"/>
      <c r="F36" s="26" t="s">
        <v>6</v>
      </c>
      <c r="G36" s="15">
        <f t="shared" ref="G36:G67" si="3">$D36+$C36</f>
        <v>0</v>
      </c>
      <c r="H36" s="17" t="str">
        <f t="shared" ref="H36:H67" si="4">IF(AND($D36=0, $G36&gt;0),"new", IF(AND($D36&gt;0, $G36=0),"sold",""))</f>
        <v/>
      </c>
    </row>
    <row r="37" spans="2:8" x14ac:dyDescent="0.2">
      <c r="B37" s="14" t="s">
        <v>20</v>
      </c>
      <c r="C37" s="90"/>
      <c r="D37" s="14">
        <v>0</v>
      </c>
      <c r="E37" s="15"/>
      <c r="F37" s="15" t="s">
        <v>6</v>
      </c>
      <c r="G37" s="15">
        <f t="shared" si="3"/>
        <v>0</v>
      </c>
      <c r="H37" s="17" t="str">
        <f t="shared" si="4"/>
        <v/>
      </c>
    </row>
    <row r="38" spans="2:8" x14ac:dyDescent="0.2">
      <c r="B38" s="14" t="s">
        <v>21</v>
      </c>
      <c r="C38" s="90"/>
      <c r="D38" s="14">
        <v>0</v>
      </c>
      <c r="E38" s="15"/>
      <c r="F38" s="15" t="s">
        <v>6</v>
      </c>
      <c r="G38" s="15">
        <f t="shared" si="3"/>
        <v>0</v>
      </c>
      <c r="H38" s="17" t="str">
        <f t="shared" si="4"/>
        <v/>
      </c>
    </row>
    <row r="39" spans="2:8" x14ac:dyDescent="0.2">
      <c r="B39" s="14" t="s">
        <v>22</v>
      </c>
      <c r="C39" s="90"/>
      <c r="D39" s="14">
        <v>50000</v>
      </c>
      <c r="E39" s="15"/>
      <c r="F39" s="15" t="s">
        <v>6</v>
      </c>
      <c r="G39" s="15">
        <f t="shared" si="3"/>
        <v>50000</v>
      </c>
      <c r="H39" s="17" t="str">
        <f t="shared" si="4"/>
        <v/>
      </c>
    </row>
    <row r="40" spans="2:8" x14ac:dyDescent="0.2">
      <c r="B40" s="14" t="s">
        <v>23</v>
      </c>
      <c r="C40" s="90"/>
      <c r="D40" s="14">
        <v>0</v>
      </c>
      <c r="E40" s="15"/>
      <c r="F40" s="15" t="s">
        <v>6</v>
      </c>
      <c r="G40" s="15">
        <f t="shared" si="3"/>
        <v>0</v>
      </c>
      <c r="H40" s="17" t="str">
        <f t="shared" si="4"/>
        <v/>
      </c>
    </row>
    <row r="41" spans="2:8" x14ac:dyDescent="0.2">
      <c r="B41" s="14" t="s">
        <v>24</v>
      </c>
      <c r="C41" s="90"/>
      <c r="D41" s="14">
        <v>0</v>
      </c>
      <c r="E41" s="15"/>
      <c r="F41" s="15" t="s">
        <v>6</v>
      </c>
      <c r="G41" s="15">
        <f t="shared" si="3"/>
        <v>0</v>
      </c>
      <c r="H41" s="17" t="str">
        <f t="shared" si="4"/>
        <v/>
      </c>
    </row>
    <row r="42" spans="2:8" x14ac:dyDescent="0.2">
      <c r="B42" s="14" t="s">
        <v>25</v>
      </c>
      <c r="C42" s="90"/>
      <c r="D42" s="14">
        <v>0</v>
      </c>
      <c r="E42" s="15"/>
      <c r="F42" s="15" t="s">
        <v>6</v>
      </c>
      <c r="G42" s="15">
        <f t="shared" si="3"/>
        <v>0</v>
      </c>
      <c r="H42" s="17" t="str">
        <f t="shared" si="4"/>
        <v/>
      </c>
    </row>
    <row r="43" spans="2:8" x14ac:dyDescent="0.2">
      <c r="B43" s="14" t="s">
        <v>26</v>
      </c>
      <c r="C43" s="90"/>
      <c r="D43" s="14">
        <v>0</v>
      </c>
      <c r="E43" s="15"/>
      <c r="F43" s="15" t="s">
        <v>6</v>
      </c>
      <c r="G43" s="15">
        <f t="shared" si="3"/>
        <v>0</v>
      </c>
      <c r="H43" s="17" t="str">
        <f t="shared" si="4"/>
        <v/>
      </c>
    </row>
    <row r="44" spans="2:8" x14ac:dyDescent="0.2">
      <c r="B44" s="14" t="s">
        <v>27</v>
      </c>
      <c r="C44" s="90"/>
      <c r="D44" s="14">
        <v>0</v>
      </c>
      <c r="E44" s="15"/>
      <c r="F44" s="15" t="s">
        <v>6</v>
      </c>
      <c r="G44" s="15">
        <f t="shared" si="3"/>
        <v>0</v>
      </c>
      <c r="H44" s="17" t="str">
        <f t="shared" si="4"/>
        <v/>
      </c>
    </row>
    <row r="45" spans="2:8" x14ac:dyDescent="0.2">
      <c r="B45" s="14" t="s">
        <v>28</v>
      </c>
      <c r="C45" s="90"/>
      <c r="D45" s="14">
        <v>0</v>
      </c>
      <c r="E45" s="15"/>
      <c r="F45" s="15" t="s">
        <v>6</v>
      </c>
      <c r="G45" s="15">
        <f t="shared" si="3"/>
        <v>0</v>
      </c>
      <c r="H45" s="17" t="str">
        <f t="shared" si="4"/>
        <v/>
      </c>
    </row>
    <row r="46" spans="2:8" x14ac:dyDescent="0.2">
      <c r="B46" s="14" t="s">
        <v>29</v>
      </c>
      <c r="C46" s="90"/>
      <c r="D46" s="14">
        <v>0</v>
      </c>
      <c r="E46" s="15"/>
      <c r="F46" s="15" t="s">
        <v>6</v>
      </c>
      <c r="G46" s="15">
        <f t="shared" si="3"/>
        <v>0</v>
      </c>
      <c r="H46" s="17" t="str">
        <f t="shared" si="4"/>
        <v/>
      </c>
    </row>
    <row r="47" spans="2:8" x14ac:dyDescent="0.2">
      <c r="B47" s="14" t="s">
        <v>30</v>
      </c>
      <c r="C47" s="90"/>
      <c r="D47" s="14">
        <v>0</v>
      </c>
      <c r="E47" s="15"/>
      <c r="F47" s="15" t="s">
        <v>6</v>
      </c>
      <c r="G47" s="15">
        <f t="shared" si="3"/>
        <v>0</v>
      </c>
      <c r="H47" s="17" t="str">
        <f t="shared" si="4"/>
        <v/>
      </c>
    </row>
    <row r="48" spans="2:8" x14ac:dyDescent="0.2">
      <c r="B48" s="14" t="s">
        <v>31</v>
      </c>
      <c r="C48" s="90"/>
      <c r="D48" s="14">
        <v>0</v>
      </c>
      <c r="E48" s="15"/>
      <c r="F48" s="15" t="s">
        <v>6</v>
      </c>
      <c r="G48" s="15">
        <f t="shared" si="3"/>
        <v>0</v>
      </c>
      <c r="H48" s="17" t="str">
        <f t="shared" si="4"/>
        <v/>
      </c>
    </row>
    <row r="49" spans="2:8" x14ac:dyDescent="0.2">
      <c r="B49" s="14" t="s">
        <v>32</v>
      </c>
      <c r="C49" s="90"/>
      <c r="D49" s="14">
        <v>0</v>
      </c>
      <c r="E49" s="15"/>
      <c r="F49" s="15" t="s">
        <v>6</v>
      </c>
      <c r="G49" s="15">
        <f t="shared" si="3"/>
        <v>0</v>
      </c>
      <c r="H49" s="17" t="str">
        <f t="shared" si="4"/>
        <v/>
      </c>
    </row>
    <row r="50" spans="2:8" x14ac:dyDescent="0.2">
      <c r="B50" s="14" t="s">
        <v>33</v>
      </c>
      <c r="C50" s="90"/>
      <c r="D50" s="14">
        <v>0</v>
      </c>
      <c r="E50" s="15"/>
      <c r="F50" s="15" t="s">
        <v>6</v>
      </c>
      <c r="G50" s="15">
        <f t="shared" si="3"/>
        <v>0</v>
      </c>
      <c r="H50" s="17" t="str">
        <f t="shared" si="4"/>
        <v/>
      </c>
    </row>
    <row r="51" spans="2:8" x14ac:dyDescent="0.2">
      <c r="B51" s="14" t="s">
        <v>34</v>
      </c>
      <c r="C51" s="90"/>
      <c r="D51" s="14">
        <v>0</v>
      </c>
      <c r="E51" s="15"/>
      <c r="F51" s="15" t="s">
        <v>6</v>
      </c>
      <c r="G51" s="15">
        <f t="shared" si="3"/>
        <v>0</v>
      </c>
      <c r="H51" s="17" t="str">
        <f t="shared" si="4"/>
        <v/>
      </c>
    </row>
    <row r="52" spans="2:8" x14ac:dyDescent="0.2">
      <c r="B52" s="14" t="s">
        <v>35</v>
      </c>
      <c r="C52" s="90"/>
      <c r="D52" s="14">
        <v>0</v>
      </c>
      <c r="E52" s="15"/>
      <c r="F52" s="15" t="s">
        <v>6</v>
      </c>
      <c r="G52" s="15">
        <f t="shared" si="3"/>
        <v>0</v>
      </c>
      <c r="H52" s="17" t="str">
        <f t="shared" si="4"/>
        <v/>
      </c>
    </row>
    <row r="53" spans="2:8" x14ac:dyDescent="0.2">
      <c r="B53" s="14" t="s">
        <v>36</v>
      </c>
      <c r="C53" s="90"/>
      <c r="D53" s="14">
        <v>0</v>
      </c>
      <c r="E53" s="15"/>
      <c r="F53" s="15" t="s">
        <v>6</v>
      </c>
      <c r="G53" s="15">
        <f t="shared" si="3"/>
        <v>0</v>
      </c>
      <c r="H53" s="17" t="str">
        <f t="shared" si="4"/>
        <v/>
      </c>
    </row>
    <row r="54" spans="2:8" x14ac:dyDescent="0.2">
      <c r="B54" s="14" t="s">
        <v>37</v>
      </c>
      <c r="C54" s="90"/>
      <c r="D54" s="14">
        <v>0</v>
      </c>
      <c r="E54" s="15"/>
      <c r="F54" s="15" t="s">
        <v>6</v>
      </c>
      <c r="G54" s="15">
        <f t="shared" si="3"/>
        <v>0</v>
      </c>
      <c r="H54" s="17" t="str">
        <f t="shared" si="4"/>
        <v/>
      </c>
    </row>
    <row r="55" spans="2:8" x14ac:dyDescent="0.2">
      <c r="B55" s="14" t="s">
        <v>38</v>
      </c>
      <c r="C55" s="90"/>
      <c r="D55" s="14">
        <v>0</v>
      </c>
      <c r="E55" s="15"/>
      <c r="F55" s="15" t="s">
        <v>6</v>
      </c>
      <c r="G55" s="15">
        <f t="shared" si="3"/>
        <v>0</v>
      </c>
      <c r="H55" s="17" t="str">
        <f t="shared" si="4"/>
        <v/>
      </c>
    </row>
    <row r="56" spans="2:8" x14ac:dyDescent="0.2">
      <c r="B56" s="14" t="s">
        <v>39</v>
      </c>
      <c r="C56" s="90"/>
      <c r="D56" s="14">
        <v>0</v>
      </c>
      <c r="E56" s="15"/>
      <c r="F56" s="15" t="s">
        <v>6</v>
      </c>
      <c r="G56" s="15">
        <f t="shared" si="3"/>
        <v>0</v>
      </c>
      <c r="H56" s="17" t="str">
        <f t="shared" si="4"/>
        <v/>
      </c>
    </row>
    <row r="57" spans="2:8" x14ac:dyDescent="0.2">
      <c r="B57" s="14" t="s">
        <v>40</v>
      </c>
      <c r="C57" s="90"/>
      <c r="D57" s="14">
        <v>0</v>
      </c>
      <c r="E57" s="15"/>
      <c r="F57" s="15" t="s">
        <v>6</v>
      </c>
      <c r="G57" s="15">
        <f t="shared" si="3"/>
        <v>0</v>
      </c>
      <c r="H57" s="17" t="str">
        <f t="shared" si="4"/>
        <v/>
      </c>
    </row>
    <row r="58" spans="2:8" x14ac:dyDescent="0.2">
      <c r="B58" s="14" t="s">
        <v>41</v>
      </c>
      <c r="C58" s="90"/>
      <c r="D58" s="14">
        <v>0</v>
      </c>
      <c r="E58" s="15"/>
      <c r="F58" s="15" t="s">
        <v>6</v>
      </c>
      <c r="G58" s="15">
        <f t="shared" si="3"/>
        <v>0</v>
      </c>
      <c r="H58" s="17" t="str">
        <f t="shared" si="4"/>
        <v/>
      </c>
    </row>
    <row r="59" spans="2:8" x14ac:dyDescent="0.2">
      <c r="B59" s="14" t="s">
        <v>42</v>
      </c>
      <c r="C59" s="90"/>
      <c r="D59" s="14">
        <v>0</v>
      </c>
      <c r="E59" s="15"/>
      <c r="F59" s="15" t="s">
        <v>6</v>
      </c>
      <c r="G59" s="15">
        <f t="shared" si="3"/>
        <v>0</v>
      </c>
      <c r="H59" s="17" t="str">
        <f t="shared" si="4"/>
        <v/>
      </c>
    </row>
    <row r="60" spans="2:8" x14ac:dyDescent="0.2">
      <c r="B60" s="14" t="s">
        <v>43</v>
      </c>
      <c r="C60" s="90"/>
      <c r="D60" s="15">
        <v>0</v>
      </c>
      <c r="E60" s="15"/>
      <c r="F60" s="15" t="s">
        <v>6</v>
      </c>
      <c r="G60" s="15">
        <f t="shared" si="3"/>
        <v>0</v>
      </c>
      <c r="H60" s="17" t="str">
        <f t="shared" si="4"/>
        <v/>
      </c>
    </row>
    <row r="61" spans="2:8" x14ac:dyDescent="0.2">
      <c r="B61" s="14" t="s">
        <v>44</v>
      </c>
      <c r="C61" s="91"/>
      <c r="D61" s="15">
        <v>0</v>
      </c>
      <c r="E61" s="15"/>
      <c r="F61" s="15" t="s">
        <v>6</v>
      </c>
      <c r="G61" s="15">
        <f t="shared" si="3"/>
        <v>0</v>
      </c>
      <c r="H61" s="17" t="str">
        <f t="shared" si="4"/>
        <v/>
      </c>
    </row>
    <row r="62" spans="2:8" x14ac:dyDescent="0.2">
      <c r="B62" s="14" t="s">
        <v>45</v>
      </c>
      <c r="C62" s="91"/>
      <c r="D62" s="15">
        <v>0</v>
      </c>
      <c r="E62" s="15"/>
      <c r="F62" s="15" t="s">
        <v>6</v>
      </c>
      <c r="G62" s="15">
        <f t="shared" si="3"/>
        <v>0</v>
      </c>
      <c r="H62" s="17" t="str">
        <f t="shared" si="4"/>
        <v/>
      </c>
    </row>
    <row r="63" spans="2:8" x14ac:dyDescent="0.2">
      <c r="B63" s="14" t="s">
        <v>46</v>
      </c>
      <c r="C63" s="91"/>
      <c r="D63" s="15">
        <v>0</v>
      </c>
      <c r="E63" s="15"/>
      <c r="F63" s="15" t="s">
        <v>6</v>
      </c>
      <c r="G63" s="15">
        <f t="shared" si="3"/>
        <v>0</v>
      </c>
      <c r="H63" s="17" t="str">
        <f t="shared" si="4"/>
        <v/>
      </c>
    </row>
    <row r="64" spans="2:8" x14ac:dyDescent="0.2">
      <c r="B64" s="14" t="s">
        <v>47</v>
      </c>
      <c r="C64" s="91"/>
      <c r="D64" s="15">
        <v>0</v>
      </c>
      <c r="E64" s="15"/>
      <c r="F64" s="15" t="s">
        <v>6</v>
      </c>
      <c r="G64" s="15">
        <f t="shared" si="3"/>
        <v>0</v>
      </c>
      <c r="H64" s="17" t="str">
        <f t="shared" si="4"/>
        <v/>
      </c>
    </row>
    <row r="65" spans="2:8" x14ac:dyDescent="0.2">
      <c r="B65" s="14" t="s">
        <v>48</v>
      </c>
      <c r="C65" s="91"/>
      <c r="D65" s="15">
        <v>0</v>
      </c>
      <c r="E65" s="15"/>
      <c r="F65" s="15" t="s">
        <v>6</v>
      </c>
      <c r="G65" s="15">
        <f t="shared" si="3"/>
        <v>0</v>
      </c>
      <c r="H65" s="17" t="str">
        <f t="shared" si="4"/>
        <v/>
      </c>
    </row>
    <row r="66" spans="2:8" x14ac:dyDescent="0.2">
      <c r="B66" s="14" t="s">
        <v>49</v>
      </c>
      <c r="C66" s="91"/>
      <c r="D66" s="15">
        <v>0</v>
      </c>
      <c r="E66" s="15"/>
      <c r="F66" s="15" t="s">
        <v>6</v>
      </c>
      <c r="G66" s="15">
        <f t="shared" si="3"/>
        <v>0</v>
      </c>
      <c r="H66" s="17" t="str">
        <f t="shared" si="4"/>
        <v/>
      </c>
    </row>
    <row r="67" spans="2:8" x14ac:dyDescent="0.2">
      <c r="B67" s="14" t="s">
        <v>50</v>
      </c>
      <c r="C67" s="91"/>
      <c r="D67" s="15">
        <v>0</v>
      </c>
      <c r="E67" s="15"/>
      <c r="F67" s="15" t="s">
        <v>6</v>
      </c>
      <c r="G67" s="15">
        <f t="shared" si="3"/>
        <v>0</v>
      </c>
      <c r="H67" s="17" t="str">
        <f t="shared" si="4"/>
        <v/>
      </c>
    </row>
    <row r="68" spans="2:8" x14ac:dyDescent="0.2">
      <c r="B68" s="14" t="s">
        <v>51</v>
      </c>
      <c r="C68" s="91"/>
      <c r="D68" s="15">
        <v>0</v>
      </c>
      <c r="E68" s="15"/>
      <c r="F68" s="15" t="s">
        <v>6</v>
      </c>
      <c r="G68" s="15">
        <f t="shared" ref="G68:G99" si="5">$D68+$C68</f>
        <v>0</v>
      </c>
      <c r="H68" s="17" t="str">
        <f t="shared" ref="H68:H99" si="6">IF(AND($D68=0, $G68&gt;0),"new", IF(AND($D68&gt;0, $G68=0),"sold",""))</f>
        <v/>
      </c>
    </row>
    <row r="69" spans="2:8" x14ac:dyDescent="0.2">
      <c r="B69" s="14" t="s">
        <v>52</v>
      </c>
      <c r="C69" s="91"/>
      <c r="D69" s="15">
        <v>0</v>
      </c>
      <c r="E69" s="15"/>
      <c r="F69" s="15" t="s">
        <v>6</v>
      </c>
      <c r="G69" s="15">
        <f t="shared" si="5"/>
        <v>0</v>
      </c>
      <c r="H69" s="17" t="str">
        <f t="shared" si="6"/>
        <v/>
      </c>
    </row>
    <row r="70" spans="2:8" x14ac:dyDescent="0.2">
      <c r="B70" s="14" t="s">
        <v>53</v>
      </c>
      <c r="C70" s="91"/>
      <c r="D70" s="15">
        <v>0</v>
      </c>
      <c r="E70" s="15"/>
      <c r="F70" s="15" t="s">
        <v>6</v>
      </c>
      <c r="G70" s="15">
        <f t="shared" si="5"/>
        <v>0</v>
      </c>
      <c r="H70" s="17" t="str">
        <f t="shared" si="6"/>
        <v/>
      </c>
    </row>
    <row r="71" spans="2:8" x14ac:dyDescent="0.2">
      <c r="B71" s="14" t="s">
        <v>54</v>
      </c>
      <c r="C71" s="91"/>
      <c r="D71" s="15">
        <v>0</v>
      </c>
      <c r="E71" s="15"/>
      <c r="F71" s="15" t="s">
        <v>6</v>
      </c>
      <c r="G71" s="15">
        <f t="shared" si="5"/>
        <v>0</v>
      </c>
      <c r="H71" s="17" t="str">
        <f t="shared" si="6"/>
        <v/>
      </c>
    </row>
    <row r="72" spans="2:8" x14ac:dyDescent="0.2">
      <c r="B72" s="14" t="s">
        <v>55</v>
      </c>
      <c r="C72" s="91"/>
      <c r="D72" s="15">
        <v>0</v>
      </c>
      <c r="E72" s="15"/>
      <c r="F72" s="15" t="s">
        <v>6</v>
      </c>
      <c r="G72" s="15">
        <f t="shared" si="5"/>
        <v>0</v>
      </c>
      <c r="H72" s="17" t="str">
        <f t="shared" si="6"/>
        <v/>
      </c>
    </row>
    <row r="73" spans="2:8" x14ac:dyDescent="0.2">
      <c r="B73" s="14" t="s">
        <v>56</v>
      </c>
      <c r="C73" s="91"/>
      <c r="D73" s="15">
        <v>0</v>
      </c>
      <c r="E73" s="15"/>
      <c r="F73" s="15" t="s">
        <v>6</v>
      </c>
      <c r="G73" s="15">
        <f t="shared" si="5"/>
        <v>0</v>
      </c>
      <c r="H73" s="17" t="str">
        <f t="shared" si="6"/>
        <v/>
      </c>
    </row>
    <row r="74" spans="2:8" x14ac:dyDescent="0.2">
      <c r="B74" s="14" t="s">
        <v>57</v>
      </c>
      <c r="C74" s="91"/>
      <c r="D74" s="15">
        <v>0</v>
      </c>
      <c r="E74" s="15"/>
      <c r="F74" s="15" t="s">
        <v>6</v>
      </c>
      <c r="G74" s="15">
        <f t="shared" si="5"/>
        <v>0</v>
      </c>
      <c r="H74" s="17" t="str">
        <f t="shared" si="6"/>
        <v/>
      </c>
    </row>
    <row r="75" spans="2:8" x14ac:dyDescent="0.2">
      <c r="B75" s="14" t="s">
        <v>58</v>
      </c>
      <c r="C75" s="91"/>
      <c r="D75" s="15">
        <v>0</v>
      </c>
      <c r="E75" s="15"/>
      <c r="F75" s="15" t="s">
        <v>6</v>
      </c>
      <c r="G75" s="15">
        <f t="shared" si="5"/>
        <v>0</v>
      </c>
      <c r="H75" s="17" t="str">
        <f t="shared" si="6"/>
        <v/>
      </c>
    </row>
    <row r="76" spans="2:8" x14ac:dyDescent="0.2">
      <c r="B76" s="14" t="s">
        <v>59</v>
      </c>
      <c r="C76" s="91"/>
      <c r="D76" s="15">
        <v>51000</v>
      </c>
      <c r="E76" s="15"/>
      <c r="F76" s="15" t="s">
        <v>6</v>
      </c>
      <c r="G76" s="15">
        <f t="shared" si="5"/>
        <v>51000</v>
      </c>
      <c r="H76" s="17" t="str">
        <f t="shared" si="6"/>
        <v/>
      </c>
    </row>
    <row r="77" spans="2:8" x14ac:dyDescent="0.2">
      <c r="B77" s="14" t="s">
        <v>60</v>
      </c>
      <c r="C77" s="91"/>
      <c r="D77" s="15">
        <v>0</v>
      </c>
      <c r="E77" s="15"/>
      <c r="F77" s="15" t="s">
        <v>6</v>
      </c>
      <c r="G77" s="15">
        <f t="shared" si="5"/>
        <v>0</v>
      </c>
      <c r="H77" s="17" t="str">
        <f t="shared" si="6"/>
        <v/>
      </c>
    </row>
    <row r="78" spans="2:8" x14ac:dyDescent="0.2">
      <c r="B78" s="14" t="s">
        <v>61</v>
      </c>
      <c r="C78" s="91"/>
      <c r="D78" s="15">
        <v>0</v>
      </c>
      <c r="E78" s="15"/>
      <c r="F78" s="15" t="s">
        <v>6</v>
      </c>
      <c r="G78" s="15">
        <f t="shared" si="5"/>
        <v>0</v>
      </c>
      <c r="H78" s="17" t="str">
        <f t="shared" si="6"/>
        <v/>
      </c>
    </row>
    <row r="79" spans="2:8" x14ac:dyDescent="0.2">
      <c r="B79" s="14" t="s">
        <v>62</v>
      </c>
      <c r="C79" s="91"/>
      <c r="D79" s="15">
        <v>0</v>
      </c>
      <c r="E79" s="15"/>
      <c r="F79" s="15" t="s">
        <v>6</v>
      </c>
      <c r="G79" s="15">
        <f t="shared" si="5"/>
        <v>0</v>
      </c>
      <c r="H79" s="17" t="str">
        <f t="shared" si="6"/>
        <v/>
      </c>
    </row>
    <row r="80" spans="2:8" x14ac:dyDescent="0.2">
      <c r="B80" s="14" t="s">
        <v>63</v>
      </c>
      <c r="C80" s="91"/>
      <c r="D80" s="15">
        <v>0</v>
      </c>
      <c r="E80" s="15"/>
      <c r="F80" s="15" t="s">
        <v>6</v>
      </c>
      <c r="G80" s="15">
        <f t="shared" si="5"/>
        <v>0</v>
      </c>
      <c r="H80" s="17" t="str">
        <f t="shared" si="6"/>
        <v/>
      </c>
    </row>
    <row r="81" spans="2:8" x14ac:dyDescent="0.2">
      <c r="B81" s="14" t="s">
        <v>64</v>
      </c>
      <c r="C81" s="91"/>
      <c r="D81" s="15">
        <v>0</v>
      </c>
      <c r="E81" s="15"/>
      <c r="F81" s="15" t="s">
        <v>6</v>
      </c>
      <c r="G81" s="15">
        <f t="shared" si="5"/>
        <v>0</v>
      </c>
      <c r="H81" s="17" t="str">
        <f t="shared" si="6"/>
        <v/>
      </c>
    </row>
    <row r="82" spans="2:8" x14ac:dyDescent="0.2">
      <c r="B82" s="14" t="s">
        <v>65</v>
      </c>
      <c r="C82" s="91"/>
      <c r="D82" s="15">
        <v>0</v>
      </c>
      <c r="E82" s="15"/>
      <c r="F82" s="15" t="s">
        <v>6</v>
      </c>
      <c r="G82" s="15">
        <f t="shared" si="5"/>
        <v>0</v>
      </c>
      <c r="H82" s="17" t="str">
        <f t="shared" si="6"/>
        <v/>
      </c>
    </row>
    <row r="83" spans="2:8" x14ac:dyDescent="0.2">
      <c r="B83" s="27" t="s">
        <v>66</v>
      </c>
      <c r="C83" s="91"/>
      <c r="D83" s="14">
        <v>0</v>
      </c>
      <c r="E83" s="15"/>
      <c r="F83" s="15" t="s">
        <v>6</v>
      </c>
      <c r="G83" s="15">
        <f t="shared" si="5"/>
        <v>0</v>
      </c>
      <c r="H83" s="17" t="str">
        <f t="shared" si="6"/>
        <v/>
      </c>
    </row>
    <row r="84" spans="2:8" x14ac:dyDescent="0.2">
      <c r="B84" s="14" t="s">
        <v>67</v>
      </c>
      <c r="C84" s="91"/>
      <c r="D84" s="15">
        <v>0</v>
      </c>
      <c r="E84" s="15"/>
      <c r="F84" s="15" t="s">
        <v>6</v>
      </c>
      <c r="G84" s="15">
        <f t="shared" si="5"/>
        <v>0</v>
      </c>
      <c r="H84" s="17" t="str">
        <f t="shared" si="6"/>
        <v/>
      </c>
    </row>
    <row r="85" spans="2:8" x14ac:dyDescent="0.2">
      <c r="B85" s="14" t="s">
        <v>68</v>
      </c>
      <c r="C85" s="91"/>
      <c r="D85" s="15">
        <v>0</v>
      </c>
      <c r="E85" s="15"/>
      <c r="F85" s="15" t="s">
        <v>6</v>
      </c>
      <c r="G85" s="15">
        <f t="shared" si="5"/>
        <v>0</v>
      </c>
      <c r="H85" s="17" t="str">
        <f t="shared" si="6"/>
        <v/>
      </c>
    </row>
    <row r="86" spans="2:8" x14ac:dyDescent="0.2">
      <c r="B86" s="14" t="s">
        <v>69</v>
      </c>
      <c r="C86" s="91"/>
      <c r="D86" s="15">
        <v>0</v>
      </c>
      <c r="E86" s="15"/>
      <c r="F86" s="15" t="s">
        <v>6</v>
      </c>
      <c r="G86" s="15">
        <f t="shared" si="5"/>
        <v>0</v>
      </c>
      <c r="H86" s="17" t="str">
        <f t="shared" si="6"/>
        <v/>
      </c>
    </row>
    <row r="87" spans="2:8" x14ac:dyDescent="0.2">
      <c r="B87" s="14" t="s">
        <v>70</v>
      </c>
      <c r="C87" s="91"/>
      <c r="D87" s="15">
        <v>0</v>
      </c>
      <c r="E87" s="15"/>
      <c r="F87" s="15" t="s">
        <v>6</v>
      </c>
      <c r="G87" s="15">
        <f t="shared" si="5"/>
        <v>0</v>
      </c>
      <c r="H87" s="17" t="str">
        <f t="shared" si="6"/>
        <v/>
      </c>
    </row>
    <row r="88" spans="2:8" x14ac:dyDescent="0.2">
      <c r="B88" s="14" t="s">
        <v>71</v>
      </c>
      <c r="C88" s="91"/>
      <c r="D88" s="15">
        <v>0</v>
      </c>
      <c r="E88" s="15"/>
      <c r="F88" s="15" t="s">
        <v>6</v>
      </c>
      <c r="G88" s="15">
        <f t="shared" si="5"/>
        <v>0</v>
      </c>
      <c r="H88" s="17" t="str">
        <f t="shared" si="6"/>
        <v/>
      </c>
    </row>
    <row r="89" spans="2:8" x14ac:dyDescent="0.2">
      <c r="B89" s="14" t="s">
        <v>72</v>
      </c>
      <c r="C89" s="91"/>
      <c r="D89" s="15">
        <v>0</v>
      </c>
      <c r="E89" s="15"/>
      <c r="F89" s="15" t="s">
        <v>6</v>
      </c>
      <c r="G89" s="15">
        <f t="shared" si="5"/>
        <v>0</v>
      </c>
      <c r="H89" s="17" t="str">
        <f t="shared" si="6"/>
        <v/>
      </c>
    </row>
    <row r="90" spans="2:8" x14ac:dyDescent="0.2">
      <c r="B90" s="14" t="s">
        <v>73</v>
      </c>
      <c r="C90" s="91"/>
      <c r="D90" s="15">
        <v>0</v>
      </c>
      <c r="E90" s="15"/>
      <c r="F90" s="15" t="s">
        <v>6</v>
      </c>
      <c r="G90" s="15">
        <f t="shared" si="5"/>
        <v>0</v>
      </c>
      <c r="H90" s="17" t="str">
        <f t="shared" si="6"/>
        <v/>
      </c>
    </row>
    <row r="91" spans="2:8" x14ac:dyDescent="0.2">
      <c r="B91" s="14" t="s">
        <v>74</v>
      </c>
      <c r="C91" s="91"/>
      <c r="D91" s="15">
        <v>0</v>
      </c>
      <c r="E91" s="15"/>
      <c r="F91" s="15" t="s">
        <v>6</v>
      </c>
      <c r="G91" s="15">
        <f t="shared" si="5"/>
        <v>0</v>
      </c>
      <c r="H91" s="17" t="str">
        <f t="shared" si="6"/>
        <v/>
      </c>
    </row>
    <row r="92" spans="2:8" x14ac:dyDescent="0.2">
      <c r="B92" s="14" t="s">
        <v>75</v>
      </c>
      <c r="C92" s="91"/>
      <c r="D92" s="15">
        <v>0</v>
      </c>
      <c r="E92" s="15"/>
      <c r="F92" s="15" t="s">
        <v>6</v>
      </c>
      <c r="G92" s="15">
        <f t="shared" si="5"/>
        <v>0</v>
      </c>
      <c r="H92" s="17" t="str">
        <f t="shared" si="6"/>
        <v/>
      </c>
    </row>
    <row r="93" spans="2:8" x14ac:dyDescent="0.2">
      <c r="B93" s="14" t="s">
        <v>76</v>
      </c>
      <c r="C93" s="91"/>
      <c r="D93" s="15">
        <v>0</v>
      </c>
      <c r="E93" s="15"/>
      <c r="F93" s="15" t="s">
        <v>6</v>
      </c>
      <c r="G93" s="15">
        <f t="shared" si="5"/>
        <v>0</v>
      </c>
      <c r="H93" s="17" t="str">
        <f t="shared" si="6"/>
        <v/>
      </c>
    </row>
    <row r="94" spans="2:8" x14ac:dyDescent="0.2">
      <c r="B94" s="14" t="s">
        <v>77</v>
      </c>
      <c r="C94" s="91"/>
      <c r="D94" s="15">
        <v>0</v>
      </c>
      <c r="E94" s="15"/>
      <c r="F94" s="15" t="s">
        <v>6</v>
      </c>
      <c r="G94" s="15">
        <f t="shared" si="5"/>
        <v>0</v>
      </c>
      <c r="H94" s="17" t="str">
        <f t="shared" si="6"/>
        <v/>
      </c>
    </row>
    <row r="95" spans="2:8" x14ac:dyDescent="0.2">
      <c r="B95" s="14" t="s">
        <v>78</v>
      </c>
      <c r="C95" s="91"/>
      <c r="D95" s="15">
        <v>0</v>
      </c>
      <c r="E95" s="15"/>
      <c r="F95" s="15" t="s">
        <v>6</v>
      </c>
      <c r="G95" s="15">
        <f t="shared" si="5"/>
        <v>0</v>
      </c>
      <c r="H95" s="17" t="str">
        <f t="shared" si="6"/>
        <v/>
      </c>
    </row>
    <row r="96" spans="2:8" x14ac:dyDescent="0.2">
      <c r="B96" s="14" t="s">
        <v>79</v>
      </c>
      <c r="C96" s="91"/>
      <c r="D96" s="15">
        <v>0</v>
      </c>
      <c r="E96" s="15"/>
      <c r="F96" s="15" t="s">
        <v>6</v>
      </c>
      <c r="G96" s="15">
        <f t="shared" si="5"/>
        <v>0</v>
      </c>
      <c r="H96" s="17" t="str">
        <f t="shared" si="6"/>
        <v/>
      </c>
    </row>
    <row r="97" spans="2:8" x14ac:dyDescent="0.2">
      <c r="B97" s="14" t="s">
        <v>80</v>
      </c>
      <c r="C97" s="91"/>
      <c r="D97" s="15">
        <v>0</v>
      </c>
      <c r="E97" s="15"/>
      <c r="F97" s="15" t="s">
        <v>6</v>
      </c>
      <c r="G97" s="15">
        <f t="shared" si="5"/>
        <v>0</v>
      </c>
      <c r="H97" s="17" t="str">
        <f t="shared" si="6"/>
        <v/>
      </c>
    </row>
    <row r="98" spans="2:8" x14ac:dyDescent="0.2">
      <c r="B98" s="14" t="s">
        <v>81</v>
      </c>
      <c r="C98" s="91"/>
      <c r="D98" s="15">
        <v>0</v>
      </c>
      <c r="E98" s="15"/>
      <c r="F98" s="15" t="s">
        <v>6</v>
      </c>
      <c r="G98" s="15">
        <f t="shared" si="5"/>
        <v>0</v>
      </c>
      <c r="H98" s="17" t="str">
        <f t="shared" si="6"/>
        <v/>
      </c>
    </row>
    <row r="99" spans="2:8" x14ac:dyDescent="0.2">
      <c r="B99" s="14" t="s">
        <v>82</v>
      </c>
      <c r="C99" s="91"/>
      <c r="D99" s="15">
        <v>0</v>
      </c>
      <c r="E99" s="15"/>
      <c r="F99" s="15" t="s">
        <v>6</v>
      </c>
      <c r="G99" s="15">
        <f t="shared" si="5"/>
        <v>0</v>
      </c>
      <c r="H99" s="17" t="str">
        <f t="shared" si="6"/>
        <v/>
      </c>
    </row>
    <row r="100" spans="2:8" x14ac:dyDescent="0.2">
      <c r="B100" s="14" t="s">
        <v>83</v>
      </c>
      <c r="C100" s="91"/>
      <c r="D100" s="15">
        <v>0</v>
      </c>
      <c r="E100" s="15"/>
      <c r="F100" s="15" t="s">
        <v>6</v>
      </c>
      <c r="G100" s="15">
        <f t="shared" ref="G100:G106" si="7">$D100+$C100</f>
        <v>0</v>
      </c>
      <c r="H100" s="17" t="str">
        <f t="shared" ref="H100:H106" si="8">IF(AND($D100=0, $G100&gt;0),"new", IF(AND($D100&gt;0, $G100=0),"sold",""))</f>
        <v/>
      </c>
    </row>
    <row r="101" spans="2:8" x14ac:dyDescent="0.2">
      <c r="B101" s="14" t="s">
        <v>84</v>
      </c>
      <c r="C101" s="91"/>
      <c r="D101" s="15">
        <v>0</v>
      </c>
      <c r="E101" s="15"/>
      <c r="F101" s="15" t="s">
        <v>6</v>
      </c>
      <c r="G101" s="15">
        <f t="shared" si="7"/>
        <v>0</v>
      </c>
      <c r="H101" s="17" t="str">
        <f t="shared" si="8"/>
        <v/>
      </c>
    </row>
    <row r="102" spans="2:8" x14ac:dyDescent="0.2">
      <c r="B102" s="14" t="s">
        <v>85</v>
      </c>
      <c r="C102" s="91"/>
      <c r="D102" s="15">
        <v>0</v>
      </c>
      <c r="E102" s="15"/>
      <c r="F102" s="15" t="s">
        <v>6</v>
      </c>
      <c r="G102" s="15">
        <f t="shared" si="7"/>
        <v>0</v>
      </c>
      <c r="H102" s="17" t="str">
        <f t="shared" si="8"/>
        <v/>
      </c>
    </row>
    <row r="103" spans="2:8" x14ac:dyDescent="0.2">
      <c r="B103" s="14" t="s">
        <v>86</v>
      </c>
      <c r="C103" s="91"/>
      <c r="D103" s="15">
        <v>0</v>
      </c>
      <c r="E103" s="15"/>
      <c r="F103" s="15" t="s">
        <v>6</v>
      </c>
      <c r="G103" s="15">
        <f t="shared" si="7"/>
        <v>0</v>
      </c>
      <c r="H103" s="17" t="str">
        <f t="shared" si="8"/>
        <v/>
      </c>
    </row>
    <row r="104" spans="2:8" x14ac:dyDescent="0.2">
      <c r="B104" s="14" t="s">
        <v>87</v>
      </c>
      <c r="C104" s="91"/>
      <c r="D104" s="15">
        <v>0</v>
      </c>
      <c r="E104" s="15"/>
      <c r="F104" s="15" t="s">
        <v>6</v>
      </c>
      <c r="G104" s="15">
        <f t="shared" si="7"/>
        <v>0</v>
      </c>
      <c r="H104" s="17" t="str">
        <f t="shared" si="8"/>
        <v/>
      </c>
    </row>
    <row r="105" spans="2:8" x14ac:dyDescent="0.2">
      <c r="B105" s="14" t="s">
        <v>88</v>
      </c>
      <c r="C105" s="91"/>
      <c r="D105" s="15">
        <v>0</v>
      </c>
      <c r="E105" s="15"/>
      <c r="F105" s="15" t="s">
        <v>6</v>
      </c>
      <c r="G105" s="15">
        <f t="shared" si="7"/>
        <v>0</v>
      </c>
      <c r="H105" s="17" t="str">
        <f t="shared" si="8"/>
        <v/>
      </c>
    </row>
    <row r="106" spans="2:8" x14ac:dyDescent="0.2">
      <c r="B106" s="18" t="s">
        <v>89</v>
      </c>
      <c r="C106" s="91"/>
      <c r="D106" s="19">
        <v>0</v>
      </c>
      <c r="E106" s="19"/>
      <c r="F106" s="19" t="s">
        <v>6</v>
      </c>
      <c r="G106" s="19">
        <f t="shared" si="7"/>
        <v>0</v>
      </c>
      <c r="H106" s="20" t="str">
        <f t="shared" si="8"/>
        <v/>
      </c>
    </row>
    <row r="107" spans="2:8" x14ac:dyDescent="0.2">
      <c r="B107" s="12"/>
      <c r="C107" s="12"/>
      <c r="D107" s="12">
        <f>COUNTIF($D$36:$D$106,"&gt;0")</f>
        <v>2</v>
      </c>
      <c r="E107" s="12" t="s">
        <v>90</v>
      </c>
      <c r="F107" s="12"/>
      <c r="G107" s="12">
        <f>COUNTIF(G36:G106,"&gt;0")</f>
        <v>2</v>
      </c>
      <c r="H107" s="83" t="s">
        <v>90</v>
      </c>
    </row>
  </sheetData>
  <sheetProtection algorithmName="SHA-512" hashValue="iElFtt8EJyf+q6sy3Y3CWJQwfe/VrxHsYE6evpXgEnzfdIHt2unbs52inJ0/Lb7glqf2piznO5+Bp+DTgcI6Gw==" saltValue="5tDGV38hvofO0stnSOVPTw==" spinCount="100000" sheet="1" objects="1" scenarios="1"/>
  <phoneticPr fontId="0" type="noConversion"/>
  <dataValidations count="3">
    <dataValidation type="decimal" operator="greaterThanOrEqual" allowBlank="1" showInputMessage="1" showErrorMessage="1" errorTitle="Error" error="This error occurred because user was trying to sell more than owned" promptTitle="Plants" prompt="Enter Capacity (Positive number to buy, Negative number to sell)" sqref="C6:C15">
      <formula1>-D6:D15</formula1>
    </dataValidation>
    <dataValidation type="whole" operator="greaterThanOrEqual" allowBlank="1" showInputMessage="1" showErrorMessage="1" errorTitle="Error" error="This error occurred because a non-integer was entered or user was trying to sell more than owned" promptTitle="TankCars" prompt="Enter Unit of Cars (Positive integer to buy, Negative integer to sell)" sqref="C21:C30">
      <formula1>-D21:D30</formula1>
    </dataValidation>
    <dataValidation type="decimal" operator="greaterThanOrEqual" allowBlank="1" showInputMessage="1" showErrorMessage="1" errorTitle="Error" error="This error occurred because user was trying to sell more than owned" promptTitle="Storages" prompt="Enter Capacity (Positive number to buy, Negative number to sell)" sqref="C36:C106">
      <formula1>-D36:D106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AG49"/>
  <sheetViews>
    <sheetView showGridLines="0" workbookViewId="0"/>
  </sheetViews>
  <sheetFormatPr defaultRowHeight="12.75" x14ac:dyDescent="0.2"/>
  <cols>
    <col min="1" max="1" width="4.7109375" style="29" customWidth="1"/>
    <col min="2" max="2" width="16.7109375" style="29" customWidth="1"/>
    <col min="3" max="14" width="8.7109375" style="29" customWidth="1"/>
    <col min="15" max="16384" width="9.140625" style="29"/>
  </cols>
  <sheetData>
    <row r="2" spans="2:14" x14ac:dyDescent="0.2">
      <c r="B2" s="28" t="s">
        <v>140</v>
      </c>
    </row>
    <row r="3" spans="2:14" x14ac:dyDescent="0.2">
      <c r="B3" s="30" t="s">
        <v>164</v>
      </c>
    </row>
    <row r="4" spans="2:14" x14ac:dyDescent="0.2">
      <c r="B4" s="31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</row>
    <row r="5" spans="2:14" x14ac:dyDescent="0.2">
      <c r="B5" s="33" t="s">
        <v>91</v>
      </c>
      <c r="C5" s="34" t="s">
        <v>92</v>
      </c>
      <c r="D5" s="34" t="s">
        <v>93</v>
      </c>
      <c r="E5" s="34" t="s">
        <v>94</v>
      </c>
      <c r="F5" s="34" t="s">
        <v>95</v>
      </c>
      <c r="G5" s="34" t="s">
        <v>96</v>
      </c>
      <c r="H5" s="34" t="s">
        <v>97</v>
      </c>
      <c r="I5" s="34" t="s">
        <v>98</v>
      </c>
      <c r="J5" s="34" t="s">
        <v>99</v>
      </c>
      <c r="K5" s="34" t="s">
        <v>100</v>
      </c>
      <c r="L5" s="34" t="s">
        <v>101</v>
      </c>
      <c r="M5" s="34" t="s">
        <v>102</v>
      </c>
      <c r="N5" s="35" t="s">
        <v>103</v>
      </c>
    </row>
    <row r="6" spans="2:14" x14ac:dyDescent="0.2">
      <c r="B6" s="36" t="s">
        <v>104</v>
      </c>
      <c r="C6" s="92"/>
      <c r="D6" s="93"/>
      <c r="E6" s="93"/>
      <c r="F6" s="93"/>
      <c r="G6" s="93"/>
      <c r="H6" s="93"/>
      <c r="I6" s="93"/>
      <c r="J6" s="93"/>
      <c r="K6" s="93"/>
      <c r="L6" s="93"/>
      <c r="M6" s="93"/>
      <c r="N6" s="93"/>
    </row>
    <row r="7" spans="2:14" x14ac:dyDescent="0.2">
      <c r="B7" s="36" t="s">
        <v>105</v>
      </c>
      <c r="C7" s="94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</row>
    <row r="8" spans="2:14" x14ac:dyDescent="0.2">
      <c r="B8" s="36" t="s">
        <v>106</v>
      </c>
      <c r="C8" s="94"/>
      <c r="D8" s="95"/>
      <c r="E8" s="95"/>
      <c r="F8" s="95"/>
      <c r="G8" s="95"/>
      <c r="H8" s="95"/>
      <c r="I8" s="95"/>
      <c r="J8" s="95"/>
      <c r="K8" s="95"/>
      <c r="L8" s="95"/>
      <c r="M8" s="95"/>
      <c r="N8" s="95"/>
    </row>
    <row r="9" spans="2:14" x14ac:dyDescent="0.2">
      <c r="B9" s="36" t="s">
        <v>107</v>
      </c>
      <c r="C9" s="94"/>
      <c r="D9" s="95"/>
      <c r="E9" s="95"/>
      <c r="F9" s="95"/>
      <c r="G9" s="95"/>
      <c r="H9" s="95"/>
      <c r="I9" s="95"/>
      <c r="J9" s="95"/>
      <c r="K9" s="95"/>
      <c r="L9" s="95"/>
      <c r="M9" s="95"/>
      <c r="N9" s="95"/>
    </row>
    <row r="10" spans="2:14" x14ac:dyDescent="0.2">
      <c r="B10" s="36" t="s">
        <v>108</v>
      </c>
      <c r="C10" s="94"/>
      <c r="D10" s="95"/>
      <c r="E10" s="95"/>
      <c r="F10" s="95"/>
      <c r="G10" s="95"/>
      <c r="H10" s="95"/>
      <c r="I10" s="95"/>
      <c r="J10" s="95"/>
      <c r="K10" s="95"/>
      <c r="L10" s="95"/>
      <c r="M10" s="95"/>
      <c r="N10" s="95"/>
    </row>
    <row r="11" spans="2:14" x14ac:dyDescent="0.2">
      <c r="B11" s="37" t="s">
        <v>109</v>
      </c>
      <c r="C11" s="94"/>
      <c r="D11" s="95"/>
      <c r="E11" s="95"/>
      <c r="F11" s="95"/>
      <c r="G11" s="95"/>
      <c r="H11" s="95"/>
      <c r="I11" s="95"/>
      <c r="J11" s="95"/>
      <c r="K11" s="95"/>
      <c r="L11" s="95"/>
      <c r="M11" s="95"/>
      <c r="N11" s="95"/>
    </row>
    <row r="12" spans="2:14" x14ac:dyDescent="0.2">
      <c r="B12" s="38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40"/>
    </row>
    <row r="14" spans="2:14" x14ac:dyDescent="0.2">
      <c r="B14" s="30" t="s">
        <v>157</v>
      </c>
    </row>
    <row r="15" spans="2:14" x14ac:dyDescent="0.2">
      <c r="B15" s="31"/>
      <c r="C15" s="32"/>
      <c r="D15" s="32"/>
      <c r="E15" s="51"/>
      <c r="F15" s="32"/>
      <c r="G15" s="32"/>
      <c r="H15" s="32"/>
    </row>
    <row r="16" spans="2:14" x14ac:dyDescent="0.2">
      <c r="B16" s="33" t="s">
        <v>139</v>
      </c>
      <c r="C16" s="34" t="s">
        <v>142</v>
      </c>
      <c r="D16" s="34" t="s">
        <v>137</v>
      </c>
      <c r="E16" s="34" t="s">
        <v>142</v>
      </c>
      <c r="F16" s="34" t="s">
        <v>136</v>
      </c>
      <c r="G16" s="34" t="s">
        <v>142</v>
      </c>
      <c r="H16" s="34" t="s">
        <v>135</v>
      </c>
    </row>
    <row r="17" spans="2:33" x14ac:dyDescent="0.2">
      <c r="B17" s="41" t="s">
        <v>104</v>
      </c>
      <c r="C17" s="96"/>
      <c r="D17" s="96"/>
      <c r="E17" s="96"/>
      <c r="F17" s="96"/>
      <c r="G17" s="96"/>
      <c r="H17" s="96"/>
      <c r="I17" s="29" t="s">
        <v>110</v>
      </c>
    </row>
    <row r="18" spans="2:33" x14ac:dyDescent="0.2">
      <c r="B18" s="36" t="s">
        <v>105</v>
      </c>
      <c r="C18" s="97"/>
      <c r="D18" s="97"/>
      <c r="E18" s="97"/>
      <c r="F18" s="97"/>
      <c r="G18" s="97"/>
      <c r="H18" s="97"/>
      <c r="I18" s="29" t="s">
        <v>110</v>
      </c>
    </row>
    <row r="19" spans="2:33" x14ac:dyDescent="0.2">
      <c r="B19" s="36" t="s">
        <v>106</v>
      </c>
      <c r="C19" s="97"/>
      <c r="D19" s="97"/>
      <c r="E19" s="97"/>
      <c r="F19" s="97"/>
      <c r="G19" s="97"/>
      <c r="H19" s="97"/>
      <c r="I19" s="29" t="s">
        <v>110</v>
      </c>
    </row>
    <row r="20" spans="2:33" x14ac:dyDescent="0.2">
      <c r="B20" s="36" t="s">
        <v>107</v>
      </c>
      <c r="C20" s="97"/>
      <c r="D20" s="97"/>
      <c r="E20" s="97"/>
      <c r="F20" s="97"/>
      <c r="G20" s="97"/>
      <c r="H20" s="97"/>
    </row>
    <row r="21" spans="2:33" x14ac:dyDescent="0.2">
      <c r="B21" s="36" t="s">
        <v>108</v>
      </c>
      <c r="C21" s="97"/>
      <c r="D21" s="97"/>
      <c r="E21" s="97"/>
      <c r="F21" s="97"/>
      <c r="G21" s="97"/>
      <c r="H21" s="97"/>
    </row>
    <row r="22" spans="2:33" x14ac:dyDescent="0.2">
      <c r="B22" s="37" t="s">
        <v>109</v>
      </c>
      <c r="C22" s="97"/>
      <c r="D22" s="97"/>
      <c r="E22" s="97"/>
      <c r="F22" s="97"/>
      <c r="G22" s="97"/>
      <c r="H22" s="97"/>
      <c r="K22" s="50"/>
      <c r="L22" s="49"/>
      <c r="M22" s="49"/>
      <c r="N22" s="49"/>
      <c r="O22" s="49"/>
      <c r="P22" s="49"/>
      <c r="Q22" s="49"/>
      <c r="R22" s="49"/>
      <c r="S22" s="49"/>
      <c r="T22" s="49"/>
      <c r="U22" s="50"/>
      <c r="V22" s="49"/>
      <c r="W22" s="50"/>
      <c r="X22" s="49"/>
      <c r="Y22" s="50"/>
      <c r="Z22" s="49"/>
      <c r="AA22" s="50"/>
      <c r="AB22" s="49"/>
      <c r="AC22" s="50"/>
      <c r="AD22" s="49"/>
      <c r="AE22" s="50"/>
      <c r="AF22" s="49"/>
      <c r="AG22" s="50"/>
    </row>
    <row r="23" spans="2:33" x14ac:dyDescent="0.2">
      <c r="B23" s="42"/>
      <c r="C23" s="43"/>
      <c r="D23" s="43"/>
      <c r="E23" s="43"/>
      <c r="F23" s="43"/>
      <c r="G23" s="43"/>
      <c r="H23" s="32"/>
      <c r="K23" s="50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</row>
    <row r="24" spans="2:33" x14ac:dyDescent="0.2">
      <c r="K24" s="49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</row>
    <row r="25" spans="2:33" x14ac:dyDescent="0.2">
      <c r="K25" s="49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</row>
    <row r="26" spans="2:33" x14ac:dyDescent="0.2">
      <c r="B26" s="30" t="s">
        <v>154</v>
      </c>
      <c r="K26" s="49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</row>
    <row r="27" spans="2:33" x14ac:dyDescent="0.2">
      <c r="B27" s="31"/>
      <c r="C27" s="32"/>
      <c r="D27" s="32"/>
      <c r="E27" s="32"/>
      <c r="F27" s="32"/>
      <c r="G27" s="32"/>
      <c r="H27" s="32"/>
      <c r="I27" s="32"/>
      <c r="J27" s="32"/>
      <c r="K27" s="51"/>
      <c r="L27" s="32"/>
      <c r="M27" s="32"/>
      <c r="N27" s="32"/>
      <c r="O27" s="32"/>
      <c r="P27" s="32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</row>
    <row r="28" spans="2:33" x14ac:dyDescent="0.2">
      <c r="D28" s="45">
        <f>basic_info!$D$5-5</f>
        <v>2009</v>
      </c>
      <c r="E28" s="49"/>
      <c r="F28" s="45">
        <f>basic_info!$D$5-4</f>
        <v>2010</v>
      </c>
      <c r="G28" s="49"/>
      <c r="H28" s="45">
        <f>basic_info!$D$5-3</f>
        <v>2011</v>
      </c>
      <c r="I28" s="49"/>
      <c r="J28" s="45">
        <f>basic_info!$D$5-2</f>
        <v>2012</v>
      </c>
      <c r="K28" s="49"/>
      <c r="L28" s="45">
        <f>basic_info!$D$5-1</f>
        <v>2013</v>
      </c>
      <c r="N28" s="45">
        <f>basic_info!$D$5</f>
        <v>2014</v>
      </c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</row>
    <row r="29" spans="2:33" x14ac:dyDescent="0.2">
      <c r="B29" s="33" t="s">
        <v>141</v>
      </c>
      <c r="C29" s="33" t="s">
        <v>161</v>
      </c>
      <c r="D29" s="44" t="s">
        <v>159</v>
      </c>
      <c r="E29" s="35" t="s">
        <v>160</v>
      </c>
      <c r="F29" s="44" t="s">
        <v>159</v>
      </c>
      <c r="G29" s="35" t="s">
        <v>160</v>
      </c>
      <c r="H29" s="44" t="s">
        <v>159</v>
      </c>
      <c r="I29" s="35" t="s">
        <v>160</v>
      </c>
      <c r="J29" s="44" t="s">
        <v>159</v>
      </c>
      <c r="K29" s="35" t="s">
        <v>160</v>
      </c>
      <c r="L29" s="44" t="s">
        <v>159</v>
      </c>
      <c r="M29" s="35" t="s">
        <v>160</v>
      </c>
      <c r="N29" s="44" t="s">
        <v>159</v>
      </c>
      <c r="O29" s="35" t="s">
        <v>160</v>
      </c>
      <c r="P29" s="33" t="s">
        <v>150</v>
      </c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</row>
    <row r="30" spans="2:33" x14ac:dyDescent="0.2">
      <c r="B30" s="41" t="s">
        <v>112</v>
      </c>
      <c r="C30" s="36">
        <f>basic_info!$D$5</f>
        <v>2014</v>
      </c>
      <c r="D30" s="44">
        <v>0.84053761279682415</v>
      </c>
      <c r="E30" s="35">
        <v>0</v>
      </c>
      <c r="F30" s="47">
        <v>0.85425481207726239</v>
      </c>
      <c r="G30" s="46">
        <v>0</v>
      </c>
      <c r="H30" s="47">
        <v>0.81931972485317484</v>
      </c>
      <c r="I30" s="46">
        <v>0</v>
      </c>
      <c r="J30" s="47">
        <v>1.0310724306991876</v>
      </c>
      <c r="K30" s="46">
        <v>0</v>
      </c>
      <c r="L30" s="47">
        <v>0.94479954883347961</v>
      </c>
      <c r="M30" s="46">
        <v>0</v>
      </c>
      <c r="N30" s="60"/>
      <c r="O30" s="71" t="s">
        <v>162</v>
      </c>
      <c r="P30" s="41">
        <f>M30+K30+I30+E30+G30</f>
        <v>0</v>
      </c>
      <c r="Q30" s="70"/>
    </row>
    <row r="31" spans="2:33" x14ac:dyDescent="0.2">
      <c r="B31" s="36"/>
      <c r="C31" s="47">
        <f>basic_info!$D$5+1</f>
        <v>2015</v>
      </c>
      <c r="D31" s="76"/>
      <c r="E31" s="75"/>
      <c r="F31" s="69">
        <v>0.79134866785137714</v>
      </c>
      <c r="G31" s="79">
        <v>0</v>
      </c>
      <c r="H31" s="61">
        <v>0.78025454004669703</v>
      </c>
      <c r="I31" s="62">
        <v>0</v>
      </c>
      <c r="J31" s="61">
        <v>0.94329895279397902</v>
      </c>
      <c r="K31" s="62">
        <v>0</v>
      </c>
      <c r="L31" s="61">
        <v>0.87493995418983028</v>
      </c>
      <c r="M31" s="62">
        <v>0</v>
      </c>
      <c r="N31" s="63">
        <v>0.78439515503861812</v>
      </c>
      <c r="O31" s="95"/>
      <c r="P31" s="63">
        <f>O31+M31+K31+I31+G31</f>
        <v>0</v>
      </c>
    </row>
    <row r="32" spans="2:33" x14ac:dyDescent="0.2">
      <c r="B32" s="36"/>
      <c r="C32" s="47">
        <f>basic_info!$D$5+2</f>
        <v>2016</v>
      </c>
      <c r="D32" s="76"/>
      <c r="E32" s="75"/>
      <c r="F32" s="75"/>
      <c r="G32" s="75"/>
      <c r="H32" s="69">
        <v>0.76975257071765368</v>
      </c>
      <c r="I32" s="79">
        <v>0</v>
      </c>
      <c r="J32" s="61">
        <v>0.86235916043001337</v>
      </c>
      <c r="K32" s="62">
        <v>0</v>
      </c>
      <c r="L32" s="61">
        <v>0.83860677402910089</v>
      </c>
      <c r="M32" s="62">
        <v>0</v>
      </c>
      <c r="N32" s="63">
        <v>0.7848152178006883</v>
      </c>
      <c r="O32" s="95"/>
      <c r="P32" s="63">
        <f>O32+M32+K32+I32</f>
        <v>0</v>
      </c>
    </row>
    <row r="33" spans="2:17" x14ac:dyDescent="0.2">
      <c r="B33" s="36"/>
      <c r="C33" s="47">
        <f>basic_info!$D$5+3</f>
        <v>2017</v>
      </c>
      <c r="D33" s="76"/>
      <c r="E33" s="75"/>
      <c r="F33" s="75"/>
      <c r="G33" s="75"/>
      <c r="H33" s="75"/>
      <c r="I33" s="75"/>
      <c r="J33" s="69">
        <v>0.82723927824938992</v>
      </c>
      <c r="K33" s="79">
        <v>0</v>
      </c>
      <c r="L33" s="61">
        <v>0.78982841454849262</v>
      </c>
      <c r="M33" s="62">
        <v>0</v>
      </c>
      <c r="N33" s="63">
        <v>0.73764396117770215</v>
      </c>
      <c r="O33" s="95"/>
      <c r="P33" s="63">
        <f>O33+M33+K33</f>
        <v>0</v>
      </c>
    </row>
    <row r="34" spans="2:17" x14ac:dyDescent="0.2">
      <c r="B34" s="36"/>
      <c r="C34" s="47">
        <f>basic_info!$D$5+4</f>
        <v>2018</v>
      </c>
      <c r="D34" s="76"/>
      <c r="E34" s="75"/>
      <c r="F34" s="75"/>
      <c r="G34" s="75"/>
      <c r="H34" s="75"/>
      <c r="I34" s="75"/>
      <c r="J34" s="75"/>
      <c r="K34" s="75"/>
      <c r="L34" s="69">
        <v>0.72411525202691562</v>
      </c>
      <c r="M34" s="79">
        <v>0</v>
      </c>
      <c r="N34" s="63">
        <v>0.71135030767163665</v>
      </c>
      <c r="O34" s="95"/>
      <c r="P34" s="63">
        <f>O34+M34</f>
        <v>0</v>
      </c>
    </row>
    <row r="35" spans="2:17" x14ac:dyDescent="0.2">
      <c r="B35" s="37"/>
      <c r="C35" s="72">
        <f>basic_info!$D$5+5</f>
        <v>2019</v>
      </c>
      <c r="D35" s="77"/>
      <c r="E35" s="78"/>
      <c r="F35" s="78"/>
      <c r="G35" s="78"/>
      <c r="H35" s="78"/>
      <c r="I35" s="78"/>
      <c r="J35" s="78"/>
      <c r="K35" s="78"/>
      <c r="L35" s="80"/>
      <c r="M35" s="81"/>
      <c r="N35" s="64">
        <v>0.67168145499527454</v>
      </c>
      <c r="O35" s="95"/>
      <c r="P35" s="65">
        <f>O35</f>
        <v>0</v>
      </c>
    </row>
    <row r="36" spans="2:17" x14ac:dyDescent="0.2">
      <c r="B36" s="41" t="s">
        <v>113</v>
      </c>
      <c r="C36" s="36">
        <f>basic_info!$D$5</f>
        <v>2014</v>
      </c>
      <c r="D36" s="44">
        <v>1.0649106070555612</v>
      </c>
      <c r="E36" s="35">
        <v>0</v>
      </c>
      <c r="F36" s="73">
        <v>1.0642519806916397</v>
      </c>
      <c r="G36" s="74">
        <v>0</v>
      </c>
      <c r="H36" s="73">
        <v>1.054583558512546</v>
      </c>
      <c r="I36" s="74">
        <v>0</v>
      </c>
      <c r="J36" s="73">
        <v>0.9156909597001206</v>
      </c>
      <c r="K36" s="74">
        <v>0</v>
      </c>
      <c r="L36" s="66">
        <v>1.2616250665284479</v>
      </c>
      <c r="M36" s="67">
        <v>0</v>
      </c>
      <c r="N36" s="68"/>
      <c r="O36" s="71" t="s">
        <v>162</v>
      </c>
      <c r="P36" s="41">
        <f>M36+K36+I36+E36+G36</f>
        <v>0</v>
      </c>
      <c r="Q36" s="70"/>
    </row>
    <row r="37" spans="2:17" x14ac:dyDescent="0.2">
      <c r="B37" s="36"/>
      <c r="C37" s="47">
        <f>basic_info!$D$5+1</f>
        <v>2015</v>
      </c>
      <c r="D37" s="76"/>
      <c r="E37" s="75"/>
      <c r="F37" s="69">
        <v>1.0762337405940841</v>
      </c>
      <c r="G37" s="79">
        <v>0</v>
      </c>
      <c r="H37" s="61">
        <v>1.0404514613486917</v>
      </c>
      <c r="I37" s="62">
        <v>0</v>
      </c>
      <c r="J37" s="61">
        <v>0.89286179766970553</v>
      </c>
      <c r="K37" s="62">
        <v>0</v>
      </c>
      <c r="L37" s="61">
        <v>1.2305005066511776</v>
      </c>
      <c r="M37" s="62">
        <v>0</v>
      </c>
      <c r="N37" s="61">
        <v>1.0549979141770345</v>
      </c>
      <c r="O37" s="95"/>
      <c r="P37" s="63">
        <f>O37+M37+K37+I37+G37</f>
        <v>0</v>
      </c>
    </row>
    <row r="38" spans="2:17" x14ac:dyDescent="0.2">
      <c r="B38" s="36"/>
      <c r="C38" s="47">
        <f>basic_info!$D$5+2</f>
        <v>2016</v>
      </c>
      <c r="D38" s="76"/>
      <c r="E38" s="75"/>
      <c r="F38" s="75"/>
      <c r="G38" s="75"/>
      <c r="H38" s="69">
        <v>1.0296840787328012</v>
      </c>
      <c r="I38" s="79">
        <v>0</v>
      </c>
      <c r="J38" s="61">
        <v>0.89692452423078717</v>
      </c>
      <c r="K38" s="62">
        <v>0</v>
      </c>
      <c r="L38" s="61">
        <v>1.1330883338899427</v>
      </c>
      <c r="M38" s="62">
        <v>0</v>
      </c>
      <c r="N38" s="61">
        <v>0.96974342417907566</v>
      </c>
      <c r="O38" s="95"/>
      <c r="P38" s="63">
        <f>O38+M38+K38+I38</f>
        <v>0</v>
      </c>
    </row>
    <row r="39" spans="2:17" x14ac:dyDescent="0.2">
      <c r="B39" s="36"/>
      <c r="C39" s="47">
        <f>basic_info!$D$5+3</f>
        <v>2017</v>
      </c>
      <c r="D39" s="76"/>
      <c r="E39" s="75"/>
      <c r="F39" s="75"/>
      <c r="G39" s="75"/>
      <c r="H39" s="75"/>
      <c r="I39" s="75"/>
      <c r="J39" s="69">
        <v>0.90603754280275017</v>
      </c>
      <c r="K39" s="79">
        <v>0</v>
      </c>
      <c r="L39" s="61">
        <v>1.0875125598816084</v>
      </c>
      <c r="M39" s="62">
        <v>0</v>
      </c>
      <c r="N39" s="61">
        <v>0.93160995934739854</v>
      </c>
      <c r="O39" s="95"/>
      <c r="P39" s="63">
        <f>O39+M39+K39</f>
        <v>0</v>
      </c>
    </row>
    <row r="40" spans="2:17" x14ac:dyDescent="0.2">
      <c r="B40" s="36"/>
      <c r="C40" s="47">
        <f>basic_info!$D$5+4</f>
        <v>2018</v>
      </c>
      <c r="D40" s="76"/>
      <c r="E40" s="75"/>
      <c r="F40" s="75"/>
      <c r="G40" s="75"/>
      <c r="H40" s="75"/>
      <c r="I40" s="75"/>
      <c r="J40" s="75"/>
      <c r="K40" s="75"/>
      <c r="L40" s="69">
        <v>0.99511689269542691</v>
      </c>
      <c r="M40" s="79">
        <v>0</v>
      </c>
      <c r="N40" s="61">
        <v>0.88880183448123806</v>
      </c>
      <c r="O40" s="95"/>
      <c r="P40" s="63">
        <f>O40+M40</f>
        <v>0</v>
      </c>
    </row>
    <row r="41" spans="2:17" x14ac:dyDescent="0.2">
      <c r="B41" s="37"/>
      <c r="C41" s="72">
        <f>basic_info!$D$5+5</f>
        <v>2019</v>
      </c>
      <c r="D41" s="77"/>
      <c r="E41" s="78"/>
      <c r="F41" s="78"/>
      <c r="G41" s="78"/>
      <c r="H41" s="78"/>
      <c r="I41" s="78"/>
      <c r="J41" s="78"/>
      <c r="K41" s="78"/>
      <c r="L41" s="80"/>
      <c r="M41" s="81"/>
      <c r="N41" s="69">
        <v>0.87392979428172113</v>
      </c>
      <c r="O41" s="95"/>
      <c r="P41" s="64">
        <f>O41</f>
        <v>0</v>
      </c>
    </row>
    <row r="42" spans="2:17" x14ac:dyDescent="0.2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50"/>
    </row>
    <row r="44" spans="2:17" x14ac:dyDescent="0.2">
      <c r="B44" s="30" t="s">
        <v>153</v>
      </c>
    </row>
    <row r="45" spans="2:17" x14ac:dyDescent="0.2">
      <c r="B45" s="31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</row>
    <row r="46" spans="2:17" x14ac:dyDescent="0.2">
      <c r="B46" s="33" t="s">
        <v>149</v>
      </c>
      <c r="C46" s="34" t="s">
        <v>92</v>
      </c>
      <c r="D46" s="34" t="s">
        <v>93</v>
      </c>
      <c r="E46" s="34" t="s">
        <v>94</v>
      </c>
      <c r="F46" s="34" t="s">
        <v>95</v>
      </c>
      <c r="G46" s="34" t="s">
        <v>96</v>
      </c>
      <c r="H46" s="34" t="s">
        <v>97</v>
      </c>
      <c r="I46" s="34" t="s">
        <v>98</v>
      </c>
      <c r="J46" s="34" t="s">
        <v>99</v>
      </c>
      <c r="K46" s="34" t="s">
        <v>100</v>
      </c>
      <c r="L46" s="34" t="s">
        <v>101</v>
      </c>
      <c r="M46" s="34" t="s">
        <v>102</v>
      </c>
      <c r="N46" s="35" t="s">
        <v>103</v>
      </c>
      <c r="O46" s="33" t="s">
        <v>150</v>
      </c>
    </row>
    <row r="47" spans="2:17" x14ac:dyDescent="0.2">
      <c r="B47" s="41" t="s">
        <v>112</v>
      </c>
      <c r="C47" s="98"/>
      <c r="D47" s="98"/>
      <c r="E47" s="98"/>
      <c r="F47" s="98"/>
      <c r="G47" s="98"/>
      <c r="H47" s="98"/>
      <c r="I47" s="98"/>
      <c r="J47" s="98"/>
      <c r="K47" s="98"/>
      <c r="L47" s="98"/>
      <c r="M47" s="98"/>
      <c r="N47" s="98"/>
      <c r="O47" s="33">
        <f>SUM(C47:N47)</f>
        <v>0</v>
      </c>
    </row>
    <row r="48" spans="2:17" x14ac:dyDescent="0.2">
      <c r="B48" s="37" t="s">
        <v>113</v>
      </c>
      <c r="C48" s="98"/>
      <c r="D48" s="98"/>
      <c r="E48" s="98"/>
      <c r="F48" s="98"/>
      <c r="G48" s="98"/>
      <c r="H48" s="98"/>
      <c r="I48" s="98"/>
      <c r="J48" s="98"/>
      <c r="K48" s="98"/>
      <c r="L48" s="98"/>
      <c r="M48" s="98"/>
      <c r="N48" s="98"/>
      <c r="O48" s="33">
        <f>SUM(C48:N48)</f>
        <v>0</v>
      </c>
    </row>
    <row r="49" spans="2:15" x14ac:dyDescent="0.2"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</row>
  </sheetData>
  <sheetProtection algorithmName="SHA-512" hashValue="BzmJnIBXTNqSmScB3KA91mZpbm0gm605aIjn/XSIPw/IPPJ3CqgOXbzn4Sp6SymRooZ8pPnwcKDyCCIMQ6NMdA==" saltValue="j8daH0CpYlxF7WoGwaYw7Q==" spinCount="100000" sheet="1" objects="1" scenarios="1"/>
  <phoneticPr fontId="0" type="noConversion"/>
  <dataValidations count="8">
    <dataValidation type="decimal" operator="greaterThanOrEqual" allowBlank="1" showInputMessage="1" showErrorMessage="1" errorTitle="Error" error="This error occurred because a non-positive number was entered" promptTitle="Purchases" prompt="Enter amount of fresh oranges (ORA) to purchase" sqref="C6:N11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0 &lt; real price &lt;= price 1" sqref="C17:C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1 &lt; real price &lt;= price 2" sqref="E17:E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2 &lt; real price &lt;= price 3 (Note: quantity multiplier = 0 if real price &gt; price 3)" sqref="G17:G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Prices" prompt="Enter prices (Note Unit: $/lb)" sqref="D17:D22 F17:F22 H17:H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ORA futures to purchase" sqref="O31:O35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FCOJ futures to purchase" sqref="O37:O41">
      <formula1>0</formula1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47:N48">
      <formula1>0</formula1>
      <formula2>100</formula2>
    </dataValidation>
  </dataValidations>
  <pageMargins left="0.75" right="0.75" top="1" bottom="1" header="0.5" footer="0.5"/>
  <pageSetup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X63"/>
  <sheetViews>
    <sheetView showGridLines="0" workbookViewId="0"/>
  </sheetViews>
  <sheetFormatPr defaultRowHeight="12.75" x14ac:dyDescent="0.2"/>
  <cols>
    <col min="1" max="1" width="4.7109375" style="29" customWidth="1"/>
    <col min="2" max="2" width="17.28515625" style="29" customWidth="1"/>
    <col min="3" max="16384" width="9.140625" style="29"/>
  </cols>
  <sheetData>
    <row r="2" spans="2:17" x14ac:dyDescent="0.2">
      <c r="B2" s="28" t="s">
        <v>114</v>
      </c>
    </row>
    <row r="3" spans="2:17" x14ac:dyDescent="0.2">
      <c r="B3" s="30" t="s">
        <v>144</v>
      </c>
    </row>
    <row r="4" spans="2:17" x14ac:dyDescent="0.2">
      <c r="B4" s="48"/>
      <c r="C4" s="48"/>
      <c r="D4" s="48"/>
      <c r="E4" s="48"/>
      <c r="F4" s="48"/>
      <c r="G4" s="48"/>
      <c r="H4" s="48"/>
      <c r="I4" s="49"/>
      <c r="J4" s="49"/>
      <c r="K4" s="49"/>
      <c r="L4" s="49"/>
      <c r="M4" s="49"/>
      <c r="N4" s="49"/>
    </row>
    <row r="5" spans="2:17" x14ac:dyDescent="0.2">
      <c r="B5" s="45" t="s">
        <v>115</v>
      </c>
      <c r="C5" s="45" t="s">
        <v>5</v>
      </c>
      <c r="D5" s="45" t="s">
        <v>10</v>
      </c>
      <c r="E5" s="45" t="s">
        <v>12</v>
      </c>
      <c r="F5" s="45" t="s">
        <v>22</v>
      </c>
      <c r="G5" s="45" t="s">
        <v>59</v>
      </c>
      <c r="H5" s="45" t="s">
        <v>150</v>
      </c>
      <c r="I5" s="50"/>
      <c r="J5" s="50"/>
      <c r="K5" s="50"/>
      <c r="L5" s="50"/>
      <c r="M5" s="50"/>
      <c r="N5" s="50"/>
      <c r="O5" s="50"/>
      <c r="P5" s="50"/>
      <c r="Q5" s="50"/>
    </row>
    <row r="6" spans="2:17" x14ac:dyDescent="0.2">
      <c r="B6" s="45" t="s">
        <v>163</v>
      </c>
      <c r="C6" s="99"/>
      <c r="D6" s="99"/>
      <c r="E6" s="99"/>
      <c r="F6" s="99"/>
      <c r="G6" s="99"/>
      <c r="H6" s="103">
        <f>SUM($C$6:$G$6)</f>
        <v>0</v>
      </c>
      <c r="I6" s="49"/>
      <c r="J6" s="49"/>
      <c r="K6" s="49"/>
      <c r="L6" s="49"/>
      <c r="M6" s="49"/>
      <c r="N6" s="49"/>
      <c r="O6" s="50"/>
      <c r="P6" s="50"/>
      <c r="Q6" s="50"/>
    </row>
    <row r="7" spans="2:17" x14ac:dyDescent="0.2">
      <c r="B7" s="45" t="s">
        <v>105</v>
      </c>
      <c r="C7" s="99"/>
      <c r="D7" s="99"/>
      <c r="E7" s="99"/>
      <c r="F7" s="99"/>
      <c r="G7" s="99"/>
      <c r="H7" s="103">
        <f>SUM($C$7:$G$7)</f>
        <v>0</v>
      </c>
      <c r="I7" s="49"/>
      <c r="J7" s="49"/>
      <c r="K7" s="49"/>
      <c r="L7" s="49"/>
      <c r="M7" s="49"/>
      <c r="N7" s="49"/>
      <c r="O7" s="50"/>
      <c r="P7" s="50"/>
      <c r="Q7" s="50"/>
    </row>
    <row r="8" spans="2:17" x14ac:dyDescent="0.2">
      <c r="B8" s="45" t="s">
        <v>106</v>
      </c>
      <c r="C8" s="99"/>
      <c r="D8" s="99"/>
      <c r="E8" s="99"/>
      <c r="F8" s="99"/>
      <c r="G8" s="99"/>
      <c r="H8" s="103">
        <f>SUM($C$8:$G$8)</f>
        <v>0</v>
      </c>
      <c r="I8" s="49"/>
      <c r="J8" s="49"/>
      <c r="K8" s="49"/>
      <c r="L8" s="49"/>
      <c r="M8" s="49"/>
      <c r="N8" s="49"/>
      <c r="O8" s="50"/>
      <c r="P8" s="50"/>
      <c r="Q8" s="50"/>
    </row>
    <row r="9" spans="2:17" x14ac:dyDescent="0.2">
      <c r="B9" s="45" t="s">
        <v>107</v>
      </c>
      <c r="C9" s="99"/>
      <c r="D9" s="99"/>
      <c r="E9" s="99"/>
      <c r="F9" s="99"/>
      <c r="G9" s="99"/>
      <c r="H9" s="103">
        <f>SUM($C$9:$G$9)</f>
        <v>0</v>
      </c>
      <c r="I9" s="49"/>
      <c r="J9" s="49"/>
      <c r="K9" s="49"/>
      <c r="L9" s="49"/>
      <c r="M9" s="49"/>
      <c r="N9" s="49"/>
      <c r="O9" s="50"/>
      <c r="P9" s="50"/>
      <c r="Q9" s="50"/>
    </row>
    <row r="10" spans="2:17" x14ac:dyDescent="0.2">
      <c r="B10" s="45" t="s">
        <v>108</v>
      </c>
      <c r="C10" s="99"/>
      <c r="D10" s="99"/>
      <c r="E10" s="99"/>
      <c r="F10" s="99"/>
      <c r="G10" s="99"/>
      <c r="H10" s="103">
        <f>SUM($C$10:$G$10)</f>
        <v>0</v>
      </c>
      <c r="I10" s="49"/>
      <c r="J10" s="49"/>
      <c r="K10" s="49"/>
      <c r="L10" s="49"/>
      <c r="M10" s="49"/>
      <c r="N10" s="49"/>
      <c r="O10" s="50"/>
      <c r="P10" s="50"/>
      <c r="Q10" s="50"/>
    </row>
    <row r="11" spans="2:17" x14ac:dyDescent="0.2">
      <c r="B11" s="45" t="s">
        <v>109</v>
      </c>
      <c r="C11" s="100"/>
      <c r="D11" s="100"/>
      <c r="E11" s="100"/>
      <c r="F11" s="100"/>
      <c r="G11" s="100"/>
      <c r="H11" s="102">
        <f>SUM($C$11:$G$11)</f>
        <v>0</v>
      </c>
      <c r="I11" s="49"/>
      <c r="J11" s="49"/>
      <c r="K11" s="49"/>
      <c r="L11" s="49"/>
      <c r="M11" s="49"/>
      <c r="N11" s="49"/>
      <c r="O11" s="50"/>
      <c r="P11" s="50"/>
      <c r="Q11" s="50"/>
    </row>
    <row r="12" spans="2:17" x14ac:dyDescent="0.2">
      <c r="B12" s="51"/>
      <c r="C12" s="51"/>
      <c r="D12" s="51"/>
      <c r="E12" s="51"/>
      <c r="F12" s="51"/>
      <c r="G12" s="51"/>
      <c r="H12" s="51"/>
      <c r="I12" s="49"/>
      <c r="J12" s="49"/>
      <c r="K12" s="49"/>
      <c r="L12" s="49"/>
      <c r="M12" s="49"/>
      <c r="N12" s="49"/>
      <c r="O12" s="50"/>
      <c r="P12" s="50"/>
      <c r="Q12" s="50"/>
    </row>
    <row r="13" spans="2:17" x14ac:dyDescent="0.2">
      <c r="C13" s="49"/>
      <c r="D13" s="49"/>
      <c r="E13" s="49"/>
      <c r="F13" s="49"/>
      <c r="G13" s="49"/>
      <c r="H13" s="49"/>
      <c r="I13" s="50"/>
      <c r="J13" s="50"/>
      <c r="K13" s="50"/>
    </row>
    <row r="14" spans="2:17" x14ac:dyDescent="0.2">
      <c r="B14" s="52" t="s">
        <v>116</v>
      </c>
      <c r="C14" s="49"/>
      <c r="D14" s="49"/>
      <c r="E14" s="49"/>
      <c r="F14" s="49"/>
      <c r="G14" s="49"/>
      <c r="H14" s="49"/>
      <c r="I14" s="50"/>
      <c r="J14" s="50"/>
      <c r="K14" s="50"/>
    </row>
    <row r="15" spans="2:17" x14ac:dyDescent="0.2">
      <c r="B15" s="53" t="s">
        <v>117</v>
      </c>
      <c r="C15" s="50"/>
      <c r="D15" s="50"/>
      <c r="E15" s="50"/>
      <c r="F15" s="50"/>
      <c r="G15" s="50"/>
      <c r="H15" s="50"/>
      <c r="I15" s="50"/>
      <c r="J15" s="50"/>
      <c r="K15" s="50"/>
    </row>
    <row r="16" spans="2:17" x14ac:dyDescent="0.2">
      <c r="B16" s="31"/>
      <c r="C16" s="31"/>
      <c r="D16" s="31"/>
      <c r="E16" s="31"/>
      <c r="F16" s="31"/>
      <c r="G16" s="31"/>
      <c r="H16" s="31"/>
      <c r="I16" s="50"/>
      <c r="J16" s="50"/>
      <c r="K16" s="50"/>
      <c r="L16" s="50"/>
      <c r="O16" s="50"/>
      <c r="P16" s="50"/>
      <c r="Q16" s="50"/>
    </row>
    <row r="17" spans="2:18" x14ac:dyDescent="0.2">
      <c r="B17" s="45" t="s">
        <v>118</v>
      </c>
      <c r="C17" s="45" t="s">
        <v>5</v>
      </c>
      <c r="D17" s="45"/>
      <c r="E17" s="45" t="s">
        <v>10</v>
      </c>
      <c r="F17" s="45"/>
      <c r="G17" s="45" t="s">
        <v>12</v>
      </c>
      <c r="H17" s="45"/>
      <c r="I17" s="50"/>
      <c r="J17" s="50"/>
      <c r="K17" s="50"/>
      <c r="L17" s="50"/>
      <c r="O17" s="50"/>
      <c r="P17" s="50"/>
      <c r="Q17" s="50"/>
    </row>
    <row r="18" spans="2:18" x14ac:dyDescent="0.2">
      <c r="B18" s="45" t="s">
        <v>119</v>
      </c>
      <c r="C18" s="45" t="s">
        <v>133</v>
      </c>
      <c r="D18" s="45" t="s">
        <v>123</v>
      </c>
      <c r="E18" s="45" t="s">
        <v>133</v>
      </c>
      <c r="F18" s="45" t="s">
        <v>123</v>
      </c>
      <c r="G18" s="45" t="s">
        <v>133</v>
      </c>
      <c r="H18" s="45" t="s">
        <v>123</v>
      </c>
      <c r="I18" s="50"/>
      <c r="J18" s="50"/>
      <c r="K18" s="50"/>
      <c r="L18" s="50"/>
      <c r="M18" s="50"/>
      <c r="O18" s="50"/>
      <c r="P18" s="50"/>
      <c r="Q18" s="50"/>
    </row>
    <row r="19" spans="2:18" x14ac:dyDescent="0.2">
      <c r="B19" s="45" t="s">
        <v>120</v>
      </c>
      <c r="C19" s="100"/>
      <c r="D19" s="44">
        <f>100-$C$19</f>
        <v>100</v>
      </c>
      <c r="E19" s="100"/>
      <c r="F19" s="44">
        <f>100-$E$19</f>
        <v>100</v>
      </c>
      <c r="G19" s="100"/>
      <c r="H19" s="33">
        <f>100-$G$19</f>
        <v>100</v>
      </c>
      <c r="O19" s="50"/>
      <c r="P19" s="50"/>
      <c r="Q19" s="50"/>
    </row>
    <row r="20" spans="2:18" x14ac:dyDescent="0.2">
      <c r="B20" s="54"/>
      <c r="C20" s="54"/>
      <c r="D20" s="54"/>
      <c r="E20" s="54"/>
      <c r="F20" s="54"/>
      <c r="G20" s="54"/>
      <c r="H20" s="54"/>
      <c r="I20" s="50"/>
      <c r="J20" s="50"/>
      <c r="K20" s="50"/>
      <c r="L20" s="50"/>
      <c r="O20" s="50"/>
      <c r="P20" s="50"/>
      <c r="Q20" s="50"/>
    </row>
    <row r="21" spans="2:18" x14ac:dyDescent="0.2">
      <c r="I21" s="50"/>
      <c r="J21" s="50"/>
      <c r="K21" s="50"/>
    </row>
    <row r="22" spans="2:18" x14ac:dyDescent="0.2">
      <c r="B22" s="52" t="s">
        <v>114</v>
      </c>
      <c r="I22" s="50"/>
      <c r="J22" s="50"/>
      <c r="K22" s="50"/>
    </row>
    <row r="23" spans="2:18" x14ac:dyDescent="0.2">
      <c r="B23" s="55" t="s">
        <v>145</v>
      </c>
      <c r="I23" s="50"/>
      <c r="J23" s="50"/>
      <c r="K23" s="50"/>
    </row>
    <row r="24" spans="2:18" x14ac:dyDescent="0.2">
      <c r="B24" s="31"/>
      <c r="C24" s="31"/>
      <c r="D24" s="31"/>
      <c r="E24" s="31"/>
      <c r="F24" s="31"/>
      <c r="G24" s="31"/>
      <c r="H24" s="31"/>
      <c r="I24" s="31"/>
      <c r="P24" s="50"/>
      <c r="Q24" s="50"/>
      <c r="R24" s="50"/>
    </row>
    <row r="25" spans="2:18" x14ac:dyDescent="0.2">
      <c r="B25" s="45" t="s">
        <v>121</v>
      </c>
      <c r="C25" s="45" t="s">
        <v>122</v>
      </c>
      <c r="D25" s="45" t="s">
        <v>5</v>
      </c>
      <c r="E25" s="45"/>
      <c r="F25" s="45" t="s">
        <v>10</v>
      </c>
      <c r="G25" s="45"/>
      <c r="H25" s="45" t="s">
        <v>12</v>
      </c>
      <c r="I25" s="45"/>
      <c r="P25" s="50"/>
      <c r="Q25" s="50"/>
      <c r="R25" s="50"/>
    </row>
    <row r="26" spans="2:18" x14ac:dyDescent="0.2">
      <c r="B26" s="45" t="s">
        <v>119</v>
      </c>
      <c r="C26" s="45" t="s">
        <v>123</v>
      </c>
      <c r="D26" s="45" t="s">
        <v>133</v>
      </c>
      <c r="E26" s="45" t="s">
        <v>123</v>
      </c>
      <c r="F26" s="45" t="s">
        <v>133</v>
      </c>
      <c r="G26" s="45" t="s">
        <v>123</v>
      </c>
      <c r="H26" s="45" t="s">
        <v>133</v>
      </c>
      <c r="I26" s="45" t="s">
        <v>123</v>
      </c>
      <c r="P26" s="50"/>
      <c r="Q26" s="50"/>
      <c r="R26" s="50"/>
    </row>
    <row r="27" spans="2:18" x14ac:dyDescent="0.2">
      <c r="B27" s="45" t="s">
        <v>22</v>
      </c>
      <c r="C27" s="99"/>
      <c r="D27" s="99"/>
      <c r="E27" s="99"/>
      <c r="F27" s="99"/>
      <c r="G27" s="99"/>
      <c r="H27" s="99"/>
      <c r="I27" s="101"/>
      <c r="P27" s="50"/>
      <c r="Q27" s="50"/>
      <c r="R27" s="50"/>
    </row>
    <row r="28" spans="2:18" x14ac:dyDescent="0.2">
      <c r="B28" s="45" t="s">
        <v>59</v>
      </c>
      <c r="C28" s="99"/>
      <c r="D28" s="99"/>
      <c r="E28" s="99"/>
      <c r="F28" s="99"/>
      <c r="G28" s="99"/>
      <c r="H28" s="99"/>
      <c r="I28" s="101"/>
      <c r="P28" s="50"/>
      <c r="Q28" s="50"/>
      <c r="R28" s="50"/>
    </row>
    <row r="29" spans="2:18" x14ac:dyDescent="0.2">
      <c r="B29" s="45" t="s">
        <v>150</v>
      </c>
      <c r="C29" s="104">
        <f>SUM($C$27:$C$28)</f>
        <v>0</v>
      </c>
      <c r="D29" s="104">
        <f>SUM($D$27:$D$28)</f>
        <v>0</v>
      </c>
      <c r="E29" s="104">
        <f>SUM($E$27:$E$28)</f>
        <v>0</v>
      </c>
      <c r="F29" s="104">
        <f>SUM($F$27:$F$28)</f>
        <v>0</v>
      </c>
      <c r="G29" s="104">
        <f>SUM($G$27:$G$28)</f>
        <v>0</v>
      </c>
      <c r="H29" s="104">
        <f>SUM($H$27:$H$28)</f>
        <v>0</v>
      </c>
      <c r="I29" s="102">
        <f>SUM($I$27:$I$28)</f>
        <v>0</v>
      </c>
      <c r="P29" s="50"/>
      <c r="Q29" s="50"/>
      <c r="R29" s="50"/>
    </row>
    <row r="30" spans="2:18" x14ac:dyDescent="0.2">
      <c r="B30" s="54"/>
      <c r="C30" s="54"/>
      <c r="D30" s="54"/>
      <c r="E30" s="54"/>
      <c r="F30" s="54"/>
      <c r="G30" s="54"/>
      <c r="H30" s="54"/>
      <c r="I30" s="54"/>
      <c r="P30" s="50"/>
      <c r="Q30" s="50"/>
      <c r="R30" s="50"/>
    </row>
    <row r="31" spans="2:18" x14ac:dyDescent="0.2">
      <c r="I31" s="50"/>
      <c r="J31" s="50"/>
      <c r="K31" s="50"/>
    </row>
    <row r="32" spans="2:18" x14ac:dyDescent="0.2">
      <c r="B32" s="52" t="s">
        <v>124</v>
      </c>
      <c r="C32" s="50"/>
      <c r="D32" s="50"/>
      <c r="E32" s="50"/>
      <c r="F32" s="50"/>
      <c r="G32" s="50"/>
      <c r="H32" s="50"/>
      <c r="I32" s="50"/>
      <c r="J32" s="50"/>
      <c r="K32" s="50"/>
    </row>
    <row r="33" spans="2:14" x14ac:dyDescent="0.2">
      <c r="B33" s="53" t="s">
        <v>143</v>
      </c>
      <c r="C33" s="50"/>
      <c r="D33" s="50"/>
      <c r="E33" s="50"/>
      <c r="F33" s="50"/>
      <c r="G33" s="50"/>
      <c r="H33" s="50"/>
      <c r="I33" s="50"/>
      <c r="J33" s="50"/>
      <c r="K33" s="50"/>
    </row>
    <row r="34" spans="2:14" x14ac:dyDescent="0.2">
      <c r="B34" s="32"/>
      <c r="C34" s="32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</row>
    <row r="35" spans="2:14" x14ac:dyDescent="0.2">
      <c r="B35" s="45" t="s">
        <v>147</v>
      </c>
      <c r="C35" s="45" t="s">
        <v>92</v>
      </c>
      <c r="D35" s="45" t="s">
        <v>93</v>
      </c>
      <c r="E35" s="45" t="s">
        <v>94</v>
      </c>
      <c r="F35" s="45" t="s">
        <v>95</v>
      </c>
      <c r="G35" s="45" t="s">
        <v>96</v>
      </c>
      <c r="H35" s="45" t="s">
        <v>97</v>
      </c>
      <c r="I35" s="45" t="s">
        <v>98</v>
      </c>
      <c r="J35" s="45" t="s">
        <v>99</v>
      </c>
      <c r="K35" s="45" t="s">
        <v>100</v>
      </c>
      <c r="L35" s="45" t="s">
        <v>101</v>
      </c>
      <c r="M35" s="45" t="s">
        <v>102</v>
      </c>
      <c r="N35" s="45" t="s">
        <v>103</v>
      </c>
    </row>
    <row r="36" spans="2:14" x14ac:dyDescent="0.2">
      <c r="B36" s="45" t="s">
        <v>22</v>
      </c>
      <c r="C36" s="99"/>
      <c r="D36" s="99"/>
      <c r="E36" s="99"/>
      <c r="F36" s="99"/>
      <c r="G36" s="99"/>
      <c r="H36" s="99"/>
      <c r="I36" s="99"/>
      <c r="J36" s="99"/>
      <c r="K36" s="99"/>
      <c r="L36" s="99"/>
      <c r="M36" s="99"/>
      <c r="N36" s="101"/>
    </row>
    <row r="37" spans="2:14" x14ac:dyDescent="0.2">
      <c r="B37" s="45" t="s">
        <v>59</v>
      </c>
      <c r="C37" s="100"/>
      <c r="D37" s="100"/>
      <c r="E37" s="100"/>
      <c r="F37" s="100"/>
      <c r="G37" s="100"/>
      <c r="H37" s="100"/>
      <c r="I37" s="100"/>
      <c r="J37" s="100"/>
      <c r="K37" s="100"/>
      <c r="L37" s="100"/>
      <c r="M37" s="100"/>
      <c r="N37" s="95"/>
    </row>
    <row r="38" spans="2:14" x14ac:dyDescent="0.2">
      <c r="B38" s="32"/>
      <c r="C38" s="32"/>
      <c r="D38" s="32"/>
      <c r="E38" s="32"/>
      <c r="F38" s="32"/>
      <c r="G38" s="32"/>
      <c r="H38" s="32"/>
      <c r="I38" s="32"/>
      <c r="J38" s="32"/>
      <c r="K38" s="32"/>
      <c r="L38" s="32"/>
      <c r="M38" s="32"/>
      <c r="N38" s="32"/>
    </row>
    <row r="39" spans="2:14" x14ac:dyDescent="0.2">
      <c r="I39" s="50"/>
      <c r="J39" s="50"/>
      <c r="K39" s="50"/>
    </row>
    <row r="40" spans="2:14" x14ac:dyDescent="0.2">
      <c r="B40" s="50"/>
      <c r="C40" s="50"/>
      <c r="D40" s="50"/>
      <c r="E40" s="50"/>
      <c r="F40" s="50"/>
      <c r="G40" s="50"/>
      <c r="H40" s="50"/>
      <c r="I40" s="50"/>
      <c r="J40" s="50"/>
      <c r="K40" s="50"/>
      <c r="L40" s="50"/>
      <c r="M40" s="50"/>
      <c r="N40" s="50"/>
    </row>
    <row r="41" spans="2:14" x14ac:dyDescent="0.2">
      <c r="B41" s="50"/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</row>
    <row r="42" spans="2:14" x14ac:dyDescent="0.2"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</row>
    <row r="43" spans="2:14" x14ac:dyDescent="0.2">
      <c r="B43" s="56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</row>
    <row r="44" spans="2:14" x14ac:dyDescent="0.2"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</row>
    <row r="45" spans="2:14" x14ac:dyDescent="0.2">
      <c r="B45" s="50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</row>
    <row r="46" spans="2:14" x14ac:dyDescent="0.2"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</row>
    <row r="47" spans="2:14" x14ac:dyDescent="0.2"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</row>
    <row r="49" spans="9:24" x14ac:dyDescent="0.2">
      <c r="P49" s="50"/>
      <c r="Q49" s="50"/>
      <c r="R49" s="50"/>
      <c r="S49" s="50"/>
      <c r="T49" s="50"/>
      <c r="U49" s="50"/>
      <c r="V49" s="50"/>
      <c r="W49" s="50"/>
      <c r="X49" s="50"/>
    </row>
    <row r="61" spans="9:24" x14ac:dyDescent="0.2">
      <c r="I61" s="50"/>
      <c r="J61" s="50"/>
    </row>
    <row r="62" spans="9:24" x14ac:dyDescent="0.2">
      <c r="I62" s="50"/>
      <c r="J62" s="50"/>
    </row>
    <row r="63" spans="9:24" x14ac:dyDescent="0.2">
      <c r="I63" s="50"/>
      <c r="J63" s="50"/>
    </row>
  </sheetData>
  <sheetProtection algorithmName="SHA-512" hashValue="jjyz5Ch04UNELISzdcyJcwVQlSrDi/y9tSbguJeo+pbh+8z6NIND5mtELSR9wgqunBq457OEypSd6P45Fj+6CQ==" saltValue="2bf+A2pnSbGa8Il6VVqoWA==" spinCount="100000" sheet="1" objects="1" scenarios="1"/>
  <phoneticPr fontId="0" type="noConversion"/>
  <dataValidations count="2">
    <dataValidation type="decimal" allowBlank="1" showInputMessage="1" showErrorMessage="1" errorTitle="Error" error="You must enter a number between 0 and 100 (inclusive)" promptTitle="Percentage" prompt="Enter a number between 0 and 100 (inclusive)" sqref="C6:G11 C19 E19 G19 C27:I28">
      <formula1>0</formula1>
      <formula2>100</formula2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36:N37">
      <formula1>0</formula1>
      <formula2>100</formula2>
    </dataValidation>
  </dataValidations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O41"/>
  <sheetViews>
    <sheetView showGridLines="0" workbookViewId="0"/>
  </sheetViews>
  <sheetFormatPr defaultRowHeight="12.75" x14ac:dyDescent="0.2"/>
  <cols>
    <col min="1" max="2" width="4.7109375" style="29" customWidth="1"/>
    <col min="3" max="3" width="12.7109375" style="29" customWidth="1"/>
    <col min="4" max="15" width="8.7109375" style="29" customWidth="1"/>
    <col min="16" max="16384" width="9.140625" style="29"/>
  </cols>
  <sheetData>
    <row r="2" spans="2:15" x14ac:dyDescent="0.2">
      <c r="C2" s="28" t="s">
        <v>158</v>
      </c>
    </row>
    <row r="3" spans="2:15" x14ac:dyDescent="0.2">
      <c r="C3" s="30" t="s">
        <v>138</v>
      </c>
    </row>
    <row r="4" spans="2:15" x14ac:dyDescent="0.2">
      <c r="C4" s="57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</row>
    <row r="5" spans="2:15" x14ac:dyDescent="0.2">
      <c r="B5" s="58" t="s">
        <v>125</v>
      </c>
      <c r="C5" s="59" t="s">
        <v>146</v>
      </c>
      <c r="D5" s="34" t="s">
        <v>92</v>
      </c>
      <c r="E5" s="34" t="s">
        <v>93</v>
      </c>
      <c r="F5" s="34" t="s">
        <v>94</v>
      </c>
      <c r="G5" s="34" t="s">
        <v>95</v>
      </c>
      <c r="H5" s="34" t="s">
        <v>96</v>
      </c>
      <c r="I5" s="34" t="s">
        <v>97</v>
      </c>
      <c r="J5" s="34" t="s">
        <v>98</v>
      </c>
      <c r="K5" s="34" t="s">
        <v>99</v>
      </c>
      <c r="L5" s="34" t="s">
        <v>100</v>
      </c>
      <c r="M5" s="34" t="s">
        <v>101</v>
      </c>
      <c r="N5" s="34" t="s">
        <v>102</v>
      </c>
      <c r="O5" s="35" t="s">
        <v>103</v>
      </c>
    </row>
    <row r="6" spans="2:15" x14ac:dyDescent="0.2">
      <c r="C6" s="41" t="s">
        <v>126</v>
      </c>
      <c r="D6" s="95"/>
      <c r="E6" s="95"/>
      <c r="F6" s="95"/>
      <c r="G6" s="95"/>
      <c r="H6" s="95"/>
      <c r="I6" s="95"/>
      <c r="J6" s="95"/>
      <c r="K6" s="95"/>
      <c r="L6" s="95"/>
      <c r="M6" s="95"/>
      <c r="N6" s="95"/>
      <c r="O6" s="95"/>
    </row>
    <row r="7" spans="2:15" x14ac:dyDescent="0.2">
      <c r="C7" s="36" t="s">
        <v>127</v>
      </c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</row>
    <row r="8" spans="2:15" x14ac:dyDescent="0.2">
      <c r="C8" s="36" t="s">
        <v>128</v>
      </c>
      <c r="D8" s="95"/>
      <c r="E8" s="95"/>
      <c r="F8" s="95"/>
      <c r="G8" s="95"/>
      <c r="H8" s="95"/>
      <c r="I8" s="95"/>
      <c r="J8" s="95"/>
      <c r="K8" s="95"/>
      <c r="L8" s="95"/>
      <c r="M8" s="95"/>
      <c r="N8" s="95"/>
      <c r="O8" s="95"/>
    </row>
    <row r="9" spans="2:15" x14ac:dyDescent="0.2">
      <c r="C9" s="36" t="s">
        <v>129</v>
      </c>
      <c r="D9" s="95"/>
      <c r="E9" s="95"/>
      <c r="F9" s="95"/>
      <c r="G9" s="95"/>
      <c r="H9" s="95"/>
      <c r="I9" s="95"/>
      <c r="J9" s="95"/>
      <c r="K9" s="95"/>
      <c r="L9" s="95"/>
      <c r="M9" s="95"/>
      <c r="N9" s="95"/>
      <c r="O9" s="95"/>
    </row>
    <row r="10" spans="2:15" x14ac:dyDescent="0.2">
      <c r="C10" s="36" t="s">
        <v>130</v>
      </c>
      <c r="D10" s="95"/>
      <c r="E10" s="95"/>
      <c r="F10" s="95"/>
      <c r="G10" s="95"/>
      <c r="H10" s="95"/>
      <c r="I10" s="95"/>
      <c r="J10" s="95"/>
      <c r="K10" s="95"/>
      <c r="L10" s="95"/>
      <c r="M10" s="95"/>
      <c r="N10" s="95"/>
      <c r="O10" s="95"/>
    </row>
    <row r="11" spans="2:15" x14ac:dyDescent="0.2">
      <c r="C11" s="36" t="s">
        <v>131</v>
      </c>
      <c r="D11" s="95"/>
      <c r="E11" s="95"/>
      <c r="F11" s="95"/>
      <c r="G11" s="95"/>
      <c r="H11" s="95"/>
      <c r="I11" s="95"/>
      <c r="J11" s="95"/>
      <c r="K11" s="95"/>
      <c r="L11" s="95"/>
      <c r="M11" s="95"/>
      <c r="N11" s="95"/>
      <c r="O11" s="95"/>
    </row>
    <row r="12" spans="2:15" x14ac:dyDescent="0.2">
      <c r="C12" s="37" t="s">
        <v>132</v>
      </c>
      <c r="D12" s="95"/>
      <c r="E12" s="95"/>
      <c r="F12" s="95"/>
      <c r="G12" s="95"/>
      <c r="H12" s="95"/>
      <c r="I12" s="95"/>
      <c r="J12" s="95"/>
      <c r="K12" s="95"/>
      <c r="L12" s="95"/>
      <c r="M12" s="95"/>
      <c r="N12" s="95"/>
      <c r="O12" s="95"/>
    </row>
    <row r="13" spans="2:15" x14ac:dyDescent="0.2">
      <c r="C13" s="57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</row>
    <row r="14" spans="2:15" x14ac:dyDescent="0.2">
      <c r="B14" s="58" t="s">
        <v>133</v>
      </c>
      <c r="C14" s="59" t="s">
        <v>146</v>
      </c>
      <c r="D14" s="34" t="s">
        <v>92</v>
      </c>
      <c r="E14" s="34" t="s">
        <v>93</v>
      </c>
      <c r="F14" s="34" t="s">
        <v>94</v>
      </c>
      <c r="G14" s="34" t="s">
        <v>95</v>
      </c>
      <c r="H14" s="34" t="s">
        <v>96</v>
      </c>
      <c r="I14" s="34" t="s">
        <v>97</v>
      </c>
      <c r="J14" s="34" t="s">
        <v>98</v>
      </c>
      <c r="K14" s="34" t="s">
        <v>99</v>
      </c>
      <c r="L14" s="34" t="s">
        <v>100</v>
      </c>
      <c r="M14" s="34" t="s">
        <v>101</v>
      </c>
      <c r="N14" s="34" t="s">
        <v>102</v>
      </c>
      <c r="O14" s="35" t="s">
        <v>103</v>
      </c>
    </row>
    <row r="15" spans="2:15" x14ac:dyDescent="0.2">
      <c r="C15" s="41" t="s">
        <v>126</v>
      </c>
      <c r="D15" s="95"/>
      <c r="E15" s="95"/>
      <c r="F15" s="95"/>
      <c r="G15" s="95"/>
      <c r="H15" s="95"/>
      <c r="I15" s="95"/>
      <c r="J15" s="95"/>
      <c r="K15" s="95"/>
      <c r="L15" s="95"/>
      <c r="M15" s="95"/>
      <c r="N15" s="95"/>
      <c r="O15" s="95"/>
    </row>
    <row r="16" spans="2:15" x14ac:dyDescent="0.2">
      <c r="C16" s="36" t="s">
        <v>127</v>
      </c>
      <c r="D16" s="95"/>
      <c r="E16" s="95"/>
      <c r="F16" s="95"/>
      <c r="G16" s="95"/>
      <c r="H16" s="95"/>
      <c r="I16" s="95"/>
      <c r="J16" s="95"/>
      <c r="K16" s="95"/>
      <c r="L16" s="95"/>
      <c r="M16" s="95"/>
      <c r="N16" s="95"/>
      <c r="O16" s="95"/>
    </row>
    <row r="17" spans="2:15" x14ac:dyDescent="0.2">
      <c r="C17" s="36" t="s">
        <v>128</v>
      </c>
      <c r="D17" s="95"/>
      <c r="E17" s="95"/>
      <c r="F17" s="95"/>
      <c r="G17" s="95"/>
      <c r="H17" s="95"/>
      <c r="I17" s="95"/>
      <c r="J17" s="95"/>
      <c r="K17" s="95"/>
      <c r="L17" s="95"/>
      <c r="M17" s="95"/>
      <c r="N17" s="95"/>
      <c r="O17" s="95"/>
    </row>
    <row r="18" spans="2:15" x14ac:dyDescent="0.2">
      <c r="C18" s="36" t="s">
        <v>129</v>
      </c>
      <c r="D18" s="95"/>
      <c r="E18" s="95"/>
      <c r="F18" s="95"/>
      <c r="G18" s="95"/>
      <c r="H18" s="95"/>
      <c r="I18" s="95"/>
      <c r="J18" s="95"/>
      <c r="K18" s="95"/>
      <c r="L18" s="95"/>
      <c r="M18" s="95"/>
      <c r="N18" s="95"/>
      <c r="O18" s="95"/>
    </row>
    <row r="19" spans="2:15" x14ac:dyDescent="0.2">
      <c r="C19" s="36" t="s">
        <v>130</v>
      </c>
      <c r="D19" s="95"/>
      <c r="E19" s="95"/>
      <c r="F19" s="95"/>
      <c r="G19" s="95"/>
      <c r="H19" s="95"/>
      <c r="I19" s="95"/>
      <c r="J19" s="95"/>
      <c r="K19" s="95"/>
      <c r="L19" s="95"/>
      <c r="M19" s="95"/>
      <c r="N19" s="95"/>
      <c r="O19" s="95"/>
    </row>
    <row r="20" spans="2:15" x14ac:dyDescent="0.2">
      <c r="C20" s="36" t="s">
        <v>131</v>
      </c>
      <c r="D20" s="95"/>
      <c r="E20" s="95"/>
      <c r="F20" s="95"/>
      <c r="G20" s="95"/>
      <c r="H20" s="95"/>
      <c r="I20" s="95"/>
      <c r="J20" s="95"/>
      <c r="K20" s="95"/>
      <c r="L20" s="95"/>
      <c r="M20" s="95"/>
      <c r="N20" s="95"/>
      <c r="O20" s="95"/>
    </row>
    <row r="21" spans="2:15" x14ac:dyDescent="0.2">
      <c r="C21" s="37" t="s">
        <v>132</v>
      </c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</row>
    <row r="22" spans="2:15" x14ac:dyDescent="0.2">
      <c r="C22" s="57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</row>
    <row r="23" spans="2:15" x14ac:dyDescent="0.2">
      <c r="B23" s="58" t="s">
        <v>134</v>
      </c>
      <c r="C23" s="59" t="s">
        <v>146</v>
      </c>
      <c r="D23" s="34" t="s">
        <v>92</v>
      </c>
      <c r="E23" s="34" t="s">
        <v>93</v>
      </c>
      <c r="F23" s="34" t="s">
        <v>94</v>
      </c>
      <c r="G23" s="34" t="s">
        <v>95</v>
      </c>
      <c r="H23" s="34" t="s">
        <v>96</v>
      </c>
      <c r="I23" s="34" t="s">
        <v>97</v>
      </c>
      <c r="J23" s="34" t="s">
        <v>98</v>
      </c>
      <c r="K23" s="34" t="s">
        <v>99</v>
      </c>
      <c r="L23" s="34" t="s">
        <v>100</v>
      </c>
      <c r="M23" s="34" t="s">
        <v>101</v>
      </c>
      <c r="N23" s="34" t="s">
        <v>102</v>
      </c>
      <c r="O23" s="35" t="s">
        <v>103</v>
      </c>
    </row>
    <row r="24" spans="2:15" x14ac:dyDescent="0.2">
      <c r="C24" s="41" t="s">
        <v>126</v>
      </c>
      <c r="D24" s="95"/>
      <c r="E24" s="95"/>
      <c r="F24" s="95"/>
      <c r="G24" s="95"/>
      <c r="H24" s="95"/>
      <c r="I24" s="95"/>
      <c r="J24" s="95"/>
      <c r="K24" s="95"/>
      <c r="L24" s="95"/>
      <c r="M24" s="95"/>
      <c r="N24" s="95"/>
      <c r="O24" s="95"/>
    </row>
    <row r="25" spans="2:15" x14ac:dyDescent="0.2">
      <c r="C25" s="36" t="s">
        <v>127</v>
      </c>
      <c r="D25" s="95"/>
      <c r="E25" s="95"/>
      <c r="F25" s="95"/>
      <c r="G25" s="95"/>
      <c r="H25" s="95"/>
      <c r="I25" s="95"/>
      <c r="J25" s="95"/>
      <c r="K25" s="95"/>
      <c r="L25" s="95"/>
      <c r="M25" s="95"/>
      <c r="N25" s="95"/>
      <c r="O25" s="95"/>
    </row>
    <row r="26" spans="2:15" x14ac:dyDescent="0.2">
      <c r="C26" s="36" t="s">
        <v>128</v>
      </c>
      <c r="D26" s="95"/>
      <c r="E26" s="95"/>
      <c r="F26" s="95"/>
      <c r="G26" s="95"/>
      <c r="H26" s="95"/>
      <c r="I26" s="95"/>
      <c r="J26" s="95"/>
      <c r="K26" s="95"/>
      <c r="L26" s="95"/>
      <c r="M26" s="95"/>
      <c r="N26" s="95"/>
      <c r="O26" s="95"/>
    </row>
    <row r="27" spans="2:15" x14ac:dyDescent="0.2">
      <c r="C27" s="36" t="s">
        <v>129</v>
      </c>
      <c r="D27" s="95"/>
      <c r="E27" s="95"/>
      <c r="F27" s="95"/>
      <c r="G27" s="95"/>
      <c r="H27" s="95"/>
      <c r="I27" s="95"/>
      <c r="J27" s="95"/>
      <c r="K27" s="95"/>
      <c r="L27" s="95"/>
      <c r="M27" s="95"/>
      <c r="N27" s="95"/>
      <c r="O27" s="95"/>
    </row>
    <row r="28" spans="2:15" x14ac:dyDescent="0.2">
      <c r="C28" s="36" t="s">
        <v>130</v>
      </c>
      <c r="D28" s="95"/>
      <c r="E28" s="95"/>
      <c r="F28" s="95"/>
      <c r="G28" s="95"/>
      <c r="H28" s="95"/>
      <c r="I28" s="95"/>
      <c r="J28" s="95"/>
      <c r="K28" s="95"/>
      <c r="L28" s="95"/>
      <c r="M28" s="95"/>
      <c r="N28" s="95"/>
      <c r="O28" s="95"/>
    </row>
    <row r="29" spans="2:15" x14ac:dyDescent="0.2">
      <c r="C29" s="36" t="s">
        <v>131</v>
      </c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</row>
    <row r="30" spans="2:15" x14ac:dyDescent="0.2">
      <c r="C30" s="37" t="s">
        <v>132</v>
      </c>
      <c r="D30" s="95"/>
      <c r="E30" s="95"/>
      <c r="F30" s="95"/>
      <c r="G30" s="95"/>
      <c r="H30" s="95"/>
      <c r="I30" s="95"/>
      <c r="J30" s="95"/>
      <c r="K30" s="95"/>
      <c r="L30" s="95"/>
      <c r="M30" s="95"/>
      <c r="N30" s="95"/>
      <c r="O30" s="95"/>
    </row>
    <row r="31" spans="2:15" x14ac:dyDescent="0.2">
      <c r="C31" s="57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</row>
    <row r="32" spans="2:15" x14ac:dyDescent="0.2">
      <c r="B32" s="58" t="s">
        <v>123</v>
      </c>
      <c r="C32" s="59" t="s">
        <v>146</v>
      </c>
      <c r="D32" s="34" t="s">
        <v>92</v>
      </c>
      <c r="E32" s="34" t="s">
        <v>93</v>
      </c>
      <c r="F32" s="34" t="s">
        <v>94</v>
      </c>
      <c r="G32" s="34" t="s">
        <v>95</v>
      </c>
      <c r="H32" s="34" t="s">
        <v>96</v>
      </c>
      <c r="I32" s="34" t="s">
        <v>97</v>
      </c>
      <c r="J32" s="34" t="s">
        <v>98</v>
      </c>
      <c r="K32" s="34" t="s">
        <v>99</v>
      </c>
      <c r="L32" s="34" t="s">
        <v>100</v>
      </c>
      <c r="M32" s="34" t="s">
        <v>101</v>
      </c>
      <c r="N32" s="34" t="s">
        <v>102</v>
      </c>
      <c r="O32" s="35" t="s">
        <v>103</v>
      </c>
    </row>
    <row r="33" spans="3:15" x14ac:dyDescent="0.2">
      <c r="C33" s="41" t="s">
        <v>126</v>
      </c>
      <c r="D33" s="95"/>
      <c r="E33" s="95"/>
      <c r="F33" s="95"/>
      <c r="G33" s="95"/>
      <c r="H33" s="95"/>
      <c r="I33" s="95"/>
      <c r="J33" s="95"/>
      <c r="K33" s="95"/>
      <c r="L33" s="95"/>
      <c r="M33" s="95"/>
      <c r="N33" s="95"/>
      <c r="O33" s="95"/>
    </row>
    <row r="34" spans="3:15" x14ac:dyDescent="0.2">
      <c r="C34" s="36" t="s">
        <v>127</v>
      </c>
      <c r="D34" s="95"/>
      <c r="E34" s="95"/>
      <c r="F34" s="95"/>
      <c r="G34" s="95"/>
      <c r="H34" s="95"/>
      <c r="I34" s="95"/>
      <c r="J34" s="95"/>
      <c r="K34" s="95"/>
      <c r="L34" s="95"/>
      <c r="M34" s="95"/>
      <c r="N34" s="95"/>
      <c r="O34" s="95"/>
    </row>
    <row r="35" spans="3:15" x14ac:dyDescent="0.2">
      <c r="C35" s="36" t="s">
        <v>128</v>
      </c>
      <c r="D35" s="95"/>
      <c r="E35" s="95"/>
      <c r="F35" s="95"/>
      <c r="G35" s="95"/>
      <c r="H35" s="95"/>
      <c r="I35" s="95"/>
      <c r="J35" s="95"/>
      <c r="K35" s="95"/>
      <c r="L35" s="95"/>
      <c r="M35" s="95"/>
      <c r="N35" s="95"/>
      <c r="O35" s="95"/>
    </row>
    <row r="36" spans="3:15" x14ac:dyDescent="0.2">
      <c r="C36" s="36" t="s">
        <v>129</v>
      </c>
      <c r="D36" s="95"/>
      <c r="E36" s="95"/>
      <c r="F36" s="95"/>
      <c r="G36" s="95"/>
      <c r="H36" s="95"/>
      <c r="I36" s="95"/>
      <c r="J36" s="95"/>
      <c r="K36" s="95"/>
      <c r="L36" s="95"/>
      <c r="M36" s="95"/>
      <c r="N36" s="95"/>
      <c r="O36" s="95"/>
    </row>
    <row r="37" spans="3:15" x14ac:dyDescent="0.2">
      <c r="C37" s="36" t="s">
        <v>130</v>
      </c>
      <c r="D37" s="95"/>
      <c r="E37" s="95"/>
      <c r="F37" s="95"/>
      <c r="G37" s="95"/>
      <c r="H37" s="95"/>
      <c r="I37" s="95"/>
      <c r="J37" s="95"/>
      <c r="K37" s="95"/>
      <c r="L37" s="95"/>
      <c r="M37" s="95"/>
      <c r="N37" s="95"/>
      <c r="O37" s="95"/>
    </row>
    <row r="38" spans="3:15" x14ac:dyDescent="0.2">
      <c r="C38" s="36" t="s">
        <v>131</v>
      </c>
      <c r="D38" s="95"/>
      <c r="E38" s="95"/>
      <c r="F38" s="95"/>
      <c r="G38" s="95"/>
      <c r="H38" s="95"/>
      <c r="I38" s="95"/>
      <c r="J38" s="95"/>
      <c r="K38" s="95"/>
      <c r="L38" s="95"/>
      <c r="M38" s="95"/>
      <c r="N38" s="95"/>
      <c r="O38" s="95"/>
    </row>
    <row r="39" spans="3:15" x14ac:dyDescent="0.2">
      <c r="C39" s="37" t="s">
        <v>132</v>
      </c>
      <c r="D39" s="95"/>
      <c r="E39" s="95"/>
      <c r="F39" s="95"/>
      <c r="G39" s="95"/>
      <c r="H39" s="95"/>
      <c r="I39" s="95"/>
      <c r="J39" s="95"/>
      <c r="K39" s="95"/>
      <c r="L39" s="95"/>
      <c r="M39" s="95"/>
      <c r="N39" s="95"/>
      <c r="O39" s="95"/>
    </row>
    <row r="40" spans="3:15" x14ac:dyDescent="0.2"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</row>
    <row r="41" spans="3:15" x14ac:dyDescent="0.2"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</row>
  </sheetData>
  <sheetProtection algorithmName="SHA-512" hashValue="THSMvP9eIZKvuXhR0hQwK9IYvmuGGzX/JjEmmhcaOooS4zG+BEbaFwcR6mO/vxe5vJOSPodxl5mF8et2CIS6jA==" saltValue="61dQLaT72ltngGlDjOsgdw==" spinCount="100000" sheet="1" objects="1" scenarios="1"/>
  <phoneticPr fontId="0" type="noConversion"/>
  <dataValidations count="1">
    <dataValidation type="decimal" allowBlank="1" showInputMessage="1" showErrorMessage="1" errorTitle="Error" error="You must enter a number between 0 and 4 (inclusive)" promptTitle="Pricing" prompt="Enter a number between 0 and 4 (inclusive)" sqref="D6:O12 D15:O21 D24:O30 D33:O39">
      <formula1>0</formula1>
      <formula2>4</formula2>
    </dataValidation>
  </dataValidations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9</vt:i4>
      </vt:variant>
    </vt:vector>
  </HeadingPairs>
  <TitlesOfParts>
    <vt:vector size="14" baseType="lpstr">
      <vt:lpstr>basic_info</vt:lpstr>
      <vt:lpstr>facilities</vt:lpstr>
      <vt:lpstr>raw_materials</vt:lpstr>
      <vt:lpstr>shipping_manufacturing</vt:lpstr>
      <vt:lpstr>pricing</vt:lpstr>
      <vt:lpstr>AddColumn1</vt:lpstr>
      <vt:lpstr>AddColumn2</vt:lpstr>
      <vt:lpstr>AddColumn3</vt:lpstr>
      <vt:lpstr>AddRow3</vt:lpstr>
      <vt:lpstr>AddRow4</vt:lpstr>
      <vt:lpstr>Table1</vt:lpstr>
      <vt:lpstr>Table2</vt:lpstr>
      <vt:lpstr>Table3</vt:lpstr>
      <vt:lpstr>Table4</vt:lpstr>
    </vt:vector>
  </TitlesOfParts>
  <Company>Princeton University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Stella Ma</dc:creator>
  <cp:lastModifiedBy>hpsimao</cp:lastModifiedBy>
  <dcterms:created xsi:type="dcterms:W3CDTF">2003-07-09T21:14:27Z</dcterms:created>
  <dcterms:modified xsi:type="dcterms:W3CDTF">2014-11-13T22:32:10Z</dcterms:modified>
</cp:coreProperties>
</file>