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396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7" i="7" l="1"/>
  <c r="C29" i="7"/>
  <c r="N48" i="6"/>
  <c r="M48" i="6"/>
  <c r="L48" i="6"/>
  <c r="K48" i="6"/>
  <c r="J48" i="6"/>
  <c r="I48" i="6"/>
  <c r="H48" i="6"/>
  <c r="G48" i="6"/>
  <c r="F48" i="6"/>
  <c r="E48" i="6"/>
  <c r="D48" i="6"/>
  <c r="N47" i="6"/>
  <c r="M47" i="6"/>
  <c r="L47" i="6"/>
  <c r="K47" i="6"/>
  <c r="J47" i="6"/>
  <c r="I47" i="6"/>
  <c r="H47" i="6"/>
  <c r="G47" i="6"/>
  <c r="F47" i="6"/>
  <c r="E47" i="6"/>
  <c r="D47" i="6"/>
  <c r="C47" i="6"/>
  <c r="C48" i="6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  <c r="I6" i="7"/>
</calcChain>
</file>

<file path=xl/sharedStrings.xml><?xml version="1.0" encoding="utf-8"?>
<sst xmlns="http://schemas.openxmlformats.org/spreadsheetml/2006/main" count="516" uniqueCount="168">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</sst>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6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7" t="s">
        <v>165</v>
      </c>
      <c r="E4" s="98"/>
      <c r="F4" s="99"/>
    </row>
    <row r="5" spans="2:6">
      <c r="B5" s="6"/>
      <c r="C5" s="7" t="s">
        <v>111</v>
      </c>
      <c r="D5" s="100">
        <v>2015</v>
      </c>
      <c r="E5" s="101"/>
      <c r="F5" s="102"/>
    </row>
    <row r="6" spans="2:6">
      <c r="B6" s="3"/>
      <c r="C6" s="3"/>
      <c r="D6" s="3"/>
      <c r="E6" s="3"/>
      <c r="F6" s="3"/>
    </row>
  </sheetData>
  <sheetProtection algorithmName="SHA-512" hashValue="H5HwKazfE7eYw72bYu0FMdonNxSp/RGB1QBU7GUqr8UBDyVgDoeAxnmPEva9b8X2LM2TIDvVU17iCJG9PgEkXQ==" saltValue="7W73ruX1b3iBkovSzt8wV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7" workbookViewId="0">
      <selection activeCell="I76" sqref="I76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-31000</v>
      </c>
      <c r="D39" s="14">
        <v>35000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-20000</v>
      </c>
      <c r="D76" s="15">
        <v>40000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KqMXRG2Omwt5upLWrj/o2IBI+4wNa8xNRYzkuCgjB4QotG4x0poY7U9p1o6QmKz7C757VVGO2H+Y95AO9FMjNg==" saltValue="oO/31eLaiN4zDc1Oe2aFa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I40" sqref="I40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531.37386000000004</v>
      </c>
      <c r="D6" s="86">
        <v>531.37386000000004</v>
      </c>
      <c r="E6" s="86">
        <v>531.37386000000004</v>
      </c>
      <c r="F6" s="86">
        <v>531.37386000000004</v>
      </c>
      <c r="G6" s="86">
        <v>531.37386000000004</v>
      </c>
      <c r="H6" s="86">
        <v>531.37386000000004</v>
      </c>
      <c r="I6" s="86">
        <v>531.37386000000004</v>
      </c>
      <c r="J6" s="86">
        <v>531.37386000000004</v>
      </c>
      <c r="K6" s="86">
        <v>531.37386000000004</v>
      </c>
      <c r="L6" s="86">
        <v>531.37386000000004</v>
      </c>
      <c r="M6" s="86">
        <v>531.37386000000004</v>
      </c>
      <c r="N6" s="86">
        <v>531.37386000000004</v>
      </c>
    </row>
    <row r="7" spans="2:14">
      <c r="B7" s="36" t="s">
        <v>105</v>
      </c>
      <c r="C7" s="87">
        <v>533.05227000000002</v>
      </c>
      <c r="D7" s="87">
        <v>533.05227000000002</v>
      </c>
      <c r="E7" s="87">
        <v>533.05227000000002</v>
      </c>
      <c r="F7" s="87">
        <v>533.05227000000002</v>
      </c>
      <c r="G7" s="87">
        <v>533.05227000000002</v>
      </c>
      <c r="H7" s="87">
        <v>533.05227000000002</v>
      </c>
      <c r="I7" s="87">
        <v>533.05227000000002</v>
      </c>
      <c r="J7" s="87">
        <v>533.05227000000002</v>
      </c>
      <c r="K7" s="87">
        <v>533.05227000000002</v>
      </c>
      <c r="L7" s="87">
        <v>533.05227000000002</v>
      </c>
      <c r="M7" s="87">
        <v>533.05227000000002</v>
      </c>
      <c r="N7" s="87">
        <v>533.05227000000002</v>
      </c>
    </row>
    <row r="8" spans="2:14">
      <c r="B8" s="36" t="s">
        <v>106</v>
      </c>
      <c r="C8" s="87">
        <v>536.27301</v>
      </c>
      <c r="D8" s="87">
        <v>536.27301</v>
      </c>
      <c r="E8" s="87">
        <v>536.27301</v>
      </c>
      <c r="F8" s="87">
        <v>536.27301</v>
      </c>
      <c r="G8" s="87">
        <v>536.27301</v>
      </c>
      <c r="H8" s="87">
        <v>536.27301</v>
      </c>
      <c r="I8" s="87">
        <v>536.27301</v>
      </c>
      <c r="J8" s="87">
        <v>536.27301</v>
      </c>
      <c r="K8" s="87">
        <v>536.27301</v>
      </c>
      <c r="L8" s="87">
        <v>536.27301</v>
      </c>
      <c r="M8" s="87">
        <v>536.27301</v>
      </c>
      <c r="N8" s="87">
        <v>536.27301</v>
      </c>
    </row>
    <row r="9" spans="2:14">
      <c r="B9" s="36" t="s">
        <v>107</v>
      </c>
      <c r="C9" s="87">
        <v>575.71749</v>
      </c>
      <c r="D9" s="87">
        <v>575.71749</v>
      </c>
      <c r="E9" s="87">
        <v>575.71749</v>
      </c>
      <c r="F9" s="87">
        <v>575.71749</v>
      </c>
      <c r="G9" s="87">
        <v>575.71749</v>
      </c>
      <c r="H9" s="87">
        <v>575.71749</v>
      </c>
      <c r="I9" s="87">
        <v>575.71749</v>
      </c>
      <c r="J9" s="87">
        <v>575.71749</v>
      </c>
      <c r="K9" s="87">
        <v>575.71749</v>
      </c>
      <c r="L9" s="87">
        <v>575.71749</v>
      </c>
      <c r="M9" s="87">
        <v>575.71749</v>
      </c>
      <c r="N9" s="87">
        <v>575.71749</v>
      </c>
    </row>
    <row r="10" spans="2:14">
      <c r="B10" s="36" t="s">
        <v>108</v>
      </c>
      <c r="C10" s="87">
        <v>531.37386000000004</v>
      </c>
      <c r="D10" s="87">
        <v>531.37386000000004</v>
      </c>
      <c r="E10" s="87">
        <v>531.37386000000004</v>
      </c>
      <c r="F10" s="87">
        <v>531.37386000000004</v>
      </c>
      <c r="G10" s="87">
        <v>531.37386000000004</v>
      </c>
      <c r="H10" s="87">
        <v>531.37386000000004</v>
      </c>
      <c r="I10" s="87">
        <v>531.37386000000004</v>
      </c>
      <c r="J10" s="87">
        <v>531.37386000000004</v>
      </c>
      <c r="K10" s="87">
        <v>531.37386000000004</v>
      </c>
      <c r="L10" s="87">
        <v>531.37386000000004</v>
      </c>
      <c r="M10" s="87">
        <v>531.37386000000004</v>
      </c>
      <c r="N10" s="87">
        <v>531.37386000000004</v>
      </c>
    </row>
    <row r="11" spans="2:14">
      <c r="B11" s="37" t="s">
        <v>109</v>
      </c>
      <c r="C11" s="87">
        <v>531.37386000000004</v>
      </c>
      <c r="D11" s="87">
        <v>531.37386000000004</v>
      </c>
      <c r="E11" s="87">
        <v>531.37386000000004</v>
      </c>
      <c r="F11" s="87">
        <v>531.37386000000004</v>
      </c>
      <c r="G11" s="87">
        <v>531.37386000000004</v>
      </c>
      <c r="H11" s="87">
        <v>531.37386000000004</v>
      </c>
      <c r="I11" s="87">
        <v>531.37386000000004</v>
      </c>
      <c r="J11" s="87">
        <v>531.37386000000004</v>
      </c>
      <c r="K11" s="87">
        <v>531.37386000000004</v>
      </c>
      <c r="L11" s="87">
        <v>531.37386000000004</v>
      </c>
      <c r="M11" s="87">
        <v>531.37386000000004</v>
      </c>
      <c r="N11" s="87">
        <v>531.37386000000004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8">
        <v>1145.3</v>
      </c>
      <c r="P31" s="63">
        <f>O31+M31+K31+I31+G31</f>
        <v>1145.3</v>
      </c>
    </row>
    <row r="32" spans="2:33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8">
        <v>0</v>
      </c>
      <c r="P34" s="63">
        <f>O34+M34</f>
        <v>8000</v>
      </c>
    </row>
    <row r="35" spans="2:17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8">
        <v>1145.3</v>
      </c>
      <c r="P35" s="65">
        <f>O35</f>
        <v>1145.3</v>
      </c>
    </row>
    <row r="36" spans="2:17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8">
        <v>0</v>
      </c>
      <c r="P37" s="63">
        <f>O37+M37+K37+I37+G37</f>
        <v>10500</v>
      </c>
    </row>
    <row r="38" spans="2:17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8">
        <v>0</v>
      </c>
      <c r="P38" s="63">
        <f>O38+M38+K38+I38</f>
        <v>11000</v>
      </c>
    </row>
    <row r="39" spans="2:17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8">
        <v>0</v>
      </c>
      <c r="P39" s="63">
        <f>O39+M39+K39</f>
        <v>11500</v>
      </c>
    </row>
    <row r="40" spans="2:17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8">
        <v>0</v>
      </c>
      <c r="P40" s="63">
        <f>O40+M40</f>
        <v>12000</v>
      </c>
    </row>
    <row r="41" spans="2:17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8">
        <v>298.27199999999999</v>
      </c>
      <c r="P41" s="64">
        <f>O41</f>
        <v>298.27199999999999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f t="shared" ref="C47:N48" si="0">100/12</f>
        <v>8.3333333333333339</v>
      </c>
      <c r="D47" s="91">
        <f t="shared" si="0"/>
        <v>8.3333333333333339</v>
      </c>
      <c r="E47" s="91">
        <f t="shared" si="0"/>
        <v>8.3333333333333339</v>
      </c>
      <c r="F47" s="91">
        <f t="shared" si="0"/>
        <v>8.3333333333333339</v>
      </c>
      <c r="G47" s="91">
        <f t="shared" si="0"/>
        <v>8.3333333333333339</v>
      </c>
      <c r="H47" s="91">
        <f t="shared" si="0"/>
        <v>8.3333333333333339</v>
      </c>
      <c r="I47" s="91">
        <f t="shared" si="0"/>
        <v>8.3333333333333339</v>
      </c>
      <c r="J47" s="91">
        <f t="shared" si="0"/>
        <v>8.3333333333333339</v>
      </c>
      <c r="K47" s="91">
        <f t="shared" si="0"/>
        <v>8.3333333333333339</v>
      </c>
      <c r="L47" s="91">
        <f t="shared" si="0"/>
        <v>8.3333333333333339</v>
      </c>
      <c r="M47" s="91">
        <f t="shared" si="0"/>
        <v>8.3333333333333339</v>
      </c>
      <c r="N47" s="91">
        <f t="shared" si="0"/>
        <v>8.3333333333333339</v>
      </c>
      <c r="O47" s="33">
        <f>SUM(C47:N47)</f>
        <v>99.999999999999986</v>
      </c>
    </row>
    <row r="48" spans="2:17">
      <c r="B48" s="37" t="s">
        <v>113</v>
      </c>
      <c r="C48" s="91">
        <f>100/12</f>
        <v>8.3333333333333339</v>
      </c>
      <c r="D48" s="91">
        <f t="shared" si="0"/>
        <v>8.3333333333333339</v>
      </c>
      <c r="E48" s="91">
        <f t="shared" si="0"/>
        <v>8.3333333333333339</v>
      </c>
      <c r="F48" s="91">
        <f t="shared" si="0"/>
        <v>8.3333333333333339</v>
      </c>
      <c r="G48" s="91">
        <f t="shared" si="0"/>
        <v>8.3333333333333339</v>
      </c>
      <c r="H48" s="91">
        <f t="shared" si="0"/>
        <v>8.3333333333333339</v>
      </c>
      <c r="I48" s="91">
        <f t="shared" si="0"/>
        <v>8.3333333333333339</v>
      </c>
      <c r="J48" s="91">
        <f t="shared" si="0"/>
        <v>8.3333333333333339</v>
      </c>
      <c r="K48" s="91">
        <f t="shared" si="0"/>
        <v>8.3333333333333339</v>
      </c>
      <c r="L48" s="91">
        <f t="shared" si="0"/>
        <v>8.3333333333333339</v>
      </c>
      <c r="M48" s="91">
        <f t="shared" si="0"/>
        <v>8.3333333333333339</v>
      </c>
      <c r="N48" s="91">
        <f t="shared" si="0"/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ZgXbRpT4JT6aDb2U/6urarp7FNBnZOpyMQYqq9JcCVnnp+b8KdgqpAEdyFTnDSaf9dk8jJ1v8sSc6nNv+Pt9bg==" saltValue="7WpqXdw2HveakQ7Zb61D2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workbookViewId="0">
      <selection activeCell="J10" sqref="J10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</v>
      </c>
      <c r="F6" s="92">
        <v>0</v>
      </c>
      <c r="G6" s="92">
        <v>0</v>
      </c>
      <c r="H6" s="92">
        <v>40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10</v>
      </c>
      <c r="E7" s="92">
        <v>30</v>
      </c>
      <c r="F7" s="92">
        <v>20</v>
      </c>
      <c r="G7" s="92">
        <v>40</v>
      </c>
      <c r="H7" s="92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50</v>
      </c>
      <c r="F8" s="92">
        <v>50</v>
      </c>
      <c r="G8" s="92">
        <v>0</v>
      </c>
      <c r="H8" s="92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50</v>
      </c>
      <c r="E9" s="92">
        <v>50</v>
      </c>
      <c r="F9" s="92">
        <v>0</v>
      </c>
      <c r="G9" s="92">
        <v>0</v>
      </c>
      <c r="H9" s="92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10</v>
      </c>
      <c r="D10" s="92">
        <v>10</v>
      </c>
      <c r="E10" s="92">
        <v>40</v>
      </c>
      <c r="F10" s="92">
        <v>0</v>
      </c>
      <c r="G10" s="92">
        <v>10</v>
      </c>
      <c r="H10" s="92">
        <v>30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2">
        <v>10</v>
      </c>
      <c r="D11" s="92">
        <v>10</v>
      </c>
      <c r="E11" s="92">
        <v>50</v>
      </c>
      <c r="F11" s="92">
        <v>0</v>
      </c>
      <c r="G11" s="92">
        <v>0</v>
      </c>
      <c r="H11" s="92">
        <v>30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100</v>
      </c>
      <c r="F19" s="44">
        <f>100-$E$19</f>
        <v>0</v>
      </c>
      <c r="G19" s="93">
        <v>100</v>
      </c>
      <c r="H19" s="33">
        <f>100-$G$19</f>
        <v>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10.3055</v>
      </c>
      <c r="D27" s="92">
        <v>13.3484</v>
      </c>
      <c r="E27" s="92">
        <v>16.442299999999999</v>
      </c>
      <c r="F27" s="92">
        <v>13.260400000000001</v>
      </c>
      <c r="G27" s="92">
        <v>16.520600000000002</v>
      </c>
      <c r="H27" s="92">
        <f>100-H28-H29</f>
        <v>0.25720000000001164</v>
      </c>
      <c r="I27" s="92">
        <v>0.61170000000000002</v>
      </c>
      <c r="P27" s="50"/>
      <c r="Q27" s="50"/>
      <c r="R27" s="50"/>
    </row>
    <row r="28" spans="2:18">
      <c r="B28" s="45" t="s">
        <v>46</v>
      </c>
      <c r="C28" s="92">
        <v>20.696999999999999</v>
      </c>
      <c r="D28" s="92">
        <v>20.7454</v>
      </c>
      <c r="E28" s="92">
        <v>30.608899999999998</v>
      </c>
      <c r="F28" s="92">
        <v>5.4173999999999998</v>
      </c>
      <c r="G28" s="92">
        <v>15.811199999999999</v>
      </c>
      <c r="H28" s="92">
        <v>0.35730000000000001</v>
      </c>
      <c r="I28" s="92">
        <v>1.0652999999999999</v>
      </c>
      <c r="P28" s="50"/>
      <c r="Q28" s="50"/>
      <c r="R28" s="50"/>
    </row>
    <row r="29" spans="2:18">
      <c r="B29" s="45" t="s">
        <v>59</v>
      </c>
      <c r="C29" s="92">
        <f>100-C27-C28</f>
        <v>68.997500000000002</v>
      </c>
      <c r="D29" s="92">
        <v>65.906199999999998</v>
      </c>
      <c r="E29" s="92">
        <v>52.948799999999999</v>
      </c>
      <c r="F29" s="92">
        <v>81.322199999999995</v>
      </c>
      <c r="G29" s="92">
        <v>67.668199999999999</v>
      </c>
      <c r="H29" s="92">
        <v>99.385499999999993</v>
      </c>
      <c r="I29" s="92">
        <v>98.322999999999993</v>
      </c>
      <c r="P29" s="50"/>
      <c r="Q29" s="50"/>
      <c r="R29" s="50"/>
    </row>
    <row r="30" spans="2:18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70.661500000000004</v>
      </c>
      <c r="D37" s="92">
        <v>70.661500000000004</v>
      </c>
      <c r="E37" s="92">
        <v>70.661500000000004</v>
      </c>
      <c r="F37" s="92">
        <v>70.661500000000004</v>
      </c>
      <c r="G37" s="92">
        <v>70.661500000000004</v>
      </c>
      <c r="H37" s="92">
        <v>70.661500000000004</v>
      </c>
      <c r="I37" s="92">
        <v>70.661500000000004</v>
      </c>
      <c r="J37" s="92">
        <v>70.661500000000004</v>
      </c>
      <c r="K37" s="92">
        <v>70.661500000000004</v>
      </c>
      <c r="L37" s="92">
        <v>70.661500000000004</v>
      </c>
      <c r="M37" s="92">
        <v>70.661500000000004</v>
      </c>
      <c r="N37" s="92">
        <v>70.661500000000004</v>
      </c>
    </row>
    <row r="38" spans="2:14">
      <c r="B38" s="45" t="s">
        <v>46</v>
      </c>
      <c r="C38" s="92">
        <v>66.373500000000007</v>
      </c>
      <c r="D38" s="92">
        <v>66.373500000000007</v>
      </c>
      <c r="E38" s="92">
        <v>66.373500000000007</v>
      </c>
      <c r="F38" s="92">
        <v>66.373500000000007</v>
      </c>
      <c r="G38" s="92">
        <v>66.373500000000007</v>
      </c>
      <c r="H38" s="92">
        <v>66.373500000000007</v>
      </c>
      <c r="I38" s="92">
        <v>66.373500000000007</v>
      </c>
      <c r="J38" s="92">
        <v>66.373500000000007</v>
      </c>
      <c r="K38" s="92">
        <v>66.373500000000007</v>
      </c>
      <c r="L38" s="92">
        <v>66.373500000000007</v>
      </c>
      <c r="M38" s="92">
        <v>66.373500000000007</v>
      </c>
      <c r="N38" s="92">
        <v>66.373500000000007</v>
      </c>
    </row>
    <row r="39" spans="2:14">
      <c r="B39" s="45" t="s">
        <v>59</v>
      </c>
      <c r="C39" s="93">
        <v>61.6295</v>
      </c>
      <c r="D39" s="93">
        <v>61.6295</v>
      </c>
      <c r="E39" s="93">
        <v>61.6295</v>
      </c>
      <c r="F39" s="93">
        <v>61.6295</v>
      </c>
      <c r="G39" s="93">
        <v>61.6295</v>
      </c>
      <c r="H39" s="93">
        <v>61.6295</v>
      </c>
      <c r="I39" s="93">
        <v>61.6295</v>
      </c>
      <c r="J39" s="93">
        <v>61.6295</v>
      </c>
      <c r="K39" s="93">
        <v>61.6295</v>
      </c>
      <c r="L39" s="93">
        <v>61.6295</v>
      </c>
      <c r="M39" s="93">
        <v>61.6295</v>
      </c>
      <c r="N39" s="93">
        <v>61.6295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13NChcO9QODVFu4IRRG8oZKe1Oc0h3BTObKJJ21hD5mKCXiby9aIVT1/sQBIwR/NIUMhzFiEdcVddyYb7wjH4A==" saltValue="LxlapNYz3ecLcu2qI/VvX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R22" sqref="R22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x6LrMexS/dMTYE94Kn9i8X98I0Bcm97cEGBogILLcHbLco6mTev3hg65JS3WmyXiLiEKM5MhJ6NoYNatjAoBuQ==" saltValue="GIIypIe2VN/UsZBMSpdly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2014-11-25T04:32:08Z</dcterms:modified>
</cp:coreProperties>
</file>