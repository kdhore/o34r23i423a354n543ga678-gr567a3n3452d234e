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40" windowWidth="25560" windowHeight="13880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<sst xmlns="http://schemas.openxmlformats.org/spreadsheetml/2006/main" count="516" uniqueCount="168">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</sst>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2015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H5HwKazfE7eYw72bYu0FMdonNxSp/RGB1QBU7GUqr8UBDyVgDoeAxnmPEva9b8X2LM2TIDvVU17iCJG9PgEkXQ==" saltValue="7W73ruX1b3iBkovSzt8wV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35000</v>
      </c>
      <c r="E39" s="15" t="s">
        <v>166</v>
      </c>
      <c r="F39" s="15" t="s">
        <v>6</v>
      </c>
      <c r="G39" s="15">
        <f t="shared" si="3"/>
        <v>35000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10000</v>
      </c>
      <c r="E63" s="15" t="s">
        <v>167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40000</v>
      </c>
      <c r="E76" s="15" t="s">
        <v>166</v>
      </c>
      <c r="F76" s="15" t="s">
        <v>6</v>
      </c>
      <c r="G76" s="15">
        <f t="shared" si="5"/>
        <v>40000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KqMXRG2Omwt5upLWrj/o2IBI+4wNa8xNRYzkuCgjB4QotG4x0poY7U9p1o6QmKz7C757VVGO2H+Y95AO9FMjNg==" saltValue="oO/31eLaiN4zDc1Oe2aFa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topLeftCell="A8" workbookViewId="0">
      <selection activeCell="N33" sqref="N33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>
      <c r="B7" s="36" t="s">
        <v>105</v>
      </c>
      <c r="C7" s="88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</row>
    <row r="8" spans="2:14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/>
      <c r="D17" s="90"/>
      <c r="E17" s="90"/>
      <c r="F17" s="90"/>
      <c r="G17" s="90"/>
      <c r="H17" s="90"/>
      <c r="I17" s="29" t="s">
        <v>110</v>
      </c>
    </row>
    <row r="18" spans="2:33">
      <c r="B18" s="36" t="s">
        <v>105</v>
      </c>
      <c r="C18" s="91"/>
      <c r="D18" s="91"/>
      <c r="E18" s="91"/>
      <c r="F18" s="91"/>
      <c r="G18" s="91"/>
      <c r="H18" s="91"/>
      <c r="I18" s="29" t="s">
        <v>110</v>
      </c>
    </row>
    <row r="19" spans="2:33">
      <c r="B19" s="36" t="s">
        <v>106</v>
      </c>
      <c r="C19" s="91"/>
      <c r="D19" s="91"/>
      <c r="E19" s="91"/>
      <c r="F19" s="91"/>
      <c r="G19" s="91"/>
      <c r="H19" s="91"/>
      <c r="I19" s="29" t="s">
        <v>110</v>
      </c>
    </row>
    <row r="20" spans="2:33">
      <c r="B20" s="36" t="s">
        <v>107</v>
      </c>
      <c r="C20" s="91"/>
      <c r="D20" s="91"/>
      <c r="E20" s="91"/>
      <c r="F20" s="91"/>
      <c r="G20" s="91"/>
      <c r="H20" s="91"/>
    </row>
    <row r="21" spans="2:33">
      <c r="B21" s="36" t="s">
        <v>108</v>
      </c>
      <c r="C21" s="91"/>
      <c r="D21" s="91"/>
      <c r="E21" s="91"/>
      <c r="F21" s="91"/>
      <c r="G21" s="91"/>
      <c r="H21" s="91"/>
    </row>
    <row r="22" spans="2:33">
      <c r="B22" s="37" t="s">
        <v>109</v>
      </c>
      <c r="C22" s="91"/>
      <c r="D22" s="91"/>
      <c r="E22" s="91"/>
      <c r="F22" s="91"/>
      <c r="G22" s="91"/>
      <c r="H22" s="91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2015</v>
      </c>
      <c r="D30" s="44">
        <v>0.79134866785137714</v>
      </c>
      <c r="E30" s="35">
        <v>0</v>
      </c>
      <c r="F30" s="47">
        <v>0.78025454004669703</v>
      </c>
      <c r="G30" s="46">
        <v>0</v>
      </c>
      <c r="H30" s="47">
        <v>0.94329895279397902</v>
      </c>
      <c r="I30" s="46">
        <v>0</v>
      </c>
      <c r="J30" s="47">
        <v>0.87493995418983028</v>
      </c>
      <c r="K30" s="46">
        <v>0</v>
      </c>
      <c r="L30" s="47">
        <v>0.78439515503861812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2016</v>
      </c>
      <c r="D31" s="76"/>
      <c r="E31" s="75"/>
      <c r="F31" s="69">
        <v>0.76975257071765368</v>
      </c>
      <c r="G31" s="79">
        <v>0</v>
      </c>
      <c r="H31" s="61">
        <v>0.86235916043001337</v>
      </c>
      <c r="I31" s="62">
        <v>0</v>
      </c>
      <c r="J31" s="61">
        <v>0.83860677402910089</v>
      </c>
      <c r="K31" s="62">
        <v>0</v>
      </c>
      <c r="L31" s="61">
        <v>0.7848152178006883</v>
      </c>
      <c r="M31" s="62">
        <v>0</v>
      </c>
      <c r="N31" s="63">
        <v>0.92524257787922448</v>
      </c>
      <c r="O31" s="89"/>
      <c r="P31" s="63">
        <f>O31+M31+K31+I31+G31</f>
        <v>0</v>
      </c>
    </row>
    <row r="32" spans="2:33">
      <c r="B32" s="36"/>
      <c r="C32" s="47">
        <f>basic_info!$D$5+2</f>
        <v>2017</v>
      </c>
      <c r="D32" s="76"/>
      <c r="E32" s="75"/>
      <c r="F32" s="75"/>
      <c r="G32" s="75"/>
      <c r="H32" s="69">
        <v>0.82723927824938992</v>
      </c>
      <c r="I32" s="79">
        <v>0</v>
      </c>
      <c r="J32" s="61">
        <v>0.78982841454849262</v>
      </c>
      <c r="K32" s="62">
        <v>0</v>
      </c>
      <c r="L32" s="61">
        <v>0.73764396117770215</v>
      </c>
      <c r="M32" s="62">
        <v>8000</v>
      </c>
      <c r="N32" s="63">
        <v>0.89619567162872515</v>
      </c>
      <c r="O32" s="89"/>
      <c r="P32" s="63">
        <f>O32+M32+K32+I32</f>
        <v>8000</v>
      </c>
    </row>
    <row r="33" spans="2:17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0.72411525202691562</v>
      </c>
      <c r="K33" s="79">
        <v>0</v>
      </c>
      <c r="L33" s="61">
        <v>0.71135030767163665</v>
      </c>
      <c r="M33" s="62">
        <v>8000</v>
      </c>
      <c r="N33" s="63">
        <v>0.84236191971130692</v>
      </c>
      <c r="O33" s="89"/>
      <c r="P33" s="63">
        <f>O33+M33+K33</f>
        <v>8000</v>
      </c>
    </row>
    <row r="34" spans="2:17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0.67168145499527454</v>
      </c>
      <c r="M34" s="79">
        <v>8000</v>
      </c>
      <c r="N34" s="63">
        <v>0.80404254385936813</v>
      </c>
      <c r="O34" s="89"/>
      <c r="P34" s="63">
        <f>O34+M34</f>
        <v>8000</v>
      </c>
    </row>
    <row r="35" spans="2:17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0.74553772844970234</v>
      </c>
      <c r="O35" s="89"/>
      <c r="P35" s="65">
        <f>O35</f>
        <v>0</v>
      </c>
    </row>
    <row r="36" spans="2:17">
      <c r="B36" s="41" t="s">
        <v>113</v>
      </c>
      <c r="C36" s="36">
        <f>basic_info!$D$5</f>
        <v>2015</v>
      </c>
      <c r="D36" s="44">
        <v>1.0762337405940841</v>
      </c>
      <c r="E36" s="35">
        <v>0</v>
      </c>
      <c r="F36" s="73">
        <v>1.0404514613486917</v>
      </c>
      <c r="G36" s="74">
        <v>0</v>
      </c>
      <c r="H36" s="73">
        <v>0.89286179766970553</v>
      </c>
      <c r="I36" s="74">
        <v>0</v>
      </c>
      <c r="J36" s="73">
        <v>1.2305005066511776</v>
      </c>
      <c r="K36" s="74">
        <v>0</v>
      </c>
      <c r="L36" s="66">
        <v>1.0549979141770345</v>
      </c>
      <c r="M36" s="67">
        <v>10000</v>
      </c>
      <c r="N36" s="68"/>
      <c r="O36" s="71" t="s">
        <v>162</v>
      </c>
      <c r="P36" s="41">
        <f>M36+K36+I36+E36+G36</f>
        <v>10000</v>
      </c>
      <c r="Q36" s="70"/>
    </row>
    <row r="37" spans="2:17">
      <c r="B37" s="36"/>
      <c r="C37" s="47">
        <f>basic_info!$D$5+1</f>
        <v>2016</v>
      </c>
      <c r="D37" s="76"/>
      <c r="E37" s="75"/>
      <c r="F37" s="69">
        <v>1.0296840787328012</v>
      </c>
      <c r="G37" s="79">
        <v>0</v>
      </c>
      <c r="H37" s="61">
        <v>0.89692452423078717</v>
      </c>
      <c r="I37" s="62">
        <v>0</v>
      </c>
      <c r="J37" s="61">
        <v>1.1330883338899427</v>
      </c>
      <c r="K37" s="62">
        <v>0</v>
      </c>
      <c r="L37" s="61">
        <v>0.96974342417907566</v>
      </c>
      <c r="M37" s="62">
        <v>10500</v>
      </c>
      <c r="N37" s="61">
        <v>1.233785181788428</v>
      </c>
      <c r="O37" s="89"/>
      <c r="P37" s="63">
        <f>O37+M37+K37+I37+G37</f>
        <v>10500</v>
      </c>
    </row>
    <row r="38" spans="2:17">
      <c r="B38" s="36"/>
      <c r="C38" s="47">
        <f>basic_info!$D$5+2</f>
        <v>2017</v>
      </c>
      <c r="D38" s="76"/>
      <c r="E38" s="75"/>
      <c r="F38" s="75"/>
      <c r="G38" s="75"/>
      <c r="H38" s="69">
        <v>0.90603754280275017</v>
      </c>
      <c r="I38" s="79">
        <v>0</v>
      </c>
      <c r="J38" s="61">
        <v>1.0875125598816084</v>
      </c>
      <c r="K38" s="62">
        <v>0</v>
      </c>
      <c r="L38" s="61">
        <v>0.93160995934739854</v>
      </c>
      <c r="M38" s="62">
        <v>11000</v>
      </c>
      <c r="N38" s="61">
        <v>1.1406943529243774</v>
      </c>
      <c r="O38" s="89"/>
      <c r="P38" s="63">
        <f>O38+M38+K38+I38</f>
        <v>11000</v>
      </c>
    </row>
    <row r="39" spans="2:17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0.99511689269542691</v>
      </c>
      <c r="K39" s="79">
        <v>0</v>
      </c>
      <c r="L39" s="61">
        <v>0.88880183448123806</v>
      </c>
      <c r="M39" s="62">
        <v>11500</v>
      </c>
      <c r="N39" s="61">
        <v>1.0484299690065144</v>
      </c>
      <c r="O39" s="89"/>
      <c r="P39" s="63">
        <f>O39+M39+K39</f>
        <v>11500</v>
      </c>
    </row>
    <row r="40" spans="2:17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0.87392979428172113</v>
      </c>
      <c r="M40" s="79">
        <v>12000</v>
      </c>
      <c r="N40" s="61">
        <v>1.0036399921766941</v>
      </c>
      <c r="O40" s="89"/>
      <c r="P40" s="63">
        <f>O40+M40</f>
        <v>12000</v>
      </c>
    </row>
    <row r="41" spans="2:17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0.93049090272188195</v>
      </c>
      <c r="O41" s="89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>
      <c r="B48" s="37" t="s">
        <v>113</v>
      </c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ZgXbRpT4JT6aDb2U/6urarp7FNBnZOpyMQYqq9JcCVnnp+b8KdgqpAEdyFTnDSaf9dk8jJ1v8sSc6nNv+Pt9bg==" saltValue="7WpqXdw2HveakQ7Zb61D2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3"/>
      <c r="D6" s="93"/>
      <c r="E6" s="93"/>
      <c r="F6" s="93"/>
      <c r="G6" s="93"/>
      <c r="H6" s="93"/>
      <c r="I6" s="97">
        <f>SUM($C$6:$H$6)</f>
        <v>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3"/>
      <c r="D7" s="93"/>
      <c r="E7" s="93"/>
      <c r="F7" s="93"/>
      <c r="G7" s="93"/>
      <c r="H7" s="93"/>
      <c r="I7" s="97">
        <f>SUM($C$7:$H$7)</f>
        <v>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3"/>
      <c r="D8" s="93"/>
      <c r="E8" s="93"/>
      <c r="F8" s="93"/>
      <c r="G8" s="93"/>
      <c r="H8" s="93"/>
      <c r="I8" s="97">
        <f>SUM($C$8:$H$8)</f>
        <v>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3"/>
      <c r="D9" s="93"/>
      <c r="E9" s="93"/>
      <c r="F9" s="93"/>
      <c r="G9" s="93"/>
      <c r="H9" s="93"/>
      <c r="I9" s="97">
        <f>SUM($C$9:$H$9)</f>
        <v>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3"/>
      <c r="D10" s="93"/>
      <c r="E10" s="93"/>
      <c r="F10" s="93"/>
      <c r="G10" s="93"/>
      <c r="H10" s="93"/>
      <c r="I10" s="97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4"/>
      <c r="D11" s="94"/>
      <c r="E11" s="94"/>
      <c r="F11" s="94"/>
      <c r="G11" s="94"/>
      <c r="H11" s="94"/>
      <c r="I11" s="96">
        <f>SUM($C$11:$H$11)</f>
        <v>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4"/>
      <c r="D19" s="44">
        <f>100-$C$19</f>
        <v>100</v>
      </c>
      <c r="E19" s="94"/>
      <c r="F19" s="44">
        <f>100-$E$19</f>
        <v>100</v>
      </c>
      <c r="G19" s="94"/>
      <c r="H19" s="33">
        <f>100-$G$19</f>
        <v>100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3"/>
      <c r="D27" s="93"/>
      <c r="E27" s="93"/>
      <c r="F27" s="93"/>
      <c r="G27" s="93"/>
      <c r="H27" s="93"/>
      <c r="I27" s="95"/>
      <c r="P27" s="50"/>
      <c r="Q27" s="50"/>
      <c r="R27" s="50"/>
    </row>
    <row r="28" spans="2:18">
      <c r="B28" s="45" t="s">
        <v>46</v>
      </c>
      <c r="C28" s="93"/>
      <c r="D28" s="93"/>
      <c r="E28" s="93"/>
      <c r="F28" s="93"/>
      <c r="G28" s="93"/>
      <c r="H28" s="93"/>
      <c r="I28" s="95"/>
      <c r="P28" s="50"/>
      <c r="Q28" s="50"/>
      <c r="R28" s="50"/>
    </row>
    <row r="29" spans="2:18">
      <c r="B29" s="45" t="s">
        <v>59</v>
      </c>
      <c r="C29" s="93"/>
      <c r="D29" s="93"/>
      <c r="E29" s="93"/>
      <c r="F29" s="93"/>
      <c r="G29" s="93"/>
      <c r="H29" s="93"/>
      <c r="I29" s="95"/>
      <c r="P29" s="50"/>
      <c r="Q29" s="50"/>
      <c r="R29" s="50"/>
    </row>
    <row r="30" spans="2:18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8">
        <f>SUM($G$27:$G$29)</f>
        <v>0</v>
      </c>
      <c r="H30" s="98">
        <f>SUM($H$27:$H$29)</f>
        <v>0</v>
      </c>
      <c r="I30" s="96">
        <f>SUM($I$27:$I$29)</f>
        <v>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5"/>
    </row>
    <row r="38" spans="2:14">
      <c r="B38" s="45" t="s">
        <v>46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5"/>
    </row>
    <row r="39" spans="2:14">
      <c r="B39" s="45" t="s">
        <v>59</v>
      </c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89"/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13NChcO9QODVFu4IRRG8oZKe1Oc0h3BTObKJJ21hD5mKCXiby9aIVT1/sQBIwR/NIUMhzFiEdcVddyYb7wjH4A==" saltValue="LxlapNYz3ecLcu2qI/VvX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</row>
    <row r="7" spans="2:15">
      <c r="C7" s="36" t="s">
        <v>127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</row>
    <row r="8" spans="2:15">
      <c r="C8" s="36" t="s">
        <v>128</v>
      </c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</row>
    <row r="9" spans="2:15">
      <c r="C9" s="36" t="s">
        <v>129</v>
      </c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</row>
    <row r="10" spans="2:15">
      <c r="C10" s="36" t="s">
        <v>130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</row>
    <row r="11" spans="2:15">
      <c r="C11" s="36" t="s">
        <v>131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</row>
    <row r="12" spans="2:15">
      <c r="C12" s="37" t="s">
        <v>132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</row>
    <row r="16" spans="2:15">
      <c r="C16" s="36" t="s">
        <v>127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</row>
    <row r="17" spans="2:15">
      <c r="C17" s="36" t="s">
        <v>128</v>
      </c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</row>
    <row r="18" spans="2:15">
      <c r="C18" s="36" t="s">
        <v>129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</row>
    <row r="19" spans="2:15">
      <c r="C19" s="36" t="s">
        <v>130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</row>
    <row r="20" spans="2:15">
      <c r="C20" s="36" t="s">
        <v>131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</row>
    <row r="21" spans="2:15">
      <c r="C21" s="37" t="s">
        <v>132</v>
      </c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</row>
    <row r="25" spans="2:15">
      <c r="C25" s="36" t="s">
        <v>127</v>
      </c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</row>
    <row r="26" spans="2:15">
      <c r="C26" s="36" t="s">
        <v>128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</row>
    <row r="27" spans="2:15">
      <c r="C27" s="36" t="s">
        <v>129</v>
      </c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</row>
    <row r="28" spans="2:15">
      <c r="C28" s="36" t="s">
        <v>130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</row>
    <row r="29" spans="2:15">
      <c r="C29" s="36" t="s">
        <v>131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</row>
    <row r="30" spans="2:15">
      <c r="C30" s="37" t="s">
        <v>132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</row>
    <row r="34" spans="3:15">
      <c r="C34" s="36" t="s">
        <v>127</v>
      </c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</row>
    <row r="35" spans="3:15">
      <c r="C35" s="36" t="s">
        <v>128</v>
      </c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</row>
    <row r="36" spans="3:15">
      <c r="C36" s="36" t="s">
        <v>129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</row>
    <row r="37" spans="3:15">
      <c r="C37" s="36" t="s">
        <v>130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</row>
    <row r="38" spans="3:15">
      <c r="C38" s="36" t="s">
        <v>131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</row>
    <row r="39" spans="3:15">
      <c r="C39" s="37" t="s">
        <v>132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x6LrMexS/dMTYE94Kn9i8X98I0Bcm97cEGBogILLcHbLco6mTev3hg65JS3WmyXiLiEKM5MhJ6NoYNatjAoBuQ==" saltValue="GIIypIe2VN/UsZBMSpdly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2014-11-24T01:04:02Z</dcterms:modified>
</cp:coreProperties>
</file>