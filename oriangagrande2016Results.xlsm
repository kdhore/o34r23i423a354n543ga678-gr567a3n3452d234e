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39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1" l="1"/>
  <c r="T19" i="21"/>
  <c r="S15" i="21"/>
  <c r="S14" i="21"/>
  <c r="H40" i="21"/>
  <c r="H39" i="21"/>
  <c r="S39" i="21"/>
  <c r="H38" i="21"/>
  <c r="H35" i="21"/>
  <c r="S42" i="21"/>
  <c r="H34" i="21"/>
  <c r="H33" i="21"/>
  <c r="S36" i="21"/>
  <c r="H30" i="21"/>
  <c r="H29" i="21"/>
  <c r="H28" i="21"/>
  <c r="S40" i="21"/>
  <c r="H27" i="21"/>
  <c r="S3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D116" i="10"/>
  <c r="H10" i="21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/>
  <c r="AY177" i="14"/>
  <c r="AY175" i="14"/>
  <c r="AY14" i="14"/>
  <c r="AX259" i="14"/>
  <c r="AX181" i="14"/>
  <c r="AX179" i="14"/>
  <c r="AX177" i="14"/>
  <c r="AX175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260" i="14"/>
  <c r="AV177" i="14"/>
  <c r="AV175" i="14"/>
  <c r="AU259" i="14"/>
  <c r="AV14" i="14"/>
  <c r="AU181" i="14"/>
  <c r="AU179" i="14"/>
  <c r="AU177" i="14"/>
  <c r="AU260" i="14"/>
  <c r="AU175" i="14"/>
  <c r="AU14" i="14"/>
  <c r="AT259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177" i="14"/>
  <c r="AQ260" i="14"/>
  <c r="AQ175" i="14"/>
  <c r="AP259" i="14"/>
  <c r="AQ14" i="14"/>
  <c r="AP181" i="14"/>
  <c r="AP179" i="14"/>
  <c r="AP177" i="14"/>
  <c r="AP175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177" i="14"/>
  <c r="AN175" i="14"/>
  <c r="AM259" i="14"/>
  <c r="AN14" i="14"/>
  <c r="AM181" i="14"/>
  <c r="AM179" i="14"/>
  <c r="AM260" i="14"/>
  <c r="AM177" i="14"/>
  <c r="AM175" i="14"/>
  <c r="AM14" i="14"/>
  <c r="AL259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260" i="14"/>
  <c r="AJ177" i="14"/>
  <c r="AJ175" i="14"/>
  <c r="AI259" i="14"/>
  <c r="AJ14" i="14"/>
  <c r="AI181" i="14"/>
  <c r="AI179" i="14"/>
  <c r="AI177" i="14"/>
  <c r="AI260" i="14"/>
  <c r="AI175" i="14"/>
  <c r="AH259" i="14"/>
  <c r="AI14" i="14"/>
  <c r="AH181" i="14"/>
  <c r="AH179" i="14"/>
  <c r="AH177" i="14"/>
  <c r="AH175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E259" i="14"/>
  <c r="AF14" i="14"/>
  <c r="AE181" i="14"/>
  <c r="AE179" i="14"/>
  <c r="AE260" i="14"/>
  <c r="AE177" i="14"/>
  <c r="AE175" i="14"/>
  <c r="AE14" i="14"/>
  <c r="AD259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260" i="14"/>
  <c r="AB177" i="14"/>
  <c r="AB175" i="14"/>
  <c r="AA259" i="14"/>
  <c r="AB14" i="14"/>
  <c r="AA181" i="14"/>
  <c r="AA179" i="14"/>
  <c r="AA177" i="14"/>
  <c r="AA260" i="14"/>
  <c r="AA175" i="14"/>
  <c r="Z259" i="14"/>
  <c r="AA14" i="14"/>
  <c r="Z181" i="14"/>
  <c r="Z179" i="14"/>
  <c r="Z177" i="14"/>
  <c r="Z175" i="14"/>
  <c r="Z14" i="14"/>
  <c r="Y259" i="14"/>
  <c r="Y181" i="14"/>
  <c r="Y179" i="14"/>
  <c r="Y177" i="14"/>
  <c r="Y175" i="14"/>
  <c r="Y260" i="14"/>
  <c r="Y14" i="14"/>
  <c r="X259" i="14"/>
  <c r="X181" i="14"/>
  <c r="X179" i="14"/>
  <c r="X177" i="14"/>
  <c r="X175" i="14"/>
  <c r="W259" i="14"/>
  <c r="X14" i="14"/>
  <c r="W181" i="14"/>
  <c r="W179" i="14"/>
  <c r="W260" i="14"/>
  <c r="W177" i="14"/>
  <c r="W175" i="14"/>
  <c r="V259" i="14"/>
  <c r="W14" i="14"/>
  <c r="V181" i="14"/>
  <c r="V179" i="14"/>
  <c r="V177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59" i="14"/>
  <c r="T14" i="14"/>
  <c r="S181" i="14"/>
  <c r="S179" i="14"/>
  <c r="S260" i="14"/>
  <c r="S177" i="14"/>
  <c r="S175" i="14"/>
  <c r="S14" i="14"/>
  <c r="R259" i="14"/>
  <c r="R181" i="14"/>
  <c r="R179" i="14"/>
  <c r="R177" i="14"/>
  <c r="R175" i="14"/>
  <c r="R260" i="14"/>
  <c r="R14" i="14"/>
  <c r="Q259" i="14"/>
  <c r="Q181" i="14"/>
  <c r="Q179" i="14"/>
  <c r="Q177" i="14"/>
  <c r="Q175" i="14"/>
  <c r="Q260" i="14"/>
  <c r="Q14" i="14"/>
  <c r="P259" i="14"/>
  <c r="P181" i="14"/>
  <c r="P179" i="14"/>
  <c r="P260" i="14"/>
  <c r="P177" i="14"/>
  <c r="P175" i="14"/>
  <c r="O259" i="14"/>
  <c r="P14" i="14"/>
  <c r="O181" i="14"/>
  <c r="O179" i="14"/>
  <c r="O177" i="14"/>
  <c r="O260" i="14"/>
  <c r="O175" i="14"/>
  <c r="O14" i="14"/>
  <c r="N259" i="14"/>
  <c r="N181" i="14"/>
  <c r="N179" i="14"/>
  <c r="N177" i="14"/>
  <c r="N175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260" i="14"/>
  <c r="L177" i="14"/>
  <c r="L175" i="14"/>
  <c r="K259" i="14"/>
  <c r="L14" i="14"/>
  <c r="K181" i="14"/>
  <c r="K179" i="14"/>
  <c r="K177" i="14"/>
  <c r="K260" i="14"/>
  <c r="K175" i="14"/>
  <c r="J259" i="14"/>
  <c r="K14" i="14"/>
  <c r="J181" i="14"/>
  <c r="J179" i="14"/>
  <c r="J177" i="14"/>
  <c r="J175" i="14"/>
  <c r="J14" i="14"/>
  <c r="I259" i="14"/>
  <c r="I181" i="14"/>
  <c r="I179" i="14"/>
  <c r="I177" i="14"/>
  <c r="I175" i="14"/>
  <c r="I260" i="14"/>
  <c r="I14" i="14"/>
  <c r="H259" i="14"/>
  <c r="H181" i="14"/>
  <c r="H179" i="14"/>
  <c r="H177" i="14"/>
  <c r="H175" i="14"/>
  <c r="G259" i="14"/>
  <c r="H14" i="14"/>
  <c r="G181" i="14"/>
  <c r="G179" i="14"/>
  <c r="G260" i="14"/>
  <c r="G177" i="14"/>
  <c r="G175" i="14"/>
  <c r="G14" i="14"/>
  <c r="F259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D181" i="14"/>
  <c r="D179" i="14"/>
  <c r="D260" i="14"/>
  <c r="D177" i="14"/>
  <c r="D175" i="14"/>
  <c r="AY259" i="15"/>
  <c r="AZ14" i="15"/>
  <c r="AY181" i="15"/>
  <c r="AY179" i="15"/>
  <c r="AY177" i="15"/>
  <c r="AY260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59" i="15"/>
  <c r="AV14" i="15"/>
  <c r="AU181" i="15"/>
  <c r="AU179" i="15"/>
  <c r="AU260" i="15"/>
  <c r="AU177" i="15"/>
  <c r="AU175" i="15"/>
  <c r="AU14" i="15"/>
  <c r="AT259" i="15"/>
  <c r="AT181" i="15"/>
  <c r="AT179" i="15"/>
  <c r="AT177" i="15"/>
  <c r="AT175" i="15"/>
  <c r="AT260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260" i="15"/>
  <c r="AR177" i="15"/>
  <c r="AR175" i="15"/>
  <c r="AQ259" i="15"/>
  <c r="AR14" i="15"/>
  <c r="AQ181" i="15"/>
  <c r="AQ179" i="15"/>
  <c r="AQ177" i="15"/>
  <c r="AQ260" i="15"/>
  <c r="AQ175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M259" i="15"/>
  <c r="AN14" i="15"/>
  <c r="AM181" i="15"/>
  <c r="AM179" i="15"/>
  <c r="AM260" i="15"/>
  <c r="AM177" i="15"/>
  <c r="AM175" i="15"/>
  <c r="AL259" i="15"/>
  <c r="AM14" i="15"/>
  <c r="AL181" i="15"/>
  <c r="AL179" i="15"/>
  <c r="AL177" i="15"/>
  <c r="AL175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177" i="15"/>
  <c r="AJ175" i="15"/>
  <c r="AI259" i="15"/>
  <c r="AJ14" i="15"/>
  <c r="AI181" i="15"/>
  <c r="AI179" i="15"/>
  <c r="AI260" i="15"/>
  <c r="AI177" i="15"/>
  <c r="AI175" i="15"/>
  <c r="AI14" i="15"/>
  <c r="AH259" i="15"/>
  <c r="AH181" i="15"/>
  <c r="AH179" i="15"/>
  <c r="AH177" i="15"/>
  <c r="AH175" i="15"/>
  <c r="AH260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260" i="15"/>
  <c r="AF177" i="15"/>
  <c r="AF175" i="15"/>
  <c r="AE259" i="15"/>
  <c r="AF14" i="15"/>
  <c r="AE181" i="15"/>
  <c r="AE179" i="15"/>
  <c r="AE177" i="15"/>
  <c r="AE260" i="15"/>
  <c r="AE175" i="15"/>
  <c r="AE14" i="15"/>
  <c r="AD259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177" i="15"/>
  <c r="AA260" i="15"/>
  <c r="AA175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W259" i="15"/>
  <c r="X14" i="15"/>
  <c r="W181" i="15"/>
  <c r="W179" i="15"/>
  <c r="W260" i="15"/>
  <c r="W177" i="15"/>
  <c r="W175" i="15"/>
  <c r="W14" i="15"/>
  <c r="V259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260" i="15"/>
  <c r="T177" i="15"/>
  <c r="T175" i="15"/>
  <c r="S259" i="15"/>
  <c r="T14" i="15"/>
  <c r="S181" i="15"/>
  <c r="S179" i="15"/>
  <c r="S177" i="15"/>
  <c r="S260" i="15"/>
  <c r="S175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O259" i="15"/>
  <c r="P14" i="15"/>
  <c r="O181" i="15"/>
  <c r="O179" i="15"/>
  <c r="O260" i="15"/>
  <c r="O177" i="15"/>
  <c r="O175" i="15"/>
  <c r="O14" i="15"/>
  <c r="N259" i="15"/>
  <c r="N181" i="15"/>
  <c r="N179" i="15"/>
  <c r="N177" i="15"/>
  <c r="N175" i="15"/>
  <c r="N260" i="15"/>
  <c r="N14" i="15"/>
  <c r="M259" i="15"/>
  <c r="M181" i="15"/>
  <c r="M179" i="15"/>
  <c r="M177" i="15"/>
  <c r="M175" i="15"/>
  <c r="M260" i="15"/>
  <c r="M14" i="15"/>
  <c r="L259" i="15"/>
  <c r="L181" i="15"/>
  <c r="L179" i="15"/>
  <c r="L260" i="15"/>
  <c r="L177" i="15"/>
  <c r="L175" i="15"/>
  <c r="K259" i="15"/>
  <c r="L14" i="15"/>
  <c r="K181" i="15"/>
  <c r="K179" i="15"/>
  <c r="K177" i="15"/>
  <c r="K260" i="15"/>
  <c r="K175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G259" i="15"/>
  <c r="H14" i="15"/>
  <c r="G181" i="15"/>
  <c r="G179" i="15"/>
  <c r="G260" i="15"/>
  <c r="G177" i="15"/>
  <c r="G175" i="15"/>
  <c r="F259" i="15"/>
  <c r="G14" i="15"/>
  <c r="F181" i="15"/>
  <c r="F179" i="15"/>
  <c r="F177" i="15"/>
  <c r="F175" i="15"/>
  <c r="F14" i="15"/>
  <c r="E259" i="15"/>
  <c r="E181" i="15"/>
  <c r="E179" i="15"/>
  <c r="E177" i="15"/>
  <c r="E175" i="15"/>
  <c r="E260" i="15"/>
  <c r="E14" i="15"/>
  <c r="D181" i="15"/>
  <c r="D179" i="15"/>
  <c r="D177" i="15"/>
  <c r="D175" i="15"/>
  <c r="AY259" i="16"/>
  <c r="AZ14" i="16"/>
  <c r="AY181" i="16"/>
  <c r="AY179" i="16"/>
  <c r="AY260" i="16"/>
  <c r="AY177" i="16"/>
  <c r="AY175" i="16"/>
  <c r="AY14" i="16"/>
  <c r="AX259" i="16"/>
  <c r="AX181" i="16"/>
  <c r="AX179" i="16"/>
  <c r="AX177" i="16"/>
  <c r="AX175" i="16"/>
  <c r="AX260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260" i="16"/>
  <c r="AV177" i="16"/>
  <c r="AV175" i="16"/>
  <c r="AU259" i="16"/>
  <c r="AV14" i="16"/>
  <c r="AU181" i="16"/>
  <c r="AU179" i="16"/>
  <c r="AU177" i="16"/>
  <c r="AU260" i="16"/>
  <c r="AU175" i="16"/>
  <c r="AU14" i="16"/>
  <c r="AT259" i="16"/>
  <c r="AT181" i="16"/>
  <c r="AT179" i="16"/>
  <c r="AT177" i="16"/>
  <c r="AT175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177" i="16"/>
  <c r="AQ260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59" i="16"/>
  <c r="AN14" i="16"/>
  <c r="AM181" i="16"/>
  <c r="AM179" i="16"/>
  <c r="AM260" i="16"/>
  <c r="AM177" i="16"/>
  <c r="AM175" i="16"/>
  <c r="AM14" i="16"/>
  <c r="AL259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260" i="16"/>
  <c r="AJ177" i="16"/>
  <c r="AJ175" i="16"/>
  <c r="AI259" i="16"/>
  <c r="AJ14" i="16"/>
  <c r="AI181" i="16"/>
  <c r="AI179" i="16"/>
  <c r="AI177" i="16"/>
  <c r="AI260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59" i="16"/>
  <c r="AF14" i="16"/>
  <c r="AE181" i="16"/>
  <c r="AE179" i="16"/>
  <c r="AE260" i="16"/>
  <c r="AE177" i="16"/>
  <c r="AE175" i="16"/>
  <c r="AE14" i="16"/>
  <c r="AD259" i="16"/>
  <c r="AD181" i="16"/>
  <c r="AD179" i="16"/>
  <c r="AD177" i="16"/>
  <c r="AD175" i="16"/>
  <c r="AD260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260" i="16"/>
  <c r="AB177" i="16"/>
  <c r="AB175" i="16"/>
  <c r="AA259" i="16"/>
  <c r="AB14" i="16"/>
  <c r="AA181" i="16"/>
  <c r="AA179" i="16"/>
  <c r="AA177" i="16"/>
  <c r="AA260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W259" i="16"/>
  <c r="X14" i="16"/>
  <c r="W181" i="16"/>
  <c r="W179" i="16"/>
  <c r="W260" i="16"/>
  <c r="W177" i="16"/>
  <c r="W175" i="16"/>
  <c r="V259" i="16"/>
  <c r="W14" i="16"/>
  <c r="V181" i="16"/>
  <c r="V179" i="16"/>
  <c r="V177" i="16"/>
  <c r="V175" i="16"/>
  <c r="V14" i="16"/>
  <c r="U259" i="16"/>
  <c r="U181" i="16"/>
  <c r="U179" i="16"/>
  <c r="U177" i="16"/>
  <c r="U175" i="16"/>
  <c r="U260" i="16"/>
  <c r="U14" i="16"/>
  <c r="T259" i="16"/>
  <c r="T181" i="16"/>
  <c r="T179" i="16"/>
  <c r="T177" i="16"/>
  <c r="T175" i="16"/>
  <c r="S259" i="16"/>
  <c r="T14" i="16"/>
  <c r="S181" i="16"/>
  <c r="S179" i="16"/>
  <c r="S260" i="16"/>
  <c r="S177" i="16"/>
  <c r="S175" i="16"/>
  <c r="S14" i="16"/>
  <c r="R259" i="16"/>
  <c r="R181" i="16"/>
  <c r="R179" i="16"/>
  <c r="R177" i="16"/>
  <c r="R175" i="16"/>
  <c r="R260" i="16"/>
  <c r="R14" i="16"/>
  <c r="Q259" i="16"/>
  <c r="Q181" i="16"/>
  <c r="Q179" i="16"/>
  <c r="Q177" i="16"/>
  <c r="Q175" i="16"/>
  <c r="Q260" i="16"/>
  <c r="Q14" i="16"/>
  <c r="P259" i="16"/>
  <c r="P181" i="16"/>
  <c r="P179" i="16"/>
  <c r="P260" i="16"/>
  <c r="P177" i="16"/>
  <c r="P175" i="16"/>
  <c r="O259" i="16"/>
  <c r="P14" i="16"/>
  <c r="O181" i="16"/>
  <c r="O179" i="16"/>
  <c r="O177" i="16"/>
  <c r="O260" i="16"/>
  <c r="O175" i="16"/>
  <c r="O14" i="16"/>
  <c r="N259" i="16"/>
  <c r="N181" i="16"/>
  <c r="N179" i="16"/>
  <c r="N177" i="16"/>
  <c r="N175" i="16"/>
  <c r="N260" i="16"/>
  <c r="N14" i="16"/>
  <c r="M259" i="16"/>
  <c r="M181" i="16"/>
  <c r="M179" i="16"/>
  <c r="M177" i="16"/>
  <c r="M175" i="16"/>
  <c r="M260" i="16"/>
  <c r="M14" i="16"/>
  <c r="L259" i="16"/>
  <c r="L181" i="16"/>
  <c r="L179" i="16"/>
  <c r="L260" i="16"/>
  <c r="L177" i="16"/>
  <c r="L175" i="16"/>
  <c r="K259" i="16"/>
  <c r="L14" i="16"/>
  <c r="K181" i="16"/>
  <c r="K179" i="16"/>
  <c r="K177" i="16"/>
  <c r="K260" i="16"/>
  <c r="K175" i="16"/>
  <c r="K14" i="16"/>
  <c r="J259" i="16"/>
  <c r="J181" i="16"/>
  <c r="J179" i="16"/>
  <c r="J177" i="16"/>
  <c r="J175" i="16"/>
  <c r="J260" i="16"/>
  <c r="J14" i="16"/>
  <c r="I259" i="16"/>
  <c r="I181" i="16"/>
  <c r="I179" i="16"/>
  <c r="I177" i="16"/>
  <c r="I175" i="16"/>
  <c r="I260" i="16"/>
  <c r="I14" i="16"/>
  <c r="H259" i="16"/>
  <c r="H181" i="16"/>
  <c r="H179" i="16"/>
  <c r="H260" i="16"/>
  <c r="H177" i="16"/>
  <c r="H175" i="16"/>
  <c r="G259" i="16"/>
  <c r="H14" i="16"/>
  <c r="G181" i="16"/>
  <c r="G179" i="16"/>
  <c r="G177" i="16"/>
  <c r="G260" i="16"/>
  <c r="G175" i="16"/>
  <c r="G14" i="16"/>
  <c r="F259" i="16"/>
  <c r="F181" i="16"/>
  <c r="F179" i="16"/>
  <c r="F260" i="16"/>
  <c r="F177" i="16"/>
  <c r="F175" i="16"/>
  <c r="E259" i="16"/>
  <c r="F14" i="16"/>
  <c r="E181" i="16"/>
  <c r="E179" i="16"/>
  <c r="E177" i="16"/>
  <c r="E175" i="16"/>
  <c r="E14" i="16"/>
  <c r="D181" i="16"/>
  <c r="D179" i="16"/>
  <c r="D177" i="16"/>
  <c r="D175" i="16"/>
  <c r="AY14" i="17"/>
  <c r="AY15" i="17"/>
  <c r="AY10" i="17"/>
  <c r="AY13" i="17"/>
  <c r="AY16" i="17"/>
  <c r="AY17" i="17"/>
  <c r="AY29" i="17"/>
  <c r="AX14" i="17"/>
  <c r="AX10" i="17"/>
  <c r="AX15" i="17"/>
  <c r="AX16" i="17"/>
  <c r="AX13" i="17"/>
  <c r="AX17" i="17"/>
  <c r="AX29" i="17"/>
  <c r="AW14" i="17"/>
  <c r="AW15" i="17"/>
  <c r="AW10" i="17"/>
  <c r="AW13" i="17"/>
  <c r="AW16" i="17"/>
  <c r="AW17" i="17"/>
  <c r="AW29" i="17"/>
  <c r="AV14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0" i="17"/>
  <c r="AT13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6" i="17"/>
  <c r="AR10" i="17"/>
  <c r="AR13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0" i="17"/>
  <c r="AP13" i="17"/>
  <c r="AP17" i="17"/>
  <c r="AP29" i="17"/>
  <c r="AO14" i="17"/>
  <c r="AO10" i="17"/>
  <c r="AO15" i="17"/>
  <c r="AO16" i="17"/>
  <c r="AO13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6" i="17"/>
  <c r="AL21" i="17"/>
  <c r="AL22" i="17"/>
  <c r="AL24" i="17"/>
  <c r="AL29" i="17"/>
  <c r="AK14" i="17"/>
  <c r="AL15" i="17"/>
  <c r="AK15" i="17"/>
  <c r="AK16" i="17"/>
  <c r="AK17" i="17"/>
  <c r="AK29" i="17"/>
  <c r="AJ14" i="17"/>
  <c r="AJ10" i="17"/>
  <c r="AJ13" i="17"/>
  <c r="AJ15" i="17"/>
  <c r="AJ16" i="17"/>
  <c r="AJ17" i="17"/>
  <c r="AJ29" i="17"/>
  <c r="AI14" i="17"/>
  <c r="AI10" i="17"/>
  <c r="AI13" i="17"/>
  <c r="AI15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0" i="17"/>
  <c r="AE13" i="17"/>
  <c r="AE15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0" i="17"/>
  <c r="AA13" i="17"/>
  <c r="AA15" i="17"/>
  <c r="AA16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4" i="17"/>
  <c r="Q10" i="17"/>
  <c r="Q13" i="17"/>
  <c r="Q15" i="17"/>
  <c r="Q16" i="17"/>
  <c r="Q17" i="17"/>
  <c r="Q29" i="17"/>
  <c r="P14" i="17"/>
  <c r="P10" i="17"/>
  <c r="P15" i="17"/>
  <c r="P16" i="17"/>
  <c r="P13" i="17"/>
  <c r="P17" i="17"/>
  <c r="P29" i="17"/>
  <c r="O14" i="17"/>
  <c r="O10" i="17"/>
  <c r="O13" i="17"/>
  <c r="O15" i="17"/>
  <c r="O16" i="17"/>
  <c r="O17" i="17"/>
  <c r="O29" i="17"/>
  <c r="N14" i="17"/>
  <c r="N15" i="17"/>
  <c r="N16" i="17"/>
  <c r="N10" i="17"/>
  <c r="N13" i="17"/>
  <c r="N17" i="17"/>
  <c r="N29" i="17"/>
  <c r="M14" i="17"/>
  <c r="M10" i="17"/>
  <c r="M13" i="17"/>
  <c r="M15" i="17"/>
  <c r="M16" i="17"/>
  <c r="M17" i="17"/>
  <c r="M29" i="17"/>
  <c r="L14" i="17"/>
  <c r="L10" i="17"/>
  <c r="L15" i="17"/>
  <c r="L16" i="17"/>
  <c r="L13" i="17"/>
  <c r="L17" i="17"/>
  <c r="L29" i="17"/>
  <c r="K14" i="17"/>
  <c r="K10" i="17"/>
  <c r="K13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0" i="17"/>
  <c r="I13" i="17"/>
  <c r="I15" i="17"/>
  <c r="I16" i="17"/>
  <c r="I17" i="17"/>
  <c r="I29" i="17"/>
  <c r="H14" i="17"/>
  <c r="H10" i="17"/>
  <c r="H15" i="17"/>
  <c r="H16" i="17"/>
  <c r="H13" i="17"/>
  <c r="H17" i="17"/>
  <c r="H29" i="17"/>
  <c r="G14" i="17"/>
  <c r="G10" i="17"/>
  <c r="G13" i="17"/>
  <c r="G15" i="17"/>
  <c r="G16" i="17"/>
  <c r="G17" i="17"/>
  <c r="G29" i="17"/>
  <c r="F14" i="17"/>
  <c r="F15" i="17"/>
  <c r="F16" i="17"/>
  <c r="F10" i="17"/>
  <c r="F13" i="17"/>
  <c r="F17" i="17"/>
  <c r="F29" i="17"/>
  <c r="E16" i="17"/>
  <c r="E21" i="17"/>
  <c r="E22" i="17"/>
  <c r="E24" i="17"/>
  <c r="E27" i="17"/>
  <c r="E29" i="17"/>
  <c r="E34" i="17"/>
  <c r="E40" i="17"/>
  <c r="E45" i="17"/>
  <c r="E51" i="17"/>
  <c r="E56" i="17"/>
  <c r="E62" i="17"/>
  <c r="D14" i="17"/>
  <c r="E15" i="17"/>
  <c r="D15" i="17"/>
  <c r="D16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0" i="18"/>
  <c r="AX13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9" i="18"/>
  <c r="AT14" i="18"/>
  <c r="AT10" i="18"/>
  <c r="AT15" i="18"/>
  <c r="AT16" i="18"/>
  <c r="AT13" i="18"/>
  <c r="AT17" i="18"/>
  <c r="AT29" i="18"/>
  <c r="AS14" i="18"/>
  <c r="AS15" i="18"/>
  <c r="AS16" i="18"/>
  <c r="AS17" i="18"/>
  <c r="AS29" i="18"/>
  <c r="AR14" i="18"/>
  <c r="AR15" i="18"/>
  <c r="AR16" i="18"/>
  <c r="AR10" i="18"/>
  <c r="AR13" i="18"/>
  <c r="AR17" i="18"/>
  <c r="AR21" i="18"/>
  <c r="AR55" i="18"/>
  <c r="AR29" i="18"/>
  <c r="AQ14" i="18"/>
  <c r="AQ15" i="18"/>
  <c r="AQ16" i="18"/>
  <c r="AQ10" i="18"/>
  <c r="AQ13" i="18"/>
  <c r="AQ17" i="18"/>
  <c r="AQ29" i="18"/>
  <c r="AP14" i="18"/>
  <c r="AP10" i="18"/>
  <c r="AP15" i="18"/>
  <c r="AP16" i="18"/>
  <c r="AP13" i="18"/>
  <c r="AQ21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0" i="18"/>
  <c r="AM15" i="18"/>
  <c r="AM16" i="18"/>
  <c r="AM13" i="18"/>
  <c r="AM17" i="18"/>
  <c r="AM29" i="18"/>
  <c r="AL14" i="18"/>
  <c r="AL15" i="18"/>
  <c r="AL16" i="18"/>
  <c r="AL10" i="18"/>
  <c r="AL13" i="18"/>
  <c r="AL17" i="18"/>
  <c r="AL29" i="18"/>
  <c r="AK14" i="18"/>
  <c r="AK15" i="18"/>
  <c r="AK10" i="18"/>
  <c r="AK13" i="18"/>
  <c r="AK16" i="18"/>
  <c r="AK17" i="18"/>
  <c r="AK29" i="18"/>
  <c r="AJ14" i="18"/>
  <c r="AJ15" i="18"/>
  <c r="AJ16" i="18"/>
  <c r="AJ10" i="18"/>
  <c r="AJ13" i="18"/>
  <c r="AK21" i="18"/>
  <c r="AJ17" i="18"/>
  <c r="AJ29" i="18"/>
  <c r="AI15" i="18"/>
  <c r="AI21" i="18"/>
  <c r="AI23" i="18"/>
  <c r="AI22" i="18"/>
  <c r="AI56" i="18"/>
  <c r="AI62" i="18"/>
  <c r="AI24" i="18"/>
  <c r="AI29" i="18"/>
  <c r="AI33" i="18"/>
  <c r="AI34" i="18"/>
  <c r="AI40" i="18"/>
  <c r="AI44" i="18"/>
  <c r="AI45" i="18"/>
  <c r="AI51" i="18"/>
  <c r="AI55" i="18"/>
  <c r="AI61" i="18"/>
  <c r="AH14" i="18"/>
  <c r="AH15" i="18"/>
  <c r="AH10" i="18"/>
  <c r="AH13" i="18"/>
  <c r="AI14" i="18"/>
  <c r="AH16" i="18"/>
  <c r="AI17" i="18"/>
  <c r="AH17" i="18"/>
  <c r="AH29" i="18"/>
  <c r="AG14" i="18"/>
  <c r="AG15" i="18"/>
  <c r="AG16" i="18"/>
  <c r="AG10" i="18"/>
  <c r="AG13" i="18"/>
  <c r="AG17" i="18"/>
  <c r="AG29" i="18"/>
  <c r="AG33" i="18"/>
  <c r="AG55" i="18"/>
  <c r="AG61" i="18"/>
  <c r="AF14" i="18"/>
  <c r="AF15" i="18"/>
  <c r="AF10" i="18"/>
  <c r="AF13" i="18"/>
  <c r="AG21" i="18"/>
  <c r="AG23" i="18"/>
  <c r="AF16" i="18"/>
  <c r="AF17" i="18"/>
  <c r="AF29" i="18"/>
  <c r="AE14" i="18"/>
  <c r="AE15" i="18"/>
  <c r="AE16" i="18"/>
  <c r="AE10" i="18"/>
  <c r="AE13" i="18"/>
  <c r="AE17" i="18"/>
  <c r="AE29" i="18"/>
  <c r="AD14" i="18"/>
  <c r="AD15" i="18"/>
  <c r="AD10" i="18"/>
  <c r="AD13" i="18"/>
  <c r="AD16" i="18"/>
  <c r="AD17" i="18"/>
  <c r="AD29" i="18"/>
  <c r="AC14" i="18"/>
  <c r="AC15" i="18"/>
  <c r="AC16" i="18"/>
  <c r="AC10" i="18"/>
  <c r="AC13" i="18"/>
  <c r="AC17" i="18"/>
  <c r="AC29" i="18"/>
  <c r="AB14" i="18"/>
  <c r="AB15" i="18"/>
  <c r="AB10" i="18"/>
  <c r="AB13" i="18"/>
  <c r="AB16" i="18"/>
  <c r="AB17" i="18"/>
  <c r="AB29" i="18"/>
  <c r="AA14" i="18"/>
  <c r="AA15" i="18"/>
  <c r="AA16" i="18"/>
  <c r="AA10" i="18"/>
  <c r="AA13" i="18"/>
  <c r="AB21" i="18"/>
  <c r="AA17" i="18"/>
  <c r="AA29" i="18"/>
  <c r="Z14" i="18"/>
  <c r="Z15" i="18"/>
  <c r="Z10" i="18"/>
  <c r="Z13" i="18"/>
  <c r="AA21" i="18"/>
  <c r="AA23" i="18"/>
  <c r="Z16" i="18"/>
  <c r="Z17" i="18"/>
  <c r="Z29" i="18"/>
  <c r="Y14" i="18"/>
  <c r="Y15" i="18"/>
  <c r="Y16" i="18"/>
  <c r="Y10" i="18"/>
  <c r="Y13" i="18"/>
  <c r="Y17" i="18"/>
  <c r="Y29" i="18"/>
  <c r="Y33" i="18"/>
  <c r="Y55" i="18"/>
  <c r="Y61" i="18"/>
  <c r="X14" i="18"/>
  <c r="X15" i="18"/>
  <c r="X10" i="18"/>
  <c r="X13" i="18"/>
  <c r="Y21" i="18"/>
  <c r="Y23" i="18"/>
  <c r="X16" i="18"/>
  <c r="X17" i="18"/>
  <c r="X29" i="18"/>
  <c r="W14" i="18"/>
  <c r="W15" i="18"/>
  <c r="W16" i="18"/>
  <c r="W10" i="18"/>
  <c r="W13" i="18"/>
  <c r="W17" i="18"/>
  <c r="W29" i="18"/>
  <c r="V14" i="18"/>
  <c r="V15" i="18"/>
  <c r="V10" i="18"/>
  <c r="V13" i="18"/>
  <c r="V16" i="18"/>
  <c r="V17" i="18"/>
  <c r="V29" i="18"/>
  <c r="U14" i="18"/>
  <c r="U15" i="18"/>
  <c r="U16" i="18"/>
  <c r="U10" i="18"/>
  <c r="U13" i="18"/>
  <c r="U17" i="18"/>
  <c r="U29" i="18"/>
  <c r="T14" i="18"/>
  <c r="T15" i="18"/>
  <c r="T10" i="18"/>
  <c r="T13" i="18"/>
  <c r="T16" i="18"/>
  <c r="T17" i="18"/>
  <c r="T29" i="18"/>
  <c r="S14" i="18"/>
  <c r="S15" i="18"/>
  <c r="S16" i="18"/>
  <c r="S10" i="18"/>
  <c r="S13" i="18"/>
  <c r="T21" i="18"/>
  <c r="S17" i="18"/>
  <c r="S29" i="18"/>
  <c r="R14" i="18"/>
  <c r="R15" i="18"/>
  <c r="R10" i="18"/>
  <c r="R13" i="18"/>
  <c r="S21" i="18"/>
  <c r="S23" i="18"/>
  <c r="R16" i="18"/>
  <c r="R17" i="18"/>
  <c r="R29" i="18"/>
  <c r="Q14" i="18"/>
  <c r="Q15" i="18"/>
  <c r="Q16" i="18"/>
  <c r="Q10" i="18"/>
  <c r="Q13" i="18"/>
  <c r="Q17" i="18"/>
  <c r="Q29" i="18"/>
  <c r="Q33" i="18"/>
  <c r="Q55" i="18"/>
  <c r="Q61" i="18"/>
  <c r="P14" i="18"/>
  <c r="P15" i="18"/>
  <c r="P10" i="18"/>
  <c r="P13" i="18"/>
  <c r="Q21" i="18"/>
  <c r="Q23" i="18"/>
  <c r="P16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0" i="18"/>
  <c r="N13" i="18"/>
  <c r="N17" i="18"/>
  <c r="N21" i="18"/>
  <c r="N29" i="18"/>
  <c r="M14" i="18"/>
  <c r="M15" i="18"/>
  <c r="M16" i="18"/>
  <c r="M10" i="18"/>
  <c r="M13" i="18"/>
  <c r="M17" i="18"/>
  <c r="M29" i="18"/>
  <c r="L14" i="18"/>
  <c r="L15" i="18"/>
  <c r="L16" i="18"/>
  <c r="L10" i="18"/>
  <c r="L13" i="18"/>
  <c r="L17" i="18"/>
  <c r="L29" i="18"/>
  <c r="K14" i="18"/>
  <c r="K15" i="18"/>
  <c r="K16" i="18"/>
  <c r="K10" i="18"/>
  <c r="K13" i="18"/>
  <c r="K17" i="18"/>
  <c r="K29" i="18"/>
  <c r="J14" i="18"/>
  <c r="J15" i="18"/>
  <c r="J16" i="18"/>
  <c r="J10" i="18"/>
  <c r="J13" i="18"/>
  <c r="J17" i="18"/>
  <c r="J21" i="18"/>
  <c r="J55" i="18"/>
  <c r="J29" i="18"/>
  <c r="I14" i="18"/>
  <c r="I15" i="18"/>
  <c r="I16" i="18"/>
  <c r="I10" i="18"/>
  <c r="I13" i="18"/>
  <c r="I17" i="18"/>
  <c r="I29" i="18"/>
  <c r="H14" i="18"/>
  <c r="H15" i="18"/>
  <c r="H16" i="18"/>
  <c r="H10" i="18"/>
  <c r="H13" i="18"/>
  <c r="H17" i="18"/>
  <c r="H29" i="18"/>
  <c r="G14" i="18"/>
  <c r="G15" i="18"/>
  <c r="G16" i="18"/>
  <c r="G10" i="18"/>
  <c r="G13" i="18"/>
  <c r="G17" i="18"/>
  <c r="G29" i="18"/>
  <c r="F14" i="18"/>
  <c r="F15" i="18"/>
  <c r="F16" i="18"/>
  <c r="F10" i="18"/>
  <c r="F13" i="18"/>
  <c r="F17" i="18"/>
  <c r="F21" i="18"/>
  <c r="F55" i="18"/>
  <c r="F29" i="18"/>
  <c r="E14" i="18"/>
  <c r="E15" i="18"/>
  <c r="E16" i="18"/>
  <c r="E10" i="18"/>
  <c r="E13" i="18"/>
  <c r="E17" i="18"/>
  <c r="E29" i="18"/>
  <c r="D14" i="18"/>
  <c r="D15" i="18"/>
  <c r="D16" i="18"/>
  <c r="D10" i="18"/>
  <c r="D17" i="18"/>
  <c r="D27" i="18"/>
  <c r="D30" i="18"/>
  <c r="D29" i="18"/>
  <c r="AY14" i="19"/>
  <c r="AY15" i="19"/>
  <c r="AY16" i="19"/>
  <c r="AY10" i="19"/>
  <c r="AY13" i="19"/>
  <c r="AY17" i="19"/>
  <c r="AY29" i="19"/>
  <c r="AX14" i="19"/>
  <c r="AX15" i="19"/>
  <c r="AX16" i="19"/>
  <c r="AX10" i="19"/>
  <c r="AX13" i="19"/>
  <c r="AX17" i="19"/>
  <c r="AX21" i="19"/>
  <c r="AX55" i="19"/>
  <c r="AX29" i="19"/>
  <c r="AW14" i="19"/>
  <c r="AW15" i="19"/>
  <c r="AW16" i="19"/>
  <c r="AW10" i="19"/>
  <c r="AW13" i="19"/>
  <c r="AX22" i="19"/>
  <c r="AW17" i="19"/>
  <c r="AW29" i="19"/>
  <c r="AV14" i="19"/>
  <c r="AV15" i="19"/>
  <c r="AV16" i="19"/>
  <c r="AV10" i="19"/>
  <c r="AV13" i="19"/>
  <c r="AW22" i="19"/>
  <c r="AV17" i="19"/>
  <c r="AV29" i="19"/>
  <c r="AU14" i="19"/>
  <c r="AU15" i="19"/>
  <c r="AU16" i="19"/>
  <c r="AU10" i="19"/>
  <c r="AU13" i="19"/>
  <c r="AU17" i="19"/>
  <c r="AU29" i="19"/>
  <c r="AT14" i="19"/>
  <c r="AT15" i="19"/>
  <c r="AT16" i="19"/>
  <c r="AT10" i="19"/>
  <c r="AT13" i="19"/>
  <c r="AT17" i="19"/>
  <c r="AT21" i="19"/>
  <c r="AT55" i="19"/>
  <c r="AT29" i="19"/>
  <c r="AS14" i="19"/>
  <c r="AS15" i="19"/>
  <c r="AS16" i="19"/>
  <c r="AS10" i="19"/>
  <c r="AS13" i="19"/>
  <c r="AT22" i="19"/>
  <c r="AS17" i="19"/>
  <c r="AS29" i="19"/>
  <c r="AR14" i="19"/>
  <c r="AR15" i="19"/>
  <c r="AR16" i="19"/>
  <c r="AR10" i="19"/>
  <c r="AR13" i="19"/>
  <c r="AS22" i="19"/>
  <c r="AR17" i="19"/>
  <c r="AR29" i="19"/>
  <c r="AQ14" i="19"/>
  <c r="AQ15" i="19"/>
  <c r="AQ16" i="19"/>
  <c r="AQ10" i="19"/>
  <c r="AQ13" i="19"/>
  <c r="AQ17" i="19"/>
  <c r="AQ29" i="19"/>
  <c r="AP14" i="19"/>
  <c r="AP15" i="19"/>
  <c r="AP16" i="19"/>
  <c r="AP10" i="19"/>
  <c r="AP13" i="19"/>
  <c r="AP17" i="19"/>
  <c r="AP21" i="19"/>
  <c r="AP55" i="19"/>
  <c r="AP29" i="19"/>
  <c r="AO14" i="19"/>
  <c r="AO15" i="19"/>
  <c r="AO16" i="19"/>
  <c r="AO10" i="19"/>
  <c r="AO13" i="19"/>
  <c r="AP22" i="19"/>
  <c r="AO17" i="19"/>
  <c r="AO29" i="19"/>
  <c r="AN14" i="19"/>
  <c r="AN15" i="19"/>
  <c r="AN16" i="19"/>
  <c r="AN10" i="19"/>
  <c r="AN13" i="19"/>
  <c r="AO22" i="19"/>
  <c r="AN17" i="19"/>
  <c r="AN29" i="19"/>
  <c r="AM14" i="19"/>
  <c r="AM15" i="19"/>
  <c r="AM16" i="19"/>
  <c r="AM10" i="19"/>
  <c r="AM13" i="19"/>
  <c r="AM17" i="19"/>
  <c r="AM29" i="19"/>
  <c r="AL14" i="19"/>
  <c r="AL15" i="19"/>
  <c r="AL16" i="19"/>
  <c r="AL10" i="19"/>
  <c r="AL13" i="19"/>
  <c r="AL17" i="19"/>
  <c r="AL21" i="19"/>
  <c r="AL29" i="19"/>
  <c r="AK14" i="19"/>
  <c r="AK15" i="19"/>
  <c r="AK16" i="19"/>
  <c r="AK10" i="19"/>
  <c r="AK13" i="19"/>
  <c r="AL22" i="19"/>
  <c r="AK17" i="19"/>
  <c r="AK29" i="19"/>
  <c r="AJ14" i="19"/>
  <c r="AJ15" i="19"/>
  <c r="AJ16" i="19"/>
  <c r="AJ10" i="19"/>
  <c r="AJ13" i="19"/>
  <c r="AJ17" i="19"/>
  <c r="AJ29" i="19"/>
  <c r="AI15" i="19"/>
  <c r="AI16" i="19"/>
  <c r="AI21" i="19"/>
  <c r="AI23" i="19"/>
  <c r="AI22" i="19"/>
  <c r="AI29" i="19"/>
  <c r="AI33" i="19"/>
  <c r="AI44" i="19"/>
  <c r="AI55" i="19"/>
  <c r="AH14" i="19"/>
  <c r="AH15" i="19"/>
  <c r="AH16" i="19"/>
  <c r="AI17" i="19"/>
  <c r="AH10" i="19"/>
  <c r="AH13" i="19"/>
  <c r="AI14" i="19"/>
  <c r="AH17" i="19"/>
  <c r="AH29" i="19"/>
  <c r="AG14" i="19"/>
  <c r="AG15" i="19"/>
  <c r="AG16" i="19"/>
  <c r="AG17" i="19"/>
  <c r="AG22" i="19"/>
  <c r="AG29" i="19"/>
  <c r="AG33" i="19"/>
  <c r="AG44" i="19"/>
  <c r="AF14" i="19"/>
  <c r="AF15" i="19"/>
  <c r="AF16" i="19"/>
  <c r="AF10" i="19"/>
  <c r="AF13" i="19"/>
  <c r="AG21" i="19"/>
  <c r="AG23" i="19"/>
  <c r="AF17" i="19"/>
  <c r="AF29" i="19"/>
  <c r="AE15" i="19"/>
  <c r="AE21" i="19"/>
  <c r="AE23" i="19"/>
  <c r="AE22" i="19"/>
  <c r="AE56" i="19"/>
  <c r="AE62" i="19"/>
  <c r="AE24" i="19"/>
  <c r="AE29" i="19"/>
  <c r="AE33" i="19"/>
  <c r="AE39" i="19"/>
  <c r="AE34" i="19"/>
  <c r="AE40" i="19"/>
  <c r="AE44" i="19"/>
  <c r="AE50" i="19"/>
  <c r="AE45" i="19"/>
  <c r="AE51" i="19"/>
  <c r="AE55" i="19"/>
  <c r="AE61" i="19"/>
  <c r="AE57" i="19"/>
  <c r="AD14" i="19"/>
  <c r="AD15" i="19"/>
  <c r="AD16" i="19"/>
  <c r="AE17" i="19"/>
  <c r="AD17" i="19"/>
  <c r="AD29" i="19"/>
  <c r="AC14" i="19"/>
  <c r="AC15" i="19"/>
  <c r="AC16" i="19"/>
  <c r="AC10" i="19"/>
  <c r="AC13" i="19"/>
  <c r="AD22" i="19"/>
  <c r="AC17" i="19"/>
  <c r="AC29" i="19"/>
  <c r="AB14" i="19"/>
  <c r="AB15" i="19"/>
  <c r="AB10" i="19"/>
  <c r="AB13" i="19"/>
  <c r="AB16" i="19"/>
  <c r="AB17" i="19"/>
  <c r="AB29" i="19"/>
  <c r="AA14" i="19"/>
  <c r="AA15" i="19"/>
  <c r="AA16" i="19"/>
  <c r="AA10" i="19"/>
  <c r="AA13" i="19"/>
  <c r="AB22" i="19"/>
  <c r="AA17" i="19"/>
  <c r="AA29" i="19"/>
  <c r="Z15" i="19"/>
  <c r="Z16" i="19"/>
  <c r="Z21" i="19"/>
  <c r="Z23" i="19"/>
  <c r="Z22" i="19"/>
  <c r="Z29" i="19"/>
  <c r="Z33" i="19"/>
  <c r="Z44" i="19"/>
  <c r="Z55" i="19"/>
  <c r="Y14" i="19"/>
  <c r="Y15" i="19"/>
  <c r="Y16" i="19"/>
  <c r="Z17" i="19"/>
  <c r="Y10" i="19"/>
  <c r="Y13" i="19"/>
  <c r="Z14" i="19"/>
  <c r="Y17" i="19"/>
  <c r="Y29" i="19"/>
  <c r="X14" i="19"/>
  <c r="X15" i="19"/>
  <c r="X10" i="19"/>
  <c r="X13" i="19"/>
  <c r="X16" i="19"/>
  <c r="X17" i="19"/>
  <c r="X22" i="19"/>
  <c r="X29" i="19"/>
  <c r="W14" i="19"/>
  <c r="W15" i="19"/>
  <c r="W16" i="19"/>
  <c r="W10" i="19"/>
  <c r="W13" i="19"/>
  <c r="X21" i="19"/>
  <c r="X23" i="19"/>
  <c r="W17" i="19"/>
  <c r="W29" i="19"/>
  <c r="V14" i="19"/>
  <c r="V15" i="19"/>
  <c r="V10" i="19"/>
  <c r="V13" i="19"/>
  <c r="V16" i="19"/>
  <c r="V17" i="19"/>
  <c r="V29" i="19"/>
  <c r="U14" i="19"/>
  <c r="U10" i="19"/>
  <c r="U15" i="19"/>
  <c r="U16" i="19"/>
  <c r="U13" i="19"/>
  <c r="V21" i="19"/>
  <c r="U17" i="19"/>
  <c r="U29" i="19"/>
  <c r="T14" i="19"/>
  <c r="T10" i="19"/>
  <c r="T13" i="19"/>
  <c r="T15" i="19"/>
  <c r="T16" i="19"/>
  <c r="T17" i="19"/>
  <c r="T29" i="19"/>
  <c r="S14" i="19"/>
  <c r="S10" i="19"/>
  <c r="S13" i="19"/>
  <c r="S15" i="19"/>
  <c r="S16" i="19"/>
  <c r="S17" i="19"/>
  <c r="S29" i="19"/>
  <c r="R14" i="19"/>
  <c r="R10" i="19"/>
  <c r="R15" i="19"/>
  <c r="R16" i="19"/>
  <c r="R13" i="19"/>
  <c r="R17" i="19"/>
  <c r="R29" i="19"/>
  <c r="Q14" i="19"/>
  <c r="Q10" i="19"/>
  <c r="Q15" i="19"/>
  <c r="Q16" i="19"/>
  <c r="Q13" i="19"/>
  <c r="Q17" i="19"/>
  <c r="Q29" i="19"/>
  <c r="P14" i="19"/>
  <c r="P10" i="19"/>
  <c r="P13" i="19"/>
  <c r="P15" i="19"/>
  <c r="P16" i="19"/>
  <c r="P17" i="19"/>
  <c r="P29" i="19"/>
  <c r="O14" i="19"/>
  <c r="O10" i="19"/>
  <c r="O13" i="19"/>
  <c r="O15" i="19"/>
  <c r="O16" i="19"/>
  <c r="O17" i="19"/>
  <c r="O29" i="19"/>
  <c r="N17" i="19"/>
  <c r="N21" i="19"/>
  <c r="N22" i="19"/>
  <c r="N34" i="19"/>
  <c r="N23" i="19"/>
  <c r="N29" i="19"/>
  <c r="N33" i="19"/>
  <c r="N39" i="19"/>
  <c r="N44" i="19"/>
  <c r="N45" i="19"/>
  <c r="N51" i="19"/>
  <c r="N46" i="19"/>
  <c r="N50" i="19"/>
  <c r="N55" i="19"/>
  <c r="N61" i="19"/>
  <c r="N56" i="19"/>
  <c r="N62" i="19"/>
  <c r="M14" i="19"/>
  <c r="M15" i="19"/>
  <c r="N16" i="19"/>
  <c r="M16" i="19"/>
  <c r="M17" i="19"/>
  <c r="M29" i="19"/>
  <c r="L14" i="19"/>
  <c r="L10" i="19"/>
  <c r="L15" i="19"/>
  <c r="L16" i="19"/>
  <c r="L13" i="19"/>
  <c r="L17" i="19"/>
  <c r="L29" i="19"/>
  <c r="K14" i="19"/>
  <c r="K10" i="19"/>
  <c r="K13" i="19"/>
  <c r="K15" i="19"/>
  <c r="K16" i="19"/>
  <c r="K17" i="19"/>
  <c r="K29" i="19"/>
  <c r="J14" i="19"/>
  <c r="J10" i="19"/>
  <c r="J13" i="19"/>
  <c r="J15" i="19"/>
  <c r="J16" i="19"/>
  <c r="J17" i="19"/>
  <c r="J29" i="19"/>
  <c r="I14" i="19"/>
  <c r="I10" i="19"/>
  <c r="I15" i="19"/>
  <c r="I16" i="19"/>
  <c r="I13" i="19"/>
  <c r="I17" i="19"/>
  <c r="I29" i="19"/>
  <c r="H14" i="19"/>
  <c r="H10" i="19"/>
  <c r="H15" i="19"/>
  <c r="H16" i="19"/>
  <c r="H13" i="19"/>
  <c r="H17" i="19"/>
  <c r="H29" i="19"/>
  <c r="G14" i="19"/>
  <c r="G10" i="19"/>
  <c r="G13" i="19"/>
  <c r="G15" i="19"/>
  <c r="G16" i="19"/>
  <c r="G17" i="19"/>
  <c r="G29" i="19"/>
  <c r="F14" i="19"/>
  <c r="F10" i="19"/>
  <c r="F13" i="19"/>
  <c r="F15" i="19"/>
  <c r="F16" i="19"/>
  <c r="F17" i="19"/>
  <c r="F29" i="19"/>
  <c r="E14" i="19"/>
  <c r="E10" i="19"/>
  <c r="E15" i="19"/>
  <c r="E16" i="19"/>
  <c r="E13" i="19"/>
  <c r="E17" i="19"/>
  <c r="E29" i="19"/>
  <c r="D14" i="19"/>
  <c r="D10" i="19"/>
  <c r="D15" i="19"/>
  <c r="D16" i="19"/>
  <c r="D13" i="19"/>
  <c r="D17" i="19"/>
  <c r="D22" i="19"/>
  <c r="D24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D29" i="19"/>
  <c r="D30" i="19"/>
  <c r="D45" i="19"/>
  <c r="D51" i="19"/>
  <c r="D56" i="19"/>
  <c r="D62" i="19"/>
  <c r="B21" i="17"/>
  <c r="B21" i="18"/>
  <c r="D21" i="18"/>
  <c r="B21" i="19"/>
  <c r="B22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H21" i="19"/>
  <c r="H22" i="19"/>
  <c r="G21" i="19"/>
  <c r="G22" i="19"/>
  <c r="P21" i="19"/>
  <c r="P22" i="19"/>
  <c r="Q21" i="19"/>
  <c r="Q22" i="19"/>
  <c r="K21" i="19"/>
  <c r="K22" i="19"/>
  <c r="T21" i="19"/>
  <c r="T22" i="19"/>
  <c r="W30" i="19"/>
  <c r="X27" i="19"/>
  <c r="L21" i="19"/>
  <c r="L22" i="19"/>
  <c r="U21" i="19"/>
  <c r="U22" i="19"/>
  <c r="D33" i="18"/>
  <c r="D23" i="18"/>
  <c r="D55" i="18"/>
  <c r="D44" i="18"/>
  <c r="H30" i="19"/>
  <c r="M21" i="19"/>
  <c r="M22" i="19"/>
  <c r="V23" i="19"/>
  <c r="V44" i="19"/>
  <c r="V55" i="19"/>
  <c r="V33" i="19"/>
  <c r="X55" i="19"/>
  <c r="AC21" i="19"/>
  <c r="AC22" i="19"/>
  <c r="AI39" i="19"/>
  <c r="AP24" i="19"/>
  <c r="AP56" i="19"/>
  <c r="AP62" i="19"/>
  <c r="AP45" i="19"/>
  <c r="AP51" i="19"/>
  <c r="AP34" i="19"/>
  <c r="AP40" i="19"/>
  <c r="P21" i="18"/>
  <c r="P30" i="19"/>
  <c r="Z39" i="19"/>
  <c r="AG39" i="19"/>
  <c r="E30" i="19"/>
  <c r="F21" i="19"/>
  <c r="F22" i="19"/>
  <c r="I30" i="19"/>
  <c r="J21" i="19"/>
  <c r="J22" i="19"/>
  <c r="M30" i="19"/>
  <c r="N30" i="19"/>
  <c r="R30" i="19"/>
  <c r="S21" i="19"/>
  <c r="S22" i="19"/>
  <c r="V30" i="19"/>
  <c r="Y22" i="19"/>
  <c r="Y21" i="19"/>
  <c r="Z10" i="19"/>
  <c r="Z13" i="19"/>
  <c r="Z61" i="19"/>
  <c r="Z57" i="19"/>
  <c r="Z56" i="19"/>
  <c r="Z62" i="19"/>
  <c r="Z24" i="19"/>
  <c r="Z34" i="19"/>
  <c r="Z40" i="19"/>
  <c r="Z45" i="19"/>
  <c r="Z51" i="19"/>
  <c r="AD10" i="19"/>
  <c r="AD13" i="19"/>
  <c r="AE14" i="19"/>
  <c r="AE10" i="19"/>
  <c r="AE13" i="19"/>
  <c r="AE16" i="19"/>
  <c r="AG55" i="19"/>
  <c r="AG56" i="19"/>
  <c r="AG62" i="19"/>
  <c r="AG24" i="19"/>
  <c r="AG34" i="19"/>
  <c r="AG40" i="19"/>
  <c r="AG45" i="19"/>
  <c r="AG51" i="19"/>
  <c r="AI50" i="19"/>
  <c r="AK22" i="19"/>
  <c r="AK21" i="19"/>
  <c r="AQ21" i="19"/>
  <c r="AQ22" i="19"/>
  <c r="AT24" i="19"/>
  <c r="AT56" i="19"/>
  <c r="AT62" i="19"/>
  <c r="AT45" i="19"/>
  <c r="AT51" i="19"/>
  <c r="AT34" i="19"/>
  <c r="AT40" i="19"/>
  <c r="AV21" i="19"/>
  <c r="AV22" i="19"/>
  <c r="AX61" i="19"/>
  <c r="F61" i="18"/>
  <c r="O21" i="18"/>
  <c r="T23" i="18"/>
  <c r="T33" i="18"/>
  <c r="T44" i="18"/>
  <c r="T55" i="18"/>
  <c r="AB23" i="18"/>
  <c r="AB33" i="18"/>
  <c r="AB44" i="18"/>
  <c r="AB55" i="18"/>
  <c r="AI10" i="18"/>
  <c r="AI13" i="18"/>
  <c r="AC21" i="17"/>
  <c r="AG21" i="17"/>
  <c r="E21" i="19"/>
  <c r="E22" i="19"/>
  <c r="I21" i="19"/>
  <c r="I22" i="19"/>
  <c r="L30" i="19"/>
  <c r="Q30" i="19"/>
  <c r="R21" i="19"/>
  <c r="R22" i="19"/>
  <c r="U30" i="19"/>
  <c r="W22" i="19"/>
  <c r="W21" i="19"/>
  <c r="X56" i="19"/>
  <c r="X62" i="19"/>
  <c r="X24" i="19"/>
  <c r="X34" i="19"/>
  <c r="X40" i="19"/>
  <c r="X45" i="19"/>
  <c r="X51" i="19"/>
  <c r="Z46" i="19"/>
  <c r="Z50" i="19"/>
  <c r="AD56" i="19"/>
  <c r="AD62" i="19"/>
  <c r="AD24" i="19"/>
  <c r="AD34" i="19"/>
  <c r="AD40" i="19"/>
  <c r="AD45" i="19"/>
  <c r="AD51" i="19"/>
  <c r="AD21" i="19"/>
  <c r="AG50" i="19"/>
  <c r="AM21" i="19"/>
  <c r="AM22" i="19"/>
  <c r="AR21" i="19"/>
  <c r="AR22" i="19"/>
  <c r="AT57" i="19"/>
  <c r="AT61" i="19"/>
  <c r="AW24" i="19"/>
  <c r="AW56" i="19"/>
  <c r="AW62" i="19"/>
  <c r="AW34" i="19"/>
  <c r="AW40" i="19"/>
  <c r="AW45" i="19"/>
  <c r="AW51" i="19"/>
  <c r="K21" i="18"/>
  <c r="N22" i="18"/>
  <c r="X21" i="18"/>
  <c r="AF21" i="18"/>
  <c r="AY21" i="18"/>
  <c r="S21" i="17"/>
  <c r="W21" i="17"/>
  <c r="D21" i="17"/>
  <c r="O21" i="17"/>
  <c r="G21" i="17"/>
  <c r="G30" i="19"/>
  <c r="K30" i="19"/>
  <c r="T30" i="19"/>
  <c r="V22" i="19"/>
  <c r="X44" i="19"/>
  <c r="AB56" i="19"/>
  <c r="AB62" i="19"/>
  <c r="AB24" i="19"/>
  <c r="AB34" i="19"/>
  <c r="AB40" i="19"/>
  <c r="AB45" i="19"/>
  <c r="AB51" i="19"/>
  <c r="AB21" i="19"/>
  <c r="AL24" i="19"/>
  <c r="AL56" i="19"/>
  <c r="AL62" i="19"/>
  <c r="AL34" i="19"/>
  <c r="AL40" i="19"/>
  <c r="AL45" i="19"/>
  <c r="AL51" i="19"/>
  <c r="AN21" i="19"/>
  <c r="AN22" i="19"/>
  <c r="AP57" i="19"/>
  <c r="AP61" i="19"/>
  <c r="AS24" i="19"/>
  <c r="AS56" i="19"/>
  <c r="AS62" i="19"/>
  <c r="AS34" i="19"/>
  <c r="AS40" i="19"/>
  <c r="AS45" i="19"/>
  <c r="AS51" i="19"/>
  <c r="AY21" i="19"/>
  <c r="AY22" i="19"/>
  <c r="G21" i="18"/>
  <c r="L21" i="18"/>
  <c r="L22" i="18"/>
  <c r="AK23" i="18"/>
  <c r="AK33" i="18"/>
  <c r="AK55" i="18"/>
  <c r="AK44" i="18"/>
  <c r="Y21" i="17"/>
  <c r="F30" i="19"/>
  <c r="J30" i="19"/>
  <c r="M10" i="19"/>
  <c r="M13" i="19"/>
  <c r="N14" i="19"/>
  <c r="N15" i="19"/>
  <c r="N40" i="19"/>
  <c r="N35" i="19"/>
  <c r="O30" i="19"/>
  <c r="S30" i="19"/>
  <c r="X33" i="19"/>
  <c r="AG10" i="19"/>
  <c r="AG13" i="19"/>
  <c r="AI10" i="19"/>
  <c r="AI13" i="19"/>
  <c r="AI61" i="19"/>
  <c r="AI56" i="19"/>
  <c r="AI62" i="19"/>
  <c r="AI24" i="19"/>
  <c r="AI34" i="19"/>
  <c r="AI40" i="19"/>
  <c r="AI45" i="19"/>
  <c r="AI51" i="19"/>
  <c r="AO24" i="19"/>
  <c r="AO56" i="19"/>
  <c r="AO62" i="19"/>
  <c r="AO34" i="19"/>
  <c r="AO40" i="19"/>
  <c r="AO45" i="19"/>
  <c r="AO51" i="19"/>
  <c r="AU21" i="19"/>
  <c r="AU22" i="19"/>
  <c r="AX24" i="19"/>
  <c r="AX56" i="19"/>
  <c r="AX62" i="19"/>
  <c r="AX45" i="19"/>
  <c r="AX51" i="19"/>
  <c r="AX34" i="19"/>
  <c r="AX40" i="19"/>
  <c r="F22" i="18"/>
  <c r="H21" i="18"/>
  <c r="J61" i="18"/>
  <c r="V21" i="18"/>
  <c r="AD22" i="18"/>
  <c r="AD21" i="18"/>
  <c r="AR61" i="18"/>
  <c r="AL33" i="19"/>
  <c r="AL23" i="19"/>
  <c r="D13" i="18"/>
  <c r="N33" i="18"/>
  <c r="N23" i="18"/>
  <c r="AL21" i="18"/>
  <c r="AN22" i="18"/>
  <c r="AQ33" i="18"/>
  <c r="AQ55" i="18"/>
  <c r="AQ23" i="18"/>
  <c r="M21" i="17"/>
  <c r="Z21" i="17"/>
  <c r="R22" i="18"/>
  <c r="AA44" i="18"/>
  <c r="AI46" i="18"/>
  <c r="AI50" i="18"/>
  <c r="AN21" i="18"/>
  <c r="AQ44" i="18"/>
  <c r="K22" i="17"/>
  <c r="N21" i="17"/>
  <c r="AI21" i="17"/>
  <c r="S31" i="21"/>
  <c r="T32" i="21"/>
  <c r="AZ17" i="19"/>
  <c r="N57" i="19"/>
  <c r="N24" i="19"/>
  <c r="AE35" i="19"/>
  <c r="AL55" i="19"/>
  <c r="AO21" i="19"/>
  <c r="AS21" i="19"/>
  <c r="AW21" i="19"/>
  <c r="I21" i="18"/>
  <c r="M21" i="18"/>
  <c r="N55" i="18"/>
  <c r="S55" i="18"/>
  <c r="S33" i="18"/>
  <c r="U21" i="18"/>
  <c r="AA55" i="18"/>
  <c r="AA33" i="18"/>
  <c r="AC21" i="18"/>
  <c r="AG22" i="18"/>
  <c r="AI39" i="18"/>
  <c r="AI35" i="18"/>
  <c r="AU21" i="18"/>
  <c r="AV21" i="18"/>
  <c r="J21" i="17"/>
  <c r="R21" i="17"/>
  <c r="U22" i="17"/>
  <c r="U21" i="17"/>
  <c r="V21" i="17"/>
  <c r="X21" i="17"/>
  <c r="X22" i="17"/>
  <c r="AA21" i="17"/>
  <c r="AJ21" i="17"/>
  <c r="AJ22" i="17"/>
  <c r="AP21" i="17"/>
  <c r="AS21" i="17"/>
  <c r="AY21" i="17"/>
  <c r="AP33" i="19"/>
  <c r="AP23" i="19"/>
  <c r="AT33" i="19"/>
  <c r="AT23" i="19"/>
  <c r="AX33" i="19"/>
  <c r="AX23" i="19"/>
  <c r="F33" i="18"/>
  <c r="F23" i="18"/>
  <c r="J33" i="18"/>
  <c r="J23" i="18"/>
  <c r="Q39" i="18"/>
  <c r="Y39" i="18"/>
  <c r="AB22" i="18"/>
  <c r="AG39" i="18"/>
  <c r="AM21" i="18"/>
  <c r="AR33" i="18"/>
  <c r="AR23" i="18"/>
  <c r="AR44" i="18"/>
  <c r="H22" i="17"/>
  <c r="H21" i="17"/>
  <c r="P21" i="17"/>
  <c r="AC22" i="17"/>
  <c r="AO21" i="17"/>
  <c r="AE46" i="19"/>
  <c r="E27" i="18"/>
  <c r="R21" i="18"/>
  <c r="S44" i="18"/>
  <c r="Z21" i="18"/>
  <c r="AH21" i="18"/>
  <c r="AI16" i="18"/>
  <c r="F27" i="17"/>
  <c r="E30" i="17"/>
  <c r="AB21" i="17"/>
  <c r="AB22" i="17"/>
  <c r="S7" i="21"/>
  <c r="H8" i="21"/>
  <c r="H9" i="21"/>
  <c r="D125" i="10"/>
  <c r="D127" i="10"/>
  <c r="S10" i="21"/>
  <c r="D34" i="19"/>
  <c r="D40" i="19"/>
  <c r="D21" i="19"/>
  <c r="AL44" i="19"/>
  <c r="AP44" i="19"/>
  <c r="AT44" i="19"/>
  <c r="AX44" i="19"/>
  <c r="F44" i="18"/>
  <c r="J44" i="18"/>
  <c r="N44" i="18"/>
  <c r="Q44" i="18"/>
  <c r="W21" i="18"/>
  <c r="Y44" i="18"/>
  <c r="AE21" i="18"/>
  <c r="AG44" i="18"/>
  <c r="AI57" i="18"/>
  <c r="E17" i="17"/>
  <c r="D10" i="17"/>
  <c r="I21" i="17"/>
  <c r="K21" i="17"/>
  <c r="L21" i="17"/>
  <c r="Q21" i="17"/>
  <c r="T21" i="17"/>
  <c r="AH21" i="17"/>
  <c r="AK21" i="17"/>
  <c r="AQ21" i="17"/>
  <c r="E33" i="17"/>
  <c r="E23" i="17"/>
  <c r="E44" i="17"/>
  <c r="E55" i="17"/>
  <c r="AV21" i="17"/>
  <c r="AZ17" i="18"/>
  <c r="AO21" i="18"/>
  <c r="AO10" i="18"/>
  <c r="AO13" i="18"/>
  <c r="AS21" i="18"/>
  <c r="AS10" i="18"/>
  <c r="AS13" i="18"/>
  <c r="AW21" i="18"/>
  <c r="AW10" i="18"/>
  <c r="AW13" i="18"/>
  <c r="V22" i="17"/>
  <c r="AD21" i="17"/>
  <c r="AE21" i="17"/>
  <c r="AF21" i="17"/>
  <c r="AL17" i="17"/>
  <c r="AK10" i="17"/>
  <c r="AK13" i="17"/>
  <c r="AL14" i="17"/>
  <c r="AL10" i="17"/>
  <c r="AL13" i="17"/>
  <c r="AL33" i="17"/>
  <c r="AL23" i="17"/>
  <c r="AL44" i="17"/>
  <c r="AL55" i="17"/>
  <c r="AX21" i="17"/>
  <c r="AU21" i="17"/>
  <c r="AU22" i="17"/>
  <c r="AN21" i="17"/>
  <c r="AR22" i="17"/>
  <c r="AR21" i="17"/>
  <c r="AT21" i="17"/>
  <c r="AV10" i="17"/>
  <c r="AV13" i="17"/>
  <c r="BA14" i="15"/>
  <c r="E260" i="16"/>
  <c r="T260" i="16"/>
  <c r="V260" i="16"/>
  <c r="D260" i="15"/>
  <c r="F260" i="15"/>
  <c r="AJ260" i="15"/>
  <c r="AL260" i="15"/>
  <c r="BA14" i="14"/>
  <c r="T260" i="14"/>
  <c r="V260" i="14"/>
  <c r="AZ17" i="17"/>
  <c r="AL56" i="17"/>
  <c r="AL62" i="17"/>
  <c r="AL45" i="17"/>
  <c r="AL51" i="17"/>
  <c r="AL34" i="17"/>
  <c r="AL40" i="17"/>
  <c r="D260" i="16"/>
  <c r="BA14" i="16"/>
  <c r="D259" i="16"/>
  <c r="AZ259" i="16"/>
  <c r="AF260" i="16"/>
  <c r="AH260" i="16"/>
  <c r="P260" i="15"/>
  <c r="R260" i="15"/>
  <c r="AV260" i="15"/>
  <c r="AX260" i="15"/>
  <c r="AF260" i="14"/>
  <c r="AH260" i="14"/>
  <c r="T43" i="21"/>
  <c r="X260" i="16"/>
  <c r="Z260" i="16"/>
  <c r="AN260" i="16"/>
  <c r="AP260" i="16"/>
  <c r="H260" i="15"/>
  <c r="J260" i="15"/>
  <c r="X260" i="15"/>
  <c r="Z260" i="15"/>
  <c r="AN260" i="15"/>
  <c r="AP260" i="15"/>
  <c r="H260" i="14"/>
  <c r="AZ260" i="14"/>
  <c r="J260" i="14"/>
  <c r="X260" i="14"/>
  <c r="Z260" i="14"/>
  <c r="AN260" i="14"/>
  <c r="AP260" i="14"/>
  <c r="D259" i="15"/>
  <c r="AZ259" i="15"/>
  <c r="D259" i="14"/>
  <c r="AZ259" i="14"/>
  <c r="B22" i="17"/>
  <c r="AG22" i="17"/>
  <c r="B22" i="18"/>
  <c r="P22" i="18"/>
  <c r="P56" i="18"/>
  <c r="P62" i="18"/>
  <c r="P24" i="18"/>
  <c r="P34" i="18"/>
  <c r="P40" i="18"/>
  <c r="P45" i="18"/>
  <c r="P51" i="18"/>
  <c r="AG24" i="17"/>
  <c r="AG34" i="17"/>
  <c r="AG40" i="17"/>
  <c r="AG45" i="17"/>
  <c r="AG51" i="17"/>
  <c r="AG56" i="17"/>
  <c r="AG62" i="17"/>
  <c r="AZ260" i="15"/>
  <c r="AR33" i="17"/>
  <c r="AR23" i="17"/>
  <c r="AR44" i="17"/>
  <c r="AR55" i="17"/>
  <c r="AX44" i="17"/>
  <c r="AX55" i="17"/>
  <c r="AX23" i="17"/>
  <c r="AX33" i="17"/>
  <c r="AL39" i="17"/>
  <c r="AL35" i="17"/>
  <c r="AF33" i="17"/>
  <c r="AF55" i="17"/>
  <c r="AF23" i="17"/>
  <c r="AF44" i="17"/>
  <c r="AD22" i="17"/>
  <c r="AW22" i="18"/>
  <c r="AP22" i="18"/>
  <c r="AP21" i="18"/>
  <c r="AV22" i="17"/>
  <c r="AK22" i="17"/>
  <c r="Q33" i="17"/>
  <c r="Q23" i="17"/>
  <c r="Q44" i="17"/>
  <c r="Q55" i="17"/>
  <c r="I33" i="17"/>
  <c r="I23" i="17"/>
  <c r="I44" i="17"/>
  <c r="I55" i="17"/>
  <c r="Y50" i="18"/>
  <c r="N50" i="18"/>
  <c r="N46" i="18"/>
  <c r="AT50" i="19"/>
  <c r="AT46" i="19"/>
  <c r="T11" i="21"/>
  <c r="T45" i="21"/>
  <c r="AH23" i="18"/>
  <c r="AH33" i="18"/>
  <c r="AH44" i="18"/>
  <c r="AH55" i="18"/>
  <c r="E30" i="18"/>
  <c r="F27" i="18"/>
  <c r="AO22" i="17"/>
  <c r="H33" i="17"/>
  <c r="H44" i="17"/>
  <c r="H55" i="17"/>
  <c r="H23" i="17"/>
  <c r="AR39" i="18"/>
  <c r="T22" i="18"/>
  <c r="J39" i="18"/>
  <c r="AS22" i="17"/>
  <c r="AP33" i="17"/>
  <c r="AP55" i="17"/>
  <c r="AP44" i="17"/>
  <c r="AP23" i="17"/>
  <c r="AA22" i="17"/>
  <c r="U33" i="17"/>
  <c r="U23" i="17"/>
  <c r="U55" i="17"/>
  <c r="U44" i="17"/>
  <c r="O22" i="17"/>
  <c r="AV33" i="18"/>
  <c r="AV23" i="18"/>
  <c r="AV44" i="18"/>
  <c r="AV55" i="18"/>
  <c r="AA39" i="18"/>
  <c r="U23" i="18"/>
  <c r="U33" i="18"/>
  <c r="U55" i="18"/>
  <c r="U44" i="18"/>
  <c r="AW33" i="19"/>
  <c r="AW23" i="19"/>
  <c r="AW55" i="19"/>
  <c r="AW44" i="19"/>
  <c r="N22" i="17"/>
  <c r="Z22" i="18"/>
  <c r="M33" i="17"/>
  <c r="M23" i="17"/>
  <c r="M44" i="17"/>
  <c r="M55" i="17"/>
  <c r="AQ39" i="18"/>
  <c r="AD23" i="18"/>
  <c r="AD33" i="18"/>
  <c r="AD44" i="18"/>
  <c r="AD55" i="18"/>
  <c r="M22" i="18"/>
  <c r="H33" i="18"/>
  <c r="H23" i="18"/>
  <c r="H55" i="18"/>
  <c r="H44" i="18"/>
  <c r="AI57" i="19"/>
  <c r="X39" i="19"/>
  <c r="X35" i="19"/>
  <c r="Y33" i="17"/>
  <c r="Y23" i="17"/>
  <c r="Y55" i="17"/>
  <c r="Y44" i="17"/>
  <c r="G22" i="18"/>
  <c r="AB23" i="19"/>
  <c r="AB33" i="19"/>
  <c r="AB44" i="19"/>
  <c r="AB55" i="19"/>
  <c r="D33" i="17"/>
  <c r="D23" i="17"/>
  <c r="D44" i="17"/>
  <c r="D55" i="17"/>
  <c r="AY33" i="18"/>
  <c r="AY55" i="18"/>
  <c r="AY23" i="18"/>
  <c r="AY44" i="18"/>
  <c r="X22" i="18"/>
  <c r="AM24" i="19"/>
  <c r="AM56" i="19"/>
  <c r="AM62" i="19"/>
  <c r="AM45" i="19"/>
  <c r="AM51" i="19"/>
  <c r="AM34" i="19"/>
  <c r="AM40" i="19"/>
  <c r="AD23" i="19"/>
  <c r="AD33" i="19"/>
  <c r="AD44" i="19"/>
  <c r="AD55" i="19"/>
  <c r="W56" i="19"/>
  <c r="W62" i="19"/>
  <c r="W45" i="19"/>
  <c r="W51" i="19"/>
  <c r="W24" i="19"/>
  <c r="W34" i="19"/>
  <c r="W40" i="19"/>
  <c r="E34" i="19"/>
  <c r="E40" i="19"/>
  <c r="E24" i="19"/>
  <c r="E45" i="19"/>
  <c r="E51" i="19"/>
  <c r="E56" i="19"/>
  <c r="E62" i="19"/>
  <c r="AC33" i="17"/>
  <c r="AC23" i="17"/>
  <c r="AC55" i="17"/>
  <c r="AC44" i="17"/>
  <c r="AB39" i="18"/>
  <c r="AB35" i="18"/>
  <c r="T39" i="18"/>
  <c r="I22" i="18"/>
  <c r="AX57" i="19"/>
  <c r="AQ33" i="19"/>
  <c r="AQ23" i="19"/>
  <c r="AQ55" i="19"/>
  <c r="AQ44" i="19"/>
  <c r="AI46" i="19"/>
  <c r="Y56" i="19"/>
  <c r="Y62" i="19"/>
  <c r="Y24" i="19"/>
  <c r="Y34" i="19"/>
  <c r="Y40" i="19"/>
  <c r="Y45" i="19"/>
  <c r="Y51" i="19"/>
  <c r="J44" i="19"/>
  <c r="J55" i="19"/>
  <c r="J33" i="19"/>
  <c r="J23" i="19"/>
  <c r="Z35" i="19"/>
  <c r="AC23" i="19"/>
  <c r="AC33" i="19"/>
  <c r="AC55" i="19"/>
  <c r="AC44" i="19"/>
  <c r="V50" i="19"/>
  <c r="D39" i="18"/>
  <c r="L34" i="19"/>
  <c r="L40" i="19"/>
  <c r="L45" i="19"/>
  <c r="L51" i="19"/>
  <c r="L24" i="19"/>
  <c r="L56" i="19"/>
  <c r="L62" i="19"/>
  <c r="T34" i="19"/>
  <c r="T40" i="19"/>
  <c r="T45" i="19"/>
  <c r="T51" i="19"/>
  <c r="T24" i="19"/>
  <c r="T56" i="19"/>
  <c r="T62" i="19"/>
  <c r="Q34" i="19"/>
  <c r="Q40" i="19"/>
  <c r="Q45" i="19"/>
  <c r="Q51" i="19"/>
  <c r="Q24" i="19"/>
  <c r="Q56" i="19"/>
  <c r="Q62" i="19"/>
  <c r="G34" i="19"/>
  <c r="G40" i="19"/>
  <c r="G24" i="19"/>
  <c r="G45" i="19"/>
  <c r="G51" i="19"/>
  <c r="G56" i="19"/>
  <c r="G62" i="19"/>
  <c r="AW21" i="17"/>
  <c r="AW22" i="17"/>
  <c r="AR24" i="17"/>
  <c r="AR34" i="17"/>
  <c r="AR40" i="17"/>
  <c r="AR45" i="17"/>
  <c r="AR51" i="17"/>
  <c r="AR56" i="17"/>
  <c r="AR62" i="17"/>
  <c r="AU34" i="17"/>
  <c r="AU40" i="17"/>
  <c r="AU24" i="17"/>
  <c r="AU45" i="17"/>
  <c r="AU51" i="17"/>
  <c r="AU56" i="17"/>
  <c r="AU62" i="17"/>
  <c r="AL57" i="17"/>
  <c r="AL61" i="17"/>
  <c r="AE33" i="17"/>
  <c r="AE44" i="17"/>
  <c r="AE55" i="17"/>
  <c r="AE23" i="17"/>
  <c r="AT22" i="18"/>
  <c r="AT21" i="18"/>
  <c r="AV44" i="17"/>
  <c r="AV55" i="17"/>
  <c r="AV23" i="17"/>
  <c r="AV33" i="17"/>
  <c r="AH33" i="17"/>
  <c r="AH23" i="17"/>
  <c r="AH44" i="17"/>
  <c r="AH55" i="17"/>
  <c r="L33" i="17"/>
  <c r="L44" i="17"/>
  <c r="L55" i="17"/>
  <c r="L23" i="17"/>
  <c r="D13" i="17"/>
  <c r="E14" i="17"/>
  <c r="E10" i="17"/>
  <c r="E13" i="17"/>
  <c r="AG46" i="18"/>
  <c r="AG50" i="18"/>
  <c r="W23" i="18"/>
  <c r="W33" i="18"/>
  <c r="W44" i="18"/>
  <c r="W55" i="18"/>
  <c r="J50" i="18"/>
  <c r="AP50" i="19"/>
  <c r="AP46" i="19"/>
  <c r="AB24" i="17"/>
  <c r="AB34" i="17"/>
  <c r="AB40" i="17"/>
  <c r="AB56" i="17"/>
  <c r="AB62" i="17"/>
  <c r="AB45" i="17"/>
  <c r="AB51" i="17"/>
  <c r="Z23" i="18"/>
  <c r="Z33" i="18"/>
  <c r="Z44" i="18"/>
  <c r="Z55" i="18"/>
  <c r="H24" i="17"/>
  <c r="H34" i="17"/>
  <c r="H40" i="17"/>
  <c r="H56" i="17"/>
  <c r="H62" i="17"/>
  <c r="H45" i="17"/>
  <c r="H51" i="17"/>
  <c r="AB56" i="18"/>
  <c r="AB62" i="18"/>
  <c r="AB24" i="18"/>
  <c r="AB34" i="18"/>
  <c r="AB40" i="18"/>
  <c r="AB45" i="18"/>
  <c r="AB51" i="18"/>
  <c r="AX39" i="19"/>
  <c r="AX35" i="19"/>
  <c r="AS44" i="17"/>
  <c r="AS23" i="17"/>
  <c r="AS55" i="17"/>
  <c r="AS33" i="17"/>
  <c r="X24" i="17"/>
  <c r="X56" i="17"/>
  <c r="X62" i="17"/>
  <c r="X34" i="17"/>
  <c r="X40" i="17"/>
  <c r="X45" i="17"/>
  <c r="X51" i="17"/>
  <c r="J33" i="17"/>
  <c r="J23" i="17"/>
  <c r="J44" i="17"/>
  <c r="J55" i="17"/>
  <c r="AG56" i="18"/>
  <c r="AG24" i="18"/>
  <c r="AG45" i="18"/>
  <c r="AG51" i="18"/>
  <c r="AG34" i="18"/>
  <c r="S39" i="18"/>
  <c r="AS33" i="19"/>
  <c r="AS23" i="19"/>
  <c r="AS55" i="19"/>
  <c r="AS44" i="19"/>
  <c r="K24" i="17"/>
  <c r="K34" i="17"/>
  <c r="K40" i="17"/>
  <c r="K45" i="17"/>
  <c r="K51" i="17"/>
  <c r="K56" i="17"/>
  <c r="K62" i="17"/>
  <c r="R56" i="18"/>
  <c r="R62" i="18"/>
  <c r="R24" i="18"/>
  <c r="R34" i="18"/>
  <c r="R40" i="18"/>
  <c r="R45" i="18"/>
  <c r="R51" i="18"/>
  <c r="AN24" i="18"/>
  <c r="AN34" i="18"/>
  <c r="AN40" i="18"/>
  <c r="AN45" i="18"/>
  <c r="AN51" i="18"/>
  <c r="AN56" i="18"/>
  <c r="AN62" i="18"/>
  <c r="AL39" i="19"/>
  <c r="AL35" i="19"/>
  <c r="F24" i="18"/>
  <c r="F56" i="18"/>
  <c r="F45" i="18"/>
  <c r="F51" i="18"/>
  <c r="F34" i="18"/>
  <c r="F40" i="18"/>
  <c r="L24" i="18"/>
  <c r="L56" i="18"/>
  <c r="L62" i="18"/>
  <c r="L34" i="18"/>
  <c r="L40" i="18"/>
  <c r="L45" i="18"/>
  <c r="L51" i="18"/>
  <c r="X46" i="19"/>
  <c r="X50" i="19"/>
  <c r="AF23" i="18"/>
  <c r="AF33" i="18"/>
  <c r="AF44" i="18"/>
  <c r="AF55" i="18"/>
  <c r="AJ22" i="18"/>
  <c r="AJ21" i="18"/>
  <c r="AV24" i="19"/>
  <c r="AV56" i="19"/>
  <c r="AV62" i="19"/>
  <c r="AV34" i="19"/>
  <c r="AV40" i="19"/>
  <c r="AV45" i="19"/>
  <c r="AV51" i="19"/>
  <c r="AK33" i="19"/>
  <c r="AK23" i="19"/>
  <c r="AK55" i="19"/>
  <c r="AK44" i="19"/>
  <c r="AG61" i="19"/>
  <c r="AG57" i="19"/>
  <c r="X61" i="19"/>
  <c r="X57" i="19"/>
  <c r="D50" i="18"/>
  <c r="L44" i="19"/>
  <c r="L33" i="19"/>
  <c r="L55" i="19"/>
  <c r="L23" i="19"/>
  <c r="T44" i="19"/>
  <c r="T33" i="19"/>
  <c r="T55" i="19"/>
  <c r="T23" i="19"/>
  <c r="G44" i="19"/>
  <c r="G55" i="19"/>
  <c r="G33" i="19"/>
  <c r="G23" i="19"/>
  <c r="AC22" i="18"/>
  <c r="U22" i="18"/>
  <c r="D22" i="18"/>
  <c r="AU22" i="18"/>
  <c r="AK22" i="18"/>
  <c r="AE22" i="18"/>
  <c r="W22" i="18"/>
  <c r="AT22" i="17"/>
  <c r="AN33" i="17"/>
  <c r="AN23" i="17"/>
  <c r="AN44" i="17"/>
  <c r="AN55" i="17"/>
  <c r="AU44" i="17"/>
  <c r="AU33" i="17"/>
  <c r="AU23" i="17"/>
  <c r="AU55" i="17"/>
  <c r="AL50" i="17"/>
  <c r="AL46" i="17"/>
  <c r="AE22" i="17"/>
  <c r="AX22" i="18"/>
  <c r="AX21" i="18"/>
  <c r="AS33" i="18"/>
  <c r="AS23" i="18"/>
  <c r="AS44" i="18"/>
  <c r="AS55" i="18"/>
  <c r="AO22" i="18"/>
  <c r="E57" i="17"/>
  <c r="E61" i="17"/>
  <c r="AQ33" i="17"/>
  <c r="AQ23" i="17"/>
  <c r="AQ44" i="17"/>
  <c r="AQ55" i="17"/>
  <c r="AH22" i="17"/>
  <c r="L22" i="17"/>
  <c r="AE23" i="18"/>
  <c r="AE33" i="18"/>
  <c r="AE44" i="18"/>
  <c r="AE55" i="18"/>
  <c r="S22" i="18"/>
  <c r="F50" i="18"/>
  <c r="F46" i="18"/>
  <c r="AL50" i="19"/>
  <c r="AL46" i="19"/>
  <c r="AB33" i="17"/>
  <c r="AB55" i="17"/>
  <c r="AB44" i="17"/>
  <c r="AB23" i="17"/>
  <c r="AQ22" i="18"/>
  <c r="S50" i="18"/>
  <c r="P33" i="17"/>
  <c r="P44" i="17"/>
  <c r="P55" i="17"/>
  <c r="P23" i="17"/>
  <c r="AR50" i="18"/>
  <c r="AM22" i="18"/>
  <c r="F39" i="18"/>
  <c r="F35" i="18"/>
  <c r="AY22" i="17"/>
  <c r="AQ22" i="17"/>
  <c r="AJ33" i="17"/>
  <c r="AJ55" i="17"/>
  <c r="AJ44" i="17"/>
  <c r="AJ23" i="17"/>
  <c r="X33" i="17"/>
  <c r="X23" i="17"/>
  <c r="X44" i="17"/>
  <c r="X55" i="17"/>
  <c r="R33" i="17"/>
  <c r="R23" i="17"/>
  <c r="R44" i="17"/>
  <c r="R55" i="17"/>
  <c r="J22" i="17"/>
  <c r="AR22" i="18"/>
  <c r="Y22" i="18"/>
  <c r="S61" i="18"/>
  <c r="M33" i="18"/>
  <c r="M23" i="18"/>
  <c r="M55" i="18"/>
  <c r="M44" i="18"/>
  <c r="AO33" i="19"/>
  <c r="AO23" i="19"/>
  <c r="AO55" i="19"/>
  <c r="AO44" i="19"/>
  <c r="AI22" i="17"/>
  <c r="AQ50" i="18"/>
  <c r="AH22" i="18"/>
  <c r="Z33" i="17"/>
  <c r="Z23" i="17"/>
  <c r="Z44" i="17"/>
  <c r="Z55" i="17"/>
  <c r="AL23" i="18"/>
  <c r="AL33" i="18"/>
  <c r="AL44" i="18"/>
  <c r="AL55" i="18"/>
  <c r="E22" i="18"/>
  <c r="E21" i="18"/>
  <c r="V23" i="18"/>
  <c r="V33" i="18"/>
  <c r="V44" i="18"/>
  <c r="V55" i="18"/>
  <c r="AU24" i="19"/>
  <c r="AU56" i="19"/>
  <c r="AU62" i="19"/>
  <c r="AU45" i="19"/>
  <c r="AU51" i="19"/>
  <c r="AU34" i="19"/>
  <c r="AU40" i="19"/>
  <c r="AJ21" i="19"/>
  <c r="AJ22" i="19"/>
  <c r="N10" i="19"/>
  <c r="AK61" i="18"/>
  <c r="L33" i="18"/>
  <c r="L23" i="18"/>
  <c r="L55" i="18"/>
  <c r="L44" i="18"/>
  <c r="AY24" i="19"/>
  <c r="AY56" i="19"/>
  <c r="AY62" i="19"/>
  <c r="AY45" i="19"/>
  <c r="AY51" i="19"/>
  <c r="AY34" i="19"/>
  <c r="AY40" i="19"/>
  <c r="AN24" i="19"/>
  <c r="AN56" i="19"/>
  <c r="AN62" i="19"/>
  <c r="AN34" i="19"/>
  <c r="AN40" i="19"/>
  <c r="AN45" i="19"/>
  <c r="AN51" i="19"/>
  <c r="V34" i="19"/>
  <c r="V40" i="19"/>
  <c r="V24" i="19"/>
  <c r="V45" i="19"/>
  <c r="V51" i="19"/>
  <c r="V56" i="19"/>
  <c r="V62" i="19"/>
  <c r="G33" i="17"/>
  <c r="G23" i="17"/>
  <c r="G44" i="17"/>
  <c r="G55" i="17"/>
  <c r="S33" i="17"/>
  <c r="S23" i="17"/>
  <c r="S44" i="17"/>
  <c r="S55" i="17"/>
  <c r="AF22" i="18"/>
  <c r="K22" i="18"/>
  <c r="AR24" i="19"/>
  <c r="AR56" i="19"/>
  <c r="AR62" i="19"/>
  <c r="AR34" i="19"/>
  <c r="AR40" i="19"/>
  <c r="AR45" i="19"/>
  <c r="AR51" i="19"/>
  <c r="R34" i="19"/>
  <c r="R40" i="19"/>
  <c r="R24" i="19"/>
  <c r="R45" i="19"/>
  <c r="R51" i="19"/>
  <c r="R56" i="19"/>
  <c r="R62" i="19"/>
  <c r="I34" i="19"/>
  <c r="I40" i="19"/>
  <c r="I24" i="19"/>
  <c r="I45" i="19"/>
  <c r="I51" i="19"/>
  <c r="I56" i="19"/>
  <c r="I62" i="19"/>
  <c r="AB57" i="18"/>
  <c r="AB61" i="18"/>
  <c r="T61" i="18"/>
  <c r="O22" i="18"/>
  <c r="AV33" i="19"/>
  <c r="AV23" i="19"/>
  <c r="AV55" i="19"/>
  <c r="AV44" i="19"/>
  <c r="AK24" i="19"/>
  <c r="AK56" i="19"/>
  <c r="AK62" i="19"/>
  <c r="AK45" i="19"/>
  <c r="AK51" i="19"/>
  <c r="AK34" i="19"/>
  <c r="AK40" i="19"/>
  <c r="AA21" i="19"/>
  <c r="AA22" i="19"/>
  <c r="S34" i="19"/>
  <c r="S40" i="19"/>
  <c r="S45" i="19"/>
  <c r="S51" i="19"/>
  <c r="S24" i="19"/>
  <c r="S56" i="19"/>
  <c r="S62" i="19"/>
  <c r="F34" i="19"/>
  <c r="F40" i="19"/>
  <c r="F45" i="19"/>
  <c r="F51" i="19"/>
  <c r="F24" i="19"/>
  <c r="F56" i="19"/>
  <c r="F62" i="19"/>
  <c r="AG35" i="19"/>
  <c r="V35" i="19"/>
  <c r="V39" i="19"/>
  <c r="M34" i="19"/>
  <c r="M40" i="19"/>
  <c r="M24" i="19"/>
  <c r="M45" i="19"/>
  <c r="M51" i="19"/>
  <c r="M56" i="19"/>
  <c r="M62" i="19"/>
  <c r="D61" i="18"/>
  <c r="U34" i="19"/>
  <c r="U40" i="19"/>
  <c r="U24" i="19"/>
  <c r="U45" i="19"/>
  <c r="U51" i="19"/>
  <c r="U56" i="19"/>
  <c r="U62" i="19"/>
  <c r="X30" i="19"/>
  <c r="Y27" i="19"/>
  <c r="K34" i="19"/>
  <c r="K40" i="19"/>
  <c r="K24" i="19"/>
  <c r="K45" i="19"/>
  <c r="K51" i="19"/>
  <c r="K56" i="19"/>
  <c r="K62" i="19"/>
  <c r="P34" i="19"/>
  <c r="P40" i="19"/>
  <c r="P24" i="19"/>
  <c r="P45" i="19"/>
  <c r="P51" i="19"/>
  <c r="P56" i="19"/>
  <c r="P62" i="19"/>
  <c r="H34" i="19"/>
  <c r="H40" i="19"/>
  <c r="H45" i="19"/>
  <c r="H51" i="19"/>
  <c r="H24" i="19"/>
  <c r="H56" i="19"/>
  <c r="H62" i="19"/>
  <c r="AZ260" i="16"/>
  <c r="AM22" i="17"/>
  <c r="AM21" i="17"/>
  <c r="V24" i="17"/>
  <c r="V56" i="17"/>
  <c r="V62" i="17"/>
  <c r="V34" i="17"/>
  <c r="V40" i="17"/>
  <c r="V45" i="17"/>
  <c r="V51" i="17"/>
  <c r="AO33" i="18"/>
  <c r="AO23" i="18"/>
  <c r="AO44" i="18"/>
  <c r="AO55" i="18"/>
  <c r="E35" i="17"/>
  <c r="E39" i="17"/>
  <c r="G27" i="17"/>
  <c r="F30" i="17"/>
  <c r="AC24" i="17"/>
  <c r="AC34" i="17"/>
  <c r="AC40" i="17"/>
  <c r="AC45" i="17"/>
  <c r="AC51" i="17"/>
  <c r="AC56" i="17"/>
  <c r="AC62" i="17"/>
  <c r="AM33" i="18"/>
  <c r="AM23" i="18"/>
  <c r="AM55" i="18"/>
  <c r="AM44" i="18"/>
  <c r="AP39" i="19"/>
  <c r="AP35" i="19"/>
  <c r="AJ24" i="17"/>
  <c r="AJ34" i="17"/>
  <c r="AJ40" i="17"/>
  <c r="AJ56" i="17"/>
  <c r="AJ62" i="17"/>
  <c r="AJ45" i="17"/>
  <c r="AJ51" i="17"/>
  <c r="U24" i="17"/>
  <c r="U56" i="17"/>
  <c r="U62" i="17"/>
  <c r="U34" i="17"/>
  <c r="U40" i="17"/>
  <c r="U45" i="17"/>
  <c r="U51" i="17"/>
  <c r="AU33" i="18"/>
  <c r="AU55" i="18"/>
  <c r="AU23" i="18"/>
  <c r="AU44" i="18"/>
  <c r="AA61" i="18"/>
  <c r="N61" i="18"/>
  <c r="AI33" i="17"/>
  <c r="AI44" i="17"/>
  <c r="AI55" i="17"/>
  <c r="AI23" i="17"/>
  <c r="N39" i="18"/>
  <c r="N35" i="18"/>
  <c r="AD56" i="18"/>
  <c r="AD62" i="18"/>
  <c r="AD24" i="18"/>
  <c r="AD34" i="18"/>
  <c r="AD40" i="18"/>
  <c r="AD45" i="18"/>
  <c r="AD51" i="18"/>
  <c r="AK50" i="18"/>
  <c r="G33" i="18"/>
  <c r="G23" i="18"/>
  <c r="G55" i="18"/>
  <c r="G44" i="18"/>
  <c r="W33" i="17"/>
  <c r="W23" i="17"/>
  <c r="W44" i="17"/>
  <c r="W55" i="17"/>
  <c r="N24" i="18"/>
  <c r="N56" i="18"/>
  <c r="N62" i="18"/>
  <c r="N34" i="18"/>
  <c r="N40" i="18"/>
  <c r="N45" i="18"/>
  <c r="N51" i="18"/>
  <c r="AM33" i="19"/>
  <c r="AM23" i="19"/>
  <c r="AM55" i="19"/>
  <c r="AM44" i="19"/>
  <c r="E44" i="19"/>
  <c r="E55" i="19"/>
  <c r="E33" i="19"/>
  <c r="E23" i="19"/>
  <c r="AI35" i="19"/>
  <c r="Q44" i="19"/>
  <c r="Q55" i="19"/>
  <c r="Q33" i="19"/>
  <c r="Q23" i="19"/>
  <c r="W22" i="17"/>
  <c r="S22" i="17"/>
  <c r="Q22" i="17"/>
  <c r="I22" i="17"/>
  <c r="D22" i="17"/>
  <c r="T22" i="17"/>
  <c r="AT44" i="17"/>
  <c r="AT55" i="17"/>
  <c r="AT33" i="17"/>
  <c r="AT23" i="17"/>
  <c r="AN22" i="17"/>
  <c r="AX22" i="17"/>
  <c r="AF22" i="17"/>
  <c r="AD33" i="17"/>
  <c r="AD23" i="17"/>
  <c r="AD44" i="17"/>
  <c r="AD55" i="17"/>
  <c r="AW33" i="18"/>
  <c r="AW23" i="18"/>
  <c r="AW44" i="18"/>
  <c r="AW55" i="18"/>
  <c r="AS22" i="18"/>
  <c r="E50" i="17"/>
  <c r="E46" i="17"/>
  <c r="AK33" i="17"/>
  <c r="AK23" i="17"/>
  <c r="AK55" i="17"/>
  <c r="AK44" i="17"/>
  <c r="T33" i="17"/>
  <c r="T23" i="17"/>
  <c r="T44" i="17"/>
  <c r="T55" i="17"/>
  <c r="K33" i="17"/>
  <c r="K23" i="17"/>
  <c r="K44" i="17"/>
  <c r="K55" i="17"/>
  <c r="AV22" i="18"/>
  <c r="AA22" i="18"/>
  <c r="Q50" i="18"/>
  <c r="AX50" i="19"/>
  <c r="AX46" i="19"/>
  <c r="D44" i="19"/>
  <c r="D33" i="19"/>
  <c r="D55" i="19"/>
  <c r="D23" i="19"/>
  <c r="M22" i="17"/>
  <c r="R23" i="18"/>
  <c r="R33" i="18"/>
  <c r="R44" i="18"/>
  <c r="R55" i="18"/>
  <c r="AO33" i="17"/>
  <c r="AO44" i="17"/>
  <c r="AO55" i="17"/>
  <c r="AO23" i="17"/>
  <c r="P22" i="17"/>
  <c r="AT39" i="19"/>
  <c r="AT35" i="19"/>
  <c r="AY44" i="17"/>
  <c r="AY23" i="17"/>
  <c r="AY55" i="17"/>
  <c r="AY33" i="17"/>
  <c r="AP22" i="17"/>
  <c r="AA33" i="17"/>
  <c r="AA44" i="17"/>
  <c r="AA55" i="17"/>
  <c r="AA23" i="17"/>
  <c r="V33" i="17"/>
  <c r="V23" i="17"/>
  <c r="V44" i="17"/>
  <c r="V55" i="17"/>
  <c r="R22" i="17"/>
  <c r="G22" i="17"/>
  <c r="AC23" i="18"/>
  <c r="AC33" i="18"/>
  <c r="AC55" i="18"/>
  <c r="AC44" i="18"/>
  <c r="Q22" i="18"/>
  <c r="I33" i="18"/>
  <c r="I23" i="18"/>
  <c r="I55" i="18"/>
  <c r="I44" i="18"/>
  <c r="AL57" i="19"/>
  <c r="AL61" i="19"/>
  <c r="N33" i="17"/>
  <c r="N23" i="17"/>
  <c r="N44" i="17"/>
  <c r="N55" i="17"/>
  <c r="AN33" i="18"/>
  <c r="AN23" i="18"/>
  <c r="AN44" i="18"/>
  <c r="AN55" i="18"/>
  <c r="AA50" i="18"/>
  <c r="Z22" i="17"/>
  <c r="AQ61" i="18"/>
  <c r="AL22" i="18"/>
  <c r="AZ10" i="18"/>
  <c r="V22" i="18"/>
  <c r="H22" i="18"/>
  <c r="AU33" i="19"/>
  <c r="AU23" i="19"/>
  <c r="AU44" i="19"/>
  <c r="AU55" i="19"/>
  <c r="AH22" i="19"/>
  <c r="AH21" i="19"/>
  <c r="Y22" i="17"/>
  <c r="AK39" i="18"/>
  <c r="J22" i="18"/>
  <c r="AY33" i="19"/>
  <c r="AY23" i="19"/>
  <c r="AY55" i="19"/>
  <c r="AY44" i="19"/>
  <c r="AN33" i="19"/>
  <c r="AN23" i="19"/>
  <c r="AN55" i="19"/>
  <c r="AN44" i="19"/>
  <c r="O33" i="17"/>
  <c r="O23" i="17"/>
  <c r="O44" i="17"/>
  <c r="O55" i="17"/>
  <c r="AY22" i="18"/>
  <c r="X23" i="18"/>
  <c r="X33" i="18"/>
  <c r="X44" i="18"/>
  <c r="X55" i="18"/>
  <c r="K33" i="18"/>
  <c r="K23" i="18"/>
  <c r="K44" i="18"/>
  <c r="K55" i="18"/>
  <c r="AR33" i="19"/>
  <c r="AR23" i="19"/>
  <c r="AR55" i="19"/>
  <c r="AR44" i="19"/>
  <c r="AG46" i="19"/>
  <c r="W23" i="19"/>
  <c r="W33" i="19"/>
  <c r="W44" i="19"/>
  <c r="W55" i="19"/>
  <c r="R44" i="19"/>
  <c r="R55" i="19"/>
  <c r="R33" i="19"/>
  <c r="R23" i="19"/>
  <c r="I44" i="19"/>
  <c r="I55" i="19"/>
  <c r="I33" i="19"/>
  <c r="I23" i="19"/>
  <c r="AG33" i="17"/>
  <c r="AG23" i="17"/>
  <c r="AG55" i="17"/>
  <c r="AG44" i="17"/>
  <c r="AB50" i="18"/>
  <c r="T50" i="18"/>
  <c r="O23" i="18"/>
  <c r="O55" i="18"/>
  <c r="O44" i="18"/>
  <c r="O33" i="18"/>
  <c r="AQ24" i="19"/>
  <c r="AQ56" i="19"/>
  <c r="AQ62" i="19"/>
  <c r="AQ45" i="19"/>
  <c r="AQ51" i="19"/>
  <c r="AQ34" i="19"/>
  <c r="AQ40" i="19"/>
  <c r="AF22" i="19"/>
  <c r="AF21" i="19"/>
  <c r="Y23" i="19"/>
  <c r="Y33" i="19"/>
  <c r="Y44" i="19"/>
  <c r="Y55" i="19"/>
  <c r="S44" i="19"/>
  <c r="S55" i="19"/>
  <c r="S33" i="19"/>
  <c r="S23" i="19"/>
  <c r="J34" i="19"/>
  <c r="J40" i="19"/>
  <c r="J24" i="19"/>
  <c r="J45" i="19"/>
  <c r="J51" i="19"/>
  <c r="J56" i="19"/>
  <c r="J62" i="19"/>
  <c r="F44" i="19"/>
  <c r="F33" i="19"/>
  <c r="F55" i="19"/>
  <c r="F23" i="19"/>
  <c r="P23" i="18"/>
  <c r="P33" i="18"/>
  <c r="P44" i="18"/>
  <c r="P55" i="18"/>
  <c r="AC56" i="19"/>
  <c r="AC62" i="19"/>
  <c r="AC24" i="19"/>
  <c r="AC45" i="19"/>
  <c r="AC51" i="19"/>
  <c r="AC34" i="19"/>
  <c r="AC40" i="19"/>
  <c r="V61" i="19"/>
  <c r="V57" i="19"/>
  <c r="M44" i="19"/>
  <c r="M55" i="19"/>
  <c r="M33" i="19"/>
  <c r="M23" i="19"/>
  <c r="U44" i="19"/>
  <c r="U55" i="19"/>
  <c r="U33" i="19"/>
  <c r="U23" i="19"/>
  <c r="K44" i="19"/>
  <c r="K55" i="19"/>
  <c r="K33" i="19"/>
  <c r="K23" i="19"/>
  <c r="P44" i="19"/>
  <c r="P55" i="19"/>
  <c r="P33" i="19"/>
  <c r="P23" i="19"/>
  <c r="H44" i="19"/>
  <c r="H33" i="19"/>
  <c r="H55" i="19"/>
  <c r="H23" i="19"/>
  <c r="H35" i="19"/>
  <c r="H39" i="19"/>
  <c r="U61" i="19"/>
  <c r="U57" i="19"/>
  <c r="F50" i="19"/>
  <c r="F46" i="19"/>
  <c r="AG57" i="17"/>
  <c r="AG61" i="17"/>
  <c r="R35" i="19"/>
  <c r="R39" i="19"/>
  <c r="K61" i="18"/>
  <c r="X57" i="18"/>
  <c r="X61" i="18"/>
  <c r="AN39" i="19"/>
  <c r="AN35" i="19"/>
  <c r="AY39" i="19"/>
  <c r="AY35" i="19"/>
  <c r="AU50" i="19"/>
  <c r="AU46" i="19"/>
  <c r="AN57" i="18"/>
  <c r="AN61" i="18"/>
  <c r="AC61" i="18"/>
  <c r="V39" i="17"/>
  <c r="V35" i="17"/>
  <c r="AO39" i="17"/>
  <c r="D35" i="19"/>
  <c r="D39" i="19"/>
  <c r="AV24" i="18"/>
  <c r="AV34" i="18"/>
  <c r="AV40" i="18"/>
  <c r="AV45" i="18"/>
  <c r="AV51" i="18"/>
  <c r="AV56" i="18"/>
  <c r="AV62" i="18"/>
  <c r="T39" i="17"/>
  <c r="AW61" i="18"/>
  <c r="AF24" i="17"/>
  <c r="AF34" i="17"/>
  <c r="AF40" i="17"/>
  <c r="AF56" i="17"/>
  <c r="AF62" i="17"/>
  <c r="AF45" i="17"/>
  <c r="AF51" i="17"/>
  <c r="D24" i="17"/>
  <c r="D34" i="17"/>
  <c r="D40" i="17"/>
  <c r="D45" i="17"/>
  <c r="D51" i="17"/>
  <c r="D56" i="17"/>
  <c r="D62" i="17"/>
  <c r="Q50" i="19"/>
  <c r="Q46" i="19"/>
  <c r="AI50" i="17"/>
  <c r="AU61" i="18"/>
  <c r="AO57" i="18"/>
  <c r="AO61" i="18"/>
  <c r="O56" i="18"/>
  <c r="O62" i="18"/>
  <c r="O45" i="18"/>
  <c r="O51" i="18"/>
  <c r="O34" i="18"/>
  <c r="O40" i="18"/>
  <c r="O24" i="18"/>
  <c r="S50" i="17"/>
  <c r="S46" i="17"/>
  <c r="G50" i="17"/>
  <c r="L57" i="18"/>
  <c r="L61" i="18"/>
  <c r="E33" i="18"/>
  <c r="E23" i="18"/>
  <c r="E55" i="18"/>
  <c r="E44" i="18"/>
  <c r="AZ21" i="18"/>
  <c r="Y56" i="18"/>
  <c r="Y24" i="18"/>
  <c r="Y45" i="18"/>
  <c r="Y34" i="18"/>
  <c r="X50" i="17"/>
  <c r="X46" i="17"/>
  <c r="AY34" i="17"/>
  <c r="AY40" i="17"/>
  <c r="AY24" i="17"/>
  <c r="AY56" i="17"/>
  <c r="AY62" i="17"/>
  <c r="AY45" i="17"/>
  <c r="AY51" i="17"/>
  <c r="P50" i="17"/>
  <c r="P46" i="17"/>
  <c r="AB39" i="17"/>
  <c r="AB35" i="17"/>
  <c r="AQ57" i="17"/>
  <c r="AQ61" i="17"/>
  <c r="AX24" i="18"/>
  <c r="AX45" i="18"/>
  <c r="AX51" i="18"/>
  <c r="AX56" i="18"/>
  <c r="AX62" i="18"/>
  <c r="AX34" i="18"/>
  <c r="AX40" i="18"/>
  <c r="AU24" i="18"/>
  <c r="AU45" i="18"/>
  <c r="AU51" i="18"/>
  <c r="AU34" i="18"/>
  <c r="AU40" i="18"/>
  <c r="AU56" i="18"/>
  <c r="AU62" i="18"/>
  <c r="F62" i="18"/>
  <c r="F57" i="18"/>
  <c r="AS50" i="19"/>
  <c r="AS46" i="19"/>
  <c r="AV39" i="17"/>
  <c r="AV50" i="18"/>
  <c r="AV46" i="18"/>
  <c r="U50" i="17"/>
  <c r="U46" i="17"/>
  <c r="AP39" i="17"/>
  <c r="AP35" i="17"/>
  <c r="H57" i="17"/>
  <c r="H61" i="17"/>
  <c r="I39" i="17"/>
  <c r="Q39" i="17"/>
  <c r="AR39" i="17"/>
  <c r="AR35" i="17"/>
  <c r="P50" i="19"/>
  <c r="P46" i="19"/>
  <c r="U50" i="19"/>
  <c r="U46" i="19"/>
  <c r="M61" i="19"/>
  <c r="M57" i="19"/>
  <c r="P57" i="18"/>
  <c r="P61" i="18"/>
  <c r="Y57" i="19"/>
  <c r="Y61" i="19"/>
  <c r="I61" i="19"/>
  <c r="I57" i="19"/>
  <c r="R61" i="19"/>
  <c r="R57" i="19"/>
  <c r="AR57" i="19"/>
  <c r="AR61" i="19"/>
  <c r="O61" i="17"/>
  <c r="AY50" i="19"/>
  <c r="AY46" i="19"/>
  <c r="Z24" i="17"/>
  <c r="Z34" i="17"/>
  <c r="Z40" i="17"/>
  <c r="Z45" i="17"/>
  <c r="Z51" i="17"/>
  <c r="Z56" i="17"/>
  <c r="Z62" i="17"/>
  <c r="N50" i="17"/>
  <c r="AC39" i="18"/>
  <c r="AC35" i="18"/>
  <c r="AP24" i="17"/>
  <c r="AP45" i="17"/>
  <c r="AP51" i="17"/>
  <c r="AP34" i="17"/>
  <c r="AP40" i="17"/>
  <c r="AP56" i="17"/>
  <c r="AP62" i="17"/>
  <c r="R57" i="18"/>
  <c r="R61" i="18"/>
  <c r="D50" i="19"/>
  <c r="D46" i="19"/>
  <c r="K57" i="17"/>
  <c r="K61" i="17"/>
  <c r="AK50" i="17"/>
  <c r="AK46" i="17"/>
  <c r="AX34" i="17"/>
  <c r="AX40" i="17"/>
  <c r="AX24" i="17"/>
  <c r="AX56" i="17"/>
  <c r="AX62" i="17"/>
  <c r="AX45" i="17"/>
  <c r="AX51" i="17"/>
  <c r="I24" i="17"/>
  <c r="I45" i="17"/>
  <c r="I51" i="17"/>
  <c r="I56" i="17"/>
  <c r="I62" i="17"/>
  <c r="I34" i="17"/>
  <c r="I40" i="17"/>
  <c r="E50" i="19"/>
  <c r="E46" i="19"/>
  <c r="W39" i="17"/>
  <c r="AM24" i="17"/>
  <c r="AM34" i="17"/>
  <c r="AM40" i="17"/>
  <c r="AM45" i="17"/>
  <c r="AM51" i="17"/>
  <c r="AM56" i="17"/>
  <c r="AM62" i="17"/>
  <c r="K24" i="18"/>
  <c r="K56" i="18"/>
  <c r="K62" i="18"/>
  <c r="K45" i="18"/>
  <c r="K51" i="18"/>
  <c r="K34" i="18"/>
  <c r="K40" i="18"/>
  <c r="V50" i="18"/>
  <c r="AI24" i="17"/>
  <c r="AI45" i="17"/>
  <c r="AI51" i="17"/>
  <c r="AI34" i="17"/>
  <c r="AI40" i="17"/>
  <c r="AI56" i="17"/>
  <c r="AI62" i="17"/>
  <c r="M39" i="18"/>
  <c r="M35" i="18"/>
  <c r="AJ57" i="17"/>
  <c r="AJ61" i="17"/>
  <c r="AQ50" i="17"/>
  <c r="AE24" i="17"/>
  <c r="AE45" i="17"/>
  <c r="AE51" i="17"/>
  <c r="AE56" i="17"/>
  <c r="AE62" i="17"/>
  <c r="AE34" i="17"/>
  <c r="AE40" i="17"/>
  <c r="AN50" i="17"/>
  <c r="W56" i="18"/>
  <c r="W62" i="18"/>
  <c r="W45" i="18"/>
  <c r="W51" i="18"/>
  <c r="W34" i="18"/>
  <c r="W40" i="18"/>
  <c r="W24" i="18"/>
  <c r="G35" i="19"/>
  <c r="G39" i="19"/>
  <c r="AK39" i="19"/>
  <c r="AK35" i="19"/>
  <c r="AS57" i="19"/>
  <c r="AS61" i="19"/>
  <c r="AG62" i="18"/>
  <c r="AG57" i="18"/>
  <c r="AT24" i="18"/>
  <c r="AT45" i="18"/>
  <c r="AT51" i="18"/>
  <c r="AT56" i="18"/>
  <c r="AT62" i="18"/>
  <c r="AT34" i="18"/>
  <c r="AT40" i="18"/>
  <c r="AW44" i="17"/>
  <c r="AW33" i="17"/>
  <c r="AW55" i="17"/>
  <c r="AW23" i="17"/>
  <c r="J61" i="19"/>
  <c r="J57" i="19"/>
  <c r="I24" i="18"/>
  <c r="I56" i="18"/>
  <c r="I62" i="18"/>
  <c r="I45" i="18"/>
  <c r="I51" i="18"/>
  <c r="I34" i="18"/>
  <c r="I40" i="18"/>
  <c r="AB46" i="19"/>
  <c r="AB50" i="19"/>
  <c r="H57" i="18"/>
  <c r="H61" i="18"/>
  <c r="U50" i="18"/>
  <c r="U57" i="17"/>
  <c r="U61" i="17"/>
  <c r="AS34" i="17"/>
  <c r="AS40" i="17"/>
  <c r="AS24" i="17"/>
  <c r="AS56" i="17"/>
  <c r="AS62" i="17"/>
  <c r="AS45" i="17"/>
  <c r="AS51" i="17"/>
  <c r="Q57" i="17"/>
  <c r="Q61" i="17"/>
  <c r="AW24" i="18"/>
  <c r="AW34" i="18"/>
  <c r="AW40" i="18"/>
  <c r="AW45" i="18"/>
  <c r="AW51" i="18"/>
  <c r="AW56" i="18"/>
  <c r="AW62" i="18"/>
  <c r="AX35" i="17"/>
  <c r="AX39" i="17"/>
  <c r="AR57" i="17"/>
  <c r="AR61" i="17"/>
  <c r="H61" i="19"/>
  <c r="H57" i="19"/>
  <c r="P35" i="19"/>
  <c r="P39" i="19"/>
  <c r="K35" i="19"/>
  <c r="K39" i="19"/>
  <c r="U35" i="19"/>
  <c r="U39" i="19"/>
  <c r="P39" i="18"/>
  <c r="P35" i="18"/>
  <c r="F35" i="19"/>
  <c r="F39" i="19"/>
  <c r="S61" i="19"/>
  <c r="S57" i="19"/>
  <c r="Y39" i="19"/>
  <c r="Y35" i="19"/>
  <c r="O39" i="18"/>
  <c r="AG50" i="17"/>
  <c r="AG46" i="17"/>
  <c r="W57" i="19"/>
  <c r="W61" i="19"/>
  <c r="AR39" i="19"/>
  <c r="AR35" i="19"/>
  <c r="K39" i="18"/>
  <c r="AU57" i="19"/>
  <c r="AU61" i="19"/>
  <c r="H24" i="18"/>
  <c r="H56" i="18"/>
  <c r="H62" i="18"/>
  <c r="H34" i="18"/>
  <c r="H40" i="18"/>
  <c r="H45" i="18"/>
  <c r="H51" i="18"/>
  <c r="AN35" i="18"/>
  <c r="AN39" i="18"/>
  <c r="N39" i="17"/>
  <c r="I57" i="18"/>
  <c r="I61" i="18"/>
  <c r="AC46" i="18"/>
  <c r="AC50" i="18"/>
  <c r="G24" i="17"/>
  <c r="G34" i="17"/>
  <c r="G40" i="17"/>
  <c r="G45" i="17"/>
  <c r="G51" i="17"/>
  <c r="G56" i="17"/>
  <c r="G62" i="17"/>
  <c r="AA50" i="17"/>
  <c r="AY61" i="17"/>
  <c r="AY57" i="17"/>
  <c r="AO50" i="17"/>
  <c r="R39" i="18"/>
  <c r="R35" i="18"/>
  <c r="D61" i="19"/>
  <c r="D57" i="19"/>
  <c r="AA56" i="18"/>
  <c r="AA34" i="18"/>
  <c r="AA24" i="18"/>
  <c r="AA45" i="18"/>
  <c r="AS24" i="18"/>
  <c r="AS34" i="18"/>
  <c r="AS40" i="18"/>
  <c r="AS45" i="18"/>
  <c r="AS51" i="18"/>
  <c r="AS56" i="18"/>
  <c r="AS62" i="18"/>
  <c r="AW39" i="18"/>
  <c r="AW35" i="18"/>
  <c r="AD39" i="17"/>
  <c r="T24" i="17"/>
  <c r="T56" i="17"/>
  <c r="T62" i="17"/>
  <c r="T34" i="17"/>
  <c r="T40" i="17"/>
  <c r="T45" i="17"/>
  <c r="T51" i="17"/>
  <c r="S24" i="17"/>
  <c r="S56" i="17"/>
  <c r="S62" i="17"/>
  <c r="S45" i="17"/>
  <c r="S51" i="17"/>
  <c r="S34" i="17"/>
  <c r="S40" i="17"/>
  <c r="Q61" i="19"/>
  <c r="Q57" i="19"/>
  <c r="E35" i="19"/>
  <c r="E39" i="19"/>
  <c r="AM57" i="19"/>
  <c r="AM61" i="19"/>
  <c r="W50" i="17"/>
  <c r="G57" i="18"/>
  <c r="G61" i="18"/>
  <c r="AI57" i="17"/>
  <c r="AI61" i="17"/>
  <c r="N57" i="18"/>
  <c r="AM39" i="18"/>
  <c r="AO39" i="18"/>
  <c r="Y30" i="19"/>
  <c r="Z27" i="19"/>
  <c r="AA23" i="19"/>
  <c r="AA33" i="19"/>
  <c r="AA44" i="19"/>
  <c r="AA55" i="19"/>
  <c r="AV39" i="19"/>
  <c r="AV35" i="19"/>
  <c r="S57" i="17"/>
  <c r="S61" i="17"/>
  <c r="G61" i="17"/>
  <c r="L50" i="18"/>
  <c r="L46" i="18"/>
  <c r="AJ23" i="19"/>
  <c r="AJ33" i="19"/>
  <c r="AJ44" i="19"/>
  <c r="AJ55" i="19"/>
  <c r="AL50" i="18"/>
  <c r="Z50" i="17"/>
  <c r="AO57" i="19"/>
  <c r="AO61" i="19"/>
  <c r="M57" i="18"/>
  <c r="M61" i="18"/>
  <c r="R61" i="17"/>
  <c r="X57" i="17"/>
  <c r="X61" i="17"/>
  <c r="AQ24" i="17"/>
  <c r="AQ34" i="17"/>
  <c r="AQ40" i="17"/>
  <c r="AQ45" i="17"/>
  <c r="AQ51" i="17"/>
  <c r="AQ56" i="17"/>
  <c r="AQ62" i="17"/>
  <c r="AM24" i="18"/>
  <c r="AM56" i="18"/>
  <c r="AM62" i="18"/>
  <c r="AM34" i="18"/>
  <c r="AM40" i="18"/>
  <c r="AM45" i="18"/>
  <c r="AM51" i="18"/>
  <c r="P61" i="17"/>
  <c r="AB57" i="17"/>
  <c r="AB61" i="17"/>
  <c r="AE50" i="18"/>
  <c r="AH24" i="17"/>
  <c r="AH34" i="17"/>
  <c r="AH40" i="17"/>
  <c r="AH45" i="17"/>
  <c r="AH51" i="17"/>
  <c r="AH56" i="17"/>
  <c r="AH62" i="17"/>
  <c r="AQ35" i="17"/>
  <c r="AQ39" i="17"/>
  <c r="AS57" i="18"/>
  <c r="AS61" i="18"/>
  <c r="AX33" i="18"/>
  <c r="AX44" i="18"/>
  <c r="AX55" i="18"/>
  <c r="AX23" i="18"/>
  <c r="AU46" i="17"/>
  <c r="AU50" i="17"/>
  <c r="AN39" i="17"/>
  <c r="AN35" i="17"/>
  <c r="AK56" i="18"/>
  <c r="AK24" i="18"/>
  <c r="AK34" i="18"/>
  <c r="AK45" i="18"/>
  <c r="AC56" i="18"/>
  <c r="AC62" i="18"/>
  <c r="AC45" i="18"/>
  <c r="AC51" i="18"/>
  <c r="AC34" i="18"/>
  <c r="AC40" i="18"/>
  <c r="AC24" i="18"/>
  <c r="G50" i="19"/>
  <c r="G46" i="19"/>
  <c r="T50" i="19"/>
  <c r="T46" i="19"/>
  <c r="L50" i="19"/>
  <c r="L46" i="19"/>
  <c r="AK57" i="19"/>
  <c r="AK61" i="19"/>
  <c r="AJ56" i="18"/>
  <c r="AJ62" i="18"/>
  <c r="AJ45" i="18"/>
  <c r="AJ51" i="18"/>
  <c r="AJ34" i="18"/>
  <c r="AJ40" i="18"/>
  <c r="AJ24" i="18"/>
  <c r="AS39" i="19"/>
  <c r="AS35" i="19"/>
  <c r="J50" i="17"/>
  <c r="AS57" i="17"/>
  <c r="AS61" i="17"/>
  <c r="AZ10" i="17"/>
  <c r="L39" i="17"/>
  <c r="AH39" i="17"/>
  <c r="AH35" i="17"/>
  <c r="AV50" i="17"/>
  <c r="AE61" i="17"/>
  <c r="AC61" i="19"/>
  <c r="AC57" i="19"/>
  <c r="AQ39" i="19"/>
  <c r="AQ35" i="19"/>
  <c r="AC57" i="17"/>
  <c r="AC61" i="17"/>
  <c r="AD46" i="19"/>
  <c r="AD50" i="19"/>
  <c r="AY50" i="18"/>
  <c r="D57" i="17"/>
  <c r="D61" i="17"/>
  <c r="H39" i="18"/>
  <c r="H35" i="18"/>
  <c r="AD39" i="18"/>
  <c r="AD35" i="18"/>
  <c r="M61" i="17"/>
  <c r="Z56" i="18"/>
  <c r="Z62" i="18"/>
  <c r="Z24" i="18"/>
  <c r="Z34" i="18"/>
  <c r="Z40" i="18"/>
  <c r="Z45" i="18"/>
  <c r="Z51" i="18"/>
  <c r="U39" i="18"/>
  <c r="AV61" i="18"/>
  <c r="O24" i="17"/>
  <c r="O34" i="17"/>
  <c r="O40" i="17"/>
  <c r="O45" i="17"/>
  <c r="O51" i="17"/>
  <c r="O56" i="17"/>
  <c r="O62" i="17"/>
  <c r="U39" i="17"/>
  <c r="U35" i="17"/>
  <c r="AP61" i="17"/>
  <c r="AO24" i="17"/>
  <c r="AO45" i="17"/>
  <c r="AO51" i="17"/>
  <c r="AO34" i="17"/>
  <c r="AO40" i="17"/>
  <c r="AO56" i="17"/>
  <c r="AO62" i="17"/>
  <c r="AH50" i="18"/>
  <c r="AP33" i="18"/>
  <c r="AP44" i="18"/>
  <c r="AP55" i="18"/>
  <c r="AP23" i="18"/>
  <c r="AF50" i="17"/>
  <c r="AF46" i="17"/>
  <c r="AX61" i="17"/>
  <c r="K61" i="19"/>
  <c r="K57" i="19"/>
  <c r="M35" i="19"/>
  <c r="M39" i="19"/>
  <c r="S50" i="19"/>
  <c r="S46" i="19"/>
  <c r="O50" i="18"/>
  <c r="I35" i="19"/>
  <c r="I39" i="19"/>
  <c r="W46" i="19"/>
  <c r="W50" i="19"/>
  <c r="AY24" i="18"/>
  <c r="AY45" i="18"/>
  <c r="AY51" i="18"/>
  <c r="AY56" i="18"/>
  <c r="AY62" i="18"/>
  <c r="AY34" i="18"/>
  <c r="AY40" i="18"/>
  <c r="V56" i="18"/>
  <c r="V62" i="18"/>
  <c r="V24" i="18"/>
  <c r="V34" i="18"/>
  <c r="V40" i="18"/>
  <c r="V45" i="18"/>
  <c r="V51" i="18"/>
  <c r="R24" i="17"/>
  <c r="R34" i="17"/>
  <c r="R40" i="17"/>
  <c r="R45" i="17"/>
  <c r="R51" i="17"/>
  <c r="R56" i="17"/>
  <c r="R62" i="17"/>
  <c r="AD61" i="17"/>
  <c r="P61" i="19"/>
  <c r="P57" i="19"/>
  <c r="AR50" i="19"/>
  <c r="AR46" i="19"/>
  <c r="O35" i="17"/>
  <c r="O39" i="17"/>
  <c r="Y24" i="17"/>
  <c r="Y34" i="17"/>
  <c r="Y40" i="17"/>
  <c r="Y45" i="17"/>
  <c r="Y51" i="17"/>
  <c r="Y56" i="17"/>
  <c r="Y62" i="17"/>
  <c r="N57" i="17"/>
  <c r="N61" i="17"/>
  <c r="AA39" i="17"/>
  <c r="P24" i="17"/>
  <c r="P34" i="17"/>
  <c r="P40" i="17"/>
  <c r="P56" i="17"/>
  <c r="P62" i="17"/>
  <c r="P45" i="17"/>
  <c r="P51" i="17"/>
  <c r="K35" i="17"/>
  <c r="K39" i="17"/>
  <c r="AK39" i="17"/>
  <c r="AT39" i="17"/>
  <c r="W24" i="17"/>
  <c r="W56" i="17"/>
  <c r="W62" i="17"/>
  <c r="W45" i="17"/>
  <c r="W51" i="17"/>
  <c r="W34" i="17"/>
  <c r="W40" i="17"/>
  <c r="E61" i="19"/>
  <c r="E57" i="19"/>
  <c r="AM46" i="18"/>
  <c r="AM50" i="18"/>
  <c r="AM33" i="17"/>
  <c r="AM23" i="17"/>
  <c r="AM44" i="17"/>
  <c r="AM55" i="17"/>
  <c r="AV50" i="19"/>
  <c r="AV46" i="19"/>
  <c r="V57" i="18"/>
  <c r="V61" i="18"/>
  <c r="AL39" i="18"/>
  <c r="R50" i="17"/>
  <c r="R46" i="17"/>
  <c r="AJ50" i="17"/>
  <c r="AJ46" i="17"/>
  <c r="AQ24" i="18"/>
  <c r="AQ45" i="18"/>
  <c r="AQ34" i="18"/>
  <c r="AQ56" i="18"/>
  <c r="AE39" i="18"/>
  <c r="AS50" i="18"/>
  <c r="AS46" i="18"/>
  <c r="AU61" i="17"/>
  <c r="AU57" i="17"/>
  <c r="AN61" i="17"/>
  <c r="AT34" i="17"/>
  <c r="AT40" i="17"/>
  <c r="AT45" i="17"/>
  <c r="AT51" i="17"/>
  <c r="AT24" i="17"/>
  <c r="AT56" i="17"/>
  <c r="AT62" i="17"/>
  <c r="AF57" i="18"/>
  <c r="AF61" i="18"/>
  <c r="Z57" i="18"/>
  <c r="Z61" i="18"/>
  <c r="W61" i="18"/>
  <c r="AH61" i="17"/>
  <c r="AT33" i="18"/>
  <c r="AT44" i="18"/>
  <c r="AT55" i="18"/>
  <c r="AT23" i="18"/>
  <c r="AE50" i="17"/>
  <c r="AE46" i="17"/>
  <c r="AW34" i="17"/>
  <c r="AW40" i="17"/>
  <c r="AW24" i="17"/>
  <c r="AW45" i="17"/>
  <c r="AW51" i="17"/>
  <c r="AW56" i="17"/>
  <c r="AW62" i="17"/>
  <c r="V46" i="19"/>
  <c r="AC39" i="19"/>
  <c r="AC35" i="19"/>
  <c r="J35" i="19"/>
  <c r="J39" i="19"/>
  <c r="AQ50" i="19"/>
  <c r="AQ46" i="19"/>
  <c r="AD39" i="19"/>
  <c r="AD35" i="19"/>
  <c r="D50" i="17"/>
  <c r="AB57" i="19"/>
  <c r="AB61" i="19"/>
  <c r="G24" i="18"/>
  <c r="G56" i="18"/>
  <c r="G62" i="18"/>
  <c r="G45" i="18"/>
  <c r="G51" i="18"/>
  <c r="G34" i="18"/>
  <c r="G40" i="18"/>
  <c r="Y35" i="17"/>
  <c r="Y39" i="17"/>
  <c r="H50" i="18"/>
  <c r="M24" i="18"/>
  <c r="M56" i="18"/>
  <c r="M62" i="18"/>
  <c r="M45" i="18"/>
  <c r="M51" i="18"/>
  <c r="M34" i="18"/>
  <c r="M40" i="18"/>
  <c r="M50" i="17"/>
  <c r="N24" i="17"/>
  <c r="N34" i="17"/>
  <c r="N40" i="17"/>
  <c r="N45" i="17"/>
  <c r="N51" i="17"/>
  <c r="N56" i="17"/>
  <c r="N62" i="17"/>
  <c r="AW39" i="19"/>
  <c r="AW35" i="19"/>
  <c r="AA24" i="17"/>
  <c r="AA45" i="17"/>
  <c r="AA51" i="17"/>
  <c r="AA34" i="17"/>
  <c r="AA40" i="17"/>
  <c r="AA56" i="17"/>
  <c r="AA62" i="17"/>
  <c r="T56" i="18"/>
  <c r="T24" i="18"/>
  <c r="T34" i="18"/>
  <c r="T45" i="18"/>
  <c r="F30" i="18"/>
  <c r="G27" i="18"/>
  <c r="AH39" i="18"/>
  <c r="AP24" i="18"/>
  <c r="AP45" i="18"/>
  <c r="AP51" i="18"/>
  <c r="AP34" i="18"/>
  <c r="AP40" i="18"/>
  <c r="AP56" i="18"/>
  <c r="AP62" i="18"/>
  <c r="AX50" i="17"/>
  <c r="H50" i="19"/>
  <c r="H46" i="19"/>
  <c r="K50" i="19"/>
  <c r="K46" i="19"/>
  <c r="AF23" i="19"/>
  <c r="AF33" i="19"/>
  <c r="AF44" i="19"/>
  <c r="AF55" i="19"/>
  <c r="O57" i="18"/>
  <c r="O61" i="18"/>
  <c r="W39" i="19"/>
  <c r="W35" i="19"/>
  <c r="K50" i="18"/>
  <c r="K46" i="18"/>
  <c r="X50" i="18"/>
  <c r="AN50" i="19"/>
  <c r="AN46" i="19"/>
  <c r="J24" i="18"/>
  <c r="J56" i="18"/>
  <c r="J45" i="18"/>
  <c r="J34" i="18"/>
  <c r="AH23" i="19"/>
  <c r="AH33" i="19"/>
  <c r="AH44" i="19"/>
  <c r="AH55" i="19"/>
  <c r="AN50" i="18"/>
  <c r="AN46" i="18"/>
  <c r="I39" i="18"/>
  <c r="V57" i="17"/>
  <c r="V61" i="17"/>
  <c r="AY46" i="17"/>
  <c r="AY50" i="17"/>
  <c r="M24" i="17"/>
  <c r="M45" i="17"/>
  <c r="M51" i="17"/>
  <c r="M34" i="17"/>
  <c r="M40" i="17"/>
  <c r="M56" i="17"/>
  <c r="M62" i="17"/>
  <c r="T57" i="17"/>
  <c r="T61" i="17"/>
  <c r="AW50" i="18"/>
  <c r="AW46" i="18"/>
  <c r="AD50" i="17"/>
  <c r="AT61" i="17"/>
  <c r="AT57" i="17"/>
  <c r="AM39" i="19"/>
  <c r="AM35" i="19"/>
  <c r="G39" i="18"/>
  <c r="G35" i="18"/>
  <c r="AI39" i="17"/>
  <c r="AI35" i="17"/>
  <c r="AU39" i="18"/>
  <c r="AU35" i="18"/>
  <c r="AM61" i="18"/>
  <c r="G30" i="17"/>
  <c r="H27" i="17"/>
  <c r="AO50" i="18"/>
  <c r="AV57" i="19"/>
  <c r="AV61" i="19"/>
  <c r="N13" i="19"/>
  <c r="AZ10" i="19"/>
  <c r="E24" i="18"/>
  <c r="E56" i="18"/>
  <c r="E62" i="18"/>
  <c r="E45" i="18"/>
  <c r="E51" i="18"/>
  <c r="E34" i="18"/>
  <c r="E40" i="18"/>
  <c r="Z39" i="17"/>
  <c r="Z35" i="17"/>
  <c r="AO39" i="19"/>
  <c r="AO35" i="19"/>
  <c r="AR24" i="18"/>
  <c r="AR34" i="18"/>
  <c r="AR45" i="18"/>
  <c r="AR56" i="18"/>
  <c r="P39" i="17"/>
  <c r="S56" i="18"/>
  <c r="S34" i="18"/>
  <c r="S24" i="18"/>
  <c r="S45" i="18"/>
  <c r="AZ22" i="18"/>
  <c r="D24" i="18"/>
  <c r="D56" i="18"/>
  <c r="D34" i="18"/>
  <c r="D45" i="18"/>
  <c r="T61" i="19"/>
  <c r="T57" i="19"/>
  <c r="L61" i="19"/>
  <c r="L57" i="19"/>
  <c r="AF50" i="18"/>
  <c r="J35" i="17"/>
  <c r="J39" i="17"/>
  <c r="AS46" i="17"/>
  <c r="AS50" i="17"/>
  <c r="Z50" i="18"/>
  <c r="W50" i="18"/>
  <c r="L57" i="17"/>
  <c r="L61" i="17"/>
  <c r="AH50" i="17"/>
  <c r="AH46" i="17"/>
  <c r="AE39" i="17"/>
  <c r="AE35" i="17"/>
  <c r="AQ57" i="19"/>
  <c r="AQ61" i="19"/>
  <c r="AC35" i="17"/>
  <c r="AC39" i="17"/>
  <c r="AY57" i="18"/>
  <c r="AY61" i="18"/>
  <c r="Y50" i="17"/>
  <c r="Y46" i="17"/>
  <c r="AD57" i="18"/>
  <c r="AD61" i="18"/>
  <c r="AW50" i="19"/>
  <c r="AW46" i="19"/>
  <c r="H50" i="17"/>
  <c r="H46" i="17"/>
  <c r="I57" i="17"/>
  <c r="I61" i="17"/>
  <c r="AK24" i="17"/>
  <c r="AK34" i="17"/>
  <c r="AK40" i="17"/>
  <c r="AK45" i="17"/>
  <c r="AK51" i="17"/>
  <c r="AK56" i="17"/>
  <c r="AK62" i="17"/>
  <c r="AF61" i="17"/>
  <c r="M50" i="19"/>
  <c r="M46" i="19"/>
  <c r="P46" i="18"/>
  <c r="P50" i="18"/>
  <c r="F61" i="19"/>
  <c r="F57" i="19"/>
  <c r="S35" i="19"/>
  <c r="S39" i="19"/>
  <c r="Y46" i="19"/>
  <c r="Y50" i="19"/>
  <c r="AF56" i="19"/>
  <c r="AF62" i="19"/>
  <c r="AF24" i="19"/>
  <c r="AF34" i="19"/>
  <c r="AF40" i="19"/>
  <c r="AF45" i="19"/>
  <c r="AF51" i="19"/>
  <c r="AB46" i="18"/>
  <c r="AG35" i="17"/>
  <c r="AG39" i="17"/>
  <c r="I50" i="19"/>
  <c r="I46" i="19"/>
  <c r="R50" i="19"/>
  <c r="R46" i="19"/>
  <c r="X39" i="18"/>
  <c r="O50" i="17"/>
  <c r="O46" i="17"/>
  <c r="AN57" i="19"/>
  <c r="AN61" i="19"/>
  <c r="AY57" i="19"/>
  <c r="AY61" i="19"/>
  <c r="AH56" i="19"/>
  <c r="AH62" i="19"/>
  <c r="AH34" i="19"/>
  <c r="AH40" i="19"/>
  <c r="AH24" i="19"/>
  <c r="AH45" i="19"/>
  <c r="AH51" i="19"/>
  <c r="AU39" i="19"/>
  <c r="AU35" i="19"/>
  <c r="AL56" i="18"/>
  <c r="AL62" i="18"/>
  <c r="AL24" i="18"/>
  <c r="AL34" i="18"/>
  <c r="AL40" i="18"/>
  <c r="AL45" i="18"/>
  <c r="AL51" i="18"/>
  <c r="I50" i="18"/>
  <c r="I46" i="18"/>
  <c r="Q56" i="18"/>
  <c r="Q24" i="18"/>
  <c r="Q45" i="18"/>
  <c r="Q34" i="18"/>
  <c r="V50" i="17"/>
  <c r="V46" i="17"/>
  <c r="AA61" i="17"/>
  <c r="AY35" i="17"/>
  <c r="AY39" i="17"/>
  <c r="AO61" i="17"/>
  <c r="R46" i="18"/>
  <c r="R50" i="18"/>
  <c r="K50" i="17"/>
  <c r="K46" i="17"/>
  <c r="T50" i="17"/>
  <c r="T46" i="17"/>
  <c r="AK61" i="17"/>
  <c r="AN24" i="17"/>
  <c r="AN34" i="17"/>
  <c r="AN40" i="17"/>
  <c r="AN45" i="17"/>
  <c r="AN51" i="17"/>
  <c r="AN56" i="17"/>
  <c r="AN62" i="17"/>
  <c r="AT50" i="17"/>
  <c r="AT46" i="17"/>
  <c r="Q24" i="17"/>
  <c r="Q45" i="17"/>
  <c r="Q51" i="17"/>
  <c r="Q56" i="17"/>
  <c r="Q62" i="17"/>
  <c r="Q34" i="17"/>
  <c r="Q40" i="17"/>
  <c r="Q35" i="19"/>
  <c r="Q39" i="19"/>
  <c r="AM50" i="19"/>
  <c r="AM46" i="19"/>
  <c r="W57" i="17"/>
  <c r="W61" i="17"/>
  <c r="G50" i="18"/>
  <c r="G46" i="18"/>
  <c r="AU50" i="18"/>
  <c r="AU46" i="18"/>
  <c r="AA56" i="19"/>
  <c r="AA62" i="19"/>
  <c r="AA34" i="19"/>
  <c r="AA40" i="19"/>
  <c r="AA45" i="19"/>
  <c r="AA51" i="19"/>
  <c r="AA24" i="19"/>
  <c r="AF56" i="18"/>
  <c r="AF62" i="18"/>
  <c r="AF24" i="18"/>
  <c r="AF34" i="18"/>
  <c r="AF40" i="18"/>
  <c r="AF45" i="18"/>
  <c r="AF51" i="18"/>
  <c r="S39" i="17"/>
  <c r="S35" i="17"/>
  <c r="G35" i="17"/>
  <c r="G39" i="17"/>
  <c r="L39" i="18"/>
  <c r="L35" i="18"/>
  <c r="AJ56" i="19"/>
  <c r="AJ62" i="19"/>
  <c r="AJ24" i="19"/>
  <c r="AJ34" i="19"/>
  <c r="AJ40" i="19"/>
  <c r="AJ45" i="19"/>
  <c r="AJ51" i="19"/>
  <c r="V39" i="18"/>
  <c r="V35" i="18"/>
  <c r="AL61" i="18"/>
  <c r="AL57" i="18"/>
  <c r="Z61" i="17"/>
  <c r="AH56" i="18"/>
  <c r="AH62" i="18"/>
  <c r="AH24" i="18"/>
  <c r="AH34" i="18"/>
  <c r="AH40" i="18"/>
  <c r="AH45" i="18"/>
  <c r="AH51" i="18"/>
  <c r="AO50" i="19"/>
  <c r="AO46" i="19"/>
  <c r="M50" i="18"/>
  <c r="M46" i="18"/>
  <c r="J24" i="17"/>
  <c r="J34" i="17"/>
  <c r="J40" i="17"/>
  <c r="J45" i="17"/>
  <c r="J51" i="17"/>
  <c r="J56" i="17"/>
  <c r="J62" i="17"/>
  <c r="R39" i="17"/>
  <c r="X39" i="17"/>
  <c r="X35" i="17"/>
  <c r="AJ39" i="17"/>
  <c r="AJ35" i="17"/>
  <c r="AB50" i="17"/>
  <c r="AB46" i="17"/>
  <c r="AE61" i="18"/>
  <c r="L24" i="17"/>
  <c r="L34" i="17"/>
  <c r="L40" i="17"/>
  <c r="L56" i="17"/>
  <c r="L62" i="17"/>
  <c r="L45" i="17"/>
  <c r="L51" i="17"/>
  <c r="AO24" i="18"/>
  <c r="AO34" i="18"/>
  <c r="AO40" i="18"/>
  <c r="AO45" i="18"/>
  <c r="AO51" i="18"/>
  <c r="AO56" i="18"/>
  <c r="AO62" i="18"/>
  <c r="AS39" i="18"/>
  <c r="AS35" i="18"/>
  <c r="AU35" i="17"/>
  <c r="AU39" i="17"/>
  <c r="AE56" i="18"/>
  <c r="AE62" i="18"/>
  <c r="AE45" i="18"/>
  <c r="AE51" i="18"/>
  <c r="AE34" i="18"/>
  <c r="AE40" i="18"/>
  <c r="AE24" i="18"/>
  <c r="U56" i="18"/>
  <c r="U62" i="18"/>
  <c r="U24" i="18"/>
  <c r="U45" i="18"/>
  <c r="U51" i="18"/>
  <c r="U34" i="18"/>
  <c r="U40" i="18"/>
  <c r="G61" i="19"/>
  <c r="G57" i="19"/>
  <c r="T35" i="19"/>
  <c r="T39" i="19"/>
  <c r="L35" i="19"/>
  <c r="L39" i="19"/>
  <c r="AK50" i="19"/>
  <c r="AK46" i="19"/>
  <c r="AJ23" i="18"/>
  <c r="AJ33" i="18"/>
  <c r="AJ44" i="18"/>
  <c r="AJ55" i="18"/>
  <c r="AF39" i="18"/>
  <c r="AF35" i="18"/>
  <c r="AG40" i="18"/>
  <c r="AG35" i="18"/>
  <c r="J61" i="17"/>
  <c r="AS35" i="17"/>
  <c r="AS39" i="17"/>
  <c r="Z39" i="18"/>
  <c r="Z35" i="18"/>
  <c r="W39" i="18"/>
  <c r="W35" i="18"/>
  <c r="F22" i="17"/>
  <c r="AZ22" i="17"/>
  <c r="F21" i="17"/>
  <c r="L50" i="17"/>
  <c r="L46" i="17"/>
  <c r="AV61" i="17"/>
  <c r="AV57" i="17"/>
  <c r="AC46" i="19"/>
  <c r="AC50" i="19"/>
  <c r="J50" i="19"/>
  <c r="J46" i="19"/>
  <c r="AC50" i="17"/>
  <c r="AC46" i="17"/>
  <c r="AD57" i="19"/>
  <c r="AD61" i="19"/>
  <c r="X56" i="18"/>
  <c r="X62" i="18"/>
  <c r="X24" i="18"/>
  <c r="X34" i="18"/>
  <c r="X40" i="18"/>
  <c r="X45" i="18"/>
  <c r="X51" i="18"/>
  <c r="AY39" i="18"/>
  <c r="AY35" i="18"/>
  <c r="D35" i="17"/>
  <c r="D39" i="17"/>
  <c r="AB39" i="19"/>
  <c r="AB35" i="19"/>
  <c r="Y57" i="17"/>
  <c r="Y61" i="17"/>
  <c r="AD46" i="18"/>
  <c r="AD50" i="18"/>
  <c r="M39" i="17"/>
  <c r="M35" i="17"/>
  <c r="AW57" i="19"/>
  <c r="AW61" i="19"/>
  <c r="U61" i="18"/>
  <c r="U57" i="18"/>
  <c r="AV35" i="18"/>
  <c r="AV39" i="18"/>
  <c r="AP50" i="17"/>
  <c r="AP46" i="17"/>
  <c r="H39" i="17"/>
  <c r="H35" i="17"/>
  <c r="AH57" i="18"/>
  <c r="AH61" i="18"/>
  <c r="I50" i="17"/>
  <c r="I46" i="17"/>
  <c r="Q50" i="17"/>
  <c r="Q46" i="17"/>
  <c r="AV34" i="17"/>
  <c r="AV40" i="17"/>
  <c r="AV24" i="17"/>
  <c r="AV56" i="17"/>
  <c r="AV62" i="17"/>
  <c r="AV45" i="17"/>
  <c r="AV51" i="17"/>
  <c r="AD24" i="17"/>
  <c r="AD34" i="17"/>
  <c r="AD40" i="17"/>
  <c r="AD45" i="17"/>
  <c r="AD51" i="17"/>
  <c r="AD56" i="17"/>
  <c r="AD62" i="17"/>
  <c r="AF39" i="17"/>
  <c r="AF35" i="17"/>
  <c r="AR50" i="17"/>
  <c r="AR46" i="17"/>
  <c r="AQ46" i="17"/>
  <c r="AK57" i="17"/>
  <c r="Q40" i="18"/>
  <c r="Q35" i="18"/>
  <c r="Z46" i="18"/>
  <c r="D40" i="18"/>
  <c r="D35" i="18"/>
  <c r="P35" i="17"/>
  <c r="H30" i="17"/>
  <c r="I27" i="17"/>
  <c r="J40" i="18"/>
  <c r="J35" i="18"/>
  <c r="H46" i="18"/>
  <c r="AJ39" i="19"/>
  <c r="AJ35" i="19"/>
  <c r="AO35" i="18"/>
  <c r="AW46" i="17"/>
  <c r="AW50" i="17"/>
  <c r="Y51" i="18"/>
  <c r="Y46" i="18"/>
  <c r="AW57" i="18"/>
  <c r="AJ46" i="18"/>
  <c r="AJ50" i="18"/>
  <c r="R35" i="17"/>
  <c r="X35" i="18"/>
  <c r="AF57" i="17"/>
  <c r="W46" i="18"/>
  <c r="AF46" i="18"/>
  <c r="AZ24" i="18"/>
  <c r="S40" i="18"/>
  <c r="S35" i="18"/>
  <c r="AR62" i="18"/>
  <c r="AR57" i="18"/>
  <c r="AO46" i="18"/>
  <c r="AM57" i="18"/>
  <c r="AD46" i="17"/>
  <c r="AH39" i="19"/>
  <c r="AH35" i="19"/>
  <c r="J62" i="18"/>
  <c r="J57" i="18"/>
  <c r="AF57" i="19"/>
  <c r="AF61" i="19"/>
  <c r="AX46" i="17"/>
  <c r="G30" i="18"/>
  <c r="H27" i="18"/>
  <c r="M46" i="17"/>
  <c r="D46" i="17"/>
  <c r="AT50" i="18"/>
  <c r="AT46" i="18"/>
  <c r="W57" i="18"/>
  <c r="AE35" i="18"/>
  <c r="AQ51" i="18"/>
  <c r="AQ46" i="18"/>
  <c r="AM57" i="17"/>
  <c r="AM61" i="17"/>
  <c r="AK35" i="17"/>
  <c r="AP57" i="18"/>
  <c r="AP61" i="18"/>
  <c r="AH46" i="18"/>
  <c r="AE57" i="17"/>
  <c r="AX50" i="18"/>
  <c r="AX46" i="18"/>
  <c r="Z46" i="17"/>
  <c r="AJ61" i="19"/>
  <c r="AJ57" i="19"/>
  <c r="AA61" i="19"/>
  <c r="AA57" i="19"/>
  <c r="Z30" i="19"/>
  <c r="AA27" i="19"/>
  <c r="AW61" i="17"/>
  <c r="AW57" i="17"/>
  <c r="V46" i="18"/>
  <c r="O57" i="17"/>
  <c r="Y62" i="18"/>
  <c r="Y57" i="18"/>
  <c r="AZ23" i="18"/>
  <c r="G46" i="17"/>
  <c r="AI46" i="17"/>
  <c r="K57" i="18"/>
  <c r="AR51" i="18"/>
  <c r="AR46" i="18"/>
  <c r="AF46" i="19"/>
  <c r="AF50" i="19"/>
  <c r="T62" i="18"/>
  <c r="T57" i="18"/>
  <c r="AM50" i="17"/>
  <c r="AM46" i="17"/>
  <c r="AT35" i="17"/>
  <c r="AP50" i="18"/>
  <c r="AP46" i="18"/>
  <c r="AY46" i="18"/>
  <c r="L35" i="17"/>
  <c r="AK62" i="18"/>
  <c r="AK57" i="18"/>
  <c r="AX39" i="18"/>
  <c r="AX35" i="18"/>
  <c r="AJ46" i="19"/>
  <c r="AJ50" i="19"/>
  <c r="AA40" i="18"/>
  <c r="AA35" i="18"/>
  <c r="AW35" i="17"/>
  <c r="AW39" i="17"/>
  <c r="W35" i="17"/>
  <c r="I35" i="17"/>
  <c r="Y40" i="18"/>
  <c r="Y35" i="18"/>
  <c r="E39" i="18"/>
  <c r="E35" i="18"/>
  <c r="J57" i="17"/>
  <c r="Z57" i="17"/>
  <c r="AF39" i="19"/>
  <c r="AF35" i="19"/>
  <c r="F33" i="17"/>
  <c r="F23" i="17"/>
  <c r="AZ23" i="17"/>
  <c r="F44" i="17"/>
  <c r="F55" i="17"/>
  <c r="AZ21" i="17"/>
  <c r="AJ39" i="18"/>
  <c r="AJ35" i="18"/>
  <c r="Q62" i="18"/>
  <c r="Q57" i="18"/>
  <c r="D51" i="18"/>
  <c r="D46" i="18"/>
  <c r="S62" i="18"/>
  <c r="S57" i="18"/>
  <c r="O21" i="19"/>
  <c r="O22" i="19"/>
  <c r="X46" i="18"/>
  <c r="AT39" i="18"/>
  <c r="AT35" i="18"/>
  <c r="AV46" i="17"/>
  <c r="AA46" i="19"/>
  <c r="AA50" i="19"/>
  <c r="AM35" i="18"/>
  <c r="F24" i="17"/>
  <c r="F34" i="17"/>
  <c r="F40" i="17"/>
  <c r="F45" i="17"/>
  <c r="F51" i="17"/>
  <c r="F56" i="17"/>
  <c r="F62" i="17"/>
  <c r="S51" i="18"/>
  <c r="S46" i="18"/>
  <c r="AR40" i="18"/>
  <c r="AR35" i="18"/>
  <c r="I35" i="18"/>
  <c r="AH57" i="19"/>
  <c r="AH61" i="19"/>
  <c r="AH35" i="18"/>
  <c r="T51" i="18"/>
  <c r="T46" i="18"/>
  <c r="AQ62" i="18"/>
  <c r="AQ57" i="18"/>
  <c r="AL35" i="18"/>
  <c r="AD57" i="17"/>
  <c r="AP39" i="18"/>
  <c r="AP35" i="18"/>
  <c r="AP57" i="17"/>
  <c r="AV57" i="18"/>
  <c r="M57" i="17"/>
  <c r="J46" i="17"/>
  <c r="AK51" i="18"/>
  <c r="AK46" i="18"/>
  <c r="AA39" i="19"/>
  <c r="AA35" i="19"/>
  <c r="AA62" i="18"/>
  <c r="AA57" i="18"/>
  <c r="N35" i="17"/>
  <c r="E50" i="18"/>
  <c r="E46" i="18"/>
  <c r="AJ57" i="18"/>
  <c r="AJ61" i="18"/>
  <c r="AE57" i="18"/>
  <c r="AO57" i="17"/>
  <c r="AA57" i="17"/>
  <c r="Q51" i="18"/>
  <c r="Q46" i="18"/>
  <c r="D62" i="18"/>
  <c r="D57" i="18"/>
  <c r="AH46" i="19"/>
  <c r="AH50" i="19"/>
  <c r="J51" i="18"/>
  <c r="J46" i="18"/>
  <c r="T40" i="18"/>
  <c r="T35" i="18"/>
  <c r="AT57" i="18"/>
  <c r="AT61" i="18"/>
  <c r="AH57" i="17"/>
  <c r="AN57" i="17"/>
  <c r="AQ40" i="18"/>
  <c r="AQ35" i="18"/>
  <c r="AM35" i="17"/>
  <c r="AM39" i="17"/>
  <c r="AA35" i="17"/>
  <c r="O46" i="18"/>
  <c r="AX57" i="17"/>
  <c r="U35" i="18"/>
  <c r="AK40" i="18"/>
  <c r="AK35" i="18"/>
  <c r="AX57" i="18"/>
  <c r="AX61" i="18"/>
  <c r="AE46" i="18"/>
  <c r="P57" i="17"/>
  <c r="R57" i="17"/>
  <c r="AL46" i="18"/>
  <c r="G57" i="17"/>
  <c r="W46" i="17"/>
  <c r="AD35" i="17"/>
  <c r="AA51" i="18"/>
  <c r="AA46" i="18"/>
  <c r="AO46" i="17"/>
  <c r="AA46" i="17"/>
  <c r="K35" i="18"/>
  <c r="O35" i="18"/>
  <c r="U46" i="18"/>
  <c r="AN46" i="17"/>
  <c r="N46" i="17"/>
  <c r="Q35" i="17"/>
  <c r="AV35" i="17"/>
  <c r="E57" i="18"/>
  <c r="E61" i="18"/>
  <c r="AU57" i="18"/>
  <c r="AZ24" i="17"/>
  <c r="T35" i="17"/>
  <c r="AO35" i="17"/>
  <c r="AC57" i="18"/>
  <c r="O44" i="19"/>
  <c r="O55" i="19"/>
  <c r="O33" i="19"/>
  <c r="O23" i="19"/>
  <c r="AZ23" i="19"/>
  <c r="AZ21" i="19"/>
  <c r="J27" i="17"/>
  <c r="I30" i="17"/>
  <c r="F35" i="17"/>
  <c r="F39" i="17"/>
  <c r="AA30" i="19"/>
  <c r="AB27" i="19"/>
  <c r="H30" i="18"/>
  <c r="I27" i="18"/>
  <c r="F57" i="17"/>
  <c r="F61" i="17"/>
  <c r="O34" i="19"/>
  <c r="O40" i="19"/>
  <c r="O24" i="19"/>
  <c r="AZ24" i="19"/>
  <c r="O45" i="19"/>
  <c r="O51" i="19"/>
  <c r="O56" i="19"/>
  <c r="O62" i="19"/>
  <c r="AZ22" i="19"/>
  <c r="F50" i="17"/>
  <c r="F46" i="17"/>
  <c r="O35" i="19"/>
  <c r="O39" i="19"/>
  <c r="J30" i="17"/>
  <c r="K27" i="17"/>
  <c r="AB30" i="19"/>
  <c r="AC27" i="19"/>
  <c r="O61" i="19"/>
  <c r="O57" i="19"/>
  <c r="I30" i="18"/>
  <c r="J27" i="18"/>
  <c r="O50" i="19"/>
  <c r="O46" i="19"/>
  <c r="K30" i="17"/>
  <c r="L27" i="17"/>
  <c r="J30" i="18"/>
  <c r="K27" i="18"/>
  <c r="AC30" i="19"/>
  <c r="AD27" i="19"/>
  <c r="AD30" i="19"/>
  <c r="AE27" i="19"/>
  <c r="L30" i="17"/>
  <c r="M27" i="17"/>
  <c r="K30" i="18"/>
  <c r="L27" i="18"/>
  <c r="N27" i="17"/>
  <c r="M30" i="17"/>
  <c r="L30" i="18"/>
  <c r="M27" i="18"/>
  <c r="AE30" i="19"/>
  <c r="AF27" i="19"/>
  <c r="M30" i="18"/>
  <c r="N27" i="18"/>
  <c r="AF30" i="19"/>
  <c r="AG27" i="19"/>
  <c r="N30" i="17"/>
  <c r="O27" i="17"/>
  <c r="O30" i="17"/>
  <c r="P27" i="17"/>
  <c r="O27" i="18"/>
  <c r="N30" i="18"/>
  <c r="AG30" i="19"/>
  <c r="AH27" i="19"/>
  <c r="O30" i="18"/>
  <c r="P27" i="18"/>
  <c r="AH30" i="19"/>
  <c r="AI27" i="19"/>
  <c r="P30" i="17"/>
  <c r="Q27" i="17"/>
  <c r="R27" i="17"/>
  <c r="Q30" i="17"/>
  <c r="P30" i="18"/>
  <c r="Q27" i="18"/>
  <c r="AI30" i="19"/>
  <c r="AJ27" i="19"/>
  <c r="Q30" i="18"/>
  <c r="R27" i="18"/>
  <c r="AJ30" i="19"/>
  <c r="AK27" i="19"/>
  <c r="S27" i="17"/>
  <c r="R30" i="17"/>
  <c r="AK30" i="19"/>
  <c r="AL27" i="19"/>
  <c r="R30" i="18"/>
  <c r="S27" i="18"/>
  <c r="S30" i="17"/>
  <c r="T27" i="17"/>
  <c r="S30" i="18"/>
  <c r="T27" i="18"/>
  <c r="T30" i="17"/>
  <c r="U27" i="17"/>
  <c r="AL30" i="19"/>
  <c r="AM27" i="19"/>
  <c r="U30" i="17"/>
  <c r="V27" i="17"/>
  <c r="AM30" i="19"/>
  <c r="AN27" i="19"/>
  <c r="T30" i="18"/>
  <c r="U27" i="18"/>
  <c r="U30" i="18"/>
  <c r="V27" i="18"/>
  <c r="V30" i="17"/>
  <c r="W27" i="17"/>
  <c r="AN30" i="19"/>
  <c r="AO27" i="19"/>
  <c r="W30" i="17"/>
  <c r="X27" i="17"/>
  <c r="AO30" i="19"/>
  <c r="AP27" i="19"/>
  <c r="V30" i="18"/>
  <c r="W27" i="18"/>
  <c r="W30" i="18"/>
  <c r="X27" i="18"/>
  <c r="Y27" i="17"/>
  <c r="X30" i="17"/>
  <c r="AP30" i="19"/>
  <c r="AQ27" i="19"/>
  <c r="Z27" i="17"/>
  <c r="Y30" i="17"/>
  <c r="AQ30" i="19"/>
  <c r="AR27" i="19"/>
  <c r="X30" i="18"/>
  <c r="Y27" i="18"/>
  <c r="Y30" i="18"/>
  <c r="Z27" i="18"/>
  <c r="AR30" i="19"/>
  <c r="AS27" i="19"/>
  <c r="Z30" i="17"/>
  <c r="AA27" i="17"/>
  <c r="AS30" i="19"/>
  <c r="AT27" i="19"/>
  <c r="AA30" i="17"/>
  <c r="AB27" i="17"/>
  <c r="Z30" i="18"/>
  <c r="AA27" i="18"/>
  <c r="AC27" i="17"/>
  <c r="AB30" i="17"/>
  <c r="AA30" i="18"/>
  <c r="AB27" i="18"/>
  <c r="AT30" i="19"/>
  <c r="AU27" i="19"/>
  <c r="AB30" i="18"/>
  <c r="AC27" i="18"/>
  <c r="AU30" i="19"/>
  <c r="AV27" i="19"/>
  <c r="AD27" i="17"/>
  <c r="AC30" i="17"/>
  <c r="AV30" i="19"/>
  <c r="AW27" i="19"/>
  <c r="AC30" i="18"/>
  <c r="AD27" i="18"/>
  <c r="AD30" i="17"/>
  <c r="AE27" i="17"/>
  <c r="AD30" i="18"/>
  <c r="AE27" i="18"/>
  <c r="AE30" i="17"/>
  <c r="AF27" i="17"/>
  <c r="AW30" i="19"/>
  <c r="AX27" i="19"/>
  <c r="AG27" i="17"/>
  <c r="AF30" i="17"/>
  <c r="AX30" i="19"/>
  <c r="AY27" i="19"/>
  <c r="AY30" i="19"/>
  <c r="AZ30" i="19"/>
  <c r="AE30" i="18"/>
  <c r="AF27" i="18"/>
  <c r="AF30" i="18"/>
  <c r="AG27" i="18"/>
  <c r="AH27" i="17"/>
  <c r="AG30" i="17"/>
  <c r="AH30" i="17"/>
  <c r="AI27" i="17"/>
  <c r="AG30" i="18"/>
  <c r="AH27" i="18"/>
  <c r="AH30" i="18"/>
  <c r="AI27" i="18"/>
  <c r="AI30" i="17"/>
  <c r="AJ27" i="17"/>
  <c r="AK27" i="17"/>
  <c r="AJ30" i="17"/>
  <c r="AI30" i="18"/>
  <c r="AJ27" i="18"/>
  <c r="AJ30" i="18"/>
  <c r="AK27" i="18"/>
  <c r="AL27" i="17"/>
  <c r="AK30" i="17"/>
  <c r="AK30" i="18"/>
  <c r="AL27" i="18"/>
  <c r="AM27" i="17"/>
  <c r="AL30" i="17"/>
  <c r="AN27" i="17"/>
  <c r="AM30" i="17"/>
  <c r="AM27" i="18"/>
  <c r="AL30" i="18"/>
  <c r="AN27" i="18"/>
  <c r="AM30" i="18"/>
  <c r="AN30" i="17"/>
  <c r="AO27" i="17"/>
  <c r="AO30" i="17"/>
  <c r="AP27" i="17"/>
  <c r="AO27" i="18"/>
  <c r="AN30" i="18"/>
  <c r="AO30" i="18"/>
  <c r="AP27" i="18"/>
  <c r="AQ27" i="17"/>
  <c r="AP30" i="17"/>
  <c r="AP30" i="18"/>
  <c r="AQ27" i="18"/>
  <c r="AR27" i="17"/>
  <c r="AQ30" i="17"/>
  <c r="AR27" i="18"/>
  <c r="AQ30" i="18"/>
  <c r="AS27" i="17"/>
  <c r="AR30" i="17"/>
  <c r="AT27" i="17"/>
  <c r="AS30" i="17"/>
  <c r="AR30" i="18"/>
  <c r="AS27" i="18"/>
  <c r="AS30" i="18"/>
  <c r="AT27" i="18"/>
  <c r="AU27" i="17"/>
  <c r="AT30" i="17"/>
  <c r="AV27" i="17"/>
  <c r="AU30" i="17"/>
  <c r="AT30" i="18"/>
  <c r="AU27" i="18"/>
  <c r="AV27" i="18"/>
  <c r="AU30" i="18"/>
  <c r="AW27" i="17"/>
  <c r="AV30" i="17"/>
  <c r="AX27" i="17"/>
  <c r="AW30" i="17"/>
  <c r="AV30" i="18"/>
  <c r="AW27" i="18"/>
  <c r="AW30" i="18"/>
  <c r="AX27" i="18"/>
  <c r="AY27" i="17"/>
  <c r="AY30" i="17"/>
  <c r="AZ30" i="17"/>
  <c r="AX30" i="17"/>
  <c r="AX30" i="18"/>
  <c r="AY27" i="18"/>
  <c r="AY30" i="18"/>
  <c r="AZ30" i="18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<sst xmlns="http://schemas.openxmlformats.org/spreadsheetml/2006/main" count="2771" uniqueCount="415">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</sst>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12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23" applyFill="1"/>
    <xf numFmtId="0" fontId="4" fillId="0" borderId="0" xfId="123"/>
    <xf numFmtId="0" fontId="4" fillId="0" borderId="0" xfId="123" applyFill="1"/>
    <xf numFmtId="0" fontId="1" fillId="0" borderId="0" xfId="123" applyFont="1"/>
    <xf numFmtId="0" fontId="2" fillId="0" borderId="0" xfId="123" applyFont="1"/>
    <xf numFmtId="0" fontId="2" fillId="0" borderId="0" xfId="123" applyFont="1" applyFill="1"/>
    <xf numFmtId="0" fontId="4" fillId="6" borderId="0" xfId="123" applyFill="1"/>
    <xf numFmtId="0" fontId="4" fillId="0" borderId="0" xfId="123" applyFill="1" applyBorder="1"/>
    <xf numFmtId="0" fontId="4" fillId="0" borderId="5" xfId="123" applyBorder="1"/>
    <xf numFmtId="0" fontId="4" fillId="0" borderId="11" xfId="123" applyBorder="1"/>
    <xf numFmtId="0" fontId="4" fillId="0" borderId="6" xfId="123" applyBorder="1"/>
    <xf numFmtId="0" fontId="4" fillId="0" borderId="0" xfId="123" applyBorder="1"/>
    <xf numFmtId="0" fontId="4" fillId="0" borderId="0" xfId="123" applyAlignment="1"/>
    <xf numFmtId="0" fontId="4" fillId="0" borderId="0" xfId="123" applyAlignment="1">
      <alignment horizontal="center"/>
    </xf>
    <xf numFmtId="0" fontId="4" fillId="0" borderId="0" xfId="123" applyBorder="1" applyAlignment="1">
      <alignment horizontal="right"/>
    </xf>
    <xf numFmtId="0" fontId="4" fillId="0" borderId="8" xfId="123" applyFill="1" applyBorder="1"/>
    <xf numFmtId="0" fontId="4" fillId="5" borderId="13" xfId="123" applyFill="1" applyBorder="1" applyAlignment="1">
      <alignment horizontal="right"/>
    </xf>
    <xf numFmtId="0" fontId="4" fillId="7" borderId="8" xfId="123" applyFill="1" applyBorder="1"/>
    <xf numFmtId="0" fontId="4" fillId="0" borderId="13" xfId="123" applyBorder="1"/>
    <xf numFmtId="0" fontId="4" fillId="5" borderId="0" xfId="123" applyFill="1" applyAlignment="1">
      <alignment horizontal="right"/>
    </xf>
    <xf numFmtId="0" fontId="4" fillId="7" borderId="0" xfId="123" applyFill="1" applyBorder="1"/>
    <xf numFmtId="0" fontId="4" fillId="2" borderId="0" xfId="123" applyFill="1" applyBorder="1"/>
    <xf numFmtId="0" fontId="4" fillId="7" borderId="13" xfId="123" applyFill="1" applyBorder="1"/>
    <xf numFmtId="0" fontId="4" fillId="5" borderId="9" xfId="123" applyFill="1" applyBorder="1" applyAlignment="1">
      <alignment horizontal="right"/>
    </xf>
    <xf numFmtId="0" fontId="4" fillId="7" borderId="9" xfId="123" applyFill="1" applyBorder="1"/>
    <xf numFmtId="0" fontId="4" fillId="0" borderId="9" xfId="123" applyBorder="1"/>
    <xf numFmtId="0" fontId="4" fillId="0" borderId="8" xfId="123" applyBorder="1"/>
    <xf numFmtId="0" fontId="4" fillId="5" borderId="1" xfId="123" applyFill="1" applyBorder="1" applyAlignment="1">
      <alignment horizontal="right"/>
    </xf>
    <xf numFmtId="0" fontId="4" fillId="3" borderId="0" xfId="123" applyFill="1" applyBorder="1"/>
    <xf numFmtId="0" fontId="4" fillId="0" borderId="3" xfId="123" applyBorder="1"/>
    <xf numFmtId="0" fontId="4" fillId="8" borderId="8" xfId="123" applyFill="1" applyBorder="1"/>
    <xf numFmtId="0" fontId="4" fillId="8" borderId="0" xfId="123" applyFill="1" applyBorder="1"/>
    <xf numFmtId="0" fontId="4" fillId="5" borderId="6" xfId="123" applyFill="1" applyBorder="1" applyAlignment="1">
      <alignment horizontal="right"/>
    </xf>
    <xf numFmtId="0" fontId="4" fillId="9" borderId="8" xfId="123" applyFill="1" applyBorder="1" applyAlignment="1">
      <alignment horizontal="right"/>
    </xf>
    <xf numFmtId="0" fontId="4" fillId="5" borderId="13" xfId="123" applyFill="1" applyBorder="1"/>
    <xf numFmtId="10" fontId="4" fillId="0" borderId="13" xfId="123" applyNumberFormat="1" applyBorder="1"/>
    <xf numFmtId="0" fontId="4" fillId="5" borderId="9" xfId="123" applyFill="1" applyBorder="1"/>
    <xf numFmtId="0" fontId="4" fillId="5" borderId="8" xfId="123" applyFill="1" applyBorder="1"/>
    <xf numFmtId="0" fontId="4" fillId="6" borderId="9" xfId="123" applyFill="1" applyBorder="1"/>
    <xf numFmtId="0" fontId="4" fillId="0" borderId="9" xfId="123" applyFill="1" applyBorder="1"/>
    <xf numFmtId="0" fontId="4" fillId="0" borderId="10" xfId="123" applyFill="1" applyBorder="1"/>
    <xf numFmtId="0" fontId="4" fillId="6" borderId="8" xfId="123" applyFill="1" applyBorder="1"/>
    <xf numFmtId="0" fontId="4" fillId="0" borderId="15" xfId="123" applyFill="1" applyBorder="1"/>
    <xf numFmtId="0" fontId="4" fillId="0" borderId="0" xfId="123" applyFill="1" applyBorder="1" applyAlignment="1">
      <alignment horizontal="left"/>
    </xf>
    <xf numFmtId="0" fontId="4" fillId="7" borderId="13" xfId="123" applyFill="1" applyBorder="1" applyAlignment="1">
      <alignment horizontal="right"/>
    </xf>
    <xf numFmtId="0" fontId="4" fillId="0" borderId="13" xfId="123" applyFill="1" applyBorder="1"/>
    <xf numFmtId="0" fontId="4" fillId="0" borderId="9" xfId="123" applyFont="1" applyFill="1" applyBorder="1"/>
    <xf numFmtId="0" fontId="4" fillId="0" borderId="0" xfId="123" applyFont="1" applyFill="1" applyBorder="1" applyAlignment="1">
      <alignment horizontal="right"/>
    </xf>
    <xf numFmtId="0" fontId="4" fillId="0" borderId="0" xfId="123" applyFont="1" applyFill="1" applyBorder="1"/>
    <xf numFmtId="0" fontId="4" fillId="0" borderId="0" xfId="123" applyFont="1" applyFill="1" applyBorder="1" applyAlignment="1"/>
    <xf numFmtId="0" fontId="4" fillId="5" borderId="13" xfId="123" applyFont="1" applyFill="1" applyBorder="1" applyAlignment="1">
      <alignment horizontal="right"/>
    </xf>
    <xf numFmtId="0" fontId="4" fillId="7" borderId="13" xfId="123" applyFont="1" applyFill="1" applyBorder="1" applyAlignment="1"/>
    <xf numFmtId="0" fontId="4" fillId="0" borderId="5" xfId="123" applyFill="1" applyBorder="1"/>
    <xf numFmtId="0" fontId="1" fillId="0" borderId="0" xfId="123" applyFont="1" applyBorder="1"/>
    <xf numFmtId="0" fontId="4" fillId="0" borderId="9" xfId="123" applyFill="1" applyBorder="1" applyAlignment="1">
      <alignment horizontal="right"/>
    </xf>
    <xf numFmtId="10" fontId="4" fillId="5" borderId="13" xfId="123" applyNumberFormat="1" applyFill="1" applyBorder="1"/>
    <xf numFmtId="0" fontId="4" fillId="5" borderId="0" xfId="123" applyFill="1" applyBorder="1" applyAlignment="1">
      <alignment horizontal="right"/>
    </xf>
    <xf numFmtId="10" fontId="4" fillId="0" borderId="0" xfId="123" applyNumberFormat="1" applyFill="1" applyBorder="1"/>
    <xf numFmtId="0" fontId="4" fillId="0" borderId="12" xfId="123" applyFill="1" applyBorder="1"/>
    <xf numFmtId="0" fontId="4" fillId="5" borderId="8" xfId="123" applyFill="1" applyBorder="1" applyAlignment="1">
      <alignment horizontal="right"/>
    </xf>
    <xf numFmtId="10" fontId="4" fillId="0" borderId="8" xfId="123" applyNumberFormat="1" applyFill="1" applyBorder="1"/>
    <xf numFmtId="0" fontId="4" fillId="6" borderId="9" xfId="123" applyFill="1" applyBorder="1" applyAlignment="1">
      <alignment horizontal="right"/>
    </xf>
    <xf numFmtId="0" fontId="4" fillId="6" borderId="8" xfId="123" applyFill="1" applyBorder="1" applyAlignment="1">
      <alignment horizontal="right"/>
    </xf>
    <xf numFmtId="0" fontId="4" fillId="0" borderId="8" xfId="123" applyNumberFormat="1" applyFill="1" applyBorder="1"/>
    <xf numFmtId="0" fontId="1" fillId="0" borderId="0" xfId="123" applyFont="1" applyFill="1" applyBorder="1" applyAlignment="1"/>
    <xf numFmtId="0" fontId="4" fillId="0" borderId="2" xfId="123" applyBorder="1"/>
    <xf numFmtId="0" fontId="4" fillId="5" borderId="0" xfId="123" applyFill="1" applyBorder="1"/>
    <xf numFmtId="0" fontId="4" fillId="0" borderId="7" xfId="123" applyBorder="1"/>
    <xf numFmtId="0" fontId="4" fillId="0" borderId="4" xfId="123" applyBorder="1"/>
    <xf numFmtId="0" fontId="4" fillId="0" borderId="3" xfId="123" applyFill="1" applyBorder="1"/>
    <xf numFmtId="0" fontId="4" fillId="6" borderId="13" xfId="123" applyFill="1" applyBorder="1" applyAlignment="1">
      <alignment horizontal="right"/>
    </xf>
    <xf numFmtId="0" fontId="4" fillId="10" borderId="0" xfId="123" applyFill="1"/>
    <xf numFmtId="0" fontId="4" fillId="10" borderId="0" xfId="123" applyFont="1" applyFill="1"/>
    <xf numFmtId="0" fontId="4" fillId="0" borderId="0" xfId="123" applyFont="1" applyFill="1"/>
    <xf numFmtId="0" fontId="4" fillId="5" borderId="0" xfId="123" applyFont="1" applyFill="1"/>
    <xf numFmtId="0" fontId="2" fillId="0" borderId="0" xfId="123" applyNumberFormat="1" applyFont="1" applyFill="1" applyAlignment="1"/>
    <xf numFmtId="0" fontId="4" fillId="0" borderId="0" xfId="123" applyNumberFormat="1" applyAlignment="1"/>
    <xf numFmtId="0" fontId="4" fillId="6" borderId="0" xfId="123" applyNumberFormat="1" applyFill="1" applyAlignment="1"/>
    <xf numFmtId="0" fontId="4" fillId="0" borderId="0" xfId="123" applyAlignment="1">
      <alignment horizontal="right"/>
    </xf>
    <xf numFmtId="0" fontId="4" fillId="6" borderId="0" xfId="123" applyFill="1" applyBorder="1"/>
    <xf numFmtId="0" fontId="4" fillId="0" borderId="0" xfId="123" applyNumberFormat="1"/>
    <xf numFmtId="0" fontId="9" fillId="0" borderId="0" xfId="123" applyFont="1"/>
    <xf numFmtId="0" fontId="10" fillId="0" borderId="0" xfId="123" applyFont="1"/>
    <xf numFmtId="0" fontId="11" fillId="0" borderId="0" xfId="123" applyFont="1"/>
    <xf numFmtId="0" fontId="12" fillId="0" borderId="0" xfId="123" applyFont="1"/>
    <xf numFmtId="0" fontId="13" fillId="0" borderId="0" xfId="123" applyFont="1"/>
    <xf numFmtId="0" fontId="14" fillId="0" borderId="0" xfId="123" applyNumberFormat="1" applyFont="1" applyAlignment="1">
      <alignment horizontal="left"/>
    </xf>
    <xf numFmtId="1" fontId="4" fillId="0" borderId="10" xfId="123" applyNumberFormat="1" applyBorder="1"/>
    <xf numFmtId="164" fontId="4" fillId="0" borderId="10" xfId="123" applyNumberFormat="1" applyBorder="1"/>
    <xf numFmtId="1" fontId="4" fillId="0" borderId="12" xfId="123" applyNumberFormat="1" applyBorder="1"/>
    <xf numFmtId="164" fontId="4" fillId="0" borderId="12" xfId="123" applyNumberFormat="1" applyBorder="1"/>
    <xf numFmtId="1" fontId="4" fillId="0" borderId="15" xfId="123" applyNumberFormat="1" applyBorder="1"/>
    <xf numFmtId="164" fontId="4" fillId="0" borderId="15" xfId="123" applyNumberFormat="1" applyBorder="1"/>
    <xf numFmtId="164" fontId="4" fillId="0" borderId="13" xfId="123" applyNumberFormat="1" applyBorder="1"/>
    <xf numFmtId="1" fontId="4" fillId="0" borderId="5" xfId="123" applyNumberFormat="1" applyBorder="1"/>
    <xf numFmtId="1" fontId="4" fillId="0" borderId="10" xfId="123" applyNumberFormat="1" applyFill="1" applyBorder="1"/>
    <xf numFmtId="1" fontId="4" fillId="0" borderId="12" xfId="123" applyNumberFormat="1" applyFill="1" applyBorder="1"/>
    <xf numFmtId="1" fontId="4" fillId="0" borderId="15" xfId="123" applyNumberFormat="1" applyFill="1" applyBorder="1"/>
    <xf numFmtId="0" fontId="4" fillId="0" borderId="9" xfId="123" applyBorder="1" applyAlignment="1">
      <alignment horizontal="right"/>
    </xf>
    <xf numFmtId="164" fontId="4" fillId="0" borderId="0" xfId="123" applyNumberFormat="1"/>
    <xf numFmtId="0" fontId="15" fillId="0" borderId="0" xfId="123" applyFont="1"/>
    <xf numFmtId="164" fontId="4" fillId="0" borderId="27" xfId="123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123" applyFont="1" applyAlignment="1">
      <alignment horizontal="center"/>
    </xf>
  </cellXfs>
  <cellStyles count="12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Normal" xfId="0" builtinId="0"/>
    <cellStyle name="Normal 2" xfId="1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0" t="s">
        <v>165</v>
      </c>
      <c r="E4" s="201"/>
      <c r="F4" s="202"/>
    </row>
    <row r="5" spans="2:6">
      <c r="B5" s="6"/>
      <c r="C5" s="7" t="s">
        <v>111</v>
      </c>
      <c r="D5" s="203">
        <v>2016</v>
      </c>
      <c r="E5" s="204"/>
      <c r="F5" s="205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337</v>
      </c>
      <c r="D8">
        <v>3</v>
      </c>
      <c r="E8" t="s">
        <v>338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63" sqref="C63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-800</v>
      </c>
      <c r="D6" s="15">
        <v>1000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100</v>
      </c>
      <c r="D10" s="15">
        <v>500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-30</v>
      </c>
      <c r="D21" s="15">
        <v>30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-55</v>
      </c>
      <c r="D27" s="15">
        <v>70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-5000</v>
      </c>
      <c r="D63" s="15">
        <v>10000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-10000</v>
      </c>
      <c r="D76" s="15">
        <v>20000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xWindow="195" yWindow="727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1" workbookViewId="0">
      <selection activeCell="Q50" sqref="Q5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2814.2552678550974</v>
      </c>
      <c r="D6" s="86">
        <v>2814.2552678550974</v>
      </c>
      <c r="E6" s="86">
        <v>2814.2552678550974</v>
      </c>
      <c r="F6" s="86">
        <v>2814.2552678550974</v>
      </c>
      <c r="G6" s="86">
        <v>2814.2552678550974</v>
      </c>
      <c r="H6" s="86">
        <v>2814.2552678550974</v>
      </c>
      <c r="I6" s="86">
        <v>2814.2552678550974</v>
      </c>
      <c r="J6" s="86">
        <v>2814.2552678550974</v>
      </c>
      <c r="K6" s="86">
        <v>2814.2552678550974</v>
      </c>
      <c r="L6" s="86">
        <v>2814.2552678550974</v>
      </c>
      <c r="M6" s="86">
        <v>2814.2552678550974</v>
      </c>
      <c r="N6" s="86">
        <v>2814.2552678550974</v>
      </c>
    </row>
    <row r="7" spans="2:14">
      <c r="B7" s="36" t="s">
        <v>105</v>
      </c>
      <c r="C7" s="87">
        <v>695.0001070609627</v>
      </c>
      <c r="D7" s="87">
        <v>695.0001070609627</v>
      </c>
      <c r="E7" s="87">
        <v>695.0001070609627</v>
      </c>
      <c r="F7" s="87">
        <v>695.0001070609627</v>
      </c>
      <c r="G7" s="87">
        <v>695.0001070609627</v>
      </c>
      <c r="H7" s="87">
        <v>695.0001070609627</v>
      </c>
      <c r="I7" s="87">
        <v>695.0001070609627</v>
      </c>
      <c r="J7" s="87">
        <v>695.0001070609627</v>
      </c>
      <c r="K7" s="87">
        <v>695.0001070609627</v>
      </c>
      <c r="L7" s="87">
        <v>695.0001070609627</v>
      </c>
      <c r="M7" s="87">
        <v>695.0001070609627</v>
      </c>
      <c r="N7" s="87">
        <v>695.0001070609627</v>
      </c>
    </row>
    <row r="8" spans="2:14">
      <c r="B8" s="36" t="s">
        <v>106</v>
      </c>
      <c r="C8" s="87">
        <v>175.00000042412435</v>
      </c>
      <c r="D8" s="87">
        <v>175.00000042412435</v>
      </c>
      <c r="E8" s="87">
        <v>175.00000042412435</v>
      </c>
      <c r="F8" s="87">
        <v>175.00000042412435</v>
      </c>
      <c r="G8" s="87">
        <v>175.00000042412435</v>
      </c>
      <c r="H8" s="87">
        <v>175.00000042412435</v>
      </c>
      <c r="I8" s="87">
        <v>175.00000042412435</v>
      </c>
      <c r="J8" s="87">
        <v>175.00000042412435</v>
      </c>
      <c r="K8" s="87">
        <v>175.00000042412435</v>
      </c>
      <c r="L8" s="87">
        <v>175.00000042412435</v>
      </c>
      <c r="M8" s="87">
        <v>175.00000042412435</v>
      </c>
      <c r="N8" s="87">
        <v>175.00000042412435</v>
      </c>
    </row>
    <row r="9" spans="2:14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2000</v>
      </c>
      <c r="P35" s="65">
        <f>O35</f>
        <v>2000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15000</v>
      </c>
      <c r="P40" s="63">
        <f>O40+M40</f>
        <v>15298.272000000001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20000</v>
      </c>
      <c r="P41" s="64">
        <f>O41</f>
        <v>20000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8.3333333333333357</v>
      </c>
      <c r="D47" s="91">
        <v>8.3333333333333357</v>
      </c>
      <c r="E47" s="91">
        <v>8.3333333333333357</v>
      </c>
      <c r="F47" s="91">
        <v>8.3333333333333357</v>
      </c>
      <c r="G47" s="91">
        <v>8.3333333333333357</v>
      </c>
      <c r="H47" s="91">
        <v>8.3333333333333357</v>
      </c>
      <c r="I47" s="91">
        <v>8.3333333333333357</v>
      </c>
      <c r="J47" s="91">
        <v>8.3333333333333357</v>
      </c>
      <c r="K47" s="91">
        <v>8.3333333333333357</v>
      </c>
      <c r="L47" s="91">
        <v>8.3333333333333357</v>
      </c>
      <c r="M47" s="91">
        <v>8.3333333333333357</v>
      </c>
      <c r="N47" s="91">
        <v>8.3333333333333357</v>
      </c>
      <c r="O47" s="33">
        <f>SUM(C47:N47)</f>
        <v>100.00000000000006</v>
      </c>
      <c r="P47" s="30" t="s">
        <v>339</v>
      </c>
    </row>
    <row r="48" spans="2:17">
      <c r="B48" s="37" t="s">
        <v>113</v>
      </c>
      <c r="C48" s="91">
        <v>8.3333333333333357</v>
      </c>
      <c r="D48" s="91">
        <v>8.3333333333333357</v>
      </c>
      <c r="E48" s="91">
        <v>8.3333333333333357</v>
      </c>
      <c r="F48" s="91">
        <v>8.3333333333333357</v>
      </c>
      <c r="G48" s="91">
        <v>8.3333333333333357</v>
      </c>
      <c r="H48" s="91">
        <v>8.3333333333333357</v>
      </c>
      <c r="I48" s="91">
        <v>8.3333333333333357</v>
      </c>
      <c r="J48" s="91">
        <v>8.3333333333333357</v>
      </c>
      <c r="K48" s="91">
        <v>8.3333333333333357</v>
      </c>
      <c r="L48" s="91">
        <v>8.3333333333333357</v>
      </c>
      <c r="M48" s="91">
        <v>8.3333333333333357</v>
      </c>
      <c r="N48" s="91">
        <v>8.3333333333333357</v>
      </c>
      <c r="O48" s="33">
        <f>SUM(C48:N48)</f>
        <v>100.00000000000006</v>
      </c>
      <c r="P48" s="30" t="s">
        <v>339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xWindow="671" yWindow="522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A8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75.243894581424172</v>
      </c>
      <c r="F6" s="92">
        <v>0</v>
      </c>
      <c r="G6" s="92">
        <v>0</v>
      </c>
      <c r="H6" s="92">
        <v>24.756105388087075</v>
      </c>
      <c r="I6" s="96">
        <f>SUM($C$6:$H$6)</f>
        <v>99.999999969511251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71.942450315241885</v>
      </c>
      <c r="E7" s="92">
        <v>0</v>
      </c>
      <c r="F7" s="92">
        <v>0</v>
      </c>
      <c r="G7" s="92">
        <v>28.057549634721902</v>
      </c>
      <c r="H7" s="92">
        <v>0</v>
      </c>
      <c r="I7" s="96">
        <f>SUM($C$7:$H$7)</f>
        <v>99.999999949963779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99.999999757643238</v>
      </c>
      <c r="G8" s="92">
        <v>1.0150610486257881E-15</v>
      </c>
      <c r="H8" s="92">
        <v>0</v>
      </c>
      <c r="I8" s="96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100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100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42.76</v>
      </c>
      <c r="F19" s="44">
        <f>100-$E$19</f>
        <v>57.24</v>
      </c>
      <c r="G19" s="93">
        <v>42.68</v>
      </c>
      <c r="H19" s="33">
        <f>100-$G$19</f>
        <v>57.32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0</v>
      </c>
      <c r="G27" s="92">
        <v>10.423046248733883</v>
      </c>
      <c r="H27" s="92">
        <v>18.703915715424305</v>
      </c>
      <c r="I27" s="94">
        <v>18.796747593617699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0</v>
      </c>
      <c r="E28" s="92">
        <v>100</v>
      </c>
      <c r="F28" s="92">
        <v>100</v>
      </c>
      <c r="G28" s="92">
        <v>89.576953751266117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81.296084236482116</v>
      </c>
      <c r="I29" s="94">
        <v>81.203252348922732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99.999999951906418</v>
      </c>
      <c r="I30" s="95">
        <f>SUM($I$27:$I$29)</f>
        <v>99.999999942540427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45.536802452265761</v>
      </c>
      <c r="D37" s="93">
        <v>45.536802452265761</v>
      </c>
      <c r="E37" s="93">
        <v>45.536802452265761</v>
      </c>
      <c r="F37" s="93">
        <v>45.536802452265761</v>
      </c>
      <c r="G37" s="93">
        <v>45.536802452265761</v>
      </c>
      <c r="H37" s="93">
        <v>45.536802452265761</v>
      </c>
      <c r="I37" s="93">
        <v>45.536802452265761</v>
      </c>
      <c r="J37" s="93">
        <v>45.536802452265761</v>
      </c>
      <c r="K37" s="93">
        <v>45.536802452265761</v>
      </c>
      <c r="L37" s="93">
        <v>45.536802452265761</v>
      </c>
      <c r="M37" s="93">
        <v>45.536802452265761</v>
      </c>
      <c r="N37" s="93">
        <v>45.536802452265761</v>
      </c>
    </row>
    <row r="38" spans="2:14">
      <c r="B38" s="45" t="s">
        <v>46</v>
      </c>
      <c r="C38" s="93">
        <v>55.597611135075375</v>
      </c>
      <c r="D38" s="93">
        <v>55.597611135075375</v>
      </c>
      <c r="E38" s="93">
        <v>55.597611135075375</v>
      </c>
      <c r="F38" s="93">
        <v>55.597611135075375</v>
      </c>
      <c r="G38" s="93">
        <v>55.597611135075375</v>
      </c>
      <c r="H38" s="93">
        <v>55.597611135075375</v>
      </c>
      <c r="I38" s="93">
        <v>55.597611135075375</v>
      </c>
      <c r="J38" s="93">
        <v>55.597611135075375</v>
      </c>
      <c r="K38" s="93">
        <v>55.597611135075375</v>
      </c>
      <c r="L38" s="93">
        <v>55.597611135075375</v>
      </c>
      <c r="M38" s="93">
        <v>55.597611135075375</v>
      </c>
      <c r="N38" s="93">
        <v>55.597611135075375</v>
      </c>
    </row>
    <row r="39" spans="2:14">
      <c r="B39" s="45" t="s">
        <v>59</v>
      </c>
      <c r="C39" s="93">
        <v>51.710842179057757</v>
      </c>
      <c r="D39" s="93">
        <v>51.710842179057757</v>
      </c>
      <c r="E39" s="93">
        <v>51.710842179057757</v>
      </c>
      <c r="F39" s="93">
        <v>51.710842179057757</v>
      </c>
      <c r="G39" s="93">
        <v>51.710842179057757</v>
      </c>
      <c r="H39" s="93">
        <v>51.710842179057757</v>
      </c>
      <c r="I39" s="93">
        <v>51.710842179057757</v>
      </c>
      <c r="J39" s="93">
        <v>51.710842179057757</v>
      </c>
      <c r="K39" s="93">
        <v>51.710842179057757</v>
      </c>
      <c r="L39" s="93">
        <v>51.710842179057757</v>
      </c>
      <c r="M39" s="93">
        <v>51.710842179057757</v>
      </c>
      <c r="N39" s="93">
        <v>51.710842179057757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17" workbookViewId="0">
      <selection activeCell="F37" sqref="F37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>
      <c r="A1" s="178"/>
    </row>
    <row r="2" spans="1:20" ht="15">
      <c r="C2" s="206" t="s">
        <v>165</v>
      </c>
      <c r="D2" s="206"/>
      <c r="E2" s="206"/>
      <c r="F2" s="206"/>
      <c r="G2" s="206"/>
      <c r="H2" s="206"/>
    </row>
    <row r="3" spans="1:20" ht="15">
      <c r="C3" s="179" t="s">
        <v>414</v>
      </c>
      <c r="D3" s="179"/>
      <c r="E3" s="179"/>
      <c r="F3" s="179"/>
      <c r="G3" s="179"/>
    </row>
    <row r="5" spans="1:20" ht="15">
      <c r="A5" s="180" t="s">
        <v>353</v>
      </c>
      <c r="B5" s="181"/>
      <c r="G5" s="182"/>
      <c r="L5" s="180" t="s">
        <v>354</v>
      </c>
      <c r="M5" s="181"/>
      <c r="R5" s="182"/>
    </row>
    <row r="6" spans="1:20">
      <c r="A6" s="183" t="s">
        <v>355</v>
      </c>
      <c r="B6" s="181"/>
      <c r="G6" s="184"/>
      <c r="H6" s="109"/>
      <c r="L6" s="183" t="s">
        <v>356</v>
      </c>
      <c r="M6" s="181"/>
      <c r="S6" s="124"/>
    </row>
    <row r="7" spans="1:20">
      <c r="A7" s="181"/>
      <c r="B7" s="181" t="s">
        <v>357</v>
      </c>
      <c r="G7" s="184"/>
      <c r="H7" s="185">
        <f>SUM(ORA!$D$116:$O$116)</f>
        <v>49376.912295273098</v>
      </c>
      <c r="L7" s="181"/>
      <c r="M7" s="181" t="s">
        <v>357</v>
      </c>
      <c r="S7" s="186">
        <f>SUM(ORA!$D$127:$O$127)</f>
        <v>245180134.92919499</v>
      </c>
    </row>
    <row r="8" spans="1:20">
      <c r="A8" s="181"/>
      <c r="B8" s="181" t="s">
        <v>358</v>
      </c>
      <c r="G8" s="184"/>
      <c r="H8" s="187">
        <f>SUM(POJ!$D$116:$O$116)</f>
        <v>53867.738967567348</v>
      </c>
      <c r="L8" s="181"/>
      <c r="M8" s="181" t="s">
        <v>358</v>
      </c>
      <c r="S8" s="188">
        <f>SUM(POJ!$D$127:$O$127)</f>
        <v>353753797.34013987</v>
      </c>
    </row>
    <row r="9" spans="1:20">
      <c r="A9" s="181"/>
      <c r="B9" s="181" t="s">
        <v>359</v>
      </c>
      <c r="G9" s="184"/>
      <c r="H9" s="187">
        <f>SUM(ROJ!$D$116:$O$116)</f>
        <v>40895.522464357404</v>
      </c>
      <c r="L9" s="181"/>
      <c r="M9" s="181" t="s">
        <v>359</v>
      </c>
      <c r="S9" s="188">
        <f>SUM(ROJ!$D$127:$O$127)</f>
        <v>255947218.69110119</v>
      </c>
    </row>
    <row r="10" spans="1:20">
      <c r="A10" s="181"/>
      <c r="B10" s="181" t="s">
        <v>360</v>
      </c>
      <c r="G10" s="184"/>
      <c r="H10" s="189">
        <f>SUM(FCOJ!$D$116:$O$116)</f>
        <v>35460.096642654811</v>
      </c>
      <c r="L10" s="181"/>
      <c r="M10" s="181" t="s">
        <v>360</v>
      </c>
      <c r="S10" s="190">
        <f>SUM(FCOJ!$D$127:$O$127)</f>
        <v>177786481.86730075</v>
      </c>
    </row>
    <row r="11" spans="1:20">
      <c r="A11" s="181"/>
      <c r="B11" s="181"/>
      <c r="G11" s="184"/>
      <c r="M11" s="181" t="s">
        <v>361</v>
      </c>
      <c r="T11" s="191">
        <f>SUM($S$7:$S$10)</f>
        <v>1032667632.8277367</v>
      </c>
    </row>
    <row r="12" spans="1:20">
      <c r="A12" s="183" t="s">
        <v>362</v>
      </c>
      <c r="B12" s="181"/>
      <c r="G12" s="184"/>
    </row>
    <row r="13" spans="1:20">
      <c r="A13" s="181"/>
      <c r="B13" s="181" t="s">
        <v>363</v>
      </c>
      <c r="G13" s="184"/>
      <c r="H13" s="192">
        <f>SUM(grove!$C$48:$AX$53)</f>
        <v>175092.28819438134</v>
      </c>
      <c r="L13" s="183" t="s">
        <v>364</v>
      </c>
      <c r="M13" s="181"/>
    </row>
    <row r="14" spans="1:20">
      <c r="A14" s="181"/>
      <c r="B14" s="181" t="s">
        <v>365</v>
      </c>
      <c r="G14" s="184"/>
      <c r="H14" s="185">
        <f>raw_materials!$P$30</f>
        <v>1145.3</v>
      </c>
      <c r="L14" s="181"/>
      <c r="M14" s="181" t="s">
        <v>366</v>
      </c>
      <c r="S14" s="186">
        <f>SUM(grove!$C$58:$AX$63)</f>
        <v>240109541.23587018</v>
      </c>
    </row>
    <row r="15" spans="1:20">
      <c r="A15" s="181"/>
      <c r="B15" s="181" t="s">
        <v>367</v>
      </c>
      <c r="G15" s="184"/>
      <c r="H15" s="189">
        <f>raw_materials!$P$36</f>
        <v>10500</v>
      </c>
      <c r="L15" s="181"/>
      <c r="M15" s="181" t="s">
        <v>368</v>
      </c>
      <c r="S15" s="188">
        <f>(raw_materials!D30*raw_materials!E30+raw_materials!F30*raw_materials!G30+raw_materials!H30*raw_materials!I30+raw_materials!J30*raw_materials!K30+raw_materials!L30*raw_materials!M30)*2000</f>
        <v>2119360.6488901516</v>
      </c>
    </row>
    <row r="16" spans="1:20">
      <c r="A16" s="181"/>
      <c r="B16" s="181" t="s">
        <v>369</v>
      </c>
      <c r="G16" s="184"/>
      <c r="H16" s="193">
        <v>52649.190746403357</v>
      </c>
      <c r="L16" s="181"/>
      <c r="M16" s="181" t="s">
        <v>370</v>
      </c>
      <c r="S16" s="188">
        <f>(raw_materials!D36*raw_materials!E36+raw_materials!F36*raw_materials!G36+raw_materials!H36*raw_materials!I36+raw_materials!J36*raw_materials!K36+raw_materials!L36*raw_materials!M36)*2000</f>
        <v>20364611.907760587</v>
      </c>
    </row>
    <row r="17" spans="1:21">
      <c r="A17" s="181"/>
      <c r="B17" s="181" t="s">
        <v>371</v>
      </c>
      <c r="G17" s="184"/>
      <c r="H17" s="194">
        <v>70594.315407655246</v>
      </c>
      <c r="L17" s="181"/>
      <c r="M17" s="181" t="s">
        <v>372</v>
      </c>
      <c r="S17" s="188">
        <v>37297085.262380853</v>
      </c>
    </row>
    <row r="18" spans="1:21">
      <c r="A18" s="181"/>
      <c r="B18" s="181" t="s">
        <v>373</v>
      </c>
      <c r="G18" s="184"/>
      <c r="H18" s="195">
        <v>43489.407553138961</v>
      </c>
      <c r="L18" s="181"/>
      <c r="M18" s="181" t="s">
        <v>374</v>
      </c>
      <c r="S18" s="190">
        <v>3384612.0000000005</v>
      </c>
    </row>
    <row r="19" spans="1:21">
      <c r="A19" s="181"/>
      <c r="B19" s="181" t="s">
        <v>375</v>
      </c>
      <c r="G19" s="184"/>
      <c r="H19" s="194">
        <v>1864.0397904229708</v>
      </c>
      <c r="L19" s="181"/>
      <c r="M19" s="181" t="s">
        <v>376</v>
      </c>
      <c r="S19" s="196" t="s">
        <v>377</v>
      </c>
      <c r="T19" s="197">
        <f>SUM($S$14:$S$18)</f>
        <v>303275211.05490178</v>
      </c>
      <c r="U19" s="99" t="s">
        <v>378</v>
      </c>
    </row>
    <row r="20" spans="1:21">
      <c r="A20" s="181"/>
      <c r="B20" s="181" t="s">
        <v>379</v>
      </c>
      <c r="G20" s="184"/>
      <c r="H20" s="189">
        <v>2527.2861015999993</v>
      </c>
      <c r="L20" s="181"/>
      <c r="M20" s="181"/>
    </row>
    <row r="21" spans="1:21">
      <c r="A21" s="181"/>
      <c r="B21" s="181"/>
      <c r="G21" s="184"/>
      <c r="L21" s="183" t="s">
        <v>380</v>
      </c>
      <c r="M21" s="181"/>
      <c r="S21" s="124"/>
    </row>
    <row r="22" spans="1:21">
      <c r="A22" s="183" t="s">
        <v>381</v>
      </c>
      <c r="B22" s="181"/>
      <c r="G22" s="184"/>
      <c r="L22" s="181"/>
      <c r="M22" s="181" t="s">
        <v>382</v>
      </c>
      <c r="S22" s="188">
        <v>105298381.49280664</v>
      </c>
    </row>
    <row r="23" spans="1:21">
      <c r="A23" s="181"/>
      <c r="B23" s="181" t="s">
        <v>383</v>
      </c>
      <c r="G23" s="184"/>
      <c r="H23" s="185">
        <f>SUM(raw_materials!$O$31:$O$35)</f>
        <v>2000</v>
      </c>
      <c r="L23" s="181"/>
      <c r="M23" s="181" t="s">
        <v>384</v>
      </c>
      <c r="S23" s="188">
        <v>70594315.407655254</v>
      </c>
    </row>
    <row r="24" spans="1:21">
      <c r="A24" s="181"/>
      <c r="B24" s="181" t="s">
        <v>385</v>
      </c>
      <c r="G24" s="184"/>
      <c r="H24" s="189">
        <f>SUM(raw_materials!$O$37:$O$41)</f>
        <v>35000</v>
      </c>
      <c r="L24" s="181"/>
      <c r="M24" s="181" t="s">
        <v>386</v>
      </c>
      <c r="S24" s="190">
        <v>28268114.909540318</v>
      </c>
    </row>
    <row r="25" spans="1:21">
      <c r="A25" s="181"/>
      <c r="B25" s="181"/>
      <c r="G25" s="184"/>
      <c r="L25" s="181"/>
      <c r="M25" s="181" t="s">
        <v>387</v>
      </c>
      <c r="S25" s="196" t="s">
        <v>377</v>
      </c>
      <c r="T25" s="197">
        <f>SUM($S$22:$S$24)</f>
        <v>204160811.81000224</v>
      </c>
      <c r="U25" s="99" t="s">
        <v>378</v>
      </c>
    </row>
    <row r="26" spans="1:21">
      <c r="A26" s="183" t="s">
        <v>388</v>
      </c>
      <c r="B26" s="181"/>
      <c r="G26" s="184"/>
      <c r="L26" s="181"/>
      <c r="M26" s="181"/>
    </row>
    <row r="27" spans="1:21">
      <c r="A27" s="181"/>
      <c r="B27" s="181" t="s">
        <v>389</v>
      </c>
      <c r="G27" s="184"/>
      <c r="H27" s="185">
        <f>SUMIF(facilities!$C$6:$C$15,"&gt;0",facilities!$C$6:$C$15)</f>
        <v>100</v>
      </c>
      <c r="L27" s="183" t="s">
        <v>390</v>
      </c>
      <c r="M27" s="181"/>
    </row>
    <row r="28" spans="1:21">
      <c r="A28" s="181"/>
      <c r="B28" s="181" t="s">
        <v>391</v>
      </c>
      <c r="G28" s="184"/>
      <c r="H28" s="187">
        <f>SUMIF(facilities!$C$36:$C$106,"&gt;0",facilities!$C$36:$C$106)</f>
        <v>0</v>
      </c>
      <c r="L28" s="181"/>
      <c r="M28" s="181" t="s">
        <v>392</v>
      </c>
      <c r="S28" s="186">
        <v>37957212</v>
      </c>
    </row>
    <row r="29" spans="1:21">
      <c r="A29" s="181"/>
      <c r="B29" s="181" t="s">
        <v>393</v>
      </c>
      <c r="G29" s="184"/>
      <c r="H29" s="187">
        <f>SUMIF(facilities!$C$6:$C$15,"&lt;0",facilities!$C$6:$C$15)</f>
        <v>-800</v>
      </c>
      <c r="L29" s="181"/>
      <c r="M29" s="181" t="s">
        <v>394</v>
      </c>
      <c r="S29" s="188">
        <v>23214950.012217481</v>
      </c>
    </row>
    <row r="30" spans="1:21">
      <c r="A30" s="181"/>
      <c r="B30" s="181" t="s">
        <v>395</v>
      </c>
      <c r="G30" s="184"/>
      <c r="H30" s="189">
        <f>SUMIF(facilities!$C$36:$C$106,"&lt;0",facilities!$C$36:$C$106)</f>
        <v>-15000</v>
      </c>
      <c r="L30" s="181"/>
      <c r="M30" s="181" t="s">
        <v>396</v>
      </c>
      <c r="S30" s="188">
        <v>10309692.229207568</v>
      </c>
    </row>
    <row r="31" spans="1:21">
      <c r="L31" s="181"/>
      <c r="M31" s="181" t="s">
        <v>397</v>
      </c>
      <c r="S31" s="190">
        <f>SUM(ORA!D138:O138)+SUM(POJ!D138:O138)+SUM(ROJ!D138:O138)+SUM(FCOJ!D138:O138)</f>
        <v>123106555.37652898</v>
      </c>
    </row>
    <row r="32" spans="1:21">
      <c r="A32" s="183" t="s">
        <v>398</v>
      </c>
      <c r="B32" s="181"/>
      <c r="G32" s="184"/>
      <c r="L32" s="181"/>
      <c r="M32" s="181" t="s">
        <v>399</v>
      </c>
      <c r="S32" s="112" t="s">
        <v>377</v>
      </c>
      <c r="T32" s="197">
        <f>SUM($S$28:$S$31)</f>
        <v>194588409.61795402</v>
      </c>
      <c r="U32" s="99" t="s">
        <v>378</v>
      </c>
    </row>
    <row r="33" spans="1:21">
      <c r="A33" s="181"/>
      <c r="B33" s="181" t="s">
        <v>400</v>
      </c>
      <c r="G33" s="184"/>
      <c r="H33" s="185">
        <f>COUNTIF(facilities!$H$6:$H$15,"=new")</f>
        <v>0</v>
      </c>
      <c r="M33" s="181"/>
    </row>
    <row r="34" spans="1:21">
      <c r="A34" s="181"/>
      <c r="B34" s="181" t="s">
        <v>401</v>
      </c>
      <c r="G34" s="184"/>
      <c r="H34" s="187">
        <f>COUNTIF(facilities!$H$36:$H$106,"=new")</f>
        <v>0</v>
      </c>
      <c r="L34" s="183" t="s">
        <v>402</v>
      </c>
      <c r="M34" s="181"/>
    </row>
    <row r="35" spans="1:21">
      <c r="B35" s="181" t="s">
        <v>18</v>
      </c>
      <c r="H35" s="189">
        <f>SUMIF(facilities!$C$21:$C$30,"&gt;0",facilities!$C$21:$C$30)</f>
        <v>0</v>
      </c>
      <c r="L35" s="181"/>
      <c r="M35" s="181" t="s">
        <v>403</v>
      </c>
      <c r="S35" s="186">
        <v>36722500</v>
      </c>
    </row>
    <row r="36" spans="1:21">
      <c r="L36" s="181"/>
      <c r="M36" s="181" t="s">
        <v>404</v>
      </c>
      <c r="S36" s="188">
        <f>H33*12000000-H38*70/100*12000000</f>
        <v>0</v>
      </c>
    </row>
    <row r="37" spans="1:21">
      <c r="A37" s="183" t="s">
        <v>405</v>
      </c>
      <c r="L37" s="181"/>
      <c r="M37" s="181" t="s">
        <v>406</v>
      </c>
      <c r="S37" s="188">
        <f>H27*8000+H29*70/100*8000</f>
        <v>-3680000</v>
      </c>
    </row>
    <row r="38" spans="1:21">
      <c r="B38" s="181" t="s">
        <v>400</v>
      </c>
      <c r="H38" s="185">
        <f>COUNTIF(facilities!$H$6:$H$15,"=sold")</f>
        <v>0</v>
      </c>
      <c r="L38" s="181"/>
      <c r="M38" s="181" t="s">
        <v>407</v>
      </c>
      <c r="S38" s="188">
        <v>44600000</v>
      </c>
    </row>
    <row r="39" spans="1:21">
      <c r="B39" s="181" t="s">
        <v>401</v>
      </c>
      <c r="H39" s="187">
        <f>COUNTIF(facilities!$H$36:$H$106,"=sold")</f>
        <v>0</v>
      </c>
      <c r="L39" s="181"/>
      <c r="M39" s="181" t="s">
        <v>408</v>
      </c>
      <c r="S39" s="188">
        <f>H34*9000000-H39*80/100*9000000</f>
        <v>0</v>
      </c>
    </row>
    <row r="40" spans="1:21">
      <c r="B40" s="181" t="s">
        <v>18</v>
      </c>
      <c r="H40" s="189">
        <f>-SUMIF(facilities!$C$21:$C$30,"&lt;0",facilities!$C$21:$C$30)</f>
        <v>85</v>
      </c>
      <c r="L40" s="181"/>
      <c r="M40" s="181" t="s">
        <v>409</v>
      </c>
      <c r="S40" s="188">
        <f>H28*6000+H30*80/100*6000</f>
        <v>-72000000</v>
      </c>
    </row>
    <row r="41" spans="1:21">
      <c r="L41" s="181"/>
      <c r="M41" s="181" t="s">
        <v>410</v>
      </c>
      <c r="S41" s="188">
        <v>37210</v>
      </c>
    </row>
    <row r="42" spans="1:21">
      <c r="L42" s="181"/>
      <c r="M42" s="181" t="s">
        <v>411</v>
      </c>
      <c r="S42" s="190">
        <f>H35*100000-H40*60/100*100000</f>
        <v>-5100000</v>
      </c>
    </row>
    <row r="43" spans="1:21">
      <c r="L43" s="181"/>
      <c r="M43" s="181" t="s">
        <v>412</v>
      </c>
      <c r="S43" s="176" t="s">
        <v>377</v>
      </c>
      <c r="T43" s="197">
        <f>SUM($S$35:$S$42)</f>
        <v>579710</v>
      </c>
      <c r="U43" s="99" t="s">
        <v>378</v>
      </c>
    </row>
    <row r="44" spans="1:21">
      <c r="L44" s="181"/>
      <c r="S44" s="109"/>
    </row>
    <row r="45" spans="1:21" ht="13" thickBot="1">
      <c r="L45" s="198" t="s">
        <v>413</v>
      </c>
      <c r="M45" s="181"/>
      <c r="T45" s="199">
        <f>$T$11-$T$19-$T$25-$T$32-$T$43</f>
        <v>330063490.34487879</v>
      </c>
    </row>
    <row r="46" spans="1:21" ht="13" thickTop="1">
      <c r="M46" s="181"/>
    </row>
    <row r="316" spans="1:1">
      <c r="A316" s="178"/>
    </row>
    <row r="317" spans="1:1">
      <c r="A317" s="178"/>
    </row>
    <row r="318" spans="1:1">
      <c r="A318" s="178"/>
    </row>
    <row r="319" spans="1:1">
      <c r="A319" s="178"/>
    </row>
    <row r="320" spans="1:1">
      <c r="A320" s="178"/>
    </row>
    <row r="321" spans="1:1">
      <c r="A321" s="178"/>
    </row>
    <row r="322" spans="1:1">
      <c r="A322" s="178"/>
    </row>
    <row r="323" spans="1:1">
      <c r="A323" s="178"/>
    </row>
    <row r="325" spans="1:1">
      <c r="A325" s="178"/>
    </row>
    <row r="326" spans="1:1">
      <c r="A326" s="178"/>
    </row>
    <row r="327" spans="1:1">
      <c r="A327" s="178"/>
    </row>
    <row r="328" spans="1:1">
      <c r="A328" s="178"/>
    </row>
    <row r="329" spans="1:1">
      <c r="A329" s="178"/>
    </row>
    <row r="330" spans="1:1">
      <c r="A330" s="178"/>
    </row>
    <row r="331" spans="1:1">
      <c r="A331" s="178"/>
    </row>
    <row r="332" spans="1:1">
      <c r="A332" s="178"/>
    </row>
    <row r="334" spans="1:1">
      <c r="A334" s="178"/>
    </row>
    <row r="335" spans="1:1">
      <c r="A335" s="178"/>
    </row>
    <row r="336" spans="1:1">
      <c r="A336" s="178"/>
    </row>
    <row r="337" spans="1:1">
      <c r="A337" s="178"/>
    </row>
    <row r="338" spans="1:1">
      <c r="A338" s="178"/>
    </row>
    <row r="339" spans="1:1">
      <c r="A339" s="178"/>
    </row>
    <row r="340" spans="1:1">
      <c r="A340" s="178"/>
    </row>
    <row r="341" spans="1:1">
      <c r="A341" s="178"/>
    </row>
    <row r="343" spans="1:1">
      <c r="A343" s="178"/>
    </row>
    <row r="344" spans="1:1">
      <c r="A344" s="178"/>
    </row>
    <row r="345" spans="1:1">
      <c r="A345" s="178"/>
    </row>
    <row r="346" spans="1:1">
      <c r="A346" s="178"/>
    </row>
    <row r="347" spans="1:1">
      <c r="A347" s="178"/>
    </row>
    <row r="348" spans="1:1">
      <c r="A348" s="178"/>
    </row>
    <row r="349" spans="1:1">
      <c r="A349" s="178"/>
    </row>
    <row r="350" spans="1:1">
      <c r="A350" s="178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9" customWidth="1"/>
    <col min="2" max="2" width="15.6640625" style="99" customWidth="1"/>
    <col min="3" max="16384" width="8.83203125" style="99"/>
  </cols>
  <sheetData>
    <row r="2" spans="2:14">
      <c r="B2" s="101" t="s">
        <v>313</v>
      </c>
    </row>
    <row r="3" spans="2:14">
      <c r="B3" s="102" t="s">
        <v>314</v>
      </c>
    </row>
    <row r="4" spans="2:14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>
      <c r="B5" s="170" t="s">
        <v>104</v>
      </c>
      <c r="C5" s="99">
        <v>0.64800797065220828</v>
      </c>
      <c r="D5" s="99">
        <v>0.57247084074280763</v>
      </c>
      <c r="E5" s="99">
        <v>0.70920646656059771</v>
      </c>
      <c r="F5" s="99">
        <v>0.73800275331669785</v>
      </c>
      <c r="G5" s="99">
        <v>0.74120373302990572</v>
      </c>
      <c r="H5" s="99">
        <v>0.64532627027261547</v>
      </c>
      <c r="I5" s="99">
        <v>0.70338958714974342</v>
      </c>
      <c r="J5" s="99">
        <v>0.71365651719905121</v>
      </c>
      <c r="K5" s="99">
        <v>0.69148407299228509</v>
      </c>
      <c r="L5" s="99">
        <v>0.75533260521267298</v>
      </c>
      <c r="M5" s="99">
        <v>0.59039960735354291</v>
      </c>
      <c r="N5" s="99">
        <v>0.63447293110544845</v>
      </c>
    </row>
    <row r="6" spans="2:14">
      <c r="B6" s="170" t="s">
        <v>105</v>
      </c>
      <c r="C6" s="99">
        <v>0.73658692461285113</v>
      </c>
      <c r="D6" s="99">
        <v>0.70243496605079703</v>
      </c>
      <c r="E6" s="99">
        <v>0.68062634174200198</v>
      </c>
      <c r="F6" s="99">
        <v>0.70393581848917997</v>
      </c>
      <c r="G6" s="99">
        <v>0.73115353381519166</v>
      </c>
      <c r="H6" s="99">
        <v>0.65497306105289321</v>
      </c>
      <c r="I6" s="99">
        <v>0.69020401441174661</v>
      </c>
      <c r="J6" s="99">
        <v>0.71382181363384734</v>
      </c>
      <c r="K6" s="99">
        <v>0.75778652903878319</v>
      </c>
      <c r="L6" s="99">
        <v>0.7772895007043511</v>
      </c>
      <c r="M6" s="99">
        <v>0.66714495337865887</v>
      </c>
      <c r="N6" s="99">
        <v>0.64003045399116243</v>
      </c>
    </row>
    <row r="7" spans="2:14">
      <c r="B7" s="170" t="s">
        <v>106</v>
      </c>
      <c r="C7" s="99">
        <v>0.69246036443556069</v>
      </c>
      <c r="D7" s="99">
        <v>0.71960833453524498</v>
      </c>
      <c r="E7" s="99">
        <v>0.73052127732304328</v>
      </c>
      <c r="F7" s="99">
        <v>0.74870401849811707</v>
      </c>
      <c r="G7" s="99">
        <v>0.91382576328320342</v>
      </c>
      <c r="H7" s="99">
        <v>1.1000000000000001</v>
      </c>
      <c r="I7" s="99">
        <v>0.73339384655340856</v>
      </c>
      <c r="J7" s="99">
        <v>0.8691315797021778</v>
      </c>
      <c r="K7" s="99">
        <v>0.69152540333611268</v>
      </c>
      <c r="L7" s="99">
        <v>0.72746479453819268</v>
      </c>
      <c r="M7" s="99">
        <v>0.70152699211983061</v>
      </c>
      <c r="N7" s="99">
        <v>0.64839150228804576</v>
      </c>
    </row>
    <row r="8" spans="2:14">
      <c r="B8" s="170" t="s">
        <v>107</v>
      </c>
      <c r="C8" s="99">
        <v>0.7506171375187779</v>
      </c>
      <c r="D8" s="99">
        <v>0.70524283765632478</v>
      </c>
      <c r="E8" s="99">
        <v>0.73756787902340604</v>
      </c>
      <c r="F8" s="99">
        <v>0.71753751282487888</v>
      </c>
      <c r="G8" s="99">
        <v>0.688406062069847</v>
      </c>
      <c r="H8" s="99">
        <v>0.7212330947464668</v>
      </c>
      <c r="I8" s="99">
        <v>0.72045747977329244</v>
      </c>
      <c r="J8" s="99">
        <v>0.78087226471610705</v>
      </c>
      <c r="K8" s="99">
        <v>0.71649370478576857</v>
      </c>
      <c r="L8" s="99">
        <v>0.72484445286928234</v>
      </c>
      <c r="M8" s="99">
        <v>0.70585584125986445</v>
      </c>
      <c r="N8" s="99">
        <v>0.70086205814742564</v>
      </c>
    </row>
    <row r="9" spans="2:14">
      <c r="B9" s="170" t="s">
        <v>108</v>
      </c>
      <c r="C9" s="99">
        <v>2.0566867506504058</v>
      </c>
      <c r="D9" s="99">
        <v>2.0806373214721678</v>
      </c>
      <c r="E9" s="99">
        <v>2.0664943492412569</v>
      </c>
      <c r="F9" s="99">
        <v>2.0295470452308657</v>
      </c>
      <c r="G9" s="99">
        <v>2.0972676193714141</v>
      </c>
      <c r="H9" s="99">
        <v>2.0672199106216431</v>
      </c>
      <c r="I9" s="99">
        <v>2.1067709958553316</v>
      </c>
      <c r="J9" s="99">
        <v>2.0336438632011413</v>
      </c>
      <c r="K9" s="99">
        <v>2.0351968920230865</v>
      </c>
      <c r="L9" s="99">
        <v>2.0277729129791262</v>
      </c>
      <c r="M9" s="99">
        <v>2.0270895278453827</v>
      </c>
      <c r="N9" s="99">
        <v>2.0917556500434875</v>
      </c>
    </row>
    <row r="10" spans="2:14">
      <c r="B10" s="170" t="s">
        <v>109</v>
      </c>
      <c r="C10" s="99">
        <v>0.61865938305854795</v>
      </c>
      <c r="D10" s="99">
        <v>0.65899188518524177</v>
      </c>
      <c r="E10" s="99">
        <v>0.6536132752895355</v>
      </c>
      <c r="F10" s="99">
        <v>0.61664241552352905</v>
      </c>
      <c r="G10" s="99">
        <v>0.60562506318092346</v>
      </c>
      <c r="H10" s="99">
        <v>0.6482169151306153</v>
      </c>
      <c r="I10" s="99">
        <v>0.66057197451591498</v>
      </c>
      <c r="J10" s="99">
        <v>0.69686495065689091</v>
      </c>
      <c r="K10" s="99">
        <v>0.68666155934333806</v>
      </c>
      <c r="L10" s="99">
        <v>0.66499512195587163</v>
      </c>
      <c r="M10" s="99">
        <v>0.65557426810264585</v>
      </c>
      <c r="N10" s="99">
        <v>0.60084732770919802</v>
      </c>
    </row>
    <row r="11" spans="2:14">
      <c r="B11" s="171"/>
      <c r="C11" s="100"/>
      <c r="D11" s="100"/>
      <c r="E11" s="100"/>
      <c r="F11" s="100"/>
      <c r="G11" s="100"/>
    </row>
    <row r="12" spans="2:14">
      <c r="B12" s="103" t="s">
        <v>315</v>
      </c>
      <c r="C12" s="100"/>
      <c r="D12" s="100"/>
      <c r="E12" s="100"/>
      <c r="F12" s="100"/>
      <c r="G12" s="100"/>
    </row>
    <row r="13" spans="2:14">
      <c r="B13" s="170" t="s">
        <v>316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>
      <c r="B14" s="169" t="s">
        <v>317</v>
      </c>
      <c r="C14" s="100">
        <v>0.3384819198766813</v>
      </c>
      <c r="D14" s="100">
        <v>0.3397383219801326</v>
      </c>
      <c r="E14" s="100">
        <v>0.34099118879763651</v>
      </c>
      <c r="F14" s="100">
        <v>0.34223699499089444</v>
      </c>
      <c r="G14" s="100">
        <v>0.34347223508891411</v>
      </c>
      <c r="H14" s="99">
        <v>0.34469343335176478</v>
      </c>
      <c r="I14" s="99">
        <v>0.34589715355067391</v>
      </c>
      <c r="J14" s="99">
        <v>0.34708000863694755</v>
      </c>
      <c r="K14" s="99">
        <v>0.34823867027250605</v>
      </c>
      <c r="L14" s="99">
        <v>0.34936987819521925</v>
      </c>
      <c r="M14" s="99">
        <v>0.35047044939268884</v>
      </c>
      <c r="N14" s="99">
        <v>0.35153728705866327</v>
      </c>
    </row>
    <row r="15" spans="2:14">
      <c r="B15" s="169" t="s">
        <v>318</v>
      </c>
      <c r="C15" s="99">
        <v>1.1983436919155597</v>
      </c>
      <c r="D15" s="99">
        <v>1.2015209064278671</v>
      </c>
      <c r="E15" s="99">
        <v>1.2046891808390829</v>
      </c>
      <c r="F15" s="99">
        <v>1.2078396002039251</v>
      </c>
      <c r="G15" s="99">
        <v>1.2109632998179514</v>
      </c>
      <c r="H15" s="99">
        <v>1.2140514901612145</v>
      </c>
      <c r="I15" s="99">
        <v>1.2170954816303681</v>
      </c>
      <c r="J15" s="99">
        <v>1.2200867089896201</v>
      </c>
      <c r="K15" s="99">
        <v>1.2230167554717437</v>
      </c>
      <c r="L15" s="99">
        <v>1.2258773764613211</v>
      </c>
      <c r="M15" s="99">
        <v>1.2286605226935845</v>
      </c>
      <c r="N15" s="99">
        <v>1.2313583629035769</v>
      </c>
    </row>
    <row r="16" spans="2:14">
      <c r="B16" s="100"/>
    </row>
    <row r="17" spans="2:14">
      <c r="B17" s="102" t="s">
        <v>319</v>
      </c>
    </row>
    <row r="18" spans="2:14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>
      <c r="B19" s="172" t="s">
        <v>104</v>
      </c>
      <c r="C19" s="99">
        <f>C5</f>
        <v>0.64800797065220828</v>
      </c>
      <c r="D19" s="99">
        <f t="shared" ref="D19:N20" si="0">D5</f>
        <v>0.57247084074280763</v>
      </c>
      <c r="E19" s="99">
        <f t="shared" si="0"/>
        <v>0.70920646656059771</v>
      </c>
      <c r="F19" s="99">
        <f t="shared" si="0"/>
        <v>0.73800275331669785</v>
      </c>
      <c r="G19" s="99">
        <f t="shared" si="0"/>
        <v>0.74120373302990572</v>
      </c>
      <c r="H19" s="99">
        <f t="shared" si="0"/>
        <v>0.64532627027261547</v>
      </c>
      <c r="I19" s="99">
        <f t="shared" si="0"/>
        <v>0.70338958714974342</v>
      </c>
      <c r="J19" s="99">
        <f t="shared" si="0"/>
        <v>0.71365651719905121</v>
      </c>
      <c r="K19" s="99">
        <f t="shared" si="0"/>
        <v>0.69148407299228509</v>
      </c>
      <c r="L19" s="99">
        <f t="shared" si="0"/>
        <v>0.75533260521267298</v>
      </c>
      <c r="M19" s="99">
        <f t="shared" si="0"/>
        <v>0.59039960735354291</v>
      </c>
      <c r="N19" s="99">
        <f t="shared" si="0"/>
        <v>0.63447293110544845</v>
      </c>
    </row>
    <row r="20" spans="2:14">
      <c r="B20" s="172" t="s">
        <v>105</v>
      </c>
      <c r="C20" s="99">
        <f>C6</f>
        <v>0.73658692461285113</v>
      </c>
      <c r="D20" s="99">
        <f t="shared" si="0"/>
        <v>0.70243496605079703</v>
      </c>
      <c r="E20" s="99">
        <f t="shared" si="0"/>
        <v>0.68062634174200198</v>
      </c>
      <c r="F20" s="99">
        <f t="shared" si="0"/>
        <v>0.70393581848917997</v>
      </c>
      <c r="G20" s="99">
        <f t="shared" si="0"/>
        <v>0.73115353381519166</v>
      </c>
      <c r="H20" s="99">
        <f t="shared" si="0"/>
        <v>0.65497306105289321</v>
      </c>
      <c r="I20" s="99">
        <f t="shared" si="0"/>
        <v>0.69020401441174661</v>
      </c>
      <c r="J20" s="99">
        <f t="shared" si="0"/>
        <v>0.71382181363384734</v>
      </c>
      <c r="K20" s="99">
        <f t="shared" si="0"/>
        <v>0.75778652903878319</v>
      </c>
      <c r="L20" s="99">
        <f t="shared" si="0"/>
        <v>0.7772895007043511</v>
      </c>
      <c r="M20" s="99">
        <f t="shared" si="0"/>
        <v>0.66714495337865887</v>
      </c>
      <c r="N20" s="99">
        <f t="shared" si="0"/>
        <v>0.64003045399116243</v>
      </c>
    </row>
    <row r="21" spans="2:14">
      <c r="B21" s="172" t="s">
        <v>106</v>
      </c>
      <c r="C21" s="99">
        <f t="shared" ref="C21:N22" si="1">C7</f>
        <v>0.69246036443556069</v>
      </c>
      <c r="D21" s="99">
        <f t="shared" si="1"/>
        <v>0.71960833453524498</v>
      </c>
      <c r="E21" s="99">
        <f t="shared" si="1"/>
        <v>0.73052127732304328</v>
      </c>
      <c r="F21" s="99">
        <f t="shared" si="1"/>
        <v>0.74870401849811707</v>
      </c>
      <c r="G21" s="99">
        <f t="shared" si="1"/>
        <v>0.91382576328320342</v>
      </c>
      <c r="H21" s="99">
        <f t="shared" si="1"/>
        <v>1.1000000000000001</v>
      </c>
      <c r="I21" s="99">
        <f t="shared" si="1"/>
        <v>0.73339384655340856</v>
      </c>
      <c r="J21" s="99">
        <f t="shared" si="1"/>
        <v>0.8691315797021778</v>
      </c>
      <c r="K21" s="99">
        <f t="shared" si="1"/>
        <v>0.69152540333611268</v>
      </c>
      <c r="L21" s="99">
        <f t="shared" si="1"/>
        <v>0.72746479453819268</v>
      </c>
      <c r="M21" s="99">
        <f t="shared" si="1"/>
        <v>0.70152699211983061</v>
      </c>
      <c r="N21" s="99">
        <f t="shared" si="1"/>
        <v>0.64839150228804576</v>
      </c>
    </row>
    <row r="22" spans="2:14">
      <c r="B22" s="172" t="s">
        <v>107</v>
      </c>
      <c r="C22" s="99">
        <f t="shared" si="1"/>
        <v>0.7506171375187779</v>
      </c>
      <c r="D22" s="99">
        <f t="shared" si="1"/>
        <v>0.70524283765632478</v>
      </c>
      <c r="E22" s="99">
        <f t="shared" si="1"/>
        <v>0.73756787902340604</v>
      </c>
      <c r="F22" s="99">
        <f t="shared" si="1"/>
        <v>0.71753751282487888</v>
      </c>
      <c r="G22" s="99">
        <f t="shared" si="1"/>
        <v>0.688406062069847</v>
      </c>
      <c r="H22" s="99">
        <f t="shared" si="1"/>
        <v>0.7212330947464668</v>
      </c>
      <c r="I22" s="99">
        <f t="shared" si="1"/>
        <v>0.72045747977329244</v>
      </c>
      <c r="J22" s="99">
        <f t="shared" si="1"/>
        <v>0.78087226471610705</v>
      </c>
      <c r="K22" s="99">
        <f t="shared" si="1"/>
        <v>0.71649370478576857</v>
      </c>
      <c r="L22" s="99">
        <f t="shared" si="1"/>
        <v>0.72484445286928234</v>
      </c>
      <c r="M22" s="99">
        <f t="shared" si="1"/>
        <v>0.70585584125986445</v>
      </c>
      <c r="N22" s="99">
        <f t="shared" si="1"/>
        <v>0.70086205814742564</v>
      </c>
    </row>
    <row r="23" spans="2:14">
      <c r="B23" s="172" t="s">
        <v>108</v>
      </c>
      <c r="C23" s="99">
        <f>C9*C14</f>
        <v>0.69615127994508263</v>
      </c>
      <c r="D23" s="99">
        <f t="shared" ref="D23:N24" si="2">D9*D14</f>
        <v>0.706872232246192</v>
      </c>
      <c r="E23" s="99">
        <f t="shared" si="2"/>
        <v>0.70465636479137439</v>
      </c>
      <c r="F23" s="99">
        <f t="shared" si="2"/>
        <v>0.69458608195246041</v>
      </c>
      <c r="G23" s="99">
        <f t="shared" si="2"/>
        <v>0.72035319680510557</v>
      </c>
      <c r="H23" s="99">
        <f t="shared" si="2"/>
        <v>0.7125571284853025</v>
      </c>
      <c r="I23" s="99">
        <f t="shared" si="2"/>
        <v>0.7287260906494778</v>
      </c>
      <c r="J23" s="99">
        <f t="shared" si="2"/>
        <v>0.70583712960432754</v>
      </c>
      <c r="K23" s="99">
        <f t="shared" si="2"/>
        <v>0.70873425942085666</v>
      </c>
      <c r="L23" s="99">
        <f t="shared" si="2"/>
        <v>0.70844277561508229</v>
      </c>
      <c r="M23" s="99">
        <f t="shared" si="2"/>
        <v>0.71043497778318465</v>
      </c>
      <c r="N23" s="99">
        <f t="shared" si="2"/>
        <v>0.73533010640591823</v>
      </c>
    </row>
    <row r="24" spans="2:14">
      <c r="B24" s="172" t="s">
        <v>109</v>
      </c>
      <c r="C24" s="99">
        <f>C10*C15</f>
        <v>0.74136656913258281</v>
      </c>
      <c r="D24" s="99">
        <f t="shared" si="2"/>
        <v>0.7917925272163806</v>
      </c>
      <c r="E24" s="99">
        <f t="shared" si="2"/>
        <v>0.78740084119410059</v>
      </c>
      <c r="F24" s="99">
        <f t="shared" si="2"/>
        <v>0.74480512863472204</v>
      </c>
      <c r="G24" s="99">
        <f t="shared" si="2"/>
        <v>0.73338972496202637</v>
      </c>
      <c r="H24" s="99">
        <f t="shared" si="2"/>
        <v>0.78696871176202898</v>
      </c>
      <c r="I24" s="99">
        <f t="shared" si="2"/>
        <v>0.80397916547497073</v>
      </c>
      <c r="J24" s="99">
        <f t="shared" si="2"/>
        <v>0.85023566425718</v>
      </c>
      <c r="K24" s="99">
        <f t="shared" si="2"/>
        <v>0.83979859241525756</v>
      </c>
      <c r="L24" s="99">
        <f t="shared" si="2"/>
        <v>0.81520247546284019</v>
      </c>
      <c r="M24" s="99">
        <f t="shared" si="2"/>
        <v>0.80547822291146098</v>
      </c>
      <c r="N24" s="99">
        <f t="shared" si="2"/>
        <v>0.73985838180298702</v>
      </c>
    </row>
    <row r="25" spans="2:14">
      <c r="B25" s="171"/>
    </row>
    <row r="26" spans="2:14">
      <c r="B26" s="103" t="s">
        <v>320</v>
      </c>
    </row>
    <row r="27" spans="2:14">
      <c r="B27" s="98" t="s">
        <v>321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>
      <c r="B28" s="98" t="s">
        <v>104</v>
      </c>
      <c r="C28" s="99">
        <f>IF(C19&lt;=raw_materials!$D17,raw_materials!$C17,IF(C19&lt;=raw_materials!$F17,raw_materials!$E17,IF(C19&lt;=raw_materials!$H17,raw_materials!$G17,0)))</f>
        <v>1</v>
      </c>
      <c r="D28" s="99">
        <f>IF(D19&lt;=raw_materials!$D17,raw_materials!$C17,IF(D19&lt;=raw_materials!$F17,raw_materials!$E17,IF(D19&lt;=raw_materials!$H17,raw_materials!$G17,0)))</f>
        <v>1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1</v>
      </c>
      <c r="G28" s="99">
        <f>IF(G19&lt;=raw_materials!$D17,raw_materials!$C17,IF(G19&lt;=raw_materials!$F17,raw_materials!$E17,IF(G19&lt;=raw_materials!$H17,raw_materials!$G17,0)))</f>
        <v>1</v>
      </c>
      <c r="H28" s="99">
        <f>IF(H19&lt;=raw_materials!$D17,raw_materials!$C17,IF(H19&lt;=raw_materials!$F17,raw_materials!$E17,IF(H19&lt;=raw_materials!$H17,raw_materials!$G17,0)))</f>
        <v>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1</v>
      </c>
      <c r="L28" s="99">
        <f>IF(L19&lt;=raw_materials!$D17,raw_materials!$C17,IF(L19&lt;=raw_materials!$F17,raw_materials!$E17,IF(L19&lt;=raw_materials!$H17,raw_materials!$G17,0)))</f>
        <v>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</v>
      </c>
    </row>
    <row r="29" spans="2:14">
      <c r="B29" s="98" t="s">
        <v>105</v>
      </c>
      <c r="C29" s="99">
        <f>IF(C20&lt;=raw_materials!$D18,raw_materials!$C18,IF(C20&lt;=raw_materials!$F18,raw_materials!$E18,IF(C20&lt;=raw_materials!$H18,raw_materials!$G18,0)))</f>
        <v>1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1</v>
      </c>
      <c r="G29" s="99">
        <f>IF(G20&lt;=raw_materials!$D18,raw_materials!$C18,IF(G20&lt;=raw_materials!$F18,raw_materials!$E18,IF(G20&lt;=raw_materials!$H18,raw_materials!$G18,0)))</f>
        <v>1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0.8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</v>
      </c>
      <c r="F30" s="99">
        <f>IF(F21&lt;=raw_materials!$D19,raw_materials!$C19,IF(F21&lt;=raw_materials!$F19,raw_materials!$E19,IF(F21&lt;=raw_materials!$H19,raw_materials!$G19,0)))</f>
        <v>1</v>
      </c>
      <c r="G30" s="99">
        <f>IF(G21&lt;=raw_materials!$D19,raw_materials!$C19,IF(G21&lt;=raw_materials!$F19,raw_materials!$E19,IF(G21&lt;=raw_materials!$H19,raw_materials!$G19,0)))</f>
        <v>0.8</v>
      </c>
      <c r="H30" s="99">
        <f>IF(H21&lt;=raw_materials!$D19,raw_materials!$C19,IF(H21&lt;=raw_materials!$F19,raw_materials!$E19,IF(H21&lt;=raw_materials!$H19,raw_materials!$G19,0)))</f>
        <v>0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0.8</v>
      </c>
      <c r="K30" s="99">
        <f>IF(K21&lt;=raw_materials!$D19,raw_materials!$C19,IF(K21&lt;=raw_materials!$F19,raw_materials!$E19,IF(K21&lt;=raw_materials!$H19,raw_materials!$G19,0)))</f>
        <v>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1</v>
      </c>
    </row>
    <row r="31" spans="2:14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1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1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</v>
      </c>
    </row>
    <row r="32" spans="2:14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>
      <c r="B33" s="98" t="s">
        <v>109</v>
      </c>
      <c r="C33" s="99">
        <f>IF(C24&lt;=raw_materials!$D22,raw_materials!$C22,IF(C24&lt;=raw_materials!$F22,raw_materials!$E22,IF(C24&lt;=raw_materials!$H22,raw_materials!$G22,0)))</f>
        <v>0.8</v>
      </c>
      <c r="D33" s="99">
        <f>IF(D24&lt;=raw_materials!$D22,raw_materials!$C22,IF(D24&lt;=raw_materials!$F22,raw_materials!$E22,IF(D24&lt;=raw_materials!$H22,raw_materials!$G22,0)))</f>
        <v>0.8</v>
      </c>
      <c r="E33" s="99">
        <f>IF(E24&lt;=raw_materials!$D22,raw_materials!$C22,IF(E24&lt;=raw_materials!$F22,raw_materials!$E22,IF(E24&lt;=raw_materials!$H22,raw_materials!$G22,0)))</f>
        <v>0.8</v>
      </c>
      <c r="F33" s="99">
        <f>IF(F24&lt;=raw_materials!$D22,raw_materials!$C22,IF(F24&lt;=raw_materials!$F22,raw_materials!$E22,IF(F24&lt;=raw_materials!$H22,raw_materials!$G22,0)))</f>
        <v>0.8</v>
      </c>
      <c r="G33" s="99">
        <f>IF(G24&lt;=raw_materials!$D22,raw_materials!$C22,IF(G24&lt;=raw_materials!$F22,raw_materials!$E22,IF(G24&lt;=raw_materials!$H22,raw_materials!$G22,0)))</f>
        <v>1</v>
      </c>
      <c r="H33" s="99">
        <f>IF(H24&lt;=raw_materials!$D22,raw_materials!$C22,IF(H24&lt;=raw_materials!$F22,raw_materials!$E22,IF(H24&lt;=raw_materials!$H22,raw_materials!$G22,0)))</f>
        <v>0.8</v>
      </c>
      <c r="I33" s="99">
        <f>IF(I24&lt;=raw_materials!$D22,raw_materials!$C22,IF(I24&lt;=raw_materials!$F22,raw_materials!$E22,IF(I24&lt;=raw_materials!$H22,raw_materials!$G22,0)))</f>
        <v>0</v>
      </c>
      <c r="J33" s="99">
        <f>IF(J24&lt;=raw_materials!$D22,raw_materials!$C22,IF(J24&lt;=raw_materials!$F22,raw_materials!$E22,IF(J24&lt;=raw_materials!$H22,raw_materials!$G22,0)))</f>
        <v>0</v>
      </c>
      <c r="K33" s="99">
        <f>IF(K24&lt;=raw_materials!$D22,raw_materials!$C22,IF(K24&lt;=raw_materials!$F22,raw_materials!$E22,IF(K24&lt;=raw_materials!$H22,raw_materials!$G22,0)))</f>
        <v>0</v>
      </c>
      <c r="L33" s="99">
        <f>IF(L24&lt;=raw_materials!$D22,raw_materials!$C22,IF(L24&lt;=raw_materials!$F22,raw_materials!$E22,IF(L24&lt;=raw_materials!$H22,raw_materials!$G22,0)))</f>
        <v>0</v>
      </c>
      <c r="M33" s="99">
        <f>IF(M24&lt;=raw_materials!$D22,raw_materials!$C22,IF(M24&lt;=raw_materials!$F22,raw_materials!$E22,IF(M24&lt;=raw_materials!$H22,raw_materials!$G22,0)))</f>
        <v>0</v>
      </c>
      <c r="N33" s="99">
        <f>IF(N24&lt;=raw_materials!$D22,raw_materials!$C22,IF(N24&lt;=raw_materials!$F22,raw_materials!$E22,IF(N24&lt;=raw_materials!$H22,raw_materials!$G22,0)))</f>
        <v>1</v>
      </c>
    </row>
    <row r="35" spans="2:50">
      <c r="B35" s="102" t="s">
        <v>322</v>
      </c>
    </row>
    <row r="36" spans="2:50">
      <c r="B36" s="169" t="s">
        <v>274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>
      <c r="B37" s="169" t="s">
        <v>323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>
      <c r="B38" s="169" t="s">
        <v>104</v>
      </c>
      <c r="C38" s="99">
        <v>25054.902514011505</v>
      </c>
      <c r="D38" s="99">
        <v>25109.81675262624</v>
      </c>
      <c r="E38" s="99">
        <v>25164.733912812586</v>
      </c>
      <c r="F38" s="99">
        <v>25219.64518704552</v>
      </c>
      <c r="G38" s="99">
        <v>25274.541764850626</v>
      </c>
      <c r="H38" s="99">
        <v>25329.41483434946</v>
      </c>
      <c r="I38" s="99">
        <v>25384.255583806131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25712.128310447646</v>
      </c>
      <c r="P38" s="99">
        <v>25766.496428023554</v>
      </c>
      <c r="Q38" s="99">
        <v>18074.53334578146</v>
      </c>
      <c r="R38" s="99">
        <v>25874.916053205223</v>
      </c>
      <c r="S38" s="99">
        <v>25928.950094808049</v>
      </c>
      <c r="T38" s="99">
        <v>2598.2855339308271</v>
      </c>
      <c r="U38" s="99">
        <v>26036.623097350748</v>
      </c>
      <c r="V38" s="99">
        <v>26090.24469980675</v>
      </c>
      <c r="W38" s="99">
        <v>26143.711499307632</v>
      </c>
      <c r="X38" s="99">
        <v>26197.014871775551</v>
      </c>
      <c r="Y38" s="99">
        <v>18375.102352565613</v>
      </c>
      <c r="Z38" s="99">
        <v>26303.096964916222</v>
      </c>
      <c r="AA38" s="99">
        <v>26355.858567616488</v>
      </c>
      <c r="AB38" s="99">
        <v>10563.36900415001</v>
      </c>
      <c r="AC38" s="99">
        <v>26460.780308405316</v>
      </c>
      <c r="AD38" s="99">
        <v>26512.923509318131</v>
      </c>
      <c r="AE38" s="99">
        <v>26564.8436946238</v>
      </c>
      <c r="AF38" s="99">
        <v>26616.532481229282</v>
      </c>
      <c r="AG38" s="99">
        <v>26667.981522929855</v>
      </c>
      <c r="AH38" s="99">
        <v>26719.182511895149</v>
      </c>
      <c r="AI38" s="99">
        <v>26770.127180149142</v>
      </c>
      <c r="AJ38" s="99">
        <v>26820.807301044035</v>
      </c>
      <c r="AK38" s="99">
        <v>26871.21469072756</v>
      </c>
      <c r="AL38" s="99">
        <v>18844.938846722496</v>
      </c>
      <c r="AM38" s="99">
        <v>18879.825134649927</v>
      </c>
      <c r="AN38" s="99">
        <v>18914.503514580269</v>
      </c>
      <c r="AO38" s="99">
        <v>10827.981935896303</v>
      </c>
      <c r="AP38" s="99">
        <v>27118.877415268147</v>
      </c>
      <c r="AQ38" s="99">
        <v>19017.235395524818</v>
      </c>
      <c r="AR38" s="99">
        <v>27215.752159530173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>
      <c r="B39" s="169" t="s">
        <v>105</v>
      </c>
      <c r="C39" s="99">
        <v>10523.059055884833</v>
      </c>
      <c r="D39" s="99">
        <v>15065.890051575743</v>
      </c>
      <c r="E39" s="99">
        <v>15098.84034768755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15263.433121904818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15427.276986268587</v>
      </c>
      <c r="P39" s="99">
        <v>15459.897856814132</v>
      </c>
      <c r="Q39" s="99">
        <v>15492.457153526968</v>
      </c>
      <c r="R39" s="99">
        <v>15524.949631923135</v>
      </c>
      <c r="S39" s="99">
        <v>15557.370056884829</v>
      </c>
      <c r="T39" s="99">
        <v>15589.713203584963</v>
      </c>
      <c r="U39" s="99">
        <v>15621.973858410449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15876.468185043188</v>
      </c>
      <c r="AD39" s="99">
        <v>15907.754105590879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11243.453415662638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11348.702108748161</v>
      </c>
      <c r="AO39" s="99">
        <v>11369.381032691117</v>
      </c>
      <c r="AP39" s="99">
        <v>16271.326449160888</v>
      </c>
      <c r="AQ39" s="99">
        <v>16300.487481878417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16443.241393938872</v>
      </c>
      <c r="AW39" s="99">
        <v>16471.149688083475</v>
      </c>
      <c r="AX39" s="99">
        <v>16498.833238615145</v>
      </c>
    </row>
    <row r="40" spans="2:50">
      <c r="B40" s="169" t="s">
        <v>106</v>
      </c>
      <c r="C40" s="99">
        <v>5010.9805028023011</v>
      </c>
      <c r="D40" s="99">
        <v>5021.9633505252477</v>
      </c>
      <c r="E40" s="99">
        <v>5032.946782562517</v>
      </c>
      <c r="F40" s="99">
        <v>5043.9290374091042</v>
      </c>
      <c r="G40" s="99">
        <v>3538.4358470790876</v>
      </c>
      <c r="H40" s="99">
        <v>5065.8829668698918</v>
      </c>
      <c r="I40" s="99">
        <v>5076.851116761226</v>
      </c>
      <c r="J40" s="99">
        <v>5087.8110406349388</v>
      </c>
      <c r="K40" s="99">
        <v>5098.7609771294274</v>
      </c>
      <c r="L40" s="99">
        <v>5109.6991658403376</v>
      </c>
      <c r="M40" s="99">
        <v>5120.6238476302397</v>
      </c>
      <c r="N40" s="99">
        <v>5131.5332649382435</v>
      </c>
      <c r="O40" s="99">
        <v>2056.970264835812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2078.6284271446616</v>
      </c>
      <c r="U40" s="99">
        <v>5207.3246194701496</v>
      </c>
      <c r="V40" s="99">
        <v>521.80489399613498</v>
      </c>
      <c r="W40" s="99">
        <v>522.87422998615273</v>
      </c>
      <c r="X40" s="99">
        <v>523.94029743551107</v>
      </c>
      <c r="Y40" s="99">
        <v>525.00292435901758</v>
      </c>
      <c r="Z40" s="99">
        <v>5260.6193929832443</v>
      </c>
      <c r="AA40" s="99">
        <v>5271.1717135232975</v>
      </c>
      <c r="AB40" s="99">
        <v>5281.6845020750052</v>
      </c>
      <c r="AC40" s="99">
        <v>5292.156061681063</v>
      </c>
      <c r="AD40" s="99">
        <v>5302.5847018636268</v>
      </c>
      <c r="AE40" s="99">
        <v>5312.9687389247601</v>
      </c>
      <c r="AF40" s="99">
        <v>2129.3225984983428</v>
      </c>
      <c r="AG40" s="99">
        <v>2133.4385218343887</v>
      </c>
      <c r="AH40" s="99">
        <v>5343.8365023790293</v>
      </c>
      <c r="AI40" s="99">
        <v>5354.0254360298286</v>
      </c>
      <c r="AJ40" s="99">
        <v>5364.1614602088066</v>
      </c>
      <c r="AK40" s="99">
        <v>5374.2429381455113</v>
      </c>
      <c r="AL40" s="99">
        <v>5384.2682419207131</v>
      </c>
      <c r="AM40" s="99">
        <v>3775.9650269299855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5443.150431906035</v>
      </c>
      <c r="AS40" s="99">
        <v>5452.7377389875128</v>
      </c>
      <c r="AT40" s="99">
        <v>5462.2562017647024</v>
      </c>
      <c r="AU40" s="99">
        <v>5471.7042848759638</v>
      </c>
      <c r="AV40" s="99">
        <v>5481.0804646462902</v>
      </c>
      <c r="AW40" s="99">
        <v>5490.3832293611586</v>
      </c>
      <c r="AX40" s="99">
        <v>5499.611079538382</v>
      </c>
    </row>
    <row r="41" spans="2:50">
      <c r="B41" s="169" t="s">
        <v>107</v>
      </c>
      <c r="C41" s="99">
        <v>3006.5883016813805</v>
      </c>
      <c r="D41" s="99">
        <v>3013.1780103151486</v>
      </c>
      <c r="E41" s="99">
        <v>3019.7680695375102</v>
      </c>
      <c r="F41" s="99">
        <v>3026.3574224454624</v>
      </c>
      <c r="G41" s="99">
        <v>3032.9450117820752</v>
      </c>
      <c r="H41" s="99">
        <v>3039.5297801219349</v>
      </c>
      <c r="I41" s="99">
        <v>3046.1106700567357</v>
      </c>
      <c r="J41" s="99">
        <v>3052.6866243809636</v>
      </c>
      <c r="K41" s="99">
        <v>3059.2565862776564</v>
      </c>
      <c r="L41" s="99">
        <v>3065.8194995042027</v>
      </c>
      <c r="M41" s="99">
        <v>3072.3743085781439</v>
      </c>
      <c r="N41" s="99">
        <v>3078.9199589629461</v>
      </c>
      <c r="O41" s="99">
        <v>3085.4553972537178</v>
      </c>
      <c r="P41" s="99">
        <v>3091.9795713628264</v>
      </c>
      <c r="Q41" s="99">
        <v>3098.4914307053937</v>
      </c>
      <c r="R41" s="99">
        <v>3104.9899263846269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3137.2453799169161</v>
      </c>
      <c r="X41" s="99">
        <v>3143.6417846130662</v>
      </c>
      <c r="Y41" s="99">
        <v>3150.0175461541053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318.77812433548564</v>
      </c>
      <c r="AF41" s="99">
        <v>3193.9838977475138</v>
      </c>
      <c r="AG41" s="99">
        <v>3200.1577827515825</v>
      </c>
      <c r="AH41" s="99">
        <v>3206.3019014274178</v>
      </c>
      <c r="AI41" s="99">
        <v>3212.4152616178967</v>
      </c>
      <c r="AJ41" s="99">
        <v>3218.496876125284</v>
      </c>
      <c r="AK41" s="99">
        <v>3224.5457628873069</v>
      </c>
      <c r="AL41" s="99">
        <v>3230.5609451524278</v>
      </c>
      <c r="AM41" s="99">
        <v>3236.5414516542737</v>
      </c>
      <c r="AN41" s="99">
        <v>3242.486316785189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3283.0225709255783</v>
      </c>
      <c r="AV41" s="99">
        <v>3288.648278787774</v>
      </c>
      <c r="AW41" s="99">
        <v>3294.2299376166952</v>
      </c>
      <c r="AX41" s="99">
        <v>3299.7666477230291</v>
      </c>
    </row>
    <row r="42" spans="2:50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>
      <c r="B45" s="102" t="s">
        <v>324</v>
      </c>
    </row>
    <row r="46" spans="2:50">
      <c r="B46" s="98" t="s">
        <v>274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>
      <c r="B47" s="98" t="s">
        <v>325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>
      <c r="B48" s="98" t="s">
        <v>104</v>
      </c>
      <c r="C48" s="99">
        <v>2814.2552678550974</v>
      </c>
      <c r="D48" s="99">
        <v>2814.2552678550974</v>
      </c>
      <c r="E48" s="99">
        <v>2814.2552678550974</v>
      </c>
      <c r="F48" s="99">
        <v>2814.2552678550974</v>
      </c>
      <c r="G48" s="99">
        <v>2814.2552678550974</v>
      </c>
      <c r="H48" s="99">
        <v>2814.2552678550974</v>
      </c>
      <c r="I48" s="99">
        <v>2814.2552678550974</v>
      </c>
      <c r="J48" s="99">
        <v>2814.2552678550974</v>
      </c>
      <c r="K48" s="99">
        <v>2814.2552678550974</v>
      </c>
      <c r="L48" s="99">
        <v>2814.2552678550974</v>
      </c>
      <c r="M48" s="99">
        <v>2814.2552678550974</v>
      </c>
      <c r="N48" s="99">
        <v>2814.2552678550974</v>
      </c>
      <c r="O48" s="99">
        <v>2814.2552678550974</v>
      </c>
      <c r="P48" s="99">
        <v>2814.2552678550974</v>
      </c>
      <c r="Q48" s="99">
        <v>2814.2552678550974</v>
      </c>
      <c r="R48" s="99">
        <v>2814.2552678550974</v>
      </c>
      <c r="S48" s="99">
        <v>2814.2552678550974</v>
      </c>
      <c r="T48" s="99">
        <v>2598.2855339308271</v>
      </c>
      <c r="U48" s="99">
        <v>2814.2552678550974</v>
      </c>
      <c r="V48" s="99">
        <v>2814.2552678550974</v>
      </c>
      <c r="W48" s="99">
        <v>2814.2552678550974</v>
      </c>
      <c r="X48" s="99">
        <v>2814.2552678550974</v>
      </c>
      <c r="Y48" s="99">
        <v>2814.2552678550974</v>
      </c>
      <c r="Z48" s="99">
        <v>2814.2552678550974</v>
      </c>
      <c r="AA48" s="99">
        <v>2814.2552678550974</v>
      </c>
      <c r="AB48" s="99">
        <v>2814.2552678550974</v>
      </c>
      <c r="AC48" s="99">
        <v>2814.2552678550974</v>
      </c>
      <c r="AD48" s="99">
        <v>2814.2552678550974</v>
      </c>
      <c r="AE48" s="99">
        <v>2814.2552678550974</v>
      </c>
      <c r="AF48" s="99">
        <v>2814.2552678550974</v>
      </c>
      <c r="AG48" s="99">
        <v>2814.2552678550974</v>
      </c>
      <c r="AH48" s="99">
        <v>2814.2552678550974</v>
      </c>
      <c r="AI48" s="99">
        <v>2814.2552678550974</v>
      </c>
      <c r="AJ48" s="99">
        <v>2814.2552678550974</v>
      </c>
      <c r="AK48" s="99">
        <v>2814.2552678550974</v>
      </c>
      <c r="AL48" s="99">
        <v>2814.2552678550974</v>
      </c>
      <c r="AM48" s="99">
        <v>2814.2552678550974</v>
      </c>
      <c r="AN48" s="99">
        <v>2814.2552678550974</v>
      </c>
      <c r="AO48" s="99">
        <v>2814.2552678550974</v>
      </c>
      <c r="AP48" s="99">
        <v>2814.2552678550974</v>
      </c>
      <c r="AQ48" s="99">
        <v>2814.2552678550974</v>
      </c>
      <c r="AR48" s="99">
        <v>2814.2552678550974</v>
      </c>
      <c r="AS48" s="99">
        <v>2814.2552678550974</v>
      </c>
      <c r="AT48" s="99">
        <v>2814.2552678550974</v>
      </c>
      <c r="AU48" s="99">
        <v>2814.2552678550974</v>
      </c>
      <c r="AV48" s="99">
        <v>2814.2552678550974</v>
      </c>
      <c r="AW48" s="99">
        <v>2814.2552678550974</v>
      </c>
      <c r="AX48" s="99">
        <v>2814.2552678550974</v>
      </c>
    </row>
    <row r="49" spans="2:51">
      <c r="B49" s="98" t="s">
        <v>105</v>
      </c>
      <c r="C49" s="99">
        <v>695.0001070609627</v>
      </c>
      <c r="D49" s="99">
        <v>695.0001070609627</v>
      </c>
      <c r="E49" s="99">
        <v>695.0001070609627</v>
      </c>
      <c r="F49" s="99">
        <v>695.0001070609627</v>
      </c>
      <c r="G49" s="99">
        <v>695.0001070609627</v>
      </c>
      <c r="H49" s="99">
        <v>695.0001070609627</v>
      </c>
      <c r="I49" s="99">
        <v>695.0001070609627</v>
      </c>
      <c r="J49" s="99">
        <v>695.0001070609627</v>
      </c>
      <c r="K49" s="99">
        <v>695.0001070609627</v>
      </c>
      <c r="L49" s="99">
        <v>695.0001070609627</v>
      </c>
      <c r="M49" s="99">
        <v>695.0001070609627</v>
      </c>
      <c r="N49" s="99">
        <v>695.0001070609627</v>
      </c>
      <c r="O49" s="99">
        <v>695.0001070609627</v>
      </c>
      <c r="P49" s="99">
        <v>695.0001070609627</v>
      </c>
      <c r="Q49" s="99">
        <v>695.0001070609627</v>
      </c>
      <c r="R49" s="99">
        <v>695.0001070609627</v>
      </c>
      <c r="S49" s="99">
        <v>695.0001070609627</v>
      </c>
      <c r="T49" s="99">
        <v>695.0001070609627</v>
      </c>
      <c r="U49" s="99">
        <v>695.0001070609627</v>
      </c>
      <c r="V49" s="99">
        <v>695.0001070609627</v>
      </c>
      <c r="W49" s="99">
        <v>695.0001070609627</v>
      </c>
      <c r="X49" s="99">
        <v>695.0001070609627</v>
      </c>
      <c r="Y49" s="99">
        <v>695.0001070609627</v>
      </c>
      <c r="Z49" s="99">
        <v>695.0001070609627</v>
      </c>
      <c r="AA49" s="99">
        <v>695.0001070609627</v>
      </c>
      <c r="AB49" s="99">
        <v>695.0001070609627</v>
      </c>
      <c r="AC49" s="99">
        <v>695.0001070609627</v>
      </c>
      <c r="AD49" s="99">
        <v>695.0001070609627</v>
      </c>
      <c r="AE49" s="99">
        <v>695.0001070609627</v>
      </c>
      <c r="AF49" s="99">
        <v>695.0001070609627</v>
      </c>
      <c r="AG49" s="99">
        <v>695.0001070609627</v>
      </c>
      <c r="AH49" s="99">
        <v>695.0001070609627</v>
      </c>
      <c r="AI49" s="99">
        <v>695.0001070609627</v>
      </c>
      <c r="AJ49" s="99">
        <v>695.0001070609627</v>
      </c>
      <c r="AK49" s="99">
        <v>695.0001070609627</v>
      </c>
      <c r="AL49" s="99">
        <v>695.0001070609627</v>
      </c>
      <c r="AM49" s="99">
        <v>556.00008564877021</v>
      </c>
      <c r="AN49" s="99">
        <v>556.00008564877021</v>
      </c>
      <c r="AO49" s="99">
        <v>556.00008564877021</v>
      </c>
      <c r="AP49" s="99">
        <v>556.00008564877021</v>
      </c>
      <c r="AQ49" s="99">
        <v>695.0001070609627</v>
      </c>
      <c r="AR49" s="99">
        <v>695.0001070609627</v>
      </c>
      <c r="AS49" s="99">
        <v>695.0001070609627</v>
      </c>
      <c r="AT49" s="99">
        <v>695.0001070609627</v>
      </c>
      <c r="AU49" s="99">
        <v>695.0001070609627</v>
      </c>
      <c r="AV49" s="99">
        <v>695.0001070609627</v>
      </c>
      <c r="AW49" s="99">
        <v>695.0001070609627</v>
      </c>
      <c r="AX49" s="99">
        <v>695.0001070609627</v>
      </c>
    </row>
    <row r="50" spans="2:51">
      <c r="B50" s="98" t="s">
        <v>106</v>
      </c>
      <c r="C50" s="99">
        <v>175.00000042412435</v>
      </c>
      <c r="D50" s="99">
        <v>175.00000042412435</v>
      </c>
      <c r="E50" s="99">
        <v>175.00000042412435</v>
      </c>
      <c r="F50" s="99">
        <v>175.00000042412435</v>
      </c>
      <c r="G50" s="99">
        <v>175.00000042412435</v>
      </c>
      <c r="H50" s="99">
        <v>175.00000042412435</v>
      </c>
      <c r="I50" s="99">
        <v>175.00000042412435</v>
      </c>
      <c r="J50" s="99">
        <v>175.00000042412435</v>
      </c>
      <c r="K50" s="99">
        <v>175.00000042412435</v>
      </c>
      <c r="L50" s="99">
        <v>175.00000042412435</v>
      </c>
      <c r="M50" s="99">
        <v>175.00000042412435</v>
      </c>
      <c r="N50" s="99">
        <v>175.00000042412435</v>
      </c>
      <c r="O50" s="99">
        <v>175.00000042412435</v>
      </c>
      <c r="P50" s="99">
        <v>175.00000042412435</v>
      </c>
      <c r="Q50" s="99">
        <v>175.00000042412435</v>
      </c>
      <c r="R50" s="99">
        <v>175.00000042412435</v>
      </c>
      <c r="S50" s="99">
        <v>140.00000033929948</v>
      </c>
      <c r="T50" s="99">
        <v>140.00000033929948</v>
      </c>
      <c r="U50" s="99">
        <v>140.00000033929948</v>
      </c>
      <c r="V50" s="99">
        <v>140.00000033929948</v>
      </c>
      <c r="W50" s="99">
        <v>0</v>
      </c>
      <c r="X50" s="99">
        <v>0</v>
      </c>
      <c r="Y50" s="99">
        <v>0</v>
      </c>
      <c r="Z50" s="99">
        <v>0</v>
      </c>
      <c r="AA50" s="99">
        <v>175.00000042412435</v>
      </c>
      <c r="AB50" s="99">
        <v>175.00000042412435</v>
      </c>
      <c r="AC50" s="99">
        <v>175.00000042412435</v>
      </c>
      <c r="AD50" s="99">
        <v>175.00000042412435</v>
      </c>
      <c r="AE50" s="99">
        <v>140.00000033929948</v>
      </c>
      <c r="AF50" s="99">
        <v>140.00000033929948</v>
      </c>
      <c r="AG50" s="99">
        <v>140.00000033929948</v>
      </c>
      <c r="AH50" s="99">
        <v>140.00000033929948</v>
      </c>
      <c r="AI50" s="99">
        <v>175.00000042412435</v>
      </c>
      <c r="AJ50" s="99">
        <v>175.00000042412435</v>
      </c>
      <c r="AK50" s="99">
        <v>175.00000042412435</v>
      </c>
      <c r="AL50" s="99">
        <v>175.00000042412435</v>
      </c>
      <c r="AM50" s="99">
        <v>175.00000042412435</v>
      </c>
      <c r="AN50" s="99">
        <v>175.00000042412435</v>
      </c>
      <c r="AO50" s="99">
        <v>175.00000042412435</v>
      </c>
      <c r="AP50" s="99">
        <v>175.00000042412435</v>
      </c>
      <c r="AQ50" s="99">
        <v>175.00000042412435</v>
      </c>
      <c r="AR50" s="99">
        <v>175.00000042412435</v>
      </c>
      <c r="AS50" s="99">
        <v>175.00000042412435</v>
      </c>
      <c r="AT50" s="99">
        <v>175.00000042412435</v>
      </c>
      <c r="AU50" s="99">
        <v>175.00000042412435</v>
      </c>
      <c r="AV50" s="99">
        <v>175.00000042412435</v>
      </c>
      <c r="AW50" s="99">
        <v>175.00000042412435</v>
      </c>
      <c r="AX50" s="99">
        <v>175.00000042412435</v>
      </c>
      <c r="AY50" s="111"/>
    </row>
    <row r="51" spans="2:51">
      <c r="B51" s="98" t="s">
        <v>107</v>
      </c>
      <c r="C51" s="99">
        <v>0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0</v>
      </c>
      <c r="N51" s="99">
        <v>0</v>
      </c>
      <c r="O51" s="99">
        <v>0</v>
      </c>
      <c r="P51" s="99">
        <v>0</v>
      </c>
      <c r="Q51" s="99">
        <v>0</v>
      </c>
      <c r="R51" s="99">
        <v>0</v>
      </c>
      <c r="S51" s="99">
        <v>0</v>
      </c>
      <c r="T51" s="99">
        <v>0</v>
      </c>
      <c r="U51" s="99">
        <v>0</v>
      </c>
      <c r="V51" s="99">
        <v>0</v>
      </c>
      <c r="W51" s="99">
        <v>0</v>
      </c>
      <c r="X51" s="99">
        <v>0</v>
      </c>
      <c r="Y51" s="99">
        <v>0</v>
      </c>
      <c r="Z51" s="99">
        <v>0</v>
      </c>
      <c r="AA51" s="99">
        <v>0</v>
      </c>
      <c r="AB51" s="99">
        <v>0</v>
      </c>
      <c r="AC51" s="99">
        <v>0</v>
      </c>
      <c r="AD51" s="99">
        <v>0</v>
      </c>
      <c r="AE51" s="99">
        <v>0</v>
      </c>
      <c r="AF51" s="99">
        <v>0</v>
      </c>
      <c r="AG51" s="99">
        <v>0</v>
      </c>
      <c r="AH51" s="99">
        <v>0</v>
      </c>
      <c r="AI51" s="99">
        <v>0</v>
      </c>
      <c r="AJ51" s="99">
        <v>0</v>
      </c>
      <c r="AK51" s="99">
        <v>0</v>
      </c>
      <c r="AL51" s="99">
        <v>0</v>
      </c>
      <c r="AM51" s="99">
        <v>0</v>
      </c>
      <c r="AN51" s="99">
        <v>0</v>
      </c>
      <c r="AO51" s="99">
        <v>0</v>
      </c>
      <c r="AP51" s="99">
        <v>0</v>
      </c>
      <c r="AQ51" s="99">
        <v>0</v>
      </c>
      <c r="AR51" s="99">
        <v>0</v>
      </c>
      <c r="AS51" s="99">
        <v>0</v>
      </c>
      <c r="AT51" s="99">
        <v>0</v>
      </c>
      <c r="AU51" s="99">
        <v>0</v>
      </c>
      <c r="AV51" s="99">
        <v>0</v>
      </c>
      <c r="AW51" s="99">
        <v>0</v>
      </c>
      <c r="AX51" s="99">
        <v>0</v>
      </c>
      <c r="AY51" s="110"/>
    </row>
    <row r="52" spans="2:51">
      <c r="B52" s="98" t="s">
        <v>108</v>
      </c>
      <c r="C52" s="99">
        <v>0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0</v>
      </c>
      <c r="O52" s="99">
        <v>0</v>
      </c>
      <c r="P52" s="99">
        <v>0</v>
      </c>
      <c r="Q52" s="99">
        <v>0</v>
      </c>
      <c r="R52" s="99">
        <v>0</v>
      </c>
      <c r="S52" s="99">
        <v>0</v>
      </c>
      <c r="T52" s="99">
        <v>0</v>
      </c>
      <c r="U52" s="99">
        <v>0</v>
      </c>
      <c r="V52" s="99">
        <v>0</v>
      </c>
      <c r="W52" s="99">
        <v>0</v>
      </c>
      <c r="X52" s="99">
        <v>0</v>
      </c>
      <c r="Y52" s="99">
        <v>0</v>
      </c>
      <c r="Z52" s="99">
        <v>0</v>
      </c>
      <c r="AA52" s="99">
        <v>0</v>
      </c>
      <c r="AB52" s="99">
        <v>0</v>
      </c>
      <c r="AC52" s="99">
        <v>0</v>
      </c>
      <c r="AD52" s="99">
        <v>0</v>
      </c>
      <c r="AE52" s="99">
        <v>0</v>
      </c>
      <c r="AF52" s="99">
        <v>0</v>
      </c>
      <c r="AG52" s="99">
        <v>0</v>
      </c>
      <c r="AH52" s="99">
        <v>0</v>
      </c>
      <c r="AI52" s="99">
        <v>0</v>
      </c>
      <c r="AJ52" s="99">
        <v>0</v>
      </c>
      <c r="AK52" s="99">
        <v>0</v>
      </c>
      <c r="AL52" s="99">
        <v>0</v>
      </c>
      <c r="AM52" s="99">
        <v>0</v>
      </c>
      <c r="AN52" s="99">
        <v>0</v>
      </c>
      <c r="AO52" s="99">
        <v>0</v>
      </c>
      <c r="AP52" s="99">
        <v>0</v>
      </c>
      <c r="AQ52" s="99">
        <v>0</v>
      </c>
      <c r="AR52" s="99">
        <v>0</v>
      </c>
      <c r="AS52" s="99">
        <v>0</v>
      </c>
      <c r="AT52" s="99">
        <v>0</v>
      </c>
      <c r="AU52" s="99">
        <v>0</v>
      </c>
      <c r="AV52" s="99">
        <v>0</v>
      </c>
      <c r="AW52" s="99">
        <v>0</v>
      </c>
      <c r="AX52" s="99">
        <v>0</v>
      </c>
    </row>
    <row r="53" spans="2:51">
      <c r="B53" s="98" t="s">
        <v>109</v>
      </c>
      <c r="C53" s="99">
        <v>0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0</v>
      </c>
      <c r="O53" s="99">
        <v>0</v>
      </c>
      <c r="P53" s="99">
        <v>0</v>
      </c>
      <c r="Q53" s="99">
        <v>0</v>
      </c>
      <c r="R53" s="99">
        <v>0</v>
      </c>
      <c r="S53" s="99">
        <v>0</v>
      </c>
      <c r="T53" s="99">
        <v>0</v>
      </c>
      <c r="U53" s="99">
        <v>0</v>
      </c>
      <c r="V53" s="99">
        <v>0</v>
      </c>
      <c r="W53" s="99">
        <v>0</v>
      </c>
      <c r="X53" s="99">
        <v>0</v>
      </c>
      <c r="Y53" s="99">
        <v>0</v>
      </c>
      <c r="Z53" s="99">
        <v>0</v>
      </c>
      <c r="AA53" s="99">
        <v>0</v>
      </c>
      <c r="AB53" s="99">
        <v>0</v>
      </c>
      <c r="AC53" s="99">
        <v>0</v>
      </c>
      <c r="AD53" s="99">
        <v>0</v>
      </c>
      <c r="AE53" s="99">
        <v>0</v>
      </c>
      <c r="AF53" s="99">
        <v>0</v>
      </c>
      <c r="AG53" s="99">
        <v>0</v>
      </c>
      <c r="AH53" s="99">
        <v>0</v>
      </c>
      <c r="AI53" s="99">
        <v>0</v>
      </c>
      <c r="AJ53" s="99">
        <v>0</v>
      </c>
      <c r="AK53" s="99">
        <v>0</v>
      </c>
      <c r="AL53" s="99">
        <v>0</v>
      </c>
      <c r="AM53" s="99">
        <v>0</v>
      </c>
      <c r="AN53" s="99">
        <v>0</v>
      </c>
      <c r="AO53" s="99">
        <v>0</v>
      </c>
      <c r="AP53" s="99">
        <v>0</v>
      </c>
      <c r="AQ53" s="99">
        <v>0</v>
      </c>
      <c r="AR53" s="99">
        <v>0</v>
      </c>
      <c r="AS53" s="99">
        <v>0</v>
      </c>
      <c r="AT53" s="99">
        <v>0</v>
      </c>
      <c r="AU53" s="99">
        <v>0</v>
      </c>
      <c r="AV53" s="99">
        <v>0</v>
      </c>
      <c r="AW53" s="99">
        <v>0</v>
      </c>
      <c r="AX53" s="99">
        <v>0</v>
      </c>
    </row>
    <row r="55" spans="2:51">
      <c r="B55" s="173" t="s">
        <v>326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>
      <c r="B56" s="104" t="s">
        <v>274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>
      <c r="B57" s="104" t="s">
        <v>325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>
      <c r="B58" s="104" t="s">
        <v>104</v>
      </c>
      <c r="C58" s="99">
        <v>3647319.6900401372</v>
      </c>
      <c r="D58" s="99">
        <v>3647319.6900401372</v>
      </c>
      <c r="E58" s="99">
        <v>3647319.6900401372</v>
      </c>
      <c r="F58" s="99">
        <v>3647319.6900401372</v>
      </c>
      <c r="G58" s="99">
        <v>3222158.1585077657</v>
      </c>
      <c r="H58" s="99">
        <v>3222158.1585077657</v>
      </c>
      <c r="I58" s="99">
        <v>3222158.1585077657</v>
      </c>
      <c r="J58" s="99">
        <v>3222158.1585077657</v>
      </c>
      <c r="K58" s="99">
        <v>3991776.0690301242</v>
      </c>
      <c r="L58" s="99">
        <v>3991776.0690301242</v>
      </c>
      <c r="M58" s="99">
        <v>3991776.0690301242</v>
      </c>
      <c r="N58" s="99">
        <v>3991776.0690301242</v>
      </c>
      <c r="O58" s="99">
        <v>4153856.2724261656</v>
      </c>
      <c r="P58" s="99">
        <v>4153856.2724261656</v>
      </c>
      <c r="Q58" s="99">
        <v>4153856.2724261656</v>
      </c>
      <c r="R58" s="99">
        <v>4153856.2724261656</v>
      </c>
      <c r="S58" s="99">
        <v>4171873.0204665507</v>
      </c>
      <c r="T58" s="99">
        <v>3851717.8744542617</v>
      </c>
      <c r="U58" s="99">
        <v>4171873.0204665507</v>
      </c>
      <c r="V58" s="99">
        <v>4171873.0204665507</v>
      </c>
      <c r="W58" s="99">
        <v>3632225.7111999807</v>
      </c>
      <c r="X58" s="99">
        <v>3632225.7111999807</v>
      </c>
      <c r="Y58" s="99">
        <v>3632225.7111999807</v>
      </c>
      <c r="Z58" s="99">
        <v>3632225.7111999807</v>
      </c>
      <c r="AA58" s="99">
        <v>3959035.7019811748</v>
      </c>
      <c r="AB58" s="99">
        <v>3959035.7019811748</v>
      </c>
      <c r="AC58" s="99">
        <v>3959035.7019811748</v>
      </c>
      <c r="AD58" s="99">
        <v>3959035.7019811748</v>
      </c>
      <c r="AE58" s="99">
        <v>4016823.2259331034</v>
      </c>
      <c r="AF58" s="99">
        <v>4016823.2259331034</v>
      </c>
      <c r="AG58" s="99">
        <v>4016823.2259331034</v>
      </c>
      <c r="AH58" s="99">
        <v>4016823.2259331034</v>
      </c>
      <c r="AI58" s="99">
        <v>3892025.3901128741</v>
      </c>
      <c r="AJ58" s="99">
        <v>3892025.3901128741</v>
      </c>
      <c r="AK58" s="99">
        <v>3892025.3901128741</v>
      </c>
      <c r="AL58" s="99">
        <v>3892025.3901128741</v>
      </c>
      <c r="AM58" s="99">
        <v>4251397.5264049582</v>
      </c>
      <c r="AN58" s="99">
        <v>4251397.5264049582</v>
      </c>
      <c r="AO58" s="99">
        <v>4251397.5264049582</v>
      </c>
      <c r="AP58" s="99">
        <v>4251397.5264049582</v>
      </c>
      <c r="AQ58" s="99">
        <v>3323070.4102685787</v>
      </c>
      <c r="AR58" s="99">
        <v>3323070.4102685787</v>
      </c>
      <c r="AS58" s="99">
        <v>3323070.4102685787</v>
      </c>
      <c r="AT58" s="99">
        <v>3323070.4102685787</v>
      </c>
      <c r="AU58" s="99">
        <v>3571137.5773499454</v>
      </c>
      <c r="AV58" s="99">
        <v>3571137.5773499454</v>
      </c>
      <c r="AW58" s="99">
        <v>3571137.5773499454</v>
      </c>
      <c r="AX58" s="99">
        <v>3571137.5773499454</v>
      </c>
    </row>
    <row r="59" spans="2:51">
      <c r="B59" s="104" t="s">
        <v>105</v>
      </c>
      <c r="C59" s="99">
        <v>1023855.9829312736</v>
      </c>
      <c r="D59" s="99">
        <v>1023855.9829312736</v>
      </c>
      <c r="E59" s="99">
        <v>1023855.9829312736</v>
      </c>
      <c r="F59" s="99">
        <v>1023855.9829312736</v>
      </c>
      <c r="G59" s="99">
        <v>976384.75321733532</v>
      </c>
      <c r="H59" s="99">
        <v>976384.75321733532</v>
      </c>
      <c r="I59" s="99">
        <v>976384.75321733532</v>
      </c>
      <c r="J59" s="99">
        <v>976384.75321733532</v>
      </c>
      <c r="K59" s="99">
        <v>946070.76075840555</v>
      </c>
      <c r="L59" s="99">
        <v>946070.76075840555</v>
      </c>
      <c r="M59" s="99">
        <v>946070.76075840555</v>
      </c>
      <c r="N59" s="99">
        <v>946070.76075840555</v>
      </c>
      <c r="O59" s="99">
        <v>978470.93842805293</v>
      </c>
      <c r="P59" s="99">
        <v>978470.93842805293</v>
      </c>
      <c r="Q59" s="99">
        <v>978470.93842805293</v>
      </c>
      <c r="R59" s="99">
        <v>978470.93842805293</v>
      </c>
      <c r="S59" s="99">
        <v>1016303.5685591189</v>
      </c>
      <c r="T59" s="99">
        <v>1016303.5685591189</v>
      </c>
      <c r="U59" s="99">
        <v>1016303.5685591189</v>
      </c>
      <c r="V59" s="99">
        <v>1016303.5685591189</v>
      </c>
      <c r="W59" s="99">
        <v>910412.69510761451</v>
      </c>
      <c r="X59" s="99">
        <v>910412.69510761451</v>
      </c>
      <c r="Y59" s="99">
        <v>910412.69510761451</v>
      </c>
      <c r="Z59" s="99">
        <v>910412.69510761451</v>
      </c>
      <c r="AA59" s="99">
        <v>959383.72782014031</v>
      </c>
      <c r="AB59" s="99">
        <v>959383.72782014031</v>
      </c>
      <c r="AC59" s="99">
        <v>959383.72782014031</v>
      </c>
      <c r="AD59" s="99">
        <v>959383.72782014031</v>
      </c>
      <c r="AE59" s="99">
        <v>992212.4737959489</v>
      </c>
      <c r="AF59" s="99">
        <v>992212.4737959489</v>
      </c>
      <c r="AG59" s="99">
        <v>992212.4737959489</v>
      </c>
      <c r="AH59" s="99">
        <v>992212.4737959489</v>
      </c>
      <c r="AI59" s="99">
        <v>1053323.4376226191</v>
      </c>
      <c r="AJ59" s="99">
        <v>1053323.4376226191</v>
      </c>
      <c r="AK59" s="99">
        <v>1053323.4376226191</v>
      </c>
      <c r="AL59" s="99">
        <v>1053323.4376226191</v>
      </c>
      <c r="AM59" s="99">
        <v>864346.05793101806</v>
      </c>
      <c r="AN59" s="99">
        <v>864346.05793101806</v>
      </c>
      <c r="AO59" s="99">
        <v>864346.05793101806</v>
      </c>
      <c r="AP59" s="99">
        <v>864346.05793101806</v>
      </c>
      <c r="AQ59" s="99">
        <v>927331.62804669782</v>
      </c>
      <c r="AR59" s="99">
        <v>927331.62804669782</v>
      </c>
      <c r="AS59" s="99">
        <v>927331.62804669782</v>
      </c>
      <c r="AT59" s="99">
        <v>927331.62804669782</v>
      </c>
      <c r="AU59" s="99">
        <v>889642.46809226891</v>
      </c>
      <c r="AV59" s="99">
        <v>889642.46809226891</v>
      </c>
      <c r="AW59" s="99">
        <v>889642.46809226891</v>
      </c>
      <c r="AX59" s="99">
        <v>889642.46809226891</v>
      </c>
    </row>
    <row r="60" spans="2:51">
      <c r="B60" s="104" t="s">
        <v>106</v>
      </c>
      <c r="C60" s="99">
        <v>242361.12813982484</v>
      </c>
      <c r="D60" s="99">
        <v>242361.12813982484</v>
      </c>
      <c r="E60" s="99">
        <v>242361.12813982484</v>
      </c>
      <c r="F60" s="99">
        <v>242361.12813982484</v>
      </c>
      <c r="G60" s="99">
        <v>251862.91769774258</v>
      </c>
      <c r="H60" s="99">
        <v>251862.91769774258</v>
      </c>
      <c r="I60" s="99">
        <v>251862.91769774258</v>
      </c>
      <c r="J60" s="99">
        <v>251862.91769774258</v>
      </c>
      <c r="K60" s="99">
        <v>255682.44768272887</v>
      </c>
      <c r="L60" s="99">
        <v>255682.44768272887</v>
      </c>
      <c r="M60" s="99">
        <v>255682.44768272887</v>
      </c>
      <c r="N60" s="99">
        <v>255682.44768272887</v>
      </c>
      <c r="O60" s="99">
        <v>262046.40710942817</v>
      </c>
      <c r="P60" s="99">
        <v>262046.40710942817</v>
      </c>
      <c r="Q60" s="99">
        <v>262046.40710942817</v>
      </c>
      <c r="R60" s="99">
        <v>262046.40710942817</v>
      </c>
      <c r="S60" s="99">
        <v>255871.21433941816</v>
      </c>
      <c r="T60" s="99">
        <v>255871.21433941816</v>
      </c>
      <c r="U60" s="99">
        <v>255871.21433941816</v>
      </c>
      <c r="V60" s="99">
        <v>255871.21433941816</v>
      </c>
      <c r="W60" s="99">
        <v>0</v>
      </c>
      <c r="X60" s="99">
        <v>0</v>
      </c>
      <c r="Y60" s="99">
        <v>0</v>
      </c>
      <c r="Z60" s="99">
        <v>0</v>
      </c>
      <c r="AA60" s="99">
        <v>256687.84691579337</v>
      </c>
      <c r="AB60" s="99">
        <v>256687.84691579337</v>
      </c>
      <c r="AC60" s="99">
        <v>256687.84691579337</v>
      </c>
      <c r="AD60" s="99">
        <v>256687.84691579337</v>
      </c>
      <c r="AE60" s="99">
        <v>243356.84290640158</v>
      </c>
      <c r="AF60" s="99">
        <v>243356.84290640158</v>
      </c>
      <c r="AG60" s="99">
        <v>243356.84290640158</v>
      </c>
      <c r="AH60" s="99">
        <v>243356.84290640158</v>
      </c>
      <c r="AI60" s="99">
        <v>242033.89175422495</v>
      </c>
      <c r="AJ60" s="99">
        <v>242033.89175422495</v>
      </c>
      <c r="AK60" s="99">
        <v>242033.89175422495</v>
      </c>
      <c r="AL60" s="99">
        <v>242033.89175422495</v>
      </c>
      <c r="AM60" s="99">
        <v>254612.67870543851</v>
      </c>
      <c r="AN60" s="99">
        <v>254612.67870543851</v>
      </c>
      <c r="AO60" s="99">
        <v>254612.67870543851</v>
      </c>
      <c r="AP60" s="99">
        <v>254612.67870543851</v>
      </c>
      <c r="AQ60" s="99">
        <v>245534.44783701008</v>
      </c>
      <c r="AR60" s="99">
        <v>245534.44783701008</v>
      </c>
      <c r="AS60" s="99">
        <v>245534.44783701008</v>
      </c>
      <c r="AT60" s="99">
        <v>245534.44783701008</v>
      </c>
      <c r="AU60" s="99">
        <v>226937.02635081325</v>
      </c>
      <c r="AV60" s="99">
        <v>226937.02635081325</v>
      </c>
      <c r="AW60" s="99">
        <v>226937.02635081325</v>
      </c>
      <c r="AX60" s="99">
        <v>226937.02635081325</v>
      </c>
    </row>
    <row r="61" spans="2:51">
      <c r="B61" s="104" t="s">
        <v>107</v>
      </c>
      <c r="C61" s="99">
        <v>0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9">
        <v>0</v>
      </c>
      <c r="O61" s="99">
        <v>0</v>
      </c>
      <c r="P61" s="99">
        <v>0</v>
      </c>
      <c r="Q61" s="99">
        <v>0</v>
      </c>
      <c r="R61" s="99">
        <v>0</v>
      </c>
      <c r="S61" s="99">
        <v>0</v>
      </c>
      <c r="T61" s="99">
        <v>0</v>
      </c>
      <c r="U61" s="99">
        <v>0</v>
      </c>
      <c r="V61" s="99">
        <v>0</v>
      </c>
      <c r="W61" s="99">
        <v>0</v>
      </c>
      <c r="X61" s="99">
        <v>0</v>
      </c>
      <c r="Y61" s="99">
        <v>0</v>
      </c>
      <c r="Z61" s="99">
        <v>0</v>
      </c>
      <c r="AA61" s="99">
        <v>0</v>
      </c>
      <c r="AB61" s="99">
        <v>0</v>
      </c>
      <c r="AC61" s="99">
        <v>0</v>
      </c>
      <c r="AD61" s="99">
        <v>0</v>
      </c>
      <c r="AE61" s="99">
        <v>0</v>
      </c>
      <c r="AF61" s="99">
        <v>0</v>
      </c>
      <c r="AG61" s="99">
        <v>0</v>
      </c>
      <c r="AH61" s="99">
        <v>0</v>
      </c>
      <c r="AI61" s="99">
        <v>0</v>
      </c>
      <c r="AJ61" s="99">
        <v>0</v>
      </c>
      <c r="AK61" s="99">
        <v>0</v>
      </c>
      <c r="AL61" s="99">
        <v>0</v>
      </c>
      <c r="AM61" s="99">
        <v>0</v>
      </c>
      <c r="AN61" s="99">
        <v>0</v>
      </c>
      <c r="AO61" s="99">
        <v>0</v>
      </c>
      <c r="AP61" s="99">
        <v>0</v>
      </c>
      <c r="AQ61" s="99">
        <v>0</v>
      </c>
      <c r="AR61" s="99">
        <v>0</v>
      </c>
      <c r="AS61" s="99">
        <v>0</v>
      </c>
      <c r="AT61" s="99">
        <v>0</v>
      </c>
      <c r="AU61" s="99">
        <v>0</v>
      </c>
      <c r="AV61" s="99">
        <v>0</v>
      </c>
      <c r="AW61" s="99">
        <v>0</v>
      </c>
      <c r="AX61" s="99">
        <v>0</v>
      </c>
    </row>
    <row r="62" spans="2:51">
      <c r="B62" s="104" t="s">
        <v>108</v>
      </c>
      <c r="C62" s="99">
        <v>0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0</v>
      </c>
      <c r="O62" s="99">
        <v>0</v>
      </c>
      <c r="P62" s="99">
        <v>0</v>
      </c>
      <c r="Q62" s="99">
        <v>0</v>
      </c>
      <c r="R62" s="99">
        <v>0</v>
      </c>
      <c r="S62" s="99">
        <v>0</v>
      </c>
      <c r="T62" s="99">
        <v>0</v>
      </c>
      <c r="U62" s="99">
        <v>0</v>
      </c>
      <c r="V62" s="99">
        <v>0</v>
      </c>
      <c r="W62" s="99">
        <v>0</v>
      </c>
      <c r="X62" s="99">
        <v>0</v>
      </c>
      <c r="Y62" s="99">
        <v>0</v>
      </c>
      <c r="Z62" s="99">
        <v>0</v>
      </c>
      <c r="AA62" s="99">
        <v>0</v>
      </c>
      <c r="AB62" s="99">
        <v>0</v>
      </c>
      <c r="AC62" s="99">
        <v>0</v>
      </c>
      <c r="AD62" s="99">
        <v>0</v>
      </c>
      <c r="AE62" s="99">
        <v>0</v>
      </c>
      <c r="AF62" s="99">
        <v>0</v>
      </c>
      <c r="AG62" s="99">
        <v>0</v>
      </c>
      <c r="AH62" s="99">
        <v>0</v>
      </c>
      <c r="AI62" s="99">
        <v>0</v>
      </c>
      <c r="AJ62" s="99">
        <v>0</v>
      </c>
      <c r="AK62" s="99">
        <v>0</v>
      </c>
      <c r="AL62" s="99">
        <v>0</v>
      </c>
      <c r="AM62" s="99">
        <v>0</v>
      </c>
      <c r="AN62" s="99">
        <v>0</v>
      </c>
      <c r="AO62" s="99">
        <v>0</v>
      </c>
      <c r="AP62" s="99">
        <v>0</v>
      </c>
      <c r="AQ62" s="99">
        <v>0</v>
      </c>
      <c r="AR62" s="99">
        <v>0</v>
      </c>
      <c r="AS62" s="99">
        <v>0</v>
      </c>
      <c r="AT62" s="99">
        <v>0</v>
      </c>
      <c r="AU62" s="99">
        <v>0</v>
      </c>
      <c r="AV62" s="99">
        <v>0</v>
      </c>
      <c r="AW62" s="99">
        <v>0</v>
      </c>
      <c r="AX62" s="99">
        <v>0</v>
      </c>
    </row>
    <row r="63" spans="2:51">
      <c r="B63" s="104" t="s">
        <v>109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0</v>
      </c>
      <c r="O63" s="99">
        <v>0</v>
      </c>
      <c r="P63" s="99">
        <v>0</v>
      </c>
      <c r="Q63" s="99">
        <v>0</v>
      </c>
      <c r="R63" s="99">
        <v>0</v>
      </c>
      <c r="S63" s="99">
        <v>0</v>
      </c>
      <c r="T63" s="99">
        <v>0</v>
      </c>
      <c r="U63" s="99">
        <v>0</v>
      </c>
      <c r="V63" s="99">
        <v>0</v>
      </c>
      <c r="W63" s="99">
        <v>0</v>
      </c>
      <c r="X63" s="99">
        <v>0</v>
      </c>
      <c r="Y63" s="99">
        <v>0</v>
      </c>
      <c r="Z63" s="99">
        <v>0</v>
      </c>
      <c r="AA63" s="99">
        <v>0</v>
      </c>
      <c r="AB63" s="99">
        <v>0</v>
      </c>
      <c r="AC63" s="99">
        <v>0</v>
      </c>
      <c r="AD63" s="99">
        <v>0</v>
      </c>
      <c r="AE63" s="99">
        <v>0</v>
      </c>
      <c r="AF63" s="99">
        <v>0</v>
      </c>
      <c r="AG63" s="99">
        <v>0</v>
      </c>
      <c r="AH63" s="99">
        <v>0</v>
      </c>
      <c r="AI63" s="99">
        <v>0</v>
      </c>
      <c r="AJ63" s="99">
        <v>0</v>
      </c>
      <c r="AK63" s="99">
        <v>0</v>
      </c>
      <c r="AL63" s="99">
        <v>0</v>
      </c>
      <c r="AM63" s="99">
        <v>0</v>
      </c>
      <c r="AN63" s="99">
        <v>0</v>
      </c>
      <c r="AO63" s="99">
        <v>0</v>
      </c>
      <c r="AP63" s="99">
        <v>0</v>
      </c>
      <c r="AQ63" s="99">
        <v>0</v>
      </c>
      <c r="AR63" s="99">
        <v>0</v>
      </c>
      <c r="AS63" s="99">
        <v>0</v>
      </c>
      <c r="AT63" s="99">
        <v>0</v>
      </c>
      <c r="AU63" s="99">
        <v>0</v>
      </c>
      <c r="AV63" s="99">
        <v>0</v>
      </c>
      <c r="AW63" s="99">
        <v>0</v>
      </c>
      <c r="AX63" s="99">
        <v>0</v>
      </c>
    </row>
    <row r="64" spans="2:51">
      <c r="B64" s="100"/>
    </row>
    <row r="65" spans="1:14">
      <c r="B65" s="103" t="s">
        <v>327</v>
      </c>
    </row>
    <row r="66" spans="1:14">
      <c r="B66" s="98" t="s">
        <v>328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>
      <c r="B67" s="98" t="s">
        <v>329</v>
      </c>
      <c r="C67" s="99">
        <v>95.441666666666691</v>
      </c>
      <c r="D67" s="99">
        <v>95.441666666666691</v>
      </c>
      <c r="E67" s="99">
        <v>95.441666666666691</v>
      </c>
      <c r="F67" s="99">
        <v>95.441666666666691</v>
      </c>
      <c r="G67" s="99">
        <v>95.441666666666691</v>
      </c>
      <c r="H67" s="99">
        <v>95.441666666666691</v>
      </c>
      <c r="I67" s="99">
        <v>95.441666666666691</v>
      </c>
      <c r="J67" s="99">
        <v>95.441666666666691</v>
      </c>
      <c r="K67" s="99">
        <v>95.441666666666691</v>
      </c>
      <c r="L67" s="99">
        <v>95.441666666666691</v>
      </c>
      <c r="M67" s="99">
        <v>95.441666666666691</v>
      </c>
      <c r="N67" s="99">
        <v>95.441666666666691</v>
      </c>
    </row>
    <row r="68" spans="1:14">
      <c r="B68" s="98" t="s">
        <v>330</v>
      </c>
      <c r="C68" s="99">
        <v>875.00000000000034</v>
      </c>
      <c r="D68" s="99">
        <v>875.00000000000034</v>
      </c>
      <c r="E68" s="99">
        <v>875.00000000000034</v>
      </c>
      <c r="F68" s="99">
        <v>875.00000000000034</v>
      </c>
      <c r="G68" s="99">
        <v>875.00000000000034</v>
      </c>
      <c r="H68" s="99">
        <v>875.00000000000034</v>
      </c>
      <c r="I68" s="99">
        <v>875.00000000000034</v>
      </c>
      <c r="J68" s="99">
        <v>875.00000000000034</v>
      </c>
      <c r="K68" s="99">
        <v>875.00000000000034</v>
      </c>
      <c r="L68" s="99">
        <v>875.00000000000034</v>
      </c>
      <c r="M68" s="99">
        <v>875.00000000000034</v>
      </c>
      <c r="N68" s="99">
        <v>875.00000000000034</v>
      </c>
    </row>
    <row r="70" spans="1:14">
      <c r="B70" s="103" t="s">
        <v>331</v>
      </c>
    </row>
    <row r="71" spans="1:14">
      <c r="A71" s="104" t="s">
        <v>121</v>
      </c>
      <c r="B71" s="104" t="s">
        <v>332</v>
      </c>
      <c r="C71" s="104" t="s">
        <v>22</v>
      </c>
      <c r="D71" s="104" t="s">
        <v>46</v>
      </c>
      <c r="E71" s="104" t="s">
        <v>59</v>
      </c>
    </row>
    <row r="72" spans="1:14">
      <c r="A72" s="104" t="s">
        <v>104</v>
      </c>
      <c r="B72" s="104" t="s">
        <v>92</v>
      </c>
      <c r="C72" s="99">
        <v>28278.250000000015</v>
      </c>
      <c r="D72" s="99">
        <v>99753.500000000058</v>
      </c>
      <c r="E72" s="99">
        <v>154019.25000000006</v>
      </c>
    </row>
    <row r="73" spans="1:14">
      <c r="B73" s="104" t="s">
        <v>93</v>
      </c>
      <c r="C73" s="99">
        <v>28278.250000000015</v>
      </c>
      <c r="D73" s="99">
        <v>99753.500000000058</v>
      </c>
      <c r="E73" s="99">
        <v>154019.25000000006</v>
      </c>
    </row>
    <row r="74" spans="1:14">
      <c r="B74" s="104" t="s">
        <v>94</v>
      </c>
      <c r="C74" s="99">
        <v>28278.250000000015</v>
      </c>
      <c r="D74" s="99">
        <v>99753.500000000058</v>
      </c>
      <c r="E74" s="99">
        <v>154019.25000000006</v>
      </c>
    </row>
    <row r="75" spans="1:14">
      <c r="B75" s="104" t="s">
        <v>95</v>
      </c>
      <c r="C75" s="99">
        <v>28278.250000000015</v>
      </c>
      <c r="D75" s="99">
        <v>99753.500000000058</v>
      </c>
      <c r="E75" s="99">
        <v>154019.25000000006</v>
      </c>
    </row>
    <row r="76" spans="1:14">
      <c r="B76" s="104" t="s">
        <v>96</v>
      </c>
      <c r="C76" s="99">
        <v>28278.250000000015</v>
      </c>
      <c r="D76" s="99">
        <v>99753.500000000058</v>
      </c>
      <c r="E76" s="99">
        <v>154019.25000000006</v>
      </c>
    </row>
    <row r="77" spans="1:14">
      <c r="B77" s="104" t="s">
        <v>97</v>
      </c>
      <c r="C77" s="99">
        <v>28278.250000000015</v>
      </c>
      <c r="D77" s="99">
        <v>99753.500000000058</v>
      </c>
      <c r="E77" s="99">
        <v>154019.25000000006</v>
      </c>
    </row>
    <row r="78" spans="1:14">
      <c r="B78" s="104" t="s">
        <v>98</v>
      </c>
      <c r="C78" s="99">
        <v>28278.250000000015</v>
      </c>
      <c r="D78" s="99">
        <v>99753.500000000058</v>
      </c>
      <c r="E78" s="99">
        <v>154019.25000000006</v>
      </c>
    </row>
    <row r="79" spans="1:14">
      <c r="B79" s="104" t="s">
        <v>99</v>
      </c>
      <c r="C79" s="99">
        <v>28278.250000000015</v>
      </c>
      <c r="D79" s="99">
        <v>99753.500000000058</v>
      </c>
      <c r="E79" s="99">
        <v>154019.25000000006</v>
      </c>
    </row>
    <row r="80" spans="1:14">
      <c r="B80" s="104" t="s">
        <v>100</v>
      </c>
      <c r="C80" s="99">
        <v>28278.250000000015</v>
      </c>
      <c r="D80" s="99">
        <v>99753.500000000058</v>
      </c>
      <c r="E80" s="99">
        <v>154019.25000000006</v>
      </c>
    </row>
    <row r="81" spans="2:50">
      <c r="B81" s="104" t="s">
        <v>101</v>
      </c>
      <c r="C81" s="99">
        <v>28278.250000000015</v>
      </c>
      <c r="D81" s="99">
        <v>99753.500000000058</v>
      </c>
      <c r="E81" s="99">
        <v>154019.25000000006</v>
      </c>
    </row>
    <row r="82" spans="2:50">
      <c r="B82" s="104" t="s">
        <v>102</v>
      </c>
      <c r="C82" s="99">
        <v>28278.250000000015</v>
      </c>
      <c r="D82" s="99">
        <v>99753.500000000058</v>
      </c>
      <c r="E82" s="99">
        <v>154019.25000000006</v>
      </c>
    </row>
    <row r="83" spans="2:50">
      <c r="B83" s="104" t="s">
        <v>103</v>
      </c>
      <c r="C83" s="99">
        <v>28278.250000000015</v>
      </c>
      <c r="D83" s="99">
        <v>99753.500000000058</v>
      </c>
      <c r="E83" s="99">
        <v>154019.25000000006</v>
      </c>
    </row>
    <row r="85" spans="2:50">
      <c r="B85" s="102" t="s">
        <v>333</v>
      </c>
    </row>
    <row r="86" spans="2:50">
      <c r="B86" s="98" t="s">
        <v>274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>
      <c r="B87" s="98" t="s">
        <v>334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>
      <c r="B88" s="98" t="s">
        <v>104</v>
      </c>
      <c r="C88" s="99">
        <f>C48+$C$67/4</f>
        <v>2838.1156845217643</v>
      </c>
      <c r="D88" s="99">
        <f>D48+$C$67/4</f>
        <v>2838.1156845217643</v>
      </c>
      <c r="E88" s="99">
        <f>E48+$C$67/4</f>
        <v>2838.1156845217643</v>
      </c>
      <c r="F88" s="99">
        <f>F48+$C$67/4</f>
        <v>2838.1156845217643</v>
      </c>
      <c r="G88" s="99">
        <f>G48+$D$67/4</f>
        <v>2838.1156845217643</v>
      </c>
      <c r="H88" s="99">
        <f>H48+$D$67/4</f>
        <v>2838.1156845217643</v>
      </c>
      <c r="I88" s="99">
        <f>I48+$D$67/4</f>
        <v>2838.1156845217643</v>
      </c>
      <c r="J88" s="99">
        <f>J48+$D$67/4</f>
        <v>2838.1156845217643</v>
      </c>
      <c r="K88" s="99">
        <f>K48+$E$67/4</f>
        <v>2838.1156845217643</v>
      </c>
      <c r="L88" s="99">
        <f>L48+$E$67/4</f>
        <v>2838.1156845217643</v>
      </c>
      <c r="M88" s="99">
        <f>M48+$E$67/4</f>
        <v>2838.1156845217643</v>
      </c>
      <c r="N88" s="99">
        <f>N48+$E$67/4</f>
        <v>2838.1156845217643</v>
      </c>
      <c r="O88" s="99">
        <f>O48+$F$67/4</f>
        <v>2838.1156845217643</v>
      </c>
      <c r="P88" s="99">
        <f>P48+$F$67/4</f>
        <v>2838.1156845217643</v>
      </c>
      <c r="Q88" s="99">
        <f>Q48+$F$67/4</f>
        <v>2838.1156845217643</v>
      </c>
      <c r="R88" s="99">
        <f>R48+$F$67/4</f>
        <v>2838.1156845217643</v>
      </c>
      <c r="S88" s="99">
        <f>S48+$G$67/4</f>
        <v>2838.1156845217643</v>
      </c>
      <c r="T88" s="99">
        <f>T48+$G$67/4</f>
        <v>2622.145950597494</v>
      </c>
      <c r="U88" s="99">
        <f>U48+$G$67/4</f>
        <v>2838.1156845217643</v>
      </c>
      <c r="V88" s="99">
        <f>V48+$G$67/4</f>
        <v>2838.1156845217643</v>
      </c>
      <c r="W88" s="99">
        <f>W48+$H$67/4</f>
        <v>2838.1156845217643</v>
      </c>
      <c r="X88" s="99">
        <f>X48+$H$67/4</f>
        <v>2838.1156845217643</v>
      </c>
      <c r="Y88" s="99">
        <f>Y48+$H$67/4</f>
        <v>2838.1156845217643</v>
      </c>
      <c r="Z88" s="99">
        <f>Z48+$H$67/4</f>
        <v>2838.1156845217643</v>
      </c>
      <c r="AA88" s="99">
        <f>AA48+$I$67/4</f>
        <v>2838.1156845217643</v>
      </c>
      <c r="AB88" s="99">
        <f>AB48+$I$67/4</f>
        <v>2838.1156845217643</v>
      </c>
      <c r="AC88" s="99">
        <f>AC48+$I$67/4</f>
        <v>2838.1156845217643</v>
      </c>
      <c r="AD88" s="99">
        <f>AD48+$I$67/4</f>
        <v>2838.1156845217643</v>
      </c>
      <c r="AE88" s="99">
        <f>AE48+$J$67/4</f>
        <v>2838.1156845217643</v>
      </c>
      <c r="AF88" s="99">
        <f>AF48+$J$67/4</f>
        <v>2838.1156845217643</v>
      </c>
      <c r="AG88" s="99">
        <f>AG48+$J$67/4</f>
        <v>2838.1156845217643</v>
      </c>
      <c r="AH88" s="99">
        <f>AH48+$J$67/4</f>
        <v>2838.1156845217643</v>
      </c>
      <c r="AI88" s="99">
        <f>AI48+$K$67/4</f>
        <v>2838.1156845217643</v>
      </c>
      <c r="AJ88" s="99">
        <f>AJ48+$K$67/4</f>
        <v>2838.1156845217643</v>
      </c>
      <c r="AK88" s="99">
        <f>AK48+$K$67/4</f>
        <v>2838.1156845217643</v>
      </c>
      <c r="AL88" s="99">
        <f>AL48+$K$67/4</f>
        <v>2838.1156845217643</v>
      </c>
      <c r="AM88" s="99">
        <f>AM48+$L$67/4</f>
        <v>2838.1156845217643</v>
      </c>
      <c r="AN88" s="99">
        <f>AN48+$L$67/4</f>
        <v>2838.1156845217643</v>
      </c>
      <c r="AO88" s="99">
        <f>AO48+$L$67/4</f>
        <v>2838.1156845217643</v>
      </c>
      <c r="AP88" s="99">
        <f>AP48+$L$67/4</f>
        <v>2838.1156845217643</v>
      </c>
      <c r="AQ88" s="99">
        <f>AQ48+$M$67/4</f>
        <v>2838.1156845217643</v>
      </c>
      <c r="AR88" s="99">
        <f>AR48+$M$67/4</f>
        <v>2838.1156845217643</v>
      </c>
      <c r="AS88" s="99">
        <f>AS48+$M$67/4</f>
        <v>2838.1156845217643</v>
      </c>
      <c r="AT88" s="99">
        <f>AT48+$M$67/4</f>
        <v>2838.1156845217643</v>
      </c>
      <c r="AU88" s="99">
        <f>AU48+$N$67/4</f>
        <v>2838.1156845217643</v>
      </c>
      <c r="AV88" s="99">
        <f>AV48+$N$67/4</f>
        <v>2838.1156845217643</v>
      </c>
      <c r="AW88" s="99">
        <f>AW48+$N$67/4</f>
        <v>2838.1156845217643</v>
      </c>
      <c r="AX88" s="99">
        <f>AX48+$N$67/4</f>
        <v>2838.1156845217643</v>
      </c>
    </row>
    <row r="89" spans="2:50">
      <c r="B89" s="98" t="s">
        <v>105</v>
      </c>
      <c r="C89" s="99">
        <f>C49</f>
        <v>695.0001070609627</v>
      </c>
      <c r="D89" s="99">
        <f t="shared" ref="D89:AX93" si="3">D49</f>
        <v>695.0001070609627</v>
      </c>
      <c r="E89" s="99">
        <f t="shared" si="3"/>
        <v>695.0001070609627</v>
      </c>
      <c r="F89" s="99">
        <f t="shared" si="3"/>
        <v>695.0001070609627</v>
      </c>
      <c r="G89" s="99">
        <f t="shared" si="3"/>
        <v>695.0001070609627</v>
      </c>
      <c r="H89" s="99">
        <f t="shared" si="3"/>
        <v>695.0001070609627</v>
      </c>
      <c r="I89" s="99">
        <f t="shared" si="3"/>
        <v>695.0001070609627</v>
      </c>
      <c r="J89" s="99">
        <f t="shared" si="3"/>
        <v>695.0001070609627</v>
      </c>
      <c r="K89" s="99">
        <f t="shared" si="3"/>
        <v>695.0001070609627</v>
      </c>
      <c r="L89" s="99">
        <f t="shared" si="3"/>
        <v>695.0001070609627</v>
      </c>
      <c r="M89" s="99">
        <f t="shared" si="3"/>
        <v>695.0001070609627</v>
      </c>
      <c r="N89" s="99">
        <f t="shared" si="3"/>
        <v>695.0001070609627</v>
      </c>
      <c r="O89" s="99">
        <f t="shared" si="3"/>
        <v>695.0001070609627</v>
      </c>
      <c r="P89" s="99">
        <f t="shared" si="3"/>
        <v>695.0001070609627</v>
      </c>
      <c r="Q89" s="99">
        <f t="shared" si="3"/>
        <v>695.0001070609627</v>
      </c>
      <c r="R89" s="99">
        <f t="shared" si="3"/>
        <v>695.0001070609627</v>
      </c>
      <c r="S89" s="99">
        <f t="shared" si="3"/>
        <v>695.0001070609627</v>
      </c>
      <c r="T89" s="99">
        <f t="shared" si="3"/>
        <v>695.0001070609627</v>
      </c>
      <c r="U89" s="99">
        <f t="shared" si="3"/>
        <v>695.0001070609627</v>
      </c>
      <c r="V89" s="99">
        <f t="shared" si="3"/>
        <v>695.0001070609627</v>
      </c>
      <c r="W89" s="99">
        <f t="shared" si="3"/>
        <v>695.0001070609627</v>
      </c>
      <c r="X89" s="99">
        <f t="shared" si="3"/>
        <v>695.0001070609627</v>
      </c>
      <c r="Y89" s="99">
        <f t="shared" si="3"/>
        <v>695.0001070609627</v>
      </c>
      <c r="Z89" s="99">
        <f t="shared" si="3"/>
        <v>695.0001070609627</v>
      </c>
      <c r="AA89" s="99">
        <f t="shared" si="3"/>
        <v>695.0001070609627</v>
      </c>
      <c r="AB89" s="99">
        <f t="shared" si="3"/>
        <v>695.0001070609627</v>
      </c>
      <c r="AC89" s="99">
        <f t="shared" si="3"/>
        <v>695.0001070609627</v>
      </c>
      <c r="AD89" s="99">
        <f t="shared" si="3"/>
        <v>695.0001070609627</v>
      </c>
      <c r="AE89" s="99">
        <f t="shared" si="3"/>
        <v>695.0001070609627</v>
      </c>
      <c r="AF89" s="99">
        <f t="shared" si="3"/>
        <v>695.0001070609627</v>
      </c>
      <c r="AG89" s="99">
        <f t="shared" si="3"/>
        <v>695.0001070609627</v>
      </c>
      <c r="AH89" s="99">
        <f t="shared" si="3"/>
        <v>695.0001070609627</v>
      </c>
      <c r="AI89" s="99">
        <f t="shared" si="3"/>
        <v>695.0001070609627</v>
      </c>
      <c r="AJ89" s="99">
        <f t="shared" si="3"/>
        <v>695.0001070609627</v>
      </c>
      <c r="AK89" s="99">
        <f t="shared" si="3"/>
        <v>695.0001070609627</v>
      </c>
      <c r="AL89" s="99">
        <f t="shared" si="3"/>
        <v>695.0001070609627</v>
      </c>
      <c r="AM89" s="99">
        <f t="shared" si="3"/>
        <v>556.00008564877021</v>
      </c>
      <c r="AN89" s="99">
        <f t="shared" si="3"/>
        <v>556.00008564877021</v>
      </c>
      <c r="AO89" s="99">
        <f t="shared" si="3"/>
        <v>556.00008564877021</v>
      </c>
      <c r="AP89" s="99">
        <f t="shared" si="3"/>
        <v>556.00008564877021</v>
      </c>
      <c r="AQ89" s="99">
        <f t="shared" si="3"/>
        <v>695.0001070609627</v>
      </c>
      <c r="AR89" s="99">
        <f t="shared" si="3"/>
        <v>695.0001070609627</v>
      </c>
      <c r="AS89" s="99">
        <f t="shared" si="3"/>
        <v>695.0001070609627</v>
      </c>
      <c r="AT89" s="99">
        <f t="shared" si="3"/>
        <v>695.0001070609627</v>
      </c>
      <c r="AU89" s="99">
        <f t="shared" si="3"/>
        <v>695.0001070609627</v>
      </c>
      <c r="AV89" s="99">
        <f t="shared" si="3"/>
        <v>695.0001070609627</v>
      </c>
      <c r="AW89" s="99">
        <f t="shared" si="3"/>
        <v>695.0001070609627</v>
      </c>
      <c r="AX89" s="99">
        <f t="shared" si="3"/>
        <v>695.0001070609627</v>
      </c>
    </row>
    <row r="90" spans="2:50">
      <c r="B90" s="98" t="s">
        <v>106</v>
      </c>
      <c r="C90" s="99">
        <f t="shared" ref="C90:R93" si="4">C50</f>
        <v>175.00000042412435</v>
      </c>
      <c r="D90" s="99">
        <f t="shared" si="4"/>
        <v>175.00000042412435</v>
      </c>
      <c r="E90" s="99">
        <f t="shared" si="4"/>
        <v>175.00000042412435</v>
      </c>
      <c r="F90" s="99">
        <f t="shared" si="4"/>
        <v>175.00000042412435</v>
      </c>
      <c r="G90" s="99">
        <f t="shared" si="4"/>
        <v>175.00000042412435</v>
      </c>
      <c r="H90" s="99">
        <f t="shared" si="4"/>
        <v>175.00000042412435</v>
      </c>
      <c r="I90" s="99">
        <f t="shared" si="4"/>
        <v>175.00000042412435</v>
      </c>
      <c r="J90" s="99">
        <f t="shared" si="4"/>
        <v>175.00000042412435</v>
      </c>
      <c r="K90" s="99">
        <f t="shared" si="4"/>
        <v>175.00000042412435</v>
      </c>
      <c r="L90" s="99">
        <f t="shared" si="4"/>
        <v>175.00000042412435</v>
      </c>
      <c r="M90" s="99">
        <f t="shared" si="4"/>
        <v>175.00000042412435</v>
      </c>
      <c r="N90" s="99">
        <f t="shared" si="4"/>
        <v>175.00000042412435</v>
      </c>
      <c r="O90" s="99">
        <f t="shared" si="4"/>
        <v>175.00000042412435</v>
      </c>
      <c r="P90" s="99">
        <f t="shared" si="4"/>
        <v>175.00000042412435</v>
      </c>
      <c r="Q90" s="99">
        <f t="shared" si="4"/>
        <v>175.00000042412435</v>
      </c>
      <c r="R90" s="99">
        <f t="shared" si="4"/>
        <v>175.00000042412435</v>
      </c>
      <c r="S90" s="99">
        <f t="shared" si="3"/>
        <v>140.00000033929948</v>
      </c>
      <c r="T90" s="99">
        <f t="shared" si="3"/>
        <v>140.00000033929948</v>
      </c>
      <c r="U90" s="99">
        <f t="shared" si="3"/>
        <v>140.00000033929948</v>
      </c>
      <c r="V90" s="99">
        <f t="shared" si="3"/>
        <v>140.00000033929948</v>
      </c>
      <c r="W90" s="99">
        <f t="shared" si="3"/>
        <v>0</v>
      </c>
      <c r="X90" s="99">
        <f t="shared" si="3"/>
        <v>0</v>
      </c>
      <c r="Y90" s="99">
        <f t="shared" si="3"/>
        <v>0</v>
      </c>
      <c r="Z90" s="99">
        <f t="shared" si="3"/>
        <v>0</v>
      </c>
      <c r="AA90" s="99">
        <f t="shared" si="3"/>
        <v>175.00000042412435</v>
      </c>
      <c r="AB90" s="99">
        <f t="shared" si="3"/>
        <v>175.00000042412435</v>
      </c>
      <c r="AC90" s="99">
        <f t="shared" si="3"/>
        <v>175.00000042412435</v>
      </c>
      <c r="AD90" s="99">
        <f t="shared" si="3"/>
        <v>175.00000042412435</v>
      </c>
      <c r="AE90" s="99">
        <f t="shared" si="3"/>
        <v>140.00000033929948</v>
      </c>
      <c r="AF90" s="99">
        <f t="shared" si="3"/>
        <v>140.00000033929948</v>
      </c>
      <c r="AG90" s="99">
        <f t="shared" si="3"/>
        <v>140.00000033929948</v>
      </c>
      <c r="AH90" s="99">
        <f t="shared" si="3"/>
        <v>140.00000033929948</v>
      </c>
      <c r="AI90" s="99">
        <f t="shared" si="3"/>
        <v>175.00000042412435</v>
      </c>
      <c r="AJ90" s="99">
        <f t="shared" si="3"/>
        <v>175.00000042412435</v>
      </c>
      <c r="AK90" s="99">
        <f t="shared" si="3"/>
        <v>175.00000042412435</v>
      </c>
      <c r="AL90" s="99">
        <f t="shared" si="3"/>
        <v>175.00000042412435</v>
      </c>
      <c r="AM90" s="99">
        <f t="shared" si="3"/>
        <v>175.00000042412435</v>
      </c>
      <c r="AN90" s="99">
        <f t="shared" si="3"/>
        <v>175.00000042412435</v>
      </c>
      <c r="AO90" s="99">
        <f t="shared" si="3"/>
        <v>175.00000042412435</v>
      </c>
      <c r="AP90" s="99">
        <f t="shared" si="3"/>
        <v>175.00000042412435</v>
      </c>
      <c r="AQ90" s="99">
        <f t="shared" si="3"/>
        <v>175.00000042412435</v>
      </c>
      <c r="AR90" s="99">
        <f t="shared" si="3"/>
        <v>175.00000042412435</v>
      </c>
      <c r="AS90" s="99">
        <f t="shared" si="3"/>
        <v>175.00000042412435</v>
      </c>
      <c r="AT90" s="99">
        <f t="shared" si="3"/>
        <v>175.00000042412435</v>
      </c>
      <c r="AU90" s="99">
        <f t="shared" si="3"/>
        <v>175.00000042412435</v>
      </c>
      <c r="AV90" s="99">
        <f t="shared" si="3"/>
        <v>175.00000042412435</v>
      </c>
      <c r="AW90" s="99">
        <f t="shared" si="3"/>
        <v>175.00000042412435</v>
      </c>
      <c r="AX90" s="99">
        <f t="shared" si="3"/>
        <v>175.00000042412435</v>
      </c>
    </row>
    <row r="91" spans="2:50">
      <c r="B91" s="98" t="s">
        <v>107</v>
      </c>
      <c r="C91" s="99">
        <f t="shared" si="4"/>
        <v>0</v>
      </c>
      <c r="D91" s="99">
        <f t="shared" si="3"/>
        <v>0</v>
      </c>
      <c r="E91" s="99">
        <f t="shared" si="3"/>
        <v>0</v>
      </c>
      <c r="F91" s="99">
        <f t="shared" si="3"/>
        <v>0</v>
      </c>
      <c r="G91" s="99">
        <f t="shared" si="3"/>
        <v>0</v>
      </c>
      <c r="H91" s="99">
        <f t="shared" si="3"/>
        <v>0</v>
      </c>
      <c r="I91" s="99">
        <f t="shared" si="3"/>
        <v>0</v>
      </c>
      <c r="J91" s="99">
        <f t="shared" si="3"/>
        <v>0</v>
      </c>
      <c r="K91" s="99">
        <f t="shared" si="3"/>
        <v>0</v>
      </c>
      <c r="L91" s="99">
        <f t="shared" si="3"/>
        <v>0</v>
      </c>
      <c r="M91" s="99">
        <f t="shared" si="3"/>
        <v>0</v>
      </c>
      <c r="N91" s="99">
        <f t="shared" si="3"/>
        <v>0</v>
      </c>
      <c r="O91" s="99">
        <f t="shared" si="3"/>
        <v>0</v>
      </c>
      <c r="P91" s="99">
        <f t="shared" si="3"/>
        <v>0</v>
      </c>
      <c r="Q91" s="99">
        <f t="shared" si="3"/>
        <v>0</v>
      </c>
      <c r="R91" s="99">
        <f t="shared" si="3"/>
        <v>0</v>
      </c>
      <c r="S91" s="99">
        <f t="shared" si="3"/>
        <v>0</v>
      </c>
      <c r="T91" s="99">
        <f t="shared" si="3"/>
        <v>0</v>
      </c>
      <c r="U91" s="99">
        <f t="shared" si="3"/>
        <v>0</v>
      </c>
      <c r="V91" s="99">
        <f t="shared" si="3"/>
        <v>0</v>
      </c>
      <c r="W91" s="99">
        <f t="shared" si="3"/>
        <v>0</v>
      </c>
      <c r="X91" s="99">
        <f t="shared" si="3"/>
        <v>0</v>
      </c>
      <c r="Y91" s="99">
        <f t="shared" si="3"/>
        <v>0</v>
      </c>
      <c r="Z91" s="99">
        <f t="shared" si="3"/>
        <v>0</v>
      </c>
      <c r="AA91" s="99">
        <f t="shared" si="3"/>
        <v>0</v>
      </c>
      <c r="AB91" s="99">
        <f t="shared" si="3"/>
        <v>0</v>
      </c>
      <c r="AC91" s="99">
        <f t="shared" si="3"/>
        <v>0</v>
      </c>
      <c r="AD91" s="99">
        <f t="shared" si="3"/>
        <v>0</v>
      </c>
      <c r="AE91" s="99">
        <f t="shared" si="3"/>
        <v>0</v>
      </c>
      <c r="AF91" s="99">
        <f t="shared" si="3"/>
        <v>0</v>
      </c>
      <c r="AG91" s="99">
        <f t="shared" si="3"/>
        <v>0</v>
      </c>
      <c r="AH91" s="99">
        <f t="shared" si="3"/>
        <v>0</v>
      </c>
      <c r="AI91" s="99">
        <f t="shared" si="3"/>
        <v>0</v>
      </c>
      <c r="AJ91" s="99">
        <f t="shared" si="3"/>
        <v>0</v>
      </c>
      <c r="AK91" s="99">
        <f t="shared" si="3"/>
        <v>0</v>
      </c>
      <c r="AL91" s="99">
        <f t="shared" si="3"/>
        <v>0</v>
      </c>
      <c r="AM91" s="99">
        <f t="shared" si="3"/>
        <v>0</v>
      </c>
      <c r="AN91" s="99">
        <f t="shared" si="3"/>
        <v>0</v>
      </c>
      <c r="AO91" s="99">
        <f t="shared" si="3"/>
        <v>0</v>
      </c>
      <c r="AP91" s="99">
        <f t="shared" si="3"/>
        <v>0</v>
      </c>
      <c r="AQ91" s="99">
        <f t="shared" si="3"/>
        <v>0</v>
      </c>
      <c r="AR91" s="99">
        <f t="shared" si="3"/>
        <v>0</v>
      </c>
      <c r="AS91" s="99">
        <f t="shared" si="3"/>
        <v>0</v>
      </c>
      <c r="AT91" s="99">
        <f t="shared" si="3"/>
        <v>0</v>
      </c>
      <c r="AU91" s="99">
        <f t="shared" si="3"/>
        <v>0</v>
      </c>
      <c r="AV91" s="99">
        <f t="shared" si="3"/>
        <v>0</v>
      </c>
      <c r="AW91" s="99">
        <f t="shared" si="3"/>
        <v>0</v>
      </c>
      <c r="AX91" s="99">
        <f t="shared" si="3"/>
        <v>0</v>
      </c>
    </row>
    <row r="92" spans="2:50">
      <c r="B92" s="98" t="s">
        <v>108</v>
      </c>
      <c r="C92" s="99">
        <f t="shared" si="4"/>
        <v>0</v>
      </c>
      <c r="D92" s="99">
        <f t="shared" si="4"/>
        <v>0</v>
      </c>
      <c r="E92" s="99">
        <f t="shared" si="4"/>
        <v>0</v>
      </c>
      <c r="F92" s="99">
        <f t="shared" si="4"/>
        <v>0</v>
      </c>
      <c r="G92" s="99">
        <f t="shared" si="4"/>
        <v>0</v>
      </c>
      <c r="H92" s="99">
        <f t="shared" si="4"/>
        <v>0</v>
      </c>
      <c r="I92" s="99">
        <f t="shared" si="4"/>
        <v>0</v>
      </c>
      <c r="J92" s="99">
        <f t="shared" si="4"/>
        <v>0</v>
      </c>
      <c r="K92" s="99">
        <f t="shared" si="4"/>
        <v>0</v>
      </c>
      <c r="L92" s="99">
        <f t="shared" si="4"/>
        <v>0</v>
      </c>
      <c r="M92" s="99">
        <f t="shared" si="4"/>
        <v>0</v>
      </c>
      <c r="N92" s="99">
        <f t="shared" si="4"/>
        <v>0</v>
      </c>
      <c r="O92" s="99">
        <f t="shared" si="4"/>
        <v>0</v>
      </c>
      <c r="P92" s="99">
        <f t="shared" si="4"/>
        <v>0</v>
      </c>
      <c r="Q92" s="99">
        <f t="shared" si="4"/>
        <v>0</v>
      </c>
      <c r="R92" s="99">
        <f t="shared" si="4"/>
        <v>0</v>
      </c>
      <c r="S92" s="99">
        <f t="shared" si="3"/>
        <v>0</v>
      </c>
      <c r="T92" s="99">
        <f t="shared" si="3"/>
        <v>0</v>
      </c>
      <c r="U92" s="99">
        <f t="shared" si="3"/>
        <v>0</v>
      </c>
      <c r="V92" s="99">
        <f t="shared" si="3"/>
        <v>0</v>
      </c>
      <c r="W92" s="99">
        <f t="shared" si="3"/>
        <v>0</v>
      </c>
      <c r="X92" s="99">
        <f t="shared" si="3"/>
        <v>0</v>
      </c>
      <c r="Y92" s="99">
        <f t="shared" si="3"/>
        <v>0</v>
      </c>
      <c r="Z92" s="99">
        <f t="shared" si="3"/>
        <v>0</v>
      </c>
      <c r="AA92" s="99">
        <f t="shared" si="3"/>
        <v>0</v>
      </c>
      <c r="AB92" s="99">
        <f t="shared" si="3"/>
        <v>0</v>
      </c>
      <c r="AC92" s="99">
        <f t="shared" si="3"/>
        <v>0</v>
      </c>
      <c r="AD92" s="99">
        <f t="shared" si="3"/>
        <v>0</v>
      </c>
      <c r="AE92" s="99">
        <f t="shared" si="3"/>
        <v>0</v>
      </c>
      <c r="AF92" s="99">
        <f t="shared" si="3"/>
        <v>0</v>
      </c>
      <c r="AG92" s="99">
        <f t="shared" si="3"/>
        <v>0</v>
      </c>
      <c r="AH92" s="99">
        <f t="shared" si="3"/>
        <v>0</v>
      </c>
      <c r="AI92" s="99">
        <f t="shared" si="3"/>
        <v>0</v>
      </c>
      <c r="AJ92" s="99">
        <f t="shared" si="3"/>
        <v>0</v>
      </c>
      <c r="AK92" s="99">
        <f t="shared" si="3"/>
        <v>0</v>
      </c>
      <c r="AL92" s="99">
        <f t="shared" si="3"/>
        <v>0</v>
      </c>
      <c r="AM92" s="99">
        <f t="shared" si="3"/>
        <v>0</v>
      </c>
      <c r="AN92" s="99">
        <f t="shared" si="3"/>
        <v>0</v>
      </c>
      <c r="AO92" s="99">
        <f t="shared" si="3"/>
        <v>0</v>
      </c>
      <c r="AP92" s="99">
        <f t="shared" si="3"/>
        <v>0</v>
      </c>
      <c r="AQ92" s="99">
        <f t="shared" si="3"/>
        <v>0</v>
      </c>
      <c r="AR92" s="99">
        <f t="shared" si="3"/>
        <v>0</v>
      </c>
      <c r="AS92" s="99">
        <f t="shared" si="3"/>
        <v>0</v>
      </c>
      <c r="AT92" s="99">
        <f t="shared" si="3"/>
        <v>0</v>
      </c>
      <c r="AU92" s="99">
        <f t="shared" si="3"/>
        <v>0</v>
      </c>
      <c r="AV92" s="99">
        <f t="shared" si="3"/>
        <v>0</v>
      </c>
      <c r="AW92" s="99">
        <f t="shared" si="3"/>
        <v>0</v>
      </c>
      <c r="AX92" s="99">
        <f t="shared" si="3"/>
        <v>0</v>
      </c>
    </row>
    <row r="93" spans="2:50">
      <c r="B93" s="98" t="s">
        <v>109</v>
      </c>
      <c r="C93" s="99">
        <f t="shared" si="4"/>
        <v>0</v>
      </c>
      <c r="D93" s="99">
        <f t="shared" si="4"/>
        <v>0</v>
      </c>
      <c r="E93" s="99">
        <f t="shared" si="4"/>
        <v>0</v>
      </c>
      <c r="F93" s="99">
        <f t="shared" si="4"/>
        <v>0</v>
      </c>
      <c r="G93" s="99">
        <f t="shared" si="4"/>
        <v>0</v>
      </c>
      <c r="H93" s="99">
        <f t="shared" si="4"/>
        <v>0</v>
      </c>
      <c r="I93" s="99">
        <f t="shared" si="4"/>
        <v>0</v>
      </c>
      <c r="J93" s="99">
        <f t="shared" si="4"/>
        <v>0</v>
      </c>
      <c r="K93" s="99">
        <f t="shared" si="4"/>
        <v>0</v>
      </c>
      <c r="L93" s="99">
        <f t="shared" si="4"/>
        <v>0</v>
      </c>
      <c r="M93" s="99">
        <f t="shared" si="4"/>
        <v>0</v>
      </c>
      <c r="N93" s="99">
        <f t="shared" si="4"/>
        <v>0</v>
      </c>
      <c r="O93" s="99">
        <f t="shared" si="4"/>
        <v>0</v>
      </c>
      <c r="P93" s="99">
        <f t="shared" si="4"/>
        <v>0</v>
      </c>
      <c r="Q93" s="99">
        <f t="shared" si="4"/>
        <v>0</v>
      </c>
      <c r="R93" s="99">
        <f t="shared" si="4"/>
        <v>0</v>
      </c>
      <c r="S93" s="99">
        <f t="shared" si="3"/>
        <v>0</v>
      </c>
      <c r="T93" s="99">
        <f t="shared" si="3"/>
        <v>0</v>
      </c>
      <c r="U93" s="99">
        <f t="shared" si="3"/>
        <v>0</v>
      </c>
      <c r="V93" s="99">
        <f t="shared" si="3"/>
        <v>0</v>
      </c>
      <c r="W93" s="99">
        <f t="shared" si="3"/>
        <v>0</v>
      </c>
      <c r="X93" s="99">
        <f t="shared" si="3"/>
        <v>0</v>
      </c>
      <c r="Y93" s="99">
        <f t="shared" si="3"/>
        <v>0</v>
      </c>
      <c r="Z93" s="99">
        <f t="shared" si="3"/>
        <v>0</v>
      </c>
      <c r="AA93" s="99">
        <f t="shared" si="3"/>
        <v>0</v>
      </c>
      <c r="AB93" s="99">
        <f t="shared" si="3"/>
        <v>0</v>
      </c>
      <c r="AC93" s="99">
        <f t="shared" si="3"/>
        <v>0</v>
      </c>
      <c r="AD93" s="99">
        <f t="shared" si="3"/>
        <v>0</v>
      </c>
      <c r="AE93" s="99">
        <f t="shared" si="3"/>
        <v>0</v>
      </c>
      <c r="AF93" s="99">
        <f t="shared" si="3"/>
        <v>0</v>
      </c>
      <c r="AG93" s="99">
        <f t="shared" si="3"/>
        <v>0</v>
      </c>
      <c r="AH93" s="99">
        <f t="shared" si="3"/>
        <v>0</v>
      </c>
      <c r="AI93" s="99">
        <f t="shared" si="3"/>
        <v>0</v>
      </c>
      <c r="AJ93" s="99">
        <f t="shared" si="3"/>
        <v>0</v>
      </c>
      <c r="AK93" s="99">
        <f t="shared" si="3"/>
        <v>0</v>
      </c>
      <c r="AL93" s="99">
        <f t="shared" si="3"/>
        <v>0</v>
      </c>
      <c r="AM93" s="99">
        <f t="shared" si="3"/>
        <v>0</v>
      </c>
      <c r="AN93" s="99">
        <f t="shared" si="3"/>
        <v>0</v>
      </c>
      <c r="AO93" s="99">
        <f t="shared" si="3"/>
        <v>0</v>
      </c>
      <c r="AP93" s="99">
        <f t="shared" si="3"/>
        <v>0</v>
      </c>
      <c r="AQ93" s="99">
        <f t="shared" si="3"/>
        <v>0</v>
      </c>
      <c r="AR93" s="99">
        <f t="shared" si="3"/>
        <v>0</v>
      </c>
      <c r="AS93" s="99">
        <f t="shared" si="3"/>
        <v>0</v>
      </c>
      <c r="AT93" s="99">
        <f t="shared" si="3"/>
        <v>0</v>
      </c>
      <c r="AU93" s="99">
        <f t="shared" si="3"/>
        <v>0</v>
      </c>
      <c r="AV93" s="99">
        <f t="shared" si="3"/>
        <v>0</v>
      </c>
      <c r="AW93" s="99">
        <f t="shared" si="3"/>
        <v>0</v>
      </c>
      <c r="AX93" s="99">
        <f t="shared" si="3"/>
        <v>0</v>
      </c>
    </row>
    <row r="94" spans="2:50">
      <c r="B94" s="100"/>
    </row>
    <row r="95" spans="2:50">
      <c r="B95" s="173" t="s">
        <v>335</v>
      </c>
    </row>
    <row r="96" spans="2:50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>
      <c r="A97" s="175" t="s">
        <v>121</v>
      </c>
      <c r="B97" s="175" t="s">
        <v>336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>
      <c r="A98" s="104" t="s">
        <v>104</v>
      </c>
      <c r="B98" s="104" t="s">
        <v>5</v>
      </c>
      <c r="C98" s="99">
        <v>0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99">
        <v>0</v>
      </c>
      <c r="L98" s="99">
        <v>0</v>
      </c>
      <c r="M98" s="99">
        <v>0</v>
      </c>
      <c r="N98" s="99">
        <v>0</v>
      </c>
      <c r="O98" s="99">
        <v>0</v>
      </c>
      <c r="P98" s="99">
        <v>0</v>
      </c>
      <c r="Q98" s="99">
        <v>0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0</v>
      </c>
      <c r="Y98" s="99">
        <v>0</v>
      </c>
      <c r="Z98" s="99">
        <v>0</v>
      </c>
      <c r="AA98" s="99">
        <v>0</v>
      </c>
      <c r="AB98" s="99">
        <v>0</v>
      </c>
      <c r="AC98" s="99">
        <v>0</v>
      </c>
      <c r="AD98" s="99">
        <v>0</v>
      </c>
      <c r="AE98" s="99">
        <v>0</v>
      </c>
      <c r="AF98" s="99">
        <v>0</v>
      </c>
      <c r="AG98" s="99">
        <v>0</v>
      </c>
      <c r="AH98" s="99">
        <v>0</v>
      </c>
      <c r="AI98" s="99">
        <v>0</v>
      </c>
      <c r="AJ98" s="99">
        <v>0</v>
      </c>
      <c r="AK98" s="99">
        <v>0</v>
      </c>
      <c r="AL98" s="99">
        <v>0</v>
      </c>
      <c r="AM98" s="99">
        <v>0</v>
      </c>
      <c r="AN98" s="99">
        <v>0</v>
      </c>
      <c r="AO98" s="99">
        <v>0</v>
      </c>
      <c r="AP98" s="99">
        <v>0</v>
      </c>
      <c r="AQ98" s="99">
        <v>0</v>
      </c>
      <c r="AR98" s="99">
        <v>0</v>
      </c>
      <c r="AS98" s="99">
        <v>0</v>
      </c>
      <c r="AT98" s="99">
        <v>0</v>
      </c>
      <c r="AU98" s="99">
        <v>0</v>
      </c>
      <c r="AV98" s="99">
        <v>0</v>
      </c>
      <c r="AW98" s="99">
        <v>0</v>
      </c>
      <c r="AX98" s="99">
        <v>0</v>
      </c>
    </row>
    <row r="99" spans="1:50">
      <c r="B99" s="104" t="s">
        <v>10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0</v>
      </c>
      <c r="N99" s="99">
        <v>0</v>
      </c>
      <c r="O99" s="99">
        <v>0</v>
      </c>
      <c r="P99" s="99">
        <v>0</v>
      </c>
      <c r="Q99" s="99">
        <v>0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0</v>
      </c>
      <c r="AA99" s="99">
        <v>0</v>
      </c>
      <c r="AB99" s="99">
        <v>0</v>
      </c>
      <c r="AC99" s="99">
        <v>0</v>
      </c>
      <c r="AD99" s="99">
        <v>0</v>
      </c>
      <c r="AE99" s="99">
        <v>0</v>
      </c>
      <c r="AF99" s="99">
        <v>0</v>
      </c>
      <c r="AG99" s="99">
        <v>0</v>
      </c>
      <c r="AH99" s="99">
        <v>0</v>
      </c>
      <c r="AI99" s="99">
        <v>0</v>
      </c>
      <c r="AJ99" s="99">
        <v>0</v>
      </c>
      <c r="AK99" s="99">
        <v>0</v>
      </c>
      <c r="AL99" s="99">
        <v>0</v>
      </c>
      <c r="AM99" s="99">
        <v>0</v>
      </c>
      <c r="AN99" s="99">
        <v>0</v>
      </c>
      <c r="AO99" s="99">
        <v>0</v>
      </c>
      <c r="AP99" s="99">
        <v>0</v>
      </c>
      <c r="AQ99" s="99">
        <v>0</v>
      </c>
      <c r="AR99" s="99">
        <v>0</v>
      </c>
      <c r="AS99" s="99">
        <v>0</v>
      </c>
      <c r="AT99" s="99">
        <v>0</v>
      </c>
      <c r="AU99" s="99">
        <v>0</v>
      </c>
      <c r="AV99" s="99">
        <v>0</v>
      </c>
      <c r="AW99" s="99">
        <v>0</v>
      </c>
      <c r="AX99" s="99">
        <v>0</v>
      </c>
    </row>
    <row r="100" spans="1:50">
      <c r="B100" s="104" t="s">
        <v>12</v>
      </c>
      <c r="C100" s="99">
        <v>545451.65099388675</v>
      </c>
      <c r="D100" s="99">
        <v>545451.65099388675</v>
      </c>
      <c r="E100" s="99">
        <v>545451.65099388675</v>
      </c>
      <c r="F100" s="99">
        <v>545451.65099388675</v>
      </c>
      <c r="G100" s="99">
        <v>545451.65099388675</v>
      </c>
      <c r="H100" s="99">
        <v>545451.65099388675</v>
      </c>
      <c r="I100" s="99">
        <v>545451.65099388675</v>
      </c>
      <c r="J100" s="99">
        <v>545451.65099388675</v>
      </c>
      <c r="K100" s="99">
        <v>545451.65099388675</v>
      </c>
      <c r="L100" s="99">
        <v>545451.65099388675</v>
      </c>
      <c r="M100" s="99">
        <v>545451.65099388675</v>
      </c>
      <c r="N100" s="99">
        <v>545451.65099388675</v>
      </c>
      <c r="O100" s="99">
        <v>545451.65099388675</v>
      </c>
      <c r="P100" s="99">
        <v>545451.65099388675</v>
      </c>
      <c r="Q100" s="99">
        <v>545451.65099388675</v>
      </c>
      <c r="R100" s="99">
        <v>545451.65099388675</v>
      </c>
      <c r="S100" s="99">
        <v>545451.65099388675</v>
      </c>
      <c r="T100" s="99">
        <v>503944.86937249091</v>
      </c>
      <c r="U100" s="99">
        <v>545451.65099388675</v>
      </c>
      <c r="V100" s="99">
        <v>545451.65099388675</v>
      </c>
      <c r="W100" s="99">
        <v>545451.65099388675</v>
      </c>
      <c r="X100" s="99">
        <v>545451.65099388675</v>
      </c>
      <c r="Y100" s="99">
        <v>545451.65099388675</v>
      </c>
      <c r="Z100" s="99">
        <v>545451.65099388675</v>
      </c>
      <c r="AA100" s="99">
        <v>545451.65099388675</v>
      </c>
      <c r="AB100" s="99">
        <v>545451.65099388675</v>
      </c>
      <c r="AC100" s="99">
        <v>545451.65099388675</v>
      </c>
      <c r="AD100" s="99">
        <v>545451.65099388675</v>
      </c>
      <c r="AE100" s="99">
        <v>545451.65099388675</v>
      </c>
      <c r="AF100" s="99">
        <v>545451.65099388675</v>
      </c>
      <c r="AG100" s="99">
        <v>545451.65099388675</v>
      </c>
      <c r="AH100" s="99">
        <v>545451.65099388675</v>
      </c>
      <c r="AI100" s="99">
        <v>545451.65099388675</v>
      </c>
      <c r="AJ100" s="99">
        <v>545451.65099388675</v>
      </c>
      <c r="AK100" s="99">
        <v>545451.65099388675</v>
      </c>
      <c r="AL100" s="99">
        <v>545451.65099388675</v>
      </c>
      <c r="AM100" s="99">
        <v>545451.65099388675</v>
      </c>
      <c r="AN100" s="99">
        <v>545451.65099388675</v>
      </c>
      <c r="AO100" s="99">
        <v>545451.65099388675</v>
      </c>
      <c r="AP100" s="99">
        <v>545451.65099388675</v>
      </c>
      <c r="AQ100" s="99">
        <v>545451.65099388675</v>
      </c>
      <c r="AR100" s="99">
        <v>545451.65099388675</v>
      </c>
      <c r="AS100" s="99">
        <v>545451.65099388675</v>
      </c>
      <c r="AT100" s="99">
        <v>545451.65099388675</v>
      </c>
      <c r="AU100" s="99">
        <v>545451.65099388675</v>
      </c>
      <c r="AV100" s="99">
        <v>545451.65099388675</v>
      </c>
      <c r="AW100" s="99">
        <v>545451.65099388675</v>
      </c>
      <c r="AX100" s="99">
        <v>545451.65099388675</v>
      </c>
    </row>
    <row r="101" spans="1:50">
      <c r="B101" s="104" t="s">
        <v>22</v>
      </c>
      <c r="C101" s="99">
        <v>0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0</v>
      </c>
      <c r="K101" s="99">
        <v>0</v>
      </c>
      <c r="L101" s="99">
        <v>0</v>
      </c>
      <c r="M101" s="99">
        <v>0</v>
      </c>
      <c r="N101" s="99">
        <v>0</v>
      </c>
      <c r="O101" s="99">
        <v>0</v>
      </c>
      <c r="P101" s="99">
        <v>0</v>
      </c>
      <c r="Q101" s="99">
        <v>0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0</v>
      </c>
      <c r="Y101" s="99">
        <v>0</v>
      </c>
      <c r="Z101" s="99">
        <v>0</v>
      </c>
      <c r="AA101" s="99">
        <v>0</v>
      </c>
      <c r="AB101" s="99">
        <v>0</v>
      </c>
      <c r="AC101" s="99">
        <v>0</v>
      </c>
      <c r="AD101" s="99">
        <v>0</v>
      </c>
      <c r="AE101" s="99">
        <v>0</v>
      </c>
      <c r="AF101" s="99">
        <v>0</v>
      </c>
      <c r="AG101" s="99">
        <v>0</v>
      </c>
      <c r="AH101" s="99">
        <v>0</v>
      </c>
      <c r="AI101" s="99">
        <v>0</v>
      </c>
      <c r="AJ101" s="99">
        <v>0</v>
      </c>
      <c r="AK101" s="99">
        <v>0</v>
      </c>
      <c r="AL101" s="99">
        <v>0</v>
      </c>
      <c r="AM101" s="99">
        <v>0</v>
      </c>
      <c r="AN101" s="99">
        <v>0</v>
      </c>
      <c r="AO101" s="99">
        <v>0</v>
      </c>
      <c r="AP101" s="99">
        <v>0</v>
      </c>
      <c r="AQ101" s="99">
        <v>0</v>
      </c>
      <c r="AR101" s="99">
        <v>0</v>
      </c>
      <c r="AS101" s="99">
        <v>0</v>
      </c>
      <c r="AT101" s="99">
        <v>0</v>
      </c>
      <c r="AU101" s="99">
        <v>0</v>
      </c>
      <c r="AV101" s="99">
        <v>0</v>
      </c>
      <c r="AW101" s="99">
        <v>0</v>
      </c>
      <c r="AX101" s="99">
        <v>0</v>
      </c>
    </row>
    <row r="102" spans="1:50">
      <c r="B102" s="104" t="s">
        <v>46</v>
      </c>
      <c r="C102" s="99">
        <v>0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</v>
      </c>
      <c r="K102" s="99">
        <v>0</v>
      </c>
      <c r="L102" s="99">
        <v>0</v>
      </c>
      <c r="M102" s="99">
        <v>0</v>
      </c>
      <c r="N102" s="99">
        <v>0</v>
      </c>
      <c r="O102" s="99">
        <v>0</v>
      </c>
      <c r="P102" s="99">
        <v>0</v>
      </c>
      <c r="Q102" s="99">
        <v>0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0</v>
      </c>
      <c r="Y102" s="99">
        <v>0</v>
      </c>
      <c r="Z102" s="99">
        <v>0</v>
      </c>
      <c r="AA102" s="99">
        <v>0</v>
      </c>
      <c r="AB102" s="99">
        <v>0</v>
      </c>
      <c r="AC102" s="99">
        <v>0</v>
      </c>
      <c r="AD102" s="99">
        <v>0</v>
      </c>
      <c r="AE102" s="99">
        <v>0</v>
      </c>
      <c r="AF102" s="99">
        <v>0</v>
      </c>
      <c r="AG102" s="99">
        <v>0</v>
      </c>
      <c r="AH102" s="99">
        <v>0</v>
      </c>
      <c r="AI102" s="99">
        <v>0</v>
      </c>
      <c r="AJ102" s="99">
        <v>0</v>
      </c>
      <c r="AK102" s="99">
        <v>0</v>
      </c>
      <c r="AL102" s="99">
        <v>0</v>
      </c>
      <c r="AM102" s="99">
        <v>0</v>
      </c>
      <c r="AN102" s="99">
        <v>0</v>
      </c>
      <c r="AO102" s="99">
        <v>0</v>
      </c>
      <c r="AP102" s="99">
        <v>0</v>
      </c>
      <c r="AQ102" s="99">
        <v>0</v>
      </c>
      <c r="AR102" s="99">
        <v>0</v>
      </c>
      <c r="AS102" s="99">
        <v>0</v>
      </c>
      <c r="AT102" s="99">
        <v>0</v>
      </c>
      <c r="AU102" s="99">
        <v>0</v>
      </c>
      <c r="AV102" s="99">
        <v>0</v>
      </c>
      <c r="AW102" s="99">
        <v>0</v>
      </c>
      <c r="AX102" s="99">
        <v>0</v>
      </c>
    </row>
    <row r="103" spans="1:50">
      <c r="B103" s="104" t="s">
        <v>59</v>
      </c>
      <c r="C103" s="99">
        <v>176677.53356245739</v>
      </c>
      <c r="D103" s="99">
        <v>176677.53356245739</v>
      </c>
      <c r="E103" s="99">
        <v>176677.53356245739</v>
      </c>
      <c r="F103" s="99">
        <v>176677.53356245739</v>
      </c>
      <c r="G103" s="99">
        <v>176677.53356245739</v>
      </c>
      <c r="H103" s="99">
        <v>176677.53356245739</v>
      </c>
      <c r="I103" s="99">
        <v>176677.53356245739</v>
      </c>
      <c r="J103" s="99">
        <v>176677.53356245739</v>
      </c>
      <c r="K103" s="99">
        <v>176677.53356245739</v>
      </c>
      <c r="L103" s="99">
        <v>176677.53356245739</v>
      </c>
      <c r="M103" s="99">
        <v>176677.53356245739</v>
      </c>
      <c r="N103" s="99">
        <v>176677.53356245739</v>
      </c>
      <c r="O103" s="99">
        <v>176677.53356245739</v>
      </c>
      <c r="P103" s="99">
        <v>176677.53356245739</v>
      </c>
      <c r="Q103" s="99">
        <v>176677.53356245739</v>
      </c>
      <c r="R103" s="99">
        <v>176677.53356245739</v>
      </c>
      <c r="S103" s="99">
        <v>176677.53356245739</v>
      </c>
      <c r="T103" s="99">
        <v>163233.04991368399</v>
      </c>
      <c r="U103" s="99">
        <v>176677.53356245739</v>
      </c>
      <c r="V103" s="99">
        <v>176677.53356245739</v>
      </c>
      <c r="W103" s="99">
        <v>176677.53356245739</v>
      </c>
      <c r="X103" s="99">
        <v>176677.53356245739</v>
      </c>
      <c r="Y103" s="99">
        <v>176677.53356245739</v>
      </c>
      <c r="Z103" s="99">
        <v>176677.53356245739</v>
      </c>
      <c r="AA103" s="99">
        <v>176677.53356245739</v>
      </c>
      <c r="AB103" s="99">
        <v>176677.53356245739</v>
      </c>
      <c r="AC103" s="99">
        <v>176677.53356245739</v>
      </c>
      <c r="AD103" s="99">
        <v>176677.53356245739</v>
      </c>
      <c r="AE103" s="99">
        <v>176677.53356245739</v>
      </c>
      <c r="AF103" s="99">
        <v>176677.53356245739</v>
      </c>
      <c r="AG103" s="99">
        <v>176677.53356245739</v>
      </c>
      <c r="AH103" s="99">
        <v>176677.53356245739</v>
      </c>
      <c r="AI103" s="99">
        <v>176677.53356245739</v>
      </c>
      <c r="AJ103" s="99">
        <v>176677.53356245739</v>
      </c>
      <c r="AK103" s="99">
        <v>176677.53356245739</v>
      </c>
      <c r="AL103" s="99">
        <v>176677.53356245739</v>
      </c>
      <c r="AM103" s="99">
        <v>176677.53356245739</v>
      </c>
      <c r="AN103" s="99">
        <v>176677.53356245739</v>
      </c>
      <c r="AO103" s="99">
        <v>176677.53356245739</v>
      </c>
      <c r="AP103" s="99">
        <v>176677.53356245739</v>
      </c>
      <c r="AQ103" s="99">
        <v>176677.53356245739</v>
      </c>
      <c r="AR103" s="99">
        <v>176677.53356245739</v>
      </c>
      <c r="AS103" s="99">
        <v>176677.53356245739</v>
      </c>
      <c r="AT103" s="99">
        <v>176677.53356245739</v>
      </c>
      <c r="AU103" s="99">
        <v>176677.53356245739</v>
      </c>
      <c r="AV103" s="99">
        <v>176677.53356245739</v>
      </c>
      <c r="AW103" s="99">
        <v>176677.53356245739</v>
      </c>
      <c r="AX103" s="99">
        <v>176677.53356245739</v>
      </c>
    </row>
    <row r="104" spans="1:50">
      <c r="B104" s="99" t="s">
        <v>278</v>
      </c>
      <c r="C104" s="104">
        <f>SUM(C$98:C$103)</f>
        <v>722129.18455634417</v>
      </c>
      <c r="D104" s="104">
        <f t="shared" ref="D104:AX104" si="5">SUM(D$98:D$103)</f>
        <v>722129.18455634417</v>
      </c>
      <c r="E104" s="104">
        <f t="shared" si="5"/>
        <v>722129.18455634417</v>
      </c>
      <c r="F104" s="104">
        <f t="shared" si="5"/>
        <v>722129.18455634417</v>
      </c>
      <c r="G104" s="104">
        <f t="shared" si="5"/>
        <v>722129.18455634417</v>
      </c>
      <c r="H104" s="104">
        <f t="shared" si="5"/>
        <v>722129.18455634417</v>
      </c>
      <c r="I104" s="104">
        <f t="shared" si="5"/>
        <v>722129.18455634417</v>
      </c>
      <c r="J104" s="104">
        <f t="shared" si="5"/>
        <v>722129.18455634417</v>
      </c>
      <c r="K104" s="104">
        <f t="shared" si="5"/>
        <v>722129.18455634417</v>
      </c>
      <c r="L104" s="104">
        <f t="shared" si="5"/>
        <v>722129.18455634417</v>
      </c>
      <c r="M104" s="104">
        <f t="shared" si="5"/>
        <v>722129.18455634417</v>
      </c>
      <c r="N104" s="104">
        <f t="shared" si="5"/>
        <v>722129.18455634417</v>
      </c>
      <c r="O104" s="104">
        <f t="shared" si="5"/>
        <v>722129.18455634417</v>
      </c>
      <c r="P104" s="104">
        <f t="shared" si="5"/>
        <v>722129.18455634417</v>
      </c>
      <c r="Q104" s="104">
        <f t="shared" si="5"/>
        <v>722129.18455634417</v>
      </c>
      <c r="R104" s="104">
        <f t="shared" si="5"/>
        <v>722129.18455634417</v>
      </c>
      <c r="S104" s="104">
        <f t="shared" si="5"/>
        <v>722129.18455634417</v>
      </c>
      <c r="T104" s="104">
        <f t="shared" si="5"/>
        <v>667177.91928617493</v>
      </c>
      <c r="U104" s="104">
        <f t="shared" si="5"/>
        <v>722129.18455634417</v>
      </c>
      <c r="V104" s="104">
        <f t="shared" si="5"/>
        <v>722129.18455634417</v>
      </c>
      <c r="W104" s="104">
        <f t="shared" si="5"/>
        <v>722129.18455634417</v>
      </c>
      <c r="X104" s="104">
        <f t="shared" si="5"/>
        <v>722129.18455634417</v>
      </c>
      <c r="Y104" s="104">
        <f t="shared" si="5"/>
        <v>722129.18455634417</v>
      </c>
      <c r="Z104" s="104">
        <f t="shared" si="5"/>
        <v>722129.18455634417</v>
      </c>
      <c r="AA104" s="104">
        <f t="shared" si="5"/>
        <v>722129.18455634417</v>
      </c>
      <c r="AB104" s="104">
        <f t="shared" si="5"/>
        <v>722129.18455634417</v>
      </c>
      <c r="AC104" s="104">
        <f t="shared" si="5"/>
        <v>722129.18455634417</v>
      </c>
      <c r="AD104" s="104">
        <f t="shared" si="5"/>
        <v>722129.18455634417</v>
      </c>
      <c r="AE104" s="104">
        <f t="shared" si="5"/>
        <v>722129.18455634417</v>
      </c>
      <c r="AF104" s="104">
        <f t="shared" si="5"/>
        <v>722129.18455634417</v>
      </c>
      <c r="AG104" s="104">
        <f t="shared" si="5"/>
        <v>722129.18455634417</v>
      </c>
      <c r="AH104" s="104">
        <f t="shared" si="5"/>
        <v>722129.18455634417</v>
      </c>
      <c r="AI104" s="104">
        <f t="shared" si="5"/>
        <v>722129.18455634417</v>
      </c>
      <c r="AJ104" s="104">
        <f t="shared" si="5"/>
        <v>722129.18455634417</v>
      </c>
      <c r="AK104" s="104">
        <f t="shared" si="5"/>
        <v>722129.18455634417</v>
      </c>
      <c r="AL104" s="104">
        <f t="shared" si="5"/>
        <v>722129.18455634417</v>
      </c>
      <c r="AM104" s="104">
        <f t="shared" si="5"/>
        <v>722129.18455634417</v>
      </c>
      <c r="AN104" s="104">
        <f t="shared" si="5"/>
        <v>722129.18455634417</v>
      </c>
      <c r="AO104" s="104">
        <f t="shared" si="5"/>
        <v>722129.18455634417</v>
      </c>
      <c r="AP104" s="104">
        <f t="shared" si="5"/>
        <v>722129.18455634417</v>
      </c>
      <c r="AQ104" s="104">
        <f t="shared" si="5"/>
        <v>722129.18455634417</v>
      </c>
      <c r="AR104" s="104">
        <f t="shared" si="5"/>
        <v>722129.18455634417</v>
      </c>
      <c r="AS104" s="104">
        <f t="shared" si="5"/>
        <v>722129.18455634417</v>
      </c>
      <c r="AT104" s="104">
        <f t="shared" si="5"/>
        <v>722129.18455634417</v>
      </c>
      <c r="AU104" s="104">
        <f t="shared" si="5"/>
        <v>722129.18455634417</v>
      </c>
      <c r="AV104" s="104">
        <f t="shared" si="5"/>
        <v>722129.18455634417</v>
      </c>
      <c r="AW104" s="104">
        <f t="shared" si="5"/>
        <v>722129.18455634417</v>
      </c>
      <c r="AX104" s="104">
        <f t="shared" si="5"/>
        <v>722129.18455634417</v>
      </c>
    </row>
    <row r="105" spans="1:50">
      <c r="A105" s="104" t="s">
        <v>105</v>
      </c>
      <c r="B105" s="104" t="s">
        <v>5</v>
      </c>
      <c r="C105" s="99">
        <v>0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0</v>
      </c>
      <c r="K105" s="99">
        <v>0</v>
      </c>
      <c r="L105" s="99">
        <v>0</v>
      </c>
      <c r="M105" s="99">
        <v>0</v>
      </c>
      <c r="N105" s="99">
        <v>0</v>
      </c>
      <c r="O105" s="99">
        <v>0</v>
      </c>
      <c r="P105" s="99">
        <v>0</v>
      </c>
      <c r="Q105" s="99">
        <v>0</v>
      </c>
      <c r="R105" s="99">
        <v>0</v>
      </c>
      <c r="S105" s="99">
        <v>0</v>
      </c>
      <c r="T105" s="99">
        <v>0</v>
      </c>
      <c r="U105" s="99">
        <v>0</v>
      </c>
      <c r="V105" s="99">
        <v>0</v>
      </c>
      <c r="W105" s="99">
        <v>0</v>
      </c>
      <c r="X105" s="99">
        <v>0</v>
      </c>
      <c r="Y105" s="99">
        <v>0</v>
      </c>
      <c r="Z105" s="99">
        <v>0</v>
      </c>
      <c r="AA105" s="99">
        <v>0</v>
      </c>
      <c r="AB105" s="99">
        <v>0</v>
      </c>
      <c r="AC105" s="99">
        <v>0</v>
      </c>
      <c r="AD105" s="99">
        <v>0</v>
      </c>
      <c r="AE105" s="99">
        <v>0</v>
      </c>
      <c r="AF105" s="99">
        <v>0</v>
      </c>
      <c r="AG105" s="99">
        <v>0</v>
      </c>
      <c r="AH105" s="99">
        <v>0</v>
      </c>
      <c r="AI105" s="99">
        <v>0</v>
      </c>
      <c r="AJ105" s="99">
        <v>0</v>
      </c>
      <c r="AK105" s="99">
        <v>0</v>
      </c>
      <c r="AL105" s="99">
        <v>0</v>
      </c>
      <c r="AM105" s="99">
        <v>0</v>
      </c>
      <c r="AN105" s="99">
        <v>0</v>
      </c>
      <c r="AO105" s="99">
        <v>0</v>
      </c>
      <c r="AP105" s="99">
        <v>0</v>
      </c>
      <c r="AQ105" s="99">
        <v>0</v>
      </c>
      <c r="AR105" s="99">
        <v>0</v>
      </c>
      <c r="AS105" s="99">
        <v>0</v>
      </c>
      <c r="AT105" s="99">
        <v>0</v>
      </c>
      <c r="AU105" s="99">
        <v>0</v>
      </c>
      <c r="AV105" s="99">
        <v>0</v>
      </c>
      <c r="AW105" s="99">
        <v>0</v>
      </c>
      <c r="AX105" s="99">
        <v>0</v>
      </c>
    </row>
    <row r="106" spans="1:50">
      <c r="B106" s="104" t="s">
        <v>10</v>
      </c>
      <c r="C106" s="99">
        <v>38610.008240394156</v>
      </c>
      <c r="D106" s="99">
        <v>38610.008240394156</v>
      </c>
      <c r="E106" s="99">
        <v>38610.008240394156</v>
      </c>
      <c r="F106" s="99">
        <v>38610.008240394156</v>
      </c>
      <c r="G106" s="99">
        <v>38610.008240394156</v>
      </c>
      <c r="H106" s="99">
        <v>38610.008240394156</v>
      </c>
      <c r="I106" s="99">
        <v>38610.008240394156</v>
      </c>
      <c r="J106" s="99">
        <v>38610.008240394156</v>
      </c>
      <c r="K106" s="99">
        <v>38610.008240394156</v>
      </c>
      <c r="L106" s="99">
        <v>38610.008240394156</v>
      </c>
      <c r="M106" s="99">
        <v>38610.008240394156</v>
      </c>
      <c r="N106" s="99">
        <v>38610.008240394156</v>
      </c>
      <c r="O106" s="99">
        <v>38610.008240394156</v>
      </c>
      <c r="P106" s="99">
        <v>38610.008240394156</v>
      </c>
      <c r="Q106" s="99">
        <v>38610.008240394156</v>
      </c>
      <c r="R106" s="99">
        <v>38610.008240394156</v>
      </c>
      <c r="S106" s="99">
        <v>38610.008240394156</v>
      </c>
      <c r="T106" s="99">
        <v>38610.008240394156</v>
      </c>
      <c r="U106" s="99">
        <v>38610.008240394156</v>
      </c>
      <c r="V106" s="99">
        <v>38610.008240394156</v>
      </c>
      <c r="W106" s="99">
        <v>38610.008240394156</v>
      </c>
      <c r="X106" s="99">
        <v>38610.008240394156</v>
      </c>
      <c r="Y106" s="99">
        <v>38610.008240394156</v>
      </c>
      <c r="Z106" s="99">
        <v>38610.008240394156</v>
      </c>
      <c r="AA106" s="99">
        <v>38610.008240394156</v>
      </c>
      <c r="AB106" s="99">
        <v>38610.008240394156</v>
      </c>
      <c r="AC106" s="99">
        <v>38610.008240394156</v>
      </c>
      <c r="AD106" s="99">
        <v>38610.008240394156</v>
      </c>
      <c r="AE106" s="99">
        <v>38610.008240394156</v>
      </c>
      <c r="AF106" s="99">
        <v>38610.008240394156</v>
      </c>
      <c r="AG106" s="99">
        <v>38610.008240394156</v>
      </c>
      <c r="AH106" s="99">
        <v>38610.008240394156</v>
      </c>
      <c r="AI106" s="99">
        <v>38610.008240394156</v>
      </c>
      <c r="AJ106" s="99">
        <v>38610.008240394156</v>
      </c>
      <c r="AK106" s="99">
        <v>38610.008240394156</v>
      </c>
      <c r="AL106" s="99">
        <v>38610.008240394156</v>
      </c>
      <c r="AM106" s="99">
        <v>30888.006592315327</v>
      </c>
      <c r="AN106" s="99">
        <v>30888.006592315327</v>
      </c>
      <c r="AO106" s="99">
        <v>30888.006592315327</v>
      </c>
      <c r="AP106" s="99">
        <v>30888.006592315327</v>
      </c>
      <c r="AQ106" s="99">
        <v>38610.008240394156</v>
      </c>
      <c r="AR106" s="99">
        <v>38610.008240394156</v>
      </c>
      <c r="AS106" s="99">
        <v>38610.008240394156</v>
      </c>
      <c r="AT106" s="99">
        <v>38610.008240394156</v>
      </c>
      <c r="AU106" s="99">
        <v>38610.008240394156</v>
      </c>
      <c r="AV106" s="99">
        <v>38610.008240394156</v>
      </c>
      <c r="AW106" s="99">
        <v>38610.008240394156</v>
      </c>
      <c r="AX106" s="99">
        <v>38610.008240394156</v>
      </c>
    </row>
    <row r="107" spans="1:50">
      <c r="B107" s="104" t="s">
        <v>12</v>
      </c>
      <c r="C107" s="99">
        <v>0</v>
      </c>
      <c r="D107" s="99">
        <v>0</v>
      </c>
      <c r="E107" s="99">
        <v>0</v>
      </c>
      <c r="F107" s="99">
        <v>0</v>
      </c>
      <c r="G107" s="99">
        <v>0</v>
      </c>
      <c r="H107" s="99">
        <v>0</v>
      </c>
      <c r="I107" s="99">
        <v>0</v>
      </c>
      <c r="J107" s="99">
        <v>0</v>
      </c>
      <c r="K107" s="99">
        <v>0</v>
      </c>
      <c r="L107" s="99">
        <v>0</v>
      </c>
      <c r="M107" s="99">
        <v>0</v>
      </c>
      <c r="N107" s="99">
        <v>0</v>
      </c>
      <c r="O107" s="99">
        <v>0</v>
      </c>
      <c r="P107" s="99">
        <v>0</v>
      </c>
      <c r="Q107" s="99">
        <v>0</v>
      </c>
      <c r="R107" s="99">
        <v>0</v>
      </c>
      <c r="S107" s="99">
        <v>0</v>
      </c>
      <c r="T107" s="99">
        <v>0</v>
      </c>
      <c r="U107" s="99">
        <v>0</v>
      </c>
      <c r="V107" s="99">
        <v>0</v>
      </c>
      <c r="W107" s="99">
        <v>0</v>
      </c>
      <c r="X107" s="99">
        <v>0</v>
      </c>
      <c r="Y107" s="99">
        <v>0</v>
      </c>
      <c r="Z107" s="99">
        <v>0</v>
      </c>
      <c r="AA107" s="99">
        <v>0</v>
      </c>
      <c r="AB107" s="99">
        <v>0</v>
      </c>
      <c r="AC107" s="99">
        <v>0</v>
      </c>
      <c r="AD107" s="99">
        <v>0</v>
      </c>
      <c r="AE107" s="99">
        <v>0</v>
      </c>
      <c r="AF107" s="99">
        <v>0</v>
      </c>
      <c r="AG107" s="99">
        <v>0</v>
      </c>
      <c r="AH107" s="99">
        <v>0</v>
      </c>
      <c r="AI107" s="99">
        <v>0</v>
      </c>
      <c r="AJ107" s="99">
        <v>0</v>
      </c>
      <c r="AK107" s="99">
        <v>0</v>
      </c>
      <c r="AL107" s="99">
        <v>0</v>
      </c>
      <c r="AM107" s="99">
        <v>0</v>
      </c>
      <c r="AN107" s="99">
        <v>0</v>
      </c>
      <c r="AO107" s="99">
        <v>0</v>
      </c>
      <c r="AP107" s="99">
        <v>0</v>
      </c>
      <c r="AQ107" s="99">
        <v>0</v>
      </c>
      <c r="AR107" s="99">
        <v>0</v>
      </c>
      <c r="AS107" s="99">
        <v>0</v>
      </c>
      <c r="AT107" s="99">
        <v>0</v>
      </c>
      <c r="AU107" s="99">
        <v>0</v>
      </c>
      <c r="AV107" s="99">
        <v>0</v>
      </c>
      <c r="AW107" s="99">
        <v>0</v>
      </c>
      <c r="AX107" s="99">
        <v>0</v>
      </c>
    </row>
    <row r="108" spans="1:50">
      <c r="B108" s="104" t="s">
        <v>22</v>
      </c>
      <c r="C108" s="99">
        <v>0</v>
      </c>
      <c r="D108" s="99">
        <v>0</v>
      </c>
      <c r="E108" s="99">
        <v>0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9">
        <v>0</v>
      </c>
      <c r="O108" s="99">
        <v>0</v>
      </c>
      <c r="P108" s="99">
        <v>0</v>
      </c>
      <c r="Q108" s="99">
        <v>0</v>
      </c>
      <c r="R108" s="99">
        <v>0</v>
      </c>
      <c r="S108" s="99">
        <v>0</v>
      </c>
      <c r="T108" s="99">
        <v>0</v>
      </c>
      <c r="U108" s="99">
        <v>0</v>
      </c>
      <c r="V108" s="99">
        <v>0</v>
      </c>
      <c r="W108" s="99">
        <v>0</v>
      </c>
      <c r="X108" s="99">
        <v>0</v>
      </c>
      <c r="Y108" s="99">
        <v>0</v>
      </c>
      <c r="Z108" s="99">
        <v>0</v>
      </c>
      <c r="AA108" s="99">
        <v>0</v>
      </c>
      <c r="AB108" s="99">
        <v>0</v>
      </c>
      <c r="AC108" s="99">
        <v>0</v>
      </c>
      <c r="AD108" s="99">
        <v>0</v>
      </c>
      <c r="AE108" s="99">
        <v>0</v>
      </c>
      <c r="AF108" s="99">
        <v>0</v>
      </c>
      <c r="AG108" s="99">
        <v>0</v>
      </c>
      <c r="AH108" s="99">
        <v>0</v>
      </c>
      <c r="AI108" s="99">
        <v>0</v>
      </c>
      <c r="AJ108" s="99">
        <v>0</v>
      </c>
      <c r="AK108" s="99">
        <v>0</v>
      </c>
      <c r="AL108" s="99">
        <v>0</v>
      </c>
      <c r="AM108" s="99">
        <v>0</v>
      </c>
      <c r="AN108" s="99">
        <v>0</v>
      </c>
      <c r="AO108" s="99">
        <v>0</v>
      </c>
      <c r="AP108" s="99">
        <v>0</v>
      </c>
      <c r="AQ108" s="99">
        <v>0</v>
      </c>
      <c r="AR108" s="99">
        <v>0</v>
      </c>
      <c r="AS108" s="99">
        <v>0</v>
      </c>
      <c r="AT108" s="99">
        <v>0</v>
      </c>
      <c r="AU108" s="99">
        <v>0</v>
      </c>
      <c r="AV108" s="99">
        <v>0</v>
      </c>
      <c r="AW108" s="99">
        <v>0</v>
      </c>
      <c r="AX108" s="99">
        <v>0</v>
      </c>
    </row>
    <row r="109" spans="1:50">
      <c r="B109" s="104" t="s">
        <v>46</v>
      </c>
      <c r="C109" s="99">
        <v>15057.899999999996</v>
      </c>
      <c r="D109" s="99">
        <v>15057.899999999996</v>
      </c>
      <c r="E109" s="99">
        <v>15057.899999999996</v>
      </c>
      <c r="F109" s="99">
        <v>15057.899999999996</v>
      </c>
      <c r="G109" s="99">
        <v>15057.899999999996</v>
      </c>
      <c r="H109" s="99">
        <v>15057.899999999996</v>
      </c>
      <c r="I109" s="99">
        <v>15057.899999999996</v>
      </c>
      <c r="J109" s="99">
        <v>15057.899999999996</v>
      </c>
      <c r="K109" s="99">
        <v>15057.899999999996</v>
      </c>
      <c r="L109" s="99">
        <v>15057.899999999996</v>
      </c>
      <c r="M109" s="99">
        <v>15057.899999999996</v>
      </c>
      <c r="N109" s="99">
        <v>15057.899999999996</v>
      </c>
      <c r="O109" s="99">
        <v>15057.899999999996</v>
      </c>
      <c r="P109" s="99">
        <v>15057.899999999996</v>
      </c>
      <c r="Q109" s="99">
        <v>15057.899999999996</v>
      </c>
      <c r="R109" s="99">
        <v>15057.899999999996</v>
      </c>
      <c r="S109" s="99">
        <v>15057.899999999996</v>
      </c>
      <c r="T109" s="99">
        <v>15057.899999999996</v>
      </c>
      <c r="U109" s="99">
        <v>15057.899999999996</v>
      </c>
      <c r="V109" s="99">
        <v>15057.899999999996</v>
      </c>
      <c r="W109" s="99">
        <v>15057.899999999996</v>
      </c>
      <c r="X109" s="99">
        <v>15057.899999999996</v>
      </c>
      <c r="Y109" s="99">
        <v>15057.899999999996</v>
      </c>
      <c r="Z109" s="99">
        <v>15057.899999999996</v>
      </c>
      <c r="AA109" s="99">
        <v>15057.899999999996</v>
      </c>
      <c r="AB109" s="99">
        <v>15057.899999999996</v>
      </c>
      <c r="AC109" s="99">
        <v>15057.899999999996</v>
      </c>
      <c r="AD109" s="99">
        <v>15057.899999999996</v>
      </c>
      <c r="AE109" s="99">
        <v>15057.899999999996</v>
      </c>
      <c r="AF109" s="99">
        <v>15057.899999999996</v>
      </c>
      <c r="AG109" s="99">
        <v>15057.899999999996</v>
      </c>
      <c r="AH109" s="99">
        <v>15057.899999999996</v>
      </c>
      <c r="AI109" s="99">
        <v>15057.899999999996</v>
      </c>
      <c r="AJ109" s="99">
        <v>15057.899999999996</v>
      </c>
      <c r="AK109" s="99">
        <v>15057.899999999996</v>
      </c>
      <c r="AL109" s="99">
        <v>15057.899999999996</v>
      </c>
      <c r="AM109" s="99">
        <v>12046.319999999998</v>
      </c>
      <c r="AN109" s="99">
        <v>12046.319999999998</v>
      </c>
      <c r="AO109" s="99">
        <v>12046.319999999998</v>
      </c>
      <c r="AP109" s="99">
        <v>12046.319999999998</v>
      </c>
      <c r="AQ109" s="99">
        <v>15057.899999999996</v>
      </c>
      <c r="AR109" s="99">
        <v>15057.899999999996</v>
      </c>
      <c r="AS109" s="99">
        <v>15057.899999999996</v>
      </c>
      <c r="AT109" s="99">
        <v>15057.899999999996</v>
      </c>
      <c r="AU109" s="99">
        <v>15057.899999999996</v>
      </c>
      <c r="AV109" s="99">
        <v>15057.899999999996</v>
      </c>
      <c r="AW109" s="99">
        <v>15057.899999999996</v>
      </c>
      <c r="AX109" s="99">
        <v>15057.899999999996</v>
      </c>
    </row>
    <row r="110" spans="1:50">
      <c r="B110" s="104" t="s">
        <v>59</v>
      </c>
      <c r="C110" s="99">
        <v>0</v>
      </c>
      <c r="D110" s="99">
        <v>0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9">
        <v>0</v>
      </c>
      <c r="O110" s="99">
        <v>0</v>
      </c>
      <c r="P110" s="99">
        <v>0</v>
      </c>
      <c r="Q110" s="99">
        <v>0</v>
      </c>
      <c r="R110" s="99">
        <v>0</v>
      </c>
      <c r="S110" s="99">
        <v>0</v>
      </c>
      <c r="T110" s="99">
        <v>0</v>
      </c>
      <c r="U110" s="99">
        <v>0</v>
      </c>
      <c r="V110" s="99">
        <v>0</v>
      </c>
      <c r="W110" s="99">
        <v>0</v>
      </c>
      <c r="X110" s="99">
        <v>0</v>
      </c>
      <c r="Y110" s="99">
        <v>0</v>
      </c>
      <c r="Z110" s="99">
        <v>0</v>
      </c>
      <c r="AA110" s="99">
        <v>0</v>
      </c>
      <c r="AB110" s="99">
        <v>0</v>
      </c>
      <c r="AC110" s="99">
        <v>0</v>
      </c>
      <c r="AD110" s="99">
        <v>0</v>
      </c>
      <c r="AE110" s="99">
        <v>0</v>
      </c>
      <c r="AF110" s="99">
        <v>0</v>
      </c>
      <c r="AG110" s="99">
        <v>0</v>
      </c>
      <c r="AH110" s="99">
        <v>0</v>
      </c>
      <c r="AI110" s="99">
        <v>0</v>
      </c>
      <c r="AJ110" s="99">
        <v>0</v>
      </c>
      <c r="AK110" s="99">
        <v>0</v>
      </c>
      <c r="AL110" s="99">
        <v>0</v>
      </c>
      <c r="AM110" s="99">
        <v>0</v>
      </c>
      <c r="AN110" s="99">
        <v>0</v>
      </c>
      <c r="AO110" s="99">
        <v>0</v>
      </c>
      <c r="AP110" s="99">
        <v>0</v>
      </c>
      <c r="AQ110" s="99">
        <v>0</v>
      </c>
      <c r="AR110" s="99">
        <v>0</v>
      </c>
      <c r="AS110" s="99">
        <v>0</v>
      </c>
      <c r="AT110" s="99">
        <v>0</v>
      </c>
      <c r="AU110" s="99">
        <v>0</v>
      </c>
      <c r="AV110" s="99">
        <v>0</v>
      </c>
      <c r="AW110" s="99">
        <v>0</v>
      </c>
      <c r="AX110" s="99">
        <v>0</v>
      </c>
    </row>
    <row r="111" spans="1:50">
      <c r="B111" s="100" t="s">
        <v>278</v>
      </c>
      <c r="C111" s="104">
        <f>SUM(C$105:C$110)</f>
        <v>53667.90824039415</v>
      </c>
      <c r="D111" s="104">
        <f t="shared" ref="D111:AX111" si="6">SUM(D$105:D$110)</f>
        <v>53667.90824039415</v>
      </c>
      <c r="E111" s="104">
        <f t="shared" si="6"/>
        <v>53667.90824039415</v>
      </c>
      <c r="F111" s="104">
        <f t="shared" si="6"/>
        <v>53667.90824039415</v>
      </c>
      <c r="G111" s="104">
        <f t="shared" si="6"/>
        <v>53667.90824039415</v>
      </c>
      <c r="H111" s="104">
        <f t="shared" si="6"/>
        <v>53667.90824039415</v>
      </c>
      <c r="I111" s="104">
        <f t="shared" si="6"/>
        <v>53667.90824039415</v>
      </c>
      <c r="J111" s="104">
        <f t="shared" si="6"/>
        <v>53667.90824039415</v>
      </c>
      <c r="K111" s="104">
        <f t="shared" si="6"/>
        <v>53667.90824039415</v>
      </c>
      <c r="L111" s="104">
        <f t="shared" si="6"/>
        <v>53667.90824039415</v>
      </c>
      <c r="M111" s="104">
        <f t="shared" si="6"/>
        <v>53667.90824039415</v>
      </c>
      <c r="N111" s="104">
        <f t="shared" si="6"/>
        <v>53667.90824039415</v>
      </c>
      <c r="O111" s="104">
        <f t="shared" si="6"/>
        <v>53667.90824039415</v>
      </c>
      <c r="P111" s="104">
        <f t="shared" si="6"/>
        <v>53667.90824039415</v>
      </c>
      <c r="Q111" s="104">
        <f t="shared" si="6"/>
        <v>53667.90824039415</v>
      </c>
      <c r="R111" s="104">
        <f t="shared" si="6"/>
        <v>53667.90824039415</v>
      </c>
      <c r="S111" s="104">
        <f t="shared" si="6"/>
        <v>53667.90824039415</v>
      </c>
      <c r="T111" s="104">
        <f t="shared" si="6"/>
        <v>53667.90824039415</v>
      </c>
      <c r="U111" s="104">
        <f t="shared" si="6"/>
        <v>53667.90824039415</v>
      </c>
      <c r="V111" s="104">
        <f t="shared" si="6"/>
        <v>53667.90824039415</v>
      </c>
      <c r="W111" s="104">
        <f t="shared" si="6"/>
        <v>53667.90824039415</v>
      </c>
      <c r="X111" s="104">
        <f t="shared" si="6"/>
        <v>53667.90824039415</v>
      </c>
      <c r="Y111" s="104">
        <f t="shared" si="6"/>
        <v>53667.90824039415</v>
      </c>
      <c r="Z111" s="104">
        <f t="shared" si="6"/>
        <v>53667.90824039415</v>
      </c>
      <c r="AA111" s="104">
        <f t="shared" si="6"/>
        <v>53667.90824039415</v>
      </c>
      <c r="AB111" s="104">
        <f t="shared" si="6"/>
        <v>53667.90824039415</v>
      </c>
      <c r="AC111" s="104">
        <f t="shared" si="6"/>
        <v>53667.90824039415</v>
      </c>
      <c r="AD111" s="104">
        <f t="shared" si="6"/>
        <v>53667.90824039415</v>
      </c>
      <c r="AE111" s="104">
        <f t="shared" si="6"/>
        <v>53667.90824039415</v>
      </c>
      <c r="AF111" s="104">
        <f t="shared" si="6"/>
        <v>53667.90824039415</v>
      </c>
      <c r="AG111" s="104">
        <f t="shared" si="6"/>
        <v>53667.90824039415</v>
      </c>
      <c r="AH111" s="104">
        <f t="shared" si="6"/>
        <v>53667.90824039415</v>
      </c>
      <c r="AI111" s="104">
        <f t="shared" si="6"/>
        <v>53667.90824039415</v>
      </c>
      <c r="AJ111" s="104">
        <f t="shared" si="6"/>
        <v>53667.90824039415</v>
      </c>
      <c r="AK111" s="104">
        <f t="shared" si="6"/>
        <v>53667.90824039415</v>
      </c>
      <c r="AL111" s="104">
        <f t="shared" si="6"/>
        <v>53667.90824039415</v>
      </c>
      <c r="AM111" s="104">
        <f t="shared" si="6"/>
        <v>42934.326592315323</v>
      </c>
      <c r="AN111" s="104">
        <f t="shared" si="6"/>
        <v>42934.326592315323</v>
      </c>
      <c r="AO111" s="104">
        <f t="shared" si="6"/>
        <v>42934.326592315323</v>
      </c>
      <c r="AP111" s="104">
        <f t="shared" si="6"/>
        <v>42934.326592315323</v>
      </c>
      <c r="AQ111" s="104">
        <f t="shared" si="6"/>
        <v>53667.90824039415</v>
      </c>
      <c r="AR111" s="104">
        <f t="shared" si="6"/>
        <v>53667.90824039415</v>
      </c>
      <c r="AS111" s="104">
        <f t="shared" si="6"/>
        <v>53667.90824039415</v>
      </c>
      <c r="AT111" s="104">
        <f t="shared" si="6"/>
        <v>53667.90824039415</v>
      </c>
      <c r="AU111" s="104">
        <f t="shared" si="6"/>
        <v>53667.90824039415</v>
      </c>
      <c r="AV111" s="104">
        <f t="shared" si="6"/>
        <v>53667.90824039415</v>
      </c>
      <c r="AW111" s="104">
        <f t="shared" si="6"/>
        <v>53667.90824039415</v>
      </c>
      <c r="AX111" s="104">
        <f t="shared" si="6"/>
        <v>53667.90824039415</v>
      </c>
    </row>
    <row r="112" spans="1:50">
      <c r="A112" s="104" t="s">
        <v>106</v>
      </c>
      <c r="B112" s="104" t="s">
        <v>5</v>
      </c>
      <c r="C112" s="99">
        <v>0</v>
      </c>
      <c r="D112" s="99">
        <v>0</v>
      </c>
      <c r="E112" s="99">
        <v>0</v>
      </c>
      <c r="F112" s="99">
        <v>0</v>
      </c>
      <c r="G112" s="99">
        <v>0</v>
      </c>
      <c r="H112" s="99">
        <v>0</v>
      </c>
      <c r="I112" s="99">
        <v>0</v>
      </c>
      <c r="J112" s="99">
        <v>0</v>
      </c>
      <c r="K112" s="99">
        <v>0</v>
      </c>
      <c r="L112" s="99">
        <v>0</v>
      </c>
      <c r="M112" s="99">
        <v>0</v>
      </c>
      <c r="N112" s="99">
        <v>0</v>
      </c>
      <c r="O112" s="99">
        <v>0</v>
      </c>
      <c r="P112" s="99">
        <v>0</v>
      </c>
      <c r="Q112" s="99">
        <v>0</v>
      </c>
      <c r="R112" s="99">
        <v>0</v>
      </c>
      <c r="S112" s="99">
        <v>0</v>
      </c>
      <c r="T112" s="99">
        <v>0</v>
      </c>
      <c r="U112" s="99">
        <v>0</v>
      </c>
      <c r="V112" s="99">
        <v>0</v>
      </c>
      <c r="W112" s="99">
        <v>0</v>
      </c>
      <c r="X112" s="99">
        <v>0</v>
      </c>
      <c r="Y112" s="99">
        <v>0</v>
      </c>
      <c r="Z112" s="99">
        <v>0</v>
      </c>
      <c r="AA112" s="99">
        <v>0</v>
      </c>
      <c r="AB112" s="99">
        <v>0</v>
      </c>
      <c r="AC112" s="99">
        <v>0</v>
      </c>
      <c r="AD112" s="99">
        <v>0</v>
      </c>
      <c r="AE112" s="99">
        <v>0</v>
      </c>
      <c r="AF112" s="99">
        <v>0</v>
      </c>
      <c r="AG112" s="99">
        <v>0</v>
      </c>
      <c r="AH112" s="99">
        <v>0</v>
      </c>
      <c r="AI112" s="99">
        <v>0</v>
      </c>
      <c r="AJ112" s="99">
        <v>0</v>
      </c>
      <c r="AK112" s="99">
        <v>0</v>
      </c>
      <c r="AL112" s="99">
        <v>0</v>
      </c>
      <c r="AM112" s="99">
        <v>0</v>
      </c>
      <c r="AN112" s="99">
        <v>0</v>
      </c>
      <c r="AO112" s="99">
        <v>0</v>
      </c>
      <c r="AP112" s="99">
        <v>0</v>
      </c>
      <c r="AQ112" s="99">
        <v>0</v>
      </c>
      <c r="AR112" s="99">
        <v>0</v>
      </c>
      <c r="AS112" s="99">
        <v>0</v>
      </c>
      <c r="AT112" s="99">
        <v>0</v>
      </c>
      <c r="AU112" s="99">
        <v>0</v>
      </c>
      <c r="AV112" s="99">
        <v>0</v>
      </c>
      <c r="AW112" s="99">
        <v>0</v>
      </c>
      <c r="AX112" s="99">
        <v>0</v>
      </c>
    </row>
    <row r="113" spans="1:50">
      <c r="B113" s="104" t="s">
        <v>10</v>
      </c>
      <c r="C113" s="99">
        <v>0</v>
      </c>
      <c r="D113" s="99">
        <v>0</v>
      </c>
      <c r="E113" s="99">
        <v>0</v>
      </c>
      <c r="F113" s="99">
        <v>0</v>
      </c>
      <c r="G113" s="99">
        <v>0</v>
      </c>
      <c r="H113" s="99">
        <v>0</v>
      </c>
      <c r="I113" s="99">
        <v>0</v>
      </c>
      <c r="J113" s="99">
        <v>0</v>
      </c>
      <c r="K113" s="99">
        <v>0</v>
      </c>
      <c r="L113" s="99">
        <v>0</v>
      </c>
      <c r="M113" s="99">
        <v>0</v>
      </c>
      <c r="N113" s="99">
        <v>0</v>
      </c>
      <c r="O113" s="99">
        <v>0</v>
      </c>
      <c r="P113" s="99">
        <v>0</v>
      </c>
      <c r="Q113" s="99">
        <v>0</v>
      </c>
      <c r="R113" s="99">
        <v>0</v>
      </c>
      <c r="S113" s="99">
        <v>0</v>
      </c>
      <c r="T113" s="99">
        <v>0</v>
      </c>
      <c r="U113" s="99">
        <v>0</v>
      </c>
      <c r="V113" s="99">
        <v>0</v>
      </c>
      <c r="W113" s="99">
        <v>0</v>
      </c>
      <c r="X113" s="99">
        <v>0</v>
      </c>
      <c r="Y113" s="99">
        <v>0</v>
      </c>
      <c r="Z113" s="99">
        <v>0</v>
      </c>
      <c r="AA113" s="99">
        <v>0</v>
      </c>
      <c r="AB113" s="99">
        <v>0</v>
      </c>
      <c r="AC113" s="99">
        <v>0</v>
      </c>
      <c r="AD113" s="99">
        <v>0</v>
      </c>
      <c r="AE113" s="99">
        <v>0</v>
      </c>
      <c r="AF113" s="99">
        <v>0</v>
      </c>
      <c r="AG113" s="99">
        <v>0</v>
      </c>
      <c r="AH113" s="99">
        <v>0</v>
      </c>
      <c r="AI113" s="99">
        <v>0</v>
      </c>
      <c r="AJ113" s="99">
        <v>0</v>
      </c>
      <c r="AK113" s="99">
        <v>0</v>
      </c>
      <c r="AL113" s="99">
        <v>0</v>
      </c>
      <c r="AM113" s="99">
        <v>0</v>
      </c>
      <c r="AN113" s="99">
        <v>0</v>
      </c>
      <c r="AO113" s="99">
        <v>0</v>
      </c>
      <c r="AP113" s="99">
        <v>0</v>
      </c>
      <c r="AQ113" s="99">
        <v>0</v>
      </c>
      <c r="AR113" s="99">
        <v>0</v>
      </c>
      <c r="AS113" s="99">
        <v>0</v>
      </c>
      <c r="AT113" s="99">
        <v>0</v>
      </c>
      <c r="AU113" s="99">
        <v>0</v>
      </c>
      <c r="AV113" s="99">
        <v>0</v>
      </c>
      <c r="AW113" s="99">
        <v>0</v>
      </c>
      <c r="AX113" s="99">
        <v>0</v>
      </c>
    </row>
    <row r="114" spans="1:50">
      <c r="B114" s="104" t="s">
        <v>12</v>
      </c>
      <c r="C114" s="99">
        <v>0</v>
      </c>
      <c r="D114" s="99">
        <v>0</v>
      </c>
      <c r="E114" s="99">
        <v>0</v>
      </c>
      <c r="F114" s="99">
        <v>0</v>
      </c>
      <c r="G114" s="99">
        <v>0</v>
      </c>
      <c r="H114" s="99">
        <v>0</v>
      </c>
      <c r="I114" s="99">
        <v>0</v>
      </c>
      <c r="J114" s="99">
        <v>0</v>
      </c>
      <c r="K114" s="99">
        <v>0</v>
      </c>
      <c r="L114" s="99">
        <v>0</v>
      </c>
      <c r="M114" s="99">
        <v>0</v>
      </c>
      <c r="N114" s="99">
        <v>0</v>
      </c>
      <c r="O114" s="99">
        <v>0</v>
      </c>
      <c r="P114" s="99">
        <v>0</v>
      </c>
      <c r="Q114" s="99">
        <v>0</v>
      </c>
      <c r="R114" s="99">
        <v>0</v>
      </c>
      <c r="S114" s="99">
        <v>0</v>
      </c>
      <c r="T114" s="99">
        <v>0</v>
      </c>
      <c r="U114" s="99">
        <v>0</v>
      </c>
      <c r="V114" s="99">
        <v>0</v>
      </c>
      <c r="W114" s="99">
        <v>0</v>
      </c>
      <c r="X114" s="99">
        <v>0</v>
      </c>
      <c r="Y114" s="99">
        <v>0</v>
      </c>
      <c r="Z114" s="99">
        <v>0</v>
      </c>
      <c r="AA114" s="99">
        <v>0</v>
      </c>
      <c r="AB114" s="99">
        <v>0</v>
      </c>
      <c r="AC114" s="99">
        <v>0</v>
      </c>
      <c r="AD114" s="99">
        <v>0</v>
      </c>
      <c r="AE114" s="99">
        <v>0</v>
      </c>
      <c r="AF114" s="99">
        <v>0</v>
      </c>
      <c r="AG114" s="99">
        <v>0</v>
      </c>
      <c r="AH114" s="99">
        <v>0</v>
      </c>
      <c r="AI114" s="99">
        <v>0</v>
      </c>
      <c r="AJ114" s="99">
        <v>0</v>
      </c>
      <c r="AK114" s="99">
        <v>0</v>
      </c>
      <c r="AL114" s="99">
        <v>0</v>
      </c>
      <c r="AM114" s="99">
        <v>0</v>
      </c>
      <c r="AN114" s="99">
        <v>0</v>
      </c>
      <c r="AO114" s="99">
        <v>0</v>
      </c>
      <c r="AP114" s="99">
        <v>0</v>
      </c>
      <c r="AQ114" s="99">
        <v>0</v>
      </c>
      <c r="AR114" s="99">
        <v>0</v>
      </c>
      <c r="AS114" s="99">
        <v>0</v>
      </c>
      <c r="AT114" s="99">
        <v>0</v>
      </c>
      <c r="AU114" s="99">
        <v>0</v>
      </c>
      <c r="AV114" s="99">
        <v>0</v>
      </c>
      <c r="AW114" s="99">
        <v>0</v>
      </c>
      <c r="AX114" s="99">
        <v>0</v>
      </c>
    </row>
    <row r="115" spans="1:50">
      <c r="B115" s="104" t="s">
        <v>22</v>
      </c>
      <c r="C115" s="99">
        <v>3696.0000000000009</v>
      </c>
      <c r="D115" s="99">
        <v>3696.0000000000009</v>
      </c>
      <c r="E115" s="99">
        <v>3696.0000000000009</v>
      </c>
      <c r="F115" s="99">
        <v>3696.0000000000009</v>
      </c>
      <c r="G115" s="99">
        <v>3696.0000000000009</v>
      </c>
      <c r="H115" s="99">
        <v>3696.0000000000009</v>
      </c>
      <c r="I115" s="99">
        <v>3696.0000000000009</v>
      </c>
      <c r="J115" s="99">
        <v>3696.0000000000009</v>
      </c>
      <c r="K115" s="99">
        <v>3696.0000000000009</v>
      </c>
      <c r="L115" s="99">
        <v>3696.0000000000009</v>
      </c>
      <c r="M115" s="99">
        <v>3696.0000000000009</v>
      </c>
      <c r="N115" s="99">
        <v>3696.0000000000009</v>
      </c>
      <c r="O115" s="99">
        <v>3696.0000000000009</v>
      </c>
      <c r="P115" s="99">
        <v>3696.0000000000009</v>
      </c>
      <c r="Q115" s="99">
        <v>3696.0000000000009</v>
      </c>
      <c r="R115" s="99">
        <v>3696.0000000000009</v>
      </c>
      <c r="S115" s="99">
        <v>2956.8000000000006</v>
      </c>
      <c r="T115" s="99">
        <v>2956.8000000000006</v>
      </c>
      <c r="U115" s="99">
        <v>2956.8000000000006</v>
      </c>
      <c r="V115" s="99">
        <v>2956.8000000000006</v>
      </c>
      <c r="W115" s="99">
        <v>0</v>
      </c>
      <c r="X115" s="99">
        <v>0</v>
      </c>
      <c r="Y115" s="99">
        <v>0</v>
      </c>
      <c r="Z115" s="99">
        <v>0</v>
      </c>
      <c r="AA115" s="99">
        <v>3696.0000000000009</v>
      </c>
      <c r="AB115" s="99">
        <v>3696.0000000000009</v>
      </c>
      <c r="AC115" s="99">
        <v>3696.0000000000009</v>
      </c>
      <c r="AD115" s="99">
        <v>3696.0000000000009</v>
      </c>
      <c r="AE115" s="99">
        <v>2956.8000000000006</v>
      </c>
      <c r="AF115" s="99">
        <v>2956.8000000000006</v>
      </c>
      <c r="AG115" s="99">
        <v>2956.8000000000006</v>
      </c>
      <c r="AH115" s="99">
        <v>2956.8000000000006</v>
      </c>
      <c r="AI115" s="99">
        <v>3696.0000000000009</v>
      </c>
      <c r="AJ115" s="99">
        <v>3696.0000000000009</v>
      </c>
      <c r="AK115" s="99">
        <v>3696.0000000000009</v>
      </c>
      <c r="AL115" s="99">
        <v>3696.0000000000009</v>
      </c>
      <c r="AM115" s="99">
        <v>3696.0000000000009</v>
      </c>
      <c r="AN115" s="99">
        <v>3696.0000000000009</v>
      </c>
      <c r="AO115" s="99">
        <v>3696.0000000000009</v>
      </c>
      <c r="AP115" s="99">
        <v>3696.0000000000009</v>
      </c>
      <c r="AQ115" s="99">
        <v>3696.0000000000009</v>
      </c>
      <c r="AR115" s="99">
        <v>3696.0000000000009</v>
      </c>
      <c r="AS115" s="99">
        <v>3696.0000000000009</v>
      </c>
      <c r="AT115" s="99">
        <v>3696.0000000000009</v>
      </c>
      <c r="AU115" s="99">
        <v>3696.0000000000009</v>
      </c>
      <c r="AV115" s="99">
        <v>3696.0000000000009</v>
      </c>
      <c r="AW115" s="99">
        <v>3696.0000000000009</v>
      </c>
      <c r="AX115" s="99">
        <v>3696.0000000000009</v>
      </c>
    </row>
    <row r="116" spans="1:50">
      <c r="B116" s="104" t="s">
        <v>46</v>
      </c>
      <c r="C116" s="99">
        <v>4.666134145736577E-13</v>
      </c>
      <c r="D116" s="99">
        <v>4.666134145736577E-13</v>
      </c>
      <c r="E116" s="99">
        <v>4.666134145736577E-13</v>
      </c>
      <c r="F116" s="99">
        <v>4.666134145736577E-13</v>
      </c>
      <c r="G116" s="99">
        <v>4.666134145736577E-13</v>
      </c>
      <c r="H116" s="99">
        <v>4.666134145736577E-13</v>
      </c>
      <c r="I116" s="99">
        <v>4.666134145736577E-13</v>
      </c>
      <c r="J116" s="99">
        <v>4.666134145736577E-13</v>
      </c>
      <c r="K116" s="99">
        <v>4.666134145736577E-13</v>
      </c>
      <c r="L116" s="99">
        <v>4.666134145736577E-13</v>
      </c>
      <c r="M116" s="99">
        <v>4.666134145736577E-13</v>
      </c>
      <c r="N116" s="99">
        <v>4.666134145736577E-13</v>
      </c>
      <c r="O116" s="99">
        <v>4.666134145736577E-13</v>
      </c>
      <c r="P116" s="99">
        <v>4.666134145736577E-13</v>
      </c>
      <c r="Q116" s="99">
        <v>4.666134145736577E-13</v>
      </c>
      <c r="R116" s="99">
        <v>4.666134145736577E-13</v>
      </c>
      <c r="S116" s="99">
        <v>3.7329073165892614E-13</v>
      </c>
      <c r="T116" s="99">
        <v>3.7329073165892614E-13</v>
      </c>
      <c r="U116" s="99">
        <v>3.7329073165892614E-13</v>
      </c>
      <c r="V116" s="99">
        <v>3.7329073165892614E-13</v>
      </c>
      <c r="W116" s="99">
        <v>0</v>
      </c>
      <c r="X116" s="99">
        <v>0</v>
      </c>
      <c r="Y116" s="99">
        <v>0</v>
      </c>
      <c r="Z116" s="99">
        <v>0</v>
      </c>
      <c r="AA116" s="99">
        <v>4.666134145736577E-13</v>
      </c>
      <c r="AB116" s="99">
        <v>4.666134145736577E-13</v>
      </c>
      <c r="AC116" s="99">
        <v>4.666134145736577E-13</v>
      </c>
      <c r="AD116" s="99">
        <v>4.666134145736577E-13</v>
      </c>
      <c r="AE116" s="99">
        <v>3.7329073165892614E-13</v>
      </c>
      <c r="AF116" s="99">
        <v>3.7329073165892614E-13</v>
      </c>
      <c r="AG116" s="99">
        <v>3.7329073165892614E-13</v>
      </c>
      <c r="AH116" s="99">
        <v>3.7329073165892614E-13</v>
      </c>
      <c r="AI116" s="99">
        <v>4.666134145736577E-13</v>
      </c>
      <c r="AJ116" s="99">
        <v>4.666134145736577E-13</v>
      </c>
      <c r="AK116" s="99">
        <v>4.666134145736577E-13</v>
      </c>
      <c r="AL116" s="99">
        <v>4.666134145736577E-13</v>
      </c>
      <c r="AM116" s="99">
        <v>4.666134145736577E-13</v>
      </c>
      <c r="AN116" s="99">
        <v>4.666134145736577E-13</v>
      </c>
      <c r="AO116" s="99">
        <v>4.666134145736577E-13</v>
      </c>
      <c r="AP116" s="99">
        <v>4.666134145736577E-13</v>
      </c>
      <c r="AQ116" s="99">
        <v>4.666134145736577E-13</v>
      </c>
      <c r="AR116" s="99">
        <v>4.666134145736577E-13</v>
      </c>
      <c r="AS116" s="99">
        <v>4.666134145736577E-13</v>
      </c>
      <c r="AT116" s="99">
        <v>4.666134145736577E-13</v>
      </c>
      <c r="AU116" s="99">
        <v>4.666134145736577E-13</v>
      </c>
      <c r="AV116" s="99">
        <v>4.666134145736577E-13</v>
      </c>
      <c r="AW116" s="99">
        <v>4.666134145736577E-13</v>
      </c>
      <c r="AX116" s="99">
        <v>4.666134145736577E-13</v>
      </c>
    </row>
    <row r="117" spans="1:50">
      <c r="B117" s="104" t="s">
        <v>59</v>
      </c>
      <c r="C117" s="99">
        <v>0</v>
      </c>
      <c r="D117" s="99">
        <v>0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9">
        <v>0</v>
      </c>
      <c r="O117" s="99">
        <v>0</v>
      </c>
      <c r="P117" s="99">
        <v>0</v>
      </c>
      <c r="Q117" s="99">
        <v>0</v>
      </c>
      <c r="R117" s="99">
        <v>0</v>
      </c>
      <c r="S117" s="99">
        <v>0</v>
      </c>
      <c r="T117" s="99">
        <v>0</v>
      </c>
      <c r="U117" s="99">
        <v>0</v>
      </c>
      <c r="V117" s="99">
        <v>0</v>
      </c>
      <c r="W117" s="99">
        <v>0</v>
      </c>
      <c r="X117" s="99">
        <v>0</v>
      </c>
      <c r="Y117" s="99">
        <v>0</v>
      </c>
      <c r="Z117" s="99">
        <v>0</v>
      </c>
      <c r="AA117" s="99">
        <v>0</v>
      </c>
      <c r="AB117" s="99">
        <v>0</v>
      </c>
      <c r="AC117" s="99">
        <v>0</v>
      </c>
      <c r="AD117" s="99">
        <v>0</v>
      </c>
      <c r="AE117" s="99">
        <v>0</v>
      </c>
      <c r="AF117" s="99">
        <v>0</v>
      </c>
      <c r="AG117" s="99">
        <v>0</v>
      </c>
      <c r="AH117" s="99">
        <v>0</v>
      </c>
      <c r="AI117" s="99">
        <v>0</v>
      </c>
      <c r="AJ117" s="99">
        <v>0</v>
      </c>
      <c r="AK117" s="99">
        <v>0</v>
      </c>
      <c r="AL117" s="99">
        <v>0</v>
      </c>
      <c r="AM117" s="99">
        <v>0</v>
      </c>
      <c r="AN117" s="99">
        <v>0</v>
      </c>
      <c r="AO117" s="99">
        <v>0</v>
      </c>
      <c r="AP117" s="99">
        <v>0</v>
      </c>
      <c r="AQ117" s="99">
        <v>0</v>
      </c>
      <c r="AR117" s="99">
        <v>0</v>
      </c>
      <c r="AS117" s="99">
        <v>0</v>
      </c>
      <c r="AT117" s="99">
        <v>0</v>
      </c>
      <c r="AU117" s="99">
        <v>0</v>
      </c>
      <c r="AV117" s="99">
        <v>0</v>
      </c>
      <c r="AW117" s="99">
        <v>0</v>
      </c>
      <c r="AX117" s="99">
        <v>0</v>
      </c>
    </row>
    <row r="118" spans="1:50">
      <c r="B118" s="99" t="s">
        <v>278</v>
      </c>
      <c r="C118" s="104">
        <f>SUM(C$112:C$117)</f>
        <v>3696.0000000000014</v>
      </c>
      <c r="D118" s="104">
        <f t="shared" ref="D118:AX118" si="7">SUM(D$112:D$117)</f>
        <v>3696.0000000000014</v>
      </c>
      <c r="E118" s="104">
        <f t="shared" si="7"/>
        <v>3696.0000000000014</v>
      </c>
      <c r="F118" s="104">
        <f t="shared" si="7"/>
        <v>3696.0000000000014</v>
      </c>
      <c r="G118" s="104">
        <f t="shared" si="7"/>
        <v>3696.0000000000014</v>
      </c>
      <c r="H118" s="104">
        <f t="shared" si="7"/>
        <v>3696.0000000000014</v>
      </c>
      <c r="I118" s="104">
        <f t="shared" si="7"/>
        <v>3696.0000000000014</v>
      </c>
      <c r="J118" s="104">
        <f t="shared" si="7"/>
        <v>3696.0000000000014</v>
      </c>
      <c r="K118" s="104">
        <f t="shared" si="7"/>
        <v>3696.0000000000014</v>
      </c>
      <c r="L118" s="104">
        <f t="shared" si="7"/>
        <v>3696.0000000000014</v>
      </c>
      <c r="M118" s="104">
        <f t="shared" si="7"/>
        <v>3696.0000000000014</v>
      </c>
      <c r="N118" s="104">
        <f t="shared" si="7"/>
        <v>3696.0000000000014</v>
      </c>
      <c r="O118" s="104">
        <f t="shared" si="7"/>
        <v>3696.0000000000014</v>
      </c>
      <c r="P118" s="104">
        <f t="shared" si="7"/>
        <v>3696.0000000000014</v>
      </c>
      <c r="Q118" s="104">
        <f t="shared" si="7"/>
        <v>3696.0000000000014</v>
      </c>
      <c r="R118" s="104">
        <f t="shared" si="7"/>
        <v>3696.0000000000014</v>
      </c>
      <c r="S118" s="104">
        <f t="shared" si="7"/>
        <v>2956.8000000000011</v>
      </c>
      <c r="T118" s="104">
        <f t="shared" si="7"/>
        <v>2956.8000000000011</v>
      </c>
      <c r="U118" s="104">
        <f t="shared" si="7"/>
        <v>2956.8000000000011</v>
      </c>
      <c r="V118" s="104">
        <f t="shared" si="7"/>
        <v>2956.8000000000011</v>
      </c>
      <c r="W118" s="104">
        <f t="shared" si="7"/>
        <v>0</v>
      </c>
      <c r="X118" s="104">
        <f t="shared" si="7"/>
        <v>0</v>
      </c>
      <c r="Y118" s="104">
        <f t="shared" si="7"/>
        <v>0</v>
      </c>
      <c r="Z118" s="104">
        <f t="shared" si="7"/>
        <v>0</v>
      </c>
      <c r="AA118" s="104">
        <f t="shared" si="7"/>
        <v>3696.0000000000014</v>
      </c>
      <c r="AB118" s="104">
        <f t="shared" si="7"/>
        <v>3696.0000000000014</v>
      </c>
      <c r="AC118" s="104">
        <f t="shared" si="7"/>
        <v>3696.0000000000014</v>
      </c>
      <c r="AD118" s="104">
        <f t="shared" si="7"/>
        <v>3696.0000000000014</v>
      </c>
      <c r="AE118" s="104">
        <f t="shared" si="7"/>
        <v>2956.8000000000011</v>
      </c>
      <c r="AF118" s="104">
        <f t="shared" si="7"/>
        <v>2956.8000000000011</v>
      </c>
      <c r="AG118" s="104">
        <f t="shared" si="7"/>
        <v>2956.8000000000011</v>
      </c>
      <c r="AH118" s="104">
        <f t="shared" si="7"/>
        <v>2956.8000000000011</v>
      </c>
      <c r="AI118" s="104">
        <f t="shared" si="7"/>
        <v>3696.0000000000014</v>
      </c>
      <c r="AJ118" s="104">
        <f t="shared" si="7"/>
        <v>3696.0000000000014</v>
      </c>
      <c r="AK118" s="104">
        <f t="shared" si="7"/>
        <v>3696.0000000000014</v>
      </c>
      <c r="AL118" s="104">
        <f t="shared" si="7"/>
        <v>3696.0000000000014</v>
      </c>
      <c r="AM118" s="104">
        <f t="shared" si="7"/>
        <v>3696.0000000000014</v>
      </c>
      <c r="AN118" s="104">
        <f t="shared" si="7"/>
        <v>3696.0000000000014</v>
      </c>
      <c r="AO118" s="104">
        <f t="shared" si="7"/>
        <v>3696.0000000000014</v>
      </c>
      <c r="AP118" s="104">
        <f t="shared" si="7"/>
        <v>3696.0000000000014</v>
      </c>
      <c r="AQ118" s="104">
        <f t="shared" si="7"/>
        <v>3696.0000000000014</v>
      </c>
      <c r="AR118" s="104">
        <f t="shared" si="7"/>
        <v>3696.0000000000014</v>
      </c>
      <c r="AS118" s="104">
        <f t="shared" si="7"/>
        <v>3696.0000000000014</v>
      </c>
      <c r="AT118" s="104">
        <f t="shared" si="7"/>
        <v>3696.0000000000014</v>
      </c>
      <c r="AU118" s="104">
        <f t="shared" si="7"/>
        <v>3696.0000000000014</v>
      </c>
      <c r="AV118" s="104">
        <f t="shared" si="7"/>
        <v>3696.0000000000014</v>
      </c>
      <c r="AW118" s="104">
        <f t="shared" si="7"/>
        <v>3696.0000000000014</v>
      </c>
      <c r="AX118" s="104">
        <f t="shared" si="7"/>
        <v>3696.0000000000014</v>
      </c>
    </row>
    <row r="119" spans="1:50">
      <c r="A119" s="104" t="s">
        <v>107</v>
      </c>
      <c r="B119" s="104" t="s">
        <v>5</v>
      </c>
      <c r="C119" s="99">
        <v>0</v>
      </c>
      <c r="D119" s="99">
        <v>0</v>
      </c>
      <c r="E119" s="99">
        <v>0</v>
      </c>
      <c r="F119" s="99">
        <v>0</v>
      </c>
      <c r="G119" s="99">
        <v>0</v>
      </c>
      <c r="H119" s="99">
        <v>0</v>
      </c>
      <c r="I119" s="99">
        <v>0</v>
      </c>
      <c r="J119" s="99">
        <v>0</v>
      </c>
      <c r="K119" s="99">
        <v>0</v>
      </c>
      <c r="L119" s="99">
        <v>0</v>
      </c>
      <c r="M119" s="99">
        <v>0</v>
      </c>
      <c r="N119" s="99">
        <v>0</v>
      </c>
      <c r="O119" s="99">
        <v>0</v>
      </c>
      <c r="P119" s="99">
        <v>0</v>
      </c>
      <c r="Q119" s="99">
        <v>0</v>
      </c>
      <c r="R119" s="99">
        <v>0</v>
      </c>
      <c r="S119" s="99">
        <v>0</v>
      </c>
      <c r="T119" s="99">
        <v>0</v>
      </c>
      <c r="U119" s="99">
        <v>0</v>
      </c>
      <c r="V119" s="99">
        <v>0</v>
      </c>
      <c r="W119" s="99">
        <v>0</v>
      </c>
      <c r="X119" s="99">
        <v>0</v>
      </c>
      <c r="Y119" s="99">
        <v>0</v>
      </c>
      <c r="Z119" s="99">
        <v>0</v>
      </c>
      <c r="AA119" s="99">
        <v>0</v>
      </c>
      <c r="AB119" s="99">
        <v>0</v>
      </c>
      <c r="AC119" s="99">
        <v>0</v>
      </c>
      <c r="AD119" s="99">
        <v>0</v>
      </c>
      <c r="AE119" s="99">
        <v>0</v>
      </c>
      <c r="AF119" s="99">
        <v>0</v>
      </c>
      <c r="AG119" s="99">
        <v>0</v>
      </c>
      <c r="AH119" s="99">
        <v>0</v>
      </c>
      <c r="AI119" s="99">
        <v>0</v>
      </c>
      <c r="AJ119" s="99">
        <v>0</v>
      </c>
      <c r="AK119" s="99">
        <v>0</v>
      </c>
      <c r="AL119" s="99">
        <v>0</v>
      </c>
      <c r="AM119" s="99">
        <v>0</v>
      </c>
      <c r="AN119" s="99">
        <v>0</v>
      </c>
      <c r="AO119" s="99">
        <v>0</v>
      </c>
      <c r="AP119" s="99">
        <v>0</v>
      </c>
      <c r="AQ119" s="99">
        <v>0</v>
      </c>
      <c r="AR119" s="99">
        <v>0</v>
      </c>
      <c r="AS119" s="99">
        <v>0</v>
      </c>
      <c r="AT119" s="99">
        <v>0</v>
      </c>
      <c r="AU119" s="99">
        <v>0</v>
      </c>
      <c r="AV119" s="99">
        <v>0</v>
      </c>
      <c r="AW119" s="99">
        <v>0</v>
      </c>
      <c r="AX119" s="99">
        <v>0</v>
      </c>
    </row>
    <row r="120" spans="1:50">
      <c r="B120" s="104" t="s">
        <v>10</v>
      </c>
      <c r="C120" s="99">
        <v>0</v>
      </c>
      <c r="D120" s="99">
        <v>0</v>
      </c>
      <c r="E120" s="99">
        <v>0</v>
      </c>
      <c r="F120" s="99">
        <v>0</v>
      </c>
      <c r="G120" s="99">
        <v>0</v>
      </c>
      <c r="H120" s="99">
        <v>0</v>
      </c>
      <c r="I120" s="99">
        <v>0</v>
      </c>
      <c r="J120" s="99">
        <v>0</v>
      </c>
      <c r="K120" s="99">
        <v>0</v>
      </c>
      <c r="L120" s="99">
        <v>0</v>
      </c>
      <c r="M120" s="99">
        <v>0</v>
      </c>
      <c r="N120" s="99">
        <v>0</v>
      </c>
      <c r="O120" s="99">
        <v>0</v>
      </c>
      <c r="P120" s="99">
        <v>0</v>
      </c>
      <c r="Q120" s="99">
        <v>0</v>
      </c>
      <c r="R120" s="99">
        <v>0</v>
      </c>
      <c r="S120" s="99">
        <v>0</v>
      </c>
      <c r="T120" s="99">
        <v>0</v>
      </c>
      <c r="U120" s="99">
        <v>0</v>
      </c>
      <c r="V120" s="99">
        <v>0</v>
      </c>
      <c r="W120" s="99">
        <v>0</v>
      </c>
      <c r="X120" s="99">
        <v>0</v>
      </c>
      <c r="Y120" s="99">
        <v>0</v>
      </c>
      <c r="Z120" s="99">
        <v>0</v>
      </c>
      <c r="AA120" s="99">
        <v>0</v>
      </c>
      <c r="AB120" s="99">
        <v>0</v>
      </c>
      <c r="AC120" s="99">
        <v>0</v>
      </c>
      <c r="AD120" s="99">
        <v>0</v>
      </c>
      <c r="AE120" s="99">
        <v>0</v>
      </c>
      <c r="AF120" s="99">
        <v>0</v>
      </c>
      <c r="AG120" s="99">
        <v>0</v>
      </c>
      <c r="AH120" s="99">
        <v>0</v>
      </c>
      <c r="AI120" s="99">
        <v>0</v>
      </c>
      <c r="AJ120" s="99">
        <v>0</v>
      </c>
      <c r="AK120" s="99">
        <v>0</v>
      </c>
      <c r="AL120" s="99">
        <v>0</v>
      </c>
      <c r="AM120" s="99">
        <v>0</v>
      </c>
      <c r="AN120" s="99">
        <v>0</v>
      </c>
      <c r="AO120" s="99">
        <v>0</v>
      </c>
      <c r="AP120" s="99">
        <v>0</v>
      </c>
      <c r="AQ120" s="99">
        <v>0</v>
      </c>
      <c r="AR120" s="99">
        <v>0</v>
      </c>
      <c r="AS120" s="99">
        <v>0</v>
      </c>
      <c r="AT120" s="99">
        <v>0</v>
      </c>
      <c r="AU120" s="99">
        <v>0</v>
      </c>
      <c r="AV120" s="99">
        <v>0</v>
      </c>
      <c r="AW120" s="99">
        <v>0</v>
      </c>
      <c r="AX120" s="99">
        <v>0</v>
      </c>
    </row>
    <row r="121" spans="1:50">
      <c r="B121" s="104" t="s">
        <v>12</v>
      </c>
      <c r="C121" s="99">
        <v>0</v>
      </c>
      <c r="D121" s="99">
        <v>0</v>
      </c>
      <c r="E121" s="99">
        <v>0</v>
      </c>
      <c r="F121" s="99">
        <v>0</v>
      </c>
      <c r="G121" s="99">
        <v>0</v>
      </c>
      <c r="H121" s="99">
        <v>0</v>
      </c>
      <c r="I121" s="99">
        <v>0</v>
      </c>
      <c r="J121" s="99">
        <v>0</v>
      </c>
      <c r="K121" s="99">
        <v>0</v>
      </c>
      <c r="L121" s="99">
        <v>0</v>
      </c>
      <c r="M121" s="99">
        <v>0</v>
      </c>
      <c r="N121" s="99">
        <v>0</v>
      </c>
      <c r="O121" s="99">
        <v>0</v>
      </c>
      <c r="P121" s="99">
        <v>0</v>
      </c>
      <c r="Q121" s="99">
        <v>0</v>
      </c>
      <c r="R121" s="99">
        <v>0</v>
      </c>
      <c r="S121" s="99">
        <v>0</v>
      </c>
      <c r="T121" s="99">
        <v>0</v>
      </c>
      <c r="U121" s="99">
        <v>0</v>
      </c>
      <c r="V121" s="99">
        <v>0</v>
      </c>
      <c r="W121" s="99">
        <v>0</v>
      </c>
      <c r="X121" s="99">
        <v>0</v>
      </c>
      <c r="Y121" s="99">
        <v>0</v>
      </c>
      <c r="Z121" s="99">
        <v>0</v>
      </c>
      <c r="AA121" s="99">
        <v>0</v>
      </c>
      <c r="AB121" s="99">
        <v>0</v>
      </c>
      <c r="AC121" s="99">
        <v>0</v>
      </c>
      <c r="AD121" s="99">
        <v>0</v>
      </c>
      <c r="AE121" s="99">
        <v>0</v>
      </c>
      <c r="AF121" s="99">
        <v>0</v>
      </c>
      <c r="AG121" s="99">
        <v>0</v>
      </c>
      <c r="AH121" s="99">
        <v>0</v>
      </c>
      <c r="AI121" s="99">
        <v>0</v>
      </c>
      <c r="AJ121" s="99">
        <v>0</v>
      </c>
      <c r="AK121" s="99">
        <v>0</v>
      </c>
      <c r="AL121" s="99">
        <v>0</v>
      </c>
      <c r="AM121" s="99">
        <v>0</v>
      </c>
      <c r="AN121" s="99">
        <v>0</v>
      </c>
      <c r="AO121" s="99">
        <v>0</v>
      </c>
      <c r="AP121" s="99">
        <v>0</v>
      </c>
      <c r="AQ121" s="99">
        <v>0</v>
      </c>
      <c r="AR121" s="99">
        <v>0</v>
      </c>
      <c r="AS121" s="99">
        <v>0</v>
      </c>
      <c r="AT121" s="99">
        <v>0</v>
      </c>
      <c r="AU121" s="99">
        <v>0</v>
      </c>
      <c r="AV121" s="99">
        <v>0</v>
      </c>
      <c r="AW121" s="99">
        <v>0</v>
      </c>
      <c r="AX121" s="99">
        <v>0</v>
      </c>
    </row>
    <row r="122" spans="1:50">
      <c r="B122" s="104" t="s">
        <v>22</v>
      </c>
      <c r="C122" s="99">
        <v>0</v>
      </c>
      <c r="D122" s="99">
        <v>0</v>
      </c>
      <c r="E122" s="99">
        <v>0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0</v>
      </c>
      <c r="M122" s="99">
        <v>0</v>
      </c>
      <c r="N122" s="99">
        <v>0</v>
      </c>
      <c r="O122" s="99">
        <v>0</v>
      </c>
      <c r="P122" s="99">
        <v>0</v>
      </c>
      <c r="Q122" s="99">
        <v>0</v>
      </c>
      <c r="R122" s="99">
        <v>0</v>
      </c>
      <c r="S122" s="99">
        <v>0</v>
      </c>
      <c r="T122" s="99">
        <v>0</v>
      </c>
      <c r="U122" s="99">
        <v>0</v>
      </c>
      <c r="V122" s="99">
        <v>0</v>
      </c>
      <c r="W122" s="99">
        <v>0</v>
      </c>
      <c r="X122" s="99">
        <v>0</v>
      </c>
      <c r="Y122" s="99">
        <v>0</v>
      </c>
      <c r="Z122" s="99">
        <v>0</v>
      </c>
      <c r="AA122" s="99">
        <v>0</v>
      </c>
      <c r="AB122" s="99">
        <v>0</v>
      </c>
      <c r="AC122" s="99">
        <v>0</v>
      </c>
      <c r="AD122" s="99">
        <v>0</v>
      </c>
      <c r="AE122" s="99">
        <v>0</v>
      </c>
      <c r="AF122" s="99">
        <v>0</v>
      </c>
      <c r="AG122" s="99">
        <v>0</v>
      </c>
      <c r="AH122" s="99">
        <v>0</v>
      </c>
      <c r="AI122" s="99">
        <v>0</v>
      </c>
      <c r="AJ122" s="99">
        <v>0</v>
      </c>
      <c r="AK122" s="99">
        <v>0</v>
      </c>
      <c r="AL122" s="99">
        <v>0</v>
      </c>
      <c r="AM122" s="99">
        <v>0</v>
      </c>
      <c r="AN122" s="99">
        <v>0</v>
      </c>
      <c r="AO122" s="99">
        <v>0</v>
      </c>
      <c r="AP122" s="99">
        <v>0</v>
      </c>
      <c r="AQ122" s="99">
        <v>0</v>
      </c>
      <c r="AR122" s="99">
        <v>0</v>
      </c>
      <c r="AS122" s="99">
        <v>0</v>
      </c>
      <c r="AT122" s="99">
        <v>0</v>
      </c>
      <c r="AU122" s="99">
        <v>0</v>
      </c>
      <c r="AV122" s="99">
        <v>0</v>
      </c>
      <c r="AW122" s="99">
        <v>0</v>
      </c>
      <c r="AX122" s="99">
        <v>0</v>
      </c>
    </row>
    <row r="123" spans="1:50">
      <c r="B123" s="104" t="s">
        <v>46</v>
      </c>
      <c r="C123" s="99">
        <v>0</v>
      </c>
      <c r="D123" s="99">
        <v>0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9">
        <v>0</v>
      </c>
      <c r="O123" s="99">
        <v>0</v>
      </c>
      <c r="P123" s="99">
        <v>0</v>
      </c>
      <c r="Q123" s="99">
        <v>0</v>
      </c>
      <c r="R123" s="99">
        <v>0</v>
      </c>
      <c r="S123" s="99">
        <v>0</v>
      </c>
      <c r="T123" s="99">
        <v>0</v>
      </c>
      <c r="U123" s="99">
        <v>0</v>
      </c>
      <c r="V123" s="99">
        <v>0</v>
      </c>
      <c r="W123" s="99">
        <v>0</v>
      </c>
      <c r="X123" s="99">
        <v>0</v>
      </c>
      <c r="Y123" s="99">
        <v>0</v>
      </c>
      <c r="Z123" s="99">
        <v>0</v>
      </c>
      <c r="AA123" s="99">
        <v>0</v>
      </c>
      <c r="AB123" s="99">
        <v>0</v>
      </c>
      <c r="AC123" s="99">
        <v>0</v>
      </c>
      <c r="AD123" s="99">
        <v>0</v>
      </c>
      <c r="AE123" s="99">
        <v>0</v>
      </c>
      <c r="AF123" s="99">
        <v>0</v>
      </c>
      <c r="AG123" s="99">
        <v>0</v>
      </c>
      <c r="AH123" s="99">
        <v>0</v>
      </c>
      <c r="AI123" s="99">
        <v>0</v>
      </c>
      <c r="AJ123" s="99">
        <v>0</v>
      </c>
      <c r="AK123" s="99">
        <v>0</v>
      </c>
      <c r="AL123" s="99">
        <v>0</v>
      </c>
      <c r="AM123" s="99">
        <v>0</v>
      </c>
      <c r="AN123" s="99">
        <v>0</v>
      </c>
      <c r="AO123" s="99">
        <v>0</v>
      </c>
      <c r="AP123" s="99">
        <v>0</v>
      </c>
      <c r="AQ123" s="99">
        <v>0</v>
      </c>
      <c r="AR123" s="99">
        <v>0</v>
      </c>
      <c r="AS123" s="99">
        <v>0</v>
      </c>
      <c r="AT123" s="99">
        <v>0</v>
      </c>
      <c r="AU123" s="99">
        <v>0</v>
      </c>
      <c r="AV123" s="99">
        <v>0</v>
      </c>
      <c r="AW123" s="99">
        <v>0</v>
      </c>
      <c r="AX123" s="99">
        <v>0</v>
      </c>
    </row>
    <row r="124" spans="1:50">
      <c r="B124" s="104" t="s">
        <v>59</v>
      </c>
      <c r="C124" s="99">
        <v>0</v>
      </c>
      <c r="D124" s="99">
        <v>0</v>
      </c>
      <c r="E124" s="99">
        <v>0</v>
      </c>
      <c r="F124" s="99">
        <v>0</v>
      </c>
      <c r="G124" s="99">
        <v>0</v>
      </c>
      <c r="H124" s="99">
        <v>0</v>
      </c>
      <c r="I124" s="99">
        <v>0</v>
      </c>
      <c r="J124" s="99">
        <v>0</v>
      </c>
      <c r="K124" s="99">
        <v>0</v>
      </c>
      <c r="L124" s="99">
        <v>0</v>
      </c>
      <c r="M124" s="99">
        <v>0</v>
      </c>
      <c r="N124" s="99">
        <v>0</v>
      </c>
      <c r="O124" s="99">
        <v>0</v>
      </c>
      <c r="P124" s="99">
        <v>0</v>
      </c>
      <c r="Q124" s="99">
        <v>0</v>
      </c>
      <c r="R124" s="99">
        <v>0</v>
      </c>
      <c r="S124" s="99">
        <v>0</v>
      </c>
      <c r="T124" s="99">
        <v>0</v>
      </c>
      <c r="U124" s="99">
        <v>0</v>
      </c>
      <c r="V124" s="99">
        <v>0</v>
      </c>
      <c r="W124" s="99">
        <v>0</v>
      </c>
      <c r="X124" s="99">
        <v>0</v>
      </c>
      <c r="Y124" s="99">
        <v>0</v>
      </c>
      <c r="Z124" s="99">
        <v>0</v>
      </c>
      <c r="AA124" s="99">
        <v>0</v>
      </c>
      <c r="AB124" s="99">
        <v>0</v>
      </c>
      <c r="AC124" s="99">
        <v>0</v>
      </c>
      <c r="AD124" s="99">
        <v>0</v>
      </c>
      <c r="AE124" s="99">
        <v>0</v>
      </c>
      <c r="AF124" s="99">
        <v>0</v>
      </c>
      <c r="AG124" s="99">
        <v>0</v>
      </c>
      <c r="AH124" s="99">
        <v>0</v>
      </c>
      <c r="AI124" s="99">
        <v>0</v>
      </c>
      <c r="AJ124" s="99">
        <v>0</v>
      </c>
      <c r="AK124" s="99">
        <v>0</v>
      </c>
      <c r="AL124" s="99">
        <v>0</v>
      </c>
      <c r="AM124" s="99">
        <v>0</v>
      </c>
      <c r="AN124" s="99">
        <v>0</v>
      </c>
      <c r="AO124" s="99">
        <v>0</v>
      </c>
      <c r="AP124" s="99">
        <v>0</v>
      </c>
      <c r="AQ124" s="99">
        <v>0</v>
      </c>
      <c r="AR124" s="99">
        <v>0</v>
      </c>
      <c r="AS124" s="99">
        <v>0</v>
      </c>
      <c r="AT124" s="99">
        <v>0</v>
      </c>
      <c r="AU124" s="99">
        <v>0</v>
      </c>
      <c r="AV124" s="99">
        <v>0</v>
      </c>
      <c r="AW124" s="99">
        <v>0</v>
      </c>
      <c r="AX124" s="99">
        <v>0</v>
      </c>
    </row>
    <row r="125" spans="1:50">
      <c r="B125" s="99" t="s">
        <v>278</v>
      </c>
      <c r="C125" s="104">
        <f>SUM(C$119:C$124)</f>
        <v>0</v>
      </c>
      <c r="D125" s="104">
        <f t="shared" ref="D125:AX125" si="8">SUM(D$119:D$124)</f>
        <v>0</v>
      </c>
      <c r="E125" s="104">
        <f t="shared" si="8"/>
        <v>0</v>
      </c>
      <c r="F125" s="104">
        <f t="shared" si="8"/>
        <v>0</v>
      </c>
      <c r="G125" s="104">
        <f t="shared" si="8"/>
        <v>0</v>
      </c>
      <c r="H125" s="104">
        <f t="shared" si="8"/>
        <v>0</v>
      </c>
      <c r="I125" s="104">
        <f t="shared" si="8"/>
        <v>0</v>
      </c>
      <c r="J125" s="104">
        <f t="shared" si="8"/>
        <v>0</v>
      </c>
      <c r="K125" s="104">
        <f t="shared" si="8"/>
        <v>0</v>
      </c>
      <c r="L125" s="104">
        <f t="shared" si="8"/>
        <v>0</v>
      </c>
      <c r="M125" s="104">
        <f t="shared" si="8"/>
        <v>0</v>
      </c>
      <c r="N125" s="104">
        <f t="shared" si="8"/>
        <v>0</v>
      </c>
      <c r="O125" s="104">
        <f t="shared" si="8"/>
        <v>0</v>
      </c>
      <c r="P125" s="104">
        <f t="shared" si="8"/>
        <v>0</v>
      </c>
      <c r="Q125" s="104">
        <f t="shared" si="8"/>
        <v>0</v>
      </c>
      <c r="R125" s="104">
        <f t="shared" si="8"/>
        <v>0</v>
      </c>
      <c r="S125" s="104">
        <f t="shared" si="8"/>
        <v>0</v>
      </c>
      <c r="T125" s="104">
        <f t="shared" si="8"/>
        <v>0</v>
      </c>
      <c r="U125" s="104">
        <f t="shared" si="8"/>
        <v>0</v>
      </c>
      <c r="V125" s="104">
        <f t="shared" si="8"/>
        <v>0</v>
      </c>
      <c r="W125" s="104">
        <f t="shared" si="8"/>
        <v>0</v>
      </c>
      <c r="X125" s="104">
        <f t="shared" si="8"/>
        <v>0</v>
      </c>
      <c r="Y125" s="104">
        <f t="shared" si="8"/>
        <v>0</v>
      </c>
      <c r="Z125" s="104">
        <f t="shared" si="8"/>
        <v>0</v>
      </c>
      <c r="AA125" s="104">
        <f t="shared" si="8"/>
        <v>0</v>
      </c>
      <c r="AB125" s="104">
        <f t="shared" si="8"/>
        <v>0</v>
      </c>
      <c r="AC125" s="104">
        <f t="shared" si="8"/>
        <v>0</v>
      </c>
      <c r="AD125" s="104">
        <f t="shared" si="8"/>
        <v>0</v>
      </c>
      <c r="AE125" s="104">
        <f t="shared" si="8"/>
        <v>0</v>
      </c>
      <c r="AF125" s="104">
        <f t="shared" si="8"/>
        <v>0</v>
      </c>
      <c r="AG125" s="104">
        <f t="shared" si="8"/>
        <v>0</v>
      </c>
      <c r="AH125" s="104">
        <f t="shared" si="8"/>
        <v>0</v>
      </c>
      <c r="AI125" s="104">
        <f t="shared" si="8"/>
        <v>0</v>
      </c>
      <c r="AJ125" s="104">
        <f t="shared" si="8"/>
        <v>0</v>
      </c>
      <c r="AK125" s="104">
        <f t="shared" si="8"/>
        <v>0</v>
      </c>
      <c r="AL125" s="104">
        <f t="shared" si="8"/>
        <v>0</v>
      </c>
      <c r="AM125" s="104">
        <f t="shared" si="8"/>
        <v>0</v>
      </c>
      <c r="AN125" s="104">
        <f t="shared" si="8"/>
        <v>0</v>
      </c>
      <c r="AO125" s="104">
        <f t="shared" si="8"/>
        <v>0</v>
      </c>
      <c r="AP125" s="104">
        <f t="shared" si="8"/>
        <v>0</v>
      </c>
      <c r="AQ125" s="104">
        <f t="shared" si="8"/>
        <v>0</v>
      </c>
      <c r="AR125" s="104">
        <f t="shared" si="8"/>
        <v>0</v>
      </c>
      <c r="AS125" s="104">
        <f t="shared" si="8"/>
        <v>0</v>
      </c>
      <c r="AT125" s="104">
        <f t="shared" si="8"/>
        <v>0</v>
      </c>
      <c r="AU125" s="104">
        <f t="shared" si="8"/>
        <v>0</v>
      </c>
      <c r="AV125" s="104">
        <f t="shared" si="8"/>
        <v>0</v>
      </c>
      <c r="AW125" s="104">
        <f t="shared" si="8"/>
        <v>0</v>
      </c>
      <c r="AX125" s="104">
        <f t="shared" si="8"/>
        <v>0</v>
      </c>
    </row>
    <row r="126" spans="1:50">
      <c r="A126" s="104" t="s">
        <v>108</v>
      </c>
      <c r="B126" s="104" t="s">
        <v>5</v>
      </c>
      <c r="C126" s="99">
        <v>0</v>
      </c>
      <c r="D126" s="99">
        <v>0</v>
      </c>
      <c r="E126" s="99">
        <v>0</v>
      </c>
      <c r="F126" s="99">
        <v>0</v>
      </c>
      <c r="G126" s="99">
        <v>0</v>
      </c>
      <c r="H126" s="99">
        <v>0</v>
      </c>
      <c r="I126" s="99">
        <v>0</v>
      </c>
      <c r="J126" s="99">
        <v>0</v>
      </c>
      <c r="K126" s="99">
        <v>0</v>
      </c>
      <c r="L126" s="99">
        <v>0</v>
      </c>
      <c r="M126" s="99">
        <v>0</v>
      </c>
      <c r="N126" s="99">
        <v>0</v>
      </c>
      <c r="O126" s="99">
        <v>0</v>
      </c>
      <c r="P126" s="99">
        <v>0</v>
      </c>
      <c r="Q126" s="99">
        <v>0</v>
      </c>
      <c r="R126" s="99">
        <v>0</v>
      </c>
      <c r="S126" s="99">
        <v>0</v>
      </c>
      <c r="T126" s="99">
        <v>0</v>
      </c>
      <c r="U126" s="99">
        <v>0</v>
      </c>
      <c r="V126" s="99">
        <v>0</v>
      </c>
      <c r="W126" s="99">
        <v>0</v>
      </c>
      <c r="X126" s="99">
        <v>0</v>
      </c>
      <c r="Y126" s="99">
        <v>0</v>
      </c>
      <c r="Z126" s="99">
        <v>0</v>
      </c>
      <c r="AA126" s="99">
        <v>0</v>
      </c>
      <c r="AB126" s="99">
        <v>0</v>
      </c>
      <c r="AC126" s="99">
        <v>0</v>
      </c>
      <c r="AD126" s="99">
        <v>0</v>
      </c>
      <c r="AE126" s="99">
        <v>0</v>
      </c>
      <c r="AF126" s="99">
        <v>0</v>
      </c>
      <c r="AG126" s="99">
        <v>0</v>
      </c>
      <c r="AH126" s="99">
        <v>0</v>
      </c>
      <c r="AI126" s="99">
        <v>0</v>
      </c>
      <c r="AJ126" s="99">
        <v>0</v>
      </c>
      <c r="AK126" s="99">
        <v>0</v>
      </c>
      <c r="AL126" s="99">
        <v>0</v>
      </c>
      <c r="AM126" s="99">
        <v>0</v>
      </c>
      <c r="AN126" s="99">
        <v>0</v>
      </c>
      <c r="AO126" s="99">
        <v>0</v>
      </c>
      <c r="AP126" s="99">
        <v>0</v>
      </c>
      <c r="AQ126" s="99">
        <v>0</v>
      </c>
      <c r="AR126" s="99">
        <v>0</v>
      </c>
      <c r="AS126" s="99">
        <v>0</v>
      </c>
      <c r="AT126" s="99">
        <v>0</v>
      </c>
      <c r="AU126" s="99">
        <v>0</v>
      </c>
      <c r="AV126" s="99">
        <v>0</v>
      </c>
      <c r="AW126" s="99">
        <v>0</v>
      </c>
      <c r="AX126" s="99">
        <v>0</v>
      </c>
    </row>
    <row r="127" spans="1:50">
      <c r="B127" s="104" t="s">
        <v>10</v>
      </c>
      <c r="C127" s="99">
        <v>0</v>
      </c>
      <c r="D127" s="99">
        <v>0</v>
      </c>
      <c r="E127" s="99">
        <v>0</v>
      </c>
      <c r="F127" s="99">
        <v>0</v>
      </c>
      <c r="G127" s="99">
        <v>0</v>
      </c>
      <c r="H127" s="99">
        <v>0</v>
      </c>
      <c r="I127" s="99">
        <v>0</v>
      </c>
      <c r="J127" s="99">
        <v>0</v>
      </c>
      <c r="K127" s="99">
        <v>0</v>
      </c>
      <c r="L127" s="99">
        <v>0</v>
      </c>
      <c r="M127" s="99">
        <v>0</v>
      </c>
      <c r="N127" s="99">
        <v>0</v>
      </c>
      <c r="O127" s="99">
        <v>0</v>
      </c>
      <c r="P127" s="99">
        <v>0</v>
      </c>
      <c r="Q127" s="99">
        <v>0</v>
      </c>
      <c r="R127" s="99">
        <v>0</v>
      </c>
      <c r="S127" s="99">
        <v>0</v>
      </c>
      <c r="T127" s="99">
        <v>0</v>
      </c>
      <c r="U127" s="99">
        <v>0</v>
      </c>
      <c r="V127" s="99">
        <v>0</v>
      </c>
      <c r="W127" s="99">
        <v>0</v>
      </c>
      <c r="X127" s="99">
        <v>0</v>
      </c>
      <c r="Y127" s="99">
        <v>0</v>
      </c>
      <c r="Z127" s="99">
        <v>0</v>
      </c>
      <c r="AA127" s="99">
        <v>0</v>
      </c>
      <c r="AB127" s="99">
        <v>0</v>
      </c>
      <c r="AC127" s="99">
        <v>0</v>
      </c>
      <c r="AD127" s="99">
        <v>0</v>
      </c>
      <c r="AE127" s="99">
        <v>0</v>
      </c>
      <c r="AF127" s="99">
        <v>0</v>
      </c>
      <c r="AG127" s="99">
        <v>0</v>
      </c>
      <c r="AH127" s="99">
        <v>0</v>
      </c>
      <c r="AI127" s="99">
        <v>0</v>
      </c>
      <c r="AJ127" s="99">
        <v>0</v>
      </c>
      <c r="AK127" s="99">
        <v>0</v>
      </c>
      <c r="AL127" s="99">
        <v>0</v>
      </c>
      <c r="AM127" s="99">
        <v>0</v>
      </c>
      <c r="AN127" s="99">
        <v>0</v>
      </c>
      <c r="AO127" s="99">
        <v>0</v>
      </c>
      <c r="AP127" s="99">
        <v>0</v>
      </c>
      <c r="AQ127" s="99">
        <v>0</v>
      </c>
      <c r="AR127" s="99">
        <v>0</v>
      </c>
      <c r="AS127" s="99">
        <v>0</v>
      </c>
      <c r="AT127" s="99">
        <v>0</v>
      </c>
      <c r="AU127" s="99">
        <v>0</v>
      </c>
      <c r="AV127" s="99">
        <v>0</v>
      </c>
      <c r="AW127" s="99">
        <v>0</v>
      </c>
      <c r="AX127" s="99">
        <v>0</v>
      </c>
    </row>
    <row r="128" spans="1:50">
      <c r="B128" s="104" t="s">
        <v>12</v>
      </c>
      <c r="C128" s="99">
        <v>0</v>
      </c>
      <c r="D128" s="99">
        <v>0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9">
        <v>0</v>
      </c>
      <c r="O128" s="99">
        <v>0</v>
      </c>
      <c r="P128" s="99">
        <v>0</v>
      </c>
      <c r="Q128" s="99">
        <v>0</v>
      </c>
      <c r="R128" s="99">
        <v>0</v>
      </c>
      <c r="S128" s="99">
        <v>0</v>
      </c>
      <c r="T128" s="99">
        <v>0</v>
      </c>
      <c r="U128" s="99">
        <v>0</v>
      </c>
      <c r="V128" s="99">
        <v>0</v>
      </c>
      <c r="W128" s="99">
        <v>0</v>
      </c>
      <c r="X128" s="99">
        <v>0</v>
      </c>
      <c r="Y128" s="99">
        <v>0</v>
      </c>
      <c r="Z128" s="99">
        <v>0</v>
      </c>
      <c r="AA128" s="99">
        <v>0</v>
      </c>
      <c r="AB128" s="99">
        <v>0</v>
      </c>
      <c r="AC128" s="99">
        <v>0</v>
      </c>
      <c r="AD128" s="99">
        <v>0</v>
      </c>
      <c r="AE128" s="99">
        <v>0</v>
      </c>
      <c r="AF128" s="99">
        <v>0</v>
      </c>
      <c r="AG128" s="99">
        <v>0</v>
      </c>
      <c r="AH128" s="99">
        <v>0</v>
      </c>
      <c r="AI128" s="99">
        <v>0</v>
      </c>
      <c r="AJ128" s="99">
        <v>0</v>
      </c>
      <c r="AK128" s="99">
        <v>0</v>
      </c>
      <c r="AL128" s="99">
        <v>0</v>
      </c>
      <c r="AM128" s="99">
        <v>0</v>
      </c>
      <c r="AN128" s="99">
        <v>0</v>
      </c>
      <c r="AO128" s="99">
        <v>0</v>
      </c>
      <c r="AP128" s="99">
        <v>0</v>
      </c>
      <c r="AQ128" s="99">
        <v>0</v>
      </c>
      <c r="AR128" s="99">
        <v>0</v>
      </c>
      <c r="AS128" s="99">
        <v>0</v>
      </c>
      <c r="AT128" s="99">
        <v>0</v>
      </c>
      <c r="AU128" s="99">
        <v>0</v>
      </c>
      <c r="AV128" s="99">
        <v>0</v>
      </c>
      <c r="AW128" s="99">
        <v>0</v>
      </c>
      <c r="AX128" s="99">
        <v>0</v>
      </c>
    </row>
    <row r="129" spans="1:50">
      <c r="B129" s="104" t="s">
        <v>22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1:50">
      <c r="B130" s="104" t="s">
        <v>46</v>
      </c>
      <c r="C130" s="99">
        <v>0</v>
      </c>
      <c r="D130" s="99">
        <v>0</v>
      </c>
      <c r="E130" s="99">
        <v>0</v>
      </c>
      <c r="F130" s="99">
        <v>0</v>
      </c>
      <c r="G130" s="99">
        <v>0</v>
      </c>
      <c r="H130" s="99">
        <v>0</v>
      </c>
      <c r="I130" s="99">
        <v>0</v>
      </c>
      <c r="J130" s="99">
        <v>0</v>
      </c>
      <c r="K130" s="99">
        <v>0</v>
      </c>
      <c r="L130" s="99">
        <v>0</v>
      </c>
      <c r="M130" s="99">
        <v>0</v>
      </c>
      <c r="N130" s="99">
        <v>0</v>
      </c>
      <c r="O130" s="99">
        <v>0</v>
      </c>
      <c r="P130" s="99">
        <v>0</v>
      </c>
      <c r="Q130" s="99">
        <v>0</v>
      </c>
      <c r="R130" s="99">
        <v>0</v>
      </c>
      <c r="S130" s="99">
        <v>0</v>
      </c>
      <c r="T130" s="99">
        <v>0</v>
      </c>
      <c r="U130" s="99">
        <v>0</v>
      </c>
      <c r="V130" s="99">
        <v>0</v>
      </c>
      <c r="W130" s="99">
        <v>0</v>
      </c>
      <c r="X130" s="99">
        <v>0</v>
      </c>
      <c r="Y130" s="99">
        <v>0</v>
      </c>
      <c r="Z130" s="99">
        <v>0</v>
      </c>
      <c r="AA130" s="99">
        <v>0</v>
      </c>
      <c r="AB130" s="99">
        <v>0</v>
      </c>
      <c r="AC130" s="99">
        <v>0</v>
      </c>
      <c r="AD130" s="99">
        <v>0</v>
      </c>
      <c r="AE130" s="99">
        <v>0</v>
      </c>
      <c r="AF130" s="99">
        <v>0</v>
      </c>
      <c r="AG130" s="99">
        <v>0</v>
      </c>
      <c r="AH130" s="99">
        <v>0</v>
      </c>
      <c r="AI130" s="99">
        <v>0</v>
      </c>
      <c r="AJ130" s="99">
        <v>0</v>
      </c>
      <c r="AK130" s="99">
        <v>0</v>
      </c>
      <c r="AL130" s="99">
        <v>0</v>
      </c>
      <c r="AM130" s="99">
        <v>0</v>
      </c>
      <c r="AN130" s="99">
        <v>0</v>
      </c>
      <c r="AO130" s="99">
        <v>0</v>
      </c>
      <c r="AP130" s="99">
        <v>0</v>
      </c>
      <c r="AQ130" s="99">
        <v>0</v>
      </c>
      <c r="AR130" s="99">
        <v>0</v>
      </c>
      <c r="AS130" s="99">
        <v>0</v>
      </c>
      <c r="AT130" s="99">
        <v>0</v>
      </c>
      <c r="AU130" s="99">
        <v>0</v>
      </c>
      <c r="AV130" s="99">
        <v>0</v>
      </c>
      <c r="AW130" s="99">
        <v>0</v>
      </c>
      <c r="AX130" s="99">
        <v>0</v>
      </c>
    </row>
    <row r="131" spans="1:50">
      <c r="B131" s="104" t="s">
        <v>59</v>
      </c>
      <c r="C131" s="99">
        <v>0</v>
      </c>
      <c r="D131" s="99">
        <v>0</v>
      </c>
      <c r="E131" s="99">
        <v>0</v>
      </c>
      <c r="F131" s="99">
        <v>0</v>
      </c>
      <c r="G131" s="99">
        <v>0</v>
      </c>
      <c r="H131" s="99">
        <v>0</v>
      </c>
      <c r="I131" s="99">
        <v>0</v>
      </c>
      <c r="J131" s="99">
        <v>0</v>
      </c>
      <c r="K131" s="99">
        <v>0</v>
      </c>
      <c r="L131" s="99">
        <v>0</v>
      </c>
      <c r="M131" s="99">
        <v>0</v>
      </c>
      <c r="N131" s="99">
        <v>0</v>
      </c>
      <c r="O131" s="99">
        <v>0</v>
      </c>
      <c r="P131" s="99">
        <v>0</v>
      </c>
      <c r="Q131" s="99">
        <v>0</v>
      </c>
      <c r="R131" s="99">
        <v>0</v>
      </c>
      <c r="S131" s="99">
        <v>0</v>
      </c>
      <c r="T131" s="99">
        <v>0</v>
      </c>
      <c r="U131" s="99">
        <v>0</v>
      </c>
      <c r="V131" s="99">
        <v>0</v>
      </c>
      <c r="W131" s="99">
        <v>0</v>
      </c>
      <c r="X131" s="99">
        <v>0</v>
      </c>
      <c r="Y131" s="99">
        <v>0</v>
      </c>
      <c r="Z131" s="99">
        <v>0</v>
      </c>
      <c r="AA131" s="99">
        <v>0</v>
      </c>
      <c r="AB131" s="99">
        <v>0</v>
      </c>
      <c r="AC131" s="99">
        <v>0</v>
      </c>
      <c r="AD131" s="99">
        <v>0</v>
      </c>
      <c r="AE131" s="99">
        <v>0</v>
      </c>
      <c r="AF131" s="99">
        <v>0</v>
      </c>
      <c r="AG131" s="99">
        <v>0</v>
      </c>
      <c r="AH131" s="99">
        <v>0</v>
      </c>
      <c r="AI131" s="99">
        <v>0</v>
      </c>
      <c r="AJ131" s="99">
        <v>0</v>
      </c>
      <c r="AK131" s="99">
        <v>0</v>
      </c>
      <c r="AL131" s="99">
        <v>0</v>
      </c>
      <c r="AM131" s="99">
        <v>0</v>
      </c>
      <c r="AN131" s="99">
        <v>0</v>
      </c>
      <c r="AO131" s="99">
        <v>0</v>
      </c>
      <c r="AP131" s="99">
        <v>0</v>
      </c>
      <c r="AQ131" s="99">
        <v>0</v>
      </c>
      <c r="AR131" s="99">
        <v>0</v>
      </c>
      <c r="AS131" s="99">
        <v>0</v>
      </c>
      <c r="AT131" s="99">
        <v>0</v>
      </c>
      <c r="AU131" s="99">
        <v>0</v>
      </c>
      <c r="AV131" s="99">
        <v>0</v>
      </c>
      <c r="AW131" s="99">
        <v>0</v>
      </c>
      <c r="AX131" s="99">
        <v>0</v>
      </c>
    </row>
    <row r="132" spans="1:50">
      <c r="B132" s="99" t="s">
        <v>278</v>
      </c>
      <c r="C132" s="104">
        <f>SUM(C$126:C$131)</f>
        <v>0</v>
      </c>
      <c r="D132" s="104">
        <f t="shared" ref="D132:AX132" si="9">SUM(D$126:D$131)</f>
        <v>0</v>
      </c>
      <c r="E132" s="104">
        <f t="shared" si="9"/>
        <v>0</v>
      </c>
      <c r="F132" s="104">
        <f t="shared" si="9"/>
        <v>0</v>
      </c>
      <c r="G132" s="104">
        <f t="shared" si="9"/>
        <v>0</v>
      </c>
      <c r="H132" s="104">
        <f t="shared" si="9"/>
        <v>0</v>
      </c>
      <c r="I132" s="104">
        <f t="shared" si="9"/>
        <v>0</v>
      </c>
      <c r="J132" s="104">
        <f t="shared" si="9"/>
        <v>0</v>
      </c>
      <c r="K132" s="104">
        <f t="shared" si="9"/>
        <v>0</v>
      </c>
      <c r="L132" s="104">
        <f t="shared" si="9"/>
        <v>0</v>
      </c>
      <c r="M132" s="104">
        <f t="shared" si="9"/>
        <v>0</v>
      </c>
      <c r="N132" s="104">
        <f t="shared" si="9"/>
        <v>0</v>
      </c>
      <c r="O132" s="104">
        <f t="shared" si="9"/>
        <v>0</v>
      </c>
      <c r="P132" s="104">
        <f t="shared" si="9"/>
        <v>0</v>
      </c>
      <c r="Q132" s="104">
        <f t="shared" si="9"/>
        <v>0</v>
      </c>
      <c r="R132" s="104">
        <f t="shared" si="9"/>
        <v>0</v>
      </c>
      <c r="S132" s="104">
        <f t="shared" si="9"/>
        <v>0</v>
      </c>
      <c r="T132" s="104">
        <f t="shared" si="9"/>
        <v>0</v>
      </c>
      <c r="U132" s="104">
        <f t="shared" si="9"/>
        <v>0</v>
      </c>
      <c r="V132" s="104">
        <f t="shared" si="9"/>
        <v>0</v>
      </c>
      <c r="W132" s="104">
        <f t="shared" si="9"/>
        <v>0</v>
      </c>
      <c r="X132" s="104">
        <f t="shared" si="9"/>
        <v>0</v>
      </c>
      <c r="Y132" s="104">
        <f t="shared" si="9"/>
        <v>0</v>
      </c>
      <c r="Z132" s="104">
        <f t="shared" si="9"/>
        <v>0</v>
      </c>
      <c r="AA132" s="104">
        <f t="shared" si="9"/>
        <v>0</v>
      </c>
      <c r="AB132" s="104">
        <f t="shared" si="9"/>
        <v>0</v>
      </c>
      <c r="AC132" s="104">
        <f t="shared" si="9"/>
        <v>0</v>
      </c>
      <c r="AD132" s="104">
        <f t="shared" si="9"/>
        <v>0</v>
      </c>
      <c r="AE132" s="104">
        <f t="shared" si="9"/>
        <v>0</v>
      </c>
      <c r="AF132" s="104">
        <f t="shared" si="9"/>
        <v>0</v>
      </c>
      <c r="AG132" s="104">
        <f t="shared" si="9"/>
        <v>0</v>
      </c>
      <c r="AH132" s="104">
        <f t="shared" si="9"/>
        <v>0</v>
      </c>
      <c r="AI132" s="104">
        <f t="shared" si="9"/>
        <v>0</v>
      </c>
      <c r="AJ132" s="104">
        <f t="shared" si="9"/>
        <v>0</v>
      </c>
      <c r="AK132" s="104">
        <f t="shared" si="9"/>
        <v>0</v>
      </c>
      <c r="AL132" s="104">
        <f t="shared" si="9"/>
        <v>0</v>
      </c>
      <c r="AM132" s="104">
        <f t="shared" si="9"/>
        <v>0</v>
      </c>
      <c r="AN132" s="104">
        <f t="shared" si="9"/>
        <v>0</v>
      </c>
      <c r="AO132" s="104">
        <f t="shared" si="9"/>
        <v>0</v>
      </c>
      <c r="AP132" s="104">
        <f t="shared" si="9"/>
        <v>0</v>
      </c>
      <c r="AQ132" s="104">
        <f t="shared" si="9"/>
        <v>0</v>
      </c>
      <c r="AR132" s="104">
        <f t="shared" si="9"/>
        <v>0</v>
      </c>
      <c r="AS132" s="104">
        <f t="shared" si="9"/>
        <v>0</v>
      </c>
      <c r="AT132" s="104">
        <f t="shared" si="9"/>
        <v>0</v>
      </c>
      <c r="AU132" s="104">
        <f t="shared" si="9"/>
        <v>0</v>
      </c>
      <c r="AV132" s="104">
        <f t="shared" si="9"/>
        <v>0</v>
      </c>
      <c r="AW132" s="104">
        <f t="shared" si="9"/>
        <v>0</v>
      </c>
      <c r="AX132" s="104">
        <f t="shared" si="9"/>
        <v>0</v>
      </c>
    </row>
    <row r="133" spans="1:50">
      <c r="A133" s="104" t="s">
        <v>109</v>
      </c>
      <c r="B133" s="104" t="s">
        <v>5</v>
      </c>
      <c r="C133" s="99">
        <v>0</v>
      </c>
      <c r="D133" s="99">
        <v>0</v>
      </c>
      <c r="E133" s="99">
        <v>0</v>
      </c>
      <c r="F133" s="99">
        <v>0</v>
      </c>
      <c r="G133" s="99">
        <v>0</v>
      </c>
      <c r="H133" s="99">
        <v>0</v>
      </c>
      <c r="I133" s="99">
        <v>0</v>
      </c>
      <c r="J133" s="99">
        <v>0</v>
      </c>
      <c r="K133" s="99">
        <v>0</v>
      </c>
      <c r="L133" s="99">
        <v>0</v>
      </c>
      <c r="M133" s="99">
        <v>0</v>
      </c>
      <c r="N133" s="99">
        <v>0</v>
      </c>
      <c r="O133" s="99">
        <v>0</v>
      </c>
      <c r="P133" s="99">
        <v>0</v>
      </c>
      <c r="Q133" s="99">
        <v>0</v>
      </c>
      <c r="R133" s="99">
        <v>0</v>
      </c>
      <c r="S133" s="99">
        <v>0</v>
      </c>
      <c r="T133" s="99">
        <v>0</v>
      </c>
      <c r="U133" s="99">
        <v>0</v>
      </c>
      <c r="V133" s="99">
        <v>0</v>
      </c>
      <c r="W133" s="99">
        <v>0</v>
      </c>
      <c r="X133" s="99">
        <v>0</v>
      </c>
      <c r="Y133" s="99">
        <v>0</v>
      </c>
      <c r="Z133" s="99">
        <v>0</v>
      </c>
      <c r="AA133" s="99">
        <v>0</v>
      </c>
      <c r="AB133" s="99">
        <v>0</v>
      </c>
      <c r="AC133" s="99">
        <v>0</v>
      </c>
      <c r="AD133" s="99">
        <v>0</v>
      </c>
      <c r="AE133" s="99">
        <v>0</v>
      </c>
      <c r="AF133" s="99">
        <v>0</v>
      </c>
      <c r="AG133" s="99">
        <v>0</v>
      </c>
      <c r="AH133" s="99">
        <v>0</v>
      </c>
      <c r="AI133" s="99">
        <v>0</v>
      </c>
      <c r="AJ133" s="99">
        <v>0</v>
      </c>
      <c r="AK133" s="99">
        <v>0</v>
      </c>
      <c r="AL133" s="99">
        <v>0</v>
      </c>
      <c r="AM133" s="99">
        <v>0</v>
      </c>
      <c r="AN133" s="99">
        <v>0</v>
      </c>
      <c r="AO133" s="99">
        <v>0</v>
      </c>
      <c r="AP133" s="99">
        <v>0</v>
      </c>
      <c r="AQ133" s="99">
        <v>0</v>
      </c>
      <c r="AR133" s="99">
        <v>0</v>
      </c>
      <c r="AS133" s="99">
        <v>0</v>
      </c>
      <c r="AT133" s="99">
        <v>0</v>
      </c>
      <c r="AU133" s="99">
        <v>0</v>
      </c>
      <c r="AV133" s="99">
        <v>0</v>
      </c>
      <c r="AW133" s="99">
        <v>0</v>
      </c>
      <c r="AX133" s="99">
        <v>0</v>
      </c>
    </row>
    <row r="134" spans="1:50">
      <c r="B134" s="104" t="s">
        <v>10</v>
      </c>
      <c r="C134" s="99">
        <v>0</v>
      </c>
      <c r="D134" s="99">
        <v>0</v>
      </c>
      <c r="E134" s="99">
        <v>0</v>
      </c>
      <c r="F134" s="99">
        <v>0</v>
      </c>
      <c r="G134" s="99">
        <v>0</v>
      </c>
      <c r="H134" s="99">
        <v>0</v>
      </c>
      <c r="I134" s="99">
        <v>0</v>
      </c>
      <c r="J134" s="99">
        <v>0</v>
      </c>
      <c r="K134" s="99">
        <v>0</v>
      </c>
      <c r="L134" s="99">
        <v>0</v>
      </c>
      <c r="M134" s="99">
        <v>0</v>
      </c>
      <c r="N134" s="99">
        <v>0</v>
      </c>
      <c r="O134" s="99">
        <v>0</v>
      </c>
      <c r="P134" s="99">
        <v>0</v>
      </c>
      <c r="Q134" s="99">
        <v>0</v>
      </c>
      <c r="R134" s="99">
        <v>0</v>
      </c>
      <c r="S134" s="99">
        <v>0</v>
      </c>
      <c r="T134" s="99">
        <v>0</v>
      </c>
      <c r="U134" s="99">
        <v>0</v>
      </c>
      <c r="V134" s="99">
        <v>0</v>
      </c>
      <c r="W134" s="99">
        <v>0</v>
      </c>
      <c r="X134" s="99">
        <v>0</v>
      </c>
      <c r="Y134" s="99">
        <v>0</v>
      </c>
      <c r="Z134" s="99">
        <v>0</v>
      </c>
      <c r="AA134" s="99">
        <v>0</v>
      </c>
      <c r="AB134" s="99">
        <v>0</v>
      </c>
      <c r="AC134" s="99">
        <v>0</v>
      </c>
      <c r="AD134" s="99">
        <v>0</v>
      </c>
      <c r="AE134" s="99">
        <v>0</v>
      </c>
      <c r="AF134" s="99">
        <v>0</v>
      </c>
      <c r="AG134" s="99">
        <v>0</v>
      </c>
      <c r="AH134" s="99">
        <v>0</v>
      </c>
      <c r="AI134" s="99">
        <v>0</v>
      </c>
      <c r="AJ134" s="99">
        <v>0</v>
      </c>
      <c r="AK134" s="99">
        <v>0</v>
      </c>
      <c r="AL134" s="99">
        <v>0</v>
      </c>
      <c r="AM134" s="99">
        <v>0</v>
      </c>
      <c r="AN134" s="99">
        <v>0</v>
      </c>
      <c r="AO134" s="99">
        <v>0</v>
      </c>
      <c r="AP134" s="99">
        <v>0</v>
      </c>
      <c r="AQ134" s="99">
        <v>0</v>
      </c>
      <c r="AR134" s="99">
        <v>0</v>
      </c>
      <c r="AS134" s="99">
        <v>0</v>
      </c>
      <c r="AT134" s="99">
        <v>0</v>
      </c>
      <c r="AU134" s="99">
        <v>0</v>
      </c>
      <c r="AV134" s="99">
        <v>0</v>
      </c>
      <c r="AW134" s="99">
        <v>0</v>
      </c>
      <c r="AX134" s="99">
        <v>0</v>
      </c>
    </row>
    <row r="135" spans="1:50">
      <c r="B135" s="104" t="s">
        <v>12</v>
      </c>
      <c r="C135" s="99">
        <v>0</v>
      </c>
      <c r="D135" s="99">
        <v>0</v>
      </c>
      <c r="E135" s="99">
        <v>0</v>
      </c>
      <c r="F135" s="99">
        <v>0</v>
      </c>
      <c r="G135" s="99">
        <v>0</v>
      </c>
      <c r="H135" s="99">
        <v>0</v>
      </c>
      <c r="I135" s="99">
        <v>0</v>
      </c>
      <c r="J135" s="99">
        <v>0</v>
      </c>
      <c r="K135" s="99">
        <v>0</v>
      </c>
      <c r="L135" s="99">
        <v>0</v>
      </c>
      <c r="M135" s="99">
        <v>0</v>
      </c>
      <c r="N135" s="99">
        <v>0</v>
      </c>
      <c r="O135" s="99">
        <v>0</v>
      </c>
      <c r="P135" s="99">
        <v>0</v>
      </c>
      <c r="Q135" s="99">
        <v>0</v>
      </c>
      <c r="R135" s="99">
        <v>0</v>
      </c>
      <c r="S135" s="99">
        <v>0</v>
      </c>
      <c r="T135" s="99">
        <v>0</v>
      </c>
      <c r="U135" s="99">
        <v>0</v>
      </c>
      <c r="V135" s="99">
        <v>0</v>
      </c>
      <c r="W135" s="99">
        <v>0</v>
      </c>
      <c r="X135" s="99">
        <v>0</v>
      </c>
      <c r="Y135" s="99">
        <v>0</v>
      </c>
      <c r="Z135" s="99">
        <v>0</v>
      </c>
      <c r="AA135" s="99">
        <v>0</v>
      </c>
      <c r="AB135" s="99">
        <v>0</v>
      </c>
      <c r="AC135" s="99">
        <v>0</v>
      </c>
      <c r="AD135" s="99">
        <v>0</v>
      </c>
      <c r="AE135" s="99">
        <v>0</v>
      </c>
      <c r="AF135" s="99">
        <v>0</v>
      </c>
      <c r="AG135" s="99">
        <v>0</v>
      </c>
      <c r="AH135" s="99">
        <v>0</v>
      </c>
      <c r="AI135" s="99">
        <v>0</v>
      </c>
      <c r="AJ135" s="99">
        <v>0</v>
      </c>
      <c r="AK135" s="99">
        <v>0</v>
      </c>
      <c r="AL135" s="99">
        <v>0</v>
      </c>
      <c r="AM135" s="99">
        <v>0</v>
      </c>
      <c r="AN135" s="99">
        <v>0</v>
      </c>
      <c r="AO135" s="99">
        <v>0</v>
      </c>
      <c r="AP135" s="99">
        <v>0</v>
      </c>
      <c r="AQ135" s="99">
        <v>0</v>
      </c>
      <c r="AR135" s="99">
        <v>0</v>
      </c>
      <c r="AS135" s="99">
        <v>0</v>
      </c>
      <c r="AT135" s="99">
        <v>0</v>
      </c>
      <c r="AU135" s="99">
        <v>0</v>
      </c>
      <c r="AV135" s="99">
        <v>0</v>
      </c>
      <c r="AW135" s="99">
        <v>0</v>
      </c>
      <c r="AX135" s="99">
        <v>0</v>
      </c>
    </row>
    <row r="136" spans="1:50">
      <c r="B136" s="104" t="s">
        <v>22</v>
      </c>
      <c r="C136" s="99">
        <v>0</v>
      </c>
      <c r="D136" s="99">
        <v>0</v>
      </c>
      <c r="E136" s="99">
        <v>0</v>
      </c>
      <c r="F136" s="99">
        <v>0</v>
      </c>
      <c r="G136" s="99">
        <v>0</v>
      </c>
      <c r="H136" s="99">
        <v>0</v>
      </c>
      <c r="I136" s="99">
        <v>0</v>
      </c>
      <c r="J136" s="99">
        <v>0</v>
      </c>
      <c r="K136" s="99">
        <v>0</v>
      </c>
      <c r="L136" s="99">
        <v>0</v>
      </c>
      <c r="M136" s="99">
        <v>0</v>
      </c>
      <c r="N136" s="99">
        <v>0</v>
      </c>
      <c r="O136" s="99">
        <v>0</v>
      </c>
      <c r="P136" s="99">
        <v>0</v>
      </c>
      <c r="Q136" s="99">
        <v>0</v>
      </c>
      <c r="R136" s="99">
        <v>0</v>
      </c>
      <c r="S136" s="99">
        <v>0</v>
      </c>
      <c r="T136" s="99">
        <v>0</v>
      </c>
      <c r="U136" s="99">
        <v>0</v>
      </c>
      <c r="V136" s="99">
        <v>0</v>
      </c>
      <c r="W136" s="99">
        <v>0</v>
      </c>
      <c r="X136" s="99">
        <v>0</v>
      </c>
      <c r="Y136" s="99">
        <v>0</v>
      </c>
      <c r="Z136" s="99">
        <v>0</v>
      </c>
      <c r="AA136" s="99">
        <v>0</v>
      </c>
      <c r="AB136" s="99">
        <v>0</v>
      </c>
      <c r="AC136" s="99">
        <v>0</v>
      </c>
      <c r="AD136" s="99">
        <v>0</v>
      </c>
      <c r="AE136" s="99">
        <v>0</v>
      </c>
      <c r="AF136" s="99">
        <v>0</v>
      </c>
      <c r="AG136" s="99">
        <v>0</v>
      </c>
      <c r="AH136" s="99">
        <v>0</v>
      </c>
      <c r="AI136" s="99">
        <v>0</v>
      </c>
      <c r="AJ136" s="99">
        <v>0</v>
      </c>
      <c r="AK136" s="99">
        <v>0</v>
      </c>
      <c r="AL136" s="99">
        <v>0</v>
      </c>
      <c r="AM136" s="99">
        <v>0</v>
      </c>
      <c r="AN136" s="99">
        <v>0</v>
      </c>
      <c r="AO136" s="99">
        <v>0</v>
      </c>
      <c r="AP136" s="99">
        <v>0</v>
      </c>
      <c r="AQ136" s="99">
        <v>0</v>
      </c>
      <c r="AR136" s="99">
        <v>0</v>
      </c>
      <c r="AS136" s="99">
        <v>0</v>
      </c>
      <c r="AT136" s="99">
        <v>0</v>
      </c>
      <c r="AU136" s="99">
        <v>0</v>
      </c>
      <c r="AV136" s="99">
        <v>0</v>
      </c>
      <c r="AW136" s="99">
        <v>0</v>
      </c>
      <c r="AX136" s="99">
        <v>0</v>
      </c>
    </row>
    <row r="137" spans="1:50">
      <c r="B137" s="104" t="s">
        <v>46</v>
      </c>
      <c r="C137" s="99">
        <v>0</v>
      </c>
      <c r="D137" s="99">
        <v>0</v>
      </c>
      <c r="E137" s="99">
        <v>0</v>
      </c>
      <c r="F137" s="99">
        <v>0</v>
      </c>
      <c r="G137" s="99">
        <v>0</v>
      </c>
      <c r="H137" s="99">
        <v>0</v>
      </c>
      <c r="I137" s="99">
        <v>0</v>
      </c>
      <c r="J137" s="99">
        <v>0</v>
      </c>
      <c r="K137" s="99">
        <v>0</v>
      </c>
      <c r="L137" s="99">
        <v>0</v>
      </c>
      <c r="M137" s="99">
        <v>0</v>
      </c>
      <c r="N137" s="99">
        <v>0</v>
      </c>
      <c r="O137" s="99">
        <v>0</v>
      </c>
      <c r="P137" s="99">
        <v>0</v>
      </c>
      <c r="Q137" s="99">
        <v>0</v>
      </c>
      <c r="R137" s="99">
        <v>0</v>
      </c>
      <c r="S137" s="99">
        <v>0</v>
      </c>
      <c r="T137" s="99">
        <v>0</v>
      </c>
      <c r="U137" s="99">
        <v>0</v>
      </c>
      <c r="V137" s="99">
        <v>0</v>
      </c>
      <c r="W137" s="99">
        <v>0</v>
      </c>
      <c r="X137" s="99">
        <v>0</v>
      </c>
      <c r="Y137" s="99">
        <v>0</v>
      </c>
      <c r="Z137" s="99">
        <v>0</v>
      </c>
      <c r="AA137" s="99">
        <v>0</v>
      </c>
      <c r="AB137" s="99">
        <v>0</v>
      </c>
      <c r="AC137" s="99">
        <v>0</v>
      </c>
      <c r="AD137" s="99">
        <v>0</v>
      </c>
      <c r="AE137" s="99">
        <v>0</v>
      </c>
      <c r="AF137" s="99">
        <v>0</v>
      </c>
      <c r="AG137" s="99">
        <v>0</v>
      </c>
      <c r="AH137" s="99">
        <v>0</v>
      </c>
      <c r="AI137" s="99">
        <v>0</v>
      </c>
      <c r="AJ137" s="99">
        <v>0</v>
      </c>
      <c r="AK137" s="99">
        <v>0</v>
      </c>
      <c r="AL137" s="99">
        <v>0</v>
      </c>
      <c r="AM137" s="99">
        <v>0</v>
      </c>
      <c r="AN137" s="99">
        <v>0</v>
      </c>
      <c r="AO137" s="99">
        <v>0</v>
      </c>
      <c r="AP137" s="99">
        <v>0</v>
      </c>
      <c r="AQ137" s="99">
        <v>0</v>
      </c>
      <c r="AR137" s="99">
        <v>0</v>
      </c>
      <c r="AS137" s="99">
        <v>0</v>
      </c>
      <c r="AT137" s="99">
        <v>0</v>
      </c>
      <c r="AU137" s="99">
        <v>0</v>
      </c>
      <c r="AV137" s="99">
        <v>0</v>
      </c>
      <c r="AW137" s="99">
        <v>0</v>
      </c>
      <c r="AX137" s="99">
        <v>0</v>
      </c>
    </row>
    <row r="138" spans="1:50">
      <c r="B138" s="104" t="s">
        <v>59</v>
      </c>
      <c r="C138" s="99">
        <v>0</v>
      </c>
      <c r="D138" s="99">
        <v>0</v>
      </c>
      <c r="E138" s="99">
        <v>0</v>
      </c>
      <c r="F138" s="99">
        <v>0</v>
      </c>
      <c r="G138" s="99">
        <v>0</v>
      </c>
      <c r="H138" s="99">
        <v>0</v>
      </c>
      <c r="I138" s="99">
        <v>0</v>
      </c>
      <c r="J138" s="99">
        <v>0</v>
      </c>
      <c r="K138" s="99">
        <v>0</v>
      </c>
      <c r="L138" s="99">
        <v>0</v>
      </c>
      <c r="M138" s="99">
        <v>0</v>
      </c>
      <c r="N138" s="99">
        <v>0</v>
      </c>
      <c r="O138" s="99">
        <v>0</v>
      </c>
      <c r="P138" s="99">
        <v>0</v>
      </c>
      <c r="Q138" s="99">
        <v>0</v>
      </c>
      <c r="R138" s="99">
        <v>0</v>
      </c>
      <c r="S138" s="99">
        <v>0</v>
      </c>
      <c r="T138" s="99">
        <v>0</v>
      </c>
      <c r="U138" s="99">
        <v>0</v>
      </c>
      <c r="V138" s="99">
        <v>0</v>
      </c>
      <c r="W138" s="99">
        <v>0</v>
      </c>
      <c r="X138" s="99">
        <v>0</v>
      </c>
      <c r="Y138" s="99">
        <v>0</v>
      </c>
      <c r="Z138" s="99">
        <v>0</v>
      </c>
      <c r="AA138" s="99">
        <v>0</v>
      </c>
      <c r="AB138" s="99">
        <v>0</v>
      </c>
      <c r="AC138" s="99">
        <v>0</v>
      </c>
      <c r="AD138" s="99">
        <v>0</v>
      </c>
      <c r="AE138" s="99">
        <v>0</v>
      </c>
      <c r="AF138" s="99">
        <v>0</v>
      </c>
      <c r="AG138" s="99">
        <v>0</v>
      </c>
      <c r="AH138" s="99">
        <v>0</v>
      </c>
      <c r="AI138" s="99">
        <v>0</v>
      </c>
      <c r="AJ138" s="99">
        <v>0</v>
      </c>
      <c r="AK138" s="99">
        <v>0</v>
      </c>
      <c r="AL138" s="99">
        <v>0</v>
      </c>
      <c r="AM138" s="99">
        <v>0</v>
      </c>
      <c r="AN138" s="99">
        <v>0</v>
      </c>
      <c r="AO138" s="99">
        <v>0</v>
      </c>
      <c r="AP138" s="99">
        <v>0</v>
      </c>
      <c r="AQ138" s="99">
        <v>0</v>
      </c>
      <c r="AR138" s="99">
        <v>0</v>
      </c>
      <c r="AS138" s="99">
        <v>0</v>
      </c>
      <c r="AT138" s="99">
        <v>0</v>
      </c>
      <c r="AU138" s="99">
        <v>0</v>
      </c>
      <c r="AV138" s="99">
        <v>0</v>
      </c>
      <c r="AW138" s="99">
        <v>0</v>
      </c>
      <c r="AX138" s="99">
        <v>0</v>
      </c>
    </row>
    <row r="139" spans="1:50">
      <c r="B139" s="99" t="s">
        <v>278</v>
      </c>
      <c r="C139" s="104">
        <f>SUM(C$133:C$138)</f>
        <v>0</v>
      </c>
      <c r="D139" s="104">
        <f t="shared" ref="D139:AX139" si="10">SUM(D$133:D$138)</f>
        <v>0</v>
      </c>
      <c r="E139" s="104">
        <f t="shared" si="10"/>
        <v>0</v>
      </c>
      <c r="F139" s="104">
        <f t="shared" si="10"/>
        <v>0</v>
      </c>
      <c r="G139" s="104">
        <f t="shared" si="10"/>
        <v>0</v>
      </c>
      <c r="H139" s="104">
        <f t="shared" si="10"/>
        <v>0</v>
      </c>
      <c r="I139" s="104">
        <f t="shared" si="10"/>
        <v>0</v>
      </c>
      <c r="J139" s="104">
        <f t="shared" si="10"/>
        <v>0</v>
      </c>
      <c r="K139" s="104">
        <f t="shared" si="10"/>
        <v>0</v>
      </c>
      <c r="L139" s="104">
        <f t="shared" si="10"/>
        <v>0</v>
      </c>
      <c r="M139" s="104">
        <f t="shared" si="10"/>
        <v>0</v>
      </c>
      <c r="N139" s="104">
        <f t="shared" si="10"/>
        <v>0</v>
      </c>
      <c r="O139" s="104">
        <f t="shared" si="10"/>
        <v>0</v>
      </c>
      <c r="P139" s="104">
        <f t="shared" si="10"/>
        <v>0</v>
      </c>
      <c r="Q139" s="104">
        <f t="shared" si="10"/>
        <v>0</v>
      </c>
      <c r="R139" s="104">
        <f t="shared" si="10"/>
        <v>0</v>
      </c>
      <c r="S139" s="104">
        <f t="shared" si="10"/>
        <v>0</v>
      </c>
      <c r="T139" s="104">
        <f t="shared" si="10"/>
        <v>0</v>
      </c>
      <c r="U139" s="104">
        <f t="shared" si="10"/>
        <v>0</v>
      </c>
      <c r="V139" s="104">
        <f t="shared" si="10"/>
        <v>0</v>
      </c>
      <c r="W139" s="104">
        <f t="shared" si="10"/>
        <v>0</v>
      </c>
      <c r="X139" s="104">
        <f t="shared" si="10"/>
        <v>0</v>
      </c>
      <c r="Y139" s="104">
        <f t="shared" si="10"/>
        <v>0</v>
      </c>
      <c r="Z139" s="104">
        <f t="shared" si="10"/>
        <v>0</v>
      </c>
      <c r="AA139" s="104">
        <f t="shared" si="10"/>
        <v>0</v>
      </c>
      <c r="AB139" s="104">
        <f t="shared" si="10"/>
        <v>0</v>
      </c>
      <c r="AC139" s="104">
        <f t="shared" si="10"/>
        <v>0</v>
      </c>
      <c r="AD139" s="104">
        <f t="shared" si="10"/>
        <v>0</v>
      </c>
      <c r="AE139" s="104">
        <f t="shared" si="10"/>
        <v>0</v>
      </c>
      <c r="AF139" s="104">
        <f t="shared" si="10"/>
        <v>0</v>
      </c>
      <c r="AG139" s="104">
        <f t="shared" si="10"/>
        <v>0</v>
      </c>
      <c r="AH139" s="104">
        <f t="shared" si="10"/>
        <v>0</v>
      </c>
      <c r="AI139" s="104">
        <f t="shared" si="10"/>
        <v>0</v>
      </c>
      <c r="AJ139" s="104">
        <f t="shared" si="10"/>
        <v>0</v>
      </c>
      <c r="AK139" s="104">
        <f t="shared" si="10"/>
        <v>0</v>
      </c>
      <c r="AL139" s="104">
        <f t="shared" si="10"/>
        <v>0</v>
      </c>
      <c r="AM139" s="104">
        <f t="shared" si="10"/>
        <v>0</v>
      </c>
      <c r="AN139" s="104">
        <f t="shared" si="10"/>
        <v>0</v>
      </c>
      <c r="AO139" s="104">
        <f t="shared" si="10"/>
        <v>0</v>
      </c>
      <c r="AP139" s="104">
        <f t="shared" si="10"/>
        <v>0</v>
      </c>
      <c r="AQ139" s="104">
        <f t="shared" si="10"/>
        <v>0</v>
      </c>
      <c r="AR139" s="104">
        <f t="shared" si="10"/>
        <v>0</v>
      </c>
      <c r="AS139" s="104">
        <f t="shared" si="10"/>
        <v>0</v>
      </c>
      <c r="AT139" s="104">
        <f t="shared" si="10"/>
        <v>0</v>
      </c>
      <c r="AU139" s="104">
        <f t="shared" si="10"/>
        <v>0</v>
      </c>
      <c r="AV139" s="104">
        <f t="shared" si="10"/>
        <v>0</v>
      </c>
      <c r="AW139" s="104">
        <f t="shared" si="10"/>
        <v>0</v>
      </c>
      <c r="AX139" s="104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5</v>
      </c>
      <c r="E2" s="109"/>
    </row>
    <row r="3" spans="1:52">
      <c r="A3" s="99" t="s">
        <v>286</v>
      </c>
      <c r="B3" s="106">
        <v>1000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0</v>
      </c>
      <c r="E7" s="143">
        <v>0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143">
        <v>0</v>
      </c>
      <c r="AU7" s="143">
        <v>0</v>
      </c>
      <c r="AV7" s="143">
        <v>0</v>
      </c>
      <c r="AW7" s="143">
        <v>0</v>
      </c>
      <c r="AX7" s="143">
        <v>0</v>
      </c>
      <c r="AY7" s="143">
        <v>0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0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53.137386000000006</v>
      </c>
      <c r="D13" s="137">
        <f t="shared" ref="D13:AY13" si="1">D$7-D$10</f>
        <v>0</v>
      </c>
      <c r="E13" s="137">
        <f t="shared" si="1"/>
        <v>0</v>
      </c>
      <c r="F13" s="137">
        <f t="shared" si="1"/>
        <v>0</v>
      </c>
      <c r="G13" s="137">
        <f t="shared" si="1"/>
        <v>0</v>
      </c>
      <c r="H13" s="137">
        <f t="shared" si="1"/>
        <v>0</v>
      </c>
      <c r="I13" s="137">
        <f t="shared" si="1"/>
        <v>0</v>
      </c>
      <c r="J13" s="137">
        <f t="shared" si="1"/>
        <v>0</v>
      </c>
      <c r="K13" s="137">
        <f t="shared" si="1"/>
        <v>0</v>
      </c>
      <c r="L13" s="137">
        <f t="shared" si="1"/>
        <v>0</v>
      </c>
      <c r="M13" s="137">
        <f t="shared" si="1"/>
        <v>0</v>
      </c>
      <c r="N13" s="137">
        <f t="shared" si="1"/>
        <v>0</v>
      </c>
      <c r="O13" s="137">
        <f t="shared" si="1"/>
        <v>0</v>
      </c>
      <c r="P13" s="137">
        <f t="shared" si="1"/>
        <v>0</v>
      </c>
      <c r="Q13" s="137">
        <f t="shared" si="1"/>
        <v>0</v>
      </c>
      <c r="R13" s="137">
        <f t="shared" si="1"/>
        <v>0</v>
      </c>
      <c r="S13" s="137">
        <f t="shared" si="1"/>
        <v>0</v>
      </c>
      <c r="T13" s="137">
        <f t="shared" si="1"/>
        <v>0</v>
      </c>
      <c r="U13" s="137">
        <f t="shared" si="1"/>
        <v>0</v>
      </c>
      <c r="V13" s="137">
        <f t="shared" si="1"/>
        <v>0</v>
      </c>
      <c r="W13" s="137">
        <f t="shared" si="1"/>
        <v>0</v>
      </c>
      <c r="X13" s="137">
        <f t="shared" si="1"/>
        <v>0</v>
      </c>
      <c r="Y13" s="137">
        <f t="shared" si="1"/>
        <v>0</v>
      </c>
      <c r="Z13" s="137">
        <f t="shared" si="1"/>
        <v>0</v>
      </c>
      <c r="AA13" s="137">
        <f t="shared" si="1"/>
        <v>0</v>
      </c>
      <c r="AB13" s="137">
        <f t="shared" si="1"/>
        <v>0</v>
      </c>
      <c r="AC13" s="137">
        <f t="shared" si="1"/>
        <v>0</v>
      </c>
      <c r="AD13" s="137">
        <f t="shared" si="1"/>
        <v>0</v>
      </c>
      <c r="AE13" s="137">
        <f t="shared" si="1"/>
        <v>0</v>
      </c>
      <c r="AF13" s="137">
        <f t="shared" si="1"/>
        <v>0</v>
      </c>
      <c r="AG13" s="137">
        <f t="shared" si="1"/>
        <v>0</v>
      </c>
      <c r="AH13" s="137">
        <f t="shared" si="1"/>
        <v>0</v>
      </c>
      <c r="AI13" s="137">
        <f t="shared" si="1"/>
        <v>0</v>
      </c>
      <c r="AJ13" s="137">
        <f t="shared" si="1"/>
        <v>0</v>
      </c>
      <c r="AK13" s="137">
        <f t="shared" si="1"/>
        <v>0</v>
      </c>
      <c r="AL13" s="137">
        <f t="shared" si="1"/>
        <v>0</v>
      </c>
      <c r="AM13" s="137">
        <f t="shared" si="1"/>
        <v>0</v>
      </c>
      <c r="AN13" s="137">
        <f t="shared" si="1"/>
        <v>0</v>
      </c>
      <c r="AO13" s="137">
        <f t="shared" si="1"/>
        <v>0</v>
      </c>
      <c r="AP13" s="137">
        <f t="shared" si="1"/>
        <v>0</v>
      </c>
      <c r="AQ13" s="137">
        <f t="shared" si="1"/>
        <v>0</v>
      </c>
      <c r="AR13" s="137">
        <f t="shared" si="1"/>
        <v>0</v>
      </c>
      <c r="AS13" s="137">
        <f t="shared" si="1"/>
        <v>0</v>
      </c>
      <c r="AT13" s="137">
        <f t="shared" si="1"/>
        <v>0</v>
      </c>
      <c r="AU13" s="137">
        <f t="shared" si="1"/>
        <v>0</v>
      </c>
      <c r="AV13" s="137">
        <f t="shared" si="1"/>
        <v>0</v>
      </c>
      <c r="AW13" s="137">
        <f t="shared" si="1"/>
        <v>0</v>
      </c>
      <c r="AX13" s="137">
        <f t="shared" si="1"/>
        <v>0</v>
      </c>
      <c r="AY13" s="137">
        <f t="shared" si="1"/>
        <v>0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 t="s">
        <v>340</v>
      </c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 t="s">
        <v>340</v>
      </c>
      <c r="Z20" s="116"/>
      <c r="AA20" s="116"/>
      <c r="AB20" s="116"/>
      <c r="AC20" s="116"/>
      <c r="AD20" s="116" t="s">
        <v>340</v>
      </c>
      <c r="AE20" s="116"/>
      <c r="AF20" s="116"/>
      <c r="AG20" s="116"/>
      <c r="AH20" s="116" t="s">
        <v>340</v>
      </c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shipping_manufacturing!$C$19/100</f>
        <v>1</v>
      </c>
      <c r="C21" s="155" t="s">
        <v>293</v>
      </c>
      <c r="D21" s="105">
        <f>IF(C$20="Yes",0,SUM(C$13:C$16)*$B$21)</f>
        <v>53.137386000000006</v>
      </c>
      <c r="E21" s="105">
        <f t="shared" ref="E21:AY21" si="3">IF(D$20="Yes",0,SUM(D$13:D$16)*$B$21)</f>
        <v>0</v>
      </c>
      <c r="F21" s="105">
        <f t="shared" si="3"/>
        <v>0</v>
      </c>
      <c r="G21" s="105">
        <f t="shared" si="3"/>
        <v>0</v>
      </c>
      <c r="H21" s="105">
        <f t="shared" si="3"/>
        <v>0</v>
      </c>
      <c r="I21" s="105">
        <f t="shared" si="3"/>
        <v>0</v>
      </c>
      <c r="J21" s="105">
        <f t="shared" si="3"/>
        <v>0</v>
      </c>
      <c r="K21" s="105">
        <f t="shared" si="3"/>
        <v>0</v>
      </c>
      <c r="L21" s="105">
        <f t="shared" si="3"/>
        <v>0</v>
      </c>
      <c r="M21" s="105">
        <f t="shared" si="3"/>
        <v>0</v>
      </c>
      <c r="N21" s="105">
        <f t="shared" si="3"/>
        <v>0</v>
      </c>
      <c r="O21" s="105">
        <f t="shared" si="3"/>
        <v>0</v>
      </c>
      <c r="P21" s="105">
        <f t="shared" si="3"/>
        <v>0</v>
      </c>
      <c r="Q21" s="105">
        <f t="shared" si="3"/>
        <v>0</v>
      </c>
      <c r="R21" s="105">
        <f t="shared" si="3"/>
        <v>0</v>
      </c>
      <c r="S21" s="105">
        <f t="shared" si="3"/>
        <v>0</v>
      </c>
      <c r="T21" s="105">
        <f t="shared" si="3"/>
        <v>0</v>
      </c>
      <c r="U21" s="105">
        <f t="shared" si="3"/>
        <v>0</v>
      </c>
      <c r="V21" s="105">
        <f t="shared" si="3"/>
        <v>0</v>
      </c>
      <c r="W21" s="105">
        <f t="shared" si="3"/>
        <v>0</v>
      </c>
      <c r="X21" s="105">
        <f t="shared" si="3"/>
        <v>0</v>
      </c>
      <c r="Y21" s="105">
        <f t="shared" si="3"/>
        <v>0</v>
      </c>
      <c r="Z21" s="105">
        <f t="shared" si="3"/>
        <v>0</v>
      </c>
      <c r="AA21" s="105">
        <f t="shared" si="3"/>
        <v>0</v>
      </c>
      <c r="AB21" s="105">
        <f t="shared" si="3"/>
        <v>0</v>
      </c>
      <c r="AC21" s="105">
        <f t="shared" si="3"/>
        <v>0</v>
      </c>
      <c r="AD21" s="105">
        <f t="shared" si="3"/>
        <v>0</v>
      </c>
      <c r="AE21" s="105">
        <f t="shared" si="3"/>
        <v>0</v>
      </c>
      <c r="AF21" s="105">
        <f t="shared" si="3"/>
        <v>0</v>
      </c>
      <c r="AG21" s="105">
        <f t="shared" si="3"/>
        <v>0</v>
      </c>
      <c r="AH21" s="105">
        <f t="shared" si="3"/>
        <v>0</v>
      </c>
      <c r="AI21" s="105">
        <f t="shared" si="3"/>
        <v>0</v>
      </c>
      <c r="AJ21" s="105">
        <f t="shared" si="3"/>
        <v>0</v>
      </c>
      <c r="AK21" s="105">
        <f t="shared" si="3"/>
        <v>0</v>
      </c>
      <c r="AL21" s="105">
        <f t="shared" si="3"/>
        <v>0</v>
      </c>
      <c r="AM21" s="105">
        <f t="shared" si="3"/>
        <v>0</v>
      </c>
      <c r="AN21" s="105">
        <f t="shared" si="3"/>
        <v>0</v>
      </c>
      <c r="AO21" s="105">
        <f t="shared" si="3"/>
        <v>0</v>
      </c>
      <c r="AP21" s="105">
        <f t="shared" si="3"/>
        <v>0</v>
      </c>
      <c r="AQ21" s="105">
        <f t="shared" si="3"/>
        <v>0</v>
      </c>
      <c r="AR21" s="105">
        <f t="shared" si="3"/>
        <v>0</v>
      </c>
      <c r="AS21" s="105">
        <f t="shared" si="3"/>
        <v>0</v>
      </c>
      <c r="AT21" s="105">
        <f t="shared" si="3"/>
        <v>0</v>
      </c>
      <c r="AU21" s="105">
        <f t="shared" si="3"/>
        <v>0</v>
      </c>
      <c r="AV21" s="105">
        <f t="shared" si="3"/>
        <v>0</v>
      </c>
      <c r="AW21" s="105">
        <f t="shared" si="3"/>
        <v>0</v>
      </c>
      <c r="AX21" s="105">
        <f t="shared" si="3"/>
        <v>0</v>
      </c>
      <c r="AY21" s="105">
        <f t="shared" si="3"/>
        <v>0</v>
      </c>
      <c r="AZ21" s="156">
        <f>SUM($D21:$AY21)</f>
        <v>53.137386000000006</v>
      </c>
    </row>
    <row r="22" spans="1:52" s="109" customFormat="1">
      <c r="A22" s="157" t="s">
        <v>123</v>
      </c>
      <c r="B22" s="158">
        <f>1-$B$21</f>
        <v>0</v>
      </c>
      <c r="C22" s="158" t="s">
        <v>293</v>
      </c>
      <c r="D22" s="113">
        <f>IF(C$20="Yes",0,SUM(C$13:C$16)*$B$22)</f>
        <v>0</v>
      </c>
      <c r="E22" s="113">
        <f t="shared" ref="E22:AY22" si="4">IF(D$20="Yes",0,SUM(D$13:D$16)*$B$22)</f>
        <v>0</v>
      </c>
      <c r="F22" s="113">
        <f t="shared" si="4"/>
        <v>0</v>
      </c>
      <c r="G22" s="113">
        <f t="shared" si="4"/>
        <v>0</v>
      </c>
      <c r="H22" s="113">
        <f t="shared" si="4"/>
        <v>0</v>
      </c>
      <c r="I22" s="113">
        <f t="shared" si="4"/>
        <v>0</v>
      </c>
      <c r="J22" s="113">
        <f t="shared" si="4"/>
        <v>0</v>
      </c>
      <c r="K22" s="113">
        <f t="shared" si="4"/>
        <v>0</v>
      </c>
      <c r="L22" s="113">
        <f t="shared" si="4"/>
        <v>0</v>
      </c>
      <c r="M22" s="113">
        <f t="shared" si="4"/>
        <v>0</v>
      </c>
      <c r="N22" s="113">
        <f t="shared" si="4"/>
        <v>0</v>
      </c>
      <c r="O22" s="113">
        <f t="shared" si="4"/>
        <v>0</v>
      </c>
      <c r="P22" s="113">
        <f t="shared" si="4"/>
        <v>0</v>
      </c>
      <c r="Q22" s="113">
        <f t="shared" si="4"/>
        <v>0</v>
      </c>
      <c r="R22" s="113">
        <f t="shared" si="4"/>
        <v>0</v>
      </c>
      <c r="S22" s="113">
        <f t="shared" si="4"/>
        <v>0</v>
      </c>
      <c r="T22" s="113">
        <f t="shared" si="4"/>
        <v>0</v>
      </c>
      <c r="U22" s="113">
        <f t="shared" si="4"/>
        <v>0</v>
      </c>
      <c r="V22" s="113">
        <f t="shared" si="4"/>
        <v>0</v>
      </c>
      <c r="W22" s="113">
        <f t="shared" si="4"/>
        <v>0</v>
      </c>
      <c r="X22" s="113">
        <f t="shared" si="4"/>
        <v>0</v>
      </c>
      <c r="Y22" s="113">
        <f t="shared" si="4"/>
        <v>0</v>
      </c>
      <c r="Z22" s="113">
        <f t="shared" si="4"/>
        <v>0</v>
      </c>
      <c r="AA22" s="113">
        <f t="shared" si="4"/>
        <v>0</v>
      </c>
      <c r="AB22" s="113">
        <f t="shared" si="4"/>
        <v>0</v>
      </c>
      <c r="AC22" s="113">
        <f t="shared" si="4"/>
        <v>0</v>
      </c>
      <c r="AD22" s="113">
        <f t="shared" si="4"/>
        <v>0</v>
      </c>
      <c r="AE22" s="113">
        <f t="shared" si="4"/>
        <v>0</v>
      </c>
      <c r="AF22" s="113">
        <f t="shared" si="4"/>
        <v>0</v>
      </c>
      <c r="AG22" s="113">
        <f t="shared" si="4"/>
        <v>0</v>
      </c>
      <c r="AH22" s="113">
        <f t="shared" si="4"/>
        <v>0</v>
      </c>
      <c r="AI22" s="113">
        <f t="shared" si="4"/>
        <v>0</v>
      </c>
      <c r="AJ22" s="113">
        <f t="shared" si="4"/>
        <v>0</v>
      </c>
      <c r="AK22" s="113">
        <f t="shared" si="4"/>
        <v>0</v>
      </c>
      <c r="AL22" s="113">
        <f t="shared" si="4"/>
        <v>0</v>
      </c>
      <c r="AM22" s="113">
        <f t="shared" si="4"/>
        <v>0</v>
      </c>
      <c r="AN22" s="113">
        <f t="shared" si="4"/>
        <v>0</v>
      </c>
      <c r="AO22" s="113">
        <f t="shared" si="4"/>
        <v>0</v>
      </c>
      <c r="AP22" s="113">
        <f t="shared" si="4"/>
        <v>0</v>
      </c>
      <c r="AQ22" s="113">
        <f t="shared" si="4"/>
        <v>0</v>
      </c>
      <c r="AR22" s="113">
        <f t="shared" si="4"/>
        <v>0</v>
      </c>
      <c r="AS22" s="113">
        <f t="shared" si="4"/>
        <v>0</v>
      </c>
      <c r="AT22" s="113">
        <f t="shared" si="4"/>
        <v>0</v>
      </c>
      <c r="AU22" s="113">
        <f t="shared" si="4"/>
        <v>0</v>
      </c>
      <c r="AV22" s="113">
        <f t="shared" si="4"/>
        <v>0</v>
      </c>
      <c r="AW22" s="113">
        <f t="shared" si="4"/>
        <v>0</v>
      </c>
      <c r="AX22" s="113">
        <f t="shared" si="4"/>
        <v>0</v>
      </c>
      <c r="AY22" s="113">
        <f t="shared" si="4"/>
        <v>0</v>
      </c>
      <c r="AZ22" s="140">
        <f t="shared" ref="AZ22:AZ30" si="5">SUM($D22:$AY22)</f>
        <v>0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106274.77200000001</v>
      </c>
      <c r="E23" s="99">
        <f t="shared" ref="E23:AY23" si="6">E$21*$B$23</f>
        <v>0</v>
      </c>
      <c r="F23" s="99">
        <f t="shared" si="6"/>
        <v>0</v>
      </c>
      <c r="G23" s="99">
        <f t="shared" si="6"/>
        <v>0</v>
      </c>
      <c r="H23" s="99">
        <f t="shared" si="6"/>
        <v>0</v>
      </c>
      <c r="I23" s="99">
        <f t="shared" si="6"/>
        <v>0</v>
      </c>
      <c r="J23" s="99">
        <f t="shared" si="6"/>
        <v>0</v>
      </c>
      <c r="K23" s="99">
        <f t="shared" si="6"/>
        <v>0</v>
      </c>
      <c r="L23" s="99">
        <f t="shared" si="6"/>
        <v>0</v>
      </c>
      <c r="M23" s="99">
        <f t="shared" si="6"/>
        <v>0</v>
      </c>
      <c r="N23" s="99">
        <f t="shared" si="6"/>
        <v>0</v>
      </c>
      <c r="O23" s="99">
        <f t="shared" si="6"/>
        <v>0</v>
      </c>
      <c r="P23" s="99">
        <f t="shared" si="6"/>
        <v>0</v>
      </c>
      <c r="Q23" s="99">
        <f t="shared" si="6"/>
        <v>0</v>
      </c>
      <c r="R23" s="99">
        <f t="shared" si="6"/>
        <v>0</v>
      </c>
      <c r="S23" s="99">
        <f t="shared" si="6"/>
        <v>0</v>
      </c>
      <c r="T23" s="99">
        <f t="shared" si="6"/>
        <v>0</v>
      </c>
      <c r="U23" s="99">
        <f t="shared" si="6"/>
        <v>0</v>
      </c>
      <c r="V23" s="99">
        <f t="shared" si="6"/>
        <v>0</v>
      </c>
      <c r="W23" s="99">
        <f t="shared" si="6"/>
        <v>0</v>
      </c>
      <c r="X23" s="99">
        <f t="shared" si="6"/>
        <v>0</v>
      </c>
      <c r="Y23" s="99">
        <f t="shared" si="6"/>
        <v>0</v>
      </c>
      <c r="Z23" s="99">
        <f t="shared" si="6"/>
        <v>0</v>
      </c>
      <c r="AA23" s="99">
        <f t="shared" si="6"/>
        <v>0</v>
      </c>
      <c r="AB23" s="99">
        <f t="shared" si="6"/>
        <v>0</v>
      </c>
      <c r="AC23" s="99">
        <f t="shared" si="6"/>
        <v>0</v>
      </c>
      <c r="AD23" s="99">
        <f t="shared" si="6"/>
        <v>0</v>
      </c>
      <c r="AE23" s="99">
        <f t="shared" si="6"/>
        <v>0</v>
      </c>
      <c r="AF23" s="99">
        <f t="shared" si="6"/>
        <v>0</v>
      </c>
      <c r="AG23" s="99">
        <f t="shared" si="6"/>
        <v>0</v>
      </c>
      <c r="AH23" s="99">
        <f t="shared" si="6"/>
        <v>0</v>
      </c>
      <c r="AI23" s="99">
        <f t="shared" si="6"/>
        <v>0</v>
      </c>
      <c r="AJ23" s="99">
        <f t="shared" si="6"/>
        <v>0</v>
      </c>
      <c r="AK23" s="99">
        <f t="shared" si="6"/>
        <v>0</v>
      </c>
      <c r="AL23" s="99">
        <f t="shared" si="6"/>
        <v>0</v>
      </c>
      <c r="AM23" s="99">
        <f t="shared" si="6"/>
        <v>0</v>
      </c>
      <c r="AN23" s="99">
        <f t="shared" si="6"/>
        <v>0</v>
      </c>
      <c r="AO23" s="99">
        <f t="shared" si="6"/>
        <v>0</v>
      </c>
      <c r="AP23" s="99">
        <f t="shared" si="6"/>
        <v>0</v>
      </c>
      <c r="AQ23" s="99">
        <f t="shared" si="6"/>
        <v>0</v>
      </c>
      <c r="AR23" s="99">
        <f t="shared" si="6"/>
        <v>0</v>
      </c>
      <c r="AS23" s="99">
        <f t="shared" si="6"/>
        <v>0</v>
      </c>
      <c r="AT23" s="99">
        <f t="shared" si="6"/>
        <v>0</v>
      </c>
      <c r="AU23" s="99">
        <f t="shared" si="6"/>
        <v>0</v>
      </c>
      <c r="AV23" s="99">
        <f t="shared" si="6"/>
        <v>0</v>
      </c>
      <c r="AW23" s="99">
        <f t="shared" si="6"/>
        <v>0</v>
      </c>
      <c r="AX23" s="99">
        <f t="shared" si="6"/>
        <v>0</v>
      </c>
      <c r="AY23" s="99">
        <f t="shared" si="6"/>
        <v>0</v>
      </c>
      <c r="AZ23" s="138">
        <f t="shared" si="5"/>
        <v>106274.77200000001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0</v>
      </c>
      <c r="E24" s="105">
        <f t="shared" ref="E24:AY24" si="7">E$22*$B$24</f>
        <v>0</v>
      </c>
      <c r="F24" s="105">
        <f t="shared" si="7"/>
        <v>0</v>
      </c>
      <c r="G24" s="105">
        <f t="shared" si="7"/>
        <v>0</v>
      </c>
      <c r="H24" s="105">
        <f t="shared" si="7"/>
        <v>0</v>
      </c>
      <c r="I24" s="105">
        <f t="shared" si="7"/>
        <v>0</v>
      </c>
      <c r="J24" s="105">
        <f t="shared" si="7"/>
        <v>0</v>
      </c>
      <c r="K24" s="105">
        <f t="shared" si="7"/>
        <v>0</v>
      </c>
      <c r="L24" s="105">
        <f t="shared" si="7"/>
        <v>0</v>
      </c>
      <c r="M24" s="105">
        <f t="shared" si="7"/>
        <v>0</v>
      </c>
      <c r="N24" s="105">
        <f t="shared" si="7"/>
        <v>0</v>
      </c>
      <c r="O24" s="105">
        <f t="shared" si="7"/>
        <v>0</v>
      </c>
      <c r="P24" s="105">
        <f t="shared" si="7"/>
        <v>0</v>
      </c>
      <c r="Q24" s="105">
        <f t="shared" si="7"/>
        <v>0</v>
      </c>
      <c r="R24" s="105">
        <f t="shared" si="7"/>
        <v>0</v>
      </c>
      <c r="S24" s="105">
        <f t="shared" si="7"/>
        <v>0</v>
      </c>
      <c r="T24" s="105">
        <f t="shared" si="7"/>
        <v>0</v>
      </c>
      <c r="U24" s="105">
        <f t="shared" si="7"/>
        <v>0</v>
      </c>
      <c r="V24" s="105">
        <f t="shared" si="7"/>
        <v>0</v>
      </c>
      <c r="W24" s="105">
        <f t="shared" si="7"/>
        <v>0</v>
      </c>
      <c r="X24" s="105">
        <f t="shared" si="7"/>
        <v>0</v>
      </c>
      <c r="Y24" s="105">
        <f t="shared" si="7"/>
        <v>0</v>
      </c>
      <c r="Z24" s="105">
        <f t="shared" si="7"/>
        <v>0</v>
      </c>
      <c r="AA24" s="105">
        <f t="shared" si="7"/>
        <v>0</v>
      </c>
      <c r="AB24" s="105">
        <f t="shared" si="7"/>
        <v>0</v>
      </c>
      <c r="AC24" s="105">
        <f t="shared" si="7"/>
        <v>0</v>
      </c>
      <c r="AD24" s="105">
        <f t="shared" si="7"/>
        <v>0</v>
      </c>
      <c r="AE24" s="105">
        <f t="shared" si="7"/>
        <v>0</v>
      </c>
      <c r="AF24" s="105">
        <f t="shared" si="7"/>
        <v>0</v>
      </c>
      <c r="AG24" s="105">
        <f t="shared" si="7"/>
        <v>0</v>
      </c>
      <c r="AH24" s="105">
        <f t="shared" si="7"/>
        <v>0</v>
      </c>
      <c r="AI24" s="105">
        <f t="shared" si="7"/>
        <v>0</v>
      </c>
      <c r="AJ24" s="105">
        <f t="shared" si="7"/>
        <v>0</v>
      </c>
      <c r="AK24" s="105">
        <f t="shared" si="7"/>
        <v>0</v>
      </c>
      <c r="AL24" s="105">
        <f t="shared" si="7"/>
        <v>0</v>
      </c>
      <c r="AM24" s="105">
        <f t="shared" si="7"/>
        <v>0</v>
      </c>
      <c r="AN24" s="105">
        <f t="shared" si="7"/>
        <v>0</v>
      </c>
      <c r="AO24" s="105">
        <f t="shared" si="7"/>
        <v>0</v>
      </c>
      <c r="AP24" s="105">
        <f t="shared" si="7"/>
        <v>0</v>
      </c>
      <c r="AQ24" s="105">
        <f t="shared" si="7"/>
        <v>0</v>
      </c>
      <c r="AR24" s="105">
        <f t="shared" si="7"/>
        <v>0</v>
      </c>
      <c r="AS24" s="105">
        <f t="shared" si="7"/>
        <v>0</v>
      </c>
      <c r="AT24" s="105">
        <f t="shared" si="7"/>
        <v>0</v>
      </c>
      <c r="AU24" s="105">
        <f t="shared" si="7"/>
        <v>0</v>
      </c>
      <c r="AV24" s="105">
        <f t="shared" si="7"/>
        <v>0</v>
      </c>
      <c r="AW24" s="105">
        <f t="shared" si="7"/>
        <v>0</v>
      </c>
      <c r="AX24" s="105">
        <f t="shared" si="7"/>
        <v>0</v>
      </c>
      <c r="AY24" s="105">
        <f t="shared" si="7"/>
        <v>0</v>
      </c>
      <c r="AZ24" s="140">
        <f t="shared" si="5"/>
        <v>0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30</v>
      </c>
      <c r="D27" s="123">
        <f>C$27-C$28+C$29</f>
        <v>25</v>
      </c>
      <c r="E27" s="123">
        <f t="shared" ref="E27:AY27" si="8">D27-D28+D29</f>
        <v>30</v>
      </c>
      <c r="F27" s="123">
        <f t="shared" si="8"/>
        <v>30</v>
      </c>
      <c r="G27" s="123">
        <f t="shared" si="8"/>
        <v>30</v>
      </c>
      <c r="H27" s="123">
        <f t="shared" si="8"/>
        <v>30</v>
      </c>
      <c r="I27" s="123">
        <f t="shared" si="8"/>
        <v>30</v>
      </c>
      <c r="J27" s="123">
        <f t="shared" si="8"/>
        <v>30</v>
      </c>
      <c r="K27" s="123">
        <f t="shared" si="8"/>
        <v>30</v>
      </c>
      <c r="L27" s="123">
        <f t="shared" si="8"/>
        <v>30</v>
      </c>
      <c r="M27" s="123">
        <f t="shared" si="8"/>
        <v>30</v>
      </c>
      <c r="N27" s="123">
        <f t="shared" si="8"/>
        <v>30</v>
      </c>
      <c r="O27" s="123">
        <f t="shared" si="8"/>
        <v>30</v>
      </c>
      <c r="P27" s="123">
        <f t="shared" si="8"/>
        <v>30</v>
      </c>
      <c r="Q27" s="123">
        <f t="shared" si="8"/>
        <v>30</v>
      </c>
      <c r="R27" s="123">
        <f t="shared" si="8"/>
        <v>30</v>
      </c>
      <c r="S27" s="123">
        <f t="shared" si="8"/>
        <v>30</v>
      </c>
      <c r="T27" s="123">
        <f t="shared" si="8"/>
        <v>30</v>
      </c>
      <c r="U27" s="123">
        <f t="shared" si="8"/>
        <v>30</v>
      </c>
      <c r="V27" s="123">
        <f t="shared" si="8"/>
        <v>30</v>
      </c>
      <c r="W27" s="123">
        <f t="shared" si="8"/>
        <v>30</v>
      </c>
      <c r="X27" s="123">
        <f t="shared" si="8"/>
        <v>30</v>
      </c>
      <c r="Y27" s="123">
        <f t="shared" si="8"/>
        <v>30</v>
      </c>
      <c r="Z27" s="123">
        <f t="shared" si="8"/>
        <v>30</v>
      </c>
      <c r="AA27" s="123">
        <f t="shared" si="8"/>
        <v>30</v>
      </c>
      <c r="AB27" s="123">
        <f t="shared" si="8"/>
        <v>30</v>
      </c>
      <c r="AC27" s="123">
        <f t="shared" si="8"/>
        <v>30</v>
      </c>
      <c r="AD27" s="123">
        <f t="shared" si="8"/>
        <v>30</v>
      </c>
      <c r="AE27" s="123">
        <f t="shared" si="8"/>
        <v>30</v>
      </c>
      <c r="AF27" s="123">
        <f t="shared" si="8"/>
        <v>30</v>
      </c>
      <c r="AG27" s="123">
        <f t="shared" si="8"/>
        <v>30</v>
      </c>
      <c r="AH27" s="123">
        <f t="shared" si="8"/>
        <v>30</v>
      </c>
      <c r="AI27" s="123">
        <f t="shared" si="8"/>
        <v>30</v>
      </c>
      <c r="AJ27" s="123">
        <f t="shared" si="8"/>
        <v>30</v>
      </c>
      <c r="AK27" s="123">
        <f t="shared" si="8"/>
        <v>30</v>
      </c>
      <c r="AL27" s="123">
        <f t="shared" si="8"/>
        <v>30</v>
      </c>
      <c r="AM27" s="123">
        <f t="shared" si="8"/>
        <v>30</v>
      </c>
      <c r="AN27" s="123">
        <f t="shared" si="8"/>
        <v>30</v>
      </c>
      <c r="AO27" s="123">
        <f t="shared" si="8"/>
        <v>30</v>
      </c>
      <c r="AP27" s="123">
        <f t="shared" si="8"/>
        <v>30</v>
      </c>
      <c r="AQ27" s="123">
        <f t="shared" si="8"/>
        <v>30</v>
      </c>
      <c r="AR27" s="123">
        <f t="shared" si="8"/>
        <v>30</v>
      </c>
      <c r="AS27" s="123">
        <f t="shared" si="8"/>
        <v>30</v>
      </c>
      <c r="AT27" s="123">
        <f t="shared" si="8"/>
        <v>30</v>
      </c>
      <c r="AU27" s="123">
        <f t="shared" si="8"/>
        <v>30</v>
      </c>
      <c r="AV27" s="123">
        <f t="shared" si="8"/>
        <v>30</v>
      </c>
      <c r="AW27" s="123">
        <f t="shared" si="8"/>
        <v>30</v>
      </c>
      <c r="AX27" s="123">
        <f t="shared" si="8"/>
        <v>30</v>
      </c>
      <c r="AY27" s="163">
        <f t="shared" si="8"/>
        <v>30</v>
      </c>
      <c r="AZ27" s="105"/>
    </row>
    <row r="28" spans="1:52">
      <c r="B28" s="164" t="s">
        <v>310</v>
      </c>
      <c r="C28" s="109">
        <v>5</v>
      </c>
      <c r="D28" s="109">
        <v>0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>
        <v>0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  <c r="AN28" s="109">
        <v>0</v>
      </c>
      <c r="AO28" s="109">
        <v>0</v>
      </c>
      <c r="AP28" s="109">
        <v>0</v>
      </c>
      <c r="AQ28" s="109">
        <v>0</v>
      </c>
      <c r="AR28" s="109">
        <v>0</v>
      </c>
      <c r="AS28" s="109">
        <v>0</v>
      </c>
      <c r="AT28" s="109">
        <v>0</v>
      </c>
      <c r="AU28" s="109">
        <v>0</v>
      </c>
      <c r="AV28" s="109">
        <v>0</v>
      </c>
      <c r="AW28" s="109">
        <v>0</v>
      </c>
      <c r="AX28" s="109">
        <v>0</v>
      </c>
      <c r="AY28" s="165">
        <v>0</v>
      </c>
      <c r="AZ28" s="105"/>
    </row>
    <row r="29" spans="1:52">
      <c r="B29" s="135" t="s">
        <v>311</v>
      </c>
      <c r="C29" s="124">
        <v>0</v>
      </c>
      <c r="D29" s="124">
        <f>C$28</f>
        <v>5</v>
      </c>
      <c r="E29" s="124">
        <f t="shared" ref="E29:AY29" si="9">D$28</f>
        <v>0</v>
      </c>
      <c r="F29" s="124">
        <f t="shared" si="9"/>
        <v>0</v>
      </c>
      <c r="G29" s="124">
        <f t="shared" si="9"/>
        <v>0</v>
      </c>
      <c r="H29" s="124">
        <f t="shared" si="9"/>
        <v>0</v>
      </c>
      <c r="I29" s="124">
        <f t="shared" si="9"/>
        <v>0</v>
      </c>
      <c r="J29" s="124">
        <f t="shared" si="9"/>
        <v>0</v>
      </c>
      <c r="K29" s="124">
        <f t="shared" si="9"/>
        <v>0</v>
      </c>
      <c r="L29" s="124">
        <f t="shared" si="9"/>
        <v>0</v>
      </c>
      <c r="M29" s="124">
        <f t="shared" si="9"/>
        <v>0</v>
      </c>
      <c r="N29" s="124">
        <f t="shared" si="9"/>
        <v>0</v>
      </c>
      <c r="O29" s="124">
        <f t="shared" si="9"/>
        <v>0</v>
      </c>
      <c r="P29" s="124">
        <f t="shared" si="9"/>
        <v>0</v>
      </c>
      <c r="Q29" s="124">
        <f t="shared" si="9"/>
        <v>0</v>
      </c>
      <c r="R29" s="124">
        <f t="shared" si="9"/>
        <v>0</v>
      </c>
      <c r="S29" s="124">
        <f t="shared" si="9"/>
        <v>0</v>
      </c>
      <c r="T29" s="124">
        <f t="shared" si="9"/>
        <v>0</v>
      </c>
      <c r="U29" s="124">
        <f t="shared" si="9"/>
        <v>0</v>
      </c>
      <c r="V29" s="124">
        <f t="shared" si="9"/>
        <v>0</v>
      </c>
      <c r="W29" s="124">
        <f t="shared" si="9"/>
        <v>0</v>
      </c>
      <c r="X29" s="124">
        <f t="shared" si="9"/>
        <v>0</v>
      </c>
      <c r="Y29" s="124">
        <f t="shared" si="9"/>
        <v>0</v>
      </c>
      <c r="Z29" s="124">
        <f t="shared" si="9"/>
        <v>0</v>
      </c>
      <c r="AA29" s="124">
        <f t="shared" si="9"/>
        <v>0</v>
      </c>
      <c r="AB29" s="124">
        <f t="shared" si="9"/>
        <v>0</v>
      </c>
      <c r="AC29" s="124">
        <f t="shared" si="9"/>
        <v>0</v>
      </c>
      <c r="AD29" s="124">
        <f t="shared" si="9"/>
        <v>0</v>
      </c>
      <c r="AE29" s="124">
        <f t="shared" si="9"/>
        <v>0</v>
      </c>
      <c r="AF29" s="124">
        <f t="shared" si="9"/>
        <v>0</v>
      </c>
      <c r="AG29" s="124">
        <f t="shared" si="9"/>
        <v>0</v>
      </c>
      <c r="AH29" s="124">
        <f t="shared" si="9"/>
        <v>0</v>
      </c>
      <c r="AI29" s="124">
        <f t="shared" si="9"/>
        <v>0</v>
      </c>
      <c r="AJ29" s="124">
        <f t="shared" si="9"/>
        <v>0</v>
      </c>
      <c r="AK29" s="124">
        <f t="shared" si="9"/>
        <v>0</v>
      </c>
      <c r="AL29" s="124">
        <f t="shared" si="9"/>
        <v>0</v>
      </c>
      <c r="AM29" s="124">
        <f t="shared" si="9"/>
        <v>0</v>
      </c>
      <c r="AN29" s="124">
        <f t="shared" si="9"/>
        <v>0</v>
      </c>
      <c r="AO29" s="124">
        <f t="shared" si="9"/>
        <v>0</v>
      </c>
      <c r="AP29" s="124">
        <f t="shared" si="9"/>
        <v>0</v>
      </c>
      <c r="AQ29" s="124">
        <f t="shared" si="9"/>
        <v>0</v>
      </c>
      <c r="AR29" s="124">
        <f t="shared" si="9"/>
        <v>0</v>
      </c>
      <c r="AS29" s="124">
        <f t="shared" si="9"/>
        <v>0</v>
      </c>
      <c r="AT29" s="124">
        <f t="shared" si="9"/>
        <v>0</v>
      </c>
      <c r="AU29" s="124">
        <f t="shared" si="9"/>
        <v>0</v>
      </c>
      <c r="AV29" s="124">
        <f t="shared" si="9"/>
        <v>0</v>
      </c>
      <c r="AW29" s="124">
        <f t="shared" si="9"/>
        <v>0</v>
      </c>
      <c r="AX29" s="124">
        <f t="shared" si="9"/>
        <v>0</v>
      </c>
      <c r="AY29" s="166">
        <f t="shared" si="9"/>
        <v>0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250</v>
      </c>
      <c r="E30" s="116">
        <f t="shared" ref="E30:AY30" si="10">E$27*$B$30</f>
        <v>300</v>
      </c>
      <c r="F30" s="116">
        <f t="shared" si="10"/>
        <v>300</v>
      </c>
      <c r="G30" s="116">
        <f t="shared" si="10"/>
        <v>300</v>
      </c>
      <c r="H30" s="116">
        <f t="shared" si="10"/>
        <v>300</v>
      </c>
      <c r="I30" s="116">
        <f t="shared" si="10"/>
        <v>300</v>
      </c>
      <c r="J30" s="116">
        <f t="shared" si="10"/>
        <v>300</v>
      </c>
      <c r="K30" s="116">
        <f t="shared" si="10"/>
        <v>300</v>
      </c>
      <c r="L30" s="116">
        <f t="shared" si="10"/>
        <v>300</v>
      </c>
      <c r="M30" s="116">
        <f t="shared" si="10"/>
        <v>300</v>
      </c>
      <c r="N30" s="116">
        <f t="shared" si="10"/>
        <v>300</v>
      </c>
      <c r="O30" s="116">
        <f t="shared" si="10"/>
        <v>300</v>
      </c>
      <c r="P30" s="116">
        <f t="shared" si="10"/>
        <v>300</v>
      </c>
      <c r="Q30" s="116">
        <f t="shared" si="10"/>
        <v>300</v>
      </c>
      <c r="R30" s="116">
        <f>R$27*$B$30</f>
        <v>300</v>
      </c>
      <c r="S30" s="116">
        <f t="shared" si="10"/>
        <v>300</v>
      </c>
      <c r="T30" s="116">
        <f t="shared" si="10"/>
        <v>300</v>
      </c>
      <c r="U30" s="116">
        <f t="shared" si="10"/>
        <v>300</v>
      </c>
      <c r="V30" s="116">
        <f t="shared" si="10"/>
        <v>300</v>
      </c>
      <c r="W30" s="116">
        <f t="shared" si="10"/>
        <v>300</v>
      </c>
      <c r="X30" s="116">
        <f t="shared" si="10"/>
        <v>300</v>
      </c>
      <c r="Y30" s="116">
        <f t="shared" si="10"/>
        <v>300</v>
      </c>
      <c r="Z30" s="116">
        <f t="shared" si="10"/>
        <v>300</v>
      </c>
      <c r="AA30" s="116">
        <f t="shared" si="10"/>
        <v>300</v>
      </c>
      <c r="AB30" s="116">
        <f t="shared" si="10"/>
        <v>300</v>
      </c>
      <c r="AC30" s="116">
        <f t="shared" si="10"/>
        <v>300</v>
      </c>
      <c r="AD30" s="116">
        <f t="shared" si="10"/>
        <v>300</v>
      </c>
      <c r="AE30" s="116">
        <f>AE$27*$B$30</f>
        <v>300</v>
      </c>
      <c r="AF30" s="116">
        <f t="shared" si="10"/>
        <v>300</v>
      </c>
      <c r="AG30" s="116">
        <f t="shared" si="10"/>
        <v>300</v>
      </c>
      <c r="AH30" s="116">
        <f t="shared" si="10"/>
        <v>300</v>
      </c>
      <c r="AI30" s="116">
        <f t="shared" si="10"/>
        <v>300</v>
      </c>
      <c r="AJ30" s="116">
        <f t="shared" si="10"/>
        <v>300</v>
      </c>
      <c r="AK30" s="116">
        <f t="shared" si="10"/>
        <v>300</v>
      </c>
      <c r="AL30" s="116">
        <f t="shared" si="10"/>
        <v>300</v>
      </c>
      <c r="AM30" s="116">
        <f t="shared" si="10"/>
        <v>300</v>
      </c>
      <c r="AN30" s="116">
        <f t="shared" si="10"/>
        <v>300</v>
      </c>
      <c r="AO30" s="116">
        <f t="shared" si="10"/>
        <v>300</v>
      </c>
      <c r="AP30" s="116">
        <f t="shared" si="10"/>
        <v>300</v>
      </c>
      <c r="AQ30" s="116">
        <f t="shared" si="10"/>
        <v>300</v>
      </c>
      <c r="AR30" s="116">
        <f t="shared" si="10"/>
        <v>300</v>
      </c>
      <c r="AS30" s="116">
        <f t="shared" si="10"/>
        <v>300</v>
      </c>
      <c r="AT30" s="116">
        <f t="shared" si="10"/>
        <v>300</v>
      </c>
      <c r="AU30" s="116">
        <f t="shared" si="10"/>
        <v>300</v>
      </c>
      <c r="AV30" s="116">
        <f t="shared" si="10"/>
        <v>300</v>
      </c>
      <c r="AW30" s="116">
        <f t="shared" si="10"/>
        <v>300</v>
      </c>
      <c r="AX30" s="116">
        <f t="shared" si="10"/>
        <v>300</v>
      </c>
      <c r="AY30" s="116">
        <f t="shared" si="10"/>
        <v>300</v>
      </c>
      <c r="AZ30" s="140">
        <f t="shared" si="5"/>
        <v>14350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D$21*shipping_manufacturing!$D$27/100</f>
        <v>0</v>
      </c>
      <c r="E33" s="123">
        <f>E$21*shipping_manufacturing!$D$27/100</f>
        <v>0</v>
      </c>
      <c r="F33" s="123">
        <f>F$21*shipping_manufacturing!$D$27/100</f>
        <v>0</v>
      </c>
      <c r="G33" s="123">
        <f>G$21*shipping_manufacturing!$D$27/100</f>
        <v>0</v>
      </c>
      <c r="H33" s="123">
        <f>H$21*shipping_manufacturing!$D$27/100</f>
        <v>0</v>
      </c>
      <c r="I33" s="123">
        <f>I$21*shipping_manufacturing!$D$27/100</f>
        <v>0</v>
      </c>
      <c r="J33" s="123">
        <f>J$21*shipping_manufacturing!$D$27/100</f>
        <v>0</v>
      </c>
      <c r="K33" s="123">
        <f>K$21*shipping_manufacturing!$D$27/100</f>
        <v>0</v>
      </c>
      <c r="L33" s="123">
        <f>L$21*shipping_manufacturing!$D$27/100</f>
        <v>0</v>
      </c>
      <c r="M33" s="123">
        <f>M$21*shipping_manufacturing!$D$27/100</f>
        <v>0</v>
      </c>
      <c r="N33" s="123">
        <f>N$21*shipping_manufacturing!$D$27/100</f>
        <v>0</v>
      </c>
      <c r="O33" s="123">
        <f>O$21*shipping_manufacturing!$D$27/100</f>
        <v>0</v>
      </c>
      <c r="P33" s="123">
        <f>P$21*shipping_manufacturing!$D$27/100</f>
        <v>0</v>
      </c>
      <c r="Q33" s="123">
        <f>Q$21*shipping_manufacturing!$D$27/100</f>
        <v>0</v>
      </c>
      <c r="R33" s="123">
        <f>R$21*shipping_manufacturing!$D$27/100</f>
        <v>0</v>
      </c>
      <c r="S33" s="123">
        <f>S$21*shipping_manufacturing!$D$27/100</f>
        <v>0</v>
      </c>
      <c r="T33" s="123">
        <f>T$21*shipping_manufacturing!$D$27/100</f>
        <v>0</v>
      </c>
      <c r="U33" s="123">
        <f>U$21*shipping_manufacturing!$D$27/100</f>
        <v>0</v>
      </c>
      <c r="V33" s="123">
        <f>V$21*shipping_manufacturing!$D$27/100</f>
        <v>0</v>
      </c>
      <c r="W33" s="123">
        <f>W$21*shipping_manufacturing!$D$27/100</f>
        <v>0</v>
      </c>
      <c r="X33" s="123">
        <f>X$21*shipping_manufacturing!$D$27/100</f>
        <v>0</v>
      </c>
      <c r="Y33" s="123">
        <f>Y$21*shipping_manufacturing!$D$27/100</f>
        <v>0</v>
      </c>
      <c r="Z33" s="123">
        <f>Z$21*shipping_manufacturing!$D$27/100</f>
        <v>0</v>
      </c>
      <c r="AA33" s="123">
        <f>AA$21*shipping_manufacturing!$D$27/100</f>
        <v>0</v>
      </c>
      <c r="AB33" s="123">
        <f>AB$21*shipping_manufacturing!$D$27/100</f>
        <v>0</v>
      </c>
      <c r="AC33" s="123">
        <f>AC$21*shipping_manufacturing!$D$27/100</f>
        <v>0</v>
      </c>
      <c r="AD33" s="123">
        <f>AD$21*shipping_manufacturing!$D$27/100</f>
        <v>0</v>
      </c>
      <c r="AE33" s="123">
        <f>AE$21*shipping_manufacturing!$D$27/100</f>
        <v>0</v>
      </c>
      <c r="AF33" s="123">
        <f>AF$21*shipping_manufacturing!$D$27/100</f>
        <v>0</v>
      </c>
      <c r="AG33" s="123">
        <f>AG$21*shipping_manufacturing!$D$27/100</f>
        <v>0</v>
      </c>
      <c r="AH33" s="123">
        <f>AH$21*shipping_manufacturing!$D$27/100</f>
        <v>0</v>
      </c>
      <c r="AI33" s="123">
        <f>AI$21*shipping_manufacturing!$D$27/100</f>
        <v>0</v>
      </c>
      <c r="AJ33" s="123">
        <f>AJ$21*shipping_manufacturing!$D$27/100</f>
        <v>0</v>
      </c>
      <c r="AK33" s="123">
        <f>AK$21*shipping_manufacturing!$D$27/100</f>
        <v>0</v>
      </c>
      <c r="AL33" s="123">
        <f>AL$21*shipping_manufacturing!$D$27/100</f>
        <v>0</v>
      </c>
      <c r="AM33" s="123">
        <f>AM$21*shipping_manufacturing!$D$27/100</f>
        <v>0</v>
      </c>
      <c r="AN33" s="123">
        <f>AN$21*shipping_manufacturing!$D$27/100</f>
        <v>0</v>
      </c>
      <c r="AO33" s="123">
        <f>AO$21*shipping_manufacturing!$D$27/100</f>
        <v>0</v>
      </c>
      <c r="AP33" s="123">
        <f>AP$21*shipping_manufacturing!$D$27/100</f>
        <v>0</v>
      </c>
      <c r="AQ33" s="123">
        <f>AQ$21*shipping_manufacturing!$D$27/100</f>
        <v>0</v>
      </c>
      <c r="AR33" s="123">
        <f>AR$21*shipping_manufacturing!$D$27/100</f>
        <v>0</v>
      </c>
      <c r="AS33" s="123">
        <f>AS$21*shipping_manufacturing!$D$27/100</f>
        <v>0</v>
      </c>
      <c r="AT33" s="123">
        <f>AT$21*shipping_manufacturing!$D$27/100</f>
        <v>0</v>
      </c>
      <c r="AU33" s="123">
        <f>AU$21*shipping_manufacturing!$D$27/100</f>
        <v>0</v>
      </c>
      <c r="AV33" s="123">
        <f>AV$21*shipping_manufacturing!$D$27/100</f>
        <v>0</v>
      </c>
      <c r="AW33" s="123">
        <f>AW$21*shipping_manufacturing!$D$27/100</f>
        <v>0</v>
      </c>
      <c r="AX33" s="123">
        <f>AX$21*shipping_manufacturing!$D$27/100</f>
        <v>0</v>
      </c>
      <c r="AY33" s="123">
        <f>AY$21*shipping_manufacturing!$D$27/100</f>
        <v>0</v>
      </c>
    </row>
    <row r="34" spans="1:52">
      <c r="A34" s="112" t="s">
        <v>341</v>
      </c>
      <c r="B34" s="164" t="s">
        <v>343</v>
      </c>
      <c r="C34" s="109"/>
      <c r="D34" s="109">
        <f>D$22*shipping_manufacturing!$E$27/100</f>
        <v>0</v>
      </c>
      <c r="E34" s="109">
        <f>E$22*shipping_manufacturing!$E$27/100</f>
        <v>0</v>
      </c>
      <c r="F34" s="109">
        <f>F$22*shipping_manufacturing!$E$27/100</f>
        <v>0</v>
      </c>
      <c r="G34" s="109">
        <f>G$22*shipping_manufacturing!$E$27/100</f>
        <v>0</v>
      </c>
      <c r="H34" s="109">
        <f>H$22*shipping_manufacturing!$E$27/100</f>
        <v>0</v>
      </c>
      <c r="I34" s="109">
        <f>I$22*shipping_manufacturing!$E$27/100</f>
        <v>0</v>
      </c>
      <c r="J34" s="109">
        <f>J$22*shipping_manufacturing!$E$27/100</f>
        <v>0</v>
      </c>
      <c r="K34" s="109">
        <f>K$22*shipping_manufacturing!$E$27/100</f>
        <v>0</v>
      </c>
      <c r="L34" s="109">
        <f>L$22*shipping_manufacturing!$E$27/100</f>
        <v>0</v>
      </c>
      <c r="M34" s="109">
        <f>M$22*shipping_manufacturing!$E$27/100</f>
        <v>0</v>
      </c>
      <c r="N34" s="109">
        <f>N$22*shipping_manufacturing!$E$27/100</f>
        <v>0</v>
      </c>
      <c r="O34" s="109">
        <f>O$22*shipping_manufacturing!$E$27/100</f>
        <v>0</v>
      </c>
      <c r="P34" s="109">
        <f>P$22*shipping_manufacturing!$E$27/100</f>
        <v>0</v>
      </c>
      <c r="Q34" s="109">
        <f>Q$22*shipping_manufacturing!$E$27/100</f>
        <v>0</v>
      </c>
      <c r="R34" s="109">
        <f>R$22*shipping_manufacturing!$E$27/100</f>
        <v>0</v>
      </c>
      <c r="S34" s="109">
        <f>S$22*shipping_manufacturing!$E$27/100</f>
        <v>0</v>
      </c>
      <c r="T34" s="109">
        <f>T$22*shipping_manufacturing!$E$27/100</f>
        <v>0</v>
      </c>
      <c r="U34" s="109">
        <f>U$22*shipping_manufacturing!$E$27/100</f>
        <v>0</v>
      </c>
      <c r="V34" s="109">
        <f>V$22*shipping_manufacturing!$E$27/100</f>
        <v>0</v>
      </c>
      <c r="W34" s="109">
        <f>W$22*shipping_manufacturing!$E$27/100</f>
        <v>0</v>
      </c>
      <c r="X34" s="109">
        <f>X$22*shipping_manufacturing!$E$27/100</f>
        <v>0</v>
      </c>
      <c r="Y34" s="109">
        <f>Y$22*shipping_manufacturing!$E$27/100</f>
        <v>0</v>
      </c>
      <c r="Z34" s="109">
        <f>Z$22*shipping_manufacturing!$E$27/100</f>
        <v>0</v>
      </c>
      <c r="AA34" s="109">
        <f>AA$22*shipping_manufacturing!$E$27/100</f>
        <v>0</v>
      </c>
      <c r="AB34" s="109">
        <f>AB$22*shipping_manufacturing!$E$27/100</f>
        <v>0</v>
      </c>
      <c r="AC34" s="109">
        <f>AC$22*shipping_manufacturing!$E$27/100</f>
        <v>0</v>
      </c>
      <c r="AD34" s="109">
        <f>AD$22*shipping_manufacturing!$E$27/100</f>
        <v>0</v>
      </c>
      <c r="AE34" s="109">
        <f>AE$22*shipping_manufacturing!$E$27/100</f>
        <v>0</v>
      </c>
      <c r="AF34" s="109">
        <f>AF$22*shipping_manufacturing!$E$27/100</f>
        <v>0</v>
      </c>
      <c r="AG34" s="109">
        <f>AG$22*shipping_manufacturing!$E$27/100</f>
        <v>0</v>
      </c>
      <c r="AH34" s="109">
        <f>AH$22*shipping_manufacturing!$E$27/100</f>
        <v>0</v>
      </c>
      <c r="AI34" s="109">
        <f>AI$22*shipping_manufacturing!$E$27/100</f>
        <v>0</v>
      </c>
      <c r="AJ34" s="109">
        <f>AJ$22*shipping_manufacturing!$E$27/100</f>
        <v>0</v>
      </c>
      <c r="AK34" s="109">
        <f>AK$22*shipping_manufacturing!$E$27/100</f>
        <v>0</v>
      </c>
      <c r="AL34" s="109">
        <f>AL$22*shipping_manufacturing!$E$27/100</f>
        <v>0</v>
      </c>
      <c r="AM34" s="109">
        <f>AM$22*shipping_manufacturing!$E$27/100</f>
        <v>0</v>
      </c>
      <c r="AN34" s="109">
        <f>AN$22*shipping_manufacturing!$E$27/100</f>
        <v>0</v>
      </c>
      <c r="AO34" s="109">
        <f>AO$22*shipping_manufacturing!$E$27/100</f>
        <v>0</v>
      </c>
      <c r="AP34" s="109">
        <f>AP$22*shipping_manufacturing!$E$27/100</f>
        <v>0</v>
      </c>
      <c r="AQ34" s="109">
        <f>AQ$22*shipping_manufacturing!$E$27/100</f>
        <v>0</v>
      </c>
      <c r="AR34" s="109">
        <f>AR$22*shipping_manufacturing!$E$27/100</f>
        <v>0</v>
      </c>
      <c r="AS34" s="109">
        <f>AS$22*shipping_manufacturing!$E$27/100</f>
        <v>0</v>
      </c>
      <c r="AT34" s="109">
        <f>AT$22*shipping_manufacturing!$E$27/100</f>
        <v>0</v>
      </c>
      <c r="AU34" s="109">
        <f>AU$22*shipping_manufacturing!$E$27/100</f>
        <v>0</v>
      </c>
      <c r="AV34" s="109">
        <f>AV$22*shipping_manufacturing!$E$27/100</f>
        <v>0</v>
      </c>
      <c r="AW34" s="109">
        <f>AW$22*shipping_manufacturing!$E$27/100</f>
        <v>0</v>
      </c>
      <c r="AX34" s="109">
        <f>AX$22*shipping_manufacturing!$E$27/100</f>
        <v>0</v>
      </c>
      <c r="AY34" s="109">
        <f>AY$22*shipping_manufacturing!$E$27/100</f>
        <v>0</v>
      </c>
    </row>
    <row r="35" spans="1:52">
      <c r="A35" s="109">
        <v>1335</v>
      </c>
      <c r="B35" s="164" t="s">
        <v>344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0</v>
      </c>
      <c r="G35" s="109">
        <f t="shared" si="11"/>
        <v>0</v>
      </c>
      <c r="H35" s="109">
        <f t="shared" si="11"/>
        <v>0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</v>
      </c>
      <c r="N35" s="109">
        <f t="shared" si="11"/>
        <v>0</v>
      </c>
      <c r="O35" s="109">
        <f t="shared" si="11"/>
        <v>0</v>
      </c>
      <c r="P35" s="109">
        <f t="shared" si="11"/>
        <v>0</v>
      </c>
      <c r="Q35" s="109">
        <f t="shared" si="11"/>
        <v>0</v>
      </c>
      <c r="R35" s="109">
        <f t="shared" si="11"/>
        <v>0</v>
      </c>
      <c r="S35" s="109">
        <f t="shared" si="11"/>
        <v>0</v>
      </c>
      <c r="T35" s="109">
        <f t="shared" si="11"/>
        <v>0</v>
      </c>
      <c r="U35" s="109">
        <f t="shared" si="11"/>
        <v>0</v>
      </c>
      <c r="V35" s="109">
        <f t="shared" si="11"/>
        <v>0</v>
      </c>
      <c r="W35" s="109">
        <f t="shared" si="11"/>
        <v>0</v>
      </c>
      <c r="X35" s="109">
        <f t="shared" si="11"/>
        <v>0</v>
      </c>
      <c r="Y35" s="109">
        <f t="shared" si="11"/>
        <v>0</v>
      </c>
      <c r="Z35" s="109">
        <f t="shared" si="11"/>
        <v>0</v>
      </c>
      <c r="AA35" s="109">
        <f t="shared" si="11"/>
        <v>0</v>
      </c>
      <c r="AB35" s="109">
        <f t="shared" si="11"/>
        <v>0</v>
      </c>
      <c r="AC35" s="109">
        <f t="shared" si="11"/>
        <v>0</v>
      </c>
      <c r="AD35" s="109">
        <f t="shared" si="11"/>
        <v>0</v>
      </c>
      <c r="AE35" s="109">
        <f t="shared" si="11"/>
        <v>0</v>
      </c>
      <c r="AF35" s="109">
        <f t="shared" si="11"/>
        <v>0</v>
      </c>
      <c r="AG35" s="109">
        <f t="shared" si="11"/>
        <v>0</v>
      </c>
      <c r="AH35" s="109">
        <f t="shared" si="11"/>
        <v>0</v>
      </c>
      <c r="AI35" s="109">
        <f t="shared" si="11"/>
        <v>0</v>
      </c>
      <c r="AJ35" s="109">
        <f t="shared" si="11"/>
        <v>0</v>
      </c>
      <c r="AK35" s="109">
        <f t="shared" si="11"/>
        <v>0</v>
      </c>
      <c r="AL35" s="109">
        <f t="shared" si="11"/>
        <v>0</v>
      </c>
      <c r="AM35" s="109">
        <f t="shared" si="11"/>
        <v>0</v>
      </c>
      <c r="AN35" s="109">
        <f t="shared" si="11"/>
        <v>0</v>
      </c>
      <c r="AO35" s="109">
        <f t="shared" si="11"/>
        <v>0</v>
      </c>
      <c r="AP35" s="109">
        <f t="shared" si="11"/>
        <v>0</v>
      </c>
      <c r="AQ35" s="109">
        <f t="shared" si="11"/>
        <v>0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0</v>
      </c>
      <c r="AV35" s="109">
        <f t="shared" si="11"/>
        <v>0</v>
      </c>
      <c r="AW35" s="109">
        <f t="shared" si="11"/>
        <v>0</v>
      </c>
      <c r="AX35" s="109">
        <f t="shared" si="11"/>
        <v>0</v>
      </c>
      <c r="AY35" s="109">
        <f t="shared" si="11"/>
        <v>0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>
      <c r="A39" s="109"/>
      <c r="B39" s="164" t="s">
        <v>348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>
      <c r="A40" s="109"/>
      <c r="B40" s="164" t="s">
        <v>349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>
      <c r="A41" s="109"/>
      <c r="B41" s="164" t="s">
        <v>350</v>
      </c>
      <c r="C41" s="109"/>
      <c r="D41" s="109">
        <v>2</v>
      </c>
      <c r="E41" s="109">
        <v>1</v>
      </c>
      <c r="F41" s="109">
        <v>1</v>
      </c>
      <c r="G41" s="109">
        <v>2</v>
      </c>
      <c r="H41" s="109">
        <v>1</v>
      </c>
      <c r="I41" s="109">
        <v>1</v>
      </c>
      <c r="J41" s="109">
        <v>1</v>
      </c>
      <c r="K41" s="109">
        <v>1</v>
      </c>
      <c r="L41" s="109">
        <v>1</v>
      </c>
      <c r="M41" s="109">
        <v>1</v>
      </c>
      <c r="N41" s="109">
        <v>1</v>
      </c>
      <c r="O41" s="109">
        <v>1</v>
      </c>
      <c r="P41" s="109">
        <v>1</v>
      </c>
      <c r="Q41" s="109">
        <v>1</v>
      </c>
      <c r="R41" s="109">
        <v>1</v>
      </c>
      <c r="S41" s="109">
        <v>2</v>
      </c>
      <c r="T41" s="109">
        <v>1</v>
      </c>
      <c r="U41" s="109">
        <v>2</v>
      </c>
      <c r="V41" s="109">
        <v>1</v>
      </c>
      <c r="W41" s="109">
        <v>2</v>
      </c>
      <c r="X41" s="109">
        <v>1</v>
      </c>
      <c r="Y41" s="109">
        <v>1</v>
      </c>
      <c r="Z41" s="109">
        <v>1</v>
      </c>
      <c r="AA41" s="109">
        <v>2</v>
      </c>
      <c r="AB41" s="109">
        <v>3</v>
      </c>
      <c r="AC41" s="109">
        <v>2</v>
      </c>
      <c r="AD41" s="109">
        <v>2</v>
      </c>
      <c r="AE41" s="109">
        <v>2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09">
        <v>1</v>
      </c>
      <c r="AN41" s="109">
        <v>2</v>
      </c>
      <c r="AO41" s="109">
        <v>2</v>
      </c>
      <c r="AP41" s="109">
        <v>2</v>
      </c>
      <c r="AQ41" s="109">
        <v>1</v>
      </c>
      <c r="AR41" s="109">
        <v>1</v>
      </c>
      <c r="AS41" s="109">
        <v>1</v>
      </c>
      <c r="AT41" s="109">
        <v>3</v>
      </c>
      <c r="AU41" s="109">
        <v>1</v>
      </c>
      <c r="AV41" s="109">
        <v>1</v>
      </c>
      <c r="AW41" s="109">
        <v>1</v>
      </c>
      <c r="AX41" s="109">
        <v>2</v>
      </c>
      <c r="AY41" s="109">
        <v>1</v>
      </c>
    </row>
    <row r="42" spans="1:52">
      <c r="A42" s="109"/>
      <c r="B42" s="177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>
      <c r="A43" s="109"/>
      <c r="B43" s="177" t="s">
        <v>352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>
      <c r="A44" s="134" t="s">
        <v>46</v>
      </c>
      <c r="B44" s="134" t="s">
        <v>342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0</v>
      </c>
      <c r="G44" s="123">
        <f>G$21*shipping_manufacturing!$D$28/100</f>
        <v>0</v>
      </c>
      <c r="H44" s="123">
        <f>H$21*shipping_manufacturing!$D$28/100</f>
        <v>0</v>
      </c>
      <c r="I44" s="123">
        <f>I$21*shipping_manufacturing!$D$28/100</f>
        <v>0</v>
      </c>
      <c r="J44" s="123">
        <f>J$21*shipping_manufacturing!$D$28/100</f>
        <v>0</v>
      </c>
      <c r="K44" s="123">
        <f>K$21*shipping_manufacturing!$D$28/100</f>
        <v>0</v>
      </c>
      <c r="L44" s="123">
        <f>L$21*shipping_manufacturing!$D$28/100</f>
        <v>0</v>
      </c>
      <c r="M44" s="123">
        <f>M$21*shipping_manufacturing!$D$28/100</f>
        <v>0</v>
      </c>
      <c r="N44" s="123">
        <f>N$21*shipping_manufacturing!$D$28/100</f>
        <v>0</v>
      </c>
      <c r="O44" s="123">
        <f>O$21*shipping_manufacturing!$D$28/100</f>
        <v>0</v>
      </c>
      <c r="P44" s="123">
        <f>P$21*shipping_manufacturing!$D$28/100</f>
        <v>0</v>
      </c>
      <c r="Q44" s="123">
        <f>Q$21*shipping_manufacturing!$D$28/100</f>
        <v>0</v>
      </c>
      <c r="R44" s="123">
        <f>R$21*shipping_manufacturing!$D$28/100</f>
        <v>0</v>
      </c>
      <c r="S44" s="123">
        <f>S$21*shipping_manufacturing!$D$28/100</f>
        <v>0</v>
      </c>
      <c r="T44" s="123">
        <f>T$21*shipping_manufacturing!$D$28/100</f>
        <v>0</v>
      </c>
      <c r="U44" s="123">
        <f>U$21*shipping_manufacturing!$D$28/100</f>
        <v>0</v>
      </c>
      <c r="V44" s="123">
        <f>V$21*shipping_manufacturing!$D$28/100</f>
        <v>0</v>
      </c>
      <c r="W44" s="123">
        <f>W$21*shipping_manufacturing!$D$28/100</f>
        <v>0</v>
      </c>
      <c r="X44" s="123">
        <f>X$21*shipping_manufacturing!$D$28/100</f>
        <v>0</v>
      </c>
      <c r="Y44" s="123">
        <f>Y$21*shipping_manufacturing!$D$28/100</f>
        <v>0</v>
      </c>
      <c r="Z44" s="123">
        <f>Z$21*shipping_manufacturing!$D$28/100</f>
        <v>0</v>
      </c>
      <c r="AA44" s="123">
        <f>AA$21*shipping_manufacturing!$D$28/100</f>
        <v>0</v>
      </c>
      <c r="AB44" s="123">
        <f>AB$21*shipping_manufacturing!$D$28/100</f>
        <v>0</v>
      </c>
      <c r="AC44" s="123">
        <f>AC$21*shipping_manufacturing!$D$28/100</f>
        <v>0</v>
      </c>
      <c r="AD44" s="123">
        <f>AD$21*shipping_manufacturing!$D$28/100</f>
        <v>0</v>
      </c>
      <c r="AE44" s="123">
        <f>AE$21*shipping_manufacturing!$D$28/100</f>
        <v>0</v>
      </c>
      <c r="AF44" s="123">
        <f>AF$21*shipping_manufacturing!$D$28/100</f>
        <v>0</v>
      </c>
      <c r="AG44" s="123">
        <f>AG$21*shipping_manufacturing!$D$28/100</f>
        <v>0</v>
      </c>
      <c r="AH44" s="123">
        <f>AH$21*shipping_manufacturing!$D$28/100</f>
        <v>0</v>
      </c>
      <c r="AI44" s="123">
        <f>AI$21*shipping_manufacturing!$D$28/100</f>
        <v>0</v>
      </c>
      <c r="AJ44" s="123">
        <f>AJ$21*shipping_manufacturing!$D$28/100</f>
        <v>0</v>
      </c>
      <c r="AK44" s="123">
        <f>AK$21*shipping_manufacturing!$D$28/100</f>
        <v>0</v>
      </c>
      <c r="AL44" s="123">
        <f>AL$21*shipping_manufacturing!$D$28/100</f>
        <v>0</v>
      </c>
      <c r="AM44" s="123">
        <f>AM$21*shipping_manufacturing!$D$28/100</f>
        <v>0</v>
      </c>
      <c r="AN44" s="123">
        <f>AN$21*shipping_manufacturing!$D$28/100</f>
        <v>0</v>
      </c>
      <c r="AO44" s="123">
        <f>AO$21*shipping_manufacturing!$D$28/100</f>
        <v>0</v>
      </c>
      <c r="AP44" s="123">
        <f>AP$21*shipping_manufacturing!$D$28/100</f>
        <v>0</v>
      </c>
      <c r="AQ44" s="123">
        <f>AQ$21*shipping_manufacturing!$D$28/100</f>
        <v>0</v>
      </c>
      <c r="AR44" s="123">
        <f>AR$21*shipping_manufacturing!$D$28/100</f>
        <v>0</v>
      </c>
      <c r="AS44" s="123">
        <f>AS$21*shipping_manufacturing!$D$28/100</f>
        <v>0</v>
      </c>
      <c r="AT44" s="123">
        <f>AT$21*shipping_manufacturing!$D$28/100</f>
        <v>0</v>
      </c>
      <c r="AU44" s="123">
        <f>AU$21*shipping_manufacturing!$D$28/100</f>
        <v>0</v>
      </c>
      <c r="AV44" s="123">
        <f>AV$21*shipping_manufacturing!$D$28/100</f>
        <v>0</v>
      </c>
      <c r="AW44" s="123">
        <f>AW$21*shipping_manufacturing!$D$28/100</f>
        <v>0</v>
      </c>
      <c r="AX44" s="123">
        <f>AX$21*shipping_manufacturing!$D$28/100</f>
        <v>0</v>
      </c>
      <c r="AY44" s="123">
        <f>AY$21*shipping_manufacturing!$D$28/100</f>
        <v>0</v>
      </c>
    </row>
    <row r="45" spans="1:52">
      <c r="A45" s="112" t="s">
        <v>341</v>
      </c>
      <c r="B45" s="164" t="s">
        <v>343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>
      <c r="A46" s="109">
        <v>2334</v>
      </c>
      <c r="B46" s="164" t="s">
        <v>344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345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346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347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348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349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350</v>
      </c>
      <c r="C52" s="109"/>
      <c r="D52" s="109">
        <v>2</v>
      </c>
      <c r="E52" s="109">
        <v>2</v>
      </c>
      <c r="F52" s="109">
        <v>3</v>
      </c>
      <c r="G52" s="109">
        <v>2</v>
      </c>
      <c r="H52" s="109">
        <v>3</v>
      </c>
      <c r="I52" s="109">
        <v>3</v>
      </c>
      <c r="J52" s="109">
        <v>2</v>
      </c>
      <c r="K52" s="109">
        <v>3</v>
      </c>
      <c r="L52" s="109">
        <v>3</v>
      </c>
      <c r="M52" s="109">
        <v>3</v>
      </c>
      <c r="N52" s="109">
        <v>2</v>
      </c>
      <c r="O52" s="109">
        <v>2</v>
      </c>
      <c r="P52" s="109">
        <v>2</v>
      </c>
      <c r="Q52" s="109">
        <v>4</v>
      </c>
      <c r="R52" s="109">
        <v>2</v>
      </c>
      <c r="S52" s="109">
        <v>2</v>
      </c>
      <c r="T52" s="109">
        <v>2</v>
      </c>
      <c r="U52" s="109">
        <v>3</v>
      </c>
      <c r="V52" s="109">
        <v>2</v>
      </c>
      <c r="W52" s="109">
        <v>2</v>
      </c>
      <c r="X52" s="109">
        <v>3</v>
      </c>
      <c r="Y52" s="109">
        <v>2</v>
      </c>
      <c r="Z52" s="109">
        <v>2</v>
      </c>
      <c r="AA52" s="109">
        <v>3</v>
      </c>
      <c r="AB52" s="109">
        <v>2</v>
      </c>
      <c r="AC52" s="109">
        <v>2</v>
      </c>
      <c r="AD52" s="109">
        <v>2</v>
      </c>
      <c r="AE52" s="109">
        <v>3</v>
      </c>
      <c r="AF52" s="109">
        <v>2</v>
      </c>
      <c r="AG52" s="109">
        <v>3</v>
      </c>
      <c r="AH52" s="109">
        <v>2</v>
      </c>
      <c r="AI52" s="109">
        <v>4</v>
      </c>
      <c r="AJ52" s="109">
        <v>2</v>
      </c>
      <c r="AK52" s="109">
        <v>2</v>
      </c>
      <c r="AL52" s="109">
        <v>2</v>
      </c>
      <c r="AM52" s="109">
        <v>2</v>
      </c>
      <c r="AN52" s="109">
        <v>2</v>
      </c>
      <c r="AO52" s="109">
        <v>3</v>
      </c>
      <c r="AP52" s="109">
        <v>2</v>
      </c>
      <c r="AQ52" s="109">
        <v>2</v>
      </c>
      <c r="AR52" s="109">
        <v>2</v>
      </c>
      <c r="AS52" s="109">
        <v>2</v>
      </c>
      <c r="AT52" s="109">
        <v>2</v>
      </c>
      <c r="AU52" s="109">
        <v>2</v>
      </c>
      <c r="AV52" s="109">
        <v>2</v>
      </c>
      <c r="AW52" s="109">
        <v>3</v>
      </c>
      <c r="AX52" s="109">
        <v>3</v>
      </c>
      <c r="AY52" s="109">
        <v>4</v>
      </c>
    </row>
    <row r="53" spans="1:52">
      <c r="A53" s="109"/>
      <c r="B53" s="177" t="s">
        <v>351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09"/>
      <c r="B54" s="177" t="s">
        <v>352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>
      <c r="A55" s="134" t="s">
        <v>59</v>
      </c>
      <c r="B55" s="134" t="s">
        <v>342</v>
      </c>
      <c r="C55" s="123"/>
      <c r="D55" s="123">
        <f>D$21*shipping_manufacturing!$D$29/100</f>
        <v>0</v>
      </c>
      <c r="E55" s="123">
        <f>E$21*shipping_manufacturing!$D$29/100</f>
        <v>0</v>
      </c>
      <c r="F55" s="123">
        <f>F$21*shipping_manufacturing!$D$29/100</f>
        <v>0</v>
      </c>
      <c r="G55" s="123">
        <f>G$21*shipping_manufacturing!$D$29/100</f>
        <v>0</v>
      </c>
      <c r="H55" s="123">
        <f>H$21*shipping_manufacturing!$D$29/100</f>
        <v>0</v>
      </c>
      <c r="I55" s="123">
        <f>I$21*shipping_manufacturing!$D$29/100</f>
        <v>0</v>
      </c>
      <c r="J55" s="123">
        <f>J$21*shipping_manufacturing!$D$29/100</f>
        <v>0</v>
      </c>
      <c r="K55" s="123">
        <f>K$21*shipping_manufacturing!$D$29/100</f>
        <v>0</v>
      </c>
      <c r="L55" s="123">
        <f>L$21*shipping_manufacturing!$D$29/100</f>
        <v>0</v>
      </c>
      <c r="M55" s="123">
        <f>M$21*shipping_manufacturing!$D$29/100</f>
        <v>0</v>
      </c>
      <c r="N55" s="123">
        <f>N$21*shipping_manufacturing!$D$29/100</f>
        <v>0</v>
      </c>
      <c r="O55" s="123">
        <f>O$21*shipping_manufacturing!$D$29/100</f>
        <v>0</v>
      </c>
      <c r="P55" s="123">
        <f>P$21*shipping_manufacturing!$D$29/100</f>
        <v>0</v>
      </c>
      <c r="Q55" s="123">
        <f>Q$21*shipping_manufacturing!$D$29/100</f>
        <v>0</v>
      </c>
      <c r="R55" s="123">
        <f>R$21*shipping_manufacturing!$D$29/100</f>
        <v>0</v>
      </c>
      <c r="S55" s="123">
        <f>S$21*shipping_manufacturing!$D$29/100</f>
        <v>0</v>
      </c>
      <c r="T55" s="123">
        <f>T$21*shipping_manufacturing!$D$29/100</f>
        <v>0</v>
      </c>
      <c r="U55" s="123">
        <f>U$21*shipping_manufacturing!$D$29/100</f>
        <v>0</v>
      </c>
      <c r="V55" s="123">
        <f>V$21*shipping_manufacturing!$D$29/100</f>
        <v>0</v>
      </c>
      <c r="W55" s="123">
        <f>W$21*shipping_manufacturing!$D$29/100</f>
        <v>0</v>
      </c>
      <c r="X55" s="123">
        <f>X$21*shipping_manufacturing!$D$29/100</f>
        <v>0</v>
      </c>
      <c r="Y55" s="123">
        <f>Y$21*shipping_manufacturing!$D$29/100</f>
        <v>0</v>
      </c>
      <c r="Z55" s="123">
        <f>Z$21*shipping_manufacturing!$D$29/100</f>
        <v>0</v>
      </c>
      <c r="AA55" s="123">
        <f>AA$21*shipping_manufacturing!$D$29/100</f>
        <v>0</v>
      </c>
      <c r="AB55" s="123">
        <f>AB$21*shipping_manufacturing!$D$29/100</f>
        <v>0</v>
      </c>
      <c r="AC55" s="123">
        <f>AC$21*shipping_manufacturing!$D$29/100</f>
        <v>0</v>
      </c>
      <c r="AD55" s="123">
        <f>AD$21*shipping_manufacturing!$D$29/100</f>
        <v>0</v>
      </c>
      <c r="AE55" s="123">
        <f>AE$21*shipping_manufacturing!$D$29/100</f>
        <v>0</v>
      </c>
      <c r="AF55" s="123">
        <f>AF$21*shipping_manufacturing!$D$29/100</f>
        <v>0</v>
      </c>
      <c r="AG55" s="123">
        <f>AG$21*shipping_manufacturing!$D$29/100</f>
        <v>0</v>
      </c>
      <c r="AH55" s="123">
        <f>AH$21*shipping_manufacturing!$D$29/100</f>
        <v>0</v>
      </c>
      <c r="AI55" s="123">
        <f>AI$21*shipping_manufacturing!$D$29/100</f>
        <v>0</v>
      </c>
      <c r="AJ55" s="123">
        <f>AJ$21*shipping_manufacturing!$D$29/100</f>
        <v>0</v>
      </c>
      <c r="AK55" s="123">
        <f>AK$21*shipping_manufacturing!$D$29/100</f>
        <v>0</v>
      </c>
      <c r="AL55" s="123">
        <f>AL$21*shipping_manufacturing!$D$29/100</f>
        <v>0</v>
      </c>
      <c r="AM55" s="123">
        <f>AM$21*shipping_manufacturing!$D$29/100</f>
        <v>0</v>
      </c>
      <c r="AN55" s="123">
        <f>AN$21*shipping_manufacturing!$D$29/100</f>
        <v>0</v>
      </c>
      <c r="AO55" s="123">
        <f>AO$21*shipping_manufacturing!$D$29/100</f>
        <v>0</v>
      </c>
      <c r="AP55" s="123">
        <f>AP$21*shipping_manufacturing!$D$29/100</f>
        <v>0</v>
      </c>
      <c r="AQ55" s="123">
        <f>AQ$21*shipping_manufacturing!$D$29/100</f>
        <v>0</v>
      </c>
      <c r="AR55" s="123">
        <f>AR$21*shipping_manufacturing!$D$29/100</f>
        <v>0</v>
      </c>
      <c r="AS55" s="123">
        <f>AS$21*shipping_manufacturing!$D$29/100</f>
        <v>0</v>
      </c>
      <c r="AT55" s="123">
        <f>AT$21*shipping_manufacturing!$D$29/100</f>
        <v>0</v>
      </c>
      <c r="AU55" s="123">
        <f>AU$21*shipping_manufacturing!$D$29/100</f>
        <v>0</v>
      </c>
      <c r="AV55" s="123">
        <f>AV$21*shipping_manufacturing!$D$29/100</f>
        <v>0</v>
      </c>
      <c r="AW55" s="123">
        <f>AW$21*shipping_manufacturing!$D$29/100</f>
        <v>0</v>
      </c>
      <c r="AX55" s="123">
        <f>AX$21*shipping_manufacturing!$D$29/100</f>
        <v>0</v>
      </c>
      <c r="AY55" s="123">
        <f>AY$21*shipping_manufacturing!$D$29/100</f>
        <v>0</v>
      </c>
    </row>
    <row r="56" spans="1:52">
      <c r="A56" s="112" t="s">
        <v>341</v>
      </c>
      <c r="B56" s="164" t="s">
        <v>343</v>
      </c>
      <c r="C56" s="109"/>
      <c r="D56" s="109">
        <f>D$22*shipping_manufacturing!$E$29/100</f>
        <v>0</v>
      </c>
      <c r="E56" s="109">
        <f>E$22*shipping_manufacturing!$E$29/100</f>
        <v>0</v>
      </c>
      <c r="F56" s="109">
        <f>F$22*shipping_manufacturing!$E$29/100</f>
        <v>0</v>
      </c>
      <c r="G56" s="109">
        <f>G$22*shipping_manufacturing!$E$29/100</f>
        <v>0</v>
      </c>
      <c r="H56" s="109">
        <f>H$22*shipping_manufacturing!$E$29/100</f>
        <v>0</v>
      </c>
      <c r="I56" s="109">
        <f>I$22*shipping_manufacturing!$E$29/100</f>
        <v>0</v>
      </c>
      <c r="J56" s="109">
        <f>J$22*shipping_manufacturing!$E$29/100</f>
        <v>0</v>
      </c>
      <c r="K56" s="109">
        <f>K$22*shipping_manufacturing!$E$29/100</f>
        <v>0</v>
      </c>
      <c r="L56" s="109">
        <f>L$22*shipping_manufacturing!$E$29/100</f>
        <v>0</v>
      </c>
      <c r="M56" s="109">
        <f>M$22*shipping_manufacturing!$E$29/100</f>
        <v>0</v>
      </c>
      <c r="N56" s="109">
        <f>N$22*shipping_manufacturing!$E$29/100</f>
        <v>0</v>
      </c>
      <c r="O56" s="109">
        <f>O$22*shipping_manufacturing!$E$29/100</f>
        <v>0</v>
      </c>
      <c r="P56" s="109">
        <f>P$22*shipping_manufacturing!$E$29/100</f>
        <v>0</v>
      </c>
      <c r="Q56" s="109">
        <f>Q$22*shipping_manufacturing!$E$29/100</f>
        <v>0</v>
      </c>
      <c r="R56" s="109">
        <f>R$22*shipping_manufacturing!$E$29/100</f>
        <v>0</v>
      </c>
      <c r="S56" s="109">
        <f>S$22*shipping_manufacturing!$E$29/100</f>
        <v>0</v>
      </c>
      <c r="T56" s="109">
        <f>T$22*shipping_manufacturing!$E$29/100</f>
        <v>0</v>
      </c>
      <c r="U56" s="109">
        <f>U$22*shipping_manufacturing!$E$29/100</f>
        <v>0</v>
      </c>
      <c r="V56" s="109">
        <f>V$22*shipping_manufacturing!$E$29/100</f>
        <v>0</v>
      </c>
      <c r="W56" s="109">
        <f>W$22*shipping_manufacturing!$E$29/100</f>
        <v>0</v>
      </c>
      <c r="X56" s="109">
        <f>X$22*shipping_manufacturing!$E$29/100</f>
        <v>0</v>
      </c>
      <c r="Y56" s="109">
        <f>Y$22*shipping_manufacturing!$E$29/100</f>
        <v>0</v>
      </c>
      <c r="Z56" s="109">
        <f>Z$22*shipping_manufacturing!$E$29/100</f>
        <v>0</v>
      </c>
      <c r="AA56" s="109">
        <f>AA$22*shipping_manufacturing!$E$29/100</f>
        <v>0</v>
      </c>
      <c r="AB56" s="109">
        <f>AB$22*shipping_manufacturing!$E$29/100</f>
        <v>0</v>
      </c>
      <c r="AC56" s="109">
        <f>AC$22*shipping_manufacturing!$E$29/100</f>
        <v>0</v>
      </c>
      <c r="AD56" s="109">
        <f>AD$22*shipping_manufacturing!$E$29/100</f>
        <v>0</v>
      </c>
      <c r="AE56" s="109">
        <f>AE$22*shipping_manufacturing!$E$29/100</f>
        <v>0</v>
      </c>
      <c r="AF56" s="109">
        <f>AF$22*shipping_manufacturing!$E$29/100</f>
        <v>0</v>
      </c>
      <c r="AG56" s="109">
        <f>AG$22*shipping_manufacturing!$E$29/100</f>
        <v>0</v>
      </c>
      <c r="AH56" s="109">
        <f>AH$22*shipping_manufacturing!$E$29/100</f>
        <v>0</v>
      </c>
      <c r="AI56" s="109">
        <f>AI$22*shipping_manufacturing!$E$29/100</f>
        <v>0</v>
      </c>
      <c r="AJ56" s="109">
        <f>AJ$22*shipping_manufacturing!$E$29/100</f>
        <v>0</v>
      </c>
      <c r="AK56" s="109">
        <f>AK$22*shipping_manufacturing!$E$29/100</f>
        <v>0</v>
      </c>
      <c r="AL56" s="109">
        <f>AL$22*shipping_manufacturing!$E$29/100</f>
        <v>0</v>
      </c>
      <c r="AM56" s="109">
        <f>AM$22*shipping_manufacturing!$E$29/100</f>
        <v>0</v>
      </c>
      <c r="AN56" s="109">
        <f>AN$22*shipping_manufacturing!$E$29/100</f>
        <v>0</v>
      </c>
      <c r="AO56" s="109">
        <f>AO$22*shipping_manufacturing!$E$29/100</f>
        <v>0</v>
      </c>
      <c r="AP56" s="109">
        <f>AP$22*shipping_manufacturing!$E$29/100</f>
        <v>0</v>
      </c>
      <c r="AQ56" s="109">
        <f>AQ$22*shipping_manufacturing!$E$29/100</f>
        <v>0</v>
      </c>
      <c r="AR56" s="109">
        <f>AR$22*shipping_manufacturing!$E$29/100</f>
        <v>0</v>
      </c>
      <c r="AS56" s="109">
        <f>AS$22*shipping_manufacturing!$E$29/100</f>
        <v>0</v>
      </c>
      <c r="AT56" s="109">
        <f>AT$22*shipping_manufacturing!$E$29/100</f>
        <v>0</v>
      </c>
      <c r="AU56" s="109">
        <f>AU$22*shipping_manufacturing!$E$29/100</f>
        <v>0</v>
      </c>
      <c r="AV56" s="109">
        <f>AV$22*shipping_manufacturing!$E$29/100</f>
        <v>0</v>
      </c>
      <c r="AW56" s="109">
        <f>AW$22*shipping_manufacturing!$E$29/100</f>
        <v>0</v>
      </c>
      <c r="AX56" s="109">
        <f>AX$22*shipping_manufacturing!$E$29/100</f>
        <v>0</v>
      </c>
      <c r="AY56" s="109">
        <f>AY$22*shipping_manufacturing!$E$29/100</f>
        <v>0</v>
      </c>
    </row>
    <row r="57" spans="1:52">
      <c r="A57" s="109">
        <v>718</v>
      </c>
      <c r="B57" s="164" t="s">
        <v>344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>
      <c r="A58" s="109"/>
      <c r="B58" s="164" t="s">
        <v>345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>
      <c r="A59" s="109"/>
      <c r="B59" s="164" t="s">
        <v>346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>
      <c r="A60" s="109"/>
      <c r="B60" s="164" t="s">
        <v>347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>
      <c r="A61" s="109"/>
      <c r="B61" s="164" t="s">
        <v>348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>
      <c r="A62" s="109"/>
      <c r="B62" s="164" t="s">
        <v>349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>
      <c r="A63" s="109"/>
      <c r="B63" s="164" t="s">
        <v>350</v>
      </c>
      <c r="C63" s="109"/>
      <c r="D63" s="109">
        <v>1</v>
      </c>
      <c r="E63" s="109">
        <v>1</v>
      </c>
      <c r="F63" s="109">
        <v>1</v>
      </c>
      <c r="G63" s="109">
        <v>1</v>
      </c>
      <c r="H63" s="109">
        <v>2</v>
      </c>
      <c r="I63" s="109">
        <v>1</v>
      </c>
      <c r="J63" s="109">
        <v>2</v>
      </c>
      <c r="K63" s="109">
        <v>1</v>
      </c>
      <c r="L63" s="109">
        <v>1</v>
      </c>
      <c r="M63" s="109">
        <v>1</v>
      </c>
      <c r="N63" s="109">
        <v>2</v>
      </c>
      <c r="O63" s="109">
        <v>1</v>
      </c>
      <c r="P63" s="109">
        <v>1</v>
      </c>
      <c r="Q63" s="109">
        <v>2</v>
      </c>
      <c r="R63" s="109">
        <v>1</v>
      </c>
      <c r="S63" s="109">
        <v>1</v>
      </c>
      <c r="T63" s="109">
        <v>1</v>
      </c>
      <c r="U63" s="109">
        <v>2</v>
      </c>
      <c r="V63" s="109">
        <v>1</v>
      </c>
      <c r="W63" s="109">
        <v>1</v>
      </c>
      <c r="X63" s="109">
        <v>1</v>
      </c>
      <c r="Y63" s="109">
        <v>1</v>
      </c>
      <c r="Z63" s="109">
        <v>2</v>
      </c>
      <c r="AA63" s="109">
        <v>1</v>
      </c>
      <c r="AB63" s="109">
        <v>2</v>
      </c>
      <c r="AC63" s="109">
        <v>1</v>
      </c>
      <c r="AD63" s="109">
        <v>1</v>
      </c>
      <c r="AE63" s="109">
        <v>1</v>
      </c>
      <c r="AF63" s="109">
        <v>1</v>
      </c>
      <c r="AG63" s="109">
        <v>1</v>
      </c>
      <c r="AH63" s="109">
        <v>3</v>
      </c>
      <c r="AI63" s="109">
        <v>2</v>
      </c>
      <c r="AJ63" s="109">
        <v>1</v>
      </c>
      <c r="AK63" s="109">
        <v>1</v>
      </c>
      <c r="AL63" s="109">
        <v>3</v>
      </c>
      <c r="AM63" s="109">
        <v>1</v>
      </c>
      <c r="AN63" s="109">
        <v>2</v>
      </c>
      <c r="AO63" s="109">
        <v>3</v>
      </c>
      <c r="AP63" s="109">
        <v>1</v>
      </c>
      <c r="AQ63" s="109">
        <v>2</v>
      </c>
      <c r="AR63" s="109">
        <v>1</v>
      </c>
      <c r="AS63" s="109">
        <v>3</v>
      </c>
      <c r="AT63" s="109">
        <v>1</v>
      </c>
      <c r="AU63" s="109">
        <v>1</v>
      </c>
      <c r="AV63" s="109">
        <v>1</v>
      </c>
      <c r="AW63" s="109">
        <v>1</v>
      </c>
      <c r="AX63" s="109">
        <v>1</v>
      </c>
      <c r="AY63" s="109">
        <v>3</v>
      </c>
    </row>
    <row r="64" spans="1:52">
      <c r="A64" s="109"/>
      <c r="B64" s="177" t="s">
        <v>351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>
      <c r="A65" s="124"/>
      <c r="B65" s="139" t="s">
        <v>352</v>
      </c>
      <c r="C65" s="124"/>
      <c r="D65" s="124">
        <v>0</v>
      </c>
      <c r="E65" s="124">
        <v>0</v>
      </c>
      <c r="F65" s="124">
        <v>0</v>
      </c>
      <c r="G65" s="124">
        <v>0</v>
      </c>
      <c r="H65" s="124">
        <v>0</v>
      </c>
      <c r="I65" s="124">
        <v>0</v>
      </c>
      <c r="J65" s="124">
        <v>0</v>
      </c>
      <c r="K65" s="124">
        <v>0</v>
      </c>
      <c r="L65" s="124">
        <v>0</v>
      </c>
      <c r="M65" s="124">
        <v>0</v>
      </c>
      <c r="N65" s="124">
        <v>0</v>
      </c>
      <c r="O65" s="124">
        <v>0</v>
      </c>
      <c r="P65" s="124">
        <v>0</v>
      </c>
      <c r="Q65" s="124">
        <v>0</v>
      </c>
      <c r="R65" s="124">
        <v>0</v>
      </c>
      <c r="S65" s="124">
        <v>0</v>
      </c>
      <c r="T65" s="124">
        <v>0</v>
      </c>
      <c r="U65" s="124">
        <v>0</v>
      </c>
      <c r="V65" s="124">
        <v>0</v>
      </c>
      <c r="W65" s="124">
        <v>0</v>
      </c>
      <c r="X65" s="124">
        <v>0</v>
      </c>
      <c r="Y65" s="124">
        <v>0</v>
      </c>
      <c r="Z65" s="124">
        <v>0</v>
      </c>
      <c r="AA65" s="124">
        <v>0</v>
      </c>
      <c r="AB65" s="124">
        <v>0</v>
      </c>
      <c r="AC65" s="124">
        <v>0</v>
      </c>
      <c r="AD65" s="124">
        <v>0</v>
      </c>
      <c r="AE65" s="124">
        <v>0</v>
      </c>
      <c r="AF65" s="124">
        <v>0</v>
      </c>
      <c r="AG65" s="124">
        <v>0</v>
      </c>
      <c r="AH65" s="124">
        <v>0</v>
      </c>
      <c r="AI65" s="124">
        <v>0</v>
      </c>
      <c r="AJ65" s="124">
        <v>0</v>
      </c>
      <c r="AK65" s="124">
        <v>0</v>
      </c>
      <c r="AL65" s="124">
        <v>0</v>
      </c>
      <c r="AM65" s="124">
        <v>0</v>
      </c>
      <c r="AN65" s="124">
        <v>0</v>
      </c>
      <c r="AO65" s="124">
        <v>0</v>
      </c>
      <c r="AP65" s="124">
        <v>0</v>
      </c>
      <c r="AQ65" s="124">
        <v>0</v>
      </c>
      <c r="AR65" s="124">
        <v>0</v>
      </c>
      <c r="AS65" s="124">
        <v>0</v>
      </c>
      <c r="AT65" s="124">
        <v>0</v>
      </c>
      <c r="AU65" s="124">
        <v>0</v>
      </c>
      <c r="AV65" s="124">
        <v>0</v>
      </c>
      <c r="AW65" s="124">
        <v>0</v>
      </c>
      <c r="AX65" s="124">
        <v>0</v>
      </c>
      <c r="AY65" s="124">
        <v>0</v>
      </c>
      <c r="AZ65" s="99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10</v>
      </c>
      <c r="E2" s="109"/>
    </row>
    <row r="3" spans="1:52">
      <c r="A3" s="99" t="s">
        <v>286</v>
      </c>
      <c r="B3" s="106">
        <v>500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500.00010671321104</v>
      </c>
      <c r="E7" s="143">
        <v>500.00010671321104</v>
      </c>
      <c r="F7" s="143">
        <v>500.00010671321104</v>
      </c>
      <c r="G7" s="143">
        <v>500.00010671321104</v>
      </c>
      <c r="H7" s="143">
        <v>500.00010671321104</v>
      </c>
      <c r="I7" s="143">
        <v>500.00010671321104</v>
      </c>
      <c r="J7" s="143">
        <v>500.00010671321104</v>
      </c>
      <c r="K7" s="143">
        <v>500.00010671321104</v>
      </c>
      <c r="L7" s="143">
        <v>500.00010671321104</v>
      </c>
      <c r="M7" s="143">
        <v>500.00010671321104</v>
      </c>
      <c r="N7" s="143">
        <v>500.00010671321104</v>
      </c>
      <c r="O7" s="143">
        <v>500.00010671321104</v>
      </c>
      <c r="P7" s="143">
        <v>500.00010671321104</v>
      </c>
      <c r="Q7" s="143">
        <v>500.00010671321104</v>
      </c>
      <c r="R7" s="143">
        <v>500.00010671321104</v>
      </c>
      <c r="S7" s="143">
        <v>500.00010671321104</v>
      </c>
      <c r="T7" s="143">
        <v>500.00010671321104</v>
      </c>
      <c r="U7" s="143">
        <v>500.00010671321104</v>
      </c>
      <c r="V7" s="143">
        <v>500.00010671321104</v>
      </c>
      <c r="W7" s="143">
        <v>500.00010671321104</v>
      </c>
      <c r="X7" s="143">
        <v>500.00010671321104</v>
      </c>
      <c r="Y7" s="143">
        <v>500.00010671321104</v>
      </c>
      <c r="Z7" s="143">
        <v>500.00010671321104</v>
      </c>
      <c r="AA7" s="143">
        <v>500.00010671321104</v>
      </c>
      <c r="AB7" s="143">
        <v>500.00010671321104</v>
      </c>
      <c r="AC7" s="143">
        <v>500.00010671321104</v>
      </c>
      <c r="AD7" s="143">
        <v>500.00010671321104</v>
      </c>
      <c r="AE7" s="143">
        <v>500.00010671321104</v>
      </c>
      <c r="AF7" s="143">
        <v>500.00010671321104</v>
      </c>
      <c r="AG7" s="143">
        <v>500.00010671321104</v>
      </c>
      <c r="AH7" s="143">
        <v>500.00010671321104</v>
      </c>
      <c r="AI7" s="143">
        <v>500.00010671321104</v>
      </c>
      <c r="AJ7" s="143">
        <v>500.00010671321104</v>
      </c>
      <c r="AK7" s="143">
        <v>500.00010671321104</v>
      </c>
      <c r="AL7" s="143">
        <v>500.00010671321104</v>
      </c>
      <c r="AM7" s="143">
        <v>500.00010671321104</v>
      </c>
      <c r="AN7" s="143">
        <v>400.00008537056885</v>
      </c>
      <c r="AO7" s="143">
        <v>400.00008537056885</v>
      </c>
      <c r="AP7" s="143">
        <v>400.00008537056885</v>
      </c>
      <c r="AQ7" s="143">
        <v>400.00008537056885</v>
      </c>
      <c r="AR7" s="143">
        <v>500.00010671321104</v>
      </c>
      <c r="AS7" s="143">
        <v>500.00010671321104</v>
      </c>
      <c r="AT7" s="143">
        <v>500.00010671321104</v>
      </c>
      <c r="AU7" s="143">
        <v>500.00010671321104</v>
      </c>
      <c r="AV7" s="143">
        <v>500.00010671321104</v>
      </c>
      <c r="AW7" s="143">
        <v>500.00010671321104</v>
      </c>
      <c r="AX7" s="143">
        <v>500.00010671321104</v>
      </c>
      <c r="AY7" s="143">
        <v>500.00010671321104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1.0671321103927767E-4</v>
      </c>
      <c r="E10" s="143">
        <f t="shared" si="0"/>
        <v>1.0671321103927767E-4</v>
      </c>
      <c r="F10" s="143">
        <f t="shared" si="0"/>
        <v>1.0671321103927767E-4</v>
      </c>
      <c r="G10" s="143">
        <f t="shared" si="0"/>
        <v>1.0671321103927767E-4</v>
      </c>
      <c r="H10" s="143">
        <f t="shared" si="0"/>
        <v>1.0671321103927767E-4</v>
      </c>
      <c r="I10" s="143">
        <f t="shared" si="0"/>
        <v>1.0671321103927767E-4</v>
      </c>
      <c r="J10" s="143">
        <f t="shared" si="0"/>
        <v>1.0671321103927767E-4</v>
      </c>
      <c r="K10" s="143">
        <f t="shared" si="0"/>
        <v>1.0671321103927767E-4</v>
      </c>
      <c r="L10" s="143">
        <f t="shared" si="0"/>
        <v>1.0671321103927767E-4</v>
      </c>
      <c r="M10" s="143">
        <f t="shared" si="0"/>
        <v>1.0671321103927767E-4</v>
      </c>
      <c r="N10" s="143">
        <f t="shared" si="0"/>
        <v>1.0671321103927767E-4</v>
      </c>
      <c r="O10" s="143">
        <f t="shared" si="0"/>
        <v>1.0671321103927767E-4</v>
      </c>
      <c r="P10" s="143">
        <f t="shared" si="0"/>
        <v>1.0671321103927767E-4</v>
      </c>
      <c r="Q10" s="143">
        <f t="shared" si="0"/>
        <v>1.0671321103927767E-4</v>
      </c>
      <c r="R10" s="143">
        <f t="shared" si="0"/>
        <v>1.0671321103927767E-4</v>
      </c>
      <c r="S10" s="143">
        <f t="shared" si="0"/>
        <v>1.0671321103927767E-4</v>
      </c>
      <c r="T10" s="143">
        <f t="shared" si="0"/>
        <v>1.0671321103927767E-4</v>
      </c>
      <c r="U10" s="143">
        <f t="shared" si="0"/>
        <v>1.0671321103927767E-4</v>
      </c>
      <c r="V10" s="143">
        <f t="shared" si="0"/>
        <v>1.0671321103927767E-4</v>
      </c>
      <c r="W10" s="143">
        <f t="shared" si="0"/>
        <v>1.0671321103927767E-4</v>
      </c>
      <c r="X10" s="143">
        <f t="shared" si="0"/>
        <v>1.0671321103927767E-4</v>
      </c>
      <c r="Y10" s="143">
        <f t="shared" si="0"/>
        <v>1.0671321103927767E-4</v>
      </c>
      <c r="Z10" s="143">
        <f t="shared" si="0"/>
        <v>1.0671321103927767E-4</v>
      </c>
      <c r="AA10" s="143">
        <f t="shared" si="0"/>
        <v>1.0671321103927767E-4</v>
      </c>
      <c r="AB10" s="143">
        <f t="shared" si="0"/>
        <v>1.0671321103927767E-4</v>
      </c>
      <c r="AC10" s="143">
        <f t="shared" si="0"/>
        <v>1.0671321103927767E-4</v>
      </c>
      <c r="AD10" s="143">
        <f t="shared" si="0"/>
        <v>1.0671321103927767E-4</v>
      </c>
      <c r="AE10" s="143">
        <f t="shared" si="0"/>
        <v>1.0671321103927767E-4</v>
      </c>
      <c r="AF10" s="143">
        <f t="shared" si="0"/>
        <v>1.0671321103927767E-4</v>
      </c>
      <c r="AG10" s="143">
        <f t="shared" si="0"/>
        <v>1.0671321103927767E-4</v>
      </c>
      <c r="AH10" s="143">
        <f t="shared" si="0"/>
        <v>1.0671321103927767E-4</v>
      </c>
      <c r="AI10" s="143">
        <f t="shared" si="0"/>
        <v>500.00010671321104</v>
      </c>
      <c r="AJ10" s="143">
        <f t="shared" si="0"/>
        <v>1.0671321103927767E-4</v>
      </c>
      <c r="AK10" s="143">
        <f t="shared" si="0"/>
        <v>1.0671321103927767E-4</v>
      </c>
      <c r="AL10" s="143">
        <f t="shared" si="0"/>
        <v>1.0671321103927767E-4</v>
      </c>
      <c r="AM10" s="143">
        <f t="shared" si="0"/>
        <v>1.0671321103927767E-4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1.0671321103927767E-4</v>
      </c>
      <c r="AS10" s="143">
        <f t="shared" si="0"/>
        <v>1.0671321103927767E-4</v>
      </c>
      <c r="AT10" s="143">
        <f t="shared" si="0"/>
        <v>1.0671321103927767E-4</v>
      </c>
      <c r="AU10" s="143">
        <f t="shared" si="0"/>
        <v>1.0671321103927767E-4</v>
      </c>
      <c r="AV10" s="143">
        <f t="shared" si="0"/>
        <v>1.0671321103927767E-4</v>
      </c>
      <c r="AW10" s="143">
        <f t="shared" si="0"/>
        <v>1.0671321103927767E-4</v>
      </c>
      <c r="AX10" s="143">
        <f t="shared" si="0"/>
        <v>1.0671321103927767E-4</v>
      </c>
      <c r="AY10" s="143">
        <f t="shared" si="0"/>
        <v>1.0671321103927767E-4</v>
      </c>
      <c r="AZ10" s="150">
        <f>SUM($D10:$AY10)</f>
        <v>500.00469538128573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404.96240339999997</v>
      </c>
      <c r="D13" s="137">
        <f t="shared" ref="D13:AY13" si="1">D$7-D$10</f>
        <v>500</v>
      </c>
      <c r="E13" s="137">
        <f t="shared" si="1"/>
        <v>500</v>
      </c>
      <c r="F13" s="137">
        <f t="shared" si="1"/>
        <v>500</v>
      </c>
      <c r="G13" s="137">
        <f t="shared" si="1"/>
        <v>500</v>
      </c>
      <c r="H13" s="137">
        <f t="shared" si="1"/>
        <v>500</v>
      </c>
      <c r="I13" s="137">
        <f t="shared" si="1"/>
        <v>500</v>
      </c>
      <c r="J13" s="137">
        <f t="shared" si="1"/>
        <v>500</v>
      </c>
      <c r="K13" s="137">
        <f t="shared" si="1"/>
        <v>500</v>
      </c>
      <c r="L13" s="137">
        <f t="shared" si="1"/>
        <v>500</v>
      </c>
      <c r="M13" s="137">
        <f t="shared" si="1"/>
        <v>500</v>
      </c>
      <c r="N13" s="137">
        <f t="shared" si="1"/>
        <v>500</v>
      </c>
      <c r="O13" s="137">
        <f t="shared" si="1"/>
        <v>500</v>
      </c>
      <c r="P13" s="137">
        <f t="shared" si="1"/>
        <v>500</v>
      </c>
      <c r="Q13" s="137">
        <f t="shared" si="1"/>
        <v>500</v>
      </c>
      <c r="R13" s="137">
        <f t="shared" si="1"/>
        <v>500</v>
      </c>
      <c r="S13" s="137">
        <f t="shared" si="1"/>
        <v>500</v>
      </c>
      <c r="T13" s="137">
        <f t="shared" si="1"/>
        <v>500</v>
      </c>
      <c r="U13" s="137">
        <f t="shared" si="1"/>
        <v>500</v>
      </c>
      <c r="V13" s="137">
        <f t="shared" si="1"/>
        <v>500</v>
      </c>
      <c r="W13" s="137">
        <f t="shared" si="1"/>
        <v>500</v>
      </c>
      <c r="X13" s="137">
        <f t="shared" si="1"/>
        <v>500</v>
      </c>
      <c r="Y13" s="137">
        <f t="shared" si="1"/>
        <v>500</v>
      </c>
      <c r="Z13" s="137">
        <f t="shared" si="1"/>
        <v>500</v>
      </c>
      <c r="AA13" s="137">
        <f t="shared" si="1"/>
        <v>500</v>
      </c>
      <c r="AB13" s="137">
        <f t="shared" si="1"/>
        <v>500</v>
      </c>
      <c r="AC13" s="137">
        <f t="shared" si="1"/>
        <v>500</v>
      </c>
      <c r="AD13" s="137">
        <f t="shared" si="1"/>
        <v>500</v>
      </c>
      <c r="AE13" s="137">
        <f t="shared" si="1"/>
        <v>500</v>
      </c>
      <c r="AF13" s="137">
        <f t="shared" si="1"/>
        <v>500</v>
      </c>
      <c r="AG13" s="137">
        <f t="shared" si="1"/>
        <v>500</v>
      </c>
      <c r="AH13" s="137">
        <f t="shared" si="1"/>
        <v>500</v>
      </c>
      <c r="AI13" s="137">
        <f t="shared" si="1"/>
        <v>0</v>
      </c>
      <c r="AJ13" s="137">
        <f t="shared" si="1"/>
        <v>500</v>
      </c>
      <c r="AK13" s="137">
        <f t="shared" si="1"/>
        <v>500</v>
      </c>
      <c r="AL13" s="137">
        <f t="shared" si="1"/>
        <v>500</v>
      </c>
      <c r="AM13" s="137">
        <f t="shared" si="1"/>
        <v>500</v>
      </c>
      <c r="AN13" s="137">
        <f t="shared" si="1"/>
        <v>400.00008537056885</v>
      </c>
      <c r="AO13" s="137">
        <f t="shared" si="1"/>
        <v>400.00008537056885</v>
      </c>
      <c r="AP13" s="137">
        <f t="shared" si="1"/>
        <v>400.00008537056885</v>
      </c>
      <c r="AQ13" s="137">
        <f t="shared" si="1"/>
        <v>400.00008537056885</v>
      </c>
      <c r="AR13" s="137">
        <f t="shared" si="1"/>
        <v>500</v>
      </c>
      <c r="AS13" s="137">
        <f t="shared" si="1"/>
        <v>500</v>
      </c>
      <c r="AT13" s="137">
        <f t="shared" si="1"/>
        <v>500</v>
      </c>
      <c r="AU13" s="137">
        <f t="shared" si="1"/>
        <v>500</v>
      </c>
      <c r="AV13" s="137">
        <f t="shared" si="1"/>
        <v>500</v>
      </c>
      <c r="AW13" s="137">
        <f t="shared" si="1"/>
        <v>500</v>
      </c>
      <c r="AX13" s="137">
        <f t="shared" si="1"/>
        <v>500</v>
      </c>
      <c r="AY13" s="137">
        <f t="shared" si="1"/>
        <v>500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500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 t="s">
        <v>340</v>
      </c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shipping_manufacturing!$E$19/100</f>
        <v>0.42759999999999998</v>
      </c>
      <c r="C21" s="155" t="s">
        <v>293</v>
      </c>
      <c r="D21" s="105">
        <f>IF(C$20="Yes",0,SUM(C$13:C$16)*$B$21)</f>
        <v>173.16192369383998</v>
      </c>
      <c r="E21" s="105">
        <f t="shared" ref="E21:AY21" si="3">IF(D$20="Yes",0,SUM(D$13:D$16)*$B$21)</f>
        <v>213.79999999999998</v>
      </c>
      <c r="F21" s="105">
        <f t="shared" si="3"/>
        <v>213.79999999999998</v>
      </c>
      <c r="G21" s="105">
        <f t="shared" si="3"/>
        <v>213.79999999999998</v>
      </c>
      <c r="H21" s="105">
        <f t="shared" si="3"/>
        <v>213.79999999999998</v>
      </c>
      <c r="I21" s="105">
        <f t="shared" si="3"/>
        <v>213.79999999999998</v>
      </c>
      <c r="J21" s="105">
        <f t="shared" si="3"/>
        <v>213.79999999999998</v>
      </c>
      <c r="K21" s="105">
        <f t="shared" si="3"/>
        <v>213.79999999999998</v>
      </c>
      <c r="L21" s="105">
        <f t="shared" si="3"/>
        <v>213.79999999999998</v>
      </c>
      <c r="M21" s="105">
        <f t="shared" si="3"/>
        <v>213.79999999999998</v>
      </c>
      <c r="N21" s="105">
        <f t="shared" si="3"/>
        <v>213.79999999999998</v>
      </c>
      <c r="O21" s="105">
        <f t="shared" si="3"/>
        <v>213.79999999999998</v>
      </c>
      <c r="P21" s="105">
        <f t="shared" si="3"/>
        <v>213.79999999999998</v>
      </c>
      <c r="Q21" s="105">
        <f t="shared" si="3"/>
        <v>213.79999999999998</v>
      </c>
      <c r="R21" s="105">
        <f t="shared" si="3"/>
        <v>213.79999999999998</v>
      </c>
      <c r="S21" s="105">
        <f t="shared" si="3"/>
        <v>213.79999999999998</v>
      </c>
      <c r="T21" s="105">
        <f t="shared" si="3"/>
        <v>213.79999999999998</v>
      </c>
      <c r="U21" s="105">
        <f t="shared" si="3"/>
        <v>213.79999999999998</v>
      </c>
      <c r="V21" s="105">
        <f t="shared" si="3"/>
        <v>213.79999999999998</v>
      </c>
      <c r="W21" s="105">
        <f t="shared" si="3"/>
        <v>213.79999999999998</v>
      </c>
      <c r="X21" s="105">
        <f t="shared" si="3"/>
        <v>213.79999999999998</v>
      </c>
      <c r="Y21" s="105">
        <f t="shared" si="3"/>
        <v>213.79999999999998</v>
      </c>
      <c r="Z21" s="105">
        <f t="shared" si="3"/>
        <v>213.79999999999998</v>
      </c>
      <c r="AA21" s="105">
        <f t="shared" si="3"/>
        <v>213.79999999999998</v>
      </c>
      <c r="AB21" s="105">
        <f t="shared" si="3"/>
        <v>213.79999999999998</v>
      </c>
      <c r="AC21" s="105">
        <f t="shared" si="3"/>
        <v>213.79999999999998</v>
      </c>
      <c r="AD21" s="105">
        <f t="shared" si="3"/>
        <v>213.79999999999998</v>
      </c>
      <c r="AE21" s="105">
        <f t="shared" si="3"/>
        <v>213.79999999999998</v>
      </c>
      <c r="AF21" s="105">
        <f t="shared" si="3"/>
        <v>213.79999999999998</v>
      </c>
      <c r="AG21" s="105">
        <f t="shared" si="3"/>
        <v>213.79999999999998</v>
      </c>
      <c r="AH21" s="105">
        <f t="shared" si="3"/>
        <v>213.79999999999998</v>
      </c>
      <c r="AI21" s="105">
        <f t="shared" si="3"/>
        <v>0</v>
      </c>
      <c r="AJ21" s="105">
        <f t="shared" si="3"/>
        <v>213.79999999999998</v>
      </c>
      <c r="AK21" s="105">
        <f t="shared" si="3"/>
        <v>213.79999999999998</v>
      </c>
      <c r="AL21" s="105">
        <f t="shared" si="3"/>
        <v>213.79999999999998</v>
      </c>
      <c r="AM21" s="105">
        <f t="shared" si="3"/>
        <v>213.79999999999998</v>
      </c>
      <c r="AN21" s="105">
        <f t="shared" si="3"/>
        <v>213.79999999999998</v>
      </c>
      <c r="AO21" s="105">
        <f t="shared" si="3"/>
        <v>171.04003650445523</v>
      </c>
      <c r="AP21" s="105">
        <f t="shared" si="3"/>
        <v>171.04003650445523</v>
      </c>
      <c r="AQ21" s="105">
        <f t="shared" si="3"/>
        <v>171.04003650445523</v>
      </c>
      <c r="AR21" s="105">
        <f t="shared" si="3"/>
        <v>171.04003650445523</v>
      </c>
      <c r="AS21" s="105">
        <f t="shared" si="3"/>
        <v>213.79999999999998</v>
      </c>
      <c r="AT21" s="105">
        <f t="shared" si="3"/>
        <v>213.79999999999998</v>
      </c>
      <c r="AU21" s="105">
        <f t="shared" si="3"/>
        <v>213.79999999999998</v>
      </c>
      <c r="AV21" s="105">
        <f t="shared" si="3"/>
        <v>213.79999999999998</v>
      </c>
      <c r="AW21" s="105">
        <f t="shared" si="3"/>
        <v>213.79999999999998</v>
      </c>
      <c r="AX21" s="105">
        <f t="shared" si="3"/>
        <v>213.79999999999998</v>
      </c>
      <c r="AY21" s="105">
        <f t="shared" si="3"/>
        <v>213.79999999999998</v>
      </c>
      <c r="AZ21" s="156">
        <f>SUM($D21:$AY21)</f>
        <v>9836.9220697116598</v>
      </c>
    </row>
    <row r="22" spans="1:52" s="109" customFormat="1">
      <c r="A22" s="157" t="s">
        <v>123</v>
      </c>
      <c r="B22" s="158">
        <f>1-$B$21</f>
        <v>0.57240000000000002</v>
      </c>
      <c r="C22" s="158" t="s">
        <v>293</v>
      </c>
      <c r="D22" s="113">
        <f>IF(C$20="Yes",0,SUM(C$13:C$16)*$B$22)</f>
        <v>231.80047970615999</v>
      </c>
      <c r="E22" s="113">
        <f t="shared" ref="E22:AY22" si="4">IF(D$20="Yes",0,SUM(D$13:D$16)*$B$22)</f>
        <v>286.2</v>
      </c>
      <c r="F22" s="113">
        <f t="shared" si="4"/>
        <v>286.2</v>
      </c>
      <c r="G22" s="113">
        <f t="shared" si="4"/>
        <v>286.2</v>
      </c>
      <c r="H22" s="113">
        <f t="shared" si="4"/>
        <v>286.2</v>
      </c>
      <c r="I22" s="113">
        <f t="shared" si="4"/>
        <v>286.2</v>
      </c>
      <c r="J22" s="113">
        <f t="shared" si="4"/>
        <v>286.2</v>
      </c>
      <c r="K22" s="113">
        <f t="shared" si="4"/>
        <v>286.2</v>
      </c>
      <c r="L22" s="113">
        <f t="shared" si="4"/>
        <v>286.2</v>
      </c>
      <c r="M22" s="113">
        <f t="shared" si="4"/>
        <v>286.2</v>
      </c>
      <c r="N22" s="113">
        <f t="shared" si="4"/>
        <v>286.2</v>
      </c>
      <c r="O22" s="113">
        <f t="shared" si="4"/>
        <v>286.2</v>
      </c>
      <c r="P22" s="113">
        <f t="shared" si="4"/>
        <v>286.2</v>
      </c>
      <c r="Q22" s="113">
        <f t="shared" si="4"/>
        <v>286.2</v>
      </c>
      <c r="R22" s="113">
        <f t="shared" si="4"/>
        <v>286.2</v>
      </c>
      <c r="S22" s="113">
        <f t="shared" si="4"/>
        <v>286.2</v>
      </c>
      <c r="T22" s="113">
        <f t="shared" si="4"/>
        <v>286.2</v>
      </c>
      <c r="U22" s="113">
        <f t="shared" si="4"/>
        <v>286.2</v>
      </c>
      <c r="V22" s="113">
        <f t="shared" si="4"/>
        <v>286.2</v>
      </c>
      <c r="W22" s="113">
        <f t="shared" si="4"/>
        <v>286.2</v>
      </c>
      <c r="X22" s="113">
        <f t="shared" si="4"/>
        <v>286.2</v>
      </c>
      <c r="Y22" s="113">
        <f t="shared" si="4"/>
        <v>286.2</v>
      </c>
      <c r="Z22" s="113">
        <f t="shared" si="4"/>
        <v>286.2</v>
      </c>
      <c r="AA22" s="113">
        <f t="shared" si="4"/>
        <v>286.2</v>
      </c>
      <c r="AB22" s="113">
        <f t="shared" si="4"/>
        <v>286.2</v>
      </c>
      <c r="AC22" s="113">
        <f t="shared" si="4"/>
        <v>286.2</v>
      </c>
      <c r="AD22" s="113">
        <f t="shared" si="4"/>
        <v>286.2</v>
      </c>
      <c r="AE22" s="113">
        <f t="shared" si="4"/>
        <v>286.2</v>
      </c>
      <c r="AF22" s="113">
        <f t="shared" si="4"/>
        <v>286.2</v>
      </c>
      <c r="AG22" s="113">
        <f t="shared" si="4"/>
        <v>286.2</v>
      </c>
      <c r="AH22" s="113">
        <f t="shared" si="4"/>
        <v>286.2</v>
      </c>
      <c r="AI22" s="113">
        <f t="shared" si="4"/>
        <v>0</v>
      </c>
      <c r="AJ22" s="113">
        <f t="shared" si="4"/>
        <v>286.2</v>
      </c>
      <c r="AK22" s="113">
        <f t="shared" si="4"/>
        <v>286.2</v>
      </c>
      <c r="AL22" s="113">
        <f t="shared" si="4"/>
        <v>286.2</v>
      </c>
      <c r="AM22" s="113">
        <f t="shared" si="4"/>
        <v>286.2</v>
      </c>
      <c r="AN22" s="113">
        <f t="shared" si="4"/>
        <v>286.2</v>
      </c>
      <c r="AO22" s="113">
        <f t="shared" si="4"/>
        <v>228.96004886611362</v>
      </c>
      <c r="AP22" s="113">
        <f t="shared" si="4"/>
        <v>228.96004886611362</v>
      </c>
      <c r="AQ22" s="113">
        <f t="shared" si="4"/>
        <v>228.96004886611362</v>
      </c>
      <c r="AR22" s="113">
        <f t="shared" si="4"/>
        <v>228.96004886611362</v>
      </c>
      <c r="AS22" s="113">
        <f t="shared" si="4"/>
        <v>286.2</v>
      </c>
      <c r="AT22" s="113">
        <f t="shared" si="4"/>
        <v>286.2</v>
      </c>
      <c r="AU22" s="113">
        <f t="shared" si="4"/>
        <v>286.2</v>
      </c>
      <c r="AV22" s="113">
        <f t="shared" si="4"/>
        <v>286.2</v>
      </c>
      <c r="AW22" s="113">
        <f t="shared" si="4"/>
        <v>286.2</v>
      </c>
      <c r="AX22" s="113">
        <f t="shared" si="4"/>
        <v>286.2</v>
      </c>
      <c r="AY22" s="113">
        <f t="shared" si="4"/>
        <v>286.2</v>
      </c>
      <c r="AZ22" s="140">
        <f t="shared" ref="AZ22:AZ30" si="5">SUM($D22:$AY22)</f>
        <v>13168.040675170625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346323.84738767997</v>
      </c>
      <c r="E23" s="99">
        <f t="shared" ref="E23:AY23" si="6">E$21*$B$23</f>
        <v>427599.99999999994</v>
      </c>
      <c r="F23" s="99">
        <f t="shared" si="6"/>
        <v>427599.99999999994</v>
      </c>
      <c r="G23" s="99">
        <f t="shared" si="6"/>
        <v>427599.99999999994</v>
      </c>
      <c r="H23" s="99">
        <f t="shared" si="6"/>
        <v>427599.99999999994</v>
      </c>
      <c r="I23" s="99">
        <f t="shared" si="6"/>
        <v>427599.99999999994</v>
      </c>
      <c r="J23" s="99">
        <f t="shared" si="6"/>
        <v>427599.99999999994</v>
      </c>
      <c r="K23" s="99">
        <f t="shared" si="6"/>
        <v>427599.99999999994</v>
      </c>
      <c r="L23" s="99">
        <f t="shared" si="6"/>
        <v>427599.99999999994</v>
      </c>
      <c r="M23" s="99">
        <f t="shared" si="6"/>
        <v>427599.99999999994</v>
      </c>
      <c r="N23" s="99">
        <f t="shared" si="6"/>
        <v>427599.99999999994</v>
      </c>
      <c r="O23" s="99">
        <f t="shared" si="6"/>
        <v>427599.99999999994</v>
      </c>
      <c r="P23" s="99">
        <f t="shared" si="6"/>
        <v>427599.99999999994</v>
      </c>
      <c r="Q23" s="99">
        <f t="shared" si="6"/>
        <v>427599.99999999994</v>
      </c>
      <c r="R23" s="99">
        <f t="shared" si="6"/>
        <v>427599.99999999994</v>
      </c>
      <c r="S23" s="99">
        <f t="shared" si="6"/>
        <v>427599.99999999994</v>
      </c>
      <c r="T23" s="99">
        <f t="shared" si="6"/>
        <v>427599.99999999994</v>
      </c>
      <c r="U23" s="99">
        <f t="shared" si="6"/>
        <v>427599.99999999994</v>
      </c>
      <c r="V23" s="99">
        <f t="shared" si="6"/>
        <v>427599.99999999994</v>
      </c>
      <c r="W23" s="99">
        <f t="shared" si="6"/>
        <v>427599.99999999994</v>
      </c>
      <c r="X23" s="99">
        <f t="shared" si="6"/>
        <v>427599.99999999994</v>
      </c>
      <c r="Y23" s="99">
        <f t="shared" si="6"/>
        <v>427599.99999999994</v>
      </c>
      <c r="Z23" s="99">
        <f t="shared" si="6"/>
        <v>427599.99999999994</v>
      </c>
      <c r="AA23" s="99">
        <f t="shared" si="6"/>
        <v>427599.99999999994</v>
      </c>
      <c r="AB23" s="99">
        <f t="shared" si="6"/>
        <v>427599.99999999994</v>
      </c>
      <c r="AC23" s="99">
        <f t="shared" si="6"/>
        <v>427599.99999999994</v>
      </c>
      <c r="AD23" s="99">
        <f t="shared" si="6"/>
        <v>427599.99999999994</v>
      </c>
      <c r="AE23" s="99">
        <f t="shared" si="6"/>
        <v>427599.99999999994</v>
      </c>
      <c r="AF23" s="99">
        <f t="shared" si="6"/>
        <v>427599.99999999994</v>
      </c>
      <c r="AG23" s="99">
        <f t="shared" si="6"/>
        <v>427599.99999999994</v>
      </c>
      <c r="AH23" s="99">
        <f t="shared" si="6"/>
        <v>427599.99999999994</v>
      </c>
      <c r="AI23" s="99">
        <f t="shared" si="6"/>
        <v>0</v>
      </c>
      <c r="AJ23" s="99">
        <f t="shared" si="6"/>
        <v>427599.99999999994</v>
      </c>
      <c r="AK23" s="99">
        <f t="shared" si="6"/>
        <v>427599.99999999994</v>
      </c>
      <c r="AL23" s="99">
        <f t="shared" si="6"/>
        <v>427599.99999999994</v>
      </c>
      <c r="AM23" s="99">
        <f t="shared" si="6"/>
        <v>427599.99999999994</v>
      </c>
      <c r="AN23" s="99">
        <f t="shared" si="6"/>
        <v>427599.99999999994</v>
      </c>
      <c r="AO23" s="99">
        <f t="shared" si="6"/>
        <v>342080.07300891046</v>
      </c>
      <c r="AP23" s="99">
        <f t="shared" si="6"/>
        <v>342080.07300891046</v>
      </c>
      <c r="AQ23" s="99">
        <f t="shared" si="6"/>
        <v>342080.07300891046</v>
      </c>
      <c r="AR23" s="99">
        <f t="shared" si="6"/>
        <v>342080.07300891046</v>
      </c>
      <c r="AS23" s="99">
        <f t="shared" si="6"/>
        <v>427599.99999999994</v>
      </c>
      <c r="AT23" s="99">
        <f t="shared" si="6"/>
        <v>427599.99999999994</v>
      </c>
      <c r="AU23" s="99">
        <f t="shared" si="6"/>
        <v>427599.99999999994</v>
      </c>
      <c r="AV23" s="99">
        <f t="shared" si="6"/>
        <v>427599.99999999994</v>
      </c>
      <c r="AW23" s="99">
        <f t="shared" si="6"/>
        <v>427599.99999999994</v>
      </c>
      <c r="AX23" s="99">
        <f t="shared" si="6"/>
        <v>427599.99999999994</v>
      </c>
      <c r="AY23" s="99">
        <f t="shared" si="6"/>
        <v>427599.99999999994</v>
      </c>
      <c r="AZ23" s="138">
        <f t="shared" si="5"/>
        <v>19673844.139423318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231800.47970616</v>
      </c>
      <c r="E24" s="105">
        <f t="shared" ref="E24:AY24" si="7">E$22*$B$24</f>
        <v>286200</v>
      </c>
      <c r="F24" s="105">
        <f t="shared" si="7"/>
        <v>286200</v>
      </c>
      <c r="G24" s="105">
        <f t="shared" si="7"/>
        <v>286200</v>
      </c>
      <c r="H24" s="105">
        <f t="shared" si="7"/>
        <v>286200</v>
      </c>
      <c r="I24" s="105">
        <f t="shared" si="7"/>
        <v>286200</v>
      </c>
      <c r="J24" s="105">
        <f t="shared" si="7"/>
        <v>286200</v>
      </c>
      <c r="K24" s="105">
        <f t="shared" si="7"/>
        <v>286200</v>
      </c>
      <c r="L24" s="105">
        <f t="shared" si="7"/>
        <v>286200</v>
      </c>
      <c r="M24" s="105">
        <f t="shared" si="7"/>
        <v>286200</v>
      </c>
      <c r="N24" s="105">
        <f t="shared" si="7"/>
        <v>286200</v>
      </c>
      <c r="O24" s="105">
        <f t="shared" si="7"/>
        <v>286200</v>
      </c>
      <c r="P24" s="105">
        <f t="shared" si="7"/>
        <v>286200</v>
      </c>
      <c r="Q24" s="105">
        <f t="shared" si="7"/>
        <v>286200</v>
      </c>
      <c r="R24" s="105">
        <f t="shared" si="7"/>
        <v>286200</v>
      </c>
      <c r="S24" s="105">
        <f t="shared" si="7"/>
        <v>286200</v>
      </c>
      <c r="T24" s="105">
        <f t="shared" si="7"/>
        <v>286200</v>
      </c>
      <c r="U24" s="105">
        <f t="shared" si="7"/>
        <v>286200</v>
      </c>
      <c r="V24" s="105">
        <f t="shared" si="7"/>
        <v>286200</v>
      </c>
      <c r="W24" s="105">
        <f t="shared" si="7"/>
        <v>286200</v>
      </c>
      <c r="X24" s="105">
        <f t="shared" si="7"/>
        <v>286200</v>
      </c>
      <c r="Y24" s="105">
        <f t="shared" si="7"/>
        <v>286200</v>
      </c>
      <c r="Z24" s="105">
        <f t="shared" si="7"/>
        <v>286200</v>
      </c>
      <c r="AA24" s="105">
        <f t="shared" si="7"/>
        <v>286200</v>
      </c>
      <c r="AB24" s="105">
        <f t="shared" si="7"/>
        <v>286200</v>
      </c>
      <c r="AC24" s="105">
        <f t="shared" si="7"/>
        <v>286200</v>
      </c>
      <c r="AD24" s="105">
        <f t="shared" si="7"/>
        <v>286200</v>
      </c>
      <c r="AE24" s="105">
        <f t="shared" si="7"/>
        <v>286200</v>
      </c>
      <c r="AF24" s="105">
        <f t="shared" si="7"/>
        <v>286200</v>
      </c>
      <c r="AG24" s="105">
        <f t="shared" si="7"/>
        <v>286200</v>
      </c>
      <c r="AH24" s="105">
        <f t="shared" si="7"/>
        <v>286200</v>
      </c>
      <c r="AI24" s="105">
        <f t="shared" si="7"/>
        <v>0</v>
      </c>
      <c r="AJ24" s="105">
        <f t="shared" si="7"/>
        <v>286200</v>
      </c>
      <c r="AK24" s="105">
        <f t="shared" si="7"/>
        <v>286200</v>
      </c>
      <c r="AL24" s="105">
        <f t="shared" si="7"/>
        <v>286200</v>
      </c>
      <c r="AM24" s="105">
        <f t="shared" si="7"/>
        <v>286200</v>
      </c>
      <c r="AN24" s="105">
        <f t="shared" si="7"/>
        <v>286200</v>
      </c>
      <c r="AO24" s="105">
        <f t="shared" si="7"/>
        <v>228960.04886611362</v>
      </c>
      <c r="AP24" s="105">
        <f t="shared" si="7"/>
        <v>228960.04886611362</v>
      </c>
      <c r="AQ24" s="105">
        <f t="shared" si="7"/>
        <v>228960.04886611362</v>
      </c>
      <c r="AR24" s="105">
        <f t="shared" si="7"/>
        <v>228960.04886611362</v>
      </c>
      <c r="AS24" s="105">
        <f t="shared" si="7"/>
        <v>286200</v>
      </c>
      <c r="AT24" s="105">
        <f t="shared" si="7"/>
        <v>286200</v>
      </c>
      <c r="AU24" s="105">
        <f t="shared" si="7"/>
        <v>286200</v>
      </c>
      <c r="AV24" s="105">
        <f t="shared" si="7"/>
        <v>286200</v>
      </c>
      <c r="AW24" s="105">
        <f t="shared" si="7"/>
        <v>286200</v>
      </c>
      <c r="AX24" s="105">
        <f t="shared" si="7"/>
        <v>286200</v>
      </c>
      <c r="AY24" s="105">
        <f t="shared" si="7"/>
        <v>286200</v>
      </c>
      <c r="AZ24" s="140">
        <f t="shared" si="5"/>
        <v>13168040.675170615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10</v>
      </c>
      <c r="D27" s="123">
        <f>C$27-C$28+C$29</f>
        <v>12</v>
      </c>
      <c r="E27" s="123">
        <f t="shared" ref="E27:AY27" si="8">D27-D28+D29</f>
        <v>10</v>
      </c>
      <c r="F27" s="123">
        <f t="shared" si="8"/>
        <v>12</v>
      </c>
      <c r="G27" s="123">
        <f t="shared" si="8"/>
        <v>10</v>
      </c>
      <c r="H27" s="123">
        <f t="shared" si="8"/>
        <v>12</v>
      </c>
      <c r="I27" s="123">
        <f t="shared" si="8"/>
        <v>10</v>
      </c>
      <c r="J27" s="123">
        <f t="shared" si="8"/>
        <v>12</v>
      </c>
      <c r="K27" s="123">
        <f t="shared" si="8"/>
        <v>10</v>
      </c>
      <c r="L27" s="123">
        <f t="shared" si="8"/>
        <v>12</v>
      </c>
      <c r="M27" s="123">
        <f t="shared" si="8"/>
        <v>10</v>
      </c>
      <c r="N27" s="123">
        <f t="shared" si="8"/>
        <v>12</v>
      </c>
      <c r="O27" s="123">
        <f t="shared" si="8"/>
        <v>10</v>
      </c>
      <c r="P27" s="123">
        <f t="shared" si="8"/>
        <v>12</v>
      </c>
      <c r="Q27" s="123">
        <f t="shared" si="8"/>
        <v>10</v>
      </c>
      <c r="R27" s="123">
        <f t="shared" si="8"/>
        <v>12</v>
      </c>
      <c r="S27" s="123">
        <f t="shared" si="8"/>
        <v>10</v>
      </c>
      <c r="T27" s="123">
        <f t="shared" si="8"/>
        <v>12</v>
      </c>
      <c r="U27" s="123">
        <f t="shared" si="8"/>
        <v>10</v>
      </c>
      <c r="V27" s="123">
        <f t="shared" si="8"/>
        <v>12</v>
      </c>
      <c r="W27" s="123">
        <f t="shared" si="8"/>
        <v>10</v>
      </c>
      <c r="X27" s="123">
        <f t="shared" si="8"/>
        <v>12</v>
      </c>
      <c r="Y27" s="123">
        <f t="shared" si="8"/>
        <v>10</v>
      </c>
      <c r="Z27" s="123">
        <f t="shared" si="8"/>
        <v>12</v>
      </c>
      <c r="AA27" s="123">
        <f t="shared" si="8"/>
        <v>10</v>
      </c>
      <c r="AB27" s="123">
        <f t="shared" si="8"/>
        <v>12</v>
      </c>
      <c r="AC27" s="123">
        <f t="shared" si="8"/>
        <v>10</v>
      </c>
      <c r="AD27" s="123">
        <f t="shared" si="8"/>
        <v>12</v>
      </c>
      <c r="AE27" s="123">
        <f t="shared" si="8"/>
        <v>10</v>
      </c>
      <c r="AF27" s="123">
        <f t="shared" si="8"/>
        <v>12</v>
      </c>
      <c r="AG27" s="123">
        <f t="shared" si="8"/>
        <v>10</v>
      </c>
      <c r="AH27" s="123">
        <f t="shared" si="8"/>
        <v>12</v>
      </c>
      <c r="AI27" s="123">
        <f t="shared" si="8"/>
        <v>10</v>
      </c>
      <c r="AJ27" s="123">
        <f t="shared" si="8"/>
        <v>22</v>
      </c>
      <c r="AK27" s="123">
        <f t="shared" si="8"/>
        <v>5</v>
      </c>
      <c r="AL27" s="123">
        <f t="shared" si="8"/>
        <v>17</v>
      </c>
      <c r="AM27" s="123">
        <f t="shared" si="8"/>
        <v>5</v>
      </c>
      <c r="AN27" s="123">
        <f t="shared" si="8"/>
        <v>17</v>
      </c>
      <c r="AO27" s="123">
        <f t="shared" si="8"/>
        <v>5</v>
      </c>
      <c r="AP27" s="123">
        <f t="shared" si="8"/>
        <v>17</v>
      </c>
      <c r="AQ27" s="123">
        <f t="shared" si="8"/>
        <v>8</v>
      </c>
      <c r="AR27" s="123">
        <f t="shared" si="8"/>
        <v>14</v>
      </c>
      <c r="AS27" s="123">
        <f t="shared" si="8"/>
        <v>8</v>
      </c>
      <c r="AT27" s="123">
        <f t="shared" si="8"/>
        <v>14</v>
      </c>
      <c r="AU27" s="123">
        <f t="shared" si="8"/>
        <v>8</v>
      </c>
      <c r="AV27" s="123">
        <f t="shared" si="8"/>
        <v>14</v>
      </c>
      <c r="AW27" s="123">
        <f t="shared" si="8"/>
        <v>8</v>
      </c>
      <c r="AX27" s="123">
        <f t="shared" si="8"/>
        <v>14</v>
      </c>
      <c r="AY27" s="163">
        <f t="shared" si="8"/>
        <v>8</v>
      </c>
      <c r="AZ27" s="105"/>
    </row>
    <row r="28" spans="1:52">
      <c r="B28" s="164" t="s">
        <v>310</v>
      </c>
      <c r="C28" s="109">
        <v>10</v>
      </c>
      <c r="D28" s="109">
        <v>12</v>
      </c>
      <c r="E28" s="109">
        <v>10</v>
      </c>
      <c r="F28" s="109">
        <v>12</v>
      </c>
      <c r="G28" s="109">
        <v>10</v>
      </c>
      <c r="H28" s="109">
        <v>12</v>
      </c>
      <c r="I28" s="109">
        <v>10</v>
      </c>
      <c r="J28" s="109">
        <v>12</v>
      </c>
      <c r="K28" s="109">
        <v>10</v>
      </c>
      <c r="L28" s="109">
        <v>12</v>
      </c>
      <c r="M28" s="109">
        <v>10</v>
      </c>
      <c r="N28" s="109">
        <v>12</v>
      </c>
      <c r="O28" s="109">
        <v>10</v>
      </c>
      <c r="P28" s="109">
        <v>12</v>
      </c>
      <c r="Q28" s="109">
        <v>10</v>
      </c>
      <c r="R28" s="109">
        <v>12</v>
      </c>
      <c r="S28" s="109">
        <v>10</v>
      </c>
      <c r="T28" s="109">
        <v>12</v>
      </c>
      <c r="U28" s="109">
        <v>10</v>
      </c>
      <c r="V28" s="109">
        <v>12</v>
      </c>
      <c r="W28" s="109">
        <v>10</v>
      </c>
      <c r="X28" s="109">
        <v>12</v>
      </c>
      <c r="Y28" s="109">
        <v>10</v>
      </c>
      <c r="Z28" s="109">
        <v>12</v>
      </c>
      <c r="AA28" s="109">
        <v>10</v>
      </c>
      <c r="AB28" s="109">
        <v>12</v>
      </c>
      <c r="AC28" s="109">
        <v>10</v>
      </c>
      <c r="AD28" s="109">
        <v>12</v>
      </c>
      <c r="AE28" s="109">
        <v>10</v>
      </c>
      <c r="AF28" s="109">
        <v>12</v>
      </c>
      <c r="AG28" s="109">
        <v>10</v>
      </c>
      <c r="AH28" s="109">
        <v>12</v>
      </c>
      <c r="AI28" s="109">
        <v>0</v>
      </c>
      <c r="AJ28" s="109">
        <v>17</v>
      </c>
      <c r="AK28" s="109">
        <v>5</v>
      </c>
      <c r="AL28" s="109">
        <v>17</v>
      </c>
      <c r="AM28" s="109">
        <v>5</v>
      </c>
      <c r="AN28" s="109">
        <v>17</v>
      </c>
      <c r="AO28" s="109">
        <v>5</v>
      </c>
      <c r="AP28" s="109">
        <v>14</v>
      </c>
      <c r="AQ28" s="109">
        <v>8</v>
      </c>
      <c r="AR28" s="109">
        <v>14</v>
      </c>
      <c r="AS28" s="109">
        <v>8</v>
      </c>
      <c r="AT28" s="109">
        <v>14</v>
      </c>
      <c r="AU28" s="109">
        <v>8</v>
      </c>
      <c r="AV28" s="109">
        <v>14</v>
      </c>
      <c r="AW28" s="109">
        <v>8</v>
      </c>
      <c r="AX28" s="109">
        <v>14</v>
      </c>
      <c r="AY28" s="165">
        <v>8</v>
      </c>
      <c r="AZ28" s="105"/>
    </row>
    <row r="29" spans="1:52">
      <c r="B29" s="135" t="s">
        <v>311</v>
      </c>
      <c r="C29" s="124">
        <v>12</v>
      </c>
      <c r="D29" s="124">
        <f>C$28</f>
        <v>10</v>
      </c>
      <c r="E29" s="124">
        <f t="shared" ref="E29:AY29" si="9">D$28</f>
        <v>12</v>
      </c>
      <c r="F29" s="124">
        <f t="shared" si="9"/>
        <v>10</v>
      </c>
      <c r="G29" s="124">
        <f t="shared" si="9"/>
        <v>12</v>
      </c>
      <c r="H29" s="124">
        <f t="shared" si="9"/>
        <v>10</v>
      </c>
      <c r="I29" s="124">
        <f t="shared" si="9"/>
        <v>12</v>
      </c>
      <c r="J29" s="124">
        <f t="shared" si="9"/>
        <v>10</v>
      </c>
      <c r="K29" s="124">
        <f t="shared" si="9"/>
        <v>12</v>
      </c>
      <c r="L29" s="124">
        <f t="shared" si="9"/>
        <v>10</v>
      </c>
      <c r="M29" s="124">
        <f t="shared" si="9"/>
        <v>12</v>
      </c>
      <c r="N29" s="124">
        <f t="shared" si="9"/>
        <v>10</v>
      </c>
      <c r="O29" s="124">
        <f t="shared" si="9"/>
        <v>12</v>
      </c>
      <c r="P29" s="124">
        <f t="shared" si="9"/>
        <v>10</v>
      </c>
      <c r="Q29" s="124">
        <f t="shared" si="9"/>
        <v>12</v>
      </c>
      <c r="R29" s="124">
        <f t="shared" si="9"/>
        <v>10</v>
      </c>
      <c r="S29" s="124">
        <f t="shared" si="9"/>
        <v>12</v>
      </c>
      <c r="T29" s="124">
        <f t="shared" si="9"/>
        <v>10</v>
      </c>
      <c r="U29" s="124">
        <f t="shared" si="9"/>
        <v>12</v>
      </c>
      <c r="V29" s="124">
        <f t="shared" si="9"/>
        <v>10</v>
      </c>
      <c r="W29" s="124">
        <f t="shared" si="9"/>
        <v>12</v>
      </c>
      <c r="X29" s="124">
        <f t="shared" si="9"/>
        <v>10</v>
      </c>
      <c r="Y29" s="124">
        <f t="shared" si="9"/>
        <v>12</v>
      </c>
      <c r="Z29" s="124">
        <f t="shared" si="9"/>
        <v>10</v>
      </c>
      <c r="AA29" s="124">
        <f t="shared" si="9"/>
        <v>12</v>
      </c>
      <c r="AB29" s="124">
        <f t="shared" si="9"/>
        <v>10</v>
      </c>
      <c r="AC29" s="124">
        <f t="shared" si="9"/>
        <v>12</v>
      </c>
      <c r="AD29" s="124">
        <f t="shared" si="9"/>
        <v>10</v>
      </c>
      <c r="AE29" s="124">
        <f t="shared" si="9"/>
        <v>12</v>
      </c>
      <c r="AF29" s="124">
        <f t="shared" si="9"/>
        <v>10</v>
      </c>
      <c r="AG29" s="124">
        <f t="shared" si="9"/>
        <v>12</v>
      </c>
      <c r="AH29" s="124">
        <f t="shared" si="9"/>
        <v>10</v>
      </c>
      <c r="AI29" s="124">
        <f t="shared" si="9"/>
        <v>12</v>
      </c>
      <c r="AJ29" s="124">
        <f t="shared" si="9"/>
        <v>0</v>
      </c>
      <c r="AK29" s="124">
        <f t="shared" si="9"/>
        <v>17</v>
      </c>
      <c r="AL29" s="124">
        <f t="shared" si="9"/>
        <v>5</v>
      </c>
      <c r="AM29" s="124">
        <f t="shared" si="9"/>
        <v>17</v>
      </c>
      <c r="AN29" s="124">
        <f t="shared" si="9"/>
        <v>5</v>
      </c>
      <c r="AO29" s="124">
        <f t="shared" si="9"/>
        <v>17</v>
      </c>
      <c r="AP29" s="124">
        <f t="shared" si="9"/>
        <v>5</v>
      </c>
      <c r="AQ29" s="124">
        <f t="shared" si="9"/>
        <v>14</v>
      </c>
      <c r="AR29" s="124">
        <f t="shared" si="9"/>
        <v>8</v>
      </c>
      <c r="AS29" s="124">
        <f t="shared" si="9"/>
        <v>14</v>
      </c>
      <c r="AT29" s="124">
        <f t="shared" si="9"/>
        <v>8</v>
      </c>
      <c r="AU29" s="124">
        <f t="shared" si="9"/>
        <v>14</v>
      </c>
      <c r="AV29" s="124">
        <f t="shared" si="9"/>
        <v>8</v>
      </c>
      <c r="AW29" s="124">
        <f t="shared" si="9"/>
        <v>14</v>
      </c>
      <c r="AX29" s="124">
        <f t="shared" si="9"/>
        <v>8</v>
      </c>
      <c r="AY29" s="166">
        <f t="shared" si="9"/>
        <v>14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120</v>
      </c>
      <c r="E30" s="116">
        <f t="shared" ref="E30:AY30" si="10">E$27*$B$30</f>
        <v>100</v>
      </c>
      <c r="F30" s="116">
        <f t="shared" si="10"/>
        <v>120</v>
      </c>
      <c r="G30" s="116">
        <f t="shared" si="10"/>
        <v>100</v>
      </c>
      <c r="H30" s="116">
        <f t="shared" si="10"/>
        <v>120</v>
      </c>
      <c r="I30" s="116">
        <f t="shared" si="10"/>
        <v>100</v>
      </c>
      <c r="J30" s="116">
        <f t="shared" si="10"/>
        <v>120</v>
      </c>
      <c r="K30" s="116">
        <f t="shared" si="10"/>
        <v>100</v>
      </c>
      <c r="L30" s="116">
        <f t="shared" si="10"/>
        <v>120</v>
      </c>
      <c r="M30" s="116">
        <f t="shared" si="10"/>
        <v>100</v>
      </c>
      <c r="N30" s="116">
        <f t="shared" si="10"/>
        <v>120</v>
      </c>
      <c r="O30" s="116">
        <f t="shared" si="10"/>
        <v>100</v>
      </c>
      <c r="P30" s="116">
        <f t="shared" si="10"/>
        <v>120</v>
      </c>
      <c r="Q30" s="116">
        <f t="shared" si="10"/>
        <v>100</v>
      </c>
      <c r="R30" s="116">
        <f>R$27*$B$30</f>
        <v>120</v>
      </c>
      <c r="S30" s="116">
        <f t="shared" si="10"/>
        <v>100</v>
      </c>
      <c r="T30" s="116">
        <f t="shared" si="10"/>
        <v>120</v>
      </c>
      <c r="U30" s="116">
        <f t="shared" si="10"/>
        <v>100</v>
      </c>
      <c r="V30" s="116">
        <f t="shared" si="10"/>
        <v>120</v>
      </c>
      <c r="W30" s="116">
        <f t="shared" si="10"/>
        <v>100</v>
      </c>
      <c r="X30" s="116">
        <f t="shared" si="10"/>
        <v>120</v>
      </c>
      <c r="Y30" s="116">
        <f t="shared" si="10"/>
        <v>100</v>
      </c>
      <c r="Z30" s="116">
        <f t="shared" si="10"/>
        <v>120</v>
      </c>
      <c r="AA30" s="116">
        <f t="shared" si="10"/>
        <v>100</v>
      </c>
      <c r="AB30" s="116">
        <f t="shared" si="10"/>
        <v>120</v>
      </c>
      <c r="AC30" s="116">
        <f t="shared" si="10"/>
        <v>100</v>
      </c>
      <c r="AD30" s="116">
        <f t="shared" si="10"/>
        <v>120</v>
      </c>
      <c r="AE30" s="116">
        <f>AE$27*$B$30</f>
        <v>100</v>
      </c>
      <c r="AF30" s="116">
        <f t="shared" si="10"/>
        <v>120</v>
      </c>
      <c r="AG30" s="116">
        <f t="shared" si="10"/>
        <v>100</v>
      </c>
      <c r="AH30" s="116">
        <f t="shared" si="10"/>
        <v>120</v>
      </c>
      <c r="AI30" s="116">
        <f t="shared" si="10"/>
        <v>100</v>
      </c>
      <c r="AJ30" s="116">
        <f t="shared" si="10"/>
        <v>220</v>
      </c>
      <c r="AK30" s="116">
        <f t="shared" si="10"/>
        <v>50</v>
      </c>
      <c r="AL30" s="116">
        <f t="shared" si="10"/>
        <v>170</v>
      </c>
      <c r="AM30" s="116">
        <f t="shared" si="10"/>
        <v>50</v>
      </c>
      <c r="AN30" s="116">
        <f t="shared" si="10"/>
        <v>170</v>
      </c>
      <c r="AO30" s="116">
        <f t="shared" si="10"/>
        <v>50</v>
      </c>
      <c r="AP30" s="116">
        <f t="shared" si="10"/>
        <v>170</v>
      </c>
      <c r="AQ30" s="116">
        <f t="shared" si="10"/>
        <v>80</v>
      </c>
      <c r="AR30" s="116">
        <f t="shared" si="10"/>
        <v>140</v>
      </c>
      <c r="AS30" s="116">
        <f t="shared" si="10"/>
        <v>80</v>
      </c>
      <c r="AT30" s="116">
        <f t="shared" si="10"/>
        <v>140</v>
      </c>
      <c r="AU30" s="116">
        <f t="shared" si="10"/>
        <v>80</v>
      </c>
      <c r="AV30" s="116">
        <f t="shared" si="10"/>
        <v>140</v>
      </c>
      <c r="AW30" s="116">
        <f t="shared" si="10"/>
        <v>80</v>
      </c>
      <c r="AX30" s="116">
        <f t="shared" si="10"/>
        <v>140</v>
      </c>
      <c r="AY30" s="116">
        <f t="shared" si="10"/>
        <v>80</v>
      </c>
      <c r="AZ30" s="140">
        <f t="shared" si="5"/>
        <v>5360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D$21*shipping_manufacturing!$F$27/100</f>
        <v>0</v>
      </c>
      <c r="E33" s="123">
        <f>E$21*shipping_manufacturing!$F$27/100</f>
        <v>0</v>
      </c>
      <c r="F33" s="123">
        <f>F$21*shipping_manufacturing!$F$27/100</f>
        <v>0</v>
      </c>
      <c r="G33" s="123">
        <f>G$21*shipping_manufacturing!$F$27/100</f>
        <v>0</v>
      </c>
      <c r="H33" s="123">
        <f>H$21*shipping_manufacturing!$F$27/100</f>
        <v>0</v>
      </c>
      <c r="I33" s="123">
        <f>I$21*shipping_manufacturing!$F$27/100</f>
        <v>0</v>
      </c>
      <c r="J33" s="123">
        <f>J$21*shipping_manufacturing!$F$27/100</f>
        <v>0</v>
      </c>
      <c r="K33" s="123">
        <f>K$21*shipping_manufacturing!$F$27/100</f>
        <v>0</v>
      </c>
      <c r="L33" s="123">
        <f>L$21*shipping_manufacturing!$F$27/100</f>
        <v>0</v>
      </c>
      <c r="M33" s="123">
        <f>M$21*shipping_manufacturing!$F$27/100</f>
        <v>0</v>
      </c>
      <c r="N33" s="123">
        <f>N$21*shipping_manufacturing!$F$27/100</f>
        <v>0</v>
      </c>
      <c r="O33" s="123">
        <f>O$21*shipping_manufacturing!$F$27/100</f>
        <v>0</v>
      </c>
      <c r="P33" s="123">
        <f>P$21*shipping_manufacturing!$F$27/100</f>
        <v>0</v>
      </c>
      <c r="Q33" s="123">
        <f>Q$21*shipping_manufacturing!$F$27/100</f>
        <v>0</v>
      </c>
      <c r="R33" s="123">
        <f>R$21*shipping_manufacturing!$F$27/100</f>
        <v>0</v>
      </c>
      <c r="S33" s="123">
        <f>S$21*shipping_manufacturing!$F$27/100</f>
        <v>0</v>
      </c>
      <c r="T33" s="123">
        <f>T$21*shipping_manufacturing!$F$27/100</f>
        <v>0</v>
      </c>
      <c r="U33" s="123">
        <f>U$21*shipping_manufacturing!$F$27/100</f>
        <v>0</v>
      </c>
      <c r="V33" s="123">
        <f>V$21*shipping_manufacturing!$F$27/100</f>
        <v>0</v>
      </c>
      <c r="W33" s="123">
        <f>W$21*shipping_manufacturing!$F$27/100</f>
        <v>0</v>
      </c>
      <c r="X33" s="123">
        <f>X$21*shipping_manufacturing!$F$27/100</f>
        <v>0</v>
      </c>
      <c r="Y33" s="123">
        <f>Y$21*shipping_manufacturing!$F$27/100</f>
        <v>0</v>
      </c>
      <c r="Z33" s="123">
        <f>Z$21*shipping_manufacturing!$F$27/100</f>
        <v>0</v>
      </c>
      <c r="AA33" s="123">
        <f>AA$21*shipping_manufacturing!$F$27/100</f>
        <v>0</v>
      </c>
      <c r="AB33" s="123">
        <f>AB$21*shipping_manufacturing!$F$27/100</f>
        <v>0</v>
      </c>
      <c r="AC33" s="123">
        <f>AC$21*shipping_manufacturing!$F$27/100</f>
        <v>0</v>
      </c>
      <c r="AD33" s="123">
        <f>AD$21*shipping_manufacturing!$F$27/100</f>
        <v>0</v>
      </c>
      <c r="AE33" s="123">
        <f>AE$21*shipping_manufacturing!$F$27/100</f>
        <v>0</v>
      </c>
      <c r="AF33" s="123">
        <f>AF$21*shipping_manufacturing!$F$27/100</f>
        <v>0</v>
      </c>
      <c r="AG33" s="123">
        <f>AG$21*shipping_manufacturing!$F$27/100</f>
        <v>0</v>
      </c>
      <c r="AH33" s="123">
        <f>AH$21*shipping_manufacturing!$F$27/100</f>
        <v>0</v>
      </c>
      <c r="AI33" s="123">
        <f>AI$21*shipping_manufacturing!$F$27/100</f>
        <v>0</v>
      </c>
      <c r="AJ33" s="123">
        <f>AJ$21*shipping_manufacturing!$F$27/100</f>
        <v>0</v>
      </c>
      <c r="AK33" s="123">
        <f>AK$21*shipping_manufacturing!$F$27/100</f>
        <v>0</v>
      </c>
      <c r="AL33" s="123">
        <f>AL$21*shipping_manufacturing!$F$27/100</f>
        <v>0</v>
      </c>
      <c r="AM33" s="123">
        <f>AM$21*shipping_manufacturing!$F$27/100</f>
        <v>0</v>
      </c>
      <c r="AN33" s="123">
        <f>AN$21*shipping_manufacturing!$F$27/100</f>
        <v>0</v>
      </c>
      <c r="AO33" s="123">
        <f>AO$21*shipping_manufacturing!$F$27/100</f>
        <v>0</v>
      </c>
      <c r="AP33" s="123">
        <f>AP$21*shipping_manufacturing!$F$27/100</f>
        <v>0</v>
      </c>
      <c r="AQ33" s="123">
        <f>AQ$21*shipping_manufacturing!$F$27/100</f>
        <v>0</v>
      </c>
      <c r="AR33" s="123">
        <f>AR$21*shipping_manufacturing!$F$27/100</f>
        <v>0</v>
      </c>
      <c r="AS33" s="123">
        <f>AS$21*shipping_manufacturing!$F$27/100</f>
        <v>0</v>
      </c>
      <c r="AT33" s="123">
        <f>AT$21*shipping_manufacturing!$F$27/100</f>
        <v>0</v>
      </c>
      <c r="AU33" s="123">
        <f>AU$21*shipping_manufacturing!$F$27/100</f>
        <v>0</v>
      </c>
      <c r="AV33" s="123">
        <f>AV$21*shipping_manufacturing!$F$27/100</f>
        <v>0</v>
      </c>
      <c r="AW33" s="123">
        <f>AW$21*shipping_manufacturing!$F$27/100</f>
        <v>0</v>
      </c>
      <c r="AX33" s="123">
        <f>AX$21*shipping_manufacturing!$F$27/100</f>
        <v>0</v>
      </c>
      <c r="AY33" s="123">
        <f>AY$21*shipping_manufacturing!$F$27/100</f>
        <v>0</v>
      </c>
    </row>
    <row r="34" spans="1:52">
      <c r="A34" s="112" t="s">
        <v>341</v>
      </c>
      <c r="B34" s="164" t="s">
        <v>343</v>
      </c>
      <c r="C34" s="109"/>
      <c r="D34" s="109">
        <f>D$22*shipping_manufacturing!$G$27/100</f>
        <v>24.160671204560053</v>
      </c>
      <c r="E34" s="109">
        <f>E$22*shipping_manufacturing!$G$27/100</f>
        <v>29.83075836387637</v>
      </c>
      <c r="F34" s="109">
        <f>F$22*shipping_manufacturing!$G$27/100</f>
        <v>29.83075836387637</v>
      </c>
      <c r="G34" s="109">
        <f>G$22*shipping_manufacturing!$G$27/100</f>
        <v>29.83075836387637</v>
      </c>
      <c r="H34" s="109">
        <f>H$22*shipping_manufacturing!$G$27/100</f>
        <v>29.83075836387637</v>
      </c>
      <c r="I34" s="109">
        <f>I$22*shipping_manufacturing!$G$27/100</f>
        <v>29.83075836387637</v>
      </c>
      <c r="J34" s="109">
        <f>J$22*shipping_manufacturing!$G$27/100</f>
        <v>29.83075836387637</v>
      </c>
      <c r="K34" s="109">
        <f>K$22*shipping_manufacturing!$G$27/100</f>
        <v>29.83075836387637</v>
      </c>
      <c r="L34" s="109">
        <f>L$22*shipping_manufacturing!$G$27/100</f>
        <v>29.83075836387637</v>
      </c>
      <c r="M34" s="109">
        <f>M$22*shipping_manufacturing!$G$27/100</f>
        <v>29.83075836387637</v>
      </c>
      <c r="N34" s="109">
        <f>N$22*shipping_manufacturing!$G$27/100</f>
        <v>29.83075836387637</v>
      </c>
      <c r="O34" s="109">
        <f>O$22*shipping_manufacturing!$G$27/100</f>
        <v>29.83075836387637</v>
      </c>
      <c r="P34" s="109">
        <f>P$22*shipping_manufacturing!$G$27/100</f>
        <v>29.83075836387637</v>
      </c>
      <c r="Q34" s="109">
        <f>Q$22*shipping_manufacturing!$G$27/100</f>
        <v>29.83075836387637</v>
      </c>
      <c r="R34" s="109">
        <f>R$22*shipping_manufacturing!$G$27/100</f>
        <v>29.83075836387637</v>
      </c>
      <c r="S34" s="109">
        <f>S$22*shipping_manufacturing!$G$27/100</f>
        <v>29.83075836387637</v>
      </c>
      <c r="T34" s="109">
        <f>T$22*shipping_manufacturing!$G$27/100</f>
        <v>29.83075836387637</v>
      </c>
      <c r="U34" s="109">
        <f>U$22*shipping_manufacturing!$G$27/100</f>
        <v>29.83075836387637</v>
      </c>
      <c r="V34" s="109">
        <f>V$22*shipping_manufacturing!$G$27/100</f>
        <v>29.83075836387637</v>
      </c>
      <c r="W34" s="109">
        <f>W$22*shipping_manufacturing!$G$27/100</f>
        <v>29.83075836387637</v>
      </c>
      <c r="X34" s="109">
        <f>X$22*shipping_manufacturing!$G$27/100</f>
        <v>29.83075836387637</v>
      </c>
      <c r="Y34" s="109">
        <f>Y$22*shipping_manufacturing!$G$27/100</f>
        <v>29.83075836387637</v>
      </c>
      <c r="Z34" s="109">
        <f>Z$22*shipping_manufacturing!$G$27/100</f>
        <v>29.83075836387637</v>
      </c>
      <c r="AA34" s="109">
        <f>AA$22*shipping_manufacturing!$G$27/100</f>
        <v>29.83075836387637</v>
      </c>
      <c r="AB34" s="109">
        <f>AB$22*shipping_manufacturing!$G$27/100</f>
        <v>29.83075836387637</v>
      </c>
      <c r="AC34" s="109">
        <f>AC$22*shipping_manufacturing!$G$27/100</f>
        <v>29.83075836387637</v>
      </c>
      <c r="AD34" s="109">
        <f>AD$22*shipping_manufacturing!$G$27/100</f>
        <v>29.83075836387637</v>
      </c>
      <c r="AE34" s="109">
        <f>AE$22*shipping_manufacturing!$G$27/100</f>
        <v>29.83075836387637</v>
      </c>
      <c r="AF34" s="109">
        <f>AF$22*shipping_manufacturing!$G$27/100</f>
        <v>29.83075836387637</v>
      </c>
      <c r="AG34" s="109">
        <f>AG$22*shipping_manufacturing!$G$27/100</f>
        <v>29.83075836387637</v>
      </c>
      <c r="AH34" s="109">
        <f>AH$22*shipping_manufacturing!$G$27/100</f>
        <v>29.83075836387637</v>
      </c>
      <c r="AI34" s="109">
        <f>AI$22*shipping_manufacturing!$G$27/100</f>
        <v>0</v>
      </c>
      <c r="AJ34" s="109">
        <f>AJ$22*shipping_manufacturing!$G$27/100</f>
        <v>29.83075836387637</v>
      </c>
      <c r="AK34" s="109">
        <f>AK$22*shipping_manufacturing!$G$27/100</f>
        <v>29.83075836387637</v>
      </c>
      <c r="AL34" s="109">
        <f>AL$22*shipping_manufacturing!$G$27/100</f>
        <v>29.83075836387637</v>
      </c>
      <c r="AM34" s="109">
        <f>AM$22*shipping_manufacturing!$G$27/100</f>
        <v>29.83075836387637</v>
      </c>
      <c r="AN34" s="109">
        <f>AN$22*shipping_manufacturing!$G$27/100</f>
        <v>29.83075836387637</v>
      </c>
      <c r="AO34" s="109">
        <f>AO$22*shipping_manufacturing!$G$27/100</f>
        <v>23.864611784438722</v>
      </c>
      <c r="AP34" s="109">
        <f>AP$22*shipping_manufacturing!$G$27/100</f>
        <v>23.864611784438722</v>
      </c>
      <c r="AQ34" s="109">
        <f>AQ$22*shipping_manufacturing!$G$27/100</f>
        <v>23.864611784438722</v>
      </c>
      <c r="AR34" s="109">
        <f>AR$22*shipping_manufacturing!$G$27/100</f>
        <v>23.864611784438722</v>
      </c>
      <c r="AS34" s="109">
        <f>AS$22*shipping_manufacturing!$G$27/100</f>
        <v>29.83075836387637</v>
      </c>
      <c r="AT34" s="109">
        <f>AT$22*shipping_manufacturing!$G$27/100</f>
        <v>29.83075836387637</v>
      </c>
      <c r="AU34" s="109">
        <f>AU$22*shipping_manufacturing!$G$27/100</f>
        <v>29.83075836387637</v>
      </c>
      <c r="AV34" s="109">
        <f>AV$22*shipping_manufacturing!$G$27/100</f>
        <v>29.83075836387637</v>
      </c>
      <c r="AW34" s="109">
        <f>AW$22*shipping_manufacturing!$G$27/100</f>
        <v>29.83075836387637</v>
      </c>
      <c r="AX34" s="109">
        <f>AX$22*shipping_manufacturing!$G$27/100</f>
        <v>29.83075836387637</v>
      </c>
      <c r="AY34" s="109">
        <f>AY$22*shipping_manufacturing!$G$27/100</f>
        <v>29.83075836387637</v>
      </c>
    </row>
    <row r="35" spans="1:52">
      <c r="A35" s="109">
        <v>1225</v>
      </c>
      <c r="B35" s="164" t="s">
        <v>344</v>
      </c>
      <c r="C35" s="109"/>
      <c r="D35" s="109">
        <f>SUM(D33:D34)</f>
        <v>24.160671204560053</v>
      </c>
      <c r="E35" s="109">
        <f t="shared" ref="E35:AY35" si="11">SUM(E33:E34)</f>
        <v>29.83075836387637</v>
      </c>
      <c r="F35" s="109">
        <f t="shared" si="11"/>
        <v>29.83075836387637</v>
      </c>
      <c r="G35" s="109">
        <f t="shared" si="11"/>
        <v>29.83075836387637</v>
      </c>
      <c r="H35" s="109">
        <f t="shared" si="11"/>
        <v>29.83075836387637</v>
      </c>
      <c r="I35" s="109">
        <f t="shared" si="11"/>
        <v>29.83075836387637</v>
      </c>
      <c r="J35" s="109">
        <f t="shared" si="11"/>
        <v>29.83075836387637</v>
      </c>
      <c r="K35" s="109">
        <f t="shared" si="11"/>
        <v>29.83075836387637</v>
      </c>
      <c r="L35" s="109">
        <f t="shared" si="11"/>
        <v>29.83075836387637</v>
      </c>
      <c r="M35" s="109">
        <f t="shared" si="11"/>
        <v>29.83075836387637</v>
      </c>
      <c r="N35" s="109">
        <f t="shared" si="11"/>
        <v>29.83075836387637</v>
      </c>
      <c r="O35" s="109">
        <f t="shared" si="11"/>
        <v>29.83075836387637</v>
      </c>
      <c r="P35" s="109">
        <f t="shared" si="11"/>
        <v>29.83075836387637</v>
      </c>
      <c r="Q35" s="109">
        <f t="shared" si="11"/>
        <v>29.83075836387637</v>
      </c>
      <c r="R35" s="109">
        <f t="shared" si="11"/>
        <v>29.83075836387637</v>
      </c>
      <c r="S35" s="109">
        <f t="shared" si="11"/>
        <v>29.83075836387637</v>
      </c>
      <c r="T35" s="109">
        <f t="shared" si="11"/>
        <v>29.83075836387637</v>
      </c>
      <c r="U35" s="109">
        <f t="shared" si="11"/>
        <v>29.83075836387637</v>
      </c>
      <c r="V35" s="109">
        <f t="shared" si="11"/>
        <v>29.83075836387637</v>
      </c>
      <c r="W35" s="109">
        <f t="shared" si="11"/>
        <v>29.83075836387637</v>
      </c>
      <c r="X35" s="109">
        <f t="shared" si="11"/>
        <v>29.83075836387637</v>
      </c>
      <c r="Y35" s="109">
        <f t="shared" si="11"/>
        <v>29.83075836387637</v>
      </c>
      <c r="Z35" s="109">
        <f t="shared" si="11"/>
        <v>29.83075836387637</v>
      </c>
      <c r="AA35" s="109">
        <f t="shared" si="11"/>
        <v>29.83075836387637</v>
      </c>
      <c r="AB35" s="109">
        <f t="shared" si="11"/>
        <v>29.83075836387637</v>
      </c>
      <c r="AC35" s="109">
        <f t="shared" si="11"/>
        <v>29.83075836387637</v>
      </c>
      <c r="AD35" s="109">
        <f t="shared" si="11"/>
        <v>29.83075836387637</v>
      </c>
      <c r="AE35" s="109">
        <f t="shared" si="11"/>
        <v>29.83075836387637</v>
      </c>
      <c r="AF35" s="109">
        <f t="shared" si="11"/>
        <v>29.83075836387637</v>
      </c>
      <c r="AG35" s="109">
        <f t="shared" si="11"/>
        <v>29.83075836387637</v>
      </c>
      <c r="AH35" s="109">
        <f t="shared" si="11"/>
        <v>29.83075836387637</v>
      </c>
      <c r="AI35" s="109">
        <f t="shared" si="11"/>
        <v>0</v>
      </c>
      <c r="AJ35" s="109">
        <f t="shared" si="11"/>
        <v>29.83075836387637</v>
      </c>
      <c r="AK35" s="109">
        <f t="shared" si="11"/>
        <v>29.83075836387637</v>
      </c>
      <c r="AL35" s="109">
        <f t="shared" si="11"/>
        <v>29.83075836387637</v>
      </c>
      <c r="AM35" s="109">
        <f t="shared" si="11"/>
        <v>29.83075836387637</v>
      </c>
      <c r="AN35" s="109">
        <f t="shared" si="11"/>
        <v>29.83075836387637</v>
      </c>
      <c r="AO35" s="109">
        <f t="shared" si="11"/>
        <v>23.864611784438722</v>
      </c>
      <c r="AP35" s="109">
        <f t="shared" si="11"/>
        <v>23.864611784438722</v>
      </c>
      <c r="AQ35" s="109">
        <f t="shared" si="11"/>
        <v>23.864611784438722</v>
      </c>
      <c r="AR35" s="109">
        <f t="shared" si="11"/>
        <v>23.864611784438722</v>
      </c>
      <c r="AS35" s="109">
        <f t="shared" si="11"/>
        <v>29.83075836387637</v>
      </c>
      <c r="AT35" s="109">
        <f t="shared" si="11"/>
        <v>29.83075836387637</v>
      </c>
      <c r="AU35" s="109">
        <f t="shared" si="11"/>
        <v>29.83075836387637</v>
      </c>
      <c r="AV35" s="109">
        <f t="shared" si="11"/>
        <v>29.83075836387637</v>
      </c>
      <c r="AW35" s="109">
        <f t="shared" si="11"/>
        <v>29.83075836387637</v>
      </c>
      <c r="AX35" s="109">
        <f t="shared" si="11"/>
        <v>29.83075836387637</v>
      </c>
      <c r="AY35" s="109">
        <f t="shared" si="11"/>
        <v>29.83075836387637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>
        <v>0</v>
      </c>
      <c r="AK36" s="109"/>
      <c r="AL36" s="109">
        <v>0</v>
      </c>
      <c r="AM36" s="109"/>
      <c r="AN36" s="109">
        <v>0</v>
      </c>
      <c r="AO36" s="109"/>
      <c r="AP36" s="109">
        <v>0</v>
      </c>
      <c r="AQ36" s="109"/>
      <c r="AR36" s="109">
        <v>0</v>
      </c>
      <c r="AS36" s="109"/>
      <c r="AT36" s="109"/>
      <c r="AU36" s="109"/>
      <c r="AV36" s="109"/>
      <c r="AW36" s="109"/>
      <c r="AX36" s="109"/>
      <c r="AY36" s="109"/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>
        <v>29.83075836387637</v>
      </c>
      <c r="AK37" s="109"/>
      <c r="AL37" s="109">
        <v>29.83075836387637</v>
      </c>
      <c r="AM37" s="109"/>
      <c r="AN37" s="109">
        <v>29.83075836387637</v>
      </c>
      <c r="AO37" s="109"/>
      <c r="AP37" s="109">
        <v>23.864611784438722</v>
      </c>
      <c r="AQ37" s="109"/>
      <c r="AR37" s="109">
        <v>23.864611784438722</v>
      </c>
      <c r="AS37" s="109"/>
      <c r="AT37" s="109"/>
      <c r="AU37" s="109"/>
      <c r="AV37" s="109"/>
      <c r="AW37" s="109"/>
      <c r="AX37" s="109"/>
      <c r="AY37" s="109"/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>
        <v>1</v>
      </c>
      <c r="AK38" s="109"/>
      <c r="AL38" s="109">
        <v>1</v>
      </c>
      <c r="AM38" s="109"/>
      <c r="AN38" s="109">
        <v>1</v>
      </c>
      <c r="AO38" s="109"/>
      <c r="AP38" s="109">
        <v>1</v>
      </c>
      <c r="AQ38" s="109"/>
      <c r="AR38" s="109">
        <v>1</v>
      </c>
      <c r="AS38" s="109"/>
      <c r="AT38" s="109"/>
      <c r="AU38" s="109"/>
      <c r="AV38" s="109"/>
      <c r="AW38" s="109"/>
      <c r="AX38" s="109"/>
      <c r="AY38" s="109"/>
    </row>
    <row r="39" spans="1:52">
      <c r="A39" s="109"/>
      <c r="B39" s="164" t="s">
        <v>348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>
      <c r="A40" s="109"/>
      <c r="B40" s="164" t="s">
        <v>349</v>
      </c>
      <c r="C40" s="109"/>
      <c r="D40" s="109">
        <f>D34-D37</f>
        <v>24.160671204560053</v>
      </c>
      <c r="E40" s="109">
        <f t="shared" ref="E40:AY40" si="13">E34-E37</f>
        <v>29.83075836387637</v>
      </c>
      <c r="F40" s="109">
        <f t="shared" si="13"/>
        <v>29.83075836387637</v>
      </c>
      <c r="G40" s="109">
        <f t="shared" si="13"/>
        <v>29.83075836387637</v>
      </c>
      <c r="H40" s="109">
        <f t="shared" si="13"/>
        <v>29.83075836387637</v>
      </c>
      <c r="I40" s="109">
        <f t="shared" si="13"/>
        <v>29.83075836387637</v>
      </c>
      <c r="J40" s="109">
        <f t="shared" si="13"/>
        <v>29.83075836387637</v>
      </c>
      <c r="K40" s="109">
        <f t="shared" si="13"/>
        <v>29.83075836387637</v>
      </c>
      <c r="L40" s="109">
        <f t="shared" si="13"/>
        <v>29.83075836387637</v>
      </c>
      <c r="M40" s="109">
        <f t="shared" si="13"/>
        <v>29.83075836387637</v>
      </c>
      <c r="N40" s="109">
        <f t="shared" si="13"/>
        <v>29.83075836387637</v>
      </c>
      <c r="O40" s="109">
        <f t="shared" si="13"/>
        <v>29.83075836387637</v>
      </c>
      <c r="P40" s="109">
        <f t="shared" si="13"/>
        <v>29.83075836387637</v>
      </c>
      <c r="Q40" s="109">
        <f t="shared" si="13"/>
        <v>29.83075836387637</v>
      </c>
      <c r="R40" s="109">
        <f t="shared" si="13"/>
        <v>29.83075836387637</v>
      </c>
      <c r="S40" s="109">
        <f t="shared" si="13"/>
        <v>29.83075836387637</v>
      </c>
      <c r="T40" s="109">
        <f t="shared" si="13"/>
        <v>29.83075836387637</v>
      </c>
      <c r="U40" s="109">
        <f t="shared" si="13"/>
        <v>29.83075836387637</v>
      </c>
      <c r="V40" s="109">
        <f t="shared" si="13"/>
        <v>29.83075836387637</v>
      </c>
      <c r="W40" s="109">
        <f t="shared" si="13"/>
        <v>29.83075836387637</v>
      </c>
      <c r="X40" s="109">
        <f t="shared" si="13"/>
        <v>29.83075836387637</v>
      </c>
      <c r="Y40" s="109">
        <f t="shared" si="13"/>
        <v>29.83075836387637</v>
      </c>
      <c r="Z40" s="109">
        <f t="shared" si="13"/>
        <v>29.83075836387637</v>
      </c>
      <c r="AA40" s="109">
        <f t="shared" si="13"/>
        <v>29.83075836387637</v>
      </c>
      <c r="AB40" s="109">
        <f t="shared" si="13"/>
        <v>29.83075836387637</v>
      </c>
      <c r="AC40" s="109">
        <f t="shared" si="13"/>
        <v>29.83075836387637</v>
      </c>
      <c r="AD40" s="109">
        <f t="shared" si="13"/>
        <v>29.83075836387637</v>
      </c>
      <c r="AE40" s="109">
        <f t="shared" si="13"/>
        <v>29.83075836387637</v>
      </c>
      <c r="AF40" s="109">
        <f t="shared" si="13"/>
        <v>29.83075836387637</v>
      </c>
      <c r="AG40" s="109">
        <f t="shared" si="13"/>
        <v>29.83075836387637</v>
      </c>
      <c r="AH40" s="109">
        <f t="shared" si="13"/>
        <v>29.83075836387637</v>
      </c>
      <c r="AI40" s="109">
        <f t="shared" si="13"/>
        <v>0</v>
      </c>
      <c r="AJ40" s="109">
        <f t="shared" si="13"/>
        <v>0</v>
      </c>
      <c r="AK40" s="109">
        <f t="shared" si="13"/>
        <v>29.83075836387637</v>
      </c>
      <c r="AL40" s="109">
        <f t="shared" si="13"/>
        <v>0</v>
      </c>
      <c r="AM40" s="109">
        <f t="shared" si="13"/>
        <v>29.83075836387637</v>
      </c>
      <c r="AN40" s="109">
        <f t="shared" si="13"/>
        <v>0</v>
      </c>
      <c r="AO40" s="109">
        <f t="shared" si="13"/>
        <v>23.864611784438722</v>
      </c>
      <c r="AP40" s="109">
        <f t="shared" si="13"/>
        <v>0</v>
      </c>
      <c r="AQ40" s="109">
        <f t="shared" si="13"/>
        <v>23.864611784438722</v>
      </c>
      <c r="AR40" s="109">
        <f t="shared" si="13"/>
        <v>0</v>
      </c>
      <c r="AS40" s="109">
        <f t="shared" si="13"/>
        <v>29.83075836387637</v>
      </c>
      <c r="AT40" s="109">
        <f t="shared" si="13"/>
        <v>29.83075836387637</v>
      </c>
      <c r="AU40" s="109">
        <f t="shared" si="13"/>
        <v>29.83075836387637</v>
      </c>
      <c r="AV40" s="109">
        <f t="shared" si="13"/>
        <v>29.83075836387637</v>
      </c>
      <c r="AW40" s="109">
        <f t="shared" si="13"/>
        <v>29.83075836387637</v>
      </c>
      <c r="AX40" s="109">
        <f t="shared" si="13"/>
        <v>29.83075836387637</v>
      </c>
      <c r="AY40" s="109">
        <f t="shared" si="13"/>
        <v>29.83075836387637</v>
      </c>
    </row>
    <row r="41" spans="1:52">
      <c r="A41" s="109"/>
      <c r="B41" s="164" t="s">
        <v>350</v>
      </c>
      <c r="C41" s="109"/>
      <c r="D41" s="109">
        <v>2</v>
      </c>
      <c r="E41" s="109">
        <v>3</v>
      </c>
      <c r="F41" s="109">
        <v>1</v>
      </c>
      <c r="G41" s="109">
        <v>2</v>
      </c>
      <c r="H41" s="109">
        <v>3</v>
      </c>
      <c r="I41" s="109">
        <v>1</v>
      </c>
      <c r="J41" s="109">
        <v>1</v>
      </c>
      <c r="K41" s="109">
        <v>1</v>
      </c>
      <c r="L41" s="109">
        <v>2</v>
      </c>
      <c r="M41" s="109">
        <v>2</v>
      </c>
      <c r="N41" s="109">
        <v>1</v>
      </c>
      <c r="O41" s="109">
        <v>1</v>
      </c>
      <c r="P41" s="109">
        <v>1</v>
      </c>
      <c r="Q41" s="109">
        <v>1</v>
      </c>
      <c r="R41" s="109">
        <v>3</v>
      </c>
      <c r="S41" s="109">
        <v>2</v>
      </c>
      <c r="T41" s="109">
        <v>1</v>
      </c>
      <c r="U41" s="109">
        <v>1</v>
      </c>
      <c r="V41" s="109">
        <v>3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1</v>
      </c>
      <c r="AC41" s="109">
        <v>3</v>
      </c>
      <c r="AD41" s="109">
        <v>2</v>
      </c>
      <c r="AE41" s="109">
        <v>3</v>
      </c>
      <c r="AF41" s="109">
        <v>2</v>
      </c>
      <c r="AG41" s="109">
        <v>1</v>
      </c>
      <c r="AH41" s="109">
        <v>1</v>
      </c>
      <c r="AI41" s="109">
        <v>1</v>
      </c>
      <c r="AJ41" s="109">
        <v>3</v>
      </c>
      <c r="AK41" s="109">
        <v>1</v>
      </c>
      <c r="AL41" s="109">
        <v>2</v>
      </c>
      <c r="AM41" s="109">
        <v>1</v>
      </c>
      <c r="AN41" s="109">
        <v>1</v>
      </c>
      <c r="AO41" s="109">
        <v>1</v>
      </c>
      <c r="AP41" s="109">
        <v>1</v>
      </c>
      <c r="AQ41" s="109">
        <v>1</v>
      </c>
      <c r="AR41" s="109">
        <v>1</v>
      </c>
      <c r="AS41" s="109">
        <v>1</v>
      </c>
      <c r="AT41" s="109">
        <v>1</v>
      </c>
      <c r="AU41" s="109">
        <v>1</v>
      </c>
      <c r="AV41" s="109">
        <v>1</v>
      </c>
      <c r="AW41" s="109">
        <v>1</v>
      </c>
      <c r="AX41" s="109">
        <v>2</v>
      </c>
      <c r="AY41" s="109">
        <v>2</v>
      </c>
    </row>
    <row r="42" spans="1:52">
      <c r="A42" s="109"/>
      <c r="B42" s="177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44100</v>
      </c>
      <c r="AK42" s="109">
        <v>0</v>
      </c>
      <c r="AL42" s="109">
        <v>44100</v>
      </c>
      <c r="AM42" s="109">
        <v>0</v>
      </c>
      <c r="AN42" s="109">
        <v>44100</v>
      </c>
      <c r="AO42" s="109">
        <v>0</v>
      </c>
      <c r="AP42" s="109">
        <v>44100</v>
      </c>
      <c r="AQ42" s="109">
        <v>0</v>
      </c>
      <c r="AR42" s="109">
        <v>44100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220500</v>
      </c>
    </row>
    <row r="43" spans="1:52">
      <c r="A43" s="109"/>
      <c r="B43" s="177" t="s">
        <v>352</v>
      </c>
      <c r="C43" s="109"/>
      <c r="D43" s="109">
        <v>19237.934446630941</v>
      </c>
      <c r="E43" s="109">
        <v>23752.741347236559</v>
      </c>
      <c r="F43" s="109">
        <v>23752.741347236559</v>
      </c>
      <c r="G43" s="109">
        <v>23752.741347236559</v>
      </c>
      <c r="H43" s="109">
        <v>23752.741347236559</v>
      </c>
      <c r="I43" s="109">
        <v>23752.741347236559</v>
      </c>
      <c r="J43" s="109">
        <v>23752.741347236559</v>
      </c>
      <c r="K43" s="109">
        <v>23752.741347236559</v>
      </c>
      <c r="L43" s="109">
        <v>23752.741347236559</v>
      </c>
      <c r="M43" s="109">
        <v>23752.741347236559</v>
      </c>
      <c r="N43" s="109">
        <v>23752.741347236559</v>
      </c>
      <c r="O43" s="109">
        <v>23752.741347236559</v>
      </c>
      <c r="P43" s="109">
        <v>23752.741347236559</v>
      </c>
      <c r="Q43" s="109">
        <v>23752.741347236559</v>
      </c>
      <c r="R43" s="109">
        <v>23752.741347236559</v>
      </c>
      <c r="S43" s="109">
        <v>23752.741347236559</v>
      </c>
      <c r="T43" s="109">
        <v>23752.741347236559</v>
      </c>
      <c r="U43" s="109">
        <v>23752.741347236559</v>
      </c>
      <c r="V43" s="109">
        <v>23752.741347236559</v>
      </c>
      <c r="W43" s="109">
        <v>23752.741347236559</v>
      </c>
      <c r="X43" s="109">
        <v>23752.741347236559</v>
      </c>
      <c r="Y43" s="109">
        <v>23752.741347236559</v>
      </c>
      <c r="Z43" s="109">
        <v>23752.741347236559</v>
      </c>
      <c r="AA43" s="109">
        <v>23752.741347236559</v>
      </c>
      <c r="AB43" s="109">
        <v>23752.741347236559</v>
      </c>
      <c r="AC43" s="109">
        <v>23752.741347236559</v>
      </c>
      <c r="AD43" s="109">
        <v>23752.741347236559</v>
      </c>
      <c r="AE43" s="109">
        <v>23752.741347236559</v>
      </c>
      <c r="AF43" s="109">
        <v>23752.741347236559</v>
      </c>
      <c r="AG43" s="109">
        <v>23752.741347236559</v>
      </c>
      <c r="AH43" s="109">
        <v>23752.741347236559</v>
      </c>
      <c r="AI43" s="109">
        <v>0</v>
      </c>
      <c r="AJ43" s="109">
        <v>0</v>
      </c>
      <c r="AK43" s="109">
        <v>23752.741347236559</v>
      </c>
      <c r="AL43" s="109">
        <v>0</v>
      </c>
      <c r="AM43" s="109">
        <v>23752.741347236559</v>
      </c>
      <c r="AN43" s="109">
        <v>0</v>
      </c>
      <c r="AO43" s="109">
        <v>19002.197133359332</v>
      </c>
      <c r="AP43" s="109">
        <v>0</v>
      </c>
      <c r="AQ43" s="109">
        <v>19002.197133359332</v>
      </c>
      <c r="AR43" s="109">
        <v>0</v>
      </c>
      <c r="AS43" s="109">
        <v>23752.741347236559</v>
      </c>
      <c r="AT43" s="109">
        <v>23752.741347236559</v>
      </c>
      <c r="AU43" s="109">
        <v>23752.741347236559</v>
      </c>
      <c r="AV43" s="109">
        <v>23752.741347236559</v>
      </c>
      <c r="AW43" s="109">
        <v>23752.741347236559</v>
      </c>
      <c r="AX43" s="109">
        <v>23752.741347236559</v>
      </c>
      <c r="AY43" s="109">
        <v>23752.741347236559</v>
      </c>
      <c r="AZ43" s="99">
        <f>SUM($D$43:$AY$43)</f>
        <v>983599.24125557556</v>
      </c>
    </row>
    <row r="44" spans="1:52">
      <c r="A44" s="134" t="s">
        <v>46</v>
      </c>
      <c r="B44" s="134" t="s">
        <v>342</v>
      </c>
      <c r="C44" s="123"/>
      <c r="D44" s="123">
        <f>D$21*shipping_manufacturing!$F$28/100</f>
        <v>173.16192369384001</v>
      </c>
      <c r="E44" s="123">
        <f>E$21*shipping_manufacturing!$F$28/100</f>
        <v>213.8</v>
      </c>
      <c r="F44" s="123">
        <f>F$21*shipping_manufacturing!$F$28/100</f>
        <v>213.8</v>
      </c>
      <c r="G44" s="123">
        <f>G$21*shipping_manufacturing!$F$28/100</f>
        <v>213.8</v>
      </c>
      <c r="H44" s="123">
        <f>H$21*shipping_manufacturing!$F$28/100</f>
        <v>213.8</v>
      </c>
      <c r="I44" s="123">
        <f>I$21*shipping_manufacturing!$F$28/100</f>
        <v>213.8</v>
      </c>
      <c r="J44" s="123">
        <f>J$21*shipping_manufacturing!$F$28/100</f>
        <v>213.8</v>
      </c>
      <c r="K44" s="123">
        <f>K$21*shipping_manufacturing!$F$28/100</f>
        <v>213.8</v>
      </c>
      <c r="L44" s="123">
        <f>L$21*shipping_manufacturing!$F$28/100</f>
        <v>213.8</v>
      </c>
      <c r="M44" s="123">
        <f>M$21*shipping_manufacturing!$F$28/100</f>
        <v>213.8</v>
      </c>
      <c r="N44" s="123">
        <f>N$21*shipping_manufacturing!$F$28/100</f>
        <v>213.8</v>
      </c>
      <c r="O44" s="123">
        <f>O$21*shipping_manufacturing!$F$28/100</f>
        <v>213.8</v>
      </c>
      <c r="P44" s="123">
        <f>P$21*shipping_manufacturing!$F$28/100</f>
        <v>213.8</v>
      </c>
      <c r="Q44" s="123">
        <f>Q$21*shipping_manufacturing!$F$28/100</f>
        <v>213.8</v>
      </c>
      <c r="R44" s="123">
        <f>R$21*shipping_manufacturing!$F$28/100</f>
        <v>213.8</v>
      </c>
      <c r="S44" s="123">
        <f>S$21*shipping_manufacturing!$F$28/100</f>
        <v>213.8</v>
      </c>
      <c r="T44" s="123">
        <f>T$21*shipping_manufacturing!$F$28/100</f>
        <v>213.8</v>
      </c>
      <c r="U44" s="123">
        <f>U$21*shipping_manufacturing!$F$28/100</f>
        <v>213.8</v>
      </c>
      <c r="V44" s="123">
        <f>V$21*shipping_manufacturing!$F$28/100</f>
        <v>213.8</v>
      </c>
      <c r="W44" s="123">
        <f>W$21*shipping_manufacturing!$F$28/100</f>
        <v>213.8</v>
      </c>
      <c r="X44" s="123">
        <f>X$21*shipping_manufacturing!$F$28/100</f>
        <v>213.8</v>
      </c>
      <c r="Y44" s="123">
        <f>Y$21*shipping_manufacturing!$F$28/100</f>
        <v>213.8</v>
      </c>
      <c r="Z44" s="123">
        <f>Z$21*shipping_manufacturing!$F$28/100</f>
        <v>213.8</v>
      </c>
      <c r="AA44" s="123">
        <f>AA$21*shipping_manufacturing!$F$28/100</f>
        <v>213.8</v>
      </c>
      <c r="AB44" s="123">
        <f>AB$21*shipping_manufacturing!$F$28/100</f>
        <v>213.8</v>
      </c>
      <c r="AC44" s="123">
        <f>AC$21*shipping_manufacturing!$F$28/100</f>
        <v>213.8</v>
      </c>
      <c r="AD44" s="123">
        <f>AD$21*shipping_manufacturing!$F$28/100</f>
        <v>213.8</v>
      </c>
      <c r="AE44" s="123">
        <f>AE$21*shipping_manufacturing!$F$28/100</f>
        <v>213.8</v>
      </c>
      <c r="AF44" s="123">
        <f>AF$21*shipping_manufacturing!$F$28/100</f>
        <v>213.8</v>
      </c>
      <c r="AG44" s="123">
        <f>AG$21*shipping_manufacturing!$F$28/100</f>
        <v>213.8</v>
      </c>
      <c r="AH44" s="123">
        <f>AH$21*shipping_manufacturing!$F$28/100</f>
        <v>213.8</v>
      </c>
      <c r="AI44" s="123">
        <f>AI$21*shipping_manufacturing!$F$28/100</f>
        <v>0</v>
      </c>
      <c r="AJ44" s="123">
        <f>AJ$21*shipping_manufacturing!$F$28/100</f>
        <v>213.8</v>
      </c>
      <c r="AK44" s="123">
        <f>AK$21*shipping_manufacturing!$F$28/100</f>
        <v>213.8</v>
      </c>
      <c r="AL44" s="123">
        <f>AL$21*shipping_manufacturing!$F$28/100</f>
        <v>213.8</v>
      </c>
      <c r="AM44" s="123">
        <f>AM$21*shipping_manufacturing!$F$28/100</f>
        <v>213.8</v>
      </c>
      <c r="AN44" s="123">
        <f>AN$21*shipping_manufacturing!$F$28/100</f>
        <v>213.8</v>
      </c>
      <c r="AO44" s="123">
        <f>AO$21*shipping_manufacturing!$F$28/100</f>
        <v>171.04003650445523</v>
      </c>
      <c r="AP44" s="123">
        <f>AP$21*shipping_manufacturing!$F$28/100</f>
        <v>171.04003650445523</v>
      </c>
      <c r="AQ44" s="123">
        <f>AQ$21*shipping_manufacturing!$F$28/100</f>
        <v>171.04003650445523</v>
      </c>
      <c r="AR44" s="123">
        <f>AR$21*shipping_manufacturing!$F$28/100</f>
        <v>171.04003650445523</v>
      </c>
      <c r="AS44" s="123">
        <f>AS$21*shipping_manufacturing!$F$28/100</f>
        <v>213.8</v>
      </c>
      <c r="AT44" s="123">
        <f>AT$21*shipping_manufacturing!$F$28/100</f>
        <v>213.8</v>
      </c>
      <c r="AU44" s="123">
        <f>AU$21*shipping_manufacturing!$F$28/100</f>
        <v>213.8</v>
      </c>
      <c r="AV44" s="123">
        <f>AV$21*shipping_manufacturing!$F$28/100</f>
        <v>213.8</v>
      </c>
      <c r="AW44" s="123">
        <f>AW$21*shipping_manufacturing!$F$28/100</f>
        <v>213.8</v>
      </c>
      <c r="AX44" s="123">
        <f>AX$21*shipping_manufacturing!$F$28/100</f>
        <v>213.8</v>
      </c>
      <c r="AY44" s="123">
        <f>AY$21*shipping_manufacturing!$F$28/100</f>
        <v>213.8</v>
      </c>
    </row>
    <row r="45" spans="1:52">
      <c r="A45" s="112" t="s">
        <v>341</v>
      </c>
      <c r="B45" s="164" t="s">
        <v>343</v>
      </c>
      <c r="C45" s="109"/>
      <c r="D45" s="109">
        <f>D$22*shipping_manufacturing!$G$28/100</f>
        <v>207.63980850159996</v>
      </c>
      <c r="E45" s="109">
        <f>E$22*shipping_manufacturing!$G$28/100</f>
        <v>256.3692416361236</v>
      </c>
      <c r="F45" s="109">
        <f>F$22*shipping_manufacturing!$G$28/100</f>
        <v>256.3692416361236</v>
      </c>
      <c r="G45" s="109">
        <f>G$22*shipping_manufacturing!$G$28/100</f>
        <v>256.3692416361236</v>
      </c>
      <c r="H45" s="109">
        <f>H$22*shipping_manufacturing!$G$28/100</f>
        <v>256.3692416361236</v>
      </c>
      <c r="I45" s="109">
        <f>I$22*shipping_manufacturing!$G$28/100</f>
        <v>256.3692416361236</v>
      </c>
      <c r="J45" s="109">
        <f>J$22*shipping_manufacturing!$G$28/100</f>
        <v>256.3692416361236</v>
      </c>
      <c r="K45" s="109">
        <f>K$22*shipping_manufacturing!$G$28/100</f>
        <v>256.3692416361236</v>
      </c>
      <c r="L45" s="109">
        <f>L$22*shipping_manufacturing!$G$28/100</f>
        <v>256.3692416361236</v>
      </c>
      <c r="M45" s="109">
        <f>M$22*shipping_manufacturing!$G$28/100</f>
        <v>256.3692416361236</v>
      </c>
      <c r="N45" s="109">
        <f>N$22*shipping_manufacturing!$G$28/100</f>
        <v>256.3692416361236</v>
      </c>
      <c r="O45" s="109">
        <f>O$22*shipping_manufacturing!$G$28/100</f>
        <v>256.3692416361236</v>
      </c>
      <c r="P45" s="109">
        <f>P$22*shipping_manufacturing!$G$28/100</f>
        <v>256.3692416361236</v>
      </c>
      <c r="Q45" s="109">
        <f>Q$22*shipping_manufacturing!$G$28/100</f>
        <v>256.3692416361236</v>
      </c>
      <c r="R45" s="109">
        <f>R$22*shipping_manufacturing!$G$28/100</f>
        <v>256.3692416361236</v>
      </c>
      <c r="S45" s="109">
        <f>S$22*shipping_manufacturing!$G$28/100</f>
        <v>256.3692416361236</v>
      </c>
      <c r="T45" s="109">
        <f>T$22*shipping_manufacturing!$G$28/100</f>
        <v>256.3692416361236</v>
      </c>
      <c r="U45" s="109">
        <f>U$22*shipping_manufacturing!$G$28/100</f>
        <v>256.3692416361236</v>
      </c>
      <c r="V45" s="109">
        <f>V$22*shipping_manufacturing!$G$28/100</f>
        <v>256.3692416361236</v>
      </c>
      <c r="W45" s="109">
        <f>W$22*shipping_manufacturing!$G$28/100</f>
        <v>256.3692416361236</v>
      </c>
      <c r="X45" s="109">
        <f>X$22*shipping_manufacturing!$G$28/100</f>
        <v>256.3692416361236</v>
      </c>
      <c r="Y45" s="109">
        <f>Y$22*shipping_manufacturing!$G$28/100</f>
        <v>256.3692416361236</v>
      </c>
      <c r="Z45" s="109">
        <f>Z$22*shipping_manufacturing!$G$28/100</f>
        <v>256.3692416361236</v>
      </c>
      <c r="AA45" s="109">
        <f>AA$22*shipping_manufacturing!$G$28/100</f>
        <v>256.3692416361236</v>
      </c>
      <c r="AB45" s="109">
        <f>AB$22*shipping_manufacturing!$G$28/100</f>
        <v>256.3692416361236</v>
      </c>
      <c r="AC45" s="109">
        <f>AC$22*shipping_manufacturing!$G$28/100</f>
        <v>256.3692416361236</v>
      </c>
      <c r="AD45" s="109">
        <f>AD$22*shipping_manufacturing!$G$28/100</f>
        <v>256.3692416361236</v>
      </c>
      <c r="AE45" s="109">
        <f>AE$22*shipping_manufacturing!$G$28/100</f>
        <v>256.3692416361236</v>
      </c>
      <c r="AF45" s="109">
        <f>AF$22*shipping_manufacturing!$G$28/100</f>
        <v>256.3692416361236</v>
      </c>
      <c r="AG45" s="109">
        <f>AG$22*shipping_manufacturing!$G$28/100</f>
        <v>256.3692416361236</v>
      </c>
      <c r="AH45" s="109">
        <f>AH$22*shipping_manufacturing!$G$28/100</f>
        <v>256.3692416361236</v>
      </c>
      <c r="AI45" s="109">
        <f>AI$22*shipping_manufacturing!$G$28/100</f>
        <v>0</v>
      </c>
      <c r="AJ45" s="109">
        <f>AJ$22*shipping_manufacturing!$G$28/100</f>
        <v>256.3692416361236</v>
      </c>
      <c r="AK45" s="109">
        <f>AK$22*shipping_manufacturing!$G$28/100</f>
        <v>256.3692416361236</v>
      </c>
      <c r="AL45" s="109">
        <f>AL$22*shipping_manufacturing!$G$28/100</f>
        <v>256.3692416361236</v>
      </c>
      <c r="AM45" s="109">
        <f>AM$22*shipping_manufacturing!$G$28/100</f>
        <v>256.3692416361236</v>
      </c>
      <c r="AN45" s="109">
        <f>AN$22*shipping_manufacturing!$G$28/100</f>
        <v>256.3692416361236</v>
      </c>
      <c r="AO45" s="109">
        <f>AO$22*shipping_manufacturing!$G$28/100</f>
        <v>205.0954370816749</v>
      </c>
      <c r="AP45" s="109">
        <f>AP$22*shipping_manufacturing!$G$28/100</f>
        <v>205.0954370816749</v>
      </c>
      <c r="AQ45" s="109">
        <f>AQ$22*shipping_manufacturing!$G$28/100</f>
        <v>205.0954370816749</v>
      </c>
      <c r="AR45" s="109">
        <f>AR$22*shipping_manufacturing!$G$28/100</f>
        <v>205.0954370816749</v>
      </c>
      <c r="AS45" s="109">
        <f>AS$22*shipping_manufacturing!$G$28/100</f>
        <v>256.3692416361236</v>
      </c>
      <c r="AT45" s="109">
        <f>AT$22*shipping_manufacturing!$G$28/100</f>
        <v>256.3692416361236</v>
      </c>
      <c r="AU45" s="109">
        <f>AU$22*shipping_manufacturing!$G$28/100</f>
        <v>256.3692416361236</v>
      </c>
      <c r="AV45" s="109">
        <f>AV$22*shipping_manufacturing!$G$28/100</f>
        <v>256.3692416361236</v>
      </c>
      <c r="AW45" s="109">
        <f>AW$22*shipping_manufacturing!$G$28/100</f>
        <v>256.3692416361236</v>
      </c>
      <c r="AX45" s="109">
        <f>AX$22*shipping_manufacturing!$G$28/100</f>
        <v>256.3692416361236</v>
      </c>
      <c r="AY45" s="109">
        <f>AY$22*shipping_manufacturing!$G$28/100</f>
        <v>256.3692416361236</v>
      </c>
    </row>
    <row r="46" spans="1:52">
      <c r="A46" s="109">
        <v>89</v>
      </c>
      <c r="B46" s="164" t="s">
        <v>344</v>
      </c>
      <c r="C46" s="109"/>
      <c r="D46" s="109">
        <f>SUM(D44:D45)</f>
        <v>380.80173219543997</v>
      </c>
      <c r="E46" s="109">
        <f t="shared" ref="E46:AY46" si="14">SUM(E44:E45)</f>
        <v>470.16924163612362</v>
      </c>
      <c r="F46" s="109">
        <f t="shared" si="14"/>
        <v>470.16924163612362</v>
      </c>
      <c r="G46" s="109">
        <f t="shared" si="14"/>
        <v>470.16924163612362</v>
      </c>
      <c r="H46" s="109">
        <f t="shared" si="14"/>
        <v>470.16924163612362</v>
      </c>
      <c r="I46" s="109">
        <f t="shared" si="14"/>
        <v>470.16924163612362</v>
      </c>
      <c r="J46" s="109">
        <f t="shared" si="14"/>
        <v>470.16924163612362</v>
      </c>
      <c r="K46" s="109">
        <f t="shared" si="14"/>
        <v>470.16924163612362</v>
      </c>
      <c r="L46" s="109">
        <f t="shared" si="14"/>
        <v>470.16924163612362</v>
      </c>
      <c r="M46" s="109">
        <f t="shared" si="14"/>
        <v>470.16924163612362</v>
      </c>
      <c r="N46" s="109">
        <f t="shared" si="14"/>
        <v>470.16924163612362</v>
      </c>
      <c r="O46" s="109">
        <f t="shared" si="14"/>
        <v>470.16924163612362</v>
      </c>
      <c r="P46" s="109">
        <f t="shared" si="14"/>
        <v>470.16924163612362</v>
      </c>
      <c r="Q46" s="109">
        <f t="shared" si="14"/>
        <v>470.16924163612362</v>
      </c>
      <c r="R46" s="109">
        <f t="shared" si="14"/>
        <v>470.16924163612362</v>
      </c>
      <c r="S46" s="109">
        <f t="shared" si="14"/>
        <v>470.16924163612362</v>
      </c>
      <c r="T46" s="109">
        <f t="shared" si="14"/>
        <v>470.16924163612362</v>
      </c>
      <c r="U46" s="109">
        <f t="shared" si="14"/>
        <v>470.16924163612362</v>
      </c>
      <c r="V46" s="109">
        <f t="shared" si="14"/>
        <v>470.16924163612362</v>
      </c>
      <c r="W46" s="109">
        <f t="shared" si="14"/>
        <v>470.16924163612362</v>
      </c>
      <c r="X46" s="109">
        <f t="shared" si="14"/>
        <v>470.16924163612362</v>
      </c>
      <c r="Y46" s="109">
        <f t="shared" si="14"/>
        <v>470.16924163612362</v>
      </c>
      <c r="Z46" s="109">
        <f t="shared" si="14"/>
        <v>470.16924163612362</v>
      </c>
      <c r="AA46" s="109">
        <f t="shared" si="14"/>
        <v>470.16924163612362</v>
      </c>
      <c r="AB46" s="109">
        <f t="shared" si="14"/>
        <v>470.16924163612362</v>
      </c>
      <c r="AC46" s="109">
        <f t="shared" si="14"/>
        <v>470.16924163612362</v>
      </c>
      <c r="AD46" s="109">
        <f t="shared" si="14"/>
        <v>470.16924163612362</v>
      </c>
      <c r="AE46" s="109">
        <f t="shared" si="14"/>
        <v>470.16924163612362</v>
      </c>
      <c r="AF46" s="109">
        <f t="shared" si="14"/>
        <v>470.16924163612362</v>
      </c>
      <c r="AG46" s="109">
        <f t="shared" si="14"/>
        <v>470.16924163612362</v>
      </c>
      <c r="AH46" s="109">
        <f t="shared" si="14"/>
        <v>470.16924163612362</v>
      </c>
      <c r="AI46" s="109">
        <f t="shared" si="14"/>
        <v>0</v>
      </c>
      <c r="AJ46" s="109">
        <f t="shared" si="14"/>
        <v>470.16924163612362</v>
      </c>
      <c r="AK46" s="109">
        <f t="shared" si="14"/>
        <v>470.16924163612362</v>
      </c>
      <c r="AL46" s="109">
        <f t="shared" si="14"/>
        <v>470.16924163612362</v>
      </c>
      <c r="AM46" s="109">
        <f t="shared" si="14"/>
        <v>470.16924163612362</v>
      </c>
      <c r="AN46" s="109">
        <f t="shared" si="14"/>
        <v>470.16924163612362</v>
      </c>
      <c r="AO46" s="109">
        <f t="shared" si="14"/>
        <v>376.13547358613016</v>
      </c>
      <c r="AP46" s="109">
        <f t="shared" si="14"/>
        <v>376.13547358613016</v>
      </c>
      <c r="AQ46" s="109">
        <f t="shared" si="14"/>
        <v>376.13547358613016</v>
      </c>
      <c r="AR46" s="109">
        <f t="shared" si="14"/>
        <v>376.13547358613016</v>
      </c>
      <c r="AS46" s="109">
        <f t="shared" si="14"/>
        <v>470.16924163612362</v>
      </c>
      <c r="AT46" s="109">
        <f t="shared" si="14"/>
        <v>470.16924163612362</v>
      </c>
      <c r="AU46" s="109">
        <f t="shared" si="14"/>
        <v>470.16924163612362</v>
      </c>
      <c r="AV46" s="109">
        <f t="shared" si="14"/>
        <v>470.16924163612362</v>
      </c>
      <c r="AW46" s="109">
        <f t="shared" si="14"/>
        <v>470.16924163612362</v>
      </c>
      <c r="AX46" s="109">
        <f t="shared" si="14"/>
        <v>470.16924163612362</v>
      </c>
      <c r="AY46" s="109">
        <f t="shared" si="14"/>
        <v>470.16924163612362</v>
      </c>
    </row>
    <row r="47" spans="1:52">
      <c r="A47" s="109"/>
      <c r="B47" s="164" t="s">
        <v>345</v>
      </c>
      <c r="C47" s="109"/>
      <c r="D47" s="109">
        <v>163.70275463397408</v>
      </c>
      <c r="E47" s="109">
        <v>136.41896219497838</v>
      </c>
      <c r="F47" s="109">
        <v>163.70275463397408</v>
      </c>
      <c r="G47" s="109">
        <v>136.41896219497838</v>
      </c>
      <c r="H47" s="109">
        <v>163.70275463397408</v>
      </c>
      <c r="I47" s="109">
        <v>136.41896219497838</v>
      </c>
      <c r="J47" s="109">
        <v>163.70275463397408</v>
      </c>
      <c r="K47" s="109">
        <v>136.41896219497838</v>
      </c>
      <c r="L47" s="109">
        <v>163.70275463397408</v>
      </c>
      <c r="M47" s="109">
        <v>136.41896219497838</v>
      </c>
      <c r="N47" s="109">
        <v>163.70275463397408</v>
      </c>
      <c r="O47" s="109">
        <v>136.41896219497838</v>
      </c>
      <c r="P47" s="109">
        <v>163.70275463397408</v>
      </c>
      <c r="Q47" s="109">
        <v>136.41896219497838</v>
      </c>
      <c r="R47" s="109">
        <v>163.70275463397408</v>
      </c>
      <c r="S47" s="109">
        <v>136.41896219497838</v>
      </c>
      <c r="T47" s="109">
        <v>163.70275463397408</v>
      </c>
      <c r="U47" s="109">
        <v>136.41896219497838</v>
      </c>
      <c r="V47" s="109">
        <v>163.70275463397408</v>
      </c>
      <c r="W47" s="109">
        <v>136.41896219497838</v>
      </c>
      <c r="X47" s="109">
        <v>163.70275463397408</v>
      </c>
      <c r="Y47" s="109">
        <v>136.41896219497838</v>
      </c>
      <c r="Z47" s="109">
        <v>163.70275463397408</v>
      </c>
      <c r="AA47" s="109">
        <v>136.41896219497838</v>
      </c>
      <c r="AB47" s="109">
        <v>163.70275463397408</v>
      </c>
      <c r="AC47" s="109">
        <v>136.41896219497838</v>
      </c>
      <c r="AD47" s="109">
        <v>163.70275463397408</v>
      </c>
      <c r="AE47" s="109">
        <v>136.41896219497838</v>
      </c>
      <c r="AF47" s="109">
        <v>163.70275463397408</v>
      </c>
      <c r="AG47" s="109">
        <v>136.41896219497838</v>
      </c>
      <c r="AH47" s="109">
        <v>163.70275463397408</v>
      </c>
      <c r="AI47" s="109"/>
      <c r="AJ47" s="109">
        <v>213.80000000000007</v>
      </c>
      <c r="AK47" s="109">
        <v>68.209481097489189</v>
      </c>
      <c r="AL47" s="109">
        <v>213.80000000000007</v>
      </c>
      <c r="AM47" s="109">
        <v>68.209481097489189</v>
      </c>
      <c r="AN47" s="109">
        <v>213.80000000000007</v>
      </c>
      <c r="AO47" s="109">
        <v>68.209481097489189</v>
      </c>
      <c r="AP47" s="109">
        <v>171.04003650445529</v>
      </c>
      <c r="AQ47" s="109">
        <v>109.1351697559827</v>
      </c>
      <c r="AR47" s="109">
        <v>171.04003650445529</v>
      </c>
      <c r="AS47" s="109">
        <v>109.1351697559827</v>
      </c>
      <c r="AT47" s="109">
        <v>190.98654707296978</v>
      </c>
      <c r="AU47" s="109">
        <v>109.1351697559827</v>
      </c>
      <c r="AV47" s="109">
        <v>190.98654707296978</v>
      </c>
      <c r="AW47" s="109">
        <v>109.1351697559827</v>
      </c>
      <c r="AX47" s="109">
        <v>190.98654707296978</v>
      </c>
      <c r="AY47" s="109">
        <v>109.1351697559827</v>
      </c>
    </row>
    <row r="48" spans="1:52">
      <c r="A48" s="109"/>
      <c r="B48" s="164" t="s">
        <v>346</v>
      </c>
      <c r="C48" s="109"/>
      <c r="D48" s="109">
        <v>196.297245366026</v>
      </c>
      <c r="E48" s="109">
        <v>163.58103780502165</v>
      </c>
      <c r="F48" s="109">
        <v>196.297245366026</v>
      </c>
      <c r="G48" s="109">
        <v>163.58103780502165</v>
      </c>
      <c r="H48" s="109">
        <v>196.297245366026</v>
      </c>
      <c r="I48" s="109">
        <v>163.58103780502165</v>
      </c>
      <c r="J48" s="109">
        <v>196.297245366026</v>
      </c>
      <c r="K48" s="109">
        <v>163.58103780502165</v>
      </c>
      <c r="L48" s="109">
        <v>196.297245366026</v>
      </c>
      <c r="M48" s="109">
        <v>163.58103780502165</v>
      </c>
      <c r="N48" s="109">
        <v>196.297245366026</v>
      </c>
      <c r="O48" s="109">
        <v>163.58103780502165</v>
      </c>
      <c r="P48" s="109">
        <v>196.297245366026</v>
      </c>
      <c r="Q48" s="109">
        <v>163.58103780502165</v>
      </c>
      <c r="R48" s="109">
        <v>196.297245366026</v>
      </c>
      <c r="S48" s="109">
        <v>163.58103780502165</v>
      </c>
      <c r="T48" s="109">
        <v>196.297245366026</v>
      </c>
      <c r="U48" s="109">
        <v>163.58103780502165</v>
      </c>
      <c r="V48" s="109">
        <v>196.297245366026</v>
      </c>
      <c r="W48" s="109">
        <v>163.58103780502165</v>
      </c>
      <c r="X48" s="109">
        <v>196.297245366026</v>
      </c>
      <c r="Y48" s="109">
        <v>163.58103780502165</v>
      </c>
      <c r="Z48" s="109">
        <v>196.297245366026</v>
      </c>
      <c r="AA48" s="109">
        <v>163.58103780502165</v>
      </c>
      <c r="AB48" s="109">
        <v>196.297245366026</v>
      </c>
      <c r="AC48" s="109">
        <v>163.58103780502165</v>
      </c>
      <c r="AD48" s="109">
        <v>196.297245366026</v>
      </c>
      <c r="AE48" s="109">
        <v>163.58103780502165</v>
      </c>
      <c r="AF48" s="109">
        <v>196.297245366026</v>
      </c>
      <c r="AG48" s="109">
        <v>163.58103780502165</v>
      </c>
      <c r="AH48" s="109">
        <v>196.297245366026</v>
      </c>
      <c r="AI48" s="109"/>
      <c r="AJ48" s="109">
        <v>256.36924163612372</v>
      </c>
      <c r="AK48" s="109">
        <v>81.790518902510811</v>
      </c>
      <c r="AL48" s="109">
        <v>256.36924163612372</v>
      </c>
      <c r="AM48" s="109">
        <v>81.790518902510811</v>
      </c>
      <c r="AN48" s="109">
        <v>256.36924163612372</v>
      </c>
      <c r="AO48" s="109">
        <v>81.790518902510811</v>
      </c>
      <c r="AP48" s="109">
        <v>205.09543708167496</v>
      </c>
      <c r="AQ48" s="109">
        <v>130.8648302440173</v>
      </c>
      <c r="AR48" s="109">
        <v>205.09543708167496</v>
      </c>
      <c r="AS48" s="109">
        <v>130.8648302440173</v>
      </c>
      <c r="AT48" s="109">
        <v>229.01345292703036</v>
      </c>
      <c r="AU48" s="109">
        <v>130.8648302440173</v>
      </c>
      <c r="AV48" s="109">
        <v>229.01345292703036</v>
      </c>
      <c r="AW48" s="109">
        <v>130.8648302440173</v>
      </c>
      <c r="AX48" s="109">
        <v>229.01345292703036</v>
      </c>
      <c r="AY48" s="109">
        <v>130.8648302440173</v>
      </c>
    </row>
    <row r="49" spans="1:52">
      <c r="A49" s="109"/>
      <c r="B49" s="164" t="s">
        <v>347</v>
      </c>
      <c r="C49" s="109"/>
      <c r="D49" s="109">
        <v>12</v>
      </c>
      <c r="E49" s="109">
        <v>10</v>
      </c>
      <c r="F49" s="109">
        <v>12</v>
      </c>
      <c r="G49" s="109">
        <v>10</v>
      </c>
      <c r="H49" s="109">
        <v>12</v>
      </c>
      <c r="I49" s="109">
        <v>10</v>
      </c>
      <c r="J49" s="109">
        <v>12</v>
      </c>
      <c r="K49" s="109">
        <v>10</v>
      </c>
      <c r="L49" s="109">
        <v>12</v>
      </c>
      <c r="M49" s="109">
        <v>10</v>
      </c>
      <c r="N49" s="109">
        <v>12</v>
      </c>
      <c r="O49" s="109">
        <v>10</v>
      </c>
      <c r="P49" s="109">
        <v>12</v>
      </c>
      <c r="Q49" s="109">
        <v>10</v>
      </c>
      <c r="R49" s="109">
        <v>12</v>
      </c>
      <c r="S49" s="109">
        <v>10</v>
      </c>
      <c r="T49" s="109">
        <v>12</v>
      </c>
      <c r="U49" s="109">
        <v>10</v>
      </c>
      <c r="V49" s="109">
        <v>12</v>
      </c>
      <c r="W49" s="109">
        <v>10</v>
      </c>
      <c r="X49" s="109">
        <v>12</v>
      </c>
      <c r="Y49" s="109">
        <v>10</v>
      </c>
      <c r="Z49" s="109">
        <v>12</v>
      </c>
      <c r="AA49" s="109">
        <v>10</v>
      </c>
      <c r="AB49" s="109">
        <v>12</v>
      </c>
      <c r="AC49" s="109">
        <v>10</v>
      </c>
      <c r="AD49" s="109">
        <v>12</v>
      </c>
      <c r="AE49" s="109">
        <v>10</v>
      </c>
      <c r="AF49" s="109">
        <v>12</v>
      </c>
      <c r="AG49" s="109">
        <v>10</v>
      </c>
      <c r="AH49" s="109">
        <v>12</v>
      </c>
      <c r="AI49" s="109"/>
      <c r="AJ49" s="109">
        <v>16</v>
      </c>
      <c r="AK49" s="109">
        <v>5</v>
      </c>
      <c r="AL49" s="109">
        <v>16</v>
      </c>
      <c r="AM49" s="109">
        <v>5</v>
      </c>
      <c r="AN49" s="109">
        <v>16</v>
      </c>
      <c r="AO49" s="109">
        <v>5</v>
      </c>
      <c r="AP49" s="109">
        <v>13</v>
      </c>
      <c r="AQ49" s="109">
        <v>8</v>
      </c>
      <c r="AR49" s="109">
        <v>13</v>
      </c>
      <c r="AS49" s="109">
        <v>8</v>
      </c>
      <c r="AT49" s="109">
        <v>14</v>
      </c>
      <c r="AU49" s="109">
        <v>8</v>
      </c>
      <c r="AV49" s="109">
        <v>14</v>
      </c>
      <c r="AW49" s="109">
        <v>8</v>
      </c>
      <c r="AX49" s="109">
        <v>14</v>
      </c>
      <c r="AY49" s="109">
        <v>8</v>
      </c>
    </row>
    <row r="50" spans="1:52">
      <c r="A50" s="109"/>
      <c r="B50" s="164" t="s">
        <v>348</v>
      </c>
      <c r="C50" s="109"/>
      <c r="D50" s="109">
        <f>D44-D47</f>
        <v>9.4591690598659284</v>
      </c>
      <c r="E50" s="109">
        <f t="shared" ref="E50:AY50" si="15">E44-E47</f>
        <v>77.381037805021634</v>
      </c>
      <c r="F50" s="109">
        <f t="shared" si="15"/>
        <v>50.09724536602593</v>
      </c>
      <c r="G50" s="109">
        <f t="shared" si="15"/>
        <v>77.381037805021634</v>
      </c>
      <c r="H50" s="109">
        <f t="shared" si="15"/>
        <v>50.09724536602593</v>
      </c>
      <c r="I50" s="109">
        <f t="shared" si="15"/>
        <v>77.381037805021634</v>
      </c>
      <c r="J50" s="109">
        <f t="shared" si="15"/>
        <v>50.09724536602593</v>
      </c>
      <c r="K50" s="109">
        <f t="shared" si="15"/>
        <v>77.381037805021634</v>
      </c>
      <c r="L50" s="109">
        <f t="shared" si="15"/>
        <v>50.09724536602593</v>
      </c>
      <c r="M50" s="109">
        <f t="shared" si="15"/>
        <v>77.381037805021634</v>
      </c>
      <c r="N50" s="109">
        <f t="shared" si="15"/>
        <v>50.09724536602593</v>
      </c>
      <c r="O50" s="109">
        <f t="shared" si="15"/>
        <v>77.381037805021634</v>
      </c>
      <c r="P50" s="109">
        <f t="shared" si="15"/>
        <v>50.09724536602593</v>
      </c>
      <c r="Q50" s="109">
        <f t="shared" si="15"/>
        <v>77.381037805021634</v>
      </c>
      <c r="R50" s="109">
        <f t="shared" si="15"/>
        <v>50.09724536602593</v>
      </c>
      <c r="S50" s="109">
        <f t="shared" si="15"/>
        <v>77.381037805021634</v>
      </c>
      <c r="T50" s="109">
        <f t="shared" si="15"/>
        <v>50.09724536602593</v>
      </c>
      <c r="U50" s="109">
        <f t="shared" si="15"/>
        <v>77.381037805021634</v>
      </c>
      <c r="V50" s="109">
        <f t="shared" si="15"/>
        <v>50.09724536602593</v>
      </c>
      <c r="W50" s="109">
        <f t="shared" si="15"/>
        <v>77.381037805021634</v>
      </c>
      <c r="X50" s="109">
        <f t="shared" si="15"/>
        <v>50.09724536602593</v>
      </c>
      <c r="Y50" s="109">
        <f t="shared" si="15"/>
        <v>77.381037805021634</v>
      </c>
      <c r="Z50" s="109">
        <f t="shared" si="15"/>
        <v>50.09724536602593</v>
      </c>
      <c r="AA50" s="109">
        <f t="shared" si="15"/>
        <v>77.381037805021634</v>
      </c>
      <c r="AB50" s="109">
        <f t="shared" si="15"/>
        <v>50.09724536602593</v>
      </c>
      <c r="AC50" s="109">
        <f t="shared" si="15"/>
        <v>77.381037805021634</v>
      </c>
      <c r="AD50" s="109">
        <f t="shared" si="15"/>
        <v>50.09724536602593</v>
      </c>
      <c r="AE50" s="109">
        <f t="shared" si="15"/>
        <v>77.381037805021634</v>
      </c>
      <c r="AF50" s="109">
        <f t="shared" si="15"/>
        <v>50.09724536602593</v>
      </c>
      <c r="AG50" s="109">
        <f t="shared" si="15"/>
        <v>77.381037805021634</v>
      </c>
      <c r="AH50" s="109">
        <f t="shared" si="15"/>
        <v>50.09724536602593</v>
      </c>
      <c r="AI50" s="109">
        <f t="shared" si="15"/>
        <v>0</v>
      </c>
      <c r="AJ50" s="109">
        <f t="shared" si="15"/>
        <v>0</v>
      </c>
      <c r="AK50" s="109">
        <f t="shared" si="15"/>
        <v>145.59051890251084</v>
      </c>
      <c r="AL50" s="109">
        <f t="shared" si="15"/>
        <v>0</v>
      </c>
      <c r="AM50" s="109">
        <f t="shared" si="15"/>
        <v>145.59051890251084</v>
      </c>
      <c r="AN50" s="109">
        <f t="shared" si="15"/>
        <v>0</v>
      </c>
      <c r="AO50" s="109">
        <f t="shared" si="15"/>
        <v>102.83055540696604</v>
      </c>
      <c r="AP50" s="109">
        <f t="shared" si="15"/>
        <v>0</v>
      </c>
      <c r="AQ50" s="109">
        <f t="shared" si="15"/>
        <v>61.904866748472529</v>
      </c>
      <c r="AR50" s="109">
        <f t="shared" si="15"/>
        <v>0</v>
      </c>
      <c r="AS50" s="109">
        <f t="shared" si="15"/>
        <v>104.66483024401731</v>
      </c>
      <c r="AT50" s="109">
        <f t="shared" si="15"/>
        <v>22.813452927030227</v>
      </c>
      <c r="AU50" s="109">
        <f t="shared" si="15"/>
        <v>104.66483024401731</v>
      </c>
      <c r="AV50" s="109">
        <f t="shared" si="15"/>
        <v>22.813452927030227</v>
      </c>
      <c r="AW50" s="109">
        <f t="shared" si="15"/>
        <v>104.66483024401731</v>
      </c>
      <c r="AX50" s="109">
        <f t="shared" si="15"/>
        <v>22.813452927030227</v>
      </c>
      <c r="AY50" s="109">
        <f t="shared" si="15"/>
        <v>104.66483024401731</v>
      </c>
    </row>
    <row r="51" spans="1:52">
      <c r="A51" s="109"/>
      <c r="B51" s="164" t="s">
        <v>349</v>
      </c>
      <c r="C51" s="109"/>
      <c r="D51" s="109">
        <f>D45-D48</f>
        <v>11.342563135573954</v>
      </c>
      <c r="E51" s="109">
        <f t="shared" ref="E51:AY51" si="16">E45-E48</f>
        <v>92.788203831101953</v>
      </c>
      <c r="F51" s="109">
        <f t="shared" si="16"/>
        <v>60.0719962700976</v>
      </c>
      <c r="G51" s="109">
        <f t="shared" si="16"/>
        <v>92.788203831101953</v>
      </c>
      <c r="H51" s="109">
        <f t="shared" si="16"/>
        <v>60.0719962700976</v>
      </c>
      <c r="I51" s="109">
        <f t="shared" si="16"/>
        <v>92.788203831101953</v>
      </c>
      <c r="J51" s="109">
        <f t="shared" si="16"/>
        <v>60.0719962700976</v>
      </c>
      <c r="K51" s="109">
        <f t="shared" si="16"/>
        <v>92.788203831101953</v>
      </c>
      <c r="L51" s="109">
        <f t="shared" si="16"/>
        <v>60.0719962700976</v>
      </c>
      <c r="M51" s="109">
        <f t="shared" si="16"/>
        <v>92.788203831101953</v>
      </c>
      <c r="N51" s="109">
        <f t="shared" si="16"/>
        <v>60.0719962700976</v>
      </c>
      <c r="O51" s="109">
        <f t="shared" si="16"/>
        <v>92.788203831101953</v>
      </c>
      <c r="P51" s="109">
        <f t="shared" si="16"/>
        <v>60.0719962700976</v>
      </c>
      <c r="Q51" s="109">
        <f t="shared" si="16"/>
        <v>92.788203831101953</v>
      </c>
      <c r="R51" s="109">
        <f t="shared" si="16"/>
        <v>60.0719962700976</v>
      </c>
      <c r="S51" s="109">
        <f t="shared" si="16"/>
        <v>92.788203831101953</v>
      </c>
      <c r="T51" s="109">
        <f t="shared" si="16"/>
        <v>60.0719962700976</v>
      </c>
      <c r="U51" s="109">
        <f t="shared" si="16"/>
        <v>92.788203831101953</v>
      </c>
      <c r="V51" s="109">
        <f t="shared" si="16"/>
        <v>60.0719962700976</v>
      </c>
      <c r="W51" s="109">
        <f t="shared" si="16"/>
        <v>92.788203831101953</v>
      </c>
      <c r="X51" s="109">
        <f t="shared" si="16"/>
        <v>60.0719962700976</v>
      </c>
      <c r="Y51" s="109">
        <f t="shared" si="16"/>
        <v>92.788203831101953</v>
      </c>
      <c r="Z51" s="109">
        <f t="shared" si="16"/>
        <v>60.0719962700976</v>
      </c>
      <c r="AA51" s="109">
        <f t="shared" si="16"/>
        <v>92.788203831101953</v>
      </c>
      <c r="AB51" s="109">
        <f t="shared" si="16"/>
        <v>60.0719962700976</v>
      </c>
      <c r="AC51" s="109">
        <f t="shared" si="16"/>
        <v>92.788203831101953</v>
      </c>
      <c r="AD51" s="109">
        <f t="shared" si="16"/>
        <v>60.0719962700976</v>
      </c>
      <c r="AE51" s="109">
        <f t="shared" si="16"/>
        <v>92.788203831101953</v>
      </c>
      <c r="AF51" s="109">
        <f t="shared" si="16"/>
        <v>60.0719962700976</v>
      </c>
      <c r="AG51" s="109">
        <f t="shared" si="16"/>
        <v>92.788203831101953</v>
      </c>
      <c r="AH51" s="109">
        <f t="shared" si="16"/>
        <v>60.0719962700976</v>
      </c>
      <c r="AI51" s="109">
        <f t="shared" si="16"/>
        <v>0</v>
      </c>
      <c r="AJ51" s="109">
        <f t="shared" si="16"/>
        <v>0</v>
      </c>
      <c r="AK51" s="109">
        <f t="shared" si="16"/>
        <v>174.57872273361278</v>
      </c>
      <c r="AL51" s="109">
        <f t="shared" si="16"/>
        <v>0</v>
      </c>
      <c r="AM51" s="109">
        <f t="shared" si="16"/>
        <v>174.57872273361278</v>
      </c>
      <c r="AN51" s="109">
        <f t="shared" si="16"/>
        <v>0</v>
      </c>
      <c r="AO51" s="109">
        <f t="shared" si="16"/>
        <v>123.30491817916409</v>
      </c>
      <c r="AP51" s="109">
        <f t="shared" si="16"/>
        <v>0</v>
      </c>
      <c r="AQ51" s="109">
        <f t="shared" si="16"/>
        <v>74.230606837657604</v>
      </c>
      <c r="AR51" s="109">
        <f t="shared" si="16"/>
        <v>0</v>
      </c>
      <c r="AS51" s="109">
        <f t="shared" si="16"/>
        <v>125.50441139210631</v>
      </c>
      <c r="AT51" s="109">
        <f t="shared" si="16"/>
        <v>27.355788709093247</v>
      </c>
      <c r="AU51" s="109">
        <f t="shared" si="16"/>
        <v>125.50441139210631</v>
      </c>
      <c r="AV51" s="109">
        <f t="shared" si="16"/>
        <v>27.355788709093247</v>
      </c>
      <c r="AW51" s="109">
        <f t="shared" si="16"/>
        <v>125.50441139210631</v>
      </c>
      <c r="AX51" s="109">
        <f t="shared" si="16"/>
        <v>27.355788709093247</v>
      </c>
      <c r="AY51" s="109">
        <f t="shared" si="16"/>
        <v>125.50441139210631</v>
      </c>
    </row>
    <row r="52" spans="1:52">
      <c r="A52" s="109"/>
      <c r="B52" s="164" t="s">
        <v>350</v>
      </c>
      <c r="C52" s="109"/>
      <c r="D52" s="109">
        <v>2</v>
      </c>
      <c r="E52" s="109">
        <v>2</v>
      </c>
      <c r="F52" s="109">
        <v>1</v>
      </c>
      <c r="G52" s="109">
        <v>1</v>
      </c>
      <c r="H52" s="109">
        <v>3</v>
      </c>
      <c r="I52" s="109">
        <v>2</v>
      </c>
      <c r="J52" s="109">
        <v>1</v>
      </c>
      <c r="K52" s="109">
        <v>3</v>
      </c>
      <c r="L52" s="109">
        <v>3</v>
      </c>
      <c r="M52" s="109">
        <v>1</v>
      </c>
      <c r="N52" s="109">
        <v>1</v>
      </c>
      <c r="O52" s="109">
        <v>2</v>
      </c>
      <c r="P52" s="109">
        <v>2</v>
      </c>
      <c r="Q52" s="109">
        <v>2</v>
      </c>
      <c r="R52" s="109">
        <v>2</v>
      </c>
      <c r="S52" s="109">
        <v>1</v>
      </c>
      <c r="T52" s="109">
        <v>1</v>
      </c>
      <c r="U52" s="109">
        <v>1</v>
      </c>
      <c r="V52" s="109">
        <v>1</v>
      </c>
      <c r="W52" s="109">
        <v>2</v>
      </c>
      <c r="X52" s="109">
        <v>1</v>
      </c>
      <c r="Y52" s="109">
        <v>1</v>
      </c>
      <c r="Z52" s="109">
        <v>1</v>
      </c>
      <c r="AA52" s="109">
        <v>1</v>
      </c>
      <c r="AB52" s="109">
        <v>2</v>
      </c>
      <c r="AC52" s="109">
        <v>1</v>
      </c>
      <c r="AD52" s="109">
        <v>2</v>
      </c>
      <c r="AE52" s="109">
        <v>1</v>
      </c>
      <c r="AF52" s="109">
        <v>1</v>
      </c>
      <c r="AG52" s="109">
        <v>3</v>
      </c>
      <c r="AH52" s="109">
        <v>1</v>
      </c>
      <c r="AI52" s="109">
        <v>1</v>
      </c>
      <c r="AJ52" s="109">
        <v>2</v>
      </c>
      <c r="AK52" s="109">
        <v>1</v>
      </c>
      <c r="AL52" s="109">
        <v>1</v>
      </c>
      <c r="AM52" s="109">
        <v>3</v>
      </c>
      <c r="AN52" s="109">
        <v>3</v>
      </c>
      <c r="AO52" s="109">
        <v>2</v>
      </c>
      <c r="AP52" s="109">
        <v>1</v>
      </c>
      <c r="AQ52" s="109">
        <v>1</v>
      </c>
      <c r="AR52" s="109">
        <v>2</v>
      </c>
      <c r="AS52" s="109">
        <v>1</v>
      </c>
      <c r="AT52" s="109">
        <v>2</v>
      </c>
      <c r="AU52" s="109">
        <v>1</v>
      </c>
      <c r="AV52" s="109">
        <v>1</v>
      </c>
      <c r="AW52" s="109">
        <v>2</v>
      </c>
      <c r="AX52" s="109">
        <v>1</v>
      </c>
      <c r="AY52" s="109">
        <v>2</v>
      </c>
    </row>
    <row r="53" spans="1:52">
      <c r="A53" s="109"/>
      <c r="B53" s="177" t="s">
        <v>351</v>
      </c>
      <c r="C53" s="109"/>
      <c r="D53" s="109">
        <v>38448</v>
      </c>
      <c r="E53" s="109">
        <v>32040</v>
      </c>
      <c r="F53" s="109">
        <v>38448</v>
      </c>
      <c r="G53" s="109">
        <v>32040</v>
      </c>
      <c r="H53" s="109">
        <v>38448</v>
      </c>
      <c r="I53" s="109">
        <v>32040</v>
      </c>
      <c r="J53" s="109">
        <v>38448</v>
      </c>
      <c r="K53" s="109">
        <v>32040</v>
      </c>
      <c r="L53" s="109">
        <v>38448</v>
      </c>
      <c r="M53" s="109">
        <v>32040</v>
      </c>
      <c r="N53" s="109">
        <v>38448</v>
      </c>
      <c r="O53" s="109">
        <v>32040</v>
      </c>
      <c r="P53" s="109">
        <v>38448</v>
      </c>
      <c r="Q53" s="109">
        <v>32040</v>
      </c>
      <c r="R53" s="109">
        <v>38448</v>
      </c>
      <c r="S53" s="109">
        <v>32040</v>
      </c>
      <c r="T53" s="109">
        <v>38448</v>
      </c>
      <c r="U53" s="109">
        <v>32040</v>
      </c>
      <c r="V53" s="109">
        <v>38448</v>
      </c>
      <c r="W53" s="109">
        <v>32040</v>
      </c>
      <c r="X53" s="109">
        <v>38448</v>
      </c>
      <c r="Y53" s="109">
        <v>32040</v>
      </c>
      <c r="Z53" s="109">
        <v>38448</v>
      </c>
      <c r="AA53" s="109">
        <v>32040</v>
      </c>
      <c r="AB53" s="109">
        <v>38448</v>
      </c>
      <c r="AC53" s="109">
        <v>32040</v>
      </c>
      <c r="AD53" s="109">
        <v>38448</v>
      </c>
      <c r="AE53" s="109">
        <v>32040</v>
      </c>
      <c r="AF53" s="109">
        <v>38448</v>
      </c>
      <c r="AG53" s="109">
        <v>32040</v>
      </c>
      <c r="AH53" s="109">
        <v>38448</v>
      </c>
      <c r="AI53" s="109">
        <v>0</v>
      </c>
      <c r="AJ53" s="109">
        <v>51264</v>
      </c>
      <c r="AK53" s="109">
        <v>16020</v>
      </c>
      <c r="AL53" s="109">
        <v>51264</v>
      </c>
      <c r="AM53" s="109">
        <v>16020</v>
      </c>
      <c r="AN53" s="109">
        <v>51264</v>
      </c>
      <c r="AO53" s="109">
        <v>16020</v>
      </c>
      <c r="AP53" s="109">
        <v>41652</v>
      </c>
      <c r="AQ53" s="109">
        <v>25632</v>
      </c>
      <c r="AR53" s="109">
        <v>41652</v>
      </c>
      <c r="AS53" s="109">
        <v>25632</v>
      </c>
      <c r="AT53" s="109">
        <v>44856</v>
      </c>
      <c r="AU53" s="109">
        <v>25632</v>
      </c>
      <c r="AV53" s="109">
        <v>44856</v>
      </c>
      <c r="AW53" s="109">
        <v>25632</v>
      </c>
      <c r="AX53" s="109">
        <v>44856</v>
      </c>
      <c r="AY53" s="109">
        <v>25632</v>
      </c>
      <c r="AZ53" s="99">
        <f>SUM($D$53:$AY$53)</f>
        <v>1643652</v>
      </c>
    </row>
    <row r="54" spans="1:52">
      <c r="A54" s="109"/>
      <c r="B54" s="177" t="s">
        <v>352</v>
      </c>
      <c r="C54" s="109"/>
      <c r="D54" s="109">
        <v>1203.3802075061972</v>
      </c>
      <c r="E54" s="109">
        <v>9844.2906286497491</v>
      </c>
      <c r="F54" s="109">
        <v>6373.2906286497464</v>
      </c>
      <c r="G54" s="109">
        <v>9844.2906286497491</v>
      </c>
      <c r="H54" s="109">
        <v>6373.2906286497464</v>
      </c>
      <c r="I54" s="109">
        <v>9844.2906286497491</v>
      </c>
      <c r="J54" s="109">
        <v>6373.2906286497464</v>
      </c>
      <c r="K54" s="109">
        <v>9844.2906286497491</v>
      </c>
      <c r="L54" s="109">
        <v>6373.2906286497464</v>
      </c>
      <c r="M54" s="109">
        <v>9844.2906286497491</v>
      </c>
      <c r="N54" s="109">
        <v>6373.2906286497464</v>
      </c>
      <c r="O54" s="109">
        <v>9844.2906286497491</v>
      </c>
      <c r="P54" s="109">
        <v>6373.2906286497464</v>
      </c>
      <c r="Q54" s="109">
        <v>9844.2906286497491</v>
      </c>
      <c r="R54" s="109">
        <v>6373.2906286497464</v>
      </c>
      <c r="S54" s="109">
        <v>9844.2906286497491</v>
      </c>
      <c r="T54" s="109">
        <v>6373.2906286497464</v>
      </c>
      <c r="U54" s="109">
        <v>9844.2906286497491</v>
      </c>
      <c r="V54" s="109">
        <v>6373.2906286497464</v>
      </c>
      <c r="W54" s="109">
        <v>9844.2906286497491</v>
      </c>
      <c r="X54" s="109">
        <v>6373.2906286497464</v>
      </c>
      <c r="Y54" s="109">
        <v>9844.2906286497491</v>
      </c>
      <c r="Z54" s="109">
        <v>6373.2906286497464</v>
      </c>
      <c r="AA54" s="109">
        <v>9844.2906286497491</v>
      </c>
      <c r="AB54" s="109">
        <v>6373.2906286497464</v>
      </c>
      <c r="AC54" s="109">
        <v>9844.2906286497491</v>
      </c>
      <c r="AD54" s="109">
        <v>6373.2906286497464</v>
      </c>
      <c r="AE54" s="109">
        <v>9844.2906286497491</v>
      </c>
      <c r="AF54" s="109">
        <v>6373.2906286497464</v>
      </c>
      <c r="AG54" s="109">
        <v>9844.2906286497491</v>
      </c>
      <c r="AH54" s="109">
        <v>6373.2906286497464</v>
      </c>
      <c r="AI54" s="109">
        <v>0</v>
      </c>
      <c r="AJ54" s="109">
        <v>0</v>
      </c>
      <c r="AK54" s="109">
        <v>18521.790628649753</v>
      </c>
      <c r="AL54" s="109">
        <v>0</v>
      </c>
      <c r="AM54" s="109">
        <v>18521.790628649753</v>
      </c>
      <c r="AN54" s="109">
        <v>0</v>
      </c>
      <c r="AO54" s="109">
        <v>13081.937146957629</v>
      </c>
      <c r="AP54" s="109">
        <v>0</v>
      </c>
      <c r="AQ54" s="109">
        <v>7875.4371469576281</v>
      </c>
      <c r="AR54" s="109">
        <v>0</v>
      </c>
      <c r="AS54" s="109">
        <v>13315.290628649751</v>
      </c>
      <c r="AT54" s="109">
        <v>2902.2906286497432</v>
      </c>
      <c r="AU54" s="109">
        <v>13315.290628649751</v>
      </c>
      <c r="AV54" s="109">
        <v>2902.2906286497432</v>
      </c>
      <c r="AW54" s="109">
        <v>13315.290628649751</v>
      </c>
      <c r="AX54" s="109">
        <v>2902.2906286497432</v>
      </c>
      <c r="AY54" s="109">
        <v>13315.290628649751</v>
      </c>
      <c r="AZ54" s="99">
        <f>SUM($D$54:$AY$54)</f>
        <v>364436.08901876182</v>
      </c>
    </row>
    <row r="55" spans="1:52">
      <c r="A55" s="134" t="s">
        <v>59</v>
      </c>
      <c r="B55" s="134" t="s">
        <v>342</v>
      </c>
      <c r="C55" s="123"/>
      <c r="D55" s="123">
        <f>D$21*shipping_manufacturing!$F$29/100</f>
        <v>0</v>
      </c>
      <c r="E55" s="123">
        <f>E$21*shipping_manufacturing!$F$29/100</f>
        <v>0</v>
      </c>
      <c r="F55" s="123">
        <f>F$21*shipping_manufacturing!$F$29/100</f>
        <v>0</v>
      </c>
      <c r="G55" s="123">
        <f>G$21*shipping_manufacturing!$F$29/100</f>
        <v>0</v>
      </c>
      <c r="H55" s="123">
        <f>H$21*shipping_manufacturing!$F$29/100</f>
        <v>0</v>
      </c>
      <c r="I55" s="123">
        <f>I$21*shipping_manufacturing!$F$29/100</f>
        <v>0</v>
      </c>
      <c r="J55" s="123">
        <f>J$21*shipping_manufacturing!$F$29/100</f>
        <v>0</v>
      </c>
      <c r="K55" s="123">
        <f>K$21*shipping_manufacturing!$F$29/100</f>
        <v>0</v>
      </c>
      <c r="L55" s="123">
        <f>L$21*shipping_manufacturing!$F$29/100</f>
        <v>0</v>
      </c>
      <c r="M55" s="123">
        <f>M$21*shipping_manufacturing!$F$29/100</f>
        <v>0</v>
      </c>
      <c r="N55" s="123">
        <f>N$21*shipping_manufacturing!$F$29/100</f>
        <v>0</v>
      </c>
      <c r="O55" s="123">
        <f>O$21*shipping_manufacturing!$F$29/100</f>
        <v>0</v>
      </c>
      <c r="P55" s="123">
        <f>P$21*shipping_manufacturing!$F$29/100</f>
        <v>0</v>
      </c>
      <c r="Q55" s="123">
        <f>Q$21*shipping_manufacturing!$F$29/100</f>
        <v>0</v>
      </c>
      <c r="R55" s="123">
        <f>R$21*shipping_manufacturing!$F$29/100</f>
        <v>0</v>
      </c>
      <c r="S55" s="123">
        <f>S$21*shipping_manufacturing!$F$29/100</f>
        <v>0</v>
      </c>
      <c r="T55" s="123">
        <f>T$21*shipping_manufacturing!$F$29/100</f>
        <v>0</v>
      </c>
      <c r="U55" s="123">
        <f>U$21*shipping_manufacturing!$F$29/100</f>
        <v>0</v>
      </c>
      <c r="V55" s="123">
        <f>V$21*shipping_manufacturing!$F$29/100</f>
        <v>0</v>
      </c>
      <c r="W55" s="123">
        <f>W$21*shipping_manufacturing!$F$29/100</f>
        <v>0</v>
      </c>
      <c r="X55" s="123">
        <f>X$21*shipping_manufacturing!$F$29/100</f>
        <v>0</v>
      </c>
      <c r="Y55" s="123">
        <f>Y$21*shipping_manufacturing!$F$29/100</f>
        <v>0</v>
      </c>
      <c r="Z55" s="123">
        <f>Z$21*shipping_manufacturing!$F$29/100</f>
        <v>0</v>
      </c>
      <c r="AA55" s="123">
        <f>AA$21*shipping_manufacturing!$F$29/100</f>
        <v>0</v>
      </c>
      <c r="AB55" s="123">
        <f>AB$21*shipping_manufacturing!$F$29/100</f>
        <v>0</v>
      </c>
      <c r="AC55" s="123">
        <f>AC$21*shipping_manufacturing!$F$29/100</f>
        <v>0</v>
      </c>
      <c r="AD55" s="123">
        <f>AD$21*shipping_manufacturing!$F$29/100</f>
        <v>0</v>
      </c>
      <c r="AE55" s="123">
        <f>AE$21*shipping_manufacturing!$F$29/100</f>
        <v>0</v>
      </c>
      <c r="AF55" s="123">
        <f>AF$21*shipping_manufacturing!$F$29/100</f>
        <v>0</v>
      </c>
      <c r="AG55" s="123">
        <f>AG$21*shipping_manufacturing!$F$29/100</f>
        <v>0</v>
      </c>
      <c r="AH55" s="123">
        <f>AH$21*shipping_manufacturing!$F$29/100</f>
        <v>0</v>
      </c>
      <c r="AI55" s="123">
        <f>AI$21*shipping_manufacturing!$F$29/100</f>
        <v>0</v>
      </c>
      <c r="AJ55" s="123">
        <f>AJ$21*shipping_manufacturing!$F$29/100</f>
        <v>0</v>
      </c>
      <c r="AK55" s="123">
        <f>AK$21*shipping_manufacturing!$F$29/100</f>
        <v>0</v>
      </c>
      <c r="AL55" s="123">
        <f>AL$21*shipping_manufacturing!$F$29/100</f>
        <v>0</v>
      </c>
      <c r="AM55" s="123">
        <f>AM$21*shipping_manufacturing!$F$29/100</f>
        <v>0</v>
      </c>
      <c r="AN55" s="123">
        <f>AN$21*shipping_manufacturing!$F$29/100</f>
        <v>0</v>
      </c>
      <c r="AO55" s="123">
        <f>AO$21*shipping_manufacturing!$F$29/100</f>
        <v>0</v>
      </c>
      <c r="AP55" s="123">
        <f>AP$21*shipping_manufacturing!$F$29/100</f>
        <v>0</v>
      </c>
      <c r="AQ55" s="123">
        <f>AQ$21*shipping_manufacturing!$F$29/100</f>
        <v>0</v>
      </c>
      <c r="AR55" s="123">
        <f>AR$21*shipping_manufacturing!$F$29/100</f>
        <v>0</v>
      </c>
      <c r="AS55" s="123">
        <f>AS$21*shipping_manufacturing!$F$29/100</f>
        <v>0</v>
      </c>
      <c r="AT55" s="123">
        <f>AT$21*shipping_manufacturing!$F$29/100</f>
        <v>0</v>
      </c>
      <c r="AU55" s="123">
        <f>AU$21*shipping_manufacturing!$F$29/100</f>
        <v>0</v>
      </c>
      <c r="AV55" s="123">
        <f>AV$21*shipping_manufacturing!$F$29/100</f>
        <v>0</v>
      </c>
      <c r="AW55" s="123">
        <f>AW$21*shipping_manufacturing!$F$29/100</f>
        <v>0</v>
      </c>
      <c r="AX55" s="123">
        <f>AX$21*shipping_manufacturing!$F$29/100</f>
        <v>0</v>
      </c>
      <c r="AY55" s="123">
        <f>AY$21*shipping_manufacturing!$F$29/100</f>
        <v>0</v>
      </c>
    </row>
    <row r="56" spans="1:52">
      <c r="A56" s="112" t="s">
        <v>341</v>
      </c>
      <c r="B56" s="164" t="s">
        <v>343</v>
      </c>
      <c r="C56" s="109"/>
      <c r="D56" s="109">
        <f>D$22*shipping_manufacturing!$G$29/100</f>
        <v>0</v>
      </c>
      <c r="E56" s="109">
        <f>E$22*shipping_manufacturing!$G$29/100</f>
        <v>0</v>
      </c>
      <c r="F56" s="109">
        <f>F$22*shipping_manufacturing!$G$29/100</f>
        <v>0</v>
      </c>
      <c r="G56" s="109">
        <f>G$22*shipping_manufacturing!$G$29/100</f>
        <v>0</v>
      </c>
      <c r="H56" s="109">
        <f>H$22*shipping_manufacturing!$G$29/100</f>
        <v>0</v>
      </c>
      <c r="I56" s="109">
        <f>I$22*shipping_manufacturing!$G$29/100</f>
        <v>0</v>
      </c>
      <c r="J56" s="109">
        <f>J$22*shipping_manufacturing!$G$29/100</f>
        <v>0</v>
      </c>
      <c r="K56" s="109">
        <f>K$22*shipping_manufacturing!$G$29/100</f>
        <v>0</v>
      </c>
      <c r="L56" s="109">
        <f>L$22*shipping_manufacturing!$G$29/100</f>
        <v>0</v>
      </c>
      <c r="M56" s="109">
        <f>M$22*shipping_manufacturing!$G$29/100</f>
        <v>0</v>
      </c>
      <c r="N56" s="109">
        <f>N$22*shipping_manufacturing!$G$29/100</f>
        <v>0</v>
      </c>
      <c r="O56" s="109">
        <f>O$22*shipping_manufacturing!$G$29/100</f>
        <v>0</v>
      </c>
      <c r="P56" s="109">
        <f>P$22*shipping_manufacturing!$G$29/100</f>
        <v>0</v>
      </c>
      <c r="Q56" s="109">
        <f>Q$22*shipping_manufacturing!$G$29/100</f>
        <v>0</v>
      </c>
      <c r="R56" s="109">
        <f>R$22*shipping_manufacturing!$G$29/100</f>
        <v>0</v>
      </c>
      <c r="S56" s="109">
        <f>S$22*shipping_manufacturing!$G$29/100</f>
        <v>0</v>
      </c>
      <c r="T56" s="109">
        <f>T$22*shipping_manufacturing!$G$29/100</f>
        <v>0</v>
      </c>
      <c r="U56" s="109">
        <f>U$22*shipping_manufacturing!$G$29/100</f>
        <v>0</v>
      </c>
      <c r="V56" s="109">
        <f>V$22*shipping_manufacturing!$G$29/100</f>
        <v>0</v>
      </c>
      <c r="W56" s="109">
        <f>W$22*shipping_manufacturing!$G$29/100</f>
        <v>0</v>
      </c>
      <c r="X56" s="109">
        <f>X$22*shipping_manufacturing!$G$29/100</f>
        <v>0</v>
      </c>
      <c r="Y56" s="109">
        <f>Y$22*shipping_manufacturing!$G$29/100</f>
        <v>0</v>
      </c>
      <c r="Z56" s="109">
        <f>Z$22*shipping_manufacturing!$G$29/100</f>
        <v>0</v>
      </c>
      <c r="AA56" s="109">
        <f>AA$22*shipping_manufacturing!$G$29/100</f>
        <v>0</v>
      </c>
      <c r="AB56" s="109">
        <f>AB$22*shipping_manufacturing!$G$29/100</f>
        <v>0</v>
      </c>
      <c r="AC56" s="109">
        <f>AC$22*shipping_manufacturing!$G$29/100</f>
        <v>0</v>
      </c>
      <c r="AD56" s="109">
        <f>AD$22*shipping_manufacturing!$G$29/100</f>
        <v>0</v>
      </c>
      <c r="AE56" s="109">
        <f>AE$22*shipping_manufacturing!$G$29/100</f>
        <v>0</v>
      </c>
      <c r="AF56" s="109">
        <f>AF$22*shipping_manufacturing!$G$29/100</f>
        <v>0</v>
      </c>
      <c r="AG56" s="109">
        <f>AG$22*shipping_manufacturing!$G$29/100</f>
        <v>0</v>
      </c>
      <c r="AH56" s="109">
        <f>AH$22*shipping_manufacturing!$G$29/100</f>
        <v>0</v>
      </c>
      <c r="AI56" s="109">
        <f>AI$22*shipping_manufacturing!$G$29/100</f>
        <v>0</v>
      </c>
      <c r="AJ56" s="109">
        <f>AJ$22*shipping_manufacturing!$G$29/100</f>
        <v>0</v>
      </c>
      <c r="AK56" s="109">
        <f>AK$22*shipping_manufacturing!$G$29/100</f>
        <v>0</v>
      </c>
      <c r="AL56" s="109">
        <f>AL$22*shipping_manufacturing!$G$29/100</f>
        <v>0</v>
      </c>
      <c r="AM56" s="109">
        <f>AM$22*shipping_manufacturing!$G$29/100</f>
        <v>0</v>
      </c>
      <c r="AN56" s="109">
        <f>AN$22*shipping_manufacturing!$G$29/100</f>
        <v>0</v>
      </c>
      <c r="AO56" s="109">
        <f>AO$22*shipping_manufacturing!$G$29/100</f>
        <v>0</v>
      </c>
      <c r="AP56" s="109">
        <f>AP$22*shipping_manufacturing!$G$29/100</f>
        <v>0</v>
      </c>
      <c r="AQ56" s="109">
        <f>AQ$22*shipping_manufacturing!$G$29/100</f>
        <v>0</v>
      </c>
      <c r="AR56" s="109">
        <f>AR$22*shipping_manufacturing!$G$29/100</f>
        <v>0</v>
      </c>
      <c r="AS56" s="109">
        <f>AS$22*shipping_manufacturing!$G$29/100</f>
        <v>0</v>
      </c>
      <c r="AT56" s="109">
        <f>AT$22*shipping_manufacturing!$G$29/100</f>
        <v>0</v>
      </c>
      <c r="AU56" s="109">
        <f>AU$22*shipping_manufacturing!$G$29/100</f>
        <v>0</v>
      </c>
      <c r="AV56" s="109">
        <f>AV$22*shipping_manufacturing!$G$29/100</f>
        <v>0</v>
      </c>
      <c r="AW56" s="109">
        <f>AW$22*shipping_manufacturing!$G$29/100</f>
        <v>0</v>
      </c>
      <c r="AX56" s="109">
        <f>AX$22*shipping_manufacturing!$G$29/100</f>
        <v>0</v>
      </c>
      <c r="AY56" s="109">
        <f>AY$22*shipping_manufacturing!$G$29/100</f>
        <v>0</v>
      </c>
    </row>
    <row r="57" spans="1:52">
      <c r="A57" s="109">
        <v>2339</v>
      </c>
      <c r="B57" s="164" t="s">
        <v>344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>
      <c r="A58" s="109"/>
      <c r="B58" s="164" t="s">
        <v>345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>
      <c r="A59" s="109"/>
      <c r="B59" s="164" t="s">
        <v>346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>
      <c r="A60" s="109"/>
      <c r="B60" s="164" t="s">
        <v>347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>
      <c r="A61" s="109"/>
      <c r="B61" s="164" t="s">
        <v>348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>
      <c r="A62" s="109"/>
      <c r="B62" s="164" t="s">
        <v>349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>
      <c r="A63" s="109"/>
      <c r="B63" s="164" t="s">
        <v>350</v>
      </c>
      <c r="C63" s="109"/>
      <c r="D63" s="109">
        <v>2</v>
      </c>
      <c r="E63" s="109">
        <v>4</v>
      </c>
      <c r="F63" s="109">
        <v>3</v>
      </c>
      <c r="G63" s="109">
        <v>2</v>
      </c>
      <c r="H63" s="109">
        <v>2</v>
      </c>
      <c r="I63" s="109">
        <v>3</v>
      </c>
      <c r="J63" s="109">
        <v>2</v>
      </c>
      <c r="K63" s="109">
        <v>3</v>
      </c>
      <c r="L63" s="109">
        <v>2</v>
      </c>
      <c r="M63" s="109">
        <v>2</v>
      </c>
      <c r="N63" s="109">
        <v>2</v>
      </c>
      <c r="O63" s="109">
        <v>2</v>
      </c>
      <c r="P63" s="109">
        <v>3</v>
      </c>
      <c r="Q63" s="109">
        <v>2</v>
      </c>
      <c r="R63" s="109">
        <v>2</v>
      </c>
      <c r="S63" s="109">
        <v>2</v>
      </c>
      <c r="T63" s="109">
        <v>2</v>
      </c>
      <c r="U63" s="109">
        <v>2</v>
      </c>
      <c r="V63" s="109">
        <v>2</v>
      </c>
      <c r="W63" s="109">
        <v>2</v>
      </c>
      <c r="X63" s="109">
        <v>3</v>
      </c>
      <c r="Y63" s="109">
        <v>4</v>
      </c>
      <c r="Z63" s="109">
        <v>3</v>
      </c>
      <c r="AA63" s="109">
        <v>2</v>
      </c>
      <c r="AB63" s="109">
        <v>2</v>
      </c>
      <c r="AC63" s="109">
        <v>2</v>
      </c>
      <c r="AD63" s="109">
        <v>2</v>
      </c>
      <c r="AE63" s="109">
        <v>3</v>
      </c>
      <c r="AF63" s="109">
        <v>2</v>
      </c>
      <c r="AG63" s="109">
        <v>2</v>
      </c>
      <c r="AH63" s="109">
        <v>3</v>
      </c>
      <c r="AI63" s="109">
        <v>2</v>
      </c>
      <c r="AJ63" s="109">
        <v>2</v>
      </c>
      <c r="AK63" s="109">
        <v>2</v>
      </c>
      <c r="AL63" s="109">
        <v>2</v>
      </c>
      <c r="AM63" s="109">
        <v>2</v>
      </c>
      <c r="AN63" s="109">
        <v>4</v>
      </c>
      <c r="AO63" s="109">
        <v>3</v>
      </c>
      <c r="AP63" s="109">
        <v>2</v>
      </c>
      <c r="AQ63" s="109">
        <v>3</v>
      </c>
      <c r="AR63" s="109">
        <v>2</v>
      </c>
      <c r="AS63" s="109">
        <v>2</v>
      </c>
      <c r="AT63" s="109">
        <v>3</v>
      </c>
      <c r="AU63" s="109">
        <v>2</v>
      </c>
      <c r="AV63" s="109">
        <v>2</v>
      </c>
      <c r="AW63" s="109">
        <v>2</v>
      </c>
      <c r="AX63" s="109">
        <v>2</v>
      </c>
      <c r="AY63" s="109">
        <v>3</v>
      </c>
    </row>
    <row r="64" spans="1:52">
      <c r="A64" s="109"/>
      <c r="B64" s="177" t="s">
        <v>351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>
      <c r="A65" s="124"/>
      <c r="B65" s="139" t="s">
        <v>352</v>
      </c>
      <c r="C65" s="124"/>
      <c r="D65" s="124">
        <v>0</v>
      </c>
      <c r="E65" s="124">
        <v>0</v>
      </c>
      <c r="F65" s="124">
        <v>0</v>
      </c>
      <c r="G65" s="124">
        <v>0</v>
      </c>
      <c r="H65" s="124">
        <v>0</v>
      </c>
      <c r="I65" s="124">
        <v>0</v>
      </c>
      <c r="J65" s="124">
        <v>0</v>
      </c>
      <c r="K65" s="124">
        <v>0</v>
      </c>
      <c r="L65" s="124">
        <v>0</v>
      </c>
      <c r="M65" s="124">
        <v>0</v>
      </c>
      <c r="N65" s="124">
        <v>0</v>
      </c>
      <c r="O65" s="124">
        <v>0</v>
      </c>
      <c r="P65" s="124">
        <v>0</v>
      </c>
      <c r="Q65" s="124">
        <v>0</v>
      </c>
      <c r="R65" s="124">
        <v>0</v>
      </c>
      <c r="S65" s="124">
        <v>0</v>
      </c>
      <c r="T65" s="124">
        <v>0</v>
      </c>
      <c r="U65" s="124">
        <v>0</v>
      </c>
      <c r="V65" s="124">
        <v>0</v>
      </c>
      <c r="W65" s="124">
        <v>0</v>
      </c>
      <c r="X65" s="124">
        <v>0</v>
      </c>
      <c r="Y65" s="124">
        <v>0</v>
      </c>
      <c r="Z65" s="124">
        <v>0</v>
      </c>
      <c r="AA65" s="124">
        <v>0</v>
      </c>
      <c r="AB65" s="124">
        <v>0</v>
      </c>
      <c r="AC65" s="124">
        <v>0</v>
      </c>
      <c r="AD65" s="124">
        <v>0</v>
      </c>
      <c r="AE65" s="124">
        <v>0</v>
      </c>
      <c r="AF65" s="124">
        <v>0</v>
      </c>
      <c r="AG65" s="124">
        <v>0</v>
      </c>
      <c r="AH65" s="124">
        <v>0</v>
      </c>
      <c r="AI65" s="124">
        <v>0</v>
      </c>
      <c r="AJ65" s="124">
        <v>0</v>
      </c>
      <c r="AK65" s="124">
        <v>0</v>
      </c>
      <c r="AL65" s="124">
        <v>0</v>
      </c>
      <c r="AM65" s="124">
        <v>0</v>
      </c>
      <c r="AN65" s="124">
        <v>0</v>
      </c>
      <c r="AO65" s="124">
        <v>0</v>
      </c>
      <c r="AP65" s="124">
        <v>0</v>
      </c>
      <c r="AQ65" s="124">
        <v>0</v>
      </c>
      <c r="AR65" s="124">
        <v>0</v>
      </c>
      <c r="AS65" s="124">
        <v>0</v>
      </c>
      <c r="AT65" s="124">
        <v>0</v>
      </c>
      <c r="AU65" s="124">
        <v>0</v>
      </c>
      <c r="AV65" s="124">
        <v>0</v>
      </c>
      <c r="AW65" s="124">
        <v>0</v>
      </c>
      <c r="AX65" s="124">
        <v>0</v>
      </c>
      <c r="AY65" s="124">
        <v>0</v>
      </c>
      <c r="AZ65" s="99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12</v>
      </c>
      <c r="E2" s="109"/>
    </row>
    <row r="3" spans="1:52">
      <c r="A3" s="99" t="s">
        <v>286</v>
      </c>
      <c r="B3" s="106">
        <v>3589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2135.5087737604213</v>
      </c>
      <c r="E7" s="143">
        <v>2135.5087737604213</v>
      </c>
      <c r="F7" s="143">
        <v>2135.5087737604213</v>
      </c>
      <c r="G7" s="143">
        <v>2135.5087737604213</v>
      </c>
      <c r="H7" s="143">
        <v>2135.5087737604213</v>
      </c>
      <c r="I7" s="143">
        <v>2135.5087737604213</v>
      </c>
      <c r="J7" s="143">
        <v>2135.5087737604213</v>
      </c>
      <c r="K7" s="143">
        <v>2135.5087737604213</v>
      </c>
      <c r="L7" s="143">
        <v>2135.5087737604213</v>
      </c>
      <c r="M7" s="143">
        <v>2135.5087737604213</v>
      </c>
      <c r="N7" s="143">
        <v>2135.5087737604213</v>
      </c>
      <c r="O7" s="143">
        <v>2135.5087737604213</v>
      </c>
      <c r="P7" s="143">
        <v>2135.5087737604213</v>
      </c>
      <c r="Q7" s="143">
        <v>2135.5087737604213</v>
      </c>
      <c r="R7" s="143">
        <v>2135.5087737604213</v>
      </c>
      <c r="S7" s="143">
        <v>2135.5087737604213</v>
      </c>
      <c r="T7" s="143">
        <v>2135.5087737604213</v>
      </c>
      <c r="U7" s="143">
        <v>1973.0047348386613</v>
      </c>
      <c r="V7" s="143">
        <v>2135.5087737604213</v>
      </c>
      <c r="W7" s="143">
        <v>2135.5087737604213</v>
      </c>
      <c r="X7" s="143">
        <v>2135.5087737604213</v>
      </c>
      <c r="Y7" s="143">
        <v>2135.5087737604213</v>
      </c>
      <c r="Z7" s="143">
        <v>2135.5087737604213</v>
      </c>
      <c r="AA7" s="143">
        <v>2135.5087737604213</v>
      </c>
      <c r="AB7" s="143">
        <v>2135.5087737604213</v>
      </c>
      <c r="AC7" s="143">
        <v>2135.5087737604213</v>
      </c>
      <c r="AD7" s="143">
        <v>2135.5087737604213</v>
      </c>
      <c r="AE7" s="143">
        <v>2135.5087737604213</v>
      </c>
      <c r="AF7" s="143">
        <v>2135.5087737604213</v>
      </c>
      <c r="AG7" s="143">
        <v>2135.5087737604213</v>
      </c>
      <c r="AH7" s="143">
        <v>2135.5087737604213</v>
      </c>
      <c r="AI7" s="143">
        <v>2135.5087737604213</v>
      </c>
      <c r="AJ7" s="143">
        <v>2135.5087737604213</v>
      </c>
      <c r="AK7" s="143">
        <v>2135.5087737604213</v>
      </c>
      <c r="AL7" s="143">
        <v>2135.5087737604213</v>
      </c>
      <c r="AM7" s="143">
        <v>2135.5087737604213</v>
      </c>
      <c r="AN7" s="143">
        <v>2135.5087737604213</v>
      </c>
      <c r="AO7" s="143">
        <v>2135.5087737604213</v>
      </c>
      <c r="AP7" s="143">
        <v>2135.5087737604213</v>
      </c>
      <c r="AQ7" s="143">
        <v>2135.5087737604213</v>
      </c>
      <c r="AR7" s="143">
        <v>2135.5087737604213</v>
      </c>
      <c r="AS7" s="143">
        <v>2135.5087737604213</v>
      </c>
      <c r="AT7" s="143">
        <v>2135.5087737604213</v>
      </c>
      <c r="AU7" s="143">
        <v>2135.5087737604213</v>
      </c>
      <c r="AV7" s="143">
        <v>2135.5087737604213</v>
      </c>
      <c r="AW7" s="143">
        <v>2135.5087737604213</v>
      </c>
      <c r="AX7" s="143">
        <v>2135.5087737604213</v>
      </c>
      <c r="AY7" s="143">
        <v>2135.5087737604213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682.01754752084253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682.01754752084253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1364.0350950416851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1343.0327903999998</v>
      </c>
      <c r="D13" s="137">
        <f t="shared" ref="D13:AY13" si="1">D$7-D$10</f>
        <v>2135.5087737604213</v>
      </c>
      <c r="E13" s="137">
        <f t="shared" si="1"/>
        <v>1453.4912262395787</v>
      </c>
      <c r="F13" s="137">
        <f t="shared" si="1"/>
        <v>2135.5087737604213</v>
      </c>
      <c r="G13" s="137">
        <f t="shared" si="1"/>
        <v>2135.5087737604213</v>
      </c>
      <c r="H13" s="137">
        <f t="shared" si="1"/>
        <v>2135.5087737604213</v>
      </c>
      <c r="I13" s="137">
        <f t="shared" si="1"/>
        <v>2135.5087737604213</v>
      </c>
      <c r="J13" s="137">
        <f t="shared" si="1"/>
        <v>2135.5087737604213</v>
      </c>
      <c r="K13" s="137">
        <f t="shared" si="1"/>
        <v>2135.5087737604213</v>
      </c>
      <c r="L13" s="137">
        <f t="shared" si="1"/>
        <v>2135.5087737604213</v>
      </c>
      <c r="M13" s="137">
        <f t="shared" si="1"/>
        <v>2135.5087737604213</v>
      </c>
      <c r="N13" s="137">
        <f t="shared" si="1"/>
        <v>2135.5087737604213</v>
      </c>
      <c r="O13" s="137">
        <f t="shared" si="1"/>
        <v>2135.5087737604213</v>
      </c>
      <c r="P13" s="137">
        <f t="shared" si="1"/>
        <v>2135.5087737604213</v>
      </c>
      <c r="Q13" s="137">
        <f t="shared" si="1"/>
        <v>2135.5087737604213</v>
      </c>
      <c r="R13" s="137">
        <f t="shared" si="1"/>
        <v>2135.5087737604213</v>
      </c>
      <c r="S13" s="137">
        <f t="shared" si="1"/>
        <v>2135.5087737604213</v>
      </c>
      <c r="T13" s="137">
        <f t="shared" si="1"/>
        <v>2135.5087737604213</v>
      </c>
      <c r="U13" s="137">
        <f t="shared" si="1"/>
        <v>1973.0047348386613</v>
      </c>
      <c r="V13" s="137">
        <f t="shared" si="1"/>
        <v>2135.5087737604213</v>
      </c>
      <c r="W13" s="137">
        <f t="shared" si="1"/>
        <v>2135.5087737604213</v>
      </c>
      <c r="X13" s="137">
        <f t="shared" si="1"/>
        <v>2135.5087737604213</v>
      </c>
      <c r="Y13" s="137">
        <f t="shared" si="1"/>
        <v>2135.5087737604213</v>
      </c>
      <c r="Z13" s="137">
        <f t="shared" si="1"/>
        <v>2135.5087737604213</v>
      </c>
      <c r="AA13" s="137">
        <f t="shared" si="1"/>
        <v>2135.5087737604213</v>
      </c>
      <c r="AB13" s="137">
        <f t="shared" si="1"/>
        <v>2135.5087737604213</v>
      </c>
      <c r="AC13" s="137">
        <f t="shared" si="1"/>
        <v>2135.5087737604213</v>
      </c>
      <c r="AD13" s="137">
        <f t="shared" si="1"/>
        <v>2135.5087737604213</v>
      </c>
      <c r="AE13" s="137">
        <f t="shared" si="1"/>
        <v>2135.5087737604213</v>
      </c>
      <c r="AF13" s="137">
        <f t="shared" si="1"/>
        <v>2135.5087737604213</v>
      </c>
      <c r="AG13" s="137">
        <f t="shared" si="1"/>
        <v>2135.5087737604213</v>
      </c>
      <c r="AH13" s="137">
        <f t="shared" si="1"/>
        <v>2135.5087737604213</v>
      </c>
      <c r="AI13" s="137">
        <f t="shared" si="1"/>
        <v>2135.5087737604213</v>
      </c>
      <c r="AJ13" s="137">
        <f t="shared" si="1"/>
        <v>2135.5087737604213</v>
      </c>
      <c r="AK13" s="137">
        <f t="shared" si="1"/>
        <v>2135.5087737604213</v>
      </c>
      <c r="AL13" s="137">
        <f t="shared" si="1"/>
        <v>1453.4912262395787</v>
      </c>
      <c r="AM13" s="137">
        <f t="shared" si="1"/>
        <v>2135.5087737604213</v>
      </c>
      <c r="AN13" s="137">
        <f t="shared" si="1"/>
        <v>2135.5087737604213</v>
      </c>
      <c r="AO13" s="137">
        <f t="shared" si="1"/>
        <v>2135.5087737604213</v>
      </c>
      <c r="AP13" s="137">
        <f t="shared" si="1"/>
        <v>2135.5087737604213</v>
      </c>
      <c r="AQ13" s="137">
        <f t="shared" si="1"/>
        <v>2135.5087737604213</v>
      </c>
      <c r="AR13" s="137">
        <f t="shared" si="1"/>
        <v>2135.5087737604213</v>
      </c>
      <c r="AS13" s="137">
        <f t="shared" si="1"/>
        <v>2135.5087737604213</v>
      </c>
      <c r="AT13" s="137">
        <f t="shared" si="1"/>
        <v>2135.5087737604213</v>
      </c>
      <c r="AU13" s="137">
        <f t="shared" si="1"/>
        <v>2135.5087737604213</v>
      </c>
      <c r="AV13" s="137">
        <f t="shared" si="1"/>
        <v>2135.5087737604213</v>
      </c>
      <c r="AW13" s="137">
        <f t="shared" si="1"/>
        <v>2135.5087737604213</v>
      </c>
      <c r="AX13" s="137">
        <f t="shared" si="1"/>
        <v>2135.5087737604213</v>
      </c>
      <c r="AY13" s="137">
        <f t="shared" si="1"/>
        <v>2135.5087737604213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2135.5087737604213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2135.5087737604213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 t="s">
        <v>340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 t="s">
        <v>340</v>
      </c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shipping_manufacturing!$G$19/100</f>
        <v>0.42680000000000001</v>
      </c>
      <c r="C21" s="155" t="s">
        <v>293</v>
      </c>
      <c r="D21" s="105">
        <f>IF(C$20="Yes",0,SUM(C$13:C$16)*$B$21)</f>
        <v>573.20639494271995</v>
      </c>
      <c r="E21" s="105">
        <f t="shared" ref="E21:AY21" si="3">IF(D$20="Yes",0,SUM(D$13:D$16)*$B$21)</f>
        <v>0</v>
      </c>
      <c r="F21" s="105">
        <f t="shared" si="3"/>
        <v>1531.7852</v>
      </c>
      <c r="G21" s="105">
        <f t="shared" si="3"/>
        <v>911.43514464094778</v>
      </c>
      <c r="H21" s="105">
        <f t="shared" si="3"/>
        <v>911.43514464094778</v>
      </c>
      <c r="I21" s="105">
        <f t="shared" si="3"/>
        <v>911.43514464094778</v>
      </c>
      <c r="J21" s="105">
        <f t="shared" si="3"/>
        <v>911.43514464094778</v>
      </c>
      <c r="K21" s="105">
        <f t="shared" si="3"/>
        <v>911.43514464094778</v>
      </c>
      <c r="L21" s="105">
        <f t="shared" si="3"/>
        <v>911.43514464094778</v>
      </c>
      <c r="M21" s="105">
        <f t="shared" si="3"/>
        <v>911.43514464094778</v>
      </c>
      <c r="N21" s="105">
        <f t="shared" si="3"/>
        <v>911.43514464094778</v>
      </c>
      <c r="O21" s="105">
        <f t="shared" si="3"/>
        <v>911.43514464094778</v>
      </c>
      <c r="P21" s="105">
        <f t="shared" si="3"/>
        <v>911.43514464094778</v>
      </c>
      <c r="Q21" s="105">
        <f t="shared" si="3"/>
        <v>911.43514464094778</v>
      </c>
      <c r="R21" s="105">
        <f t="shared" si="3"/>
        <v>911.43514464094778</v>
      </c>
      <c r="S21" s="105">
        <f t="shared" si="3"/>
        <v>911.43514464094778</v>
      </c>
      <c r="T21" s="105">
        <f t="shared" si="3"/>
        <v>911.43514464094778</v>
      </c>
      <c r="U21" s="105">
        <f t="shared" si="3"/>
        <v>911.43514464094778</v>
      </c>
      <c r="V21" s="105">
        <f t="shared" si="3"/>
        <v>842.07842082914067</v>
      </c>
      <c r="W21" s="105">
        <f t="shared" si="3"/>
        <v>911.43514464094778</v>
      </c>
      <c r="X21" s="105">
        <f t="shared" si="3"/>
        <v>911.43514464094778</v>
      </c>
      <c r="Y21" s="105">
        <f t="shared" si="3"/>
        <v>911.43514464094778</v>
      </c>
      <c r="Z21" s="105">
        <f t="shared" si="3"/>
        <v>911.43514464094778</v>
      </c>
      <c r="AA21" s="105">
        <f t="shared" si="3"/>
        <v>911.43514464094778</v>
      </c>
      <c r="AB21" s="105">
        <f t="shared" si="3"/>
        <v>911.43514464094778</v>
      </c>
      <c r="AC21" s="105">
        <f t="shared" si="3"/>
        <v>911.43514464094778</v>
      </c>
      <c r="AD21" s="105">
        <f t="shared" si="3"/>
        <v>911.43514464094778</v>
      </c>
      <c r="AE21" s="105">
        <f t="shared" si="3"/>
        <v>911.43514464094778</v>
      </c>
      <c r="AF21" s="105">
        <f t="shared" si="3"/>
        <v>911.43514464094778</v>
      </c>
      <c r="AG21" s="105">
        <f t="shared" si="3"/>
        <v>911.43514464094778</v>
      </c>
      <c r="AH21" s="105">
        <f t="shared" si="3"/>
        <v>911.43514464094778</v>
      </c>
      <c r="AI21" s="105">
        <f t="shared" si="3"/>
        <v>911.43514464094778</v>
      </c>
      <c r="AJ21" s="105">
        <f t="shared" si="3"/>
        <v>911.43514464094778</v>
      </c>
      <c r="AK21" s="105">
        <f t="shared" si="3"/>
        <v>911.43514464094778</v>
      </c>
      <c r="AL21" s="105">
        <f t="shared" si="3"/>
        <v>0</v>
      </c>
      <c r="AM21" s="105">
        <f t="shared" si="3"/>
        <v>1531.7852</v>
      </c>
      <c r="AN21" s="105">
        <f t="shared" si="3"/>
        <v>911.43514464094778</v>
      </c>
      <c r="AO21" s="105">
        <f t="shared" si="3"/>
        <v>911.43514464094778</v>
      </c>
      <c r="AP21" s="105">
        <f t="shared" si="3"/>
        <v>911.43514464094778</v>
      </c>
      <c r="AQ21" s="105">
        <f t="shared" si="3"/>
        <v>911.43514464094778</v>
      </c>
      <c r="AR21" s="105">
        <f t="shared" si="3"/>
        <v>911.43514464094778</v>
      </c>
      <c r="AS21" s="105">
        <f t="shared" si="3"/>
        <v>911.43514464094778</v>
      </c>
      <c r="AT21" s="105">
        <f t="shared" si="3"/>
        <v>911.43514464094778</v>
      </c>
      <c r="AU21" s="105">
        <f t="shared" si="3"/>
        <v>911.43514464094778</v>
      </c>
      <c r="AV21" s="105">
        <f t="shared" si="3"/>
        <v>911.43514464094778</v>
      </c>
      <c r="AW21" s="105">
        <f t="shared" si="3"/>
        <v>911.43514464094778</v>
      </c>
      <c r="AX21" s="105">
        <f t="shared" si="3"/>
        <v>911.43514464094778</v>
      </c>
      <c r="AY21" s="105">
        <f t="shared" si="3"/>
        <v>911.43514464094778</v>
      </c>
      <c r="AZ21" s="156">
        <f>SUM($D21:$AY21)</f>
        <v>42759.131290691694</v>
      </c>
    </row>
    <row r="22" spans="1:52" s="109" customFormat="1">
      <c r="A22" s="157" t="s">
        <v>123</v>
      </c>
      <c r="B22" s="158">
        <f>1-$B$21</f>
        <v>0.57319999999999993</v>
      </c>
      <c r="C22" s="158" t="s">
        <v>293</v>
      </c>
      <c r="D22" s="113">
        <f>IF(C$20="Yes",0,SUM(C$13:C$16)*$B$22)</f>
        <v>769.82639545727977</v>
      </c>
      <c r="E22" s="113">
        <f t="shared" ref="E22:AY22" si="4">IF(D$20="Yes",0,SUM(D$13:D$16)*$B$22)</f>
        <v>0</v>
      </c>
      <c r="F22" s="113">
        <f t="shared" si="4"/>
        <v>2057.2147999999997</v>
      </c>
      <c r="G22" s="113">
        <f t="shared" si="4"/>
        <v>1224.0736291194733</v>
      </c>
      <c r="H22" s="113">
        <f t="shared" si="4"/>
        <v>1224.0736291194733</v>
      </c>
      <c r="I22" s="113">
        <f t="shared" si="4"/>
        <v>1224.0736291194733</v>
      </c>
      <c r="J22" s="113">
        <f t="shared" si="4"/>
        <v>1224.0736291194733</v>
      </c>
      <c r="K22" s="113">
        <f t="shared" si="4"/>
        <v>1224.0736291194733</v>
      </c>
      <c r="L22" s="113">
        <f t="shared" si="4"/>
        <v>1224.0736291194733</v>
      </c>
      <c r="M22" s="113">
        <f t="shared" si="4"/>
        <v>1224.0736291194733</v>
      </c>
      <c r="N22" s="113">
        <f t="shared" si="4"/>
        <v>1224.0736291194733</v>
      </c>
      <c r="O22" s="113">
        <f t="shared" si="4"/>
        <v>1224.0736291194733</v>
      </c>
      <c r="P22" s="113">
        <f t="shared" si="4"/>
        <v>1224.0736291194733</v>
      </c>
      <c r="Q22" s="113">
        <f t="shared" si="4"/>
        <v>1224.0736291194733</v>
      </c>
      <c r="R22" s="113">
        <f t="shared" si="4"/>
        <v>1224.0736291194733</v>
      </c>
      <c r="S22" s="113">
        <f t="shared" si="4"/>
        <v>1224.0736291194733</v>
      </c>
      <c r="T22" s="113">
        <f t="shared" si="4"/>
        <v>1224.0736291194733</v>
      </c>
      <c r="U22" s="113">
        <f t="shared" si="4"/>
        <v>1224.0736291194733</v>
      </c>
      <c r="V22" s="113">
        <f t="shared" si="4"/>
        <v>1130.9263140095206</v>
      </c>
      <c r="W22" s="113">
        <f t="shared" si="4"/>
        <v>1224.0736291194733</v>
      </c>
      <c r="X22" s="113">
        <f t="shared" si="4"/>
        <v>1224.0736291194733</v>
      </c>
      <c r="Y22" s="113">
        <f t="shared" si="4"/>
        <v>1224.0736291194733</v>
      </c>
      <c r="Z22" s="113">
        <f t="shared" si="4"/>
        <v>1224.0736291194733</v>
      </c>
      <c r="AA22" s="113">
        <f t="shared" si="4"/>
        <v>1224.0736291194733</v>
      </c>
      <c r="AB22" s="113">
        <f t="shared" si="4"/>
        <v>1224.0736291194733</v>
      </c>
      <c r="AC22" s="113">
        <f t="shared" si="4"/>
        <v>1224.0736291194733</v>
      </c>
      <c r="AD22" s="113">
        <f t="shared" si="4"/>
        <v>1224.0736291194733</v>
      </c>
      <c r="AE22" s="113">
        <f t="shared" si="4"/>
        <v>1224.0736291194733</v>
      </c>
      <c r="AF22" s="113">
        <f t="shared" si="4"/>
        <v>1224.0736291194733</v>
      </c>
      <c r="AG22" s="113">
        <f t="shared" si="4"/>
        <v>1224.0736291194733</v>
      </c>
      <c r="AH22" s="113">
        <f t="shared" si="4"/>
        <v>1224.0736291194733</v>
      </c>
      <c r="AI22" s="113">
        <f t="shared" si="4"/>
        <v>1224.0736291194733</v>
      </c>
      <c r="AJ22" s="113">
        <f t="shared" si="4"/>
        <v>1224.0736291194733</v>
      </c>
      <c r="AK22" s="113">
        <f t="shared" si="4"/>
        <v>1224.0736291194733</v>
      </c>
      <c r="AL22" s="113">
        <f t="shared" si="4"/>
        <v>0</v>
      </c>
      <c r="AM22" s="113">
        <f t="shared" si="4"/>
        <v>2057.2147999999997</v>
      </c>
      <c r="AN22" s="113">
        <f t="shared" si="4"/>
        <v>1224.0736291194733</v>
      </c>
      <c r="AO22" s="113">
        <f t="shared" si="4"/>
        <v>1224.0736291194733</v>
      </c>
      <c r="AP22" s="113">
        <f t="shared" si="4"/>
        <v>1224.0736291194733</v>
      </c>
      <c r="AQ22" s="113">
        <f t="shared" si="4"/>
        <v>1224.0736291194733</v>
      </c>
      <c r="AR22" s="113">
        <f t="shared" si="4"/>
        <v>1224.0736291194733</v>
      </c>
      <c r="AS22" s="113">
        <f t="shared" si="4"/>
        <v>1224.0736291194733</v>
      </c>
      <c r="AT22" s="113">
        <f t="shared" si="4"/>
        <v>1224.0736291194733</v>
      </c>
      <c r="AU22" s="113">
        <f t="shared" si="4"/>
        <v>1224.0736291194733</v>
      </c>
      <c r="AV22" s="113">
        <f t="shared" si="4"/>
        <v>1224.0736291194733</v>
      </c>
      <c r="AW22" s="113">
        <f t="shared" si="4"/>
        <v>1224.0736291194733</v>
      </c>
      <c r="AX22" s="113">
        <f t="shared" si="4"/>
        <v>1224.0736291194733</v>
      </c>
      <c r="AY22" s="113">
        <f t="shared" si="4"/>
        <v>1224.0736291194733</v>
      </c>
      <c r="AZ22" s="140">
        <f t="shared" ref="AZ22:AZ30" si="5">SUM($D22:$AY22)</f>
        <v>57426.27473248462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1146412.7898854399</v>
      </c>
      <c r="E23" s="99">
        <f t="shared" ref="E23:AY23" si="6">E$21*$B$23</f>
        <v>0</v>
      </c>
      <c r="F23" s="99">
        <f t="shared" si="6"/>
        <v>3063570.4</v>
      </c>
      <c r="G23" s="99">
        <f t="shared" si="6"/>
        <v>1822870.2892818956</v>
      </c>
      <c r="H23" s="99">
        <f t="shared" si="6"/>
        <v>1822870.2892818956</v>
      </c>
      <c r="I23" s="99">
        <f t="shared" si="6"/>
        <v>1822870.2892818956</v>
      </c>
      <c r="J23" s="99">
        <f t="shared" si="6"/>
        <v>1822870.2892818956</v>
      </c>
      <c r="K23" s="99">
        <f t="shared" si="6"/>
        <v>1822870.2892818956</v>
      </c>
      <c r="L23" s="99">
        <f t="shared" si="6"/>
        <v>1822870.2892818956</v>
      </c>
      <c r="M23" s="99">
        <f t="shared" si="6"/>
        <v>1822870.2892818956</v>
      </c>
      <c r="N23" s="99">
        <f t="shared" si="6"/>
        <v>1822870.2892818956</v>
      </c>
      <c r="O23" s="99">
        <f t="shared" si="6"/>
        <v>1822870.2892818956</v>
      </c>
      <c r="P23" s="99">
        <f t="shared" si="6"/>
        <v>1822870.2892818956</v>
      </c>
      <c r="Q23" s="99">
        <f t="shared" si="6"/>
        <v>1822870.2892818956</v>
      </c>
      <c r="R23" s="99">
        <f t="shared" si="6"/>
        <v>1822870.2892818956</v>
      </c>
      <c r="S23" s="99">
        <f t="shared" si="6"/>
        <v>1822870.2892818956</v>
      </c>
      <c r="T23" s="99">
        <f t="shared" si="6"/>
        <v>1822870.2892818956</v>
      </c>
      <c r="U23" s="99">
        <f t="shared" si="6"/>
        <v>1822870.2892818956</v>
      </c>
      <c r="V23" s="99">
        <f t="shared" si="6"/>
        <v>1684156.8416582814</v>
      </c>
      <c r="W23" s="99">
        <f t="shared" si="6"/>
        <v>1822870.2892818956</v>
      </c>
      <c r="X23" s="99">
        <f t="shared" si="6"/>
        <v>1822870.2892818956</v>
      </c>
      <c r="Y23" s="99">
        <f t="shared" si="6"/>
        <v>1822870.2892818956</v>
      </c>
      <c r="Z23" s="99">
        <f t="shared" si="6"/>
        <v>1822870.2892818956</v>
      </c>
      <c r="AA23" s="99">
        <f t="shared" si="6"/>
        <v>1822870.2892818956</v>
      </c>
      <c r="AB23" s="99">
        <f t="shared" si="6"/>
        <v>1822870.2892818956</v>
      </c>
      <c r="AC23" s="99">
        <f t="shared" si="6"/>
        <v>1822870.2892818956</v>
      </c>
      <c r="AD23" s="99">
        <f t="shared" si="6"/>
        <v>1822870.2892818956</v>
      </c>
      <c r="AE23" s="99">
        <f t="shared" si="6"/>
        <v>1822870.2892818956</v>
      </c>
      <c r="AF23" s="99">
        <f t="shared" si="6"/>
        <v>1822870.2892818956</v>
      </c>
      <c r="AG23" s="99">
        <f t="shared" si="6"/>
        <v>1822870.2892818956</v>
      </c>
      <c r="AH23" s="99">
        <f t="shared" si="6"/>
        <v>1822870.2892818956</v>
      </c>
      <c r="AI23" s="99">
        <f t="shared" si="6"/>
        <v>1822870.2892818956</v>
      </c>
      <c r="AJ23" s="99">
        <f t="shared" si="6"/>
        <v>1822870.2892818956</v>
      </c>
      <c r="AK23" s="99">
        <f t="shared" si="6"/>
        <v>1822870.2892818956</v>
      </c>
      <c r="AL23" s="99">
        <f t="shared" si="6"/>
        <v>0</v>
      </c>
      <c r="AM23" s="99">
        <f t="shared" si="6"/>
        <v>3063570.4</v>
      </c>
      <c r="AN23" s="99">
        <f t="shared" si="6"/>
        <v>1822870.2892818956</v>
      </c>
      <c r="AO23" s="99">
        <f t="shared" si="6"/>
        <v>1822870.2892818956</v>
      </c>
      <c r="AP23" s="99">
        <f t="shared" si="6"/>
        <v>1822870.2892818956</v>
      </c>
      <c r="AQ23" s="99">
        <f t="shared" si="6"/>
        <v>1822870.2892818956</v>
      </c>
      <c r="AR23" s="99">
        <f t="shared" si="6"/>
        <v>1822870.2892818956</v>
      </c>
      <c r="AS23" s="99">
        <f t="shared" si="6"/>
        <v>1822870.2892818956</v>
      </c>
      <c r="AT23" s="99">
        <f t="shared" si="6"/>
        <v>1822870.2892818956</v>
      </c>
      <c r="AU23" s="99">
        <f t="shared" si="6"/>
        <v>1822870.2892818956</v>
      </c>
      <c r="AV23" s="99">
        <f t="shared" si="6"/>
        <v>1822870.2892818956</v>
      </c>
      <c r="AW23" s="99">
        <f t="shared" si="6"/>
        <v>1822870.2892818956</v>
      </c>
      <c r="AX23" s="99">
        <f t="shared" si="6"/>
        <v>1822870.2892818956</v>
      </c>
      <c r="AY23" s="99">
        <f t="shared" si="6"/>
        <v>1822870.2892818956</v>
      </c>
      <c r="AZ23" s="138">
        <f t="shared" si="5"/>
        <v>85518262.581383318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769826.39545727975</v>
      </c>
      <c r="E24" s="105">
        <f t="shared" ref="E24:AY24" si="7">E$22*$B$24</f>
        <v>0</v>
      </c>
      <c r="F24" s="105">
        <f t="shared" si="7"/>
        <v>2057214.7999999998</v>
      </c>
      <c r="G24" s="105">
        <f t="shared" si="7"/>
        <v>1224073.6291194733</v>
      </c>
      <c r="H24" s="105">
        <f t="shared" si="7"/>
        <v>1224073.6291194733</v>
      </c>
      <c r="I24" s="105">
        <f t="shared" si="7"/>
        <v>1224073.6291194733</v>
      </c>
      <c r="J24" s="105">
        <f t="shared" si="7"/>
        <v>1224073.6291194733</v>
      </c>
      <c r="K24" s="105">
        <f t="shared" si="7"/>
        <v>1224073.6291194733</v>
      </c>
      <c r="L24" s="105">
        <f t="shared" si="7"/>
        <v>1224073.6291194733</v>
      </c>
      <c r="M24" s="105">
        <f t="shared" si="7"/>
        <v>1224073.6291194733</v>
      </c>
      <c r="N24" s="105">
        <f t="shared" si="7"/>
        <v>1224073.6291194733</v>
      </c>
      <c r="O24" s="105">
        <f t="shared" si="7"/>
        <v>1224073.6291194733</v>
      </c>
      <c r="P24" s="105">
        <f t="shared" si="7"/>
        <v>1224073.6291194733</v>
      </c>
      <c r="Q24" s="105">
        <f t="shared" si="7"/>
        <v>1224073.6291194733</v>
      </c>
      <c r="R24" s="105">
        <f t="shared" si="7"/>
        <v>1224073.6291194733</v>
      </c>
      <c r="S24" s="105">
        <f t="shared" si="7"/>
        <v>1224073.6291194733</v>
      </c>
      <c r="T24" s="105">
        <f t="shared" si="7"/>
        <v>1224073.6291194733</v>
      </c>
      <c r="U24" s="105">
        <f t="shared" si="7"/>
        <v>1224073.6291194733</v>
      </c>
      <c r="V24" s="105">
        <f t="shared" si="7"/>
        <v>1130926.3140095207</v>
      </c>
      <c r="W24" s="105">
        <f t="shared" si="7"/>
        <v>1224073.6291194733</v>
      </c>
      <c r="X24" s="105">
        <f t="shared" si="7"/>
        <v>1224073.6291194733</v>
      </c>
      <c r="Y24" s="105">
        <f t="shared" si="7"/>
        <v>1224073.6291194733</v>
      </c>
      <c r="Z24" s="105">
        <f t="shared" si="7"/>
        <v>1224073.6291194733</v>
      </c>
      <c r="AA24" s="105">
        <f t="shared" si="7"/>
        <v>1224073.6291194733</v>
      </c>
      <c r="AB24" s="105">
        <f t="shared" si="7"/>
        <v>1224073.6291194733</v>
      </c>
      <c r="AC24" s="105">
        <f t="shared" si="7"/>
        <v>1224073.6291194733</v>
      </c>
      <c r="AD24" s="105">
        <f t="shared" si="7"/>
        <v>1224073.6291194733</v>
      </c>
      <c r="AE24" s="105">
        <f t="shared" si="7"/>
        <v>1224073.6291194733</v>
      </c>
      <c r="AF24" s="105">
        <f t="shared" si="7"/>
        <v>1224073.6291194733</v>
      </c>
      <c r="AG24" s="105">
        <f t="shared" si="7"/>
        <v>1224073.6291194733</v>
      </c>
      <c r="AH24" s="105">
        <f t="shared" si="7"/>
        <v>1224073.6291194733</v>
      </c>
      <c r="AI24" s="105">
        <f t="shared" si="7"/>
        <v>1224073.6291194733</v>
      </c>
      <c r="AJ24" s="105">
        <f t="shared" si="7"/>
        <v>1224073.6291194733</v>
      </c>
      <c r="AK24" s="105">
        <f t="shared" si="7"/>
        <v>1224073.6291194733</v>
      </c>
      <c r="AL24" s="105">
        <f t="shared" si="7"/>
        <v>0</v>
      </c>
      <c r="AM24" s="105">
        <f t="shared" si="7"/>
        <v>2057214.7999999998</v>
      </c>
      <c r="AN24" s="105">
        <f t="shared" si="7"/>
        <v>1224073.6291194733</v>
      </c>
      <c r="AO24" s="105">
        <f t="shared" si="7"/>
        <v>1224073.6291194733</v>
      </c>
      <c r="AP24" s="105">
        <f t="shared" si="7"/>
        <v>1224073.6291194733</v>
      </c>
      <c r="AQ24" s="105">
        <f t="shared" si="7"/>
        <v>1224073.6291194733</v>
      </c>
      <c r="AR24" s="105">
        <f t="shared" si="7"/>
        <v>1224073.6291194733</v>
      </c>
      <c r="AS24" s="105">
        <f t="shared" si="7"/>
        <v>1224073.6291194733</v>
      </c>
      <c r="AT24" s="105">
        <f t="shared" si="7"/>
        <v>1224073.6291194733</v>
      </c>
      <c r="AU24" s="105">
        <f t="shared" si="7"/>
        <v>1224073.6291194733</v>
      </c>
      <c r="AV24" s="105">
        <f t="shared" si="7"/>
        <v>1224073.6291194733</v>
      </c>
      <c r="AW24" s="105">
        <f t="shared" si="7"/>
        <v>1224073.6291194733</v>
      </c>
      <c r="AX24" s="105">
        <f t="shared" si="7"/>
        <v>1224073.6291194733</v>
      </c>
      <c r="AY24" s="105">
        <f t="shared" si="7"/>
        <v>1224073.6291194733</v>
      </c>
      <c r="AZ24" s="140">
        <f t="shared" si="5"/>
        <v>57426274.732484639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47</v>
      </c>
      <c r="D27" s="123">
        <f>C$27-C$28+C$29</f>
        <v>23</v>
      </c>
      <c r="E27" s="123">
        <f t="shared" ref="E27:AY27" si="8">D27-D28+D29</f>
        <v>47</v>
      </c>
      <c r="F27" s="123">
        <f t="shared" si="8"/>
        <v>70</v>
      </c>
      <c r="G27" s="123">
        <f t="shared" si="8"/>
        <v>0</v>
      </c>
      <c r="H27" s="123">
        <f t="shared" si="8"/>
        <v>70</v>
      </c>
      <c r="I27" s="123">
        <f t="shared" si="8"/>
        <v>0</v>
      </c>
      <c r="J27" s="123">
        <f t="shared" si="8"/>
        <v>70</v>
      </c>
      <c r="K27" s="123">
        <f t="shared" si="8"/>
        <v>0</v>
      </c>
      <c r="L27" s="123">
        <f t="shared" si="8"/>
        <v>70</v>
      </c>
      <c r="M27" s="123">
        <f t="shared" si="8"/>
        <v>0</v>
      </c>
      <c r="N27" s="123">
        <f t="shared" si="8"/>
        <v>70</v>
      </c>
      <c r="O27" s="123">
        <f t="shared" si="8"/>
        <v>0</v>
      </c>
      <c r="P27" s="123">
        <f t="shared" si="8"/>
        <v>70</v>
      </c>
      <c r="Q27" s="123">
        <f t="shared" si="8"/>
        <v>0</v>
      </c>
      <c r="R27" s="123">
        <f t="shared" si="8"/>
        <v>70</v>
      </c>
      <c r="S27" s="123">
        <f t="shared" si="8"/>
        <v>0</v>
      </c>
      <c r="T27" s="123">
        <f t="shared" si="8"/>
        <v>70</v>
      </c>
      <c r="U27" s="123">
        <f t="shared" si="8"/>
        <v>0</v>
      </c>
      <c r="V27" s="123">
        <f t="shared" si="8"/>
        <v>70</v>
      </c>
      <c r="W27" s="123">
        <f t="shared" si="8"/>
        <v>3</v>
      </c>
      <c r="X27" s="123">
        <f t="shared" si="8"/>
        <v>67</v>
      </c>
      <c r="Y27" s="123">
        <f t="shared" si="8"/>
        <v>3</v>
      </c>
      <c r="Z27" s="123">
        <f t="shared" si="8"/>
        <v>67</v>
      </c>
      <c r="AA27" s="123">
        <f t="shared" si="8"/>
        <v>3</v>
      </c>
      <c r="AB27" s="123">
        <f t="shared" si="8"/>
        <v>67</v>
      </c>
      <c r="AC27" s="123">
        <f t="shared" si="8"/>
        <v>3</v>
      </c>
      <c r="AD27" s="123">
        <f t="shared" si="8"/>
        <v>67</v>
      </c>
      <c r="AE27" s="123">
        <f t="shared" si="8"/>
        <v>3</v>
      </c>
      <c r="AF27" s="123">
        <f t="shared" si="8"/>
        <v>67</v>
      </c>
      <c r="AG27" s="123">
        <f t="shared" si="8"/>
        <v>3</v>
      </c>
      <c r="AH27" s="123">
        <f t="shared" si="8"/>
        <v>67</v>
      </c>
      <c r="AI27" s="123">
        <f t="shared" si="8"/>
        <v>3</v>
      </c>
      <c r="AJ27" s="123">
        <f t="shared" si="8"/>
        <v>67</v>
      </c>
      <c r="AK27" s="123">
        <f t="shared" si="8"/>
        <v>3</v>
      </c>
      <c r="AL27" s="123">
        <f t="shared" si="8"/>
        <v>67</v>
      </c>
      <c r="AM27" s="123">
        <f t="shared" si="8"/>
        <v>70</v>
      </c>
      <c r="AN27" s="123">
        <f t="shared" si="8"/>
        <v>0</v>
      </c>
      <c r="AO27" s="123">
        <f t="shared" si="8"/>
        <v>70</v>
      </c>
      <c r="AP27" s="123">
        <f t="shared" si="8"/>
        <v>0</v>
      </c>
      <c r="AQ27" s="123">
        <f t="shared" si="8"/>
        <v>70</v>
      </c>
      <c r="AR27" s="123">
        <f t="shared" si="8"/>
        <v>0</v>
      </c>
      <c r="AS27" s="123">
        <f t="shared" si="8"/>
        <v>70</v>
      </c>
      <c r="AT27" s="123">
        <f t="shared" si="8"/>
        <v>0</v>
      </c>
      <c r="AU27" s="123">
        <f t="shared" si="8"/>
        <v>70</v>
      </c>
      <c r="AV27" s="123">
        <f t="shared" si="8"/>
        <v>0</v>
      </c>
      <c r="AW27" s="123">
        <f t="shared" si="8"/>
        <v>70</v>
      </c>
      <c r="AX27" s="123">
        <f t="shared" si="8"/>
        <v>0</v>
      </c>
      <c r="AY27" s="163">
        <f t="shared" si="8"/>
        <v>70</v>
      </c>
      <c r="AZ27" s="105"/>
    </row>
    <row r="28" spans="1:52">
      <c r="B28" s="164" t="s">
        <v>310</v>
      </c>
      <c r="C28" s="109">
        <v>47</v>
      </c>
      <c r="D28" s="109">
        <v>23</v>
      </c>
      <c r="E28" s="109">
        <v>0</v>
      </c>
      <c r="F28" s="109">
        <v>70</v>
      </c>
      <c r="G28" s="109">
        <v>0</v>
      </c>
      <c r="H28" s="109">
        <v>70</v>
      </c>
      <c r="I28" s="109">
        <v>0</v>
      </c>
      <c r="J28" s="109">
        <v>70</v>
      </c>
      <c r="K28" s="109">
        <v>0</v>
      </c>
      <c r="L28" s="109">
        <v>70</v>
      </c>
      <c r="M28" s="109">
        <v>0</v>
      </c>
      <c r="N28" s="109">
        <v>70</v>
      </c>
      <c r="O28" s="109">
        <v>0</v>
      </c>
      <c r="P28" s="109">
        <v>70</v>
      </c>
      <c r="Q28" s="109">
        <v>0</v>
      </c>
      <c r="R28" s="109">
        <v>70</v>
      </c>
      <c r="S28" s="109">
        <v>0</v>
      </c>
      <c r="T28" s="109">
        <v>70</v>
      </c>
      <c r="U28" s="109">
        <v>0</v>
      </c>
      <c r="V28" s="109">
        <v>67</v>
      </c>
      <c r="W28" s="109">
        <v>3</v>
      </c>
      <c r="X28" s="109">
        <v>67</v>
      </c>
      <c r="Y28" s="109">
        <v>3</v>
      </c>
      <c r="Z28" s="109">
        <v>67</v>
      </c>
      <c r="AA28" s="109">
        <v>3</v>
      </c>
      <c r="AB28" s="109">
        <v>67</v>
      </c>
      <c r="AC28" s="109">
        <v>3</v>
      </c>
      <c r="AD28" s="109">
        <v>67</v>
      </c>
      <c r="AE28" s="109">
        <v>3</v>
      </c>
      <c r="AF28" s="109">
        <v>67</v>
      </c>
      <c r="AG28" s="109">
        <v>3</v>
      </c>
      <c r="AH28" s="109">
        <v>67</v>
      </c>
      <c r="AI28" s="109">
        <v>3</v>
      </c>
      <c r="AJ28" s="109">
        <v>67</v>
      </c>
      <c r="AK28" s="109">
        <v>3</v>
      </c>
      <c r="AL28" s="109">
        <v>0</v>
      </c>
      <c r="AM28" s="109">
        <v>70</v>
      </c>
      <c r="AN28" s="109">
        <v>0</v>
      </c>
      <c r="AO28" s="109">
        <v>70</v>
      </c>
      <c r="AP28" s="109">
        <v>0</v>
      </c>
      <c r="AQ28" s="109">
        <v>70</v>
      </c>
      <c r="AR28" s="109">
        <v>0</v>
      </c>
      <c r="AS28" s="109">
        <v>70</v>
      </c>
      <c r="AT28" s="109">
        <v>0</v>
      </c>
      <c r="AU28" s="109">
        <v>70</v>
      </c>
      <c r="AV28" s="109">
        <v>0</v>
      </c>
      <c r="AW28" s="109">
        <v>70</v>
      </c>
      <c r="AX28" s="109">
        <v>0</v>
      </c>
      <c r="AY28" s="165">
        <v>70</v>
      </c>
      <c r="AZ28" s="105"/>
    </row>
    <row r="29" spans="1:52">
      <c r="B29" s="135" t="s">
        <v>311</v>
      </c>
      <c r="C29" s="124">
        <v>23</v>
      </c>
      <c r="D29" s="124">
        <f>C$28</f>
        <v>47</v>
      </c>
      <c r="E29" s="124">
        <f t="shared" ref="E29:AY29" si="9">D$28</f>
        <v>23</v>
      </c>
      <c r="F29" s="124">
        <f t="shared" si="9"/>
        <v>0</v>
      </c>
      <c r="G29" s="124">
        <f t="shared" si="9"/>
        <v>70</v>
      </c>
      <c r="H29" s="124">
        <f t="shared" si="9"/>
        <v>0</v>
      </c>
      <c r="I29" s="124">
        <f t="shared" si="9"/>
        <v>70</v>
      </c>
      <c r="J29" s="124">
        <f t="shared" si="9"/>
        <v>0</v>
      </c>
      <c r="K29" s="124">
        <f t="shared" si="9"/>
        <v>70</v>
      </c>
      <c r="L29" s="124">
        <f t="shared" si="9"/>
        <v>0</v>
      </c>
      <c r="M29" s="124">
        <f t="shared" si="9"/>
        <v>70</v>
      </c>
      <c r="N29" s="124">
        <f t="shared" si="9"/>
        <v>0</v>
      </c>
      <c r="O29" s="124">
        <f t="shared" si="9"/>
        <v>70</v>
      </c>
      <c r="P29" s="124">
        <f t="shared" si="9"/>
        <v>0</v>
      </c>
      <c r="Q29" s="124">
        <f t="shared" si="9"/>
        <v>70</v>
      </c>
      <c r="R29" s="124">
        <f t="shared" si="9"/>
        <v>0</v>
      </c>
      <c r="S29" s="124">
        <f t="shared" si="9"/>
        <v>70</v>
      </c>
      <c r="T29" s="124">
        <f t="shared" si="9"/>
        <v>0</v>
      </c>
      <c r="U29" s="124">
        <f t="shared" si="9"/>
        <v>70</v>
      </c>
      <c r="V29" s="124">
        <f t="shared" si="9"/>
        <v>0</v>
      </c>
      <c r="W29" s="124">
        <f t="shared" si="9"/>
        <v>67</v>
      </c>
      <c r="X29" s="124">
        <f t="shared" si="9"/>
        <v>3</v>
      </c>
      <c r="Y29" s="124">
        <f t="shared" si="9"/>
        <v>67</v>
      </c>
      <c r="Z29" s="124">
        <f t="shared" si="9"/>
        <v>3</v>
      </c>
      <c r="AA29" s="124">
        <f t="shared" si="9"/>
        <v>67</v>
      </c>
      <c r="AB29" s="124">
        <f t="shared" si="9"/>
        <v>3</v>
      </c>
      <c r="AC29" s="124">
        <f t="shared" si="9"/>
        <v>67</v>
      </c>
      <c r="AD29" s="124">
        <f t="shared" si="9"/>
        <v>3</v>
      </c>
      <c r="AE29" s="124">
        <f t="shared" si="9"/>
        <v>67</v>
      </c>
      <c r="AF29" s="124">
        <f t="shared" si="9"/>
        <v>3</v>
      </c>
      <c r="AG29" s="124">
        <f t="shared" si="9"/>
        <v>67</v>
      </c>
      <c r="AH29" s="124">
        <f t="shared" si="9"/>
        <v>3</v>
      </c>
      <c r="AI29" s="124">
        <f t="shared" si="9"/>
        <v>67</v>
      </c>
      <c r="AJ29" s="124">
        <f t="shared" si="9"/>
        <v>3</v>
      </c>
      <c r="AK29" s="124">
        <f t="shared" si="9"/>
        <v>67</v>
      </c>
      <c r="AL29" s="124">
        <f t="shared" si="9"/>
        <v>3</v>
      </c>
      <c r="AM29" s="124">
        <f t="shared" si="9"/>
        <v>0</v>
      </c>
      <c r="AN29" s="124">
        <f t="shared" si="9"/>
        <v>70</v>
      </c>
      <c r="AO29" s="124">
        <f t="shared" si="9"/>
        <v>0</v>
      </c>
      <c r="AP29" s="124">
        <f t="shared" si="9"/>
        <v>70</v>
      </c>
      <c r="AQ29" s="124">
        <f t="shared" si="9"/>
        <v>0</v>
      </c>
      <c r="AR29" s="124">
        <f t="shared" si="9"/>
        <v>70</v>
      </c>
      <c r="AS29" s="124">
        <f t="shared" si="9"/>
        <v>0</v>
      </c>
      <c r="AT29" s="124">
        <f t="shared" si="9"/>
        <v>70</v>
      </c>
      <c r="AU29" s="124">
        <f t="shared" si="9"/>
        <v>0</v>
      </c>
      <c r="AV29" s="124">
        <f t="shared" si="9"/>
        <v>70</v>
      </c>
      <c r="AW29" s="124">
        <f t="shared" si="9"/>
        <v>0</v>
      </c>
      <c r="AX29" s="124">
        <f t="shared" si="9"/>
        <v>70</v>
      </c>
      <c r="AY29" s="166">
        <f t="shared" si="9"/>
        <v>0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230</v>
      </c>
      <c r="E30" s="116">
        <f t="shared" ref="E30:AY30" si="10">E$27*$B$30</f>
        <v>470</v>
      </c>
      <c r="F30" s="116">
        <f t="shared" si="10"/>
        <v>700</v>
      </c>
      <c r="G30" s="116">
        <f t="shared" si="10"/>
        <v>0</v>
      </c>
      <c r="H30" s="116">
        <f t="shared" si="10"/>
        <v>700</v>
      </c>
      <c r="I30" s="116">
        <f t="shared" si="10"/>
        <v>0</v>
      </c>
      <c r="J30" s="116">
        <f t="shared" si="10"/>
        <v>700</v>
      </c>
      <c r="K30" s="116">
        <f t="shared" si="10"/>
        <v>0</v>
      </c>
      <c r="L30" s="116">
        <f t="shared" si="10"/>
        <v>700</v>
      </c>
      <c r="M30" s="116">
        <f t="shared" si="10"/>
        <v>0</v>
      </c>
      <c r="N30" s="116">
        <f t="shared" si="10"/>
        <v>700</v>
      </c>
      <c r="O30" s="116">
        <f t="shared" si="10"/>
        <v>0</v>
      </c>
      <c r="P30" s="116">
        <f t="shared" si="10"/>
        <v>700</v>
      </c>
      <c r="Q30" s="116">
        <f t="shared" si="10"/>
        <v>0</v>
      </c>
      <c r="R30" s="116">
        <f>R$27*$B$30</f>
        <v>700</v>
      </c>
      <c r="S30" s="116">
        <f t="shared" si="10"/>
        <v>0</v>
      </c>
      <c r="T30" s="116">
        <f t="shared" si="10"/>
        <v>700</v>
      </c>
      <c r="U30" s="116">
        <f t="shared" si="10"/>
        <v>0</v>
      </c>
      <c r="V30" s="116">
        <f t="shared" si="10"/>
        <v>700</v>
      </c>
      <c r="W30" s="116">
        <f t="shared" si="10"/>
        <v>30</v>
      </c>
      <c r="X30" s="116">
        <f t="shared" si="10"/>
        <v>670</v>
      </c>
      <c r="Y30" s="116">
        <f t="shared" si="10"/>
        <v>30</v>
      </c>
      <c r="Z30" s="116">
        <f t="shared" si="10"/>
        <v>670</v>
      </c>
      <c r="AA30" s="116">
        <f t="shared" si="10"/>
        <v>30</v>
      </c>
      <c r="AB30" s="116">
        <f t="shared" si="10"/>
        <v>670</v>
      </c>
      <c r="AC30" s="116">
        <f t="shared" si="10"/>
        <v>30</v>
      </c>
      <c r="AD30" s="116">
        <f t="shared" si="10"/>
        <v>670</v>
      </c>
      <c r="AE30" s="116">
        <f>AE$27*$B$30</f>
        <v>30</v>
      </c>
      <c r="AF30" s="116">
        <f t="shared" si="10"/>
        <v>670</v>
      </c>
      <c r="AG30" s="116">
        <f t="shared" si="10"/>
        <v>30</v>
      </c>
      <c r="AH30" s="116">
        <f t="shared" si="10"/>
        <v>670</v>
      </c>
      <c r="AI30" s="116">
        <f t="shared" si="10"/>
        <v>30</v>
      </c>
      <c r="AJ30" s="116">
        <f t="shared" si="10"/>
        <v>670</v>
      </c>
      <c r="AK30" s="116">
        <f t="shared" si="10"/>
        <v>30</v>
      </c>
      <c r="AL30" s="116">
        <f t="shared" si="10"/>
        <v>670</v>
      </c>
      <c r="AM30" s="116">
        <f t="shared" si="10"/>
        <v>700</v>
      </c>
      <c r="AN30" s="116">
        <f t="shared" si="10"/>
        <v>0</v>
      </c>
      <c r="AO30" s="116">
        <f t="shared" si="10"/>
        <v>700</v>
      </c>
      <c r="AP30" s="116">
        <f t="shared" si="10"/>
        <v>0</v>
      </c>
      <c r="AQ30" s="116">
        <f t="shared" si="10"/>
        <v>700</v>
      </c>
      <c r="AR30" s="116">
        <f t="shared" si="10"/>
        <v>0</v>
      </c>
      <c r="AS30" s="116">
        <f t="shared" si="10"/>
        <v>700</v>
      </c>
      <c r="AT30" s="116">
        <f t="shared" si="10"/>
        <v>0</v>
      </c>
      <c r="AU30" s="116">
        <f t="shared" si="10"/>
        <v>700</v>
      </c>
      <c r="AV30" s="116">
        <f t="shared" si="10"/>
        <v>0</v>
      </c>
      <c r="AW30" s="116">
        <f t="shared" si="10"/>
        <v>700</v>
      </c>
      <c r="AX30" s="116">
        <f t="shared" si="10"/>
        <v>0</v>
      </c>
      <c r="AY30" s="116">
        <f t="shared" si="10"/>
        <v>700</v>
      </c>
      <c r="AZ30" s="140">
        <f t="shared" si="5"/>
        <v>17500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D$21*shipping_manufacturing!$H$27/100</f>
        <v>107.21204098550851</v>
      </c>
      <c r="E33" s="123">
        <f>E$21*shipping_manufacturing!$H$27/100</f>
        <v>0</v>
      </c>
      <c r="F33" s="123">
        <f>F$21*shipping_manufacturing!$H$27/100</f>
        <v>286.50381274934364</v>
      </c>
      <c r="G33" s="123">
        <f>G$21*shipping_manufacturing!$H$27/100</f>
        <v>170.47406125439846</v>
      </c>
      <c r="H33" s="123">
        <f>H$21*shipping_manufacturing!$H$27/100</f>
        <v>170.47406125439846</v>
      </c>
      <c r="I33" s="123">
        <f>I$21*shipping_manufacturing!$H$27/100</f>
        <v>170.47406125439846</v>
      </c>
      <c r="J33" s="123">
        <f>J$21*shipping_manufacturing!$H$27/100</f>
        <v>170.47406125439846</v>
      </c>
      <c r="K33" s="123">
        <f>K$21*shipping_manufacturing!$H$27/100</f>
        <v>170.47406125439846</v>
      </c>
      <c r="L33" s="123">
        <f>L$21*shipping_manufacturing!$H$27/100</f>
        <v>170.47406125439846</v>
      </c>
      <c r="M33" s="123">
        <f>M$21*shipping_manufacturing!$H$27/100</f>
        <v>170.47406125439846</v>
      </c>
      <c r="N33" s="123">
        <f>N$21*shipping_manufacturing!$H$27/100</f>
        <v>170.47406125439846</v>
      </c>
      <c r="O33" s="123">
        <f>O$21*shipping_manufacturing!$H$27/100</f>
        <v>170.47406125439846</v>
      </c>
      <c r="P33" s="123">
        <f>P$21*shipping_manufacturing!$H$27/100</f>
        <v>170.47406125439846</v>
      </c>
      <c r="Q33" s="123">
        <f>Q$21*shipping_manufacturing!$H$27/100</f>
        <v>170.47406125439846</v>
      </c>
      <c r="R33" s="123">
        <f>R$21*shipping_manufacturing!$H$27/100</f>
        <v>170.47406125439846</v>
      </c>
      <c r="S33" s="123">
        <f>S$21*shipping_manufacturing!$H$27/100</f>
        <v>170.47406125439846</v>
      </c>
      <c r="T33" s="123">
        <f>T$21*shipping_manufacturing!$H$27/100</f>
        <v>170.47406125439846</v>
      </c>
      <c r="U33" s="123">
        <f>U$21*shipping_manufacturing!$H$27/100</f>
        <v>170.47406125439846</v>
      </c>
      <c r="V33" s="123">
        <f>V$21*shipping_manufacturing!$H$27/100</f>
        <v>157.50163808965846</v>
      </c>
      <c r="W33" s="123">
        <f>W$21*shipping_manufacturing!$H$27/100</f>
        <v>170.47406125439846</v>
      </c>
      <c r="X33" s="123">
        <f>X$21*shipping_manufacturing!$H$27/100</f>
        <v>170.47406125439846</v>
      </c>
      <c r="Y33" s="123">
        <f>Y$21*shipping_manufacturing!$H$27/100</f>
        <v>170.47406125439846</v>
      </c>
      <c r="Z33" s="123">
        <f>Z$21*shipping_manufacturing!$H$27/100</f>
        <v>170.47406125439846</v>
      </c>
      <c r="AA33" s="123">
        <f>AA$21*shipping_manufacturing!$H$27/100</f>
        <v>170.47406125439846</v>
      </c>
      <c r="AB33" s="123">
        <f>AB$21*shipping_manufacturing!$H$27/100</f>
        <v>170.47406125439846</v>
      </c>
      <c r="AC33" s="123">
        <f>AC$21*shipping_manufacturing!$H$27/100</f>
        <v>170.47406125439846</v>
      </c>
      <c r="AD33" s="123">
        <f>AD$21*shipping_manufacturing!$H$27/100</f>
        <v>170.47406125439846</v>
      </c>
      <c r="AE33" s="123">
        <f>AE$21*shipping_manufacturing!$H$27/100</f>
        <v>170.47406125439846</v>
      </c>
      <c r="AF33" s="123">
        <f>AF$21*shipping_manufacturing!$H$27/100</f>
        <v>170.47406125439846</v>
      </c>
      <c r="AG33" s="123">
        <f>AG$21*shipping_manufacturing!$H$27/100</f>
        <v>170.47406125439846</v>
      </c>
      <c r="AH33" s="123">
        <f>AH$21*shipping_manufacturing!$H$27/100</f>
        <v>170.47406125439846</v>
      </c>
      <c r="AI33" s="123">
        <f>AI$21*shipping_manufacturing!$H$27/100</f>
        <v>170.47406125439846</v>
      </c>
      <c r="AJ33" s="123">
        <f>AJ$21*shipping_manufacturing!$H$27/100</f>
        <v>170.47406125439846</v>
      </c>
      <c r="AK33" s="123">
        <f>AK$21*shipping_manufacturing!$H$27/100</f>
        <v>170.47406125439846</v>
      </c>
      <c r="AL33" s="123">
        <f>AL$21*shipping_manufacturing!$H$27/100</f>
        <v>0</v>
      </c>
      <c r="AM33" s="123">
        <f>AM$21*shipping_manufacturing!$H$27/100</f>
        <v>286.50381274934364</v>
      </c>
      <c r="AN33" s="123">
        <f>AN$21*shipping_manufacturing!$H$27/100</f>
        <v>170.47406125439846</v>
      </c>
      <c r="AO33" s="123">
        <f>AO$21*shipping_manufacturing!$H$27/100</f>
        <v>170.47406125439846</v>
      </c>
      <c r="AP33" s="123">
        <f>AP$21*shipping_manufacturing!$H$27/100</f>
        <v>170.47406125439846</v>
      </c>
      <c r="AQ33" s="123">
        <f>AQ$21*shipping_manufacturing!$H$27/100</f>
        <v>170.47406125439846</v>
      </c>
      <c r="AR33" s="123">
        <f>AR$21*shipping_manufacturing!$H$27/100</f>
        <v>170.47406125439846</v>
      </c>
      <c r="AS33" s="123">
        <f>AS$21*shipping_manufacturing!$H$27/100</f>
        <v>170.47406125439846</v>
      </c>
      <c r="AT33" s="123">
        <f>AT$21*shipping_manufacturing!$H$27/100</f>
        <v>170.47406125439846</v>
      </c>
      <c r="AU33" s="123">
        <f>AU$21*shipping_manufacturing!$H$27/100</f>
        <v>170.47406125439846</v>
      </c>
      <c r="AV33" s="123">
        <f>AV$21*shipping_manufacturing!$H$27/100</f>
        <v>170.47406125439846</v>
      </c>
      <c r="AW33" s="123">
        <f>AW$21*shipping_manufacturing!$H$27/100</f>
        <v>170.47406125439846</v>
      </c>
      <c r="AX33" s="123">
        <f>AX$21*shipping_manufacturing!$H$27/100</f>
        <v>170.47406125439846</v>
      </c>
      <c r="AY33" s="123">
        <f>AY$21*shipping_manufacturing!$H$27/100</f>
        <v>170.47406125439846</v>
      </c>
    </row>
    <row r="34" spans="1:52">
      <c r="A34" s="112" t="s">
        <v>341</v>
      </c>
      <c r="B34" s="164" t="s">
        <v>343</v>
      </c>
      <c r="C34" s="109"/>
      <c r="D34" s="109">
        <f>D$22*shipping_manufacturing!$I$27/100</f>
        <v>144.70232446315012</v>
      </c>
      <c r="E34" s="109">
        <f>E$22*shipping_manufacturing!$I$27/100</f>
        <v>0</v>
      </c>
      <c r="F34" s="109">
        <f>F$22*shipping_manufacturing!$I$27/100</f>
        <v>386.68947341454708</v>
      </c>
      <c r="G34" s="109">
        <f>G$22*shipping_manufacturing!$I$27/100</f>
        <v>230.08603042562342</v>
      </c>
      <c r="H34" s="109">
        <f>H$22*shipping_manufacturing!$I$27/100</f>
        <v>230.08603042562342</v>
      </c>
      <c r="I34" s="109">
        <f>I$22*shipping_manufacturing!$I$27/100</f>
        <v>230.08603042562342</v>
      </c>
      <c r="J34" s="109">
        <f>J$22*shipping_manufacturing!$I$27/100</f>
        <v>230.08603042562342</v>
      </c>
      <c r="K34" s="109">
        <f>K$22*shipping_manufacturing!$I$27/100</f>
        <v>230.08603042562342</v>
      </c>
      <c r="L34" s="109">
        <f>L$22*shipping_manufacturing!$I$27/100</f>
        <v>230.08603042562342</v>
      </c>
      <c r="M34" s="109">
        <f>M$22*shipping_manufacturing!$I$27/100</f>
        <v>230.08603042562342</v>
      </c>
      <c r="N34" s="109">
        <f>N$22*shipping_manufacturing!$I$27/100</f>
        <v>230.08603042562342</v>
      </c>
      <c r="O34" s="109">
        <f>O$22*shipping_manufacturing!$I$27/100</f>
        <v>230.08603042562342</v>
      </c>
      <c r="P34" s="109">
        <f>P$22*shipping_manufacturing!$I$27/100</f>
        <v>230.08603042562342</v>
      </c>
      <c r="Q34" s="109">
        <f>Q$22*shipping_manufacturing!$I$27/100</f>
        <v>230.08603042562342</v>
      </c>
      <c r="R34" s="109">
        <f>R$22*shipping_manufacturing!$I$27/100</f>
        <v>230.08603042562342</v>
      </c>
      <c r="S34" s="109">
        <f>S$22*shipping_manufacturing!$I$27/100</f>
        <v>230.08603042562342</v>
      </c>
      <c r="T34" s="109">
        <f>T$22*shipping_manufacturing!$I$27/100</f>
        <v>230.08603042562342</v>
      </c>
      <c r="U34" s="109">
        <f>U$22*shipping_manufacturing!$I$27/100</f>
        <v>230.08603042562342</v>
      </c>
      <c r="V34" s="109">
        <f>V$22*shipping_manufacturing!$I$27/100</f>
        <v>212.57736471417394</v>
      </c>
      <c r="W34" s="109">
        <f>W$22*shipping_manufacturing!$I$27/100</f>
        <v>230.08603042562342</v>
      </c>
      <c r="X34" s="109">
        <f>X$22*shipping_manufacturing!$I$27/100</f>
        <v>230.08603042562342</v>
      </c>
      <c r="Y34" s="109">
        <f>Y$22*shipping_manufacturing!$I$27/100</f>
        <v>230.08603042562342</v>
      </c>
      <c r="Z34" s="109">
        <f>Z$22*shipping_manufacturing!$I$27/100</f>
        <v>230.08603042562342</v>
      </c>
      <c r="AA34" s="109">
        <f>AA$22*shipping_manufacturing!$I$27/100</f>
        <v>230.08603042562342</v>
      </c>
      <c r="AB34" s="109">
        <f>AB$22*shipping_manufacturing!$I$27/100</f>
        <v>230.08603042562342</v>
      </c>
      <c r="AC34" s="109">
        <f>AC$22*shipping_manufacturing!$I$27/100</f>
        <v>230.08603042562342</v>
      </c>
      <c r="AD34" s="109">
        <f>AD$22*shipping_manufacturing!$I$27/100</f>
        <v>230.08603042562342</v>
      </c>
      <c r="AE34" s="109">
        <f>AE$22*shipping_manufacturing!$I$27/100</f>
        <v>230.08603042562342</v>
      </c>
      <c r="AF34" s="109">
        <f>AF$22*shipping_manufacturing!$I$27/100</f>
        <v>230.08603042562342</v>
      </c>
      <c r="AG34" s="109">
        <f>AG$22*shipping_manufacturing!$I$27/100</f>
        <v>230.08603042562342</v>
      </c>
      <c r="AH34" s="109">
        <f>AH$22*shipping_manufacturing!$I$27/100</f>
        <v>230.08603042562342</v>
      </c>
      <c r="AI34" s="109">
        <f>AI$22*shipping_manufacturing!$I$27/100</f>
        <v>230.08603042562342</v>
      </c>
      <c r="AJ34" s="109">
        <f>AJ$22*shipping_manufacturing!$I$27/100</f>
        <v>230.08603042562342</v>
      </c>
      <c r="AK34" s="109">
        <f>AK$22*shipping_manufacturing!$I$27/100</f>
        <v>230.08603042562342</v>
      </c>
      <c r="AL34" s="109">
        <f>AL$22*shipping_manufacturing!$I$27/100</f>
        <v>0</v>
      </c>
      <c r="AM34" s="109">
        <f>AM$22*shipping_manufacturing!$I$27/100</f>
        <v>386.68947341454708</v>
      </c>
      <c r="AN34" s="109">
        <f>AN$22*shipping_manufacturing!$I$27/100</f>
        <v>230.08603042562342</v>
      </c>
      <c r="AO34" s="109">
        <f>AO$22*shipping_manufacturing!$I$27/100</f>
        <v>230.08603042562342</v>
      </c>
      <c r="AP34" s="109">
        <f>AP$22*shipping_manufacturing!$I$27/100</f>
        <v>230.08603042562342</v>
      </c>
      <c r="AQ34" s="109">
        <f>AQ$22*shipping_manufacturing!$I$27/100</f>
        <v>230.08603042562342</v>
      </c>
      <c r="AR34" s="109">
        <f>AR$22*shipping_manufacturing!$I$27/100</f>
        <v>230.08603042562342</v>
      </c>
      <c r="AS34" s="109">
        <f>AS$22*shipping_manufacturing!$I$27/100</f>
        <v>230.08603042562342</v>
      </c>
      <c r="AT34" s="109">
        <f>AT$22*shipping_manufacturing!$I$27/100</f>
        <v>230.08603042562342</v>
      </c>
      <c r="AU34" s="109">
        <f>AU$22*shipping_manufacturing!$I$27/100</f>
        <v>230.08603042562342</v>
      </c>
      <c r="AV34" s="109">
        <f>AV$22*shipping_manufacturing!$I$27/100</f>
        <v>230.08603042562342</v>
      </c>
      <c r="AW34" s="109">
        <f>AW$22*shipping_manufacturing!$I$27/100</f>
        <v>230.08603042562342</v>
      </c>
      <c r="AX34" s="109">
        <f>AX$22*shipping_manufacturing!$I$27/100</f>
        <v>230.08603042562342</v>
      </c>
      <c r="AY34" s="109">
        <f>AY$22*shipping_manufacturing!$I$27/100</f>
        <v>230.08603042562342</v>
      </c>
    </row>
    <row r="35" spans="1:52">
      <c r="A35" s="109">
        <v>1245</v>
      </c>
      <c r="B35" s="164" t="s">
        <v>344</v>
      </c>
      <c r="C35" s="109"/>
      <c r="D35" s="109">
        <f>SUM(D33:D34)</f>
        <v>251.91436544865863</v>
      </c>
      <c r="E35" s="109">
        <f t="shared" ref="E35:AY35" si="11">SUM(E33:E34)</f>
        <v>0</v>
      </c>
      <c r="F35" s="109">
        <f t="shared" si="11"/>
        <v>673.19328616389066</v>
      </c>
      <c r="G35" s="109">
        <f t="shared" si="11"/>
        <v>400.56009168002186</v>
      </c>
      <c r="H35" s="109">
        <f t="shared" si="11"/>
        <v>400.56009168002186</v>
      </c>
      <c r="I35" s="109">
        <f t="shared" si="11"/>
        <v>400.56009168002186</v>
      </c>
      <c r="J35" s="109">
        <f t="shared" si="11"/>
        <v>400.56009168002186</v>
      </c>
      <c r="K35" s="109">
        <f t="shared" si="11"/>
        <v>400.56009168002186</v>
      </c>
      <c r="L35" s="109">
        <f t="shared" si="11"/>
        <v>400.56009168002186</v>
      </c>
      <c r="M35" s="109">
        <f t="shared" si="11"/>
        <v>400.56009168002186</v>
      </c>
      <c r="N35" s="109">
        <f t="shared" si="11"/>
        <v>400.56009168002186</v>
      </c>
      <c r="O35" s="109">
        <f t="shared" si="11"/>
        <v>400.56009168002186</v>
      </c>
      <c r="P35" s="109">
        <f t="shared" si="11"/>
        <v>400.56009168002186</v>
      </c>
      <c r="Q35" s="109">
        <f t="shared" si="11"/>
        <v>400.56009168002186</v>
      </c>
      <c r="R35" s="109">
        <f t="shared" si="11"/>
        <v>400.56009168002186</v>
      </c>
      <c r="S35" s="109">
        <f t="shared" si="11"/>
        <v>400.56009168002186</v>
      </c>
      <c r="T35" s="109">
        <f t="shared" si="11"/>
        <v>400.56009168002186</v>
      </c>
      <c r="U35" s="109">
        <f t="shared" si="11"/>
        <v>400.56009168002186</v>
      </c>
      <c r="V35" s="109">
        <f t="shared" si="11"/>
        <v>370.0790028038324</v>
      </c>
      <c r="W35" s="109">
        <f t="shared" si="11"/>
        <v>400.56009168002186</v>
      </c>
      <c r="X35" s="109">
        <f t="shared" si="11"/>
        <v>400.56009168002186</v>
      </c>
      <c r="Y35" s="109">
        <f t="shared" si="11"/>
        <v>400.56009168002186</v>
      </c>
      <c r="Z35" s="109">
        <f t="shared" si="11"/>
        <v>400.56009168002186</v>
      </c>
      <c r="AA35" s="109">
        <f t="shared" si="11"/>
        <v>400.56009168002186</v>
      </c>
      <c r="AB35" s="109">
        <f t="shared" si="11"/>
        <v>400.56009168002186</v>
      </c>
      <c r="AC35" s="109">
        <f t="shared" si="11"/>
        <v>400.56009168002186</v>
      </c>
      <c r="AD35" s="109">
        <f t="shared" si="11"/>
        <v>400.56009168002186</v>
      </c>
      <c r="AE35" s="109">
        <f t="shared" si="11"/>
        <v>400.56009168002186</v>
      </c>
      <c r="AF35" s="109">
        <f t="shared" si="11"/>
        <v>400.56009168002186</v>
      </c>
      <c r="AG35" s="109">
        <f t="shared" si="11"/>
        <v>400.56009168002186</v>
      </c>
      <c r="AH35" s="109">
        <f t="shared" si="11"/>
        <v>400.56009168002186</v>
      </c>
      <c r="AI35" s="109">
        <f t="shared" si="11"/>
        <v>400.56009168002186</v>
      </c>
      <c r="AJ35" s="109">
        <f t="shared" si="11"/>
        <v>400.56009168002186</v>
      </c>
      <c r="AK35" s="109">
        <f t="shared" si="11"/>
        <v>400.56009168002186</v>
      </c>
      <c r="AL35" s="109">
        <f t="shared" si="11"/>
        <v>0</v>
      </c>
      <c r="AM35" s="109">
        <f t="shared" si="11"/>
        <v>673.19328616389066</v>
      </c>
      <c r="AN35" s="109">
        <f t="shared" si="11"/>
        <v>400.56009168002186</v>
      </c>
      <c r="AO35" s="109">
        <f t="shared" si="11"/>
        <v>400.56009168002186</v>
      </c>
      <c r="AP35" s="109">
        <f t="shared" si="11"/>
        <v>400.56009168002186</v>
      </c>
      <c r="AQ35" s="109">
        <f t="shared" si="11"/>
        <v>400.56009168002186</v>
      </c>
      <c r="AR35" s="109">
        <f t="shared" si="11"/>
        <v>400.56009168002186</v>
      </c>
      <c r="AS35" s="109">
        <f t="shared" si="11"/>
        <v>400.56009168002186</v>
      </c>
      <c r="AT35" s="109">
        <f t="shared" si="11"/>
        <v>400.56009168002186</v>
      </c>
      <c r="AU35" s="109">
        <f t="shared" si="11"/>
        <v>400.56009168002186</v>
      </c>
      <c r="AV35" s="109">
        <f t="shared" si="11"/>
        <v>400.56009168002186</v>
      </c>
      <c r="AW35" s="109">
        <f t="shared" si="11"/>
        <v>400.56009168002186</v>
      </c>
      <c r="AX35" s="109">
        <f t="shared" si="11"/>
        <v>400.56009168002186</v>
      </c>
      <c r="AY35" s="109">
        <f t="shared" si="11"/>
        <v>400.56009168002186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>
        <v>165.97979996051455</v>
      </c>
      <c r="I36" s="109"/>
      <c r="J36" s="109">
        <v>165.97979996051455</v>
      </c>
      <c r="K36" s="109"/>
      <c r="L36" s="109">
        <v>165.97979996051455</v>
      </c>
      <c r="M36" s="109"/>
      <c r="N36" s="109">
        <v>165.97979996051455</v>
      </c>
      <c r="O36" s="109"/>
      <c r="P36" s="109">
        <v>165.97979996051455</v>
      </c>
      <c r="Q36" s="109"/>
      <c r="R36" s="109">
        <v>165.97979996051455</v>
      </c>
      <c r="S36" s="109"/>
      <c r="T36" s="109">
        <v>165.97979996051455</v>
      </c>
      <c r="U36" s="109"/>
      <c r="V36" s="109">
        <v>157.50163808965846</v>
      </c>
      <c r="W36" s="109"/>
      <c r="X36" s="109">
        <v>140.4444461204354</v>
      </c>
      <c r="Y36" s="109"/>
      <c r="Z36" s="109">
        <v>140.4444461204354</v>
      </c>
      <c r="AA36" s="109"/>
      <c r="AB36" s="109">
        <v>140.4444461204354</v>
      </c>
      <c r="AC36" s="109"/>
      <c r="AD36" s="109">
        <v>140.4444461204354</v>
      </c>
      <c r="AE36" s="109"/>
      <c r="AF36" s="109">
        <v>140.4444461204354</v>
      </c>
      <c r="AG36" s="109"/>
      <c r="AH36" s="109">
        <v>140.4444461204354</v>
      </c>
      <c r="AI36" s="109"/>
      <c r="AJ36" s="109">
        <v>140.4444461204354</v>
      </c>
      <c r="AK36" s="109"/>
      <c r="AL36" s="109"/>
      <c r="AM36" s="109"/>
      <c r="AN36" s="109"/>
      <c r="AO36" s="109">
        <v>165.97979996051455</v>
      </c>
      <c r="AP36" s="109"/>
      <c r="AQ36" s="109">
        <v>165.97979996051455</v>
      </c>
      <c r="AR36" s="109"/>
      <c r="AS36" s="109">
        <v>165.97979996051455</v>
      </c>
      <c r="AT36" s="109"/>
      <c r="AU36" s="109">
        <v>165.97979996051455</v>
      </c>
      <c r="AV36" s="109"/>
      <c r="AW36" s="109">
        <v>165.97979996051455</v>
      </c>
      <c r="AX36" s="109"/>
      <c r="AY36" s="109">
        <v>165.97979996051455</v>
      </c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>
        <v>224.02020003948547</v>
      </c>
      <c r="I37" s="109"/>
      <c r="J37" s="109">
        <v>224.02020003948547</v>
      </c>
      <c r="K37" s="109"/>
      <c r="L37" s="109">
        <v>224.02020003948547</v>
      </c>
      <c r="M37" s="109"/>
      <c r="N37" s="109">
        <v>224.02020003948547</v>
      </c>
      <c r="O37" s="109"/>
      <c r="P37" s="109">
        <v>224.02020003948547</v>
      </c>
      <c r="Q37" s="109"/>
      <c r="R37" s="109">
        <v>224.02020003948547</v>
      </c>
      <c r="S37" s="109"/>
      <c r="T37" s="109">
        <v>224.02020003948547</v>
      </c>
      <c r="U37" s="109"/>
      <c r="V37" s="109">
        <v>212.57736471417394</v>
      </c>
      <c r="W37" s="109"/>
      <c r="X37" s="109">
        <v>189.55555387956463</v>
      </c>
      <c r="Y37" s="109"/>
      <c r="Z37" s="109">
        <v>189.55555387956463</v>
      </c>
      <c r="AA37" s="109"/>
      <c r="AB37" s="109">
        <v>189.55555387956463</v>
      </c>
      <c r="AC37" s="109"/>
      <c r="AD37" s="109">
        <v>189.55555387956463</v>
      </c>
      <c r="AE37" s="109"/>
      <c r="AF37" s="109">
        <v>189.55555387956463</v>
      </c>
      <c r="AG37" s="109"/>
      <c r="AH37" s="109">
        <v>189.55555387956463</v>
      </c>
      <c r="AI37" s="109"/>
      <c r="AJ37" s="109">
        <v>189.55555387956463</v>
      </c>
      <c r="AK37" s="109"/>
      <c r="AL37" s="109"/>
      <c r="AM37" s="109"/>
      <c r="AN37" s="109"/>
      <c r="AO37" s="109">
        <v>224.02020003948547</v>
      </c>
      <c r="AP37" s="109"/>
      <c r="AQ37" s="109">
        <v>224.02020003948547</v>
      </c>
      <c r="AR37" s="109"/>
      <c r="AS37" s="109">
        <v>224.02020003948547</v>
      </c>
      <c r="AT37" s="109"/>
      <c r="AU37" s="109">
        <v>224.02020003948547</v>
      </c>
      <c r="AV37" s="109"/>
      <c r="AW37" s="109">
        <v>224.02020003948547</v>
      </c>
      <c r="AX37" s="109"/>
      <c r="AY37" s="109">
        <v>224.02020003948547</v>
      </c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>
        <v>13</v>
      </c>
      <c r="I38" s="109"/>
      <c r="J38" s="109">
        <v>13</v>
      </c>
      <c r="K38" s="109"/>
      <c r="L38" s="109">
        <v>13</v>
      </c>
      <c r="M38" s="109"/>
      <c r="N38" s="109">
        <v>13</v>
      </c>
      <c r="O38" s="109"/>
      <c r="P38" s="109">
        <v>13</v>
      </c>
      <c r="Q38" s="109"/>
      <c r="R38" s="109">
        <v>13</v>
      </c>
      <c r="S38" s="109"/>
      <c r="T38" s="109">
        <v>13</v>
      </c>
      <c r="U38" s="109"/>
      <c r="V38" s="109">
        <v>13</v>
      </c>
      <c r="W38" s="109"/>
      <c r="X38" s="109">
        <v>11</v>
      </c>
      <c r="Y38" s="109"/>
      <c r="Z38" s="109">
        <v>11</v>
      </c>
      <c r="AA38" s="109"/>
      <c r="AB38" s="109">
        <v>11</v>
      </c>
      <c r="AC38" s="109"/>
      <c r="AD38" s="109">
        <v>11</v>
      </c>
      <c r="AE38" s="109"/>
      <c r="AF38" s="109">
        <v>11</v>
      </c>
      <c r="AG38" s="109"/>
      <c r="AH38" s="109">
        <v>11</v>
      </c>
      <c r="AI38" s="109"/>
      <c r="AJ38" s="109">
        <v>11</v>
      </c>
      <c r="AK38" s="109"/>
      <c r="AL38" s="109"/>
      <c r="AM38" s="109"/>
      <c r="AN38" s="109"/>
      <c r="AO38" s="109">
        <v>13</v>
      </c>
      <c r="AP38" s="109"/>
      <c r="AQ38" s="109">
        <v>13</v>
      </c>
      <c r="AR38" s="109"/>
      <c r="AS38" s="109">
        <v>13</v>
      </c>
      <c r="AT38" s="109"/>
      <c r="AU38" s="109">
        <v>13</v>
      </c>
      <c r="AV38" s="109"/>
      <c r="AW38" s="109">
        <v>13</v>
      </c>
      <c r="AX38" s="109"/>
      <c r="AY38" s="109">
        <v>13</v>
      </c>
    </row>
    <row r="39" spans="1:52">
      <c r="A39" s="109"/>
      <c r="B39" s="164" t="s">
        <v>348</v>
      </c>
      <c r="C39" s="109"/>
      <c r="D39" s="109">
        <f>D33-D36</f>
        <v>107.21204098550851</v>
      </c>
      <c r="E39" s="109">
        <f t="shared" ref="E39:AY39" si="12">E33-E36</f>
        <v>0</v>
      </c>
      <c r="F39" s="109">
        <f t="shared" si="12"/>
        <v>286.50381274934364</v>
      </c>
      <c r="G39" s="109">
        <f t="shared" si="12"/>
        <v>170.47406125439846</v>
      </c>
      <c r="H39" s="109">
        <f t="shared" si="12"/>
        <v>4.494261293883909</v>
      </c>
      <c r="I39" s="109">
        <f t="shared" si="12"/>
        <v>170.47406125439846</v>
      </c>
      <c r="J39" s="109">
        <f t="shared" si="12"/>
        <v>4.494261293883909</v>
      </c>
      <c r="K39" s="109">
        <f t="shared" si="12"/>
        <v>170.47406125439846</v>
      </c>
      <c r="L39" s="109">
        <f t="shared" si="12"/>
        <v>4.494261293883909</v>
      </c>
      <c r="M39" s="109">
        <f t="shared" si="12"/>
        <v>170.47406125439846</v>
      </c>
      <c r="N39" s="109">
        <f t="shared" si="12"/>
        <v>4.494261293883909</v>
      </c>
      <c r="O39" s="109">
        <f t="shared" si="12"/>
        <v>170.47406125439846</v>
      </c>
      <c r="P39" s="109">
        <f t="shared" si="12"/>
        <v>4.494261293883909</v>
      </c>
      <c r="Q39" s="109">
        <f t="shared" si="12"/>
        <v>170.47406125439846</v>
      </c>
      <c r="R39" s="109">
        <f t="shared" si="12"/>
        <v>4.494261293883909</v>
      </c>
      <c r="S39" s="109">
        <f t="shared" si="12"/>
        <v>170.47406125439846</v>
      </c>
      <c r="T39" s="109">
        <f t="shared" si="12"/>
        <v>4.494261293883909</v>
      </c>
      <c r="U39" s="109">
        <f t="shared" si="12"/>
        <v>170.47406125439846</v>
      </c>
      <c r="V39" s="109">
        <f t="shared" si="12"/>
        <v>0</v>
      </c>
      <c r="W39" s="109">
        <f t="shared" si="12"/>
        <v>170.47406125439846</v>
      </c>
      <c r="X39" s="109">
        <f t="shared" si="12"/>
        <v>30.029615133963063</v>
      </c>
      <c r="Y39" s="109">
        <f t="shared" si="12"/>
        <v>170.47406125439846</v>
      </c>
      <c r="Z39" s="109">
        <f t="shared" si="12"/>
        <v>30.029615133963063</v>
      </c>
      <c r="AA39" s="109">
        <f t="shared" si="12"/>
        <v>170.47406125439846</v>
      </c>
      <c r="AB39" s="109">
        <f t="shared" si="12"/>
        <v>30.029615133963063</v>
      </c>
      <c r="AC39" s="109">
        <f t="shared" si="12"/>
        <v>170.47406125439846</v>
      </c>
      <c r="AD39" s="109">
        <f t="shared" si="12"/>
        <v>30.029615133963063</v>
      </c>
      <c r="AE39" s="109">
        <f t="shared" si="12"/>
        <v>170.47406125439846</v>
      </c>
      <c r="AF39" s="109">
        <f t="shared" si="12"/>
        <v>30.029615133963063</v>
      </c>
      <c r="AG39" s="109">
        <f t="shared" si="12"/>
        <v>170.47406125439846</v>
      </c>
      <c r="AH39" s="109">
        <f t="shared" si="12"/>
        <v>30.029615133963063</v>
      </c>
      <c r="AI39" s="109">
        <f t="shared" si="12"/>
        <v>170.47406125439846</v>
      </c>
      <c r="AJ39" s="109">
        <f t="shared" si="12"/>
        <v>30.029615133963063</v>
      </c>
      <c r="AK39" s="109">
        <f t="shared" si="12"/>
        <v>170.47406125439846</v>
      </c>
      <c r="AL39" s="109">
        <f t="shared" si="12"/>
        <v>0</v>
      </c>
      <c r="AM39" s="109">
        <f t="shared" si="12"/>
        <v>286.50381274934364</v>
      </c>
      <c r="AN39" s="109">
        <f t="shared" si="12"/>
        <v>170.47406125439846</v>
      </c>
      <c r="AO39" s="109">
        <f t="shared" si="12"/>
        <v>4.494261293883909</v>
      </c>
      <c r="AP39" s="109">
        <f t="shared" si="12"/>
        <v>170.47406125439846</v>
      </c>
      <c r="AQ39" s="109">
        <f t="shared" si="12"/>
        <v>4.494261293883909</v>
      </c>
      <c r="AR39" s="109">
        <f t="shared" si="12"/>
        <v>170.47406125439846</v>
      </c>
      <c r="AS39" s="109">
        <f t="shared" si="12"/>
        <v>4.494261293883909</v>
      </c>
      <c r="AT39" s="109">
        <f t="shared" si="12"/>
        <v>170.47406125439846</v>
      </c>
      <c r="AU39" s="109">
        <f t="shared" si="12"/>
        <v>4.494261293883909</v>
      </c>
      <c r="AV39" s="109">
        <f t="shared" si="12"/>
        <v>170.47406125439846</v>
      </c>
      <c r="AW39" s="109">
        <f t="shared" si="12"/>
        <v>4.494261293883909</v>
      </c>
      <c r="AX39" s="109">
        <f t="shared" si="12"/>
        <v>170.47406125439846</v>
      </c>
      <c r="AY39" s="109">
        <f t="shared" si="12"/>
        <v>4.494261293883909</v>
      </c>
    </row>
    <row r="40" spans="1:52">
      <c r="A40" s="109"/>
      <c r="B40" s="164" t="s">
        <v>349</v>
      </c>
      <c r="C40" s="109"/>
      <c r="D40" s="109">
        <f>D34-D37</f>
        <v>144.70232446315012</v>
      </c>
      <c r="E40" s="109">
        <f t="shared" ref="E40:AY40" si="13">E34-E37</f>
        <v>0</v>
      </c>
      <c r="F40" s="109">
        <f t="shared" si="13"/>
        <v>386.68947341454708</v>
      </c>
      <c r="G40" s="109">
        <f t="shared" si="13"/>
        <v>230.08603042562342</v>
      </c>
      <c r="H40" s="109">
        <f t="shared" si="13"/>
        <v>6.0658303861379466</v>
      </c>
      <c r="I40" s="109">
        <f t="shared" si="13"/>
        <v>230.08603042562342</v>
      </c>
      <c r="J40" s="109">
        <f t="shared" si="13"/>
        <v>6.0658303861379466</v>
      </c>
      <c r="K40" s="109">
        <f t="shared" si="13"/>
        <v>230.08603042562342</v>
      </c>
      <c r="L40" s="109">
        <f t="shared" si="13"/>
        <v>6.0658303861379466</v>
      </c>
      <c r="M40" s="109">
        <f t="shared" si="13"/>
        <v>230.08603042562342</v>
      </c>
      <c r="N40" s="109">
        <f t="shared" si="13"/>
        <v>6.0658303861379466</v>
      </c>
      <c r="O40" s="109">
        <f t="shared" si="13"/>
        <v>230.08603042562342</v>
      </c>
      <c r="P40" s="109">
        <f t="shared" si="13"/>
        <v>6.0658303861379466</v>
      </c>
      <c r="Q40" s="109">
        <f t="shared" si="13"/>
        <v>230.08603042562342</v>
      </c>
      <c r="R40" s="109">
        <f t="shared" si="13"/>
        <v>6.0658303861379466</v>
      </c>
      <c r="S40" s="109">
        <f t="shared" si="13"/>
        <v>230.08603042562342</v>
      </c>
      <c r="T40" s="109">
        <f t="shared" si="13"/>
        <v>6.0658303861379466</v>
      </c>
      <c r="U40" s="109">
        <f t="shared" si="13"/>
        <v>230.08603042562342</v>
      </c>
      <c r="V40" s="109">
        <f t="shared" si="13"/>
        <v>0</v>
      </c>
      <c r="W40" s="109">
        <f t="shared" si="13"/>
        <v>230.08603042562342</v>
      </c>
      <c r="X40" s="109">
        <f t="shared" si="13"/>
        <v>40.530476546058793</v>
      </c>
      <c r="Y40" s="109">
        <f t="shared" si="13"/>
        <v>230.08603042562342</v>
      </c>
      <c r="Z40" s="109">
        <f t="shared" si="13"/>
        <v>40.530476546058793</v>
      </c>
      <c r="AA40" s="109">
        <f t="shared" si="13"/>
        <v>230.08603042562342</v>
      </c>
      <c r="AB40" s="109">
        <f t="shared" si="13"/>
        <v>40.530476546058793</v>
      </c>
      <c r="AC40" s="109">
        <f t="shared" si="13"/>
        <v>230.08603042562342</v>
      </c>
      <c r="AD40" s="109">
        <f t="shared" si="13"/>
        <v>40.530476546058793</v>
      </c>
      <c r="AE40" s="109">
        <f t="shared" si="13"/>
        <v>230.08603042562342</v>
      </c>
      <c r="AF40" s="109">
        <f t="shared" si="13"/>
        <v>40.530476546058793</v>
      </c>
      <c r="AG40" s="109">
        <f t="shared" si="13"/>
        <v>230.08603042562342</v>
      </c>
      <c r="AH40" s="109">
        <f t="shared" si="13"/>
        <v>40.530476546058793</v>
      </c>
      <c r="AI40" s="109">
        <f t="shared" si="13"/>
        <v>230.08603042562342</v>
      </c>
      <c r="AJ40" s="109">
        <f t="shared" si="13"/>
        <v>40.530476546058793</v>
      </c>
      <c r="AK40" s="109">
        <f t="shared" si="13"/>
        <v>230.08603042562342</v>
      </c>
      <c r="AL40" s="109">
        <f t="shared" si="13"/>
        <v>0</v>
      </c>
      <c r="AM40" s="109">
        <f t="shared" si="13"/>
        <v>386.68947341454708</v>
      </c>
      <c r="AN40" s="109">
        <f t="shared" si="13"/>
        <v>230.08603042562342</v>
      </c>
      <c r="AO40" s="109">
        <f t="shared" si="13"/>
        <v>6.0658303861379466</v>
      </c>
      <c r="AP40" s="109">
        <f t="shared" si="13"/>
        <v>230.08603042562342</v>
      </c>
      <c r="AQ40" s="109">
        <f t="shared" si="13"/>
        <v>6.0658303861379466</v>
      </c>
      <c r="AR40" s="109">
        <f t="shared" si="13"/>
        <v>230.08603042562342</v>
      </c>
      <c r="AS40" s="109">
        <f t="shared" si="13"/>
        <v>6.0658303861379466</v>
      </c>
      <c r="AT40" s="109">
        <f t="shared" si="13"/>
        <v>230.08603042562342</v>
      </c>
      <c r="AU40" s="109">
        <f t="shared" si="13"/>
        <v>6.0658303861379466</v>
      </c>
      <c r="AV40" s="109">
        <f t="shared" si="13"/>
        <v>230.08603042562342</v>
      </c>
      <c r="AW40" s="109">
        <f t="shared" si="13"/>
        <v>6.0658303861379466</v>
      </c>
      <c r="AX40" s="109">
        <f t="shared" si="13"/>
        <v>230.08603042562342</v>
      </c>
      <c r="AY40" s="109">
        <f t="shared" si="13"/>
        <v>6.0658303861379466</v>
      </c>
    </row>
    <row r="41" spans="1:52">
      <c r="A41" s="109"/>
      <c r="B41" s="164" t="s">
        <v>350</v>
      </c>
      <c r="C41" s="109"/>
      <c r="D41" s="109">
        <v>1</v>
      </c>
      <c r="E41" s="109">
        <v>2</v>
      </c>
      <c r="F41" s="109">
        <v>2</v>
      </c>
      <c r="G41" s="109">
        <v>2</v>
      </c>
      <c r="H41" s="109">
        <v>1</v>
      </c>
      <c r="I41" s="109">
        <v>1</v>
      </c>
      <c r="J41" s="109">
        <v>2</v>
      </c>
      <c r="K41" s="109">
        <v>1</v>
      </c>
      <c r="L41" s="109">
        <v>1</v>
      </c>
      <c r="M41" s="109">
        <v>1</v>
      </c>
      <c r="N41" s="109">
        <v>3</v>
      </c>
      <c r="O41" s="109">
        <v>2</v>
      </c>
      <c r="P41" s="109">
        <v>1</v>
      </c>
      <c r="Q41" s="109">
        <v>1</v>
      </c>
      <c r="R41" s="109">
        <v>1</v>
      </c>
      <c r="S41" s="109">
        <v>1</v>
      </c>
      <c r="T41" s="109">
        <v>2</v>
      </c>
      <c r="U41" s="109">
        <v>1</v>
      </c>
      <c r="V41" s="109">
        <v>2</v>
      </c>
      <c r="W41" s="109">
        <v>3</v>
      </c>
      <c r="X41" s="109">
        <v>1</v>
      </c>
      <c r="Y41" s="109">
        <v>2</v>
      </c>
      <c r="Z41" s="109">
        <v>2</v>
      </c>
      <c r="AA41" s="109">
        <v>2</v>
      </c>
      <c r="AB41" s="109">
        <v>1</v>
      </c>
      <c r="AC41" s="109">
        <v>1</v>
      </c>
      <c r="AD41" s="109">
        <v>1</v>
      </c>
      <c r="AE41" s="109">
        <v>1</v>
      </c>
      <c r="AF41" s="109">
        <v>2</v>
      </c>
      <c r="AG41" s="109">
        <v>1</v>
      </c>
      <c r="AH41" s="109">
        <v>2</v>
      </c>
      <c r="AI41" s="109">
        <v>1</v>
      </c>
      <c r="AJ41" s="109">
        <v>2</v>
      </c>
      <c r="AK41" s="109">
        <v>2</v>
      </c>
      <c r="AL41" s="109">
        <v>1</v>
      </c>
      <c r="AM41" s="109">
        <v>1</v>
      </c>
      <c r="AN41" s="109">
        <v>1</v>
      </c>
      <c r="AO41" s="109">
        <v>3</v>
      </c>
      <c r="AP41" s="109">
        <v>3</v>
      </c>
      <c r="AQ41" s="109">
        <v>1</v>
      </c>
      <c r="AR41" s="109">
        <v>1</v>
      </c>
      <c r="AS41" s="109">
        <v>2</v>
      </c>
      <c r="AT41" s="109">
        <v>1</v>
      </c>
      <c r="AU41" s="109">
        <v>3</v>
      </c>
      <c r="AV41" s="109">
        <v>2</v>
      </c>
      <c r="AW41" s="109">
        <v>2</v>
      </c>
      <c r="AX41" s="109">
        <v>2</v>
      </c>
      <c r="AY41" s="109">
        <v>1</v>
      </c>
    </row>
    <row r="42" spans="1:52">
      <c r="A42" s="109"/>
      <c r="B42" s="177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582660</v>
      </c>
      <c r="I42" s="109">
        <v>0</v>
      </c>
      <c r="J42" s="109">
        <v>582660</v>
      </c>
      <c r="K42" s="109">
        <v>0</v>
      </c>
      <c r="L42" s="109">
        <v>582660</v>
      </c>
      <c r="M42" s="109">
        <v>0</v>
      </c>
      <c r="N42" s="109">
        <v>582660</v>
      </c>
      <c r="O42" s="109">
        <v>0</v>
      </c>
      <c r="P42" s="109">
        <v>582660</v>
      </c>
      <c r="Q42" s="109">
        <v>0</v>
      </c>
      <c r="R42" s="109">
        <v>582660</v>
      </c>
      <c r="S42" s="109">
        <v>0</v>
      </c>
      <c r="T42" s="109">
        <v>582660</v>
      </c>
      <c r="U42" s="109">
        <v>0</v>
      </c>
      <c r="V42" s="109">
        <v>582660</v>
      </c>
      <c r="W42" s="109">
        <v>0</v>
      </c>
      <c r="X42" s="109">
        <v>493020</v>
      </c>
      <c r="Y42" s="109">
        <v>0</v>
      </c>
      <c r="Z42" s="109">
        <v>493020</v>
      </c>
      <c r="AA42" s="109">
        <v>0</v>
      </c>
      <c r="AB42" s="109">
        <v>493020</v>
      </c>
      <c r="AC42" s="109">
        <v>0</v>
      </c>
      <c r="AD42" s="109">
        <v>493020</v>
      </c>
      <c r="AE42" s="109">
        <v>0</v>
      </c>
      <c r="AF42" s="109">
        <v>493020</v>
      </c>
      <c r="AG42" s="109">
        <v>0</v>
      </c>
      <c r="AH42" s="109">
        <v>493020</v>
      </c>
      <c r="AI42" s="109">
        <v>0</v>
      </c>
      <c r="AJ42" s="109">
        <v>493020</v>
      </c>
      <c r="AK42" s="109">
        <v>0</v>
      </c>
      <c r="AL42" s="109">
        <v>0</v>
      </c>
      <c r="AM42" s="109">
        <v>0</v>
      </c>
      <c r="AN42" s="109">
        <v>0</v>
      </c>
      <c r="AO42" s="109">
        <v>582660</v>
      </c>
      <c r="AP42" s="109">
        <v>0</v>
      </c>
      <c r="AQ42" s="109">
        <v>582660</v>
      </c>
      <c r="AR42" s="109">
        <v>0</v>
      </c>
      <c r="AS42" s="109">
        <v>582660</v>
      </c>
      <c r="AT42" s="109">
        <v>0</v>
      </c>
      <c r="AU42" s="109">
        <v>582660</v>
      </c>
      <c r="AV42" s="109">
        <v>0</v>
      </c>
      <c r="AW42" s="109">
        <v>582660</v>
      </c>
      <c r="AX42" s="109">
        <v>0</v>
      </c>
      <c r="AY42" s="109">
        <v>582660</v>
      </c>
      <c r="AZ42" s="99">
        <f>SUM($D$42:$AY$42)</f>
        <v>11608380</v>
      </c>
    </row>
    <row r="43" spans="1:52">
      <c r="A43" s="109"/>
      <c r="B43" s="177" t="s">
        <v>352</v>
      </c>
      <c r="C43" s="109"/>
      <c r="D43" s="109">
        <v>203861.70023932698</v>
      </c>
      <c r="E43" s="109">
        <v>0</v>
      </c>
      <c r="F43" s="109">
        <v>544781.66682812851</v>
      </c>
      <c r="G43" s="109">
        <v>324153.25419205771</v>
      </c>
      <c r="H43" s="109">
        <v>8545.7541920576878</v>
      </c>
      <c r="I43" s="109">
        <v>324153.25419205771</v>
      </c>
      <c r="J43" s="109">
        <v>8545.7541920576878</v>
      </c>
      <c r="K43" s="109">
        <v>324153.25419205771</v>
      </c>
      <c r="L43" s="109">
        <v>8545.7541920576878</v>
      </c>
      <c r="M43" s="109">
        <v>324153.25419205771</v>
      </c>
      <c r="N43" s="109">
        <v>8545.7541920576878</v>
      </c>
      <c r="O43" s="109">
        <v>324153.25419205771</v>
      </c>
      <c r="P43" s="109">
        <v>8545.7541920576878</v>
      </c>
      <c r="Q43" s="109">
        <v>324153.25419205771</v>
      </c>
      <c r="R43" s="109">
        <v>8545.7541920576878</v>
      </c>
      <c r="S43" s="109">
        <v>324153.25419205771</v>
      </c>
      <c r="T43" s="109">
        <v>8545.7541920576878</v>
      </c>
      <c r="U43" s="109">
        <v>324153.25419205771</v>
      </c>
      <c r="V43" s="109">
        <v>0</v>
      </c>
      <c r="W43" s="109">
        <v>324153.25419205771</v>
      </c>
      <c r="X43" s="109">
        <v>57100.754192057691</v>
      </c>
      <c r="Y43" s="109">
        <v>324153.25419205771</v>
      </c>
      <c r="Z43" s="109">
        <v>57100.754192057691</v>
      </c>
      <c r="AA43" s="109">
        <v>324153.25419205771</v>
      </c>
      <c r="AB43" s="109">
        <v>57100.754192057691</v>
      </c>
      <c r="AC43" s="109">
        <v>324153.25419205771</v>
      </c>
      <c r="AD43" s="109">
        <v>57100.754192057691</v>
      </c>
      <c r="AE43" s="109">
        <v>324153.25419205771</v>
      </c>
      <c r="AF43" s="109">
        <v>57100.754192057691</v>
      </c>
      <c r="AG43" s="109">
        <v>324153.25419205771</v>
      </c>
      <c r="AH43" s="109">
        <v>57100.754192057691</v>
      </c>
      <c r="AI43" s="109">
        <v>324153.25419205771</v>
      </c>
      <c r="AJ43" s="109">
        <v>57100.754192057691</v>
      </c>
      <c r="AK43" s="109">
        <v>324153.25419205771</v>
      </c>
      <c r="AL43" s="109">
        <v>0</v>
      </c>
      <c r="AM43" s="109">
        <v>544781.66682812851</v>
      </c>
      <c r="AN43" s="109">
        <v>324153.25419205771</v>
      </c>
      <c r="AO43" s="109">
        <v>8545.7541920576878</v>
      </c>
      <c r="AP43" s="109">
        <v>324153.25419205771</v>
      </c>
      <c r="AQ43" s="109">
        <v>8545.7541920576878</v>
      </c>
      <c r="AR43" s="109">
        <v>324153.25419205771</v>
      </c>
      <c r="AS43" s="109">
        <v>8545.7541920576878</v>
      </c>
      <c r="AT43" s="109">
        <v>324153.25419205771</v>
      </c>
      <c r="AU43" s="109">
        <v>8545.7541920576878</v>
      </c>
      <c r="AV43" s="109">
        <v>324153.25419205771</v>
      </c>
      <c r="AW43" s="109">
        <v>8545.7541920576878</v>
      </c>
      <c r="AX43" s="109">
        <v>324153.25419205771</v>
      </c>
      <c r="AY43" s="109">
        <v>8545.7541920576878</v>
      </c>
      <c r="AZ43" s="99">
        <f>SUM($D$43:$AY$43)</f>
        <v>8935596.7099620122</v>
      </c>
    </row>
    <row r="44" spans="1:52">
      <c r="A44" s="134" t="s">
        <v>46</v>
      </c>
      <c r="B44" s="134" t="s">
        <v>342</v>
      </c>
      <c r="C44" s="123"/>
      <c r="D44" s="123">
        <f>D$21*shipping_manufacturing!$H$28/100</f>
        <v>0</v>
      </c>
      <c r="E44" s="123">
        <f>E$21*shipping_manufacturing!$H$28/100</f>
        <v>0</v>
      </c>
      <c r="F44" s="123">
        <f>F$21*shipping_manufacturing!$H$28/100</f>
        <v>0</v>
      </c>
      <c r="G44" s="123">
        <f>G$21*shipping_manufacturing!$H$28/100</f>
        <v>0</v>
      </c>
      <c r="H44" s="123">
        <f>H$21*shipping_manufacturing!$H$28/100</f>
        <v>0</v>
      </c>
      <c r="I44" s="123">
        <f>I$21*shipping_manufacturing!$H$28/100</f>
        <v>0</v>
      </c>
      <c r="J44" s="123">
        <f>J$21*shipping_manufacturing!$H$28/100</f>
        <v>0</v>
      </c>
      <c r="K44" s="123">
        <f>K$21*shipping_manufacturing!$H$28/100</f>
        <v>0</v>
      </c>
      <c r="L44" s="123">
        <f>L$21*shipping_manufacturing!$H$28/100</f>
        <v>0</v>
      </c>
      <c r="M44" s="123">
        <f>M$21*shipping_manufacturing!$H$28/100</f>
        <v>0</v>
      </c>
      <c r="N44" s="123">
        <f>N$21*shipping_manufacturing!$H$28/100</f>
        <v>0</v>
      </c>
      <c r="O44" s="123">
        <f>O$21*shipping_manufacturing!$H$28/100</f>
        <v>0</v>
      </c>
      <c r="P44" s="123">
        <f>P$21*shipping_manufacturing!$H$28/100</f>
        <v>0</v>
      </c>
      <c r="Q44" s="123">
        <f>Q$21*shipping_manufacturing!$H$28/100</f>
        <v>0</v>
      </c>
      <c r="R44" s="123">
        <f>R$21*shipping_manufacturing!$H$28/100</f>
        <v>0</v>
      </c>
      <c r="S44" s="123">
        <f>S$21*shipping_manufacturing!$H$28/100</f>
        <v>0</v>
      </c>
      <c r="T44" s="123">
        <f>T$21*shipping_manufacturing!$H$28/100</f>
        <v>0</v>
      </c>
      <c r="U44" s="123">
        <f>U$21*shipping_manufacturing!$H$28/100</f>
        <v>0</v>
      </c>
      <c r="V44" s="123">
        <f>V$21*shipping_manufacturing!$H$28/100</f>
        <v>0</v>
      </c>
      <c r="W44" s="123">
        <f>W$21*shipping_manufacturing!$H$28/100</f>
        <v>0</v>
      </c>
      <c r="X44" s="123">
        <f>X$21*shipping_manufacturing!$H$28/100</f>
        <v>0</v>
      </c>
      <c r="Y44" s="123">
        <f>Y$21*shipping_manufacturing!$H$28/100</f>
        <v>0</v>
      </c>
      <c r="Z44" s="123">
        <f>Z$21*shipping_manufacturing!$H$28/100</f>
        <v>0</v>
      </c>
      <c r="AA44" s="123">
        <f>AA$21*shipping_manufacturing!$H$28/100</f>
        <v>0</v>
      </c>
      <c r="AB44" s="123">
        <f>AB$21*shipping_manufacturing!$H$28/100</f>
        <v>0</v>
      </c>
      <c r="AC44" s="123">
        <f>AC$21*shipping_manufacturing!$H$28/100</f>
        <v>0</v>
      </c>
      <c r="AD44" s="123">
        <f>AD$21*shipping_manufacturing!$H$28/100</f>
        <v>0</v>
      </c>
      <c r="AE44" s="123">
        <f>AE$21*shipping_manufacturing!$H$28/100</f>
        <v>0</v>
      </c>
      <c r="AF44" s="123">
        <f>AF$21*shipping_manufacturing!$H$28/100</f>
        <v>0</v>
      </c>
      <c r="AG44" s="123">
        <f>AG$21*shipping_manufacturing!$H$28/100</f>
        <v>0</v>
      </c>
      <c r="AH44" s="123">
        <f>AH$21*shipping_manufacturing!$H$28/100</f>
        <v>0</v>
      </c>
      <c r="AI44" s="123">
        <f>AI$21*shipping_manufacturing!$H$28/100</f>
        <v>0</v>
      </c>
      <c r="AJ44" s="123">
        <f>AJ$21*shipping_manufacturing!$H$28/100</f>
        <v>0</v>
      </c>
      <c r="AK44" s="123">
        <f>AK$21*shipping_manufacturing!$H$28/100</f>
        <v>0</v>
      </c>
      <c r="AL44" s="123">
        <f>AL$21*shipping_manufacturing!$H$28/100</f>
        <v>0</v>
      </c>
      <c r="AM44" s="123">
        <f>AM$21*shipping_manufacturing!$H$28/100</f>
        <v>0</v>
      </c>
      <c r="AN44" s="123">
        <f>AN$21*shipping_manufacturing!$H$28/100</f>
        <v>0</v>
      </c>
      <c r="AO44" s="123">
        <f>AO$21*shipping_manufacturing!$H$28/100</f>
        <v>0</v>
      </c>
      <c r="AP44" s="123">
        <f>AP$21*shipping_manufacturing!$H$28/100</f>
        <v>0</v>
      </c>
      <c r="AQ44" s="123">
        <f>AQ$21*shipping_manufacturing!$H$28/100</f>
        <v>0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0</v>
      </c>
      <c r="AV44" s="123">
        <f>AV$21*shipping_manufacturing!$H$28/100</f>
        <v>0</v>
      </c>
      <c r="AW44" s="123">
        <f>AW$21*shipping_manufacturing!$H$28/100</f>
        <v>0</v>
      </c>
      <c r="AX44" s="123">
        <f>AX$21*shipping_manufacturing!$H$28/100</f>
        <v>0</v>
      </c>
      <c r="AY44" s="123">
        <f>AY$21*shipping_manufacturing!$H$28/100</f>
        <v>0</v>
      </c>
    </row>
    <row r="45" spans="1:52">
      <c r="A45" s="112" t="s">
        <v>341</v>
      </c>
      <c r="B45" s="164" t="s">
        <v>343</v>
      </c>
      <c r="C45" s="109"/>
      <c r="D45" s="109">
        <f>D$22*shipping_manufacturing!$I$28/100</f>
        <v>0</v>
      </c>
      <c r="E45" s="109">
        <f>E$22*shipping_manufacturing!$I$28/100</f>
        <v>0</v>
      </c>
      <c r="F45" s="109">
        <f>F$22*shipping_manufacturing!$I$28/100</f>
        <v>0</v>
      </c>
      <c r="G45" s="109">
        <f>G$22*shipping_manufacturing!$I$28/100</f>
        <v>0</v>
      </c>
      <c r="H45" s="109">
        <f>H$22*shipping_manufacturing!$I$28/100</f>
        <v>0</v>
      </c>
      <c r="I45" s="109">
        <f>I$22*shipping_manufacturing!$I$28/100</f>
        <v>0</v>
      </c>
      <c r="J45" s="109">
        <f>J$22*shipping_manufacturing!$I$28/100</f>
        <v>0</v>
      </c>
      <c r="K45" s="109">
        <f>K$22*shipping_manufacturing!$I$28/100</f>
        <v>0</v>
      </c>
      <c r="L45" s="109">
        <f>L$22*shipping_manufacturing!$I$28/100</f>
        <v>0</v>
      </c>
      <c r="M45" s="109">
        <f>M$22*shipping_manufacturing!$I$28/100</f>
        <v>0</v>
      </c>
      <c r="N45" s="109">
        <f>N$22*shipping_manufacturing!$I$28/100</f>
        <v>0</v>
      </c>
      <c r="O45" s="109">
        <f>O$22*shipping_manufacturing!$I$28/100</f>
        <v>0</v>
      </c>
      <c r="P45" s="109">
        <f>P$22*shipping_manufacturing!$I$28/100</f>
        <v>0</v>
      </c>
      <c r="Q45" s="109">
        <f>Q$22*shipping_manufacturing!$I$28/100</f>
        <v>0</v>
      </c>
      <c r="R45" s="109">
        <f>R$22*shipping_manufacturing!$I$28/100</f>
        <v>0</v>
      </c>
      <c r="S45" s="109">
        <f>S$22*shipping_manufacturing!$I$28/100</f>
        <v>0</v>
      </c>
      <c r="T45" s="109">
        <f>T$22*shipping_manufacturing!$I$28/100</f>
        <v>0</v>
      </c>
      <c r="U45" s="109">
        <f>U$22*shipping_manufacturing!$I$28/100</f>
        <v>0</v>
      </c>
      <c r="V45" s="109">
        <f>V$22*shipping_manufacturing!$I$28/100</f>
        <v>0</v>
      </c>
      <c r="W45" s="109">
        <f>W$22*shipping_manufacturing!$I$28/100</f>
        <v>0</v>
      </c>
      <c r="X45" s="109">
        <f>X$22*shipping_manufacturing!$I$28/100</f>
        <v>0</v>
      </c>
      <c r="Y45" s="109">
        <f>Y$22*shipping_manufacturing!$I$28/100</f>
        <v>0</v>
      </c>
      <c r="Z45" s="109">
        <f>Z$22*shipping_manufacturing!$I$28/100</f>
        <v>0</v>
      </c>
      <c r="AA45" s="109">
        <f>AA$22*shipping_manufacturing!$I$28/100</f>
        <v>0</v>
      </c>
      <c r="AB45" s="109">
        <f>AB$22*shipping_manufacturing!$I$28/100</f>
        <v>0</v>
      </c>
      <c r="AC45" s="109">
        <f>AC$22*shipping_manufacturing!$I$28/100</f>
        <v>0</v>
      </c>
      <c r="AD45" s="109">
        <f>AD$22*shipping_manufacturing!$I$28/100</f>
        <v>0</v>
      </c>
      <c r="AE45" s="109">
        <f>AE$22*shipping_manufacturing!$I$28/100</f>
        <v>0</v>
      </c>
      <c r="AF45" s="109">
        <f>AF$22*shipping_manufacturing!$I$28/100</f>
        <v>0</v>
      </c>
      <c r="AG45" s="109">
        <f>AG$22*shipping_manufacturing!$I$28/100</f>
        <v>0</v>
      </c>
      <c r="AH45" s="109">
        <f>AH$22*shipping_manufacturing!$I$28/100</f>
        <v>0</v>
      </c>
      <c r="AI45" s="109">
        <f>AI$22*shipping_manufacturing!$I$28/100</f>
        <v>0</v>
      </c>
      <c r="AJ45" s="109">
        <f>AJ$22*shipping_manufacturing!$I$28/100</f>
        <v>0</v>
      </c>
      <c r="AK45" s="109">
        <f>AK$22*shipping_manufacturing!$I$28/100</f>
        <v>0</v>
      </c>
      <c r="AL45" s="109">
        <f>AL$22*shipping_manufacturing!$I$28/100</f>
        <v>0</v>
      </c>
      <c r="AM45" s="109">
        <f>AM$22*shipping_manufacturing!$I$28/100</f>
        <v>0</v>
      </c>
      <c r="AN45" s="109">
        <f>AN$22*shipping_manufacturing!$I$28/100</f>
        <v>0</v>
      </c>
      <c r="AO45" s="109">
        <f>AO$22*shipping_manufacturing!$I$28/100</f>
        <v>0</v>
      </c>
      <c r="AP45" s="109">
        <f>AP$22*shipping_manufacturing!$I$28/100</f>
        <v>0</v>
      </c>
      <c r="AQ45" s="109">
        <f>AQ$22*shipping_manufacturing!$I$28/100</f>
        <v>0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0</v>
      </c>
      <c r="AV45" s="109">
        <f>AV$22*shipping_manufacturing!$I$28/100</f>
        <v>0</v>
      </c>
      <c r="AW45" s="109">
        <f>AW$22*shipping_manufacturing!$I$28/100</f>
        <v>0</v>
      </c>
      <c r="AX45" s="109">
        <f>AX$22*shipping_manufacturing!$I$28/100</f>
        <v>0</v>
      </c>
      <c r="AY45" s="109">
        <f>AY$22*shipping_manufacturing!$I$28/100</f>
        <v>0</v>
      </c>
    </row>
    <row r="46" spans="1:52">
      <c r="A46" s="109">
        <v>1893</v>
      </c>
      <c r="B46" s="164" t="s">
        <v>344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345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346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347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348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349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350</v>
      </c>
      <c r="C52" s="109"/>
      <c r="D52" s="109">
        <v>1</v>
      </c>
      <c r="E52" s="109">
        <v>2</v>
      </c>
      <c r="F52" s="109">
        <v>1</v>
      </c>
      <c r="G52" s="109">
        <v>1</v>
      </c>
      <c r="H52" s="109">
        <v>1</v>
      </c>
      <c r="I52" s="109">
        <v>1</v>
      </c>
      <c r="J52" s="109">
        <v>3</v>
      </c>
      <c r="K52" s="109">
        <v>1</v>
      </c>
      <c r="L52" s="109">
        <v>1</v>
      </c>
      <c r="M52" s="109">
        <v>1</v>
      </c>
      <c r="N52" s="109">
        <v>1</v>
      </c>
      <c r="O52" s="109">
        <v>1</v>
      </c>
      <c r="P52" s="109">
        <v>3</v>
      </c>
      <c r="Q52" s="109">
        <v>2</v>
      </c>
      <c r="R52" s="109">
        <v>2</v>
      </c>
      <c r="S52" s="109">
        <v>1</v>
      </c>
      <c r="T52" s="109">
        <v>1</v>
      </c>
      <c r="U52" s="109">
        <v>1</v>
      </c>
      <c r="V52" s="109">
        <v>1</v>
      </c>
      <c r="W52" s="109">
        <v>1</v>
      </c>
      <c r="X52" s="109">
        <v>1</v>
      </c>
      <c r="Y52" s="109">
        <v>1</v>
      </c>
      <c r="Z52" s="109">
        <v>3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2</v>
      </c>
      <c r="AG52" s="109">
        <v>1</v>
      </c>
      <c r="AH52" s="109">
        <v>1</v>
      </c>
      <c r="AI52" s="109">
        <v>1</v>
      </c>
      <c r="AJ52" s="109">
        <v>2</v>
      </c>
      <c r="AK52" s="109">
        <v>2</v>
      </c>
      <c r="AL52" s="109">
        <v>1</v>
      </c>
      <c r="AM52" s="109">
        <v>1</v>
      </c>
      <c r="AN52" s="109">
        <v>2</v>
      </c>
      <c r="AO52" s="109">
        <v>1</v>
      </c>
      <c r="AP52" s="109">
        <v>1</v>
      </c>
      <c r="AQ52" s="109">
        <v>2</v>
      </c>
      <c r="AR52" s="109">
        <v>2</v>
      </c>
      <c r="AS52" s="109">
        <v>2</v>
      </c>
      <c r="AT52" s="109">
        <v>1</v>
      </c>
      <c r="AU52" s="109">
        <v>2</v>
      </c>
      <c r="AV52" s="109">
        <v>1</v>
      </c>
      <c r="AW52" s="109">
        <v>1</v>
      </c>
      <c r="AX52" s="109">
        <v>1</v>
      </c>
      <c r="AY52" s="109">
        <v>1</v>
      </c>
    </row>
    <row r="53" spans="1:52">
      <c r="A53" s="109"/>
      <c r="B53" s="177" t="s">
        <v>351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09"/>
      <c r="B54" s="177" t="s">
        <v>352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>
      <c r="A55" s="134" t="s">
        <v>59</v>
      </c>
      <c r="B55" s="134" t="s">
        <v>342</v>
      </c>
      <c r="C55" s="123"/>
      <c r="D55" s="123">
        <f>D$21*shipping_manufacturing!$H$29/100</f>
        <v>465.99435368153604</v>
      </c>
      <c r="E55" s="123">
        <f>E$21*shipping_manufacturing!$H$29/100</f>
        <v>0</v>
      </c>
      <c r="F55" s="123">
        <f>F$21*shipping_manufacturing!$H$29/100</f>
        <v>1245.281386513966</v>
      </c>
      <c r="G55" s="123">
        <f>G$21*shipping_manufacturing!$H$29/100</f>
        <v>740.96108294820749</v>
      </c>
      <c r="H55" s="123">
        <f>H$21*shipping_manufacturing!$H$29/100</f>
        <v>740.96108294820749</v>
      </c>
      <c r="I55" s="123">
        <f>I$21*shipping_manufacturing!$H$29/100</f>
        <v>740.96108294820749</v>
      </c>
      <c r="J55" s="123">
        <f>J$21*shipping_manufacturing!$H$29/100</f>
        <v>740.96108294820749</v>
      </c>
      <c r="K55" s="123">
        <f>K$21*shipping_manufacturing!$H$29/100</f>
        <v>740.96108294820749</v>
      </c>
      <c r="L55" s="123">
        <f>L$21*shipping_manufacturing!$H$29/100</f>
        <v>740.96108294820749</v>
      </c>
      <c r="M55" s="123">
        <f>M$21*shipping_manufacturing!$H$29/100</f>
        <v>740.96108294820749</v>
      </c>
      <c r="N55" s="123">
        <f>N$21*shipping_manufacturing!$H$29/100</f>
        <v>740.96108294820749</v>
      </c>
      <c r="O55" s="123">
        <f>O$21*shipping_manufacturing!$H$29/100</f>
        <v>740.96108294820749</v>
      </c>
      <c r="P55" s="123">
        <f>P$21*shipping_manufacturing!$H$29/100</f>
        <v>740.96108294820749</v>
      </c>
      <c r="Q55" s="123">
        <f>Q$21*shipping_manufacturing!$H$29/100</f>
        <v>740.96108294820749</v>
      </c>
      <c r="R55" s="123">
        <f>R$21*shipping_manufacturing!$H$29/100</f>
        <v>740.96108294820749</v>
      </c>
      <c r="S55" s="123">
        <f>S$21*shipping_manufacturing!$H$29/100</f>
        <v>740.96108294820749</v>
      </c>
      <c r="T55" s="123">
        <f>T$21*shipping_manufacturing!$H$29/100</f>
        <v>740.96108294820749</v>
      </c>
      <c r="U55" s="123">
        <f>U$21*shipping_manufacturing!$H$29/100</f>
        <v>740.96108294820749</v>
      </c>
      <c r="V55" s="123">
        <f>V$21*shipping_manufacturing!$H$29/100</f>
        <v>684.57678233449656</v>
      </c>
      <c r="W55" s="123">
        <f>W$21*shipping_manufacturing!$H$29/100</f>
        <v>740.96108294820749</v>
      </c>
      <c r="X55" s="123">
        <f>X$21*shipping_manufacturing!$H$29/100</f>
        <v>740.96108294820749</v>
      </c>
      <c r="Y55" s="123">
        <f>Y$21*shipping_manufacturing!$H$29/100</f>
        <v>740.96108294820749</v>
      </c>
      <c r="Z55" s="123">
        <f>Z$21*shipping_manufacturing!$H$29/100</f>
        <v>740.96108294820749</v>
      </c>
      <c r="AA55" s="123">
        <f>AA$21*shipping_manufacturing!$H$29/100</f>
        <v>740.96108294820749</v>
      </c>
      <c r="AB55" s="123">
        <f>AB$21*shipping_manufacturing!$H$29/100</f>
        <v>740.96108294820749</v>
      </c>
      <c r="AC55" s="123">
        <f>AC$21*shipping_manufacturing!$H$29/100</f>
        <v>740.96108294820749</v>
      </c>
      <c r="AD55" s="123">
        <f>AD$21*shipping_manufacturing!$H$29/100</f>
        <v>740.96108294820749</v>
      </c>
      <c r="AE55" s="123">
        <f>AE$21*shipping_manufacturing!$H$29/100</f>
        <v>740.96108294820749</v>
      </c>
      <c r="AF55" s="123">
        <f>AF$21*shipping_manufacturing!$H$29/100</f>
        <v>740.96108294820749</v>
      </c>
      <c r="AG55" s="123">
        <f>AG$21*shipping_manufacturing!$H$29/100</f>
        <v>740.96108294820749</v>
      </c>
      <c r="AH55" s="123">
        <f>AH$21*shipping_manufacturing!$H$29/100</f>
        <v>740.96108294820749</v>
      </c>
      <c r="AI55" s="123">
        <f>AI$21*shipping_manufacturing!$H$29/100</f>
        <v>740.96108294820749</v>
      </c>
      <c r="AJ55" s="123">
        <f>AJ$21*shipping_manufacturing!$H$29/100</f>
        <v>740.96108294820749</v>
      </c>
      <c r="AK55" s="123">
        <f>AK$21*shipping_manufacturing!$H$29/100</f>
        <v>740.96108294820749</v>
      </c>
      <c r="AL55" s="123">
        <f>AL$21*shipping_manufacturing!$H$29/100</f>
        <v>0</v>
      </c>
      <c r="AM55" s="123">
        <f>AM$21*shipping_manufacturing!$H$29/100</f>
        <v>1245.281386513966</v>
      </c>
      <c r="AN55" s="123">
        <f>AN$21*shipping_manufacturing!$H$29/100</f>
        <v>740.96108294820749</v>
      </c>
      <c r="AO55" s="123">
        <f>AO$21*shipping_manufacturing!$H$29/100</f>
        <v>740.96108294820749</v>
      </c>
      <c r="AP55" s="123">
        <f>AP$21*shipping_manufacturing!$H$29/100</f>
        <v>740.96108294820749</v>
      </c>
      <c r="AQ55" s="123">
        <f>AQ$21*shipping_manufacturing!$H$29/100</f>
        <v>740.96108294820749</v>
      </c>
      <c r="AR55" s="123">
        <f>AR$21*shipping_manufacturing!$H$29/100</f>
        <v>740.96108294820749</v>
      </c>
      <c r="AS55" s="123">
        <f>AS$21*shipping_manufacturing!$H$29/100</f>
        <v>740.96108294820749</v>
      </c>
      <c r="AT55" s="123">
        <f>AT$21*shipping_manufacturing!$H$29/100</f>
        <v>740.96108294820749</v>
      </c>
      <c r="AU55" s="123">
        <f>AU$21*shipping_manufacturing!$H$29/100</f>
        <v>740.96108294820749</v>
      </c>
      <c r="AV55" s="123">
        <f>AV$21*shipping_manufacturing!$H$29/100</f>
        <v>740.96108294820749</v>
      </c>
      <c r="AW55" s="123">
        <f>AW$21*shipping_manufacturing!$H$29/100</f>
        <v>740.96108294820749</v>
      </c>
      <c r="AX55" s="123">
        <f>AX$21*shipping_manufacturing!$H$29/100</f>
        <v>740.96108294820749</v>
      </c>
      <c r="AY55" s="123">
        <f>AY$21*shipping_manufacturing!$H$29/100</f>
        <v>740.96108294820749</v>
      </c>
    </row>
    <row r="56" spans="1:52">
      <c r="A56" s="112" t="s">
        <v>341</v>
      </c>
      <c r="B56" s="164" t="s">
        <v>343</v>
      </c>
      <c r="C56" s="109"/>
      <c r="D56" s="109">
        <f>D$22*shipping_manufacturing!$I$29/100</f>
        <v>625.12407055179074</v>
      </c>
      <c r="E56" s="109">
        <f>E$22*shipping_manufacturing!$I$29/100</f>
        <v>0</v>
      </c>
      <c r="F56" s="109">
        <f>F$22*shipping_manufacturing!$I$29/100</f>
        <v>1670.5253254033858</v>
      </c>
      <c r="G56" s="109">
        <f>G$22*shipping_manufacturing!$I$29/100</f>
        <v>993.98759799050242</v>
      </c>
      <c r="H56" s="109">
        <f>H$22*shipping_manufacturing!$I$29/100</f>
        <v>993.98759799050242</v>
      </c>
      <c r="I56" s="109">
        <f>I$22*shipping_manufacturing!$I$29/100</f>
        <v>993.98759799050242</v>
      </c>
      <c r="J56" s="109">
        <f>J$22*shipping_manufacturing!$I$29/100</f>
        <v>993.98759799050242</v>
      </c>
      <c r="K56" s="109">
        <f>K$22*shipping_manufacturing!$I$29/100</f>
        <v>993.98759799050242</v>
      </c>
      <c r="L56" s="109">
        <f>L$22*shipping_manufacturing!$I$29/100</f>
        <v>993.98759799050242</v>
      </c>
      <c r="M56" s="109">
        <f>M$22*shipping_manufacturing!$I$29/100</f>
        <v>993.98759799050242</v>
      </c>
      <c r="N56" s="109">
        <f>N$22*shipping_manufacturing!$I$29/100</f>
        <v>993.98759799050242</v>
      </c>
      <c r="O56" s="109">
        <f>O$22*shipping_manufacturing!$I$29/100</f>
        <v>993.98759799050242</v>
      </c>
      <c r="P56" s="109">
        <f>P$22*shipping_manufacturing!$I$29/100</f>
        <v>993.98759799050242</v>
      </c>
      <c r="Q56" s="109">
        <f>Q$22*shipping_manufacturing!$I$29/100</f>
        <v>993.98759799050242</v>
      </c>
      <c r="R56" s="109">
        <f>R$22*shipping_manufacturing!$I$29/100</f>
        <v>993.98759799050242</v>
      </c>
      <c r="S56" s="109">
        <f>S$22*shipping_manufacturing!$I$29/100</f>
        <v>993.98759799050242</v>
      </c>
      <c r="T56" s="109">
        <f>T$22*shipping_manufacturing!$I$29/100</f>
        <v>993.98759799050242</v>
      </c>
      <c r="U56" s="109">
        <f>U$22*shipping_manufacturing!$I$29/100</f>
        <v>993.98759799050242</v>
      </c>
      <c r="V56" s="109">
        <f>V$22*shipping_manufacturing!$I$29/100</f>
        <v>918.34894864552132</v>
      </c>
      <c r="W56" s="109">
        <f>W$22*shipping_manufacturing!$I$29/100</f>
        <v>993.98759799050242</v>
      </c>
      <c r="X56" s="109">
        <f>X$22*shipping_manufacturing!$I$29/100</f>
        <v>993.98759799050242</v>
      </c>
      <c r="Y56" s="109">
        <f>Y$22*shipping_manufacturing!$I$29/100</f>
        <v>993.98759799050242</v>
      </c>
      <c r="Z56" s="109">
        <f>Z$22*shipping_manufacturing!$I$29/100</f>
        <v>993.98759799050242</v>
      </c>
      <c r="AA56" s="109">
        <f>AA$22*shipping_manufacturing!$I$29/100</f>
        <v>993.98759799050242</v>
      </c>
      <c r="AB56" s="109">
        <f>AB$22*shipping_manufacturing!$I$29/100</f>
        <v>993.98759799050242</v>
      </c>
      <c r="AC56" s="109">
        <f>AC$22*shipping_manufacturing!$I$29/100</f>
        <v>993.98759799050242</v>
      </c>
      <c r="AD56" s="109">
        <f>AD$22*shipping_manufacturing!$I$29/100</f>
        <v>993.98759799050242</v>
      </c>
      <c r="AE56" s="109">
        <f>AE$22*shipping_manufacturing!$I$29/100</f>
        <v>993.98759799050242</v>
      </c>
      <c r="AF56" s="109">
        <f>AF$22*shipping_manufacturing!$I$29/100</f>
        <v>993.98759799050242</v>
      </c>
      <c r="AG56" s="109">
        <f>AG$22*shipping_manufacturing!$I$29/100</f>
        <v>993.98759799050242</v>
      </c>
      <c r="AH56" s="109">
        <f>AH$22*shipping_manufacturing!$I$29/100</f>
        <v>993.98759799050242</v>
      </c>
      <c r="AI56" s="109">
        <f>AI$22*shipping_manufacturing!$I$29/100</f>
        <v>993.98759799050242</v>
      </c>
      <c r="AJ56" s="109">
        <f>AJ$22*shipping_manufacturing!$I$29/100</f>
        <v>993.98759799050242</v>
      </c>
      <c r="AK56" s="109">
        <f>AK$22*shipping_manufacturing!$I$29/100</f>
        <v>993.98759799050242</v>
      </c>
      <c r="AL56" s="109">
        <f>AL$22*shipping_manufacturing!$I$29/100</f>
        <v>0</v>
      </c>
      <c r="AM56" s="109">
        <f>AM$22*shipping_manufacturing!$I$29/100</f>
        <v>1670.5253254033858</v>
      </c>
      <c r="AN56" s="109">
        <f>AN$22*shipping_manufacturing!$I$29/100</f>
        <v>993.98759799050242</v>
      </c>
      <c r="AO56" s="109">
        <f>AO$22*shipping_manufacturing!$I$29/100</f>
        <v>993.98759799050242</v>
      </c>
      <c r="AP56" s="109">
        <f>AP$22*shipping_manufacturing!$I$29/100</f>
        <v>993.98759799050242</v>
      </c>
      <c r="AQ56" s="109">
        <f>AQ$22*shipping_manufacturing!$I$29/100</f>
        <v>993.98759799050242</v>
      </c>
      <c r="AR56" s="109">
        <f>AR$22*shipping_manufacturing!$I$29/100</f>
        <v>993.98759799050242</v>
      </c>
      <c r="AS56" s="109">
        <f>AS$22*shipping_manufacturing!$I$29/100</f>
        <v>993.98759799050242</v>
      </c>
      <c r="AT56" s="109">
        <f>AT$22*shipping_manufacturing!$I$29/100</f>
        <v>993.98759799050242</v>
      </c>
      <c r="AU56" s="109">
        <f>AU$22*shipping_manufacturing!$I$29/100</f>
        <v>993.98759799050242</v>
      </c>
      <c r="AV56" s="109">
        <f>AV$22*shipping_manufacturing!$I$29/100</f>
        <v>993.98759799050242</v>
      </c>
      <c r="AW56" s="109">
        <f>AW$22*shipping_manufacturing!$I$29/100</f>
        <v>993.98759799050242</v>
      </c>
      <c r="AX56" s="109">
        <f>AX$22*shipping_manufacturing!$I$29/100</f>
        <v>993.98759799050242</v>
      </c>
      <c r="AY56" s="109">
        <f>AY$22*shipping_manufacturing!$I$29/100</f>
        <v>993.98759799050242</v>
      </c>
    </row>
    <row r="57" spans="1:52">
      <c r="A57" s="109">
        <v>495</v>
      </c>
      <c r="B57" s="164" t="s">
        <v>344</v>
      </c>
      <c r="C57" s="109"/>
      <c r="D57" s="109">
        <f>SUM(D55:D56)</f>
        <v>1091.1184242333268</v>
      </c>
      <c r="E57" s="109">
        <f t="shared" ref="E57:AY57" si="17">SUM(E55:E56)</f>
        <v>0</v>
      </c>
      <c r="F57" s="109">
        <f t="shared" si="17"/>
        <v>2915.806711917352</v>
      </c>
      <c r="G57" s="109">
        <f t="shared" si="17"/>
        <v>1734.9486809387099</v>
      </c>
      <c r="H57" s="109">
        <f t="shared" si="17"/>
        <v>1734.9486809387099</v>
      </c>
      <c r="I57" s="109">
        <f t="shared" si="17"/>
        <v>1734.9486809387099</v>
      </c>
      <c r="J57" s="109">
        <f t="shared" si="17"/>
        <v>1734.9486809387099</v>
      </c>
      <c r="K57" s="109">
        <f t="shared" si="17"/>
        <v>1734.9486809387099</v>
      </c>
      <c r="L57" s="109">
        <f t="shared" si="17"/>
        <v>1734.9486809387099</v>
      </c>
      <c r="M57" s="109">
        <f t="shared" si="17"/>
        <v>1734.9486809387099</v>
      </c>
      <c r="N57" s="109">
        <f t="shared" si="17"/>
        <v>1734.9486809387099</v>
      </c>
      <c r="O57" s="109">
        <f t="shared" si="17"/>
        <v>1734.9486809387099</v>
      </c>
      <c r="P57" s="109">
        <f t="shared" si="17"/>
        <v>1734.9486809387099</v>
      </c>
      <c r="Q57" s="109">
        <f t="shared" si="17"/>
        <v>1734.9486809387099</v>
      </c>
      <c r="R57" s="109">
        <f t="shared" si="17"/>
        <v>1734.9486809387099</v>
      </c>
      <c r="S57" s="109">
        <f t="shared" si="17"/>
        <v>1734.9486809387099</v>
      </c>
      <c r="T57" s="109">
        <f t="shared" si="17"/>
        <v>1734.9486809387099</v>
      </c>
      <c r="U57" s="109">
        <f t="shared" si="17"/>
        <v>1734.9486809387099</v>
      </c>
      <c r="V57" s="109">
        <f t="shared" si="17"/>
        <v>1602.9257309800178</v>
      </c>
      <c r="W57" s="109">
        <f t="shared" si="17"/>
        <v>1734.9486809387099</v>
      </c>
      <c r="X57" s="109">
        <f t="shared" si="17"/>
        <v>1734.9486809387099</v>
      </c>
      <c r="Y57" s="109">
        <f t="shared" si="17"/>
        <v>1734.9486809387099</v>
      </c>
      <c r="Z57" s="109">
        <f t="shared" si="17"/>
        <v>1734.9486809387099</v>
      </c>
      <c r="AA57" s="109">
        <f t="shared" si="17"/>
        <v>1734.9486809387099</v>
      </c>
      <c r="AB57" s="109">
        <f t="shared" si="17"/>
        <v>1734.9486809387099</v>
      </c>
      <c r="AC57" s="109">
        <f t="shared" si="17"/>
        <v>1734.9486809387099</v>
      </c>
      <c r="AD57" s="109">
        <f t="shared" si="17"/>
        <v>1734.9486809387099</v>
      </c>
      <c r="AE57" s="109">
        <f t="shared" si="17"/>
        <v>1734.9486809387099</v>
      </c>
      <c r="AF57" s="109">
        <f t="shared" si="17"/>
        <v>1734.9486809387099</v>
      </c>
      <c r="AG57" s="109">
        <f t="shared" si="17"/>
        <v>1734.9486809387099</v>
      </c>
      <c r="AH57" s="109">
        <f t="shared" si="17"/>
        <v>1734.9486809387099</v>
      </c>
      <c r="AI57" s="109">
        <f t="shared" si="17"/>
        <v>1734.9486809387099</v>
      </c>
      <c r="AJ57" s="109">
        <f t="shared" si="17"/>
        <v>1734.9486809387099</v>
      </c>
      <c r="AK57" s="109">
        <f t="shared" si="17"/>
        <v>1734.9486809387099</v>
      </c>
      <c r="AL57" s="109">
        <f t="shared" si="17"/>
        <v>0</v>
      </c>
      <c r="AM57" s="109">
        <f t="shared" si="17"/>
        <v>2915.806711917352</v>
      </c>
      <c r="AN57" s="109">
        <f t="shared" si="17"/>
        <v>1734.9486809387099</v>
      </c>
      <c r="AO57" s="109">
        <f t="shared" si="17"/>
        <v>1734.9486809387099</v>
      </c>
      <c r="AP57" s="109">
        <f t="shared" si="17"/>
        <v>1734.9486809387099</v>
      </c>
      <c r="AQ57" s="109">
        <f t="shared" si="17"/>
        <v>1734.9486809387099</v>
      </c>
      <c r="AR57" s="109">
        <f t="shared" si="17"/>
        <v>1734.9486809387099</v>
      </c>
      <c r="AS57" s="109">
        <f t="shared" si="17"/>
        <v>1734.9486809387099</v>
      </c>
      <c r="AT57" s="109">
        <f t="shared" si="17"/>
        <v>1734.9486809387099</v>
      </c>
      <c r="AU57" s="109">
        <f t="shared" si="17"/>
        <v>1734.9486809387099</v>
      </c>
      <c r="AV57" s="109">
        <f t="shared" si="17"/>
        <v>1734.9486809387099</v>
      </c>
      <c r="AW57" s="109">
        <f t="shared" si="17"/>
        <v>1734.9486809387099</v>
      </c>
      <c r="AX57" s="109">
        <f t="shared" si="17"/>
        <v>1734.9486809387099</v>
      </c>
      <c r="AY57" s="109">
        <f t="shared" si="17"/>
        <v>1734.9486809387099</v>
      </c>
    </row>
    <row r="58" spans="1:52">
      <c r="A58" s="109"/>
      <c r="B58" s="164" t="s">
        <v>345</v>
      </c>
      <c r="C58" s="109"/>
      <c r="D58" s="109">
        <v>294.68488195145881</v>
      </c>
      <c r="E58" s="109"/>
      <c r="F58" s="109">
        <v>896.86703202618082</v>
      </c>
      <c r="G58" s="109"/>
      <c r="H58" s="109">
        <v>730.30601179274652</v>
      </c>
      <c r="I58" s="109"/>
      <c r="J58" s="109">
        <v>730.30601179274652</v>
      </c>
      <c r="K58" s="109"/>
      <c r="L58" s="109">
        <v>730.30601179274652</v>
      </c>
      <c r="M58" s="109"/>
      <c r="N58" s="109">
        <v>730.30601179274652</v>
      </c>
      <c r="O58" s="109"/>
      <c r="P58" s="109">
        <v>730.30601179274652</v>
      </c>
      <c r="Q58" s="109"/>
      <c r="R58" s="109">
        <v>730.30601179274652</v>
      </c>
      <c r="S58" s="109"/>
      <c r="T58" s="109">
        <v>730.30601179274652</v>
      </c>
      <c r="U58" s="109"/>
      <c r="V58" s="109">
        <v>684.57678233449712</v>
      </c>
      <c r="W58" s="109">
        <v>38.437158515407688</v>
      </c>
      <c r="X58" s="109">
        <v>717.49362562094393</v>
      </c>
      <c r="Y58" s="109">
        <v>38.437158515407688</v>
      </c>
      <c r="Z58" s="109">
        <v>717.49362562094393</v>
      </c>
      <c r="AA58" s="109">
        <v>38.437158515407688</v>
      </c>
      <c r="AB58" s="109">
        <v>717.49362562094393</v>
      </c>
      <c r="AC58" s="109">
        <v>38.437158515407688</v>
      </c>
      <c r="AD58" s="109">
        <v>717.49362562094393</v>
      </c>
      <c r="AE58" s="109">
        <v>38.437158515407688</v>
      </c>
      <c r="AF58" s="109">
        <v>717.49362562094393</v>
      </c>
      <c r="AG58" s="109">
        <v>38.437158515407688</v>
      </c>
      <c r="AH58" s="109">
        <v>717.49362562094393</v>
      </c>
      <c r="AI58" s="109">
        <v>38.437158515407688</v>
      </c>
      <c r="AJ58" s="109">
        <v>717.49362562094393</v>
      </c>
      <c r="AK58" s="109">
        <v>38.437158515407688</v>
      </c>
      <c r="AL58" s="109"/>
      <c r="AM58" s="109">
        <v>896.86703202618082</v>
      </c>
      <c r="AN58" s="109"/>
      <c r="AO58" s="109">
        <v>730.30601179274652</v>
      </c>
      <c r="AP58" s="109"/>
      <c r="AQ58" s="109">
        <v>730.30601179274652</v>
      </c>
      <c r="AR58" s="109"/>
      <c r="AS58" s="109">
        <v>730.30601179274652</v>
      </c>
      <c r="AT58" s="109"/>
      <c r="AU58" s="109">
        <v>730.30601179274652</v>
      </c>
      <c r="AV58" s="109"/>
      <c r="AW58" s="109">
        <v>730.30601179274652</v>
      </c>
      <c r="AX58" s="109"/>
      <c r="AY58" s="109">
        <v>730.30601179274652</v>
      </c>
    </row>
    <row r="59" spans="1:52">
      <c r="A59" s="109"/>
      <c r="B59" s="164" t="s">
        <v>346</v>
      </c>
      <c r="C59" s="109"/>
      <c r="D59" s="109">
        <v>395.31511804854097</v>
      </c>
      <c r="E59" s="109"/>
      <c r="F59" s="109">
        <v>1203.1329679738203</v>
      </c>
      <c r="G59" s="109"/>
      <c r="H59" s="109">
        <v>979.69398820725382</v>
      </c>
      <c r="I59" s="109"/>
      <c r="J59" s="109">
        <v>979.69398820725382</v>
      </c>
      <c r="K59" s="109"/>
      <c r="L59" s="109">
        <v>979.69398820725382</v>
      </c>
      <c r="M59" s="109"/>
      <c r="N59" s="109">
        <v>979.69398820725382</v>
      </c>
      <c r="O59" s="109"/>
      <c r="P59" s="109">
        <v>979.69398820725382</v>
      </c>
      <c r="Q59" s="109"/>
      <c r="R59" s="109">
        <v>979.69398820725382</v>
      </c>
      <c r="S59" s="109"/>
      <c r="T59" s="109">
        <v>979.69398820725382</v>
      </c>
      <c r="U59" s="109"/>
      <c r="V59" s="109">
        <v>918.34894864552132</v>
      </c>
      <c r="W59" s="109">
        <v>51.562841484592312</v>
      </c>
      <c r="X59" s="109">
        <v>962.50637437905641</v>
      </c>
      <c r="Y59" s="109">
        <v>51.562841484592312</v>
      </c>
      <c r="Z59" s="109">
        <v>962.50637437905641</v>
      </c>
      <c r="AA59" s="109">
        <v>51.562841484592312</v>
      </c>
      <c r="AB59" s="109">
        <v>962.50637437905641</v>
      </c>
      <c r="AC59" s="109">
        <v>51.562841484592312</v>
      </c>
      <c r="AD59" s="109">
        <v>962.50637437905641</v>
      </c>
      <c r="AE59" s="109">
        <v>51.562841484592312</v>
      </c>
      <c r="AF59" s="109">
        <v>962.50637437905641</v>
      </c>
      <c r="AG59" s="109">
        <v>51.562841484592312</v>
      </c>
      <c r="AH59" s="109">
        <v>962.50637437905641</v>
      </c>
      <c r="AI59" s="109">
        <v>51.562841484592312</v>
      </c>
      <c r="AJ59" s="109">
        <v>962.50637437905641</v>
      </c>
      <c r="AK59" s="109">
        <v>51.562841484592312</v>
      </c>
      <c r="AL59" s="109"/>
      <c r="AM59" s="109">
        <v>1203.1329679738203</v>
      </c>
      <c r="AN59" s="109"/>
      <c r="AO59" s="109">
        <v>979.69398820725382</v>
      </c>
      <c r="AP59" s="109"/>
      <c r="AQ59" s="109">
        <v>979.69398820725382</v>
      </c>
      <c r="AR59" s="109"/>
      <c r="AS59" s="109">
        <v>979.69398820725382</v>
      </c>
      <c r="AT59" s="109"/>
      <c r="AU59" s="109">
        <v>979.69398820725382</v>
      </c>
      <c r="AV59" s="109"/>
      <c r="AW59" s="109">
        <v>979.69398820725382</v>
      </c>
      <c r="AX59" s="109"/>
      <c r="AY59" s="109">
        <v>979.69398820725382</v>
      </c>
    </row>
    <row r="60" spans="1:52">
      <c r="A60" s="109"/>
      <c r="B60" s="164" t="s">
        <v>347</v>
      </c>
      <c r="C60" s="109"/>
      <c r="D60" s="109">
        <v>23</v>
      </c>
      <c r="E60" s="109"/>
      <c r="F60" s="109">
        <v>70</v>
      </c>
      <c r="G60" s="109"/>
      <c r="H60" s="109">
        <v>57</v>
      </c>
      <c r="I60" s="109"/>
      <c r="J60" s="109">
        <v>57</v>
      </c>
      <c r="K60" s="109"/>
      <c r="L60" s="109">
        <v>57</v>
      </c>
      <c r="M60" s="109"/>
      <c r="N60" s="109">
        <v>57</v>
      </c>
      <c r="O60" s="109"/>
      <c r="P60" s="109">
        <v>57</v>
      </c>
      <c r="Q60" s="109"/>
      <c r="R60" s="109">
        <v>57</v>
      </c>
      <c r="S60" s="109"/>
      <c r="T60" s="109">
        <v>57</v>
      </c>
      <c r="U60" s="109"/>
      <c r="V60" s="109">
        <v>54</v>
      </c>
      <c r="W60" s="109">
        <v>3</v>
      </c>
      <c r="X60" s="109">
        <v>56</v>
      </c>
      <c r="Y60" s="109">
        <v>3</v>
      </c>
      <c r="Z60" s="109">
        <v>56</v>
      </c>
      <c r="AA60" s="109">
        <v>3</v>
      </c>
      <c r="AB60" s="109">
        <v>56</v>
      </c>
      <c r="AC60" s="109">
        <v>3</v>
      </c>
      <c r="AD60" s="109">
        <v>56</v>
      </c>
      <c r="AE60" s="109">
        <v>3</v>
      </c>
      <c r="AF60" s="109">
        <v>56</v>
      </c>
      <c r="AG60" s="109">
        <v>3</v>
      </c>
      <c r="AH60" s="109">
        <v>56</v>
      </c>
      <c r="AI60" s="109">
        <v>3</v>
      </c>
      <c r="AJ60" s="109">
        <v>56</v>
      </c>
      <c r="AK60" s="109">
        <v>3</v>
      </c>
      <c r="AL60" s="109"/>
      <c r="AM60" s="109">
        <v>70</v>
      </c>
      <c r="AN60" s="109"/>
      <c r="AO60" s="109">
        <v>57</v>
      </c>
      <c r="AP60" s="109"/>
      <c r="AQ60" s="109">
        <v>57</v>
      </c>
      <c r="AR60" s="109"/>
      <c r="AS60" s="109">
        <v>57</v>
      </c>
      <c r="AT60" s="109"/>
      <c r="AU60" s="109">
        <v>57</v>
      </c>
      <c r="AV60" s="109"/>
      <c r="AW60" s="109">
        <v>57</v>
      </c>
      <c r="AX60" s="109"/>
      <c r="AY60" s="109">
        <v>57</v>
      </c>
    </row>
    <row r="61" spans="1:52">
      <c r="A61" s="109"/>
      <c r="B61" s="164" t="s">
        <v>348</v>
      </c>
      <c r="C61" s="109"/>
      <c r="D61" s="109">
        <f>D55-D58</f>
        <v>171.30947173007723</v>
      </c>
      <c r="E61" s="109">
        <f t="shared" ref="E61:AY61" si="18">E55-E58</f>
        <v>0</v>
      </c>
      <c r="F61" s="109">
        <f t="shared" si="18"/>
        <v>348.4143544877852</v>
      </c>
      <c r="G61" s="109">
        <f t="shared" si="18"/>
        <v>740.96108294820749</v>
      </c>
      <c r="H61" s="109">
        <f t="shared" si="18"/>
        <v>10.655071155460973</v>
      </c>
      <c r="I61" s="109">
        <f t="shared" si="18"/>
        <v>740.96108294820749</v>
      </c>
      <c r="J61" s="109">
        <f t="shared" si="18"/>
        <v>10.655071155460973</v>
      </c>
      <c r="K61" s="109">
        <f t="shared" si="18"/>
        <v>740.96108294820749</v>
      </c>
      <c r="L61" s="109">
        <f t="shared" si="18"/>
        <v>10.655071155460973</v>
      </c>
      <c r="M61" s="109">
        <f t="shared" si="18"/>
        <v>740.96108294820749</v>
      </c>
      <c r="N61" s="109">
        <f t="shared" si="18"/>
        <v>10.655071155460973</v>
      </c>
      <c r="O61" s="109">
        <f t="shared" si="18"/>
        <v>740.96108294820749</v>
      </c>
      <c r="P61" s="109">
        <f t="shared" si="18"/>
        <v>10.655071155460973</v>
      </c>
      <c r="Q61" s="109">
        <f t="shared" si="18"/>
        <v>740.96108294820749</v>
      </c>
      <c r="R61" s="109">
        <f t="shared" si="18"/>
        <v>10.655071155460973</v>
      </c>
      <c r="S61" s="109">
        <f t="shared" si="18"/>
        <v>740.96108294820749</v>
      </c>
      <c r="T61" s="109">
        <f t="shared" si="18"/>
        <v>10.655071155460973</v>
      </c>
      <c r="U61" s="109">
        <f t="shared" si="18"/>
        <v>740.96108294820749</v>
      </c>
      <c r="V61" s="109">
        <f t="shared" si="18"/>
        <v>0</v>
      </c>
      <c r="W61" s="109">
        <f t="shared" si="18"/>
        <v>702.52392443279984</v>
      </c>
      <c r="X61" s="109">
        <f t="shared" si="18"/>
        <v>23.46745732726356</v>
      </c>
      <c r="Y61" s="109">
        <f t="shared" si="18"/>
        <v>702.52392443279984</v>
      </c>
      <c r="Z61" s="109">
        <f t="shared" si="18"/>
        <v>23.46745732726356</v>
      </c>
      <c r="AA61" s="109">
        <f t="shared" si="18"/>
        <v>702.52392443279984</v>
      </c>
      <c r="AB61" s="109">
        <f t="shared" si="18"/>
        <v>23.46745732726356</v>
      </c>
      <c r="AC61" s="109">
        <f t="shared" si="18"/>
        <v>702.52392443279984</v>
      </c>
      <c r="AD61" s="109">
        <f t="shared" si="18"/>
        <v>23.46745732726356</v>
      </c>
      <c r="AE61" s="109">
        <f t="shared" si="18"/>
        <v>702.52392443279984</v>
      </c>
      <c r="AF61" s="109">
        <f t="shared" si="18"/>
        <v>23.46745732726356</v>
      </c>
      <c r="AG61" s="109">
        <f t="shared" si="18"/>
        <v>702.52392443279984</v>
      </c>
      <c r="AH61" s="109">
        <f t="shared" si="18"/>
        <v>23.46745732726356</v>
      </c>
      <c r="AI61" s="109">
        <f t="shared" si="18"/>
        <v>702.52392443279984</v>
      </c>
      <c r="AJ61" s="109">
        <f t="shared" si="18"/>
        <v>23.46745732726356</v>
      </c>
      <c r="AK61" s="109">
        <f t="shared" si="18"/>
        <v>702.52392443279984</v>
      </c>
      <c r="AL61" s="109">
        <f t="shared" si="18"/>
        <v>0</v>
      </c>
      <c r="AM61" s="109">
        <f t="shared" si="18"/>
        <v>348.4143544877852</v>
      </c>
      <c r="AN61" s="109">
        <f t="shared" si="18"/>
        <v>740.96108294820749</v>
      </c>
      <c r="AO61" s="109">
        <f t="shared" si="18"/>
        <v>10.655071155460973</v>
      </c>
      <c r="AP61" s="109">
        <f t="shared" si="18"/>
        <v>740.96108294820749</v>
      </c>
      <c r="AQ61" s="109">
        <f t="shared" si="18"/>
        <v>10.655071155460973</v>
      </c>
      <c r="AR61" s="109">
        <f t="shared" si="18"/>
        <v>740.96108294820749</v>
      </c>
      <c r="AS61" s="109">
        <f t="shared" si="18"/>
        <v>10.655071155460973</v>
      </c>
      <c r="AT61" s="109">
        <f t="shared" si="18"/>
        <v>740.96108294820749</v>
      </c>
      <c r="AU61" s="109">
        <f t="shared" si="18"/>
        <v>10.655071155460973</v>
      </c>
      <c r="AV61" s="109">
        <f t="shared" si="18"/>
        <v>740.96108294820749</v>
      </c>
      <c r="AW61" s="109">
        <f t="shared" si="18"/>
        <v>10.655071155460973</v>
      </c>
      <c r="AX61" s="109">
        <f t="shared" si="18"/>
        <v>740.96108294820749</v>
      </c>
      <c r="AY61" s="109">
        <f t="shared" si="18"/>
        <v>10.655071155460973</v>
      </c>
    </row>
    <row r="62" spans="1:52">
      <c r="A62" s="109"/>
      <c r="B62" s="164" t="s">
        <v>349</v>
      </c>
      <c r="C62" s="109"/>
      <c r="D62" s="109">
        <f>D56-D59</f>
        <v>229.80895250324977</v>
      </c>
      <c r="E62" s="109">
        <f t="shared" ref="E62:AY62" si="19">E56-E59</f>
        <v>0</v>
      </c>
      <c r="F62" s="109">
        <f t="shared" si="19"/>
        <v>467.39235742956544</v>
      </c>
      <c r="G62" s="109">
        <f t="shared" si="19"/>
        <v>993.98759799050242</v>
      </c>
      <c r="H62" s="109">
        <f t="shared" si="19"/>
        <v>14.293609783248598</v>
      </c>
      <c r="I62" s="109">
        <f t="shared" si="19"/>
        <v>993.98759799050242</v>
      </c>
      <c r="J62" s="109">
        <f t="shared" si="19"/>
        <v>14.293609783248598</v>
      </c>
      <c r="K62" s="109">
        <f t="shared" si="19"/>
        <v>993.98759799050242</v>
      </c>
      <c r="L62" s="109">
        <f t="shared" si="19"/>
        <v>14.293609783248598</v>
      </c>
      <c r="M62" s="109">
        <f t="shared" si="19"/>
        <v>993.98759799050242</v>
      </c>
      <c r="N62" s="109">
        <f t="shared" si="19"/>
        <v>14.293609783248598</v>
      </c>
      <c r="O62" s="109">
        <f t="shared" si="19"/>
        <v>993.98759799050242</v>
      </c>
      <c r="P62" s="109">
        <f t="shared" si="19"/>
        <v>14.293609783248598</v>
      </c>
      <c r="Q62" s="109">
        <f t="shared" si="19"/>
        <v>993.98759799050242</v>
      </c>
      <c r="R62" s="109">
        <f t="shared" si="19"/>
        <v>14.293609783248598</v>
      </c>
      <c r="S62" s="109">
        <f t="shared" si="19"/>
        <v>993.98759799050242</v>
      </c>
      <c r="T62" s="109">
        <f t="shared" si="19"/>
        <v>14.293609783248598</v>
      </c>
      <c r="U62" s="109">
        <f t="shared" si="19"/>
        <v>993.98759799050242</v>
      </c>
      <c r="V62" s="109">
        <f t="shared" si="19"/>
        <v>0</v>
      </c>
      <c r="W62" s="109">
        <f t="shared" si="19"/>
        <v>942.42475650591007</v>
      </c>
      <c r="X62" s="109">
        <f t="shared" si="19"/>
        <v>31.481223611446012</v>
      </c>
      <c r="Y62" s="109">
        <f t="shared" si="19"/>
        <v>942.42475650591007</v>
      </c>
      <c r="Z62" s="109">
        <f t="shared" si="19"/>
        <v>31.481223611446012</v>
      </c>
      <c r="AA62" s="109">
        <f t="shared" si="19"/>
        <v>942.42475650591007</v>
      </c>
      <c r="AB62" s="109">
        <f t="shared" si="19"/>
        <v>31.481223611446012</v>
      </c>
      <c r="AC62" s="109">
        <f t="shared" si="19"/>
        <v>942.42475650591007</v>
      </c>
      <c r="AD62" s="109">
        <f t="shared" si="19"/>
        <v>31.481223611446012</v>
      </c>
      <c r="AE62" s="109">
        <f t="shared" si="19"/>
        <v>942.42475650591007</v>
      </c>
      <c r="AF62" s="109">
        <f t="shared" si="19"/>
        <v>31.481223611446012</v>
      </c>
      <c r="AG62" s="109">
        <f t="shared" si="19"/>
        <v>942.42475650591007</v>
      </c>
      <c r="AH62" s="109">
        <f t="shared" si="19"/>
        <v>31.481223611446012</v>
      </c>
      <c r="AI62" s="109">
        <f t="shared" si="19"/>
        <v>942.42475650591007</v>
      </c>
      <c r="AJ62" s="109">
        <f t="shared" si="19"/>
        <v>31.481223611446012</v>
      </c>
      <c r="AK62" s="109">
        <f t="shared" si="19"/>
        <v>942.42475650591007</v>
      </c>
      <c r="AL62" s="109">
        <f t="shared" si="19"/>
        <v>0</v>
      </c>
      <c r="AM62" s="109">
        <f t="shared" si="19"/>
        <v>467.39235742956544</v>
      </c>
      <c r="AN62" s="109">
        <f t="shared" si="19"/>
        <v>993.98759799050242</v>
      </c>
      <c r="AO62" s="109">
        <f t="shared" si="19"/>
        <v>14.293609783248598</v>
      </c>
      <c r="AP62" s="109">
        <f t="shared" si="19"/>
        <v>993.98759799050242</v>
      </c>
      <c r="AQ62" s="109">
        <f t="shared" si="19"/>
        <v>14.293609783248598</v>
      </c>
      <c r="AR62" s="109">
        <f t="shared" si="19"/>
        <v>993.98759799050242</v>
      </c>
      <c r="AS62" s="109">
        <f t="shared" si="19"/>
        <v>14.293609783248598</v>
      </c>
      <c r="AT62" s="109">
        <f t="shared" si="19"/>
        <v>993.98759799050242</v>
      </c>
      <c r="AU62" s="109">
        <f t="shared" si="19"/>
        <v>14.293609783248598</v>
      </c>
      <c r="AV62" s="109">
        <f t="shared" si="19"/>
        <v>993.98759799050242</v>
      </c>
      <c r="AW62" s="109">
        <f t="shared" si="19"/>
        <v>14.293609783248598</v>
      </c>
      <c r="AX62" s="109">
        <f t="shared" si="19"/>
        <v>993.98759799050242</v>
      </c>
      <c r="AY62" s="109">
        <f t="shared" si="19"/>
        <v>14.293609783248598</v>
      </c>
    </row>
    <row r="63" spans="1:52">
      <c r="A63" s="109"/>
      <c r="B63" s="164" t="s">
        <v>350</v>
      </c>
      <c r="C63" s="109"/>
      <c r="D63" s="109">
        <v>1</v>
      </c>
      <c r="E63" s="109">
        <v>1</v>
      </c>
      <c r="F63" s="109">
        <v>1</v>
      </c>
      <c r="G63" s="109">
        <v>1</v>
      </c>
      <c r="H63" s="109">
        <v>1</v>
      </c>
      <c r="I63" s="109">
        <v>1</v>
      </c>
      <c r="J63" s="109">
        <v>1</v>
      </c>
      <c r="K63" s="109">
        <v>1</v>
      </c>
      <c r="L63" s="109">
        <v>3</v>
      </c>
      <c r="M63" s="109">
        <v>1</v>
      </c>
      <c r="N63" s="109">
        <v>1</v>
      </c>
      <c r="O63" s="109">
        <v>1</v>
      </c>
      <c r="P63" s="109">
        <v>1</v>
      </c>
      <c r="Q63" s="109">
        <v>1</v>
      </c>
      <c r="R63" s="109">
        <v>1</v>
      </c>
      <c r="S63" s="109">
        <v>1</v>
      </c>
      <c r="T63" s="109">
        <v>1</v>
      </c>
      <c r="U63" s="109">
        <v>2</v>
      </c>
      <c r="V63" s="109">
        <v>1</v>
      </c>
      <c r="W63" s="109">
        <v>1</v>
      </c>
      <c r="X63" s="109">
        <v>1</v>
      </c>
      <c r="Y63" s="109">
        <v>1</v>
      </c>
      <c r="Z63" s="109">
        <v>2</v>
      </c>
      <c r="AA63" s="109">
        <v>1</v>
      </c>
      <c r="AB63" s="109">
        <v>1</v>
      </c>
      <c r="AC63" s="109">
        <v>1</v>
      </c>
      <c r="AD63" s="109">
        <v>1</v>
      </c>
      <c r="AE63" s="109">
        <v>1</v>
      </c>
      <c r="AF63" s="109">
        <v>2</v>
      </c>
      <c r="AG63" s="109">
        <v>1</v>
      </c>
      <c r="AH63" s="109">
        <v>1</v>
      </c>
      <c r="AI63" s="109">
        <v>1</v>
      </c>
      <c r="AJ63" s="109">
        <v>2</v>
      </c>
      <c r="AK63" s="109">
        <v>2</v>
      </c>
      <c r="AL63" s="109">
        <v>2</v>
      </c>
      <c r="AM63" s="109">
        <v>1</v>
      </c>
      <c r="AN63" s="109">
        <v>3</v>
      </c>
      <c r="AO63" s="109">
        <v>2</v>
      </c>
      <c r="AP63" s="109">
        <v>1</v>
      </c>
      <c r="AQ63" s="109">
        <v>1</v>
      </c>
      <c r="AR63" s="109">
        <v>1</v>
      </c>
      <c r="AS63" s="109">
        <v>1</v>
      </c>
      <c r="AT63" s="109">
        <v>2</v>
      </c>
      <c r="AU63" s="109">
        <v>3</v>
      </c>
      <c r="AV63" s="109">
        <v>3</v>
      </c>
      <c r="AW63" s="109">
        <v>2</v>
      </c>
      <c r="AX63" s="109">
        <v>1</v>
      </c>
      <c r="AY63" s="109">
        <v>1</v>
      </c>
    </row>
    <row r="64" spans="1:52">
      <c r="A64" s="109"/>
      <c r="B64" s="177" t="s">
        <v>351</v>
      </c>
      <c r="C64" s="109"/>
      <c r="D64" s="109">
        <v>409860</v>
      </c>
      <c r="E64" s="109">
        <v>0</v>
      </c>
      <c r="F64" s="109">
        <v>1247400</v>
      </c>
      <c r="G64" s="109">
        <v>0</v>
      </c>
      <c r="H64" s="109">
        <v>1015740</v>
      </c>
      <c r="I64" s="109">
        <v>0</v>
      </c>
      <c r="J64" s="109">
        <v>1015740</v>
      </c>
      <c r="K64" s="109">
        <v>0</v>
      </c>
      <c r="L64" s="109">
        <v>1015740</v>
      </c>
      <c r="M64" s="109">
        <v>0</v>
      </c>
      <c r="N64" s="109">
        <v>1015740</v>
      </c>
      <c r="O64" s="109">
        <v>0</v>
      </c>
      <c r="P64" s="109">
        <v>1015740</v>
      </c>
      <c r="Q64" s="109">
        <v>0</v>
      </c>
      <c r="R64" s="109">
        <v>1015740</v>
      </c>
      <c r="S64" s="109">
        <v>0</v>
      </c>
      <c r="T64" s="109">
        <v>1015740</v>
      </c>
      <c r="U64" s="109">
        <v>0</v>
      </c>
      <c r="V64" s="109">
        <v>962280</v>
      </c>
      <c r="W64" s="109">
        <v>53460</v>
      </c>
      <c r="X64" s="109">
        <v>997920</v>
      </c>
      <c r="Y64" s="109">
        <v>53460</v>
      </c>
      <c r="Z64" s="109">
        <v>997920</v>
      </c>
      <c r="AA64" s="109">
        <v>53460</v>
      </c>
      <c r="AB64" s="109">
        <v>997920</v>
      </c>
      <c r="AC64" s="109">
        <v>53460</v>
      </c>
      <c r="AD64" s="109">
        <v>997920</v>
      </c>
      <c r="AE64" s="109">
        <v>53460</v>
      </c>
      <c r="AF64" s="109">
        <v>997920</v>
      </c>
      <c r="AG64" s="109">
        <v>53460</v>
      </c>
      <c r="AH64" s="109">
        <v>997920</v>
      </c>
      <c r="AI64" s="109">
        <v>53460</v>
      </c>
      <c r="AJ64" s="109">
        <v>997920</v>
      </c>
      <c r="AK64" s="109">
        <v>53460</v>
      </c>
      <c r="AL64" s="109">
        <v>0</v>
      </c>
      <c r="AM64" s="109">
        <v>1247400</v>
      </c>
      <c r="AN64" s="109">
        <v>0</v>
      </c>
      <c r="AO64" s="109">
        <v>1015740</v>
      </c>
      <c r="AP64" s="109">
        <v>0</v>
      </c>
      <c r="AQ64" s="109">
        <v>1015740</v>
      </c>
      <c r="AR64" s="109">
        <v>0</v>
      </c>
      <c r="AS64" s="109">
        <v>1015740</v>
      </c>
      <c r="AT64" s="109">
        <v>0</v>
      </c>
      <c r="AU64" s="109">
        <v>1015740</v>
      </c>
      <c r="AV64" s="109">
        <v>0</v>
      </c>
      <c r="AW64" s="109">
        <v>1015740</v>
      </c>
      <c r="AX64" s="109">
        <v>0</v>
      </c>
      <c r="AY64" s="109">
        <v>1015740</v>
      </c>
      <c r="AZ64" s="99">
        <f>SUM($D$64:$AY$64)</f>
        <v>24484680</v>
      </c>
    </row>
    <row r="65" spans="1:52">
      <c r="A65" s="124"/>
      <c r="B65" s="139" t="s">
        <v>352</v>
      </c>
      <c r="C65" s="124"/>
      <c r="D65" s="124">
        <v>129059.85299707297</v>
      </c>
      <c r="E65" s="124">
        <v>0</v>
      </c>
      <c r="F65" s="124">
        <v>262485.80955940759</v>
      </c>
      <c r="G65" s="124">
        <v>558219.73809202993</v>
      </c>
      <c r="H65" s="124">
        <v>8027.2380920298056</v>
      </c>
      <c r="I65" s="124">
        <v>558219.73809202993</v>
      </c>
      <c r="J65" s="124">
        <v>8027.2380920298056</v>
      </c>
      <c r="K65" s="124">
        <v>558219.73809202993</v>
      </c>
      <c r="L65" s="124">
        <v>8027.2380920298056</v>
      </c>
      <c r="M65" s="124">
        <v>558219.73809202993</v>
      </c>
      <c r="N65" s="124">
        <v>8027.2380920298056</v>
      </c>
      <c r="O65" s="124">
        <v>558219.73809202993</v>
      </c>
      <c r="P65" s="124">
        <v>8027.2380920298056</v>
      </c>
      <c r="Q65" s="124">
        <v>558219.73809202993</v>
      </c>
      <c r="R65" s="124">
        <v>8027.2380920298056</v>
      </c>
      <c r="S65" s="124">
        <v>558219.73809202993</v>
      </c>
      <c r="T65" s="124">
        <v>8027.2380920298056</v>
      </c>
      <c r="U65" s="124">
        <v>558219.73809202993</v>
      </c>
      <c r="V65" s="124">
        <v>0</v>
      </c>
      <c r="W65" s="124">
        <v>529262.23809202993</v>
      </c>
      <c r="X65" s="124">
        <v>17679.738092029806</v>
      </c>
      <c r="Y65" s="124">
        <v>529262.23809202993</v>
      </c>
      <c r="Z65" s="124">
        <v>17679.738092029806</v>
      </c>
      <c r="AA65" s="124">
        <v>529262.23809202993</v>
      </c>
      <c r="AB65" s="124">
        <v>17679.738092029806</v>
      </c>
      <c r="AC65" s="124">
        <v>529262.23809202993</v>
      </c>
      <c r="AD65" s="124">
        <v>17679.738092029806</v>
      </c>
      <c r="AE65" s="124">
        <v>529262.23809202993</v>
      </c>
      <c r="AF65" s="124">
        <v>17679.738092029806</v>
      </c>
      <c r="AG65" s="124">
        <v>529262.23809202993</v>
      </c>
      <c r="AH65" s="124">
        <v>17679.738092029806</v>
      </c>
      <c r="AI65" s="124">
        <v>529262.23809202993</v>
      </c>
      <c r="AJ65" s="124">
        <v>17679.738092029806</v>
      </c>
      <c r="AK65" s="124">
        <v>529262.23809202993</v>
      </c>
      <c r="AL65" s="124">
        <v>0</v>
      </c>
      <c r="AM65" s="124">
        <v>262485.80955940759</v>
      </c>
      <c r="AN65" s="124">
        <v>558219.73809202993</v>
      </c>
      <c r="AO65" s="124">
        <v>8027.2380920298056</v>
      </c>
      <c r="AP65" s="124">
        <v>558219.73809202993</v>
      </c>
      <c r="AQ65" s="124">
        <v>8027.2380920298056</v>
      </c>
      <c r="AR65" s="124">
        <v>558219.73809202993</v>
      </c>
      <c r="AS65" s="124">
        <v>8027.2380920298056</v>
      </c>
      <c r="AT65" s="124">
        <v>558219.73809202993</v>
      </c>
      <c r="AU65" s="124">
        <v>8027.2380920298056</v>
      </c>
      <c r="AV65" s="124">
        <v>558219.73809202993</v>
      </c>
      <c r="AW65" s="124">
        <v>8027.2380920298056</v>
      </c>
      <c r="AX65" s="124">
        <v>558219.73809202993</v>
      </c>
      <c r="AY65" s="124">
        <v>8027.2380920298056</v>
      </c>
      <c r="AZ65" s="99">
        <f>SUM($D$65:$AY$65)</f>
        <v>12931317.971981131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3">
      <c r="A1" s="101" t="s">
        <v>284</v>
      </c>
    </row>
    <row r="2" spans="1:53">
      <c r="A2" s="99" t="s">
        <v>285</v>
      </c>
      <c r="B2" s="106" t="s">
        <v>22</v>
      </c>
    </row>
    <row r="3" spans="1:53">
      <c r="A3" s="99" t="s">
        <v>286</v>
      </c>
      <c r="B3" s="107">
        <v>4000</v>
      </c>
      <c r="C3" s="108"/>
    </row>
    <row r="4" spans="1:53">
      <c r="B4" s="109"/>
      <c r="C4" s="109"/>
    </row>
    <row r="5" spans="1:53">
      <c r="C5" s="110" t="s">
        <v>287</v>
      </c>
    </row>
    <row r="6" spans="1:53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3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3">
      <c r="A8" s="101" t="s">
        <v>292</v>
      </c>
      <c r="B8" s="113"/>
      <c r="AY8" s="109"/>
    </row>
    <row r="9" spans="1:53">
      <c r="A9" s="114" t="s">
        <v>125</v>
      </c>
      <c r="B9" s="115">
        <v>1</v>
      </c>
      <c r="C9" s="116" t="s">
        <v>293</v>
      </c>
      <c r="D9" s="116">
        <v>175.00000000000003</v>
      </c>
      <c r="E9" s="116">
        <v>175.00000000000003</v>
      </c>
      <c r="F9" s="116">
        <v>175.00000000000003</v>
      </c>
      <c r="G9" s="116">
        <v>175.00000000000003</v>
      </c>
      <c r="H9" s="116">
        <v>175.00000000000003</v>
      </c>
      <c r="I9" s="116">
        <v>175.00000000000003</v>
      </c>
      <c r="J9" s="116">
        <v>175.00000000000003</v>
      </c>
      <c r="K9" s="116">
        <v>175.00000000000003</v>
      </c>
      <c r="L9" s="116">
        <v>175.00000000000003</v>
      </c>
      <c r="M9" s="116">
        <v>175.00000000000003</v>
      </c>
      <c r="N9" s="116">
        <v>175.00000000000003</v>
      </c>
      <c r="O9" s="116">
        <v>175.00000000000003</v>
      </c>
      <c r="P9" s="116">
        <v>175.00000000000003</v>
      </c>
      <c r="Q9" s="116">
        <v>175.00000000000003</v>
      </c>
      <c r="R9" s="116">
        <v>175.00000000000003</v>
      </c>
      <c r="S9" s="116">
        <v>175.00000000000003</v>
      </c>
      <c r="T9" s="116">
        <v>140.00000000000003</v>
      </c>
      <c r="U9" s="116">
        <v>140.00000000000003</v>
      </c>
      <c r="V9" s="116">
        <v>140.00000000000003</v>
      </c>
      <c r="W9" s="116">
        <v>140.00000000000003</v>
      </c>
      <c r="X9" s="116">
        <v>0</v>
      </c>
      <c r="Y9" s="116">
        <v>0</v>
      </c>
      <c r="Z9" s="116">
        <v>0</v>
      </c>
      <c r="AA9" s="116">
        <v>0</v>
      </c>
      <c r="AB9" s="116">
        <v>175.00000000000003</v>
      </c>
      <c r="AC9" s="116">
        <v>175.00000000000003</v>
      </c>
      <c r="AD9" s="116">
        <v>175.00000000000003</v>
      </c>
      <c r="AE9" s="116">
        <v>175.00000000000003</v>
      </c>
      <c r="AF9" s="116">
        <v>140.00000000000003</v>
      </c>
      <c r="AG9" s="116">
        <v>140.00000000000003</v>
      </c>
      <c r="AH9" s="116">
        <v>140.00000000000003</v>
      </c>
      <c r="AI9" s="116">
        <v>140.00000000000003</v>
      </c>
      <c r="AJ9" s="116">
        <v>175.00000000000003</v>
      </c>
      <c r="AK9" s="116">
        <v>175.00000000000003</v>
      </c>
      <c r="AL9" s="116">
        <v>175.00000000000003</v>
      </c>
      <c r="AM9" s="116">
        <v>175.00000000000003</v>
      </c>
      <c r="AN9" s="116">
        <v>175.00000000000003</v>
      </c>
      <c r="AO9" s="116">
        <v>175.00000000000003</v>
      </c>
      <c r="AP9" s="116">
        <v>175.00000000000003</v>
      </c>
      <c r="AQ9" s="116">
        <v>175.00000000000003</v>
      </c>
      <c r="AR9" s="116">
        <v>175.00000000000003</v>
      </c>
      <c r="AS9" s="116">
        <v>175.00000000000003</v>
      </c>
      <c r="AT9" s="116">
        <v>175.00000000000003</v>
      </c>
      <c r="AU9" s="116">
        <v>175.00000000000003</v>
      </c>
      <c r="AV9" s="116">
        <v>175.00000000000003</v>
      </c>
      <c r="AW9" s="116">
        <v>175.00000000000003</v>
      </c>
      <c r="AX9" s="116">
        <v>175.00000000000003</v>
      </c>
      <c r="AY9" s="116">
        <v>175.00000000000003</v>
      </c>
    </row>
    <row r="10" spans="1:53">
      <c r="A10" s="117" t="s">
        <v>133</v>
      </c>
      <c r="B10" s="118">
        <v>1</v>
      </c>
      <c r="C10" s="105" t="s">
        <v>293</v>
      </c>
      <c r="D10" s="99">
        <v>17.640262002556955</v>
      </c>
      <c r="E10" s="99">
        <v>107.21204098550851</v>
      </c>
      <c r="F10" s="99">
        <v>0</v>
      </c>
      <c r="G10" s="99">
        <v>0</v>
      </c>
      <c r="H10" s="99">
        <v>0</v>
      </c>
      <c r="I10" s="99">
        <v>170.47406125439846</v>
      </c>
      <c r="J10" s="99">
        <v>170.47406125439846</v>
      </c>
      <c r="K10" s="99">
        <v>165.97979996051455</v>
      </c>
      <c r="L10" s="99">
        <v>170.47406125439846</v>
      </c>
      <c r="M10" s="99">
        <v>170.47406125439846</v>
      </c>
      <c r="N10" s="99">
        <v>170.47406125439846</v>
      </c>
      <c r="O10" s="99">
        <v>165.97979996051455</v>
      </c>
      <c r="P10" s="99">
        <v>0</v>
      </c>
      <c r="Q10" s="99">
        <v>170.47406125439846</v>
      </c>
      <c r="R10" s="99">
        <v>170.47406125439846</v>
      </c>
      <c r="S10" s="99">
        <v>170.47406125439846</v>
      </c>
      <c r="T10" s="99">
        <v>170.47406125439846</v>
      </c>
      <c r="U10" s="99">
        <v>165.97979996051455</v>
      </c>
      <c r="V10" s="99">
        <v>170.47406125439846</v>
      </c>
      <c r="W10" s="99">
        <v>157.50163808965846</v>
      </c>
      <c r="X10" s="99">
        <v>0</v>
      </c>
      <c r="Y10" s="99">
        <v>170.47406125439846</v>
      </c>
      <c r="Z10" s="99">
        <v>0</v>
      </c>
      <c r="AA10" s="99">
        <v>140.4444461204354</v>
      </c>
      <c r="AB10" s="99">
        <v>0</v>
      </c>
      <c r="AC10" s="99">
        <v>170.47406125439846</v>
      </c>
      <c r="AD10" s="99">
        <v>170.47406125439846</v>
      </c>
      <c r="AE10" s="99">
        <v>170.47406125439846</v>
      </c>
      <c r="AF10" s="99">
        <v>170.47406125439846</v>
      </c>
      <c r="AG10" s="99">
        <v>140.4444461204354</v>
      </c>
      <c r="AH10" s="99">
        <v>170.47406125439846</v>
      </c>
      <c r="AI10" s="99">
        <v>140.4444461204354</v>
      </c>
      <c r="AJ10" s="99">
        <v>170.47406125439846</v>
      </c>
      <c r="AK10" s="99">
        <v>140.4444461204354</v>
      </c>
      <c r="AL10" s="99">
        <v>0</v>
      </c>
      <c r="AM10" s="99">
        <v>0</v>
      </c>
      <c r="AN10" s="99">
        <v>286.50381274934364</v>
      </c>
      <c r="AO10" s="99">
        <v>170.47406125439846</v>
      </c>
      <c r="AP10" s="99">
        <v>165.97979996051455</v>
      </c>
      <c r="AQ10" s="99">
        <v>0</v>
      </c>
      <c r="AR10" s="99">
        <v>170.47406125439846</v>
      </c>
      <c r="AS10" s="99">
        <v>170.47406125439846</v>
      </c>
      <c r="AT10" s="99">
        <v>165.97979996051455</v>
      </c>
      <c r="AU10" s="99">
        <v>170.47406125439846</v>
      </c>
      <c r="AV10" s="99">
        <v>165.97979996051455</v>
      </c>
      <c r="AW10" s="99">
        <v>0</v>
      </c>
      <c r="AX10" s="99">
        <v>165.97979996051455</v>
      </c>
      <c r="AY10" s="99">
        <v>0</v>
      </c>
      <c r="AZ10" s="99">
        <v>170.47406125439846</v>
      </c>
    </row>
    <row r="11" spans="1:53">
      <c r="B11" s="118">
        <v>2</v>
      </c>
      <c r="C11" s="105" t="s">
        <v>293</v>
      </c>
      <c r="E11" s="99">
        <v>53.699634540453602</v>
      </c>
      <c r="F11" s="99">
        <v>0</v>
      </c>
      <c r="G11" s="99">
        <v>0</v>
      </c>
      <c r="H11" s="99">
        <v>286.50381274934364</v>
      </c>
      <c r="I11" s="99">
        <v>170.47406125439846</v>
      </c>
      <c r="L11" s="99">
        <v>4.494261293883909</v>
      </c>
      <c r="N11" s="99">
        <v>0</v>
      </c>
      <c r="O11" s="99">
        <v>0</v>
      </c>
      <c r="Q11" s="99">
        <v>170.47406125439846</v>
      </c>
      <c r="U11" s="99">
        <v>0</v>
      </c>
      <c r="V11" s="99">
        <v>4.494261293883909</v>
      </c>
      <c r="W11" s="99">
        <v>0</v>
      </c>
      <c r="X11" s="99">
        <v>0</v>
      </c>
      <c r="Y11" s="99">
        <v>0</v>
      </c>
      <c r="AA11" s="99">
        <v>170.47406125439846</v>
      </c>
      <c r="AB11" s="99">
        <v>30.029615133963063</v>
      </c>
      <c r="AC11" s="99">
        <v>170.47406125439846</v>
      </c>
      <c r="AE11" s="99">
        <v>0</v>
      </c>
      <c r="AF11" s="99">
        <v>0</v>
      </c>
      <c r="AG11" s="99">
        <v>0</v>
      </c>
      <c r="AH11" s="99">
        <v>30.029615133963063</v>
      </c>
      <c r="AJ11" s="99">
        <v>30.029615133963063</v>
      </c>
      <c r="AL11" s="99">
        <v>30.029615133963063</v>
      </c>
      <c r="AM11" s="99">
        <v>170.47406125439846</v>
      </c>
      <c r="AN11" s="99">
        <v>0</v>
      </c>
      <c r="AP11" s="99">
        <v>0</v>
      </c>
      <c r="AQ11" s="99">
        <v>0</v>
      </c>
      <c r="AR11" s="99">
        <v>0</v>
      </c>
      <c r="AU11" s="99">
        <v>4.494261293883909</v>
      </c>
      <c r="AX11" s="99">
        <v>170.47406125439846</v>
      </c>
      <c r="AY11" s="99">
        <v>4.494261293883909</v>
      </c>
      <c r="AZ11" s="99">
        <v>170.47406125439846</v>
      </c>
      <c r="BA11" s="99">
        <v>0</v>
      </c>
    </row>
    <row r="12" spans="1:53">
      <c r="B12" s="119">
        <v>3</v>
      </c>
      <c r="C12" s="105" t="s">
        <v>293</v>
      </c>
      <c r="E12" s="99">
        <v>3.4542803369089556</v>
      </c>
      <c r="H12" s="99">
        <v>0</v>
      </c>
      <c r="K12" s="99">
        <v>0</v>
      </c>
      <c r="Q12" s="99">
        <v>4.494261293883909</v>
      </c>
      <c r="U12" s="99">
        <v>0</v>
      </c>
      <c r="Y12" s="99">
        <v>0</v>
      </c>
      <c r="Z12" s="99">
        <v>170.47406125439846</v>
      </c>
      <c r="AE12" s="99">
        <v>0</v>
      </c>
      <c r="AF12" s="99">
        <v>0</v>
      </c>
      <c r="AH12" s="99">
        <v>0</v>
      </c>
      <c r="AM12" s="99">
        <v>0</v>
      </c>
      <c r="AR12" s="99">
        <v>4.494261293883909</v>
      </c>
      <c r="AS12" s="99">
        <v>170.47406125439846</v>
      </c>
      <c r="AW12" s="99">
        <v>0</v>
      </c>
      <c r="AX12" s="99">
        <v>4.494261293883909</v>
      </c>
    </row>
    <row r="13" spans="1:53">
      <c r="B13" s="119">
        <v>4</v>
      </c>
      <c r="C13" s="105" t="s">
        <v>293</v>
      </c>
    </row>
    <row r="14" spans="1:53">
      <c r="A14" s="114" t="s">
        <v>134</v>
      </c>
      <c r="B14" s="120">
        <v>1</v>
      </c>
      <c r="C14" s="116" t="s">
        <v>293</v>
      </c>
      <c r="D14" s="116">
        <v>15.170876838541671</v>
      </c>
      <c r="E14" s="116">
        <f t="shared" ref="E14:AZ14" si="0">D$172*SUM(D$122:D$169)</f>
        <v>9.9611755364331405</v>
      </c>
      <c r="F14" s="116">
        <f t="shared" si="0"/>
        <v>75.853987171054442</v>
      </c>
      <c r="G14" s="116">
        <f t="shared" si="0"/>
        <v>20.963172653995109</v>
      </c>
      <c r="H14" s="116">
        <f t="shared" si="0"/>
        <v>23.545149042604272</v>
      </c>
      <c r="I14" s="116">
        <f t="shared" si="0"/>
        <v>199.63117065509331</v>
      </c>
      <c r="J14" s="116">
        <f t="shared" si="0"/>
        <v>292.58330049696309</v>
      </c>
      <c r="K14" s="116">
        <f t="shared" si="0"/>
        <v>234.39113225997144</v>
      </c>
      <c r="L14" s="116">
        <f t="shared" si="0"/>
        <v>204.41224453144167</v>
      </c>
      <c r="M14" s="116">
        <f t="shared" si="0"/>
        <v>185.03422884886746</v>
      </c>
      <c r="N14" s="116">
        <f t="shared" si="0"/>
        <v>145.83924651852806</v>
      </c>
      <c r="O14" s="116">
        <f t="shared" si="0"/>
        <v>147.18373985978013</v>
      </c>
      <c r="P14" s="116">
        <f t="shared" si="0"/>
        <v>160.3153431184615</v>
      </c>
      <c r="Q14" s="116">
        <f t="shared" si="0"/>
        <v>41.340952151057046</v>
      </c>
      <c r="R14" s="116">
        <f t="shared" si="0"/>
        <v>235.85497653298191</v>
      </c>
      <c r="S14" s="116">
        <f t="shared" si="0"/>
        <v>182.0927759613848</v>
      </c>
      <c r="T14" s="116">
        <f t="shared" si="0"/>
        <v>160.17511807993787</v>
      </c>
      <c r="U14" s="116">
        <f t="shared" si="0"/>
        <v>146.56896394576546</v>
      </c>
      <c r="V14" s="116">
        <f t="shared" si="0"/>
        <v>177.90671343482833</v>
      </c>
      <c r="W14" s="116">
        <f t="shared" si="0"/>
        <v>181.75049451300833</v>
      </c>
      <c r="X14" s="116">
        <f t="shared" si="0"/>
        <v>143.78710842242975</v>
      </c>
      <c r="Y14" s="116">
        <f t="shared" si="0"/>
        <v>56.695742668373704</v>
      </c>
      <c r="Z14" s="116">
        <f t="shared" si="0"/>
        <v>141.90294369395164</v>
      </c>
      <c r="AA14" s="116">
        <f t="shared" si="0"/>
        <v>133.65570286328759</v>
      </c>
      <c r="AB14" s="116">
        <f t="shared" si="0"/>
        <v>244.62508347433121</v>
      </c>
      <c r="AC14" s="116">
        <f t="shared" si="0"/>
        <v>103.28392666969984</v>
      </c>
      <c r="AD14" s="116">
        <f t="shared" si="0"/>
        <v>233.09279133295675</v>
      </c>
      <c r="AE14" s="116">
        <f t="shared" si="0"/>
        <v>174.29031646545221</v>
      </c>
      <c r="AF14" s="116">
        <f t="shared" si="0"/>
        <v>145.88809058661334</v>
      </c>
      <c r="AG14" s="116">
        <f t="shared" si="0"/>
        <v>153.50842701488037</v>
      </c>
      <c r="AH14" s="116">
        <f t="shared" si="0"/>
        <v>109.92415473303103</v>
      </c>
      <c r="AI14" s="116">
        <f t="shared" si="0"/>
        <v>181.38631506058258</v>
      </c>
      <c r="AJ14" s="116">
        <f t="shared" si="0"/>
        <v>165.391511916388</v>
      </c>
      <c r="AK14" s="116">
        <f t="shared" si="0"/>
        <v>152.64380852623216</v>
      </c>
      <c r="AL14" s="116">
        <f t="shared" si="0"/>
        <v>139.26395923839323</v>
      </c>
      <c r="AM14" s="116">
        <f t="shared" si="0"/>
        <v>52.485002408776801</v>
      </c>
      <c r="AN14" s="116">
        <f t="shared" si="0"/>
        <v>128.31897018778051</v>
      </c>
      <c r="AO14" s="116">
        <f t="shared" si="0"/>
        <v>220.06397880857298</v>
      </c>
      <c r="AP14" s="116">
        <f t="shared" si="0"/>
        <v>173.9478617005044</v>
      </c>
      <c r="AQ14" s="116">
        <f t="shared" si="0"/>
        <v>153.82603672069743</v>
      </c>
      <c r="AR14" s="116">
        <f t="shared" si="0"/>
        <v>36.520603109771521</v>
      </c>
      <c r="AS14" s="116">
        <f t="shared" si="0"/>
        <v>128.3643630059145</v>
      </c>
      <c r="AT14" s="116">
        <f t="shared" si="0"/>
        <v>246.55390866219392</v>
      </c>
      <c r="AU14" s="116">
        <f t="shared" si="0"/>
        <v>209.74744462661391</v>
      </c>
      <c r="AV14" s="116">
        <f t="shared" si="0"/>
        <v>182.47553312199611</v>
      </c>
      <c r="AW14" s="116">
        <f t="shared" si="0"/>
        <v>149.0700943631488</v>
      </c>
      <c r="AX14" s="116">
        <f t="shared" si="0"/>
        <v>47.547143477760031</v>
      </c>
      <c r="AY14" s="116">
        <f t="shared" si="0"/>
        <v>233.09279133295672</v>
      </c>
      <c r="AZ14" s="109">
        <f t="shared" si="0"/>
        <v>92.314873599298068</v>
      </c>
      <c r="BA14" s="106">
        <f>SUM($E14:$AZ14)</f>
        <v>7159.0723731047465</v>
      </c>
    </row>
    <row r="15" spans="1:53">
      <c r="A15" s="121" t="s">
        <v>123</v>
      </c>
      <c r="B15" s="122">
        <v>1</v>
      </c>
      <c r="C15" s="123" t="s">
        <v>293</v>
      </c>
      <c r="D15" s="123">
        <v>21.875000000000011</v>
      </c>
      <c r="E15" s="123">
        <v>166.57732446315012</v>
      </c>
      <c r="F15" s="123">
        <v>21.875000000000011</v>
      </c>
      <c r="G15" s="123">
        <v>51.705758363876384</v>
      </c>
      <c r="H15" s="123">
        <v>21.875000000000011</v>
      </c>
      <c r="I15" s="123">
        <v>251.96103042562342</v>
      </c>
      <c r="J15" s="123">
        <v>281.79178878949983</v>
      </c>
      <c r="K15" s="123">
        <v>275.72595840336186</v>
      </c>
      <c r="L15" s="123">
        <v>281.79178878949983</v>
      </c>
      <c r="M15" s="123">
        <v>251.96103042562342</v>
      </c>
      <c r="N15" s="123">
        <v>251.96103042562342</v>
      </c>
      <c r="O15" s="123">
        <v>275.72595840336186</v>
      </c>
      <c r="P15" s="123">
        <v>51.705758363876384</v>
      </c>
      <c r="Q15" s="123">
        <v>281.79178878949983</v>
      </c>
      <c r="R15" s="123">
        <v>281.79178878949983</v>
      </c>
      <c r="S15" s="123">
        <v>251.96103042562342</v>
      </c>
      <c r="T15" s="123">
        <v>251.96103042562342</v>
      </c>
      <c r="U15" s="123">
        <v>275.72595840336186</v>
      </c>
      <c r="V15" s="123">
        <v>281.79178878949983</v>
      </c>
      <c r="W15" s="123">
        <v>234.45236471417394</v>
      </c>
      <c r="X15" s="123">
        <v>51.705758363876384</v>
      </c>
      <c r="Y15" s="123">
        <v>281.79178878949983</v>
      </c>
      <c r="Z15" s="123">
        <v>51.705758363876384</v>
      </c>
      <c r="AA15" s="123">
        <v>241.26131224344101</v>
      </c>
      <c r="AB15" s="123">
        <v>51.705758363876384</v>
      </c>
      <c r="AC15" s="123">
        <v>281.79178878949983</v>
      </c>
      <c r="AD15" s="123">
        <v>251.96103042562342</v>
      </c>
      <c r="AE15" s="123">
        <v>251.96103042562342</v>
      </c>
      <c r="AF15" s="123">
        <v>251.96103042562342</v>
      </c>
      <c r="AG15" s="123">
        <v>211.43055387956463</v>
      </c>
      <c r="AH15" s="123">
        <v>281.79178878949983</v>
      </c>
      <c r="AI15" s="123">
        <v>241.26131224344101</v>
      </c>
      <c r="AJ15" s="123">
        <v>251.96103042562342</v>
      </c>
      <c r="AK15" s="123">
        <v>241.26131224344101</v>
      </c>
      <c r="AL15" s="123">
        <v>51.705758363876384</v>
      </c>
      <c r="AM15" s="123">
        <v>51.705758363876384</v>
      </c>
      <c r="AN15" s="123">
        <v>438.39523177842347</v>
      </c>
      <c r="AO15" s="123">
        <v>281.79178878949983</v>
      </c>
      <c r="AP15" s="123">
        <v>269.75981182392422</v>
      </c>
      <c r="AQ15" s="123">
        <v>45.739611784438736</v>
      </c>
      <c r="AR15" s="123">
        <v>275.82564221006214</v>
      </c>
      <c r="AS15" s="123">
        <v>275.82564221006214</v>
      </c>
      <c r="AT15" s="123">
        <v>275.72595840336186</v>
      </c>
      <c r="AU15" s="123">
        <v>281.79178878949983</v>
      </c>
      <c r="AV15" s="123">
        <v>275.72595840336186</v>
      </c>
      <c r="AW15" s="123">
        <v>51.705758363876384</v>
      </c>
      <c r="AX15" s="123">
        <v>275.72595840336186</v>
      </c>
      <c r="AY15" s="123">
        <v>21.875000000000011</v>
      </c>
      <c r="AZ15" s="99">
        <v>230.08603042562342</v>
      </c>
    </row>
    <row r="16" spans="1:53">
      <c r="A16" s="109"/>
      <c r="B16" s="118">
        <v>2</v>
      </c>
      <c r="C16" s="108" t="s">
        <v>293</v>
      </c>
      <c r="D16" s="105"/>
      <c r="E16" s="109">
        <v>0</v>
      </c>
      <c r="F16" s="109">
        <v>24.160671204560053</v>
      </c>
      <c r="G16" s="109">
        <v>0</v>
      </c>
      <c r="H16" s="109">
        <v>386.68947341454708</v>
      </c>
      <c r="I16" s="109">
        <v>259.91678878949978</v>
      </c>
      <c r="J16" s="109"/>
      <c r="K16" s="109"/>
      <c r="L16" s="109">
        <v>6.0658303861379466</v>
      </c>
      <c r="M16" s="109"/>
      <c r="N16" s="109">
        <v>29.83075836387637</v>
      </c>
      <c r="O16" s="109">
        <v>29.83075836387637</v>
      </c>
      <c r="P16" s="109"/>
      <c r="Q16" s="109">
        <v>230.08603042562342</v>
      </c>
      <c r="R16" s="109"/>
      <c r="S16" s="109"/>
      <c r="T16" s="109"/>
      <c r="U16" s="109">
        <v>29.83075836387637</v>
      </c>
      <c r="V16" s="109">
        <v>6.0658303861379466</v>
      </c>
      <c r="W16" s="109">
        <v>0</v>
      </c>
      <c r="X16" s="109">
        <v>0</v>
      </c>
      <c r="Y16" s="109">
        <v>0</v>
      </c>
      <c r="Z16" s="109"/>
      <c r="AA16" s="109">
        <v>230.08603042562342</v>
      </c>
      <c r="AB16" s="109">
        <v>40.530476546058793</v>
      </c>
      <c r="AC16" s="109">
        <v>230.08603042562342</v>
      </c>
      <c r="AD16" s="109"/>
      <c r="AE16" s="109">
        <v>0</v>
      </c>
      <c r="AF16" s="109">
        <v>29.83075836387637</v>
      </c>
      <c r="AG16" s="109">
        <v>0</v>
      </c>
      <c r="AH16" s="109">
        <v>70.361234909935163</v>
      </c>
      <c r="AI16" s="109"/>
      <c r="AJ16" s="109">
        <v>40.530476546058793</v>
      </c>
      <c r="AK16" s="109"/>
      <c r="AL16" s="109">
        <v>40.530476546058793</v>
      </c>
      <c r="AM16" s="109">
        <v>230.08603042562342</v>
      </c>
      <c r="AN16" s="109">
        <v>0</v>
      </c>
      <c r="AO16" s="109"/>
      <c r="AP16" s="109">
        <v>0</v>
      </c>
      <c r="AQ16" s="109">
        <v>0</v>
      </c>
      <c r="AR16" s="109">
        <v>0</v>
      </c>
      <c r="AS16" s="109"/>
      <c r="AT16" s="109"/>
      <c r="AU16" s="109">
        <v>6.0658303861379466</v>
      </c>
      <c r="AV16" s="109"/>
      <c r="AW16" s="109"/>
      <c r="AX16" s="109">
        <v>230.08603042562342</v>
      </c>
      <c r="AY16" s="109">
        <v>6.0658303861379466</v>
      </c>
      <c r="AZ16" s="99">
        <v>259.91678878949978</v>
      </c>
      <c r="BA16" s="99">
        <v>29.83075836387637</v>
      </c>
    </row>
    <row r="17" spans="1:51">
      <c r="A17" s="109"/>
      <c r="B17" s="118">
        <v>3</v>
      </c>
      <c r="C17" s="108" t="s">
        <v>293</v>
      </c>
      <c r="D17" s="105"/>
      <c r="E17" s="109">
        <v>0</v>
      </c>
      <c r="F17" s="109"/>
      <c r="G17" s="109"/>
      <c r="H17" s="109">
        <v>29.83075836387637</v>
      </c>
      <c r="I17" s="109"/>
      <c r="J17" s="109"/>
      <c r="K17" s="109">
        <v>29.83075836387637</v>
      </c>
      <c r="L17" s="109"/>
      <c r="M17" s="109"/>
      <c r="N17" s="109"/>
      <c r="O17" s="109"/>
      <c r="P17" s="109"/>
      <c r="Q17" s="109">
        <v>6.0658303861379466</v>
      </c>
      <c r="R17" s="109"/>
      <c r="S17" s="109"/>
      <c r="T17" s="109"/>
      <c r="U17" s="109">
        <v>29.83075836387637</v>
      </c>
      <c r="V17" s="109"/>
      <c r="W17" s="109"/>
      <c r="X17" s="109"/>
      <c r="Y17" s="109">
        <v>29.83075836387637</v>
      </c>
      <c r="Z17" s="109">
        <v>230.08603042562342</v>
      </c>
      <c r="AA17" s="109"/>
      <c r="AB17" s="109"/>
      <c r="AC17" s="109"/>
      <c r="AD17" s="109"/>
      <c r="AE17" s="109">
        <v>0</v>
      </c>
      <c r="AF17" s="109">
        <v>29.83075836387637</v>
      </c>
      <c r="AG17" s="109"/>
      <c r="AH17" s="109">
        <v>29.83075836387637</v>
      </c>
      <c r="AI17" s="109"/>
      <c r="AJ17" s="109"/>
      <c r="AK17" s="109"/>
      <c r="AL17" s="109"/>
      <c r="AM17" s="109">
        <v>0</v>
      </c>
      <c r="AN17" s="109"/>
      <c r="AO17" s="109"/>
      <c r="AP17" s="109"/>
      <c r="AQ17" s="109"/>
      <c r="AR17" s="109">
        <v>6.0658303861379466</v>
      </c>
      <c r="AS17" s="109">
        <v>230.08603042562342</v>
      </c>
      <c r="AT17" s="109"/>
      <c r="AU17" s="109"/>
      <c r="AV17" s="109"/>
      <c r="AW17" s="109">
        <v>0</v>
      </c>
      <c r="AX17" s="109">
        <v>6.0658303861379466</v>
      </c>
      <c r="AY17" s="109"/>
    </row>
    <row r="18" spans="1:51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1">
      <c r="A20" s="101" t="s">
        <v>294</v>
      </c>
    </row>
    <row r="21" spans="1:51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1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1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1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1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1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1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1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1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1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1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1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396.06904980000002</v>
      </c>
      <c r="D95" s="109">
        <v>175.00000000000003</v>
      </c>
      <c r="E95" s="109">
        <v>175.00000000000003</v>
      </c>
      <c r="F95" s="109">
        <v>175.00000000000003</v>
      </c>
      <c r="G95" s="109">
        <v>175.00000000000003</v>
      </c>
      <c r="H95" s="109">
        <v>175.00000000000003</v>
      </c>
      <c r="I95" s="109">
        <v>175.00000000000003</v>
      </c>
      <c r="J95" s="109">
        <v>175.00000000000003</v>
      </c>
      <c r="K95" s="109">
        <v>175.00000000000003</v>
      </c>
      <c r="L95" s="109">
        <v>175.00000000000003</v>
      </c>
      <c r="M95" s="109">
        <v>175.00000000000003</v>
      </c>
      <c r="N95" s="109">
        <v>175.00000000000003</v>
      </c>
      <c r="O95" s="109">
        <v>175.00000000000003</v>
      </c>
      <c r="P95" s="109">
        <v>175.00000000000003</v>
      </c>
      <c r="Q95" s="109">
        <v>175.00000000000003</v>
      </c>
      <c r="R95" s="109">
        <v>175.00000000000003</v>
      </c>
      <c r="S95" s="109">
        <v>175.00000000000003</v>
      </c>
      <c r="T95" s="109">
        <v>140.00000000000003</v>
      </c>
      <c r="U95" s="109">
        <v>140.00000000000003</v>
      </c>
      <c r="V95" s="109">
        <v>140.00000000000003</v>
      </c>
      <c r="W95" s="109">
        <v>140.00000000000003</v>
      </c>
      <c r="X95" s="109">
        <v>0</v>
      </c>
      <c r="Y95" s="109">
        <v>0</v>
      </c>
      <c r="Z95" s="109">
        <v>0</v>
      </c>
      <c r="AA95" s="109">
        <v>0</v>
      </c>
      <c r="AB95" s="109">
        <v>175.00000000000003</v>
      </c>
      <c r="AC95" s="109">
        <v>175.00000000000003</v>
      </c>
      <c r="AD95" s="109">
        <v>175.00000000000003</v>
      </c>
      <c r="AE95" s="109">
        <v>175.00000000000003</v>
      </c>
      <c r="AF95" s="109">
        <v>140.00000000000003</v>
      </c>
      <c r="AG95" s="109">
        <v>140.00000000000003</v>
      </c>
      <c r="AH95" s="109">
        <v>140.00000000000003</v>
      </c>
      <c r="AI95" s="109">
        <v>140.00000000000003</v>
      </c>
      <c r="AJ95" s="109">
        <v>175.00000000000003</v>
      </c>
      <c r="AK95" s="109">
        <v>175.00000000000003</v>
      </c>
      <c r="AL95" s="109">
        <v>175.00000000000003</v>
      </c>
      <c r="AM95" s="109">
        <v>175.00000000000003</v>
      </c>
      <c r="AN95" s="109">
        <v>175.00000000000003</v>
      </c>
      <c r="AO95" s="109">
        <v>175.00000000000003</v>
      </c>
      <c r="AP95" s="109">
        <v>175.00000000000003</v>
      </c>
      <c r="AQ95" s="109">
        <v>175.00000000000003</v>
      </c>
      <c r="AR95" s="109">
        <v>175.00000000000003</v>
      </c>
      <c r="AS95" s="109">
        <v>175.00000000000003</v>
      </c>
      <c r="AT95" s="109">
        <v>175.00000000000003</v>
      </c>
      <c r="AU95" s="109">
        <v>175.00000000000003</v>
      </c>
      <c r="AV95" s="109">
        <v>175.00000000000003</v>
      </c>
      <c r="AW95" s="109">
        <v>175.00000000000003</v>
      </c>
      <c r="AX95" s="109">
        <v>175.00000000000003</v>
      </c>
      <c r="AY95" s="109">
        <v>175.00000000000003</v>
      </c>
    </row>
    <row r="96" spans="1:52">
      <c r="A96" s="108"/>
      <c r="B96" s="119">
        <v>2</v>
      </c>
      <c r="C96" s="109">
        <v>396.06904980000002</v>
      </c>
      <c r="D96" s="109">
        <v>396.06904980000002</v>
      </c>
      <c r="E96" s="109">
        <v>175.00000000000003</v>
      </c>
      <c r="F96" s="109">
        <v>175.00000000000003</v>
      </c>
      <c r="G96" s="109">
        <v>175.00000000000003</v>
      </c>
      <c r="H96" s="109">
        <v>175.00000000000003</v>
      </c>
      <c r="I96" s="109">
        <v>175.00000000000003</v>
      </c>
      <c r="J96" s="109">
        <v>175.00000000000003</v>
      </c>
      <c r="K96" s="109">
        <v>175.00000000000003</v>
      </c>
      <c r="L96" s="109">
        <v>175.00000000000003</v>
      </c>
      <c r="M96" s="109">
        <v>175.00000000000003</v>
      </c>
      <c r="N96" s="109">
        <v>175.00000000000003</v>
      </c>
      <c r="O96" s="109">
        <v>175.00000000000003</v>
      </c>
      <c r="P96" s="109">
        <v>175.00000000000003</v>
      </c>
      <c r="Q96" s="109">
        <v>175.00000000000003</v>
      </c>
      <c r="R96" s="109">
        <v>175.00000000000003</v>
      </c>
      <c r="S96" s="109">
        <v>175.00000000000003</v>
      </c>
      <c r="T96" s="109">
        <v>175.00000000000003</v>
      </c>
      <c r="U96" s="109">
        <v>140.00000000000003</v>
      </c>
      <c r="V96" s="109">
        <v>140.00000000000003</v>
      </c>
      <c r="W96" s="109">
        <v>140.00000000000003</v>
      </c>
      <c r="X96" s="109">
        <v>140.00000000000003</v>
      </c>
      <c r="Y96" s="109">
        <v>0</v>
      </c>
      <c r="Z96" s="109">
        <v>0</v>
      </c>
      <c r="AA96" s="109">
        <v>0</v>
      </c>
      <c r="AB96" s="109">
        <v>0</v>
      </c>
      <c r="AC96" s="109">
        <v>11.000000000000028</v>
      </c>
      <c r="AD96" s="109">
        <v>55.000000000000057</v>
      </c>
      <c r="AE96" s="109">
        <v>111.00000000000009</v>
      </c>
      <c r="AF96" s="109">
        <v>168.00000000000011</v>
      </c>
      <c r="AG96" s="109">
        <v>140.00000000000003</v>
      </c>
      <c r="AH96" s="109">
        <v>140.00000000000003</v>
      </c>
      <c r="AI96" s="109">
        <v>140.00000000000003</v>
      </c>
      <c r="AJ96" s="109">
        <v>140.00000000000003</v>
      </c>
      <c r="AK96" s="109">
        <v>175.00000000000003</v>
      </c>
      <c r="AL96" s="109">
        <v>175.00000000000003</v>
      </c>
      <c r="AM96" s="109">
        <v>175.00000000000003</v>
      </c>
      <c r="AN96" s="109">
        <v>175.00000000000003</v>
      </c>
      <c r="AO96" s="109">
        <v>175.00000000000003</v>
      </c>
      <c r="AP96" s="109">
        <v>175.00000000000003</v>
      </c>
      <c r="AQ96" s="109">
        <v>175.00000000000003</v>
      </c>
      <c r="AR96" s="109">
        <v>175.00000000000003</v>
      </c>
      <c r="AS96" s="109">
        <v>175.00000000000003</v>
      </c>
      <c r="AT96" s="109">
        <v>175.00000000000003</v>
      </c>
      <c r="AU96" s="109">
        <v>175.00000000000003</v>
      </c>
      <c r="AV96" s="109">
        <v>175.00000000000003</v>
      </c>
      <c r="AW96" s="109">
        <v>175.00000000000003</v>
      </c>
      <c r="AX96" s="109">
        <v>175.00000000000003</v>
      </c>
      <c r="AY96" s="109">
        <v>175.00000000000003</v>
      </c>
    </row>
    <row r="97" spans="1:52">
      <c r="A97" s="108"/>
      <c r="B97" s="126">
        <v>3</v>
      </c>
      <c r="C97" s="109">
        <v>396.06904980000002</v>
      </c>
      <c r="D97" s="109">
        <v>396.06904980000002</v>
      </c>
      <c r="E97" s="109">
        <v>396.06904980000002</v>
      </c>
      <c r="F97" s="109">
        <v>175.00000000000003</v>
      </c>
      <c r="G97" s="109">
        <v>175.00000000000003</v>
      </c>
      <c r="H97" s="109">
        <v>175.00000000000003</v>
      </c>
      <c r="I97" s="109">
        <v>175.00000000000003</v>
      </c>
      <c r="J97" s="109">
        <v>175.00000000000003</v>
      </c>
      <c r="K97" s="109">
        <v>175.00000000000003</v>
      </c>
      <c r="L97" s="109">
        <v>175.00000000000003</v>
      </c>
      <c r="M97" s="109">
        <v>175.00000000000003</v>
      </c>
      <c r="N97" s="109">
        <v>175.00000000000003</v>
      </c>
      <c r="O97" s="109">
        <v>175.00000000000003</v>
      </c>
      <c r="P97" s="109">
        <v>175.00000000000003</v>
      </c>
      <c r="Q97" s="109">
        <v>175.00000000000003</v>
      </c>
      <c r="R97" s="109">
        <v>175.00000000000003</v>
      </c>
      <c r="S97" s="109">
        <v>175.00000000000003</v>
      </c>
      <c r="T97" s="109">
        <v>175.00000000000003</v>
      </c>
      <c r="U97" s="109">
        <v>175.00000000000003</v>
      </c>
      <c r="V97" s="109">
        <v>140.00000000000003</v>
      </c>
      <c r="W97" s="109">
        <v>140.00000000000003</v>
      </c>
      <c r="X97" s="109">
        <v>140.00000000000003</v>
      </c>
      <c r="Y97" s="109">
        <v>140.00000000000003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56.000000000000114</v>
      </c>
      <c r="AH97" s="109">
        <v>58.000000000000142</v>
      </c>
      <c r="AI97" s="109">
        <v>92.000000000000171</v>
      </c>
      <c r="AJ97" s="109">
        <v>131.0000000000002</v>
      </c>
      <c r="AK97" s="109">
        <v>117.00000000000023</v>
      </c>
      <c r="AL97" s="109">
        <v>175.00000000000003</v>
      </c>
      <c r="AM97" s="109">
        <v>175.00000000000003</v>
      </c>
      <c r="AN97" s="109">
        <v>175.00000000000003</v>
      </c>
      <c r="AO97" s="109">
        <v>175.00000000000003</v>
      </c>
      <c r="AP97" s="109">
        <v>175.00000000000003</v>
      </c>
      <c r="AQ97" s="109">
        <v>175.00000000000003</v>
      </c>
      <c r="AR97" s="109">
        <v>175.00000000000003</v>
      </c>
      <c r="AS97" s="109">
        <v>175.00000000000003</v>
      </c>
      <c r="AT97" s="109">
        <v>175.00000000000003</v>
      </c>
      <c r="AU97" s="109">
        <v>175.00000000000003</v>
      </c>
      <c r="AV97" s="109">
        <v>175.00000000000003</v>
      </c>
      <c r="AW97" s="109">
        <v>175.00000000000003</v>
      </c>
      <c r="AX97" s="109">
        <v>175.00000000000003</v>
      </c>
      <c r="AY97" s="109">
        <v>175.00000000000003</v>
      </c>
    </row>
    <row r="98" spans="1:52">
      <c r="A98" s="108"/>
      <c r="B98" s="129">
        <v>4</v>
      </c>
      <c r="C98" s="105">
        <v>396.06904980000002</v>
      </c>
      <c r="D98" s="109">
        <v>396.06904980000002</v>
      </c>
      <c r="E98" s="109">
        <v>396.06904980000002</v>
      </c>
      <c r="F98" s="109">
        <v>396.06904980000002</v>
      </c>
      <c r="G98" s="109">
        <v>175.00000000000003</v>
      </c>
      <c r="H98" s="109">
        <v>172.00000000000006</v>
      </c>
      <c r="I98" s="109">
        <v>175.00000000000003</v>
      </c>
      <c r="J98" s="109">
        <v>175.00000000000003</v>
      </c>
      <c r="K98" s="109">
        <v>175.00000000000003</v>
      </c>
      <c r="L98" s="109">
        <v>175.00000000000003</v>
      </c>
      <c r="M98" s="109">
        <v>175.00000000000003</v>
      </c>
      <c r="N98" s="109">
        <v>175.00000000000003</v>
      </c>
      <c r="O98" s="109">
        <v>175.00000000000003</v>
      </c>
      <c r="P98" s="109">
        <v>175.00000000000003</v>
      </c>
      <c r="Q98" s="109">
        <v>175.00000000000003</v>
      </c>
      <c r="R98" s="109">
        <v>175.00000000000003</v>
      </c>
      <c r="S98" s="109">
        <v>175.00000000000003</v>
      </c>
      <c r="T98" s="109">
        <v>175.00000000000003</v>
      </c>
      <c r="U98" s="109">
        <v>175.00000000000003</v>
      </c>
      <c r="V98" s="109">
        <v>175.00000000000003</v>
      </c>
      <c r="W98" s="109">
        <v>140.00000000000003</v>
      </c>
      <c r="X98" s="109">
        <v>140.00000000000003</v>
      </c>
      <c r="Y98" s="109">
        <v>111.00000000000006</v>
      </c>
      <c r="Z98" s="109">
        <v>140.00000000000003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7.0000000000002274</v>
      </c>
      <c r="AM98" s="109">
        <v>52.000000000000256</v>
      </c>
      <c r="AN98" s="109">
        <v>90.000000000000284</v>
      </c>
      <c r="AO98" s="109">
        <v>154.00000000000031</v>
      </c>
      <c r="AP98" s="109">
        <v>175.00000000000003</v>
      </c>
      <c r="AQ98" s="109">
        <v>175.00000000000003</v>
      </c>
      <c r="AR98" s="109">
        <v>175.00000000000003</v>
      </c>
      <c r="AS98" s="109">
        <v>175.00000000000003</v>
      </c>
      <c r="AT98" s="109">
        <v>168.00000000000006</v>
      </c>
      <c r="AU98" s="109">
        <v>160.00000000000009</v>
      </c>
      <c r="AV98" s="109">
        <v>175.00000000000003</v>
      </c>
      <c r="AW98" s="109">
        <v>175.00000000000003</v>
      </c>
      <c r="AX98" s="109">
        <v>175.00000000000003</v>
      </c>
      <c r="AY98" s="109">
        <v>175.00000000000003</v>
      </c>
    </row>
    <row r="99" spans="1:52">
      <c r="A99" s="127"/>
      <c r="B99" s="131" t="s">
        <v>296</v>
      </c>
      <c r="C99" s="124">
        <v>170.746959</v>
      </c>
      <c r="D99" s="124">
        <v>153.06904980000002</v>
      </c>
      <c r="E99" s="124">
        <v>243.06904980000002</v>
      </c>
      <c r="F99" s="124">
        <v>276.06904980000002</v>
      </c>
      <c r="G99" s="124">
        <v>283.06904980000002</v>
      </c>
      <c r="H99" s="124">
        <v>0</v>
      </c>
      <c r="I99" s="124">
        <v>32.000000000000057</v>
      </c>
      <c r="J99" s="124">
        <v>36.000000000000028</v>
      </c>
      <c r="K99" s="124">
        <v>27.000000000000028</v>
      </c>
      <c r="L99" s="124">
        <v>39.000000000000028</v>
      </c>
      <c r="M99" s="124">
        <v>54.000000000000028</v>
      </c>
      <c r="N99" s="124">
        <v>25.000000000000028</v>
      </c>
      <c r="O99" s="124">
        <v>13.000000000000028</v>
      </c>
      <c r="P99" s="124">
        <v>37.000000000000028</v>
      </c>
      <c r="Q99" s="124">
        <v>49.000000000000028</v>
      </c>
      <c r="R99" s="124">
        <v>52.000000000000028</v>
      </c>
      <c r="S99" s="124">
        <v>40.000000000000028</v>
      </c>
      <c r="T99" s="124">
        <v>59.000000000000028</v>
      </c>
      <c r="U99" s="124">
        <v>34.000000000000028</v>
      </c>
      <c r="V99" s="124">
        <v>22.000000000000028</v>
      </c>
      <c r="W99" s="124">
        <v>74.000000000000028</v>
      </c>
      <c r="X99" s="124">
        <v>23.000000000000028</v>
      </c>
      <c r="Y99" s="124">
        <v>0</v>
      </c>
      <c r="Z99" s="124">
        <v>2.0000000000000568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20.000000000000313</v>
      </c>
      <c r="AQ99" s="124">
        <v>35.000000000000028</v>
      </c>
      <c r="AR99" s="124">
        <v>21.000000000000028</v>
      </c>
      <c r="AS99" s="124">
        <v>40.000000000000028</v>
      </c>
      <c r="AT99" s="124">
        <v>0</v>
      </c>
      <c r="AU99" s="124">
        <v>0</v>
      </c>
      <c r="AV99" s="124">
        <v>21.000000000000085</v>
      </c>
      <c r="AW99" s="124">
        <v>4.0000000000000284</v>
      </c>
      <c r="AX99" s="124">
        <v>30.000000000000028</v>
      </c>
      <c r="AY99" s="124">
        <v>6.0000000000000284</v>
      </c>
      <c r="AZ99" s="106">
        <f>SUM($D99:$AY99)</f>
        <v>1750.2761992000003</v>
      </c>
    </row>
    <row r="100" spans="1:52">
      <c r="A100" s="130" t="s">
        <v>133</v>
      </c>
      <c r="B100" s="118">
        <v>1</v>
      </c>
      <c r="C100" s="105">
        <v>53.699634540453602</v>
      </c>
      <c r="D100" s="105">
        <v>17.640262002556955</v>
      </c>
      <c r="E100" s="105">
        <v>107.21204098550851</v>
      </c>
      <c r="F100" s="105">
        <v>0</v>
      </c>
      <c r="G100" s="105">
        <v>0</v>
      </c>
      <c r="H100" s="105">
        <v>0</v>
      </c>
      <c r="I100" s="105">
        <v>170.47406125439846</v>
      </c>
      <c r="J100" s="105">
        <v>170.47406125439846</v>
      </c>
      <c r="K100" s="105">
        <v>165.97979996051455</v>
      </c>
      <c r="L100" s="105">
        <v>170.47406125439846</v>
      </c>
      <c r="M100" s="105">
        <v>170.47406125439846</v>
      </c>
      <c r="N100" s="105">
        <v>170.47406125439846</v>
      </c>
      <c r="O100" s="105">
        <v>165.97979996051455</v>
      </c>
      <c r="P100" s="105">
        <v>0</v>
      </c>
      <c r="Q100" s="105">
        <v>170.47406125439846</v>
      </c>
      <c r="R100" s="105">
        <v>170.47406125439846</v>
      </c>
      <c r="S100" s="105">
        <v>170.47406125439846</v>
      </c>
      <c r="T100" s="105">
        <v>170.47406125439846</v>
      </c>
      <c r="U100" s="105">
        <v>165.97979996051455</v>
      </c>
      <c r="V100" s="105">
        <v>170.47406125439846</v>
      </c>
      <c r="W100" s="105">
        <v>157.50163808965846</v>
      </c>
      <c r="X100" s="105">
        <v>0</v>
      </c>
      <c r="Y100" s="105">
        <v>170.47406125439846</v>
      </c>
      <c r="Z100" s="105">
        <v>0</v>
      </c>
      <c r="AA100" s="105">
        <v>140.4444461204354</v>
      </c>
      <c r="AB100" s="105">
        <v>0</v>
      </c>
      <c r="AC100" s="105">
        <v>170.47406125439846</v>
      </c>
      <c r="AD100" s="105">
        <v>170.47406125439846</v>
      </c>
      <c r="AE100" s="105">
        <v>170.47406125439846</v>
      </c>
      <c r="AF100" s="105">
        <v>170.47406125439846</v>
      </c>
      <c r="AG100" s="105">
        <v>140.4444461204354</v>
      </c>
      <c r="AH100" s="105">
        <v>170.47406125439846</v>
      </c>
      <c r="AI100" s="105">
        <v>140.4444461204354</v>
      </c>
      <c r="AJ100" s="105">
        <v>170.47406125439846</v>
      </c>
      <c r="AK100" s="105">
        <v>140.4444461204354</v>
      </c>
      <c r="AL100" s="105">
        <v>0</v>
      </c>
      <c r="AM100" s="105">
        <v>0</v>
      </c>
      <c r="AN100" s="105">
        <v>286.50381274934364</v>
      </c>
      <c r="AO100" s="105">
        <v>170.47406125439846</v>
      </c>
      <c r="AP100" s="105">
        <v>165.97979996051455</v>
      </c>
      <c r="AQ100" s="105">
        <v>0</v>
      </c>
      <c r="AR100" s="105">
        <v>170.47406125439846</v>
      </c>
      <c r="AS100" s="105">
        <v>170.47406125439846</v>
      </c>
      <c r="AT100" s="105">
        <v>165.97979996051455</v>
      </c>
      <c r="AU100" s="105">
        <v>170.47406125439846</v>
      </c>
      <c r="AV100" s="105">
        <v>165.97979996051455</v>
      </c>
      <c r="AW100" s="105">
        <v>0</v>
      </c>
      <c r="AX100" s="105">
        <v>165.97979996051455</v>
      </c>
      <c r="AY100" s="105">
        <v>0</v>
      </c>
    </row>
    <row r="101" spans="1:52">
      <c r="A101" s="108"/>
      <c r="B101" s="118">
        <v>2</v>
      </c>
      <c r="C101" s="105">
        <v>0</v>
      </c>
      <c r="D101" s="105">
        <v>0</v>
      </c>
      <c r="E101" s="105">
        <v>53.699634540453602</v>
      </c>
      <c r="F101" s="105">
        <v>1.4210854715202004E-14</v>
      </c>
      <c r="G101" s="105">
        <v>0</v>
      </c>
      <c r="H101" s="105">
        <v>286.50381274934364</v>
      </c>
      <c r="I101" s="105">
        <v>170.47406125439846</v>
      </c>
      <c r="J101" s="105">
        <v>170.47406125439846</v>
      </c>
      <c r="K101" s="105">
        <v>170.47406125439846</v>
      </c>
      <c r="L101" s="105">
        <v>170.47406125439846</v>
      </c>
      <c r="M101" s="105">
        <v>99.874119021335957</v>
      </c>
      <c r="N101" s="105">
        <v>31.348180275734421</v>
      </c>
      <c r="O101" s="105">
        <v>0</v>
      </c>
      <c r="P101" s="105">
        <v>0</v>
      </c>
      <c r="Q101" s="105">
        <v>170.47406125439846</v>
      </c>
      <c r="R101" s="105">
        <v>75.442383802680865</v>
      </c>
      <c r="S101" s="105">
        <v>0</v>
      </c>
      <c r="T101" s="105">
        <v>0</v>
      </c>
      <c r="U101" s="105">
        <v>0</v>
      </c>
      <c r="V101" s="105">
        <v>4.494261293883909</v>
      </c>
      <c r="W101" s="105">
        <v>0</v>
      </c>
      <c r="X101" s="105">
        <v>0</v>
      </c>
      <c r="Y101" s="105">
        <v>0</v>
      </c>
      <c r="Z101" s="105">
        <v>18.474061254398464</v>
      </c>
      <c r="AA101" s="105">
        <v>170.47406125439846</v>
      </c>
      <c r="AB101" s="105">
        <v>128.94812250879693</v>
      </c>
      <c r="AC101" s="105">
        <v>170.47406125439846</v>
      </c>
      <c r="AD101" s="105">
        <v>106.94812250879693</v>
      </c>
      <c r="AE101" s="105">
        <v>0</v>
      </c>
      <c r="AF101" s="105">
        <v>0</v>
      </c>
      <c r="AG101" s="105">
        <v>0</v>
      </c>
      <c r="AH101" s="105">
        <v>30.029615133963063</v>
      </c>
      <c r="AI101" s="105">
        <v>0</v>
      </c>
      <c r="AJ101" s="105">
        <v>30.029615133963063</v>
      </c>
      <c r="AK101" s="105">
        <v>37.503676388361527</v>
      </c>
      <c r="AL101" s="105">
        <v>30.029615133963063</v>
      </c>
      <c r="AM101" s="105">
        <v>170.47406125439846</v>
      </c>
      <c r="AN101" s="105">
        <v>0</v>
      </c>
      <c r="AO101" s="105">
        <v>25.503812749343638</v>
      </c>
      <c r="AP101" s="105">
        <v>33.977874003742102</v>
      </c>
      <c r="AQ101" s="105">
        <v>0</v>
      </c>
      <c r="AR101" s="105">
        <v>0</v>
      </c>
      <c r="AS101" s="105">
        <v>0</v>
      </c>
      <c r="AT101" s="105">
        <v>111.94812250879693</v>
      </c>
      <c r="AU101" s="105">
        <v>29.422183763195392</v>
      </c>
      <c r="AV101" s="105">
        <v>0</v>
      </c>
      <c r="AW101" s="105">
        <v>0</v>
      </c>
      <c r="AX101" s="105">
        <v>170.47406125439846</v>
      </c>
      <c r="AY101" s="105">
        <v>128.44238380268084</v>
      </c>
    </row>
    <row r="102" spans="1:52">
      <c r="A102" s="108"/>
      <c r="B102" s="119">
        <v>3</v>
      </c>
      <c r="C102" s="105">
        <v>0</v>
      </c>
      <c r="D102" s="105">
        <v>0</v>
      </c>
      <c r="E102" s="105">
        <v>3.4542803369089556</v>
      </c>
      <c r="F102" s="105">
        <v>0</v>
      </c>
      <c r="G102" s="105">
        <v>0</v>
      </c>
      <c r="H102" s="105">
        <v>0</v>
      </c>
      <c r="I102" s="105">
        <v>88.503812749343638</v>
      </c>
      <c r="J102" s="105">
        <v>55.977874003742102</v>
      </c>
      <c r="K102" s="105">
        <v>23.451935258140566</v>
      </c>
      <c r="L102" s="105">
        <v>31.925996512539029</v>
      </c>
      <c r="M102" s="105">
        <v>0</v>
      </c>
      <c r="N102" s="105">
        <v>0</v>
      </c>
      <c r="O102" s="105">
        <v>0</v>
      </c>
      <c r="P102" s="105">
        <v>0</v>
      </c>
      <c r="Q102" s="105">
        <v>4.494261293883909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170.47406125439846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4.494261293883909</v>
      </c>
      <c r="AS102" s="105">
        <v>170.47406125439846</v>
      </c>
      <c r="AT102" s="105">
        <v>0</v>
      </c>
      <c r="AU102" s="105">
        <v>0</v>
      </c>
      <c r="AV102" s="105">
        <v>0</v>
      </c>
      <c r="AW102" s="105">
        <v>0</v>
      </c>
      <c r="AX102" s="105">
        <v>4.494261293883909</v>
      </c>
      <c r="AY102" s="105">
        <v>0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15.170876838541671</v>
      </c>
      <c r="D109" s="105">
        <v>15.170876838541671</v>
      </c>
      <c r="E109" s="105">
        <v>9.9611755364331405</v>
      </c>
      <c r="F109" s="105">
        <v>75.853987171054442</v>
      </c>
      <c r="G109" s="105">
        <v>20.963172653995109</v>
      </c>
      <c r="H109" s="105">
        <v>23.545149042604272</v>
      </c>
      <c r="I109" s="105">
        <v>199.63117065509331</v>
      </c>
      <c r="J109" s="105">
        <v>292.58330049696309</v>
      </c>
      <c r="K109" s="105">
        <v>234.39113225997144</v>
      </c>
      <c r="L109" s="105">
        <v>204.41224453144167</v>
      </c>
      <c r="M109" s="105">
        <v>185.03422884886746</v>
      </c>
      <c r="N109" s="105">
        <v>145.83924651852806</v>
      </c>
      <c r="O109" s="105">
        <v>147.18373985978013</v>
      </c>
      <c r="P109" s="105">
        <v>160.3153431184615</v>
      </c>
      <c r="Q109" s="105">
        <v>41.340952151057046</v>
      </c>
      <c r="R109" s="105">
        <v>235.85497653298191</v>
      </c>
      <c r="S109" s="105">
        <v>182.0927759613848</v>
      </c>
      <c r="T109" s="105">
        <v>160.17511807993787</v>
      </c>
      <c r="U109" s="105">
        <v>146.56896394576546</v>
      </c>
      <c r="V109" s="105">
        <v>177.90671343482833</v>
      </c>
      <c r="W109" s="105">
        <v>181.75049451300833</v>
      </c>
      <c r="X109" s="105">
        <v>143.78710842242975</v>
      </c>
      <c r="Y109" s="105">
        <v>56.695742668373704</v>
      </c>
      <c r="Z109" s="105">
        <v>141.90294369395164</v>
      </c>
      <c r="AA109" s="105">
        <v>133.65570286328759</v>
      </c>
      <c r="AB109" s="105">
        <v>244.62508347433121</v>
      </c>
      <c r="AC109" s="105">
        <v>103.28392666969984</v>
      </c>
      <c r="AD109" s="105">
        <v>233.09279133295675</v>
      </c>
      <c r="AE109" s="105">
        <v>174.29031646545221</v>
      </c>
      <c r="AF109" s="105">
        <v>145.88809058661334</v>
      </c>
      <c r="AG109" s="105">
        <v>153.50842701488037</v>
      </c>
      <c r="AH109" s="105">
        <v>109.92415473303103</v>
      </c>
      <c r="AI109" s="105">
        <v>181.38631506058258</v>
      </c>
      <c r="AJ109" s="105">
        <v>165.391511916388</v>
      </c>
      <c r="AK109" s="105">
        <v>152.64380852623216</v>
      </c>
      <c r="AL109" s="105">
        <v>139.26395923839323</v>
      </c>
      <c r="AM109" s="105">
        <v>52.485002408776801</v>
      </c>
      <c r="AN109" s="105">
        <v>128.31897018778051</v>
      </c>
      <c r="AO109" s="105">
        <v>220.06397880857298</v>
      </c>
      <c r="AP109" s="105">
        <v>173.9478617005044</v>
      </c>
      <c r="AQ109" s="105">
        <v>153.82603672069743</v>
      </c>
      <c r="AR109" s="105">
        <v>36.520603109771521</v>
      </c>
      <c r="AS109" s="105">
        <v>128.3643630059145</v>
      </c>
      <c r="AT109" s="105">
        <v>246.55390866219392</v>
      </c>
      <c r="AU109" s="105">
        <v>209.74744462661391</v>
      </c>
      <c r="AV109" s="105">
        <v>182.47553312199611</v>
      </c>
      <c r="AW109" s="105">
        <v>149.0700943631488</v>
      </c>
      <c r="AX109" s="105">
        <v>47.547143477760031</v>
      </c>
      <c r="AY109" s="105">
        <v>233.09279133295672</v>
      </c>
    </row>
    <row r="110" spans="1:52">
      <c r="A110" s="108"/>
      <c r="B110" s="118">
        <v>2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70.631170655093314</v>
      </c>
      <c r="K110" s="105">
        <v>271.21447115205638</v>
      </c>
      <c r="L110" s="105">
        <v>234.39113225997144</v>
      </c>
      <c r="M110" s="105">
        <v>204.41224453144167</v>
      </c>
      <c r="N110" s="105">
        <v>185.03422884886746</v>
      </c>
      <c r="O110" s="105">
        <v>145.83924651852806</v>
      </c>
      <c r="P110" s="105">
        <v>147.18373985978013</v>
      </c>
      <c r="Q110" s="105">
        <v>160.3153431184615</v>
      </c>
      <c r="R110" s="105">
        <v>41.340952151057046</v>
      </c>
      <c r="S110" s="105">
        <v>235.85497653298191</v>
      </c>
      <c r="T110" s="105">
        <v>182.0927759613848</v>
      </c>
      <c r="U110" s="105">
        <v>160.17511807993787</v>
      </c>
      <c r="V110" s="105">
        <v>146.56896394576546</v>
      </c>
      <c r="W110" s="105">
        <v>177.90671343482833</v>
      </c>
      <c r="X110" s="105">
        <v>181.75049451300833</v>
      </c>
      <c r="Y110" s="105">
        <v>143.78710842242975</v>
      </c>
      <c r="Z110" s="105">
        <v>56.695742668373704</v>
      </c>
      <c r="AA110" s="105">
        <v>141.90294369395164</v>
      </c>
      <c r="AB110" s="105">
        <v>133.65570286328759</v>
      </c>
      <c r="AC110" s="105">
        <v>244.62508347433121</v>
      </c>
      <c r="AD110" s="105">
        <v>103.28392666969984</v>
      </c>
      <c r="AE110" s="105">
        <v>233.09279133295675</v>
      </c>
      <c r="AF110" s="105">
        <v>174.29031646545221</v>
      </c>
      <c r="AG110" s="105">
        <v>145.88809058661334</v>
      </c>
      <c r="AH110" s="105">
        <v>153.50842701488037</v>
      </c>
      <c r="AI110" s="105">
        <v>109.92415473303103</v>
      </c>
      <c r="AJ110" s="105">
        <v>181.38631506058258</v>
      </c>
      <c r="AK110" s="105">
        <v>165.391511916388</v>
      </c>
      <c r="AL110" s="105">
        <v>152.64380852623216</v>
      </c>
      <c r="AM110" s="105">
        <v>139.26395923839323</v>
      </c>
      <c r="AN110" s="105">
        <v>52.485002408776801</v>
      </c>
      <c r="AO110" s="105">
        <v>128.31897018778051</v>
      </c>
      <c r="AP110" s="105">
        <v>220.06397880857298</v>
      </c>
      <c r="AQ110" s="105">
        <v>173.9478617005044</v>
      </c>
      <c r="AR110" s="105">
        <v>153.82603672069743</v>
      </c>
      <c r="AS110" s="105">
        <v>36.520603109771521</v>
      </c>
      <c r="AT110" s="105">
        <v>128.3643630059145</v>
      </c>
      <c r="AU110" s="105">
        <v>246.55390866219392</v>
      </c>
      <c r="AV110" s="105">
        <v>209.74744462661391</v>
      </c>
      <c r="AW110" s="105">
        <v>182.47553312199611</v>
      </c>
      <c r="AX110" s="105">
        <v>149.0700943631488</v>
      </c>
      <c r="AY110" s="105">
        <v>47.547143477760031</v>
      </c>
    </row>
    <row r="111" spans="1:52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149.21447115205638</v>
      </c>
      <c r="M111" s="105">
        <v>234.39113225997144</v>
      </c>
      <c r="N111" s="105">
        <v>204.41224453144167</v>
      </c>
      <c r="O111" s="105">
        <v>185.03422884886746</v>
      </c>
      <c r="P111" s="105">
        <v>145.83924651852806</v>
      </c>
      <c r="Q111" s="105">
        <v>147.18373985978013</v>
      </c>
      <c r="R111" s="105">
        <v>160.3153431184615</v>
      </c>
      <c r="S111" s="105">
        <v>41.340952151057046</v>
      </c>
      <c r="T111" s="105">
        <v>235.85497653298191</v>
      </c>
      <c r="U111" s="105">
        <v>182.0927759613848</v>
      </c>
      <c r="V111" s="105">
        <v>160.17511807993787</v>
      </c>
      <c r="W111" s="105">
        <v>146.56896394576546</v>
      </c>
      <c r="X111" s="105">
        <v>177.90671343482833</v>
      </c>
      <c r="Y111" s="105">
        <v>181.75049451300833</v>
      </c>
      <c r="Z111" s="105">
        <v>143.78710842242975</v>
      </c>
      <c r="AA111" s="105">
        <v>56.695742668373704</v>
      </c>
      <c r="AB111" s="105">
        <v>141.90294369395164</v>
      </c>
      <c r="AC111" s="105">
        <v>133.65570286328759</v>
      </c>
      <c r="AD111" s="105">
        <v>244.62508347433121</v>
      </c>
      <c r="AE111" s="105">
        <v>103.28392666969984</v>
      </c>
      <c r="AF111" s="105">
        <v>233.09279133295675</v>
      </c>
      <c r="AG111" s="105">
        <v>174.29031646545221</v>
      </c>
      <c r="AH111" s="105">
        <v>145.88809058661334</v>
      </c>
      <c r="AI111" s="105">
        <v>153.50842701488037</v>
      </c>
      <c r="AJ111" s="105">
        <v>109.92415473303103</v>
      </c>
      <c r="AK111" s="105">
        <v>181.38631506058258</v>
      </c>
      <c r="AL111" s="105">
        <v>165.391511916388</v>
      </c>
      <c r="AM111" s="105">
        <v>152.64380852623216</v>
      </c>
      <c r="AN111" s="105">
        <v>139.26395923839323</v>
      </c>
      <c r="AO111" s="105">
        <v>52.485002408776801</v>
      </c>
      <c r="AP111" s="105">
        <v>128.31897018778051</v>
      </c>
      <c r="AQ111" s="105">
        <v>220.06397880857298</v>
      </c>
      <c r="AR111" s="105">
        <v>173.9478617005044</v>
      </c>
      <c r="AS111" s="105">
        <v>153.82603672069743</v>
      </c>
      <c r="AT111" s="105">
        <v>36.520603109771521</v>
      </c>
      <c r="AU111" s="105">
        <v>128.3643630059145</v>
      </c>
      <c r="AV111" s="105">
        <v>246.55390866219392</v>
      </c>
      <c r="AW111" s="105">
        <v>209.74744462661391</v>
      </c>
      <c r="AX111" s="105">
        <v>182.47553312199611</v>
      </c>
      <c r="AY111" s="105">
        <v>149.0700943631488</v>
      </c>
    </row>
    <row r="112" spans="1:52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37.214471152056376</v>
      </c>
      <c r="N112" s="105">
        <v>130.60560341202782</v>
      </c>
      <c r="O112" s="105">
        <v>204.41224453144167</v>
      </c>
      <c r="P112" s="105">
        <v>185.03422884886746</v>
      </c>
      <c r="Q112" s="105">
        <v>145.83924651852806</v>
      </c>
      <c r="R112" s="105">
        <v>147.18373985978013</v>
      </c>
      <c r="S112" s="105">
        <v>160.3153431184615</v>
      </c>
      <c r="T112" s="105">
        <v>41.340952151057046</v>
      </c>
      <c r="U112" s="105">
        <v>235.85497653298191</v>
      </c>
      <c r="V112" s="105">
        <v>182.0927759613848</v>
      </c>
      <c r="W112" s="105">
        <v>160.17511807993787</v>
      </c>
      <c r="X112" s="105">
        <v>146.56896394576546</v>
      </c>
      <c r="Y112" s="105">
        <v>177.90671343482833</v>
      </c>
      <c r="Z112" s="105">
        <v>181.75049451300833</v>
      </c>
      <c r="AA112" s="105">
        <v>143.78710842242975</v>
      </c>
      <c r="AB112" s="105">
        <v>56.695742668373704</v>
      </c>
      <c r="AC112" s="105">
        <v>141.90294369395164</v>
      </c>
      <c r="AD112" s="105">
        <v>133.65570286328759</v>
      </c>
      <c r="AE112" s="105">
        <v>244.62508347433121</v>
      </c>
      <c r="AF112" s="105">
        <v>103.28392666969984</v>
      </c>
      <c r="AG112" s="105">
        <v>233.09279133295675</v>
      </c>
      <c r="AH112" s="105">
        <v>174.29031646545221</v>
      </c>
      <c r="AI112" s="105">
        <v>145.88809058661334</v>
      </c>
      <c r="AJ112" s="105">
        <v>153.50842701488037</v>
      </c>
      <c r="AK112" s="105">
        <v>109.92415473303103</v>
      </c>
      <c r="AL112" s="105">
        <v>181.38631506058258</v>
      </c>
      <c r="AM112" s="105">
        <v>165.391511916388</v>
      </c>
      <c r="AN112" s="105">
        <v>152.64380852623216</v>
      </c>
      <c r="AO112" s="105">
        <v>139.26395923839323</v>
      </c>
      <c r="AP112" s="105">
        <v>52.485002408776801</v>
      </c>
      <c r="AQ112" s="105">
        <v>128.31897018778051</v>
      </c>
      <c r="AR112" s="105">
        <v>220.06397880857298</v>
      </c>
      <c r="AS112" s="105">
        <v>173.9478617005044</v>
      </c>
      <c r="AT112" s="105">
        <v>153.82603672069743</v>
      </c>
      <c r="AU112" s="105">
        <v>36.520603109771521</v>
      </c>
      <c r="AV112" s="105">
        <v>128.3643630059145</v>
      </c>
      <c r="AW112" s="105">
        <v>246.55390866219392</v>
      </c>
      <c r="AX112" s="105">
        <v>209.74744462661391</v>
      </c>
      <c r="AY112" s="105">
        <v>182.47553312199611</v>
      </c>
    </row>
    <row r="113" spans="1:52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8.0699680646115155</v>
      </c>
      <c r="P113" s="105">
        <v>53.820947048577494</v>
      </c>
      <c r="Q113" s="105">
        <v>108.85517589744495</v>
      </c>
      <c r="R113" s="105">
        <v>145.83924651852806</v>
      </c>
      <c r="S113" s="105">
        <v>147.18373985978013</v>
      </c>
      <c r="T113" s="105">
        <v>160.3153431184615</v>
      </c>
      <c r="U113" s="105">
        <v>41.340952151057046</v>
      </c>
      <c r="V113" s="105">
        <v>235.85497653298191</v>
      </c>
      <c r="W113" s="105">
        <v>182.0927759613848</v>
      </c>
      <c r="X113" s="105">
        <v>160.17511807993787</v>
      </c>
      <c r="Y113" s="105">
        <v>146.56896394576546</v>
      </c>
      <c r="Z113" s="105">
        <v>177.90671343482833</v>
      </c>
      <c r="AA113" s="105">
        <v>181.75049451300833</v>
      </c>
      <c r="AB113" s="105">
        <v>143.78710842242975</v>
      </c>
      <c r="AC113" s="105">
        <v>56.695742668373704</v>
      </c>
      <c r="AD113" s="105">
        <v>141.90294369395164</v>
      </c>
      <c r="AE113" s="105">
        <v>133.65570286328759</v>
      </c>
      <c r="AF113" s="105">
        <v>244.62508347433121</v>
      </c>
      <c r="AG113" s="105">
        <v>103.28392666969984</v>
      </c>
      <c r="AH113" s="105">
        <v>233.09279133295675</v>
      </c>
      <c r="AI113" s="105">
        <v>174.29031646545221</v>
      </c>
      <c r="AJ113" s="105">
        <v>145.88809058661334</v>
      </c>
      <c r="AK113" s="105">
        <v>153.50842701488037</v>
      </c>
      <c r="AL113" s="105">
        <v>109.92415473303103</v>
      </c>
      <c r="AM113" s="105">
        <v>181.38631506058258</v>
      </c>
      <c r="AN113" s="105">
        <v>165.391511916388</v>
      </c>
      <c r="AO113" s="105">
        <v>152.64380852623216</v>
      </c>
      <c r="AP113" s="105">
        <v>139.26395923839323</v>
      </c>
      <c r="AQ113" s="105">
        <v>52.485002408776801</v>
      </c>
      <c r="AR113" s="105">
        <v>128.31897018778051</v>
      </c>
      <c r="AS113" s="105">
        <v>220.06397880857298</v>
      </c>
      <c r="AT113" s="105">
        <v>173.9478617005044</v>
      </c>
      <c r="AU113" s="105">
        <v>153.82603672069743</v>
      </c>
      <c r="AV113" s="105">
        <v>36.520603109771521</v>
      </c>
      <c r="AW113" s="105">
        <v>128.3643630059145</v>
      </c>
      <c r="AX113" s="105">
        <v>246.55390866219392</v>
      </c>
      <c r="AY113" s="105">
        <v>209.74744462661391</v>
      </c>
    </row>
    <row r="114" spans="1:52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14.855175897444951</v>
      </c>
      <c r="S114" s="105">
        <v>37.694422415973008</v>
      </c>
      <c r="T114" s="105">
        <v>37.212782331447443</v>
      </c>
      <c r="U114" s="105">
        <v>99.528125449908941</v>
      </c>
      <c r="V114" s="105">
        <v>10.359214865337428</v>
      </c>
      <c r="W114" s="105">
        <v>81.143740079992682</v>
      </c>
      <c r="X114" s="105">
        <v>135.06296662526941</v>
      </c>
      <c r="Y114" s="105">
        <v>148.23808470520729</v>
      </c>
      <c r="Z114" s="105">
        <v>146.56896394576546</v>
      </c>
      <c r="AA114" s="105">
        <v>177.90671343482833</v>
      </c>
      <c r="AB114" s="105">
        <v>181.75049451300833</v>
      </c>
      <c r="AC114" s="105">
        <v>143.78710842242975</v>
      </c>
      <c r="AD114" s="105">
        <v>56.695742668373704</v>
      </c>
      <c r="AE114" s="105">
        <v>141.90294369395164</v>
      </c>
      <c r="AF114" s="105">
        <v>133.65570286328759</v>
      </c>
      <c r="AG114" s="105">
        <v>244.62508347433121</v>
      </c>
      <c r="AH114" s="105">
        <v>103.28392666969984</v>
      </c>
      <c r="AI114" s="105">
        <v>233.09279133295675</v>
      </c>
      <c r="AJ114" s="105">
        <v>174.29031646545221</v>
      </c>
      <c r="AK114" s="105">
        <v>145.88809058661334</v>
      </c>
      <c r="AL114" s="105">
        <v>153.50842701488037</v>
      </c>
      <c r="AM114" s="105">
        <v>109.92415473303103</v>
      </c>
      <c r="AN114" s="105">
        <v>181.38631506058258</v>
      </c>
      <c r="AO114" s="105">
        <v>165.391511916388</v>
      </c>
      <c r="AP114" s="105">
        <v>152.64380852623216</v>
      </c>
      <c r="AQ114" s="105">
        <v>139.26395923839323</v>
      </c>
      <c r="AR114" s="105">
        <v>52.485002408776801</v>
      </c>
      <c r="AS114" s="105">
        <v>128.31897018778051</v>
      </c>
      <c r="AT114" s="105">
        <v>220.06397880857298</v>
      </c>
      <c r="AU114" s="105">
        <v>173.9478617005044</v>
      </c>
      <c r="AV114" s="105">
        <v>153.82603672069743</v>
      </c>
      <c r="AW114" s="105">
        <v>36.520603109771521</v>
      </c>
      <c r="AX114" s="105">
        <v>128.3643630059145</v>
      </c>
      <c r="AY114" s="105">
        <v>246.55390866219392</v>
      </c>
    </row>
    <row r="115" spans="1:52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38.238084705207285</v>
      </c>
      <c r="AA115" s="105">
        <v>68.807048650972746</v>
      </c>
      <c r="AB115" s="105">
        <v>86.713762085801079</v>
      </c>
      <c r="AC115" s="105">
        <v>114.08728715654919</v>
      </c>
      <c r="AD115" s="105">
        <v>124.87439557897895</v>
      </c>
      <c r="AE115" s="105">
        <v>56.695742668373704</v>
      </c>
      <c r="AF115" s="105">
        <v>108.43034282936347</v>
      </c>
      <c r="AG115" s="105">
        <v>76.451725756139211</v>
      </c>
      <c r="AH115" s="105">
        <v>192.94994063410027</v>
      </c>
      <c r="AI115" s="105">
        <v>103.28392666969984</v>
      </c>
      <c r="AJ115" s="105">
        <v>218.23237609604092</v>
      </c>
      <c r="AK115" s="105">
        <v>174.29031646545221</v>
      </c>
      <c r="AL115" s="105">
        <v>145.88809058661334</v>
      </c>
      <c r="AM115" s="105">
        <v>153.50842701488037</v>
      </c>
      <c r="AN115" s="105">
        <v>109.92415473303103</v>
      </c>
      <c r="AO115" s="105">
        <v>181.38631506058258</v>
      </c>
      <c r="AP115" s="105">
        <v>165.391511916388</v>
      </c>
      <c r="AQ115" s="105">
        <v>152.64380852623216</v>
      </c>
      <c r="AR115" s="105">
        <v>139.26395923839323</v>
      </c>
      <c r="AS115" s="105">
        <v>52.485002408776801</v>
      </c>
      <c r="AT115" s="105">
        <v>128.31897018778051</v>
      </c>
      <c r="AU115" s="105">
        <v>220.06397880857298</v>
      </c>
      <c r="AV115" s="105">
        <v>173.9478617005044</v>
      </c>
      <c r="AW115" s="105">
        <v>153.82603672069743</v>
      </c>
      <c r="AX115" s="105">
        <v>36.520603109771521</v>
      </c>
      <c r="AY115" s="105">
        <v>128.3643630059145</v>
      </c>
    </row>
    <row r="116" spans="1:52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11.831656467038115</v>
      </c>
      <c r="AF116" s="105">
        <v>0</v>
      </c>
      <c r="AG116" s="105">
        <v>0</v>
      </c>
      <c r="AH116" s="105">
        <v>0</v>
      </c>
      <c r="AI116" s="105">
        <v>31.949940634100273</v>
      </c>
      <c r="AJ116" s="105">
        <v>0</v>
      </c>
      <c r="AK116" s="105">
        <v>57.232376096040923</v>
      </c>
      <c r="AL116" s="105">
        <v>77.981575521295582</v>
      </c>
      <c r="AM116" s="105">
        <v>104.55741830041934</v>
      </c>
      <c r="AN116" s="105">
        <v>106.46400371047979</v>
      </c>
      <c r="AO116" s="105">
        <v>50.388158443510818</v>
      </c>
      <c r="AP116" s="105">
        <v>97.774473504093393</v>
      </c>
      <c r="AQ116" s="105">
        <v>158.64663372389006</v>
      </c>
      <c r="AR116" s="105">
        <v>152.64380852623216</v>
      </c>
      <c r="AS116" s="105">
        <v>139.26395923839323</v>
      </c>
      <c r="AT116" s="105">
        <v>52.485002408776801</v>
      </c>
      <c r="AU116" s="105">
        <v>107.35837408507277</v>
      </c>
      <c r="AV116" s="105">
        <v>198.81271712782674</v>
      </c>
      <c r="AW116" s="105">
        <v>173.9478617005044</v>
      </c>
      <c r="AX116" s="105">
        <v>153.82603672069743</v>
      </c>
      <c r="AY116" s="105">
        <v>36.520603109771521</v>
      </c>
    </row>
    <row r="117" spans="1:52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57.646633723890062</v>
      </c>
      <c r="AS117" s="105">
        <v>58.290442250122226</v>
      </c>
      <c r="AT117" s="105">
        <v>36.554401488515452</v>
      </c>
      <c r="AU117" s="105">
        <v>0</v>
      </c>
      <c r="AV117" s="105">
        <v>0</v>
      </c>
      <c r="AW117" s="105">
        <v>69.23001816167573</v>
      </c>
      <c r="AX117" s="105">
        <v>90.177879862180134</v>
      </c>
      <c r="AY117" s="105">
        <v>147.00391658287757</v>
      </c>
    </row>
    <row r="118" spans="1:52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>
        <v>21.469791666666673</v>
      </c>
      <c r="D122" s="105">
        <v>21.875000000000011</v>
      </c>
      <c r="E122" s="105">
        <v>166.57732446315012</v>
      </c>
      <c r="F122" s="105">
        <v>21.875000000000011</v>
      </c>
      <c r="G122" s="105">
        <v>51.705758363876384</v>
      </c>
      <c r="H122" s="105">
        <v>21.875000000000011</v>
      </c>
      <c r="I122" s="105">
        <v>251.96103042562342</v>
      </c>
      <c r="J122" s="105">
        <v>281.79178878949983</v>
      </c>
      <c r="K122" s="105">
        <v>275.72595840336186</v>
      </c>
      <c r="L122" s="105">
        <v>281.79178878949983</v>
      </c>
      <c r="M122" s="105">
        <v>251.96103042562342</v>
      </c>
      <c r="N122" s="105">
        <v>251.96103042562342</v>
      </c>
      <c r="O122" s="105">
        <v>275.72595840336186</v>
      </c>
      <c r="P122" s="105">
        <v>51.705758363876384</v>
      </c>
      <c r="Q122" s="105">
        <v>281.79178878949983</v>
      </c>
      <c r="R122" s="105">
        <v>281.79178878949983</v>
      </c>
      <c r="S122" s="105">
        <v>251.96103042562342</v>
      </c>
      <c r="T122" s="105">
        <v>251.96103042562342</v>
      </c>
      <c r="U122" s="105">
        <v>275.72595840336186</v>
      </c>
      <c r="V122" s="105">
        <v>281.79178878949983</v>
      </c>
      <c r="W122" s="105">
        <v>234.45236471417394</v>
      </c>
      <c r="X122" s="105">
        <v>51.705758363876384</v>
      </c>
      <c r="Y122" s="105">
        <v>281.79178878949983</v>
      </c>
      <c r="Z122" s="105">
        <v>51.705758363876384</v>
      </c>
      <c r="AA122" s="105">
        <v>241.26131224344101</v>
      </c>
      <c r="AB122" s="105">
        <v>51.705758363876384</v>
      </c>
      <c r="AC122" s="105">
        <v>281.79178878949983</v>
      </c>
      <c r="AD122" s="105">
        <v>251.96103042562342</v>
      </c>
      <c r="AE122" s="105">
        <v>251.96103042562342</v>
      </c>
      <c r="AF122" s="105">
        <v>251.96103042562342</v>
      </c>
      <c r="AG122" s="105">
        <v>211.43055387956463</v>
      </c>
      <c r="AH122" s="105">
        <v>281.79178878949983</v>
      </c>
      <c r="AI122" s="105">
        <v>241.26131224344101</v>
      </c>
      <c r="AJ122" s="105">
        <v>251.96103042562342</v>
      </c>
      <c r="AK122" s="105">
        <v>241.26131224344101</v>
      </c>
      <c r="AL122" s="105">
        <v>51.705758363876384</v>
      </c>
      <c r="AM122" s="105">
        <v>51.705758363876384</v>
      </c>
      <c r="AN122" s="105">
        <v>438.39523177842347</v>
      </c>
      <c r="AO122" s="105">
        <v>281.79178878949983</v>
      </c>
      <c r="AP122" s="105">
        <v>269.75981182392422</v>
      </c>
      <c r="AQ122" s="105">
        <v>45.739611784438736</v>
      </c>
      <c r="AR122" s="105">
        <v>275.82564221006214</v>
      </c>
      <c r="AS122" s="105">
        <v>275.82564221006214</v>
      </c>
      <c r="AT122" s="105">
        <v>275.72595840336186</v>
      </c>
      <c r="AU122" s="105">
        <v>281.79178878949983</v>
      </c>
      <c r="AV122" s="105">
        <v>275.72595840336186</v>
      </c>
      <c r="AW122" s="105">
        <v>51.705758363876384</v>
      </c>
      <c r="AX122" s="105">
        <v>275.72595840336186</v>
      </c>
      <c r="AY122" s="105">
        <v>21.875000000000011</v>
      </c>
    </row>
    <row r="123" spans="1:52">
      <c r="A123" s="108"/>
      <c r="B123" s="118">
        <v>2</v>
      </c>
      <c r="C123" s="105">
        <v>0</v>
      </c>
      <c r="D123" s="105">
        <v>0</v>
      </c>
      <c r="E123" s="105">
        <v>0</v>
      </c>
      <c r="F123" s="105">
        <v>24.160671204560046</v>
      </c>
      <c r="G123" s="105">
        <v>0</v>
      </c>
      <c r="H123" s="105">
        <v>386.68947341454708</v>
      </c>
      <c r="I123" s="105">
        <v>271.83061325306664</v>
      </c>
      <c r="J123" s="105">
        <v>137.22603374401405</v>
      </c>
      <c r="K123" s="105">
        <v>143.33787732666656</v>
      </c>
      <c r="L123" s="105">
        <v>124.54817994860103</v>
      </c>
      <c r="M123" s="105">
        <v>68.305739889233394</v>
      </c>
      <c r="N123" s="105">
        <v>71.258282160205113</v>
      </c>
      <c r="O123" s="105">
        <v>76.330695742508496</v>
      </c>
      <c r="P123" s="105">
        <v>39.080045479933148</v>
      </c>
      <c r="Q123" s="105">
        <v>230.08603042562342</v>
      </c>
      <c r="R123" s="105">
        <v>118.08867306827926</v>
      </c>
      <c r="S123" s="105">
        <v>99.787685896394265</v>
      </c>
      <c r="T123" s="105">
        <v>69.908218297774084</v>
      </c>
      <c r="U123" s="105">
        <v>85.131043141508428</v>
      </c>
      <c r="V123" s="105">
        <v>117.3370141244277</v>
      </c>
      <c r="W123" s="105">
        <v>81.307857082592506</v>
      </c>
      <c r="X123" s="105">
        <v>72.799563958228617</v>
      </c>
      <c r="Y123" s="105">
        <v>7.1054273576010019E-15</v>
      </c>
      <c r="Z123" s="105">
        <v>11.719603459424548</v>
      </c>
      <c r="AA123" s="105">
        <v>258.24663974689554</v>
      </c>
      <c r="AB123" s="105">
        <v>171.92910163945999</v>
      </c>
      <c r="AC123" s="105">
        <v>230.08603042562342</v>
      </c>
      <c r="AD123" s="105">
        <v>130.78502788216647</v>
      </c>
      <c r="AE123" s="105">
        <v>68.413002730396826</v>
      </c>
      <c r="AF123" s="105">
        <v>55.316700933283272</v>
      </c>
      <c r="AG123" s="105">
        <v>29.965742771390865</v>
      </c>
      <c r="AH123" s="105">
        <v>86.706508231489437</v>
      </c>
      <c r="AI123" s="105">
        <v>121.94274032428306</v>
      </c>
      <c r="AJ123" s="105">
        <v>83.248734656678906</v>
      </c>
      <c r="AK123" s="105">
        <v>64.565956556070176</v>
      </c>
      <c r="AL123" s="105">
        <v>63.552669066979206</v>
      </c>
      <c r="AM123" s="105">
        <v>230.08603042562342</v>
      </c>
      <c r="AN123" s="105">
        <v>28.160609321272112</v>
      </c>
      <c r="AO123" s="105">
        <v>100.2022299667498</v>
      </c>
      <c r="AP123" s="105">
        <v>68.046157055745198</v>
      </c>
      <c r="AQ123" s="105">
        <v>34.460580462380676</v>
      </c>
      <c r="AR123" s="105">
        <v>0</v>
      </c>
      <c r="AS123" s="105">
        <v>35.527109590285576</v>
      </c>
      <c r="AT123" s="105">
        <v>150.22346440417277</v>
      </c>
      <c r="AU123" s="105">
        <v>118.92921772666305</v>
      </c>
      <c r="AV123" s="105">
        <v>51.635837628347744</v>
      </c>
      <c r="AW123" s="105">
        <v>52.709002702409776</v>
      </c>
      <c r="AX123" s="105">
        <v>230.08603042562342</v>
      </c>
      <c r="AY123" s="105">
        <v>156.23500380174443</v>
      </c>
    </row>
    <row r="124" spans="1:52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29.83075836387637</v>
      </c>
      <c r="I124" s="105">
        <v>118.72887761541122</v>
      </c>
      <c r="J124" s="105">
        <v>95.711187053124135</v>
      </c>
      <c r="K124" s="105">
        <v>29.83075836387637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6.0658303861379466</v>
      </c>
      <c r="R124" s="105">
        <v>0</v>
      </c>
      <c r="S124" s="105">
        <v>0</v>
      </c>
      <c r="T124" s="105">
        <v>0</v>
      </c>
      <c r="U124" s="105">
        <v>29.830758363876363</v>
      </c>
      <c r="V124" s="105">
        <v>0</v>
      </c>
      <c r="W124" s="105">
        <v>0</v>
      </c>
      <c r="X124" s="105">
        <v>0</v>
      </c>
      <c r="Y124" s="105">
        <v>29.83075836387637</v>
      </c>
      <c r="Z124" s="105">
        <v>230.08603042562342</v>
      </c>
      <c r="AA124" s="105">
        <v>6.3828707839174861</v>
      </c>
      <c r="AB124" s="105">
        <v>3.1793234869687694</v>
      </c>
      <c r="AC124" s="105">
        <v>0</v>
      </c>
      <c r="AD124" s="105">
        <v>0</v>
      </c>
      <c r="AE124" s="105">
        <v>0</v>
      </c>
      <c r="AF124" s="105">
        <v>29.830758363876363</v>
      </c>
      <c r="AG124" s="105">
        <v>0</v>
      </c>
      <c r="AH124" s="105">
        <v>29.83075836387637</v>
      </c>
      <c r="AI124" s="105">
        <v>0</v>
      </c>
      <c r="AJ124" s="105">
        <v>0</v>
      </c>
      <c r="AK124" s="105">
        <v>0</v>
      </c>
      <c r="AL124" s="105">
        <v>0</v>
      </c>
      <c r="AM124" s="105">
        <v>0</v>
      </c>
      <c r="AN124" s="105">
        <v>16.710367675627239</v>
      </c>
      <c r="AO124" s="105">
        <v>0</v>
      </c>
      <c r="AP124" s="105">
        <v>0</v>
      </c>
      <c r="AQ124" s="105">
        <v>0</v>
      </c>
      <c r="AR124" s="105">
        <v>6.0658303861379466</v>
      </c>
      <c r="AS124" s="105">
        <v>230.08603042562342</v>
      </c>
      <c r="AT124" s="105">
        <v>19.349199879157268</v>
      </c>
      <c r="AU124" s="105">
        <v>0</v>
      </c>
      <c r="AV124" s="105">
        <v>0</v>
      </c>
      <c r="AW124" s="105">
        <v>0</v>
      </c>
      <c r="AX124" s="105">
        <v>6.0658303861379466</v>
      </c>
      <c r="AY124" s="105">
        <v>24.615854466559981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31.312209280447178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15.312209280447178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0.70661499999999999</v>
      </c>
      <c r="D172" s="133">
        <v>0.45536802452265762</v>
      </c>
      <c r="E172" s="133">
        <v>0.45536802452265762</v>
      </c>
      <c r="F172" s="133">
        <v>0.45536802452265762</v>
      </c>
      <c r="G172" s="133">
        <v>0.45536802452265762</v>
      </c>
      <c r="H172" s="133">
        <v>0.45536802452265762</v>
      </c>
      <c r="I172" s="133">
        <v>0.45536802452265762</v>
      </c>
      <c r="J172" s="133">
        <v>0.45536802452265762</v>
      </c>
      <c r="K172" s="133">
        <v>0.45536802452265762</v>
      </c>
      <c r="L172" s="133">
        <v>0.45536802452265762</v>
      </c>
      <c r="M172" s="133">
        <v>0.45536802452265762</v>
      </c>
      <c r="N172" s="133">
        <v>0.45536802452265762</v>
      </c>
      <c r="O172" s="133">
        <v>0.45536802452265762</v>
      </c>
      <c r="P172" s="133">
        <v>0.45536802452265762</v>
      </c>
      <c r="Q172" s="133">
        <v>0.45536802452265762</v>
      </c>
      <c r="R172" s="133">
        <v>0.45536802452265762</v>
      </c>
      <c r="S172" s="133">
        <v>0.45536802452265762</v>
      </c>
      <c r="T172" s="133">
        <v>0.45536802452265762</v>
      </c>
      <c r="U172" s="133">
        <v>0.45536802452265762</v>
      </c>
      <c r="V172" s="133">
        <v>0.45536802452265762</v>
      </c>
      <c r="W172" s="133">
        <v>0.45536802452265762</v>
      </c>
      <c r="X172" s="133">
        <v>0.45536802452265762</v>
      </c>
      <c r="Y172" s="133">
        <v>0.45536802452265762</v>
      </c>
      <c r="Z172" s="133">
        <v>0.45536802452265762</v>
      </c>
      <c r="AA172" s="133">
        <v>0.45536802452265762</v>
      </c>
      <c r="AB172" s="133">
        <v>0.45536802452265762</v>
      </c>
      <c r="AC172" s="133">
        <v>0.45536802452265762</v>
      </c>
      <c r="AD172" s="133">
        <v>0.45536802452265762</v>
      </c>
      <c r="AE172" s="133">
        <v>0.45536802452265762</v>
      </c>
      <c r="AF172" s="133">
        <v>0.45536802452265762</v>
      </c>
      <c r="AG172" s="133">
        <v>0.45536802452265762</v>
      </c>
      <c r="AH172" s="133">
        <v>0.45536802452265762</v>
      </c>
      <c r="AI172" s="133">
        <v>0.45536802452265762</v>
      </c>
      <c r="AJ172" s="133">
        <v>0.45536802452265762</v>
      </c>
      <c r="AK172" s="133">
        <v>0.45536802452265762</v>
      </c>
      <c r="AL172" s="133">
        <v>0.45536802452265762</v>
      </c>
      <c r="AM172" s="133">
        <v>0.45536802452265762</v>
      </c>
      <c r="AN172" s="133">
        <v>0.45536802452265762</v>
      </c>
      <c r="AO172" s="133">
        <v>0.45536802452265762</v>
      </c>
      <c r="AP172" s="133">
        <v>0.45536802452265762</v>
      </c>
      <c r="AQ172" s="133">
        <v>0.45536802452265762</v>
      </c>
      <c r="AR172" s="133">
        <v>0.45536802452265762</v>
      </c>
      <c r="AS172" s="133">
        <v>0.45536802452265762</v>
      </c>
      <c r="AT172" s="133">
        <v>0.45536802452265762</v>
      </c>
      <c r="AU172" s="133">
        <v>0.45536802452265762</v>
      </c>
      <c r="AV172" s="133">
        <v>0.45536802452265762</v>
      </c>
      <c r="AW172" s="133">
        <v>0.45536802452265762</v>
      </c>
      <c r="AX172" s="133">
        <v>0.45536802452265762</v>
      </c>
      <c r="AY172" s="133">
        <v>0.45536802452265762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1363.2071494000002</v>
      </c>
      <c r="E175" s="123">
        <f t="shared" si="1"/>
        <v>1142.1380996000003</v>
      </c>
      <c r="F175" s="123">
        <f t="shared" si="1"/>
        <v>921.06904980000013</v>
      </c>
      <c r="G175" s="123">
        <f t="shared" si="1"/>
        <v>700.00000000000011</v>
      </c>
      <c r="H175" s="123">
        <f t="shared" si="1"/>
        <v>697.00000000000023</v>
      </c>
      <c r="I175" s="123">
        <f t="shared" si="1"/>
        <v>700.00000000000011</v>
      </c>
      <c r="J175" s="123">
        <f t="shared" si="1"/>
        <v>700.00000000000011</v>
      </c>
      <c r="K175" s="123">
        <f t="shared" si="1"/>
        <v>700.00000000000011</v>
      </c>
      <c r="L175" s="123">
        <f t="shared" si="1"/>
        <v>700.00000000000011</v>
      </c>
      <c r="M175" s="123">
        <f t="shared" si="1"/>
        <v>700.00000000000011</v>
      </c>
      <c r="N175" s="123">
        <f t="shared" si="1"/>
        <v>700.00000000000011</v>
      </c>
      <c r="O175" s="123">
        <f t="shared" si="1"/>
        <v>700.00000000000011</v>
      </c>
      <c r="P175" s="123">
        <f t="shared" si="1"/>
        <v>700.00000000000011</v>
      </c>
      <c r="Q175" s="123">
        <f t="shared" si="1"/>
        <v>700.00000000000011</v>
      </c>
      <c r="R175" s="123">
        <f t="shared" si="1"/>
        <v>700.00000000000011</v>
      </c>
      <c r="S175" s="123">
        <f t="shared" si="1"/>
        <v>700.00000000000011</v>
      </c>
      <c r="T175" s="123">
        <f t="shared" si="1"/>
        <v>665.00000000000011</v>
      </c>
      <c r="U175" s="123">
        <f t="shared" si="1"/>
        <v>630.00000000000011</v>
      </c>
      <c r="V175" s="123">
        <f t="shared" si="1"/>
        <v>595.00000000000011</v>
      </c>
      <c r="W175" s="123">
        <f t="shared" si="1"/>
        <v>560.00000000000011</v>
      </c>
      <c r="X175" s="123">
        <f t="shared" si="1"/>
        <v>420.00000000000011</v>
      </c>
      <c r="Y175" s="123">
        <f t="shared" si="1"/>
        <v>251.00000000000009</v>
      </c>
      <c r="Z175" s="123">
        <f t="shared" si="1"/>
        <v>140.00000000000003</v>
      </c>
      <c r="AA175" s="123">
        <f t="shared" si="1"/>
        <v>0</v>
      </c>
      <c r="AB175" s="123">
        <f t="shared" si="1"/>
        <v>175.00000000000003</v>
      </c>
      <c r="AC175" s="123">
        <f t="shared" si="1"/>
        <v>186.00000000000006</v>
      </c>
      <c r="AD175" s="123">
        <f t="shared" si="1"/>
        <v>230.00000000000009</v>
      </c>
      <c r="AE175" s="123">
        <f t="shared" si="1"/>
        <v>286.00000000000011</v>
      </c>
      <c r="AF175" s="123">
        <f t="shared" si="1"/>
        <v>308.00000000000011</v>
      </c>
      <c r="AG175" s="123">
        <f t="shared" si="1"/>
        <v>336.00000000000017</v>
      </c>
      <c r="AH175" s="123">
        <f t="shared" si="1"/>
        <v>338.00000000000023</v>
      </c>
      <c r="AI175" s="123">
        <f t="shared" si="1"/>
        <v>372.00000000000023</v>
      </c>
      <c r="AJ175" s="123">
        <f t="shared" si="1"/>
        <v>446.00000000000023</v>
      </c>
      <c r="AK175" s="123">
        <f t="shared" si="1"/>
        <v>467.00000000000028</v>
      </c>
      <c r="AL175" s="123">
        <f t="shared" si="1"/>
        <v>532.00000000000034</v>
      </c>
      <c r="AM175" s="123">
        <f t="shared" si="1"/>
        <v>577.00000000000034</v>
      </c>
      <c r="AN175" s="123">
        <f t="shared" si="1"/>
        <v>615.00000000000045</v>
      </c>
      <c r="AO175" s="123">
        <f t="shared" si="1"/>
        <v>679.00000000000045</v>
      </c>
      <c r="AP175" s="123">
        <f t="shared" si="1"/>
        <v>700.00000000000011</v>
      </c>
      <c r="AQ175" s="123">
        <f t="shared" si="1"/>
        <v>700.00000000000011</v>
      </c>
      <c r="AR175" s="123">
        <f t="shared" si="1"/>
        <v>700.00000000000011</v>
      </c>
      <c r="AS175" s="123">
        <f t="shared" si="1"/>
        <v>700.00000000000011</v>
      </c>
      <c r="AT175" s="123">
        <f t="shared" si="1"/>
        <v>693.00000000000023</v>
      </c>
      <c r="AU175" s="123">
        <f t="shared" si="1"/>
        <v>685.00000000000023</v>
      </c>
      <c r="AV175" s="123">
        <f t="shared" si="1"/>
        <v>700.00000000000011</v>
      </c>
      <c r="AW175" s="123">
        <f t="shared" si="1"/>
        <v>700.00000000000011</v>
      </c>
      <c r="AX175" s="123">
        <f t="shared" si="1"/>
        <v>700.00000000000011</v>
      </c>
      <c r="AY175" s="123">
        <f t="shared" si="1"/>
        <v>700.00000000000011</v>
      </c>
    </row>
    <row r="176" spans="1:52">
      <c r="A176" s="124"/>
      <c r="B176" s="135" t="s">
        <v>299</v>
      </c>
      <c r="C176" s="124" t="s">
        <v>293</v>
      </c>
      <c r="D176" s="124">
        <v>153</v>
      </c>
      <c r="E176" s="124">
        <v>120</v>
      </c>
      <c r="F176" s="124">
        <v>113</v>
      </c>
      <c r="G176" s="124">
        <v>178</v>
      </c>
      <c r="H176" s="124">
        <v>140</v>
      </c>
      <c r="I176" s="124">
        <v>139</v>
      </c>
      <c r="J176" s="124">
        <v>148</v>
      </c>
      <c r="K176" s="124">
        <v>136</v>
      </c>
      <c r="L176" s="124">
        <v>121</v>
      </c>
      <c r="M176" s="124">
        <v>150</v>
      </c>
      <c r="N176" s="124">
        <v>162</v>
      </c>
      <c r="O176" s="124">
        <v>138</v>
      </c>
      <c r="P176" s="124">
        <v>126</v>
      </c>
      <c r="Q176" s="124">
        <v>123</v>
      </c>
      <c r="R176" s="124">
        <v>135</v>
      </c>
      <c r="S176" s="124">
        <v>116</v>
      </c>
      <c r="T176" s="124">
        <v>141</v>
      </c>
      <c r="U176" s="124">
        <v>153</v>
      </c>
      <c r="V176" s="124">
        <v>101</v>
      </c>
      <c r="W176" s="124">
        <v>117</v>
      </c>
      <c r="X176" s="124">
        <v>169</v>
      </c>
      <c r="Y176" s="124">
        <v>109</v>
      </c>
      <c r="Z176" s="124">
        <v>140.00000000000003</v>
      </c>
      <c r="AA176" s="124">
        <v>0</v>
      </c>
      <c r="AB176" s="124">
        <v>164</v>
      </c>
      <c r="AC176" s="124">
        <v>131</v>
      </c>
      <c r="AD176" s="124">
        <v>119</v>
      </c>
      <c r="AE176" s="124">
        <v>118</v>
      </c>
      <c r="AF176" s="124">
        <v>112</v>
      </c>
      <c r="AG176" s="124">
        <v>138</v>
      </c>
      <c r="AH176" s="124">
        <v>106</v>
      </c>
      <c r="AI176" s="124">
        <v>101</v>
      </c>
      <c r="AJ176" s="124">
        <v>154</v>
      </c>
      <c r="AK176" s="124">
        <v>110</v>
      </c>
      <c r="AL176" s="124">
        <v>130</v>
      </c>
      <c r="AM176" s="124">
        <v>137</v>
      </c>
      <c r="AN176" s="124">
        <v>111</v>
      </c>
      <c r="AO176" s="124">
        <v>134</v>
      </c>
      <c r="AP176" s="124">
        <v>140</v>
      </c>
      <c r="AQ176" s="124">
        <v>154</v>
      </c>
      <c r="AR176" s="124">
        <v>135</v>
      </c>
      <c r="AS176" s="124">
        <v>182</v>
      </c>
      <c r="AT176" s="124">
        <v>183</v>
      </c>
      <c r="AU176" s="124">
        <v>139</v>
      </c>
      <c r="AV176" s="124">
        <v>171</v>
      </c>
      <c r="AW176" s="124">
        <v>145</v>
      </c>
      <c r="AX176" s="124">
        <v>169</v>
      </c>
      <c r="AY176" s="124">
        <v>128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17.640262002556955</v>
      </c>
      <c r="E177" s="123">
        <f t="shared" si="2"/>
        <v>164.36595586287106</v>
      </c>
      <c r="F177" s="123">
        <f t="shared" si="2"/>
        <v>1.4210854715202004E-14</v>
      </c>
      <c r="G177" s="123">
        <f t="shared" si="2"/>
        <v>0</v>
      </c>
      <c r="H177" s="123">
        <f t="shared" si="2"/>
        <v>286.50381274934364</v>
      </c>
      <c r="I177" s="123">
        <f t="shared" si="2"/>
        <v>429.45193525814057</v>
      </c>
      <c r="J177" s="123">
        <f t="shared" si="2"/>
        <v>396.92599651253903</v>
      </c>
      <c r="K177" s="123">
        <f t="shared" si="2"/>
        <v>359.90579647305356</v>
      </c>
      <c r="L177" s="123">
        <f t="shared" si="2"/>
        <v>372.87411902133596</v>
      </c>
      <c r="M177" s="123">
        <f t="shared" si="2"/>
        <v>270.34818027573442</v>
      </c>
      <c r="N177" s="123">
        <f t="shared" si="2"/>
        <v>201.82224153013289</v>
      </c>
      <c r="O177" s="123">
        <f t="shared" si="2"/>
        <v>165.97979996051455</v>
      </c>
      <c r="P177" s="123">
        <f t="shared" si="2"/>
        <v>0</v>
      </c>
      <c r="Q177" s="123">
        <f t="shared" si="2"/>
        <v>345.44238380268087</v>
      </c>
      <c r="R177" s="123">
        <f t="shared" si="2"/>
        <v>245.91644505707933</v>
      </c>
      <c r="S177" s="123">
        <f t="shared" si="2"/>
        <v>170.47406125439846</v>
      </c>
      <c r="T177" s="123">
        <f t="shared" si="2"/>
        <v>170.47406125439846</v>
      </c>
      <c r="U177" s="123">
        <f t="shared" si="2"/>
        <v>165.97979996051455</v>
      </c>
      <c r="V177" s="123">
        <f t="shared" si="2"/>
        <v>174.96832254828237</v>
      </c>
      <c r="W177" s="123">
        <f t="shared" si="2"/>
        <v>157.50163808965846</v>
      </c>
      <c r="X177" s="123">
        <f t="shared" si="2"/>
        <v>0</v>
      </c>
      <c r="Y177" s="123">
        <f t="shared" si="2"/>
        <v>170.47406125439846</v>
      </c>
      <c r="Z177" s="123">
        <f t="shared" si="2"/>
        <v>188.94812250879693</v>
      </c>
      <c r="AA177" s="123">
        <f t="shared" si="2"/>
        <v>310.91850737483389</v>
      </c>
      <c r="AB177" s="123">
        <f t="shared" si="2"/>
        <v>128.94812250879693</v>
      </c>
      <c r="AC177" s="123">
        <f t="shared" si="2"/>
        <v>340.94812250879693</v>
      </c>
      <c r="AD177" s="123">
        <f t="shared" si="2"/>
        <v>277.42218376319539</v>
      </c>
      <c r="AE177" s="123">
        <f t="shared" si="2"/>
        <v>170.47406125439846</v>
      </c>
      <c r="AF177" s="123">
        <f t="shared" si="2"/>
        <v>170.47406125439846</v>
      </c>
      <c r="AG177" s="123">
        <f t="shared" si="2"/>
        <v>140.4444461204354</v>
      </c>
      <c r="AH177" s="123">
        <f t="shared" si="2"/>
        <v>200.50367638836153</v>
      </c>
      <c r="AI177" s="123">
        <f t="shared" si="2"/>
        <v>140.4444461204354</v>
      </c>
      <c r="AJ177" s="123">
        <f t="shared" si="2"/>
        <v>200.50367638836153</v>
      </c>
      <c r="AK177" s="123">
        <f t="shared" si="2"/>
        <v>177.94812250879693</v>
      </c>
      <c r="AL177" s="123">
        <f t="shared" si="2"/>
        <v>30.029615133963063</v>
      </c>
      <c r="AM177" s="123">
        <f t="shared" si="2"/>
        <v>170.47406125439846</v>
      </c>
      <c r="AN177" s="123">
        <f t="shared" si="2"/>
        <v>286.50381274934364</v>
      </c>
      <c r="AO177" s="123">
        <f t="shared" si="2"/>
        <v>195.9778740037421</v>
      </c>
      <c r="AP177" s="123">
        <f t="shared" si="2"/>
        <v>199.95767396425666</v>
      </c>
      <c r="AQ177" s="123">
        <f t="shared" si="2"/>
        <v>0</v>
      </c>
      <c r="AR177" s="123">
        <f t="shared" si="2"/>
        <v>174.96832254828237</v>
      </c>
      <c r="AS177" s="123">
        <f t="shared" si="2"/>
        <v>340.94812250879693</v>
      </c>
      <c r="AT177" s="123">
        <f t="shared" si="2"/>
        <v>277.92792246931151</v>
      </c>
      <c r="AU177" s="123">
        <f t="shared" si="2"/>
        <v>199.89624501759386</v>
      </c>
      <c r="AV177" s="123">
        <f t="shared" si="2"/>
        <v>165.97979996051455</v>
      </c>
      <c r="AW177" s="123">
        <f t="shared" si="2"/>
        <v>0</v>
      </c>
      <c r="AX177" s="123">
        <f t="shared" si="2"/>
        <v>340.94812250879693</v>
      </c>
      <c r="AY177" s="123">
        <f t="shared" si="2"/>
        <v>128.44238380268084</v>
      </c>
    </row>
    <row r="178" spans="1:51">
      <c r="A178" s="124"/>
      <c r="B178" s="135" t="s">
        <v>299</v>
      </c>
      <c r="C178" s="124" t="s">
        <v>293</v>
      </c>
      <c r="D178" s="124">
        <v>17.640262002556955</v>
      </c>
      <c r="E178" s="124">
        <v>164.36595586287106</v>
      </c>
      <c r="F178" s="124">
        <v>1.4210854715202004E-14</v>
      </c>
      <c r="G178" s="124">
        <v>0</v>
      </c>
      <c r="H178" s="124">
        <v>198</v>
      </c>
      <c r="I178" s="124">
        <v>203</v>
      </c>
      <c r="J178" s="124">
        <v>203</v>
      </c>
      <c r="K178" s="124">
        <v>162</v>
      </c>
      <c r="L178" s="124">
        <v>273</v>
      </c>
      <c r="M178" s="124">
        <v>239</v>
      </c>
      <c r="N178" s="124">
        <v>201.82224153013289</v>
      </c>
      <c r="O178" s="124">
        <v>165.97979996051455</v>
      </c>
      <c r="P178" s="124">
        <v>0</v>
      </c>
      <c r="Q178" s="124">
        <v>270</v>
      </c>
      <c r="R178" s="124">
        <v>245.91644505707933</v>
      </c>
      <c r="S178" s="124">
        <v>170.47406125439846</v>
      </c>
      <c r="T178" s="124">
        <v>170.47406125439846</v>
      </c>
      <c r="U178" s="124">
        <v>165.97979996051455</v>
      </c>
      <c r="V178" s="124">
        <v>174.96832254828237</v>
      </c>
      <c r="W178" s="124">
        <v>157.50163808965846</v>
      </c>
      <c r="X178" s="124">
        <v>0</v>
      </c>
      <c r="Y178" s="124">
        <v>152</v>
      </c>
      <c r="Z178" s="124">
        <v>188.94812250879693</v>
      </c>
      <c r="AA178" s="124">
        <v>212</v>
      </c>
      <c r="AB178" s="124">
        <v>128.94812250879693</v>
      </c>
      <c r="AC178" s="124">
        <v>234</v>
      </c>
      <c r="AD178" s="124">
        <v>277.42218376319539</v>
      </c>
      <c r="AE178" s="124">
        <v>170.47406125439846</v>
      </c>
      <c r="AF178" s="124">
        <v>170.47406125439846</v>
      </c>
      <c r="AG178" s="124">
        <v>140.4444461204354</v>
      </c>
      <c r="AH178" s="124">
        <v>200.50367638836153</v>
      </c>
      <c r="AI178" s="124">
        <v>140.4444461204354</v>
      </c>
      <c r="AJ178" s="124">
        <v>163</v>
      </c>
      <c r="AK178" s="124">
        <v>177.94812250879693</v>
      </c>
      <c r="AL178" s="124">
        <v>30.029615133963063</v>
      </c>
      <c r="AM178" s="124">
        <v>170.47406125439846</v>
      </c>
      <c r="AN178" s="124">
        <v>261</v>
      </c>
      <c r="AO178" s="124">
        <v>162</v>
      </c>
      <c r="AP178" s="124">
        <v>199.95767396425666</v>
      </c>
      <c r="AQ178" s="124">
        <v>0</v>
      </c>
      <c r="AR178" s="124">
        <v>174.96832254828237</v>
      </c>
      <c r="AS178" s="124">
        <v>229</v>
      </c>
      <c r="AT178" s="124">
        <v>253</v>
      </c>
      <c r="AU178" s="124">
        <v>199.89624501759386</v>
      </c>
      <c r="AV178" s="124">
        <v>165.97979996051455</v>
      </c>
      <c r="AW178" s="124">
        <v>0</v>
      </c>
      <c r="AX178" s="124">
        <v>217</v>
      </c>
      <c r="AY178" s="124">
        <v>128.44238380268084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15.170876838541671</v>
      </c>
      <c r="E179" s="123">
        <f t="shared" si="3"/>
        <v>9.9611755364331405</v>
      </c>
      <c r="F179" s="123">
        <f t="shared" si="3"/>
        <v>75.853987171054442</v>
      </c>
      <c r="G179" s="123">
        <f t="shared" si="3"/>
        <v>20.963172653995109</v>
      </c>
      <c r="H179" s="123">
        <f t="shared" si="3"/>
        <v>23.545149042604272</v>
      </c>
      <c r="I179" s="123">
        <f t="shared" si="3"/>
        <v>199.63117065509331</v>
      </c>
      <c r="J179" s="123">
        <f t="shared" si="3"/>
        <v>363.21447115205638</v>
      </c>
      <c r="K179" s="123">
        <f t="shared" si="3"/>
        <v>505.60560341202779</v>
      </c>
      <c r="L179" s="123">
        <f t="shared" si="3"/>
        <v>588.01784794346952</v>
      </c>
      <c r="M179" s="123">
        <f t="shared" si="3"/>
        <v>661.05207679233695</v>
      </c>
      <c r="N179" s="123">
        <f t="shared" si="3"/>
        <v>665.891323310865</v>
      </c>
      <c r="O179" s="123">
        <f t="shared" si="3"/>
        <v>690.53942782322895</v>
      </c>
      <c r="P179" s="123">
        <f t="shared" si="3"/>
        <v>692.19350539421464</v>
      </c>
      <c r="Q179" s="123">
        <f t="shared" si="3"/>
        <v>603.53445754527172</v>
      </c>
      <c r="R179" s="123">
        <f t="shared" si="3"/>
        <v>745.38943407825366</v>
      </c>
      <c r="S179" s="123">
        <f t="shared" si="3"/>
        <v>804.48221003963829</v>
      </c>
      <c r="T179" s="123">
        <f t="shared" si="3"/>
        <v>816.99194817527064</v>
      </c>
      <c r="U179" s="123">
        <f t="shared" si="3"/>
        <v>865.56091212103615</v>
      </c>
      <c r="V179" s="123">
        <f t="shared" si="3"/>
        <v>912.95776282023576</v>
      </c>
      <c r="W179" s="123">
        <f t="shared" si="3"/>
        <v>929.6378060149176</v>
      </c>
      <c r="X179" s="123">
        <f t="shared" si="3"/>
        <v>945.25136502123905</v>
      </c>
      <c r="Y179" s="123">
        <f t="shared" si="3"/>
        <v>854.94710768961295</v>
      </c>
      <c r="Z179" s="123">
        <f t="shared" si="3"/>
        <v>886.85005138356451</v>
      </c>
      <c r="AA179" s="123">
        <f t="shared" si="3"/>
        <v>904.50575424685212</v>
      </c>
      <c r="AB179" s="123">
        <f t="shared" si="3"/>
        <v>989.1308377211833</v>
      </c>
      <c r="AC179" s="123">
        <f t="shared" si="3"/>
        <v>938.03779494862295</v>
      </c>
      <c r="AD179" s="123">
        <f t="shared" si="3"/>
        <v>1038.1305862815798</v>
      </c>
      <c r="AE179" s="123">
        <f t="shared" si="3"/>
        <v>1099.3781636350909</v>
      </c>
      <c r="AF179" s="123">
        <f t="shared" si="3"/>
        <v>1143.2662542217045</v>
      </c>
      <c r="AG179" s="123">
        <f t="shared" si="3"/>
        <v>1131.140361300073</v>
      </c>
      <c r="AH179" s="123">
        <f t="shared" si="3"/>
        <v>1112.9376474367339</v>
      </c>
      <c r="AI179" s="123">
        <f t="shared" si="3"/>
        <v>1133.3239624973164</v>
      </c>
      <c r="AJ179" s="123">
        <f t="shared" si="3"/>
        <v>1148.6211918729884</v>
      </c>
      <c r="AK179" s="123">
        <f t="shared" si="3"/>
        <v>1140.2650003992208</v>
      </c>
      <c r="AL179" s="123">
        <f t="shared" si="3"/>
        <v>1125.9878425974164</v>
      </c>
      <c r="AM179" s="123">
        <f t="shared" si="3"/>
        <v>1059.1605971987035</v>
      </c>
      <c r="AN179" s="123">
        <f t="shared" si="3"/>
        <v>1035.8777257816641</v>
      </c>
      <c r="AO179" s="123">
        <f t="shared" si="3"/>
        <v>1089.9417045902371</v>
      </c>
      <c r="AP179" s="123">
        <f t="shared" si="3"/>
        <v>1129.8895662907414</v>
      </c>
      <c r="AQ179" s="123">
        <f t="shared" si="3"/>
        <v>1179.1962513148476</v>
      </c>
      <c r="AR179" s="123">
        <f t="shared" si="3"/>
        <v>1114.716854424619</v>
      </c>
      <c r="AS179" s="123">
        <f t="shared" si="3"/>
        <v>1091.0812174305336</v>
      </c>
      <c r="AT179" s="123">
        <f t="shared" si="3"/>
        <v>1176.6351260927274</v>
      </c>
      <c r="AU179" s="123">
        <f t="shared" si="3"/>
        <v>1276.3825707193414</v>
      </c>
      <c r="AV179" s="123">
        <f t="shared" si="3"/>
        <v>1330.2484680755185</v>
      </c>
      <c r="AW179" s="123">
        <f t="shared" si="3"/>
        <v>1349.735863472516</v>
      </c>
      <c r="AX179" s="123">
        <f t="shared" si="3"/>
        <v>1244.2830069502763</v>
      </c>
      <c r="AY179" s="123">
        <f t="shared" si="3"/>
        <v>1380.3757982832333</v>
      </c>
    </row>
    <row r="180" spans="1:51">
      <c r="A180" s="124"/>
      <c r="B180" s="135" t="s">
        <v>299</v>
      </c>
      <c r="C180" s="124" t="s">
        <v>293</v>
      </c>
      <c r="D180" s="124">
        <v>15.170876838541671</v>
      </c>
      <c r="E180" s="124">
        <v>9.9611755364331405</v>
      </c>
      <c r="F180" s="124">
        <v>75.853987171054442</v>
      </c>
      <c r="G180" s="124">
        <v>20.963172653995109</v>
      </c>
      <c r="H180" s="124">
        <v>23.545149042604272</v>
      </c>
      <c r="I180" s="124">
        <v>129</v>
      </c>
      <c r="J180" s="124">
        <v>92</v>
      </c>
      <c r="K180" s="124">
        <v>122</v>
      </c>
      <c r="L180" s="124">
        <v>112</v>
      </c>
      <c r="M180" s="124">
        <v>141</v>
      </c>
      <c r="N180" s="124">
        <v>122.5356353474163</v>
      </c>
      <c r="O180" s="124">
        <v>158.66126554747569</v>
      </c>
      <c r="P180" s="124">
        <v>130</v>
      </c>
      <c r="Q180" s="124">
        <v>94</v>
      </c>
      <c r="R180" s="124">
        <v>123</v>
      </c>
      <c r="S180" s="124">
        <v>147.6653799443057</v>
      </c>
      <c r="T180" s="124">
        <v>98</v>
      </c>
      <c r="U180" s="124">
        <v>130.50986273562856</v>
      </c>
      <c r="V180" s="124">
        <v>165.07045131832666</v>
      </c>
      <c r="W180" s="124">
        <v>128.17354941610807</v>
      </c>
      <c r="X180" s="124">
        <v>147</v>
      </c>
      <c r="Y180" s="124">
        <v>110</v>
      </c>
      <c r="Z180" s="124">
        <v>116</v>
      </c>
      <c r="AA180" s="124">
        <v>160</v>
      </c>
      <c r="AB180" s="124">
        <v>154.37696944226022</v>
      </c>
      <c r="AC180" s="124">
        <v>133</v>
      </c>
      <c r="AD180" s="124">
        <v>113.04273911194083</v>
      </c>
      <c r="AE180" s="124">
        <v>102</v>
      </c>
      <c r="AF180" s="124">
        <v>165.63431993651184</v>
      </c>
      <c r="AG180" s="124">
        <v>128.12686859637014</v>
      </c>
      <c r="AH180" s="124">
        <v>161</v>
      </c>
      <c r="AI180" s="124">
        <v>150.09428254071594</v>
      </c>
      <c r="AJ180" s="124">
        <v>161</v>
      </c>
      <c r="AK180" s="124">
        <v>153.54111704019755</v>
      </c>
      <c r="AL180" s="124">
        <v>119.31224780748958</v>
      </c>
      <c r="AM180" s="124">
        <v>151.60184160481992</v>
      </c>
      <c r="AN180" s="124">
        <v>166</v>
      </c>
      <c r="AO180" s="124">
        <v>134</v>
      </c>
      <c r="AP180" s="124">
        <v>104.51935169659133</v>
      </c>
      <c r="AQ180" s="124">
        <v>101</v>
      </c>
      <c r="AR180" s="124">
        <v>152</v>
      </c>
      <c r="AS180" s="124">
        <v>161</v>
      </c>
      <c r="AT180" s="124">
        <v>110</v>
      </c>
      <c r="AU180" s="124">
        <v>128.60963576581901</v>
      </c>
      <c r="AV180" s="124">
        <v>129.58269896615101</v>
      </c>
      <c r="AW180" s="124">
        <v>153</v>
      </c>
      <c r="AX180" s="124">
        <v>97</v>
      </c>
      <c r="AY180" s="124">
        <v>97.634959096460335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11.913824463566868</v>
      </c>
      <c r="E181" s="123">
        <f t="shared" si="4"/>
        <v>90.723337292095678</v>
      </c>
      <c r="F181" s="123">
        <f t="shared" si="4"/>
        <v>25.072498550564948</v>
      </c>
      <c r="G181" s="123">
        <f t="shared" si="4"/>
        <v>28.160609321272112</v>
      </c>
      <c r="H181" s="123">
        <f t="shared" si="4"/>
        <v>238.76406112333012</v>
      </c>
      <c r="I181" s="123">
        <f t="shared" si="4"/>
        <v>349.9372207971382</v>
      </c>
      <c r="J181" s="123">
        <f t="shared" si="4"/>
        <v>280.3378773266665</v>
      </c>
      <c r="K181" s="123">
        <f t="shared" si="4"/>
        <v>244.4823495624631</v>
      </c>
      <c r="L181" s="123">
        <f t="shared" si="4"/>
        <v>221.30573988923339</v>
      </c>
      <c r="M181" s="123">
        <f t="shared" si="4"/>
        <v>174.4275237963287</v>
      </c>
      <c r="N181" s="123">
        <f t="shared" si="4"/>
        <v>176.03557272604843</v>
      </c>
      <c r="O181" s="123">
        <f t="shared" si="4"/>
        <v>191.74131102740887</v>
      </c>
      <c r="P181" s="123">
        <f t="shared" si="4"/>
        <v>49.444851692752486</v>
      </c>
      <c r="Q181" s="123">
        <f t="shared" si="4"/>
        <v>282.08867306827926</v>
      </c>
      <c r="R181" s="123">
        <f t="shared" si="4"/>
        <v>217.78768589639427</v>
      </c>
      <c r="S181" s="123">
        <f t="shared" si="4"/>
        <v>191.57359824207978</v>
      </c>
      <c r="T181" s="123">
        <f t="shared" si="4"/>
        <v>175.30028477763202</v>
      </c>
      <c r="U181" s="123">
        <f t="shared" si="4"/>
        <v>212.78104647391831</v>
      </c>
      <c r="V181" s="123">
        <f t="shared" si="4"/>
        <v>217.37830840091917</v>
      </c>
      <c r="W181" s="123">
        <f t="shared" si="4"/>
        <v>171.97311337433669</v>
      </c>
      <c r="X181" s="123">
        <f t="shared" si="4"/>
        <v>67.809579653731291</v>
      </c>
      <c r="Y181" s="123">
        <f t="shared" si="4"/>
        <v>169.71960345942455</v>
      </c>
      <c r="Z181" s="123">
        <f t="shared" si="4"/>
        <v>159.85568938563679</v>
      </c>
      <c r="AA181" s="123">
        <f t="shared" si="4"/>
        <v>292.57794858036999</v>
      </c>
      <c r="AB181" s="123">
        <f t="shared" si="4"/>
        <v>123.53025682060529</v>
      </c>
      <c r="AC181" s="123">
        <f t="shared" si="4"/>
        <v>278.7850278821665</v>
      </c>
      <c r="AD181" s="123">
        <f t="shared" si="4"/>
        <v>208.45574184233766</v>
      </c>
      <c r="AE181" s="123">
        <f t="shared" si="4"/>
        <v>174.48594256940686</v>
      </c>
      <c r="AF181" s="123">
        <f t="shared" si="4"/>
        <v>183.60006270790271</v>
      </c>
      <c r="AG181" s="123">
        <f t="shared" si="4"/>
        <v>131.47214191792443</v>
      </c>
      <c r="AH181" s="123">
        <f t="shared" si="4"/>
        <v>216.94274032428311</v>
      </c>
      <c r="AI181" s="123">
        <f t="shared" si="4"/>
        <v>197.81254065133606</v>
      </c>
      <c r="AJ181" s="123">
        <f t="shared" si="4"/>
        <v>182.56595655607018</v>
      </c>
      <c r="AK181" s="123">
        <f t="shared" si="4"/>
        <v>166.56330956111796</v>
      </c>
      <c r="AL181" s="123">
        <f t="shared" si="4"/>
        <v>62.773425022078783</v>
      </c>
      <c r="AM181" s="123">
        <f t="shared" si="4"/>
        <v>153.4728186017193</v>
      </c>
      <c r="AN181" s="123">
        <f t="shared" si="4"/>
        <v>263.20222996674983</v>
      </c>
      <c r="AO181" s="123">
        <f t="shared" si="4"/>
        <v>208.04615705574517</v>
      </c>
      <c r="AP181" s="123">
        <f t="shared" si="4"/>
        <v>183.97993215897199</v>
      </c>
      <c r="AQ181" s="123">
        <f t="shared" si="4"/>
        <v>43.679589137047891</v>
      </c>
      <c r="AR181" s="123">
        <f t="shared" si="4"/>
        <v>153.52710959028553</v>
      </c>
      <c r="AS181" s="123">
        <f t="shared" si="4"/>
        <v>294.88487356377721</v>
      </c>
      <c r="AT181" s="123">
        <f t="shared" si="4"/>
        <v>250.86338734052512</v>
      </c>
      <c r="AU181" s="123">
        <f t="shared" si="4"/>
        <v>218.24547339416677</v>
      </c>
      <c r="AV181" s="123">
        <f t="shared" si="4"/>
        <v>178.29170166856082</v>
      </c>
      <c r="AW181" s="123">
        <f t="shared" si="4"/>
        <v>56.867617588526123</v>
      </c>
      <c r="AX181" s="123">
        <f t="shared" si="4"/>
        <v>278.78502788216645</v>
      </c>
      <c r="AY181" s="123">
        <f t="shared" si="4"/>
        <v>110.41098466900635</v>
      </c>
    </row>
    <row r="182" spans="1:51">
      <c r="A182" s="124"/>
      <c r="B182" s="135" t="s">
        <v>299</v>
      </c>
      <c r="C182" s="124" t="s">
        <v>293</v>
      </c>
      <c r="D182" s="124">
        <v>11.913824463566868</v>
      </c>
      <c r="E182" s="124">
        <v>90.723337292095678</v>
      </c>
      <c r="F182" s="124">
        <v>25.072498550564948</v>
      </c>
      <c r="G182" s="124">
        <v>28.160609321272112</v>
      </c>
      <c r="H182" s="124">
        <v>108.12135904435205</v>
      </c>
      <c r="I182" s="124">
        <v>117</v>
      </c>
      <c r="J182" s="124">
        <v>137</v>
      </c>
      <c r="K182" s="124">
        <v>126</v>
      </c>
      <c r="L182" s="124">
        <v>153</v>
      </c>
      <c r="M182" s="124">
        <v>133</v>
      </c>
      <c r="N182" s="124">
        <v>129.5356353474163</v>
      </c>
      <c r="O182" s="124">
        <v>152.66126554747569</v>
      </c>
      <c r="P182" s="124">
        <v>49.444851692752486</v>
      </c>
      <c r="Q182" s="124">
        <v>164</v>
      </c>
      <c r="R182" s="124">
        <v>118</v>
      </c>
      <c r="S182" s="124">
        <v>121.6653799443057</v>
      </c>
      <c r="T182" s="124">
        <v>120</v>
      </c>
      <c r="U182" s="124">
        <v>101.50986273562856</v>
      </c>
      <c r="V182" s="124">
        <v>136.07045131832666</v>
      </c>
      <c r="W182" s="124">
        <v>99.173549416108074</v>
      </c>
      <c r="X182" s="124">
        <v>67.809579653731291</v>
      </c>
      <c r="Y182" s="124">
        <v>158</v>
      </c>
      <c r="Z182" s="124">
        <v>94</v>
      </c>
      <c r="AA182" s="124">
        <v>158</v>
      </c>
      <c r="AB182" s="124">
        <v>123.53025682060529</v>
      </c>
      <c r="AC182" s="124">
        <v>148</v>
      </c>
      <c r="AD182" s="124">
        <v>140.04273911194085</v>
      </c>
      <c r="AE182" s="124">
        <v>149</v>
      </c>
      <c r="AF182" s="124">
        <v>153.63431993651184</v>
      </c>
      <c r="AG182" s="124">
        <v>115.12686859637014</v>
      </c>
      <c r="AH182" s="124">
        <v>95</v>
      </c>
      <c r="AI182" s="124">
        <v>155.09428254071594</v>
      </c>
      <c r="AJ182" s="124">
        <v>118</v>
      </c>
      <c r="AK182" s="124">
        <v>143.54111704019755</v>
      </c>
      <c r="AL182" s="124">
        <v>62.773425022078783</v>
      </c>
      <c r="AM182" s="124">
        <v>108.60184160481994</v>
      </c>
      <c r="AN182" s="124">
        <v>163</v>
      </c>
      <c r="AO182" s="124">
        <v>140</v>
      </c>
      <c r="AP182" s="124">
        <v>149.51935169659131</v>
      </c>
      <c r="AQ182" s="124">
        <v>43.679589137047891</v>
      </c>
      <c r="AR182" s="124">
        <v>118</v>
      </c>
      <c r="AS182" s="124">
        <v>110</v>
      </c>
      <c r="AT182" s="124">
        <v>138</v>
      </c>
      <c r="AU182" s="124">
        <v>166.60963576581901</v>
      </c>
      <c r="AV182" s="124">
        <v>125.58269896615101</v>
      </c>
      <c r="AW182" s="124">
        <v>56.867617588526123</v>
      </c>
      <c r="AX182" s="124">
        <v>104</v>
      </c>
      <c r="AY182" s="124">
        <v>110.41098466900635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164</v>
      </c>
      <c r="AC185" s="123">
        <v>119.99999999999997</v>
      </c>
      <c r="AD185" s="123">
        <v>63.999999999999943</v>
      </c>
      <c r="AE185" s="123">
        <v>6.9999999999999147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11.000000000000028</v>
      </c>
      <c r="AD186" s="105">
        <v>55.000000000000057</v>
      </c>
      <c r="AE186" s="105">
        <v>111.00000000000009</v>
      </c>
      <c r="AF186" s="105">
        <v>112</v>
      </c>
      <c r="AG186" s="105">
        <v>81.999999999999886</v>
      </c>
      <c r="AH186" s="105">
        <v>47.999999999999858</v>
      </c>
      <c r="AI186" s="105">
        <v>8.9999999999998295</v>
      </c>
      <c r="AJ186" s="105">
        <v>22.999999999999801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2.9999999999999716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28.999999999999972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56.000000000000114</v>
      </c>
      <c r="AH187" s="105">
        <v>58.000000000000142</v>
      </c>
      <c r="AI187" s="105">
        <v>92.000000000000171</v>
      </c>
      <c r="AJ187" s="105">
        <v>131.0000000000002</v>
      </c>
      <c r="AK187" s="105">
        <v>110</v>
      </c>
      <c r="AL187" s="105">
        <v>122.99999999999977</v>
      </c>
      <c r="AM187" s="105">
        <v>84.999999999999744</v>
      </c>
      <c r="AN187" s="105">
        <v>20.999999999999716</v>
      </c>
      <c r="AO187" s="105">
        <v>0</v>
      </c>
      <c r="AP187" s="105">
        <v>0</v>
      </c>
      <c r="AQ187" s="105">
        <v>0</v>
      </c>
      <c r="AR187" s="105">
        <v>0</v>
      </c>
      <c r="AS187" s="105">
        <v>6.9999999999999716</v>
      </c>
      <c r="AT187" s="105">
        <v>14.999999999999943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>
        <v>243</v>
      </c>
      <c r="D188" s="105">
        <v>153</v>
      </c>
      <c r="E188" s="105">
        <v>120</v>
      </c>
      <c r="F188" s="105">
        <v>113</v>
      </c>
      <c r="G188" s="105">
        <v>175.00000000000003</v>
      </c>
      <c r="H188" s="105">
        <v>140</v>
      </c>
      <c r="I188" s="105">
        <v>139</v>
      </c>
      <c r="J188" s="105">
        <v>148</v>
      </c>
      <c r="K188" s="105">
        <v>136</v>
      </c>
      <c r="L188" s="105">
        <v>121</v>
      </c>
      <c r="M188" s="105">
        <v>150</v>
      </c>
      <c r="N188" s="105">
        <v>162</v>
      </c>
      <c r="O188" s="105">
        <v>138</v>
      </c>
      <c r="P188" s="105">
        <v>126</v>
      </c>
      <c r="Q188" s="105">
        <v>123</v>
      </c>
      <c r="R188" s="105">
        <v>135</v>
      </c>
      <c r="S188" s="105">
        <v>116</v>
      </c>
      <c r="T188" s="105">
        <v>141</v>
      </c>
      <c r="U188" s="105">
        <v>153</v>
      </c>
      <c r="V188" s="105">
        <v>101</v>
      </c>
      <c r="W188" s="105">
        <v>117</v>
      </c>
      <c r="X188" s="105">
        <v>140.00000000000003</v>
      </c>
      <c r="Y188" s="105">
        <v>109</v>
      </c>
      <c r="Z188" s="105">
        <v>140.00000000000003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7.0000000000002274</v>
      </c>
      <c r="AM188" s="105">
        <v>52.000000000000256</v>
      </c>
      <c r="AN188" s="105">
        <v>90.000000000000284</v>
      </c>
      <c r="AO188" s="105">
        <v>134</v>
      </c>
      <c r="AP188" s="105">
        <v>140</v>
      </c>
      <c r="AQ188" s="105">
        <v>154</v>
      </c>
      <c r="AR188" s="105">
        <v>135</v>
      </c>
      <c r="AS188" s="105">
        <v>175.00000000000003</v>
      </c>
      <c r="AT188" s="105">
        <v>168.00000000000006</v>
      </c>
      <c r="AU188" s="105">
        <v>139</v>
      </c>
      <c r="AV188" s="105">
        <v>171</v>
      </c>
      <c r="AW188" s="105">
        <v>145</v>
      </c>
      <c r="AX188" s="105">
        <v>169</v>
      </c>
      <c r="AY188" s="105">
        <v>128</v>
      </c>
    </row>
    <row r="189" spans="1:51">
      <c r="A189" s="125" t="s">
        <v>133</v>
      </c>
      <c r="B189" s="122">
        <v>1</v>
      </c>
      <c r="C189" s="123">
        <v>53.699634540453602</v>
      </c>
      <c r="D189" s="123">
        <v>17.640262002556955</v>
      </c>
      <c r="E189" s="123">
        <v>107.21204098550849</v>
      </c>
      <c r="F189" s="123">
        <v>0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70.599942233062507</v>
      </c>
      <c r="M189" s="123">
        <v>139.12588097866404</v>
      </c>
      <c r="N189" s="123">
        <v>170.47406125439846</v>
      </c>
      <c r="O189" s="123">
        <v>165.97979996051455</v>
      </c>
      <c r="P189" s="123">
        <v>0</v>
      </c>
      <c r="Q189" s="123">
        <v>95.031677451717599</v>
      </c>
      <c r="R189" s="123">
        <v>170.47406125439846</v>
      </c>
      <c r="S189" s="123">
        <v>170.47406125439846</v>
      </c>
      <c r="T189" s="123">
        <v>170.47406125439846</v>
      </c>
      <c r="U189" s="123">
        <v>165.97979996051455</v>
      </c>
      <c r="V189" s="123">
        <v>170.47406125439846</v>
      </c>
      <c r="W189" s="123">
        <v>157.50163808965846</v>
      </c>
      <c r="X189" s="123">
        <v>0</v>
      </c>
      <c r="Y189" s="123">
        <v>152</v>
      </c>
      <c r="Z189" s="123">
        <v>0</v>
      </c>
      <c r="AA189" s="123">
        <v>41.525938745601536</v>
      </c>
      <c r="AB189" s="123">
        <v>0</v>
      </c>
      <c r="AC189" s="123">
        <v>63.525938745601536</v>
      </c>
      <c r="AD189" s="123">
        <v>170.47406125439846</v>
      </c>
      <c r="AE189" s="123">
        <v>170.47406125439846</v>
      </c>
      <c r="AF189" s="123">
        <v>170.47406125439846</v>
      </c>
      <c r="AG189" s="123">
        <v>140.4444461204354</v>
      </c>
      <c r="AH189" s="123">
        <v>170.47406125439846</v>
      </c>
      <c r="AI189" s="123">
        <v>140.4444461204354</v>
      </c>
      <c r="AJ189" s="123">
        <v>132.97038486603694</v>
      </c>
      <c r="AK189" s="123">
        <v>140.4444461204354</v>
      </c>
      <c r="AL189" s="123">
        <v>0</v>
      </c>
      <c r="AM189" s="123">
        <v>0</v>
      </c>
      <c r="AN189" s="123">
        <v>261</v>
      </c>
      <c r="AO189" s="123">
        <v>136.49618725065636</v>
      </c>
      <c r="AP189" s="123">
        <v>165.97979996051455</v>
      </c>
      <c r="AQ189" s="123">
        <v>0</v>
      </c>
      <c r="AR189" s="123">
        <v>170.47406125439846</v>
      </c>
      <c r="AS189" s="123">
        <v>58.525938745601536</v>
      </c>
      <c r="AT189" s="123">
        <v>141.05187749120307</v>
      </c>
      <c r="AU189" s="123">
        <v>170.47406125439846</v>
      </c>
      <c r="AV189" s="123">
        <v>165.97979996051455</v>
      </c>
      <c r="AW189" s="123">
        <v>0</v>
      </c>
      <c r="AX189" s="123">
        <v>42.031677451717627</v>
      </c>
      <c r="AY189" s="123">
        <v>0</v>
      </c>
    </row>
    <row r="190" spans="1:51">
      <c r="A190" s="108"/>
      <c r="B190" s="118">
        <v>2</v>
      </c>
      <c r="C190" s="105">
        <v>0</v>
      </c>
      <c r="D190" s="105">
        <v>0</v>
      </c>
      <c r="E190" s="105">
        <v>53.699634540453602</v>
      </c>
      <c r="F190" s="105">
        <v>1.4210854715202004E-14</v>
      </c>
      <c r="G190" s="105">
        <v>0</v>
      </c>
      <c r="H190" s="105">
        <v>198</v>
      </c>
      <c r="I190" s="105">
        <v>114.49618725065636</v>
      </c>
      <c r="J190" s="105">
        <v>147.0221259962579</v>
      </c>
      <c r="K190" s="105">
        <v>138.54806474185943</v>
      </c>
      <c r="L190" s="105">
        <v>170.47406125439846</v>
      </c>
      <c r="M190" s="105">
        <v>99.874119021335957</v>
      </c>
      <c r="N190" s="105">
        <v>31.348180275734421</v>
      </c>
      <c r="O190" s="105">
        <v>0</v>
      </c>
      <c r="P190" s="105">
        <v>0</v>
      </c>
      <c r="Q190" s="105">
        <v>170.47406125439846</v>
      </c>
      <c r="R190" s="105">
        <v>75.442383802680865</v>
      </c>
      <c r="S190" s="105">
        <v>0</v>
      </c>
      <c r="T190" s="105">
        <v>0</v>
      </c>
      <c r="U190" s="105">
        <v>0</v>
      </c>
      <c r="V190" s="105">
        <v>4.494261293883909</v>
      </c>
      <c r="W190" s="105">
        <v>0</v>
      </c>
      <c r="X190" s="105">
        <v>0</v>
      </c>
      <c r="Y190" s="105">
        <v>0</v>
      </c>
      <c r="Z190" s="105">
        <v>18.474061254398464</v>
      </c>
      <c r="AA190" s="105">
        <v>170.47406125439846</v>
      </c>
      <c r="AB190" s="105">
        <v>128.94812250879693</v>
      </c>
      <c r="AC190" s="105">
        <v>170.47406125439846</v>
      </c>
      <c r="AD190" s="105">
        <v>106.94812250879693</v>
      </c>
      <c r="AE190" s="105">
        <v>0</v>
      </c>
      <c r="AF190" s="105">
        <v>0</v>
      </c>
      <c r="AG190" s="105">
        <v>0</v>
      </c>
      <c r="AH190" s="105">
        <v>30.029615133963063</v>
      </c>
      <c r="AI190" s="105">
        <v>0</v>
      </c>
      <c r="AJ190" s="105">
        <v>30.029615133963063</v>
      </c>
      <c r="AK190" s="105">
        <v>37.503676388361527</v>
      </c>
      <c r="AL190" s="105">
        <v>30.029615133963063</v>
      </c>
      <c r="AM190" s="105">
        <v>170.47406125439846</v>
      </c>
      <c r="AN190" s="105">
        <v>0</v>
      </c>
      <c r="AO190" s="105">
        <v>25.503812749343638</v>
      </c>
      <c r="AP190" s="105">
        <v>33.977874003742102</v>
      </c>
      <c r="AQ190" s="105">
        <v>0</v>
      </c>
      <c r="AR190" s="105">
        <v>0</v>
      </c>
      <c r="AS190" s="105">
        <v>0</v>
      </c>
      <c r="AT190" s="105">
        <v>111.94812250879693</v>
      </c>
      <c r="AU190" s="105">
        <v>29.422183763195392</v>
      </c>
      <c r="AV190" s="105">
        <v>0</v>
      </c>
      <c r="AW190" s="105">
        <v>0</v>
      </c>
      <c r="AX190" s="105">
        <v>170.47406125439846</v>
      </c>
      <c r="AY190" s="105">
        <v>128.44238380268084</v>
      </c>
    </row>
    <row r="191" spans="1:51">
      <c r="A191" s="108"/>
      <c r="B191" s="119">
        <v>3</v>
      </c>
      <c r="C191" s="105">
        <v>0</v>
      </c>
      <c r="D191" s="105">
        <v>0</v>
      </c>
      <c r="E191" s="105">
        <v>3.4542803369089556</v>
      </c>
      <c r="F191" s="105">
        <v>0</v>
      </c>
      <c r="G191" s="105">
        <v>0</v>
      </c>
      <c r="H191" s="105">
        <v>0</v>
      </c>
      <c r="I191" s="105">
        <v>88.503812749343638</v>
      </c>
      <c r="J191" s="105">
        <v>55.977874003742102</v>
      </c>
      <c r="K191" s="105">
        <v>23.451935258140566</v>
      </c>
      <c r="L191" s="105">
        <v>31.925996512539029</v>
      </c>
      <c r="M191" s="105">
        <v>0</v>
      </c>
      <c r="N191" s="105">
        <v>0</v>
      </c>
      <c r="O191" s="105">
        <v>0</v>
      </c>
      <c r="P191" s="105">
        <v>0</v>
      </c>
      <c r="Q191" s="105">
        <v>4.494261293883909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170.47406125439846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4.494261293883909</v>
      </c>
      <c r="AS191" s="105">
        <v>170.47406125439846</v>
      </c>
      <c r="AT191" s="105">
        <v>0</v>
      </c>
      <c r="AU191" s="105">
        <v>0</v>
      </c>
      <c r="AV191" s="105">
        <v>0</v>
      </c>
      <c r="AW191" s="105">
        <v>0</v>
      </c>
      <c r="AX191" s="105">
        <v>4.494261293883909</v>
      </c>
      <c r="AY191" s="105">
        <v>0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15.170876838541671</v>
      </c>
      <c r="D197" s="105">
        <v>15.170876838541671</v>
      </c>
      <c r="E197" s="105">
        <v>9.9611755364331405</v>
      </c>
      <c r="F197" s="105">
        <v>75.853987171054442</v>
      </c>
      <c r="G197" s="105">
        <v>20.963172653995109</v>
      </c>
      <c r="H197" s="105">
        <v>23.545149042604272</v>
      </c>
      <c r="I197" s="105">
        <v>129</v>
      </c>
      <c r="J197" s="105">
        <v>21.368829344906686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70.631170655093314</v>
      </c>
      <c r="K198" s="105">
        <v>122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112</v>
      </c>
      <c r="M199" s="105">
        <v>103.78552884794362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37.214471152056376</v>
      </c>
      <c r="N200" s="105">
        <v>122.5356353474163</v>
      </c>
      <c r="O200" s="105">
        <v>150.59129748286418</v>
      </c>
      <c r="P200" s="105">
        <v>76.179052951422506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8.0699680646115155</v>
      </c>
      <c r="P201" s="105">
        <v>53.820947048577494</v>
      </c>
      <c r="Q201" s="105">
        <v>94</v>
      </c>
      <c r="R201" s="105">
        <v>108.14482410255505</v>
      </c>
      <c r="S201" s="105">
        <v>109.97095752833269</v>
      </c>
      <c r="T201" s="105">
        <v>60.787217668552557</v>
      </c>
      <c r="U201" s="105">
        <v>30.981737285719618</v>
      </c>
      <c r="V201" s="105">
        <v>154.71123645298923</v>
      </c>
      <c r="W201" s="105">
        <v>47.029809336115392</v>
      </c>
      <c r="X201" s="105">
        <v>11.937033374730589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14.855175897444951</v>
      </c>
      <c r="S202" s="105">
        <v>37.694422415973008</v>
      </c>
      <c r="T202" s="105">
        <v>37.212782331447443</v>
      </c>
      <c r="U202" s="105">
        <v>99.528125449908941</v>
      </c>
      <c r="V202" s="105">
        <v>10.359214865337428</v>
      </c>
      <c r="W202" s="105">
        <v>81.143740079992682</v>
      </c>
      <c r="X202" s="105">
        <v>135.06296662526941</v>
      </c>
      <c r="Y202" s="105">
        <v>110</v>
      </c>
      <c r="Z202" s="105">
        <v>77.761915294792715</v>
      </c>
      <c r="AA202" s="105">
        <v>91.192951349027254</v>
      </c>
      <c r="AB202" s="105">
        <v>67.663207356459139</v>
      </c>
      <c r="AC202" s="105">
        <v>18.912712843450805</v>
      </c>
      <c r="AD202" s="105">
        <v>0</v>
      </c>
      <c r="AE202" s="105">
        <v>33.472600864588181</v>
      </c>
      <c r="AF202" s="105">
        <v>57.203977107148376</v>
      </c>
      <c r="AG202" s="105">
        <v>51.675142840230933</v>
      </c>
      <c r="AH202" s="105">
        <v>0</v>
      </c>
      <c r="AI202" s="105">
        <v>14.860415236915827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38.238084705207285</v>
      </c>
      <c r="AA203" s="105">
        <v>68.807048650972746</v>
      </c>
      <c r="AB203" s="105">
        <v>86.713762085801079</v>
      </c>
      <c r="AC203" s="105">
        <v>114.08728715654919</v>
      </c>
      <c r="AD203" s="105">
        <v>113.04273911194083</v>
      </c>
      <c r="AE203" s="105">
        <v>56.695742668373704</v>
      </c>
      <c r="AF203" s="105">
        <v>108.43034282936347</v>
      </c>
      <c r="AG203" s="105">
        <v>76.451725756139211</v>
      </c>
      <c r="AH203" s="105">
        <v>161</v>
      </c>
      <c r="AI203" s="105">
        <v>103.28392666969984</v>
      </c>
      <c r="AJ203" s="105">
        <v>161</v>
      </c>
      <c r="AK203" s="105">
        <v>96.308740944156625</v>
      </c>
      <c r="AL203" s="105">
        <v>41.330672286194002</v>
      </c>
      <c r="AM203" s="105">
        <v>47.044423304400581</v>
      </c>
      <c r="AN203" s="105">
        <v>59.535996289520213</v>
      </c>
      <c r="AO203" s="105">
        <v>83.611841556489182</v>
      </c>
      <c r="AP203" s="105">
        <v>6.7448781924979357</v>
      </c>
      <c r="AQ203" s="105">
        <v>0</v>
      </c>
      <c r="AR203" s="105">
        <v>0</v>
      </c>
      <c r="AS203" s="105">
        <v>0</v>
      </c>
      <c r="AT203" s="105">
        <v>20.960596102707747</v>
      </c>
      <c r="AU203" s="105">
        <v>21.251261680746239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11.831656467038115</v>
      </c>
      <c r="AF204" s="105">
        <v>0</v>
      </c>
      <c r="AG204" s="105">
        <v>0</v>
      </c>
      <c r="AH204" s="105">
        <v>0</v>
      </c>
      <c r="AI204" s="105">
        <v>31.949940634100273</v>
      </c>
      <c r="AJ204" s="105">
        <v>0</v>
      </c>
      <c r="AK204" s="105">
        <v>57.232376096040923</v>
      </c>
      <c r="AL204" s="105">
        <v>77.981575521295582</v>
      </c>
      <c r="AM204" s="105">
        <v>104.55741830041934</v>
      </c>
      <c r="AN204" s="105">
        <v>106.46400371047979</v>
      </c>
      <c r="AO204" s="105">
        <v>50.388158443510818</v>
      </c>
      <c r="AP204" s="105">
        <v>97.774473504093393</v>
      </c>
      <c r="AQ204" s="105">
        <v>101</v>
      </c>
      <c r="AR204" s="105">
        <v>94.353366276109938</v>
      </c>
      <c r="AS204" s="105">
        <v>102.70955774987777</v>
      </c>
      <c r="AT204" s="105">
        <v>52.485002408776801</v>
      </c>
      <c r="AU204" s="105">
        <v>107.35837408507277</v>
      </c>
      <c r="AV204" s="105">
        <v>129.58269896615101</v>
      </c>
      <c r="AW204" s="105">
        <v>83.76998183832427</v>
      </c>
      <c r="AX204" s="105">
        <v>6.8221201378198657</v>
      </c>
      <c r="AY204" s="105">
        <v>0</v>
      </c>
    </row>
    <row r="205" spans="1:51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57.646633723890062</v>
      </c>
      <c r="AS205" s="105">
        <v>58.290442250122226</v>
      </c>
      <c r="AT205" s="105">
        <v>36.554401488515452</v>
      </c>
      <c r="AU205" s="105">
        <v>0</v>
      </c>
      <c r="AV205" s="105">
        <v>0</v>
      </c>
      <c r="AW205" s="105">
        <v>69.23001816167573</v>
      </c>
      <c r="AX205" s="105">
        <v>90.177879862180134</v>
      </c>
      <c r="AY205" s="105">
        <v>97.634959096460335</v>
      </c>
    </row>
    <row r="206" spans="1:51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6.2989148281250023</v>
      </c>
      <c r="D209" s="123">
        <v>11.913824463566868</v>
      </c>
      <c r="E209" s="123">
        <v>90.723337292095678</v>
      </c>
      <c r="F209" s="123">
        <v>11.913824463566868</v>
      </c>
      <c r="G209" s="123">
        <v>28.160609321272112</v>
      </c>
      <c r="H209" s="123">
        <v>0</v>
      </c>
      <c r="I209" s="123">
        <v>0</v>
      </c>
      <c r="J209" s="123">
        <v>10.134941275052753</v>
      </c>
      <c r="K209" s="123">
        <v>31.686823853143395</v>
      </c>
      <c r="L209" s="123">
        <v>85.167078712485903</v>
      </c>
      <c r="M209" s="123">
        <v>95.798509947685318</v>
      </c>
      <c r="N209" s="123">
        <v>90.726096365381935</v>
      </c>
      <c r="O209" s="123">
        <v>111.08912793567333</v>
      </c>
      <c r="P209" s="123">
        <v>28.160609321272112</v>
      </c>
      <c r="Q209" s="123">
        <v>35.384145533440034</v>
      </c>
      <c r="R209" s="123">
        <v>53.685132705325032</v>
      </c>
      <c r="S209" s="123">
        <v>67.317815446239962</v>
      </c>
      <c r="T209" s="123">
        <v>81.925748966382002</v>
      </c>
      <c r="U209" s="123">
        <v>38.89798967731673</v>
      </c>
      <c r="V209" s="123">
        <v>72.164961519126791</v>
      </c>
      <c r="W209" s="123">
        <v>54.890690591386296</v>
      </c>
      <c r="X209" s="123">
        <v>28.160609321272105</v>
      </c>
      <c r="Y209" s="123">
        <v>141.75321514229475</v>
      </c>
      <c r="Z209" s="123">
        <v>0</v>
      </c>
      <c r="AA209" s="123">
        <v>0</v>
      </c>
      <c r="AB209" s="123">
        <v>28.160609321272112</v>
      </c>
      <c r="AC209" s="123">
        <v>22.687790719552822</v>
      </c>
      <c r="AD209" s="123">
        <v>68.81303101361722</v>
      </c>
      <c r="AE209" s="123">
        <v>111.74009117460716</v>
      </c>
      <c r="AF209" s="123">
        <v>107.26029097262318</v>
      </c>
      <c r="AG209" s="123">
        <v>98.806566914141655</v>
      </c>
      <c r="AH209" s="123">
        <v>31.530078277436232</v>
      </c>
      <c r="AI209" s="123">
        <v>88.680366982781081</v>
      </c>
      <c r="AJ209" s="123">
        <v>72.66007718794387</v>
      </c>
      <c r="AK209" s="123">
        <v>108.37643257248078</v>
      </c>
      <c r="AL209" s="123">
        <v>28.160609321272112</v>
      </c>
      <c r="AM209" s="123">
        <v>0</v>
      </c>
      <c r="AN209" s="123">
        <v>138.56183115658033</v>
      </c>
      <c r="AO209" s="123">
        <v>85.426661545974099</v>
      </c>
      <c r="AP209" s="123">
        <v>112.45923875567931</v>
      </c>
      <c r="AQ209" s="123">
        <v>24.911255123725596</v>
      </c>
      <c r="AR209" s="123">
        <v>114.6963548138872</v>
      </c>
      <c r="AS209" s="123">
        <v>0</v>
      </c>
      <c r="AT209" s="123">
        <v>37.305786075081372</v>
      </c>
      <c r="AU209" s="123">
        <v>101.83698097337155</v>
      </c>
      <c r="AV209" s="123">
        <v>97.460170713196703</v>
      </c>
      <c r="AW209" s="123">
        <v>28.160609321272112</v>
      </c>
      <c r="AX209" s="123">
        <v>0</v>
      </c>
      <c r="AY209" s="123">
        <v>11.913824463566868</v>
      </c>
    </row>
    <row r="210" spans="1:51">
      <c r="A210" s="108"/>
      <c r="B210" s="118">
        <v>2</v>
      </c>
      <c r="C210" s="105">
        <v>0</v>
      </c>
      <c r="D210" s="109">
        <v>0</v>
      </c>
      <c r="E210" s="109">
        <v>0</v>
      </c>
      <c r="F210" s="109">
        <v>13.158674086998078</v>
      </c>
      <c r="G210" s="109">
        <v>0</v>
      </c>
      <c r="H210" s="109">
        <v>91.874574186646811</v>
      </c>
      <c r="I210" s="109">
        <v>52.336456838110976</v>
      </c>
      <c r="J210" s="109">
        <v>74.737685844922808</v>
      </c>
      <c r="K210" s="109">
        <v>78.066391289151369</v>
      </c>
      <c r="L210" s="109">
        <v>67.832921287514097</v>
      </c>
      <c r="M210" s="109">
        <v>37.201490052314682</v>
      </c>
      <c r="N210" s="109">
        <v>38.809538982034368</v>
      </c>
      <c r="O210" s="109">
        <v>41.572137611802368</v>
      </c>
      <c r="P210" s="109">
        <v>21.284242371480374</v>
      </c>
      <c r="Q210" s="109">
        <v>125.31220928044718</v>
      </c>
      <c r="R210" s="109">
        <v>64.314867294674968</v>
      </c>
      <c r="S210" s="109">
        <v>54.347564498065736</v>
      </c>
      <c r="T210" s="109">
        <v>38.07425103361799</v>
      </c>
      <c r="U210" s="109">
        <v>46.365088200606593</v>
      </c>
      <c r="V210" s="109">
        <v>63.905489799199877</v>
      </c>
      <c r="W210" s="109">
        <v>44.282858824721778</v>
      </c>
      <c r="X210" s="109">
        <v>39.648970332459186</v>
      </c>
      <c r="Y210" s="109">
        <v>3.8698429383809861E-15</v>
      </c>
      <c r="Z210" s="109">
        <v>0</v>
      </c>
      <c r="AA210" s="109">
        <v>137.4700540787685</v>
      </c>
      <c r="AB210" s="109">
        <v>93.638086267943862</v>
      </c>
      <c r="AC210" s="109">
        <v>125.31220928044718</v>
      </c>
      <c r="AD210" s="109">
        <v>71.229708098323627</v>
      </c>
      <c r="AE210" s="109">
        <v>37.259908825392834</v>
      </c>
      <c r="AF210" s="109">
        <v>30.127244106183415</v>
      </c>
      <c r="AG210" s="109">
        <v>16.320301682228497</v>
      </c>
      <c r="AH210" s="109">
        <v>47.223136864858532</v>
      </c>
      <c r="AI210" s="109">
        <v>66.413915557934857</v>
      </c>
      <c r="AJ210" s="109">
        <v>45.339922812056123</v>
      </c>
      <c r="AK210" s="109">
        <v>35.164684467716761</v>
      </c>
      <c r="AL210" s="109">
        <v>34.612815700806671</v>
      </c>
      <c r="AM210" s="109">
        <v>108.60184160481994</v>
      </c>
      <c r="AN210" s="109">
        <v>15.33716828529009</v>
      </c>
      <c r="AO210" s="109">
        <v>54.573338454025894</v>
      </c>
      <c r="AP210" s="109">
        <v>37.060112940912006</v>
      </c>
      <c r="AQ210" s="109">
        <v>18.768334013322296</v>
      </c>
      <c r="AR210" s="109">
        <v>0</v>
      </c>
      <c r="AS210" s="109">
        <v>0</v>
      </c>
      <c r="AT210" s="109">
        <v>81.816502181494826</v>
      </c>
      <c r="AU210" s="109">
        <v>64.772654792447454</v>
      </c>
      <c r="AV210" s="109">
        <v>28.122528252954318</v>
      </c>
      <c r="AW210" s="109">
        <v>28.707008267254011</v>
      </c>
      <c r="AX210" s="109">
        <v>100.6963548138872</v>
      </c>
      <c r="AY210" s="109">
        <v>85.090578759254157</v>
      </c>
    </row>
    <row r="211" spans="1:51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16.24678485770524</v>
      </c>
      <c r="I211" s="109">
        <v>64.663543161889024</v>
      </c>
      <c r="J211" s="109">
        <v>52.127372880024431</v>
      </c>
      <c r="K211" s="109">
        <v>16.24678485770524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3.3036451861128002</v>
      </c>
      <c r="R211" s="109">
        <v>0</v>
      </c>
      <c r="S211" s="109">
        <v>0</v>
      </c>
      <c r="T211" s="109">
        <v>0</v>
      </c>
      <c r="U211" s="109">
        <v>16.246784857705237</v>
      </c>
      <c r="V211" s="109">
        <v>0</v>
      </c>
      <c r="W211" s="109">
        <v>0</v>
      </c>
      <c r="X211" s="109">
        <v>0</v>
      </c>
      <c r="Y211" s="109">
        <v>16.24678485770524</v>
      </c>
      <c r="Z211" s="109">
        <v>94</v>
      </c>
      <c r="AA211" s="109">
        <v>3.4763155242615928</v>
      </c>
      <c r="AB211" s="109">
        <v>1.7315612313893134</v>
      </c>
      <c r="AC211" s="109">
        <v>0</v>
      </c>
      <c r="AD211" s="109">
        <v>0</v>
      </c>
      <c r="AE211" s="109">
        <v>0</v>
      </c>
      <c r="AF211" s="109">
        <v>16.246784857705237</v>
      </c>
      <c r="AG211" s="109">
        <v>0</v>
      </c>
      <c r="AH211" s="109">
        <v>16.24678485770524</v>
      </c>
      <c r="AI211" s="109">
        <v>0</v>
      </c>
      <c r="AJ211" s="109">
        <v>0</v>
      </c>
      <c r="AK211" s="109">
        <v>0</v>
      </c>
      <c r="AL211" s="109">
        <v>0</v>
      </c>
      <c r="AM211" s="109">
        <v>0</v>
      </c>
      <c r="AN211" s="109">
        <v>9.1010005581295879</v>
      </c>
      <c r="AO211" s="109">
        <v>0</v>
      </c>
      <c r="AP211" s="109">
        <v>0</v>
      </c>
      <c r="AQ211" s="109">
        <v>0</v>
      </c>
      <c r="AR211" s="109">
        <v>3.3036451861128002</v>
      </c>
      <c r="AS211" s="109">
        <v>110</v>
      </c>
      <c r="AT211" s="109">
        <v>10.538192954091377</v>
      </c>
      <c r="AU211" s="109">
        <v>0</v>
      </c>
      <c r="AV211" s="109">
        <v>0</v>
      </c>
      <c r="AW211" s="109">
        <v>0</v>
      </c>
      <c r="AX211" s="109">
        <v>3.3036451861128002</v>
      </c>
      <c r="AY211" s="109">
        <v>13.406581446185323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17.053630396969918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8.3395187893324412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6474.7640986815413</v>
      </c>
      <c r="E259" s="123">
        <f t="shared" ref="E259:AX259" si="5">F$14*$B$259</f>
        <v>49305.09166118539</v>
      </c>
      <c r="F259" s="123">
        <f t="shared" si="5"/>
        <v>13626.062225096821</v>
      </c>
      <c r="G259" s="123">
        <f t="shared" si="5"/>
        <v>15304.346877692777</v>
      </c>
      <c r="H259" s="123">
        <f t="shared" si="5"/>
        <v>129760.26092581065</v>
      </c>
      <c r="I259" s="123">
        <f t="shared" si="5"/>
        <v>190179.14532302602</v>
      </c>
      <c r="J259" s="123">
        <f t="shared" si="5"/>
        <v>152354.23596898143</v>
      </c>
      <c r="K259" s="123">
        <f t="shared" si="5"/>
        <v>132867.95894543707</v>
      </c>
      <c r="L259" s="123">
        <f t="shared" si="5"/>
        <v>120272.24875176385</v>
      </c>
      <c r="M259" s="123">
        <f t="shared" si="5"/>
        <v>94795.510237043243</v>
      </c>
      <c r="N259" s="123">
        <f t="shared" si="5"/>
        <v>95669.430908857088</v>
      </c>
      <c r="O259" s="123">
        <f t="shared" si="5"/>
        <v>104204.97302699997</v>
      </c>
      <c r="P259" s="123">
        <f t="shared" si="5"/>
        <v>26871.61889818708</v>
      </c>
      <c r="Q259" s="123">
        <f t="shared" si="5"/>
        <v>153305.73474643825</v>
      </c>
      <c r="R259" s="123">
        <f t="shared" si="5"/>
        <v>118360.30437490012</v>
      </c>
      <c r="S259" s="123">
        <f t="shared" si="5"/>
        <v>104113.82675195961</v>
      </c>
      <c r="T259" s="123">
        <f t="shared" si="5"/>
        <v>95269.826564747549</v>
      </c>
      <c r="U259" s="123">
        <f t="shared" si="5"/>
        <v>115639.36373263842</v>
      </c>
      <c r="V259" s="123">
        <f t="shared" si="5"/>
        <v>118137.82143345542</v>
      </c>
      <c r="W259" s="123">
        <f t="shared" si="5"/>
        <v>93461.620474579337</v>
      </c>
      <c r="X259" s="123">
        <f t="shared" si="5"/>
        <v>36852.232734442907</v>
      </c>
      <c r="Y259" s="123">
        <f t="shared" si="5"/>
        <v>92236.913401068567</v>
      </c>
      <c r="Z259" s="123">
        <f t="shared" si="5"/>
        <v>86876.206861136932</v>
      </c>
      <c r="AA259" s="123">
        <f t="shared" si="5"/>
        <v>159006.30425831527</v>
      </c>
      <c r="AB259" s="123">
        <f t="shared" si="5"/>
        <v>67134.552335304892</v>
      </c>
      <c r="AC259" s="123">
        <f t="shared" si="5"/>
        <v>151510.3143664219</v>
      </c>
      <c r="AD259" s="123">
        <f t="shared" si="5"/>
        <v>113288.70570254393</v>
      </c>
      <c r="AE259" s="123">
        <f t="shared" si="5"/>
        <v>94827.25888129868</v>
      </c>
      <c r="AF259" s="123">
        <f t="shared" si="5"/>
        <v>99780.477559672247</v>
      </c>
      <c r="AG259" s="123">
        <f t="shared" si="5"/>
        <v>71450.700576470175</v>
      </c>
      <c r="AH259" s="123">
        <f t="shared" si="5"/>
        <v>117901.10478937867</v>
      </c>
      <c r="AI259" s="123">
        <f t="shared" si="5"/>
        <v>107504.4827456522</v>
      </c>
      <c r="AJ259" s="123">
        <f t="shared" si="5"/>
        <v>99218.475542050903</v>
      </c>
      <c r="AK259" s="123">
        <f t="shared" si="5"/>
        <v>90521.573504955595</v>
      </c>
      <c r="AL259" s="123">
        <f t="shared" si="5"/>
        <v>34115.251565704923</v>
      </c>
      <c r="AM259" s="123">
        <f t="shared" si="5"/>
        <v>83407.330622057329</v>
      </c>
      <c r="AN259" s="123">
        <f t="shared" si="5"/>
        <v>143041.58622557245</v>
      </c>
      <c r="AO259" s="123">
        <f t="shared" si="5"/>
        <v>113066.11010532787</v>
      </c>
      <c r="AP259" s="123">
        <f t="shared" si="5"/>
        <v>99986.923868453334</v>
      </c>
      <c r="AQ259" s="123">
        <f t="shared" si="5"/>
        <v>23738.39202135149</v>
      </c>
      <c r="AR259" s="123">
        <f t="shared" si="5"/>
        <v>83436.83595384442</v>
      </c>
      <c r="AS259" s="123">
        <f t="shared" si="5"/>
        <v>160260.04063042605</v>
      </c>
      <c r="AT259" s="123">
        <f t="shared" si="5"/>
        <v>136335.83900729904</v>
      </c>
      <c r="AU259" s="123">
        <f t="shared" si="5"/>
        <v>118609.09652929747</v>
      </c>
      <c r="AV259" s="123">
        <f t="shared" si="5"/>
        <v>96895.561336046725</v>
      </c>
      <c r="AW259" s="123">
        <f t="shared" si="5"/>
        <v>30905.64326054402</v>
      </c>
      <c r="AX259" s="123">
        <f t="shared" si="5"/>
        <v>151510.31436642187</v>
      </c>
      <c r="AY259" s="123">
        <f>AZ$14*$B$259</f>
        <v>60004.667839543741</v>
      </c>
      <c r="AZ259" s="138">
        <f>SUM($D259:$AY259)</f>
        <v>4653397.0425180858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72612.428964000006</v>
      </c>
      <c r="E260" s="124">
        <f t="shared" ref="E260:AY260" si="6">(E$175-E$176+E$177-E$178+E$179-E$180+E$181-E$182)*$B$260</f>
        <v>61328.285975999999</v>
      </c>
      <c r="F260" s="124">
        <f t="shared" si="6"/>
        <v>48484.142988000007</v>
      </c>
      <c r="G260" s="124">
        <f t="shared" si="6"/>
        <v>31320.000000000007</v>
      </c>
      <c r="H260" s="124">
        <f t="shared" si="6"/>
        <v>46568.790889699318</v>
      </c>
      <c r="I260" s="124">
        <f t="shared" si="6"/>
        <v>65461.219602622339</v>
      </c>
      <c r="J260" s="124">
        <f t="shared" si="6"/>
        <v>69628.700699475725</v>
      </c>
      <c r="K260" s="124">
        <f t="shared" si="6"/>
        <v>75839.624966852673</v>
      </c>
      <c r="L260" s="124">
        <f t="shared" si="6"/>
        <v>73391.862411242342</v>
      </c>
      <c r="M260" s="124">
        <f t="shared" si="6"/>
        <v>68569.666851863993</v>
      </c>
      <c r="N260" s="124">
        <f t="shared" si="6"/>
        <v>67671.337520524859</v>
      </c>
      <c r="O260" s="124">
        <f t="shared" si="6"/>
        <v>67977.492465341173</v>
      </c>
      <c r="P260" s="124">
        <f t="shared" si="6"/>
        <v>68171.610323652887</v>
      </c>
      <c r="Q260" s="124">
        <f t="shared" si="6"/>
        <v>76803.930864973925</v>
      </c>
      <c r="R260" s="124">
        <f t="shared" si="6"/>
        <v>77230.627198478905</v>
      </c>
      <c r="S260" s="124">
        <f t="shared" si="6"/>
        <v>78643.502903586399</v>
      </c>
      <c r="T260" s="124">
        <f t="shared" si="6"/>
        <v>77897.533977174156</v>
      </c>
      <c r="U260" s="124">
        <f t="shared" si="6"/>
        <v>79399.333987421865</v>
      </c>
      <c r="V260" s="124">
        <f t="shared" si="6"/>
        <v>79391.71011507012</v>
      </c>
      <c r="W260" s="124">
        <f t="shared" si="6"/>
        <v>79035.829233422293</v>
      </c>
      <c r="X260" s="124">
        <f t="shared" si="6"/>
        <v>62955.081901274345</v>
      </c>
      <c r="Y260" s="124">
        <f t="shared" si="6"/>
        <v>55028.446344206168</v>
      </c>
      <c r="Z260" s="124">
        <f t="shared" si="6"/>
        <v>50202.344446152078</v>
      </c>
      <c r="AA260" s="124">
        <f t="shared" si="6"/>
        <v>58680.132612123358</v>
      </c>
      <c r="AB260" s="124">
        <f t="shared" si="6"/>
        <v>50745.232096735381</v>
      </c>
      <c r="AC260" s="124">
        <f t="shared" si="6"/>
        <v>65866.256720375182</v>
      </c>
      <c r="AD260" s="124">
        <f t="shared" si="6"/>
        <v>66270.050994002144</v>
      </c>
      <c r="AE260" s="124">
        <f t="shared" si="6"/>
        <v>71451.846372269865</v>
      </c>
      <c r="AF260" s="124">
        <f t="shared" si="6"/>
        <v>72215.860623394998</v>
      </c>
      <c r="AG260" s="124">
        <f t="shared" si="6"/>
        <v>73041.52596151545</v>
      </c>
      <c r="AH260" s="124">
        <f t="shared" si="6"/>
        <v>78352.82326566102</v>
      </c>
      <c r="AI260" s="124">
        <f t="shared" si="6"/>
        <v>77816.876284033249</v>
      </c>
      <c r="AJ260" s="124">
        <f t="shared" si="6"/>
        <v>82901.449489045219</v>
      </c>
      <c r="AK260" s="124">
        <f t="shared" si="6"/>
        <v>82004.764552796638</v>
      </c>
      <c r="AL260" s="124">
        <f t="shared" si="6"/>
        <v>84520.535687395633</v>
      </c>
      <c r="AM260" s="124">
        <f t="shared" si="6"/>
        <v>83545.783955446983</v>
      </c>
      <c r="AN260" s="124">
        <f t="shared" si="6"/>
        <v>89975.026109865474</v>
      </c>
      <c r="AO260" s="124">
        <f t="shared" si="6"/>
        <v>96177.944138983483</v>
      </c>
      <c r="AP260" s="124">
        <f t="shared" si="6"/>
        <v>97189.847703391861</v>
      </c>
      <c r="AQ260" s="124">
        <f t="shared" si="6"/>
        <v>97451.775078890874</v>
      </c>
      <c r="AR260" s="124">
        <f t="shared" si="6"/>
        <v>93794.637840894284</v>
      </c>
      <c r="AS260" s="124">
        <f t="shared" si="6"/>
        <v>104694.85281018648</v>
      </c>
      <c r="AT260" s="124">
        <f t="shared" si="6"/>
        <v>102865.58615415385</v>
      </c>
      <c r="AU260" s="124">
        <f t="shared" si="6"/>
        <v>104724.52635491222</v>
      </c>
      <c r="AV260" s="124">
        <f t="shared" si="6"/>
        <v>106942.48630870666</v>
      </c>
      <c r="AW260" s="124">
        <f t="shared" si="6"/>
        <v>105104.15180835096</v>
      </c>
      <c r="AX260" s="124">
        <f t="shared" si="6"/>
        <v>118620.96944047438</v>
      </c>
      <c r="AY260" s="124">
        <f t="shared" si="6"/>
        <v>111284.4503512064</v>
      </c>
      <c r="AZ260" s="140">
        <f>SUM($D260:$AY260)</f>
        <v>3709852.8973458475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5">
      <c r="A1" s="101" t="s">
        <v>284</v>
      </c>
    </row>
    <row r="2" spans="1:55">
      <c r="A2" s="99" t="s">
        <v>285</v>
      </c>
      <c r="B2" s="106" t="s">
        <v>46</v>
      </c>
    </row>
    <row r="3" spans="1:55">
      <c r="A3" s="99" t="s">
        <v>286</v>
      </c>
      <c r="B3" s="107">
        <v>10000</v>
      </c>
      <c r="C3" s="108"/>
    </row>
    <row r="4" spans="1:55">
      <c r="B4" s="109"/>
      <c r="C4" s="109"/>
    </row>
    <row r="5" spans="1:55">
      <c r="C5" s="110" t="s">
        <v>287</v>
      </c>
    </row>
    <row r="6" spans="1:55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5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5">
      <c r="A8" s="101" t="s">
        <v>292</v>
      </c>
      <c r="B8" s="113"/>
      <c r="AY8" s="109"/>
    </row>
    <row r="9" spans="1:55">
      <c r="A9" s="114" t="s">
        <v>125</v>
      </c>
      <c r="B9" s="115">
        <v>1</v>
      </c>
      <c r="C9" s="116" t="s">
        <v>293</v>
      </c>
      <c r="D9" s="116">
        <v>194.99999999999997</v>
      </c>
      <c r="E9" s="116">
        <v>194.99999999999997</v>
      </c>
      <c r="F9" s="116">
        <v>194.99999999999997</v>
      </c>
      <c r="G9" s="116">
        <v>194.99999999999997</v>
      </c>
      <c r="H9" s="116">
        <v>194.99999999999997</v>
      </c>
      <c r="I9" s="116">
        <v>194.99999999999997</v>
      </c>
      <c r="J9" s="116">
        <v>194.99999999999997</v>
      </c>
      <c r="K9" s="116">
        <v>194.99999999999997</v>
      </c>
      <c r="L9" s="116">
        <v>194.99999999999997</v>
      </c>
      <c r="M9" s="116">
        <v>194.99999999999997</v>
      </c>
      <c r="N9" s="116">
        <v>194.99999999999997</v>
      </c>
      <c r="O9" s="116">
        <v>194.99999999999997</v>
      </c>
      <c r="P9" s="116">
        <v>194.99999999999997</v>
      </c>
      <c r="Q9" s="116">
        <v>194.99999999999997</v>
      </c>
      <c r="R9" s="116">
        <v>194.99999999999997</v>
      </c>
      <c r="S9" s="116">
        <v>194.99999999999997</v>
      </c>
      <c r="T9" s="116">
        <v>194.99999999999997</v>
      </c>
      <c r="U9" s="116">
        <v>194.99999999999997</v>
      </c>
      <c r="V9" s="116">
        <v>194.99999999999997</v>
      </c>
      <c r="W9" s="116">
        <v>194.99999999999997</v>
      </c>
      <c r="X9" s="116">
        <v>194.99999999999997</v>
      </c>
      <c r="Y9" s="116">
        <v>194.99999999999997</v>
      </c>
      <c r="Z9" s="116">
        <v>194.99999999999997</v>
      </c>
      <c r="AA9" s="116">
        <v>194.99999999999997</v>
      </c>
      <c r="AB9" s="116">
        <v>194.99999999999997</v>
      </c>
      <c r="AC9" s="116">
        <v>194.99999999999997</v>
      </c>
      <c r="AD9" s="116">
        <v>194.99999999999997</v>
      </c>
      <c r="AE9" s="116">
        <v>194.99999999999997</v>
      </c>
      <c r="AF9" s="116">
        <v>194.99999999999997</v>
      </c>
      <c r="AG9" s="116">
        <v>194.99999999999997</v>
      </c>
      <c r="AH9" s="116">
        <v>194.99999999999997</v>
      </c>
      <c r="AI9" s="116">
        <v>194.99999999999997</v>
      </c>
      <c r="AJ9" s="116">
        <v>194.99999999999997</v>
      </c>
      <c r="AK9" s="116">
        <v>194.99999999999997</v>
      </c>
      <c r="AL9" s="116">
        <v>194.99999999999997</v>
      </c>
      <c r="AM9" s="116">
        <v>194.99999999999997</v>
      </c>
      <c r="AN9" s="116">
        <v>155.99999999999997</v>
      </c>
      <c r="AO9" s="116">
        <v>155.99999999999997</v>
      </c>
      <c r="AP9" s="116">
        <v>155.99999999999997</v>
      </c>
      <c r="AQ9" s="116">
        <v>155.99999999999997</v>
      </c>
      <c r="AR9" s="116">
        <v>194.99999999999997</v>
      </c>
      <c r="AS9" s="116">
        <v>194.99999999999997</v>
      </c>
      <c r="AT9" s="116">
        <v>194.99999999999997</v>
      </c>
      <c r="AU9" s="116">
        <v>194.99999999999997</v>
      </c>
      <c r="AV9" s="116">
        <v>194.99999999999997</v>
      </c>
      <c r="AW9" s="116">
        <v>194.99999999999997</v>
      </c>
      <c r="AX9" s="116">
        <v>194.99999999999997</v>
      </c>
      <c r="AY9" s="116">
        <v>194.99999999999997</v>
      </c>
    </row>
    <row r="10" spans="1:55">
      <c r="A10" s="117" t="s">
        <v>133</v>
      </c>
      <c r="B10" s="118">
        <v>1</v>
      </c>
      <c r="C10" s="105" t="s">
        <v>293</v>
      </c>
      <c r="D10" s="99">
        <v>48.784215952378801</v>
      </c>
      <c r="E10" s="99">
        <v>163.70275463397408</v>
      </c>
      <c r="F10" s="99">
        <v>136.41896219497838</v>
      </c>
      <c r="G10" s="99">
        <v>213.8</v>
      </c>
      <c r="H10" s="99">
        <v>213.8</v>
      </c>
      <c r="I10" s="99">
        <v>163.70275463397408</v>
      </c>
      <c r="J10" s="99">
        <v>136.41896219497838</v>
      </c>
      <c r="K10" s="99">
        <v>213.8</v>
      </c>
      <c r="L10" s="99">
        <v>136.41896219497838</v>
      </c>
      <c r="M10" s="99">
        <v>163.70275463397408</v>
      </c>
      <c r="N10" s="99">
        <v>213.8</v>
      </c>
      <c r="O10" s="99">
        <v>213.8</v>
      </c>
      <c r="P10" s="99">
        <v>136.41896219497838</v>
      </c>
      <c r="Q10" s="99">
        <v>163.70275463397408</v>
      </c>
      <c r="R10" s="99">
        <v>136.41896219497838</v>
      </c>
      <c r="S10" s="99">
        <v>163.70275463397408</v>
      </c>
      <c r="T10" s="99">
        <v>213.8</v>
      </c>
      <c r="U10" s="99">
        <v>213.8</v>
      </c>
      <c r="V10" s="99">
        <v>213.8</v>
      </c>
      <c r="W10" s="99">
        <v>213.8</v>
      </c>
      <c r="X10" s="99">
        <v>136.41896219497838</v>
      </c>
      <c r="Y10" s="99">
        <v>213.8</v>
      </c>
      <c r="Z10" s="99">
        <v>213.8</v>
      </c>
      <c r="AA10" s="99">
        <v>213.8</v>
      </c>
      <c r="AB10" s="99">
        <v>213.8</v>
      </c>
      <c r="AC10" s="99">
        <v>163.70275463397408</v>
      </c>
      <c r="AD10" s="99">
        <v>213.8</v>
      </c>
      <c r="AE10" s="99">
        <v>163.70275463397408</v>
      </c>
      <c r="AF10" s="99">
        <v>213.8</v>
      </c>
      <c r="AG10" s="99">
        <v>213.8</v>
      </c>
      <c r="AH10" s="99">
        <v>136.41896219497838</v>
      </c>
      <c r="AI10" s="99">
        <v>213.8</v>
      </c>
      <c r="AJ10" s="99">
        <v>0</v>
      </c>
      <c r="AK10" s="99">
        <v>213.80000000000007</v>
      </c>
      <c r="AL10" s="99">
        <v>213.8</v>
      </c>
      <c r="AM10" s="99">
        <v>213.80000000000007</v>
      </c>
      <c r="AN10" s="99">
        <v>68.209481097489189</v>
      </c>
      <c r="AO10" s="99">
        <v>213.80000000000007</v>
      </c>
      <c r="AP10" s="99">
        <v>68.209481097489189</v>
      </c>
      <c r="AQ10" s="99">
        <v>171.04003650445529</v>
      </c>
      <c r="AR10" s="99">
        <v>171.04003650445523</v>
      </c>
      <c r="AS10" s="99">
        <v>171.04003650445529</v>
      </c>
      <c r="AT10" s="99">
        <v>213.8</v>
      </c>
      <c r="AU10" s="99">
        <v>190.98654707296978</v>
      </c>
      <c r="AV10" s="99">
        <v>213.8</v>
      </c>
      <c r="AW10" s="99">
        <v>213.8</v>
      </c>
      <c r="AX10" s="99">
        <v>109.1351697559827</v>
      </c>
      <c r="AY10" s="99">
        <v>213.8</v>
      </c>
      <c r="AZ10" s="99">
        <v>109.1351697559827</v>
      </c>
    </row>
    <row r="11" spans="1:55">
      <c r="B11" s="118">
        <v>2</v>
      </c>
      <c r="C11" s="105" t="s">
        <v>293</v>
      </c>
      <c r="D11" s="99">
        <v>4.7986561600991999</v>
      </c>
      <c r="F11" s="99">
        <v>9.4591690598659284</v>
      </c>
      <c r="G11" s="99">
        <v>77.381037805021634</v>
      </c>
      <c r="I11" s="99">
        <v>0</v>
      </c>
      <c r="K11" s="99">
        <v>77.381037805021634</v>
      </c>
      <c r="L11" s="99">
        <v>0</v>
      </c>
      <c r="P11" s="99">
        <v>0</v>
      </c>
      <c r="Q11" s="99">
        <v>77.381037805021634</v>
      </c>
      <c r="R11" s="99">
        <v>50.09724536602593</v>
      </c>
      <c r="S11" s="99">
        <v>77.381037805021634</v>
      </c>
      <c r="T11" s="99">
        <v>50.09724536602593</v>
      </c>
      <c r="U11" s="99">
        <v>0</v>
      </c>
      <c r="V11" s="99">
        <v>0</v>
      </c>
      <c r="X11" s="99">
        <v>0</v>
      </c>
      <c r="Y11" s="99">
        <v>77.381037805021634</v>
      </c>
      <c r="AA11" s="99">
        <v>0</v>
      </c>
      <c r="AB11" s="99">
        <v>0</v>
      </c>
      <c r="AD11" s="99">
        <v>50.09724536602593</v>
      </c>
      <c r="AE11" s="99">
        <v>0</v>
      </c>
      <c r="AF11" s="99">
        <v>50.09724536602593</v>
      </c>
      <c r="AH11" s="99">
        <v>0</v>
      </c>
      <c r="AJ11" s="99">
        <v>0</v>
      </c>
      <c r="AL11" s="99">
        <v>0</v>
      </c>
      <c r="AM11" s="99">
        <v>0</v>
      </c>
      <c r="AN11" s="99">
        <v>0</v>
      </c>
      <c r="AO11" s="99">
        <v>0</v>
      </c>
      <c r="AP11" s="99">
        <v>0</v>
      </c>
      <c r="AQ11" s="99">
        <v>102.83055540696604</v>
      </c>
      <c r="AR11" s="99">
        <v>0</v>
      </c>
      <c r="AS11" s="99">
        <v>0</v>
      </c>
      <c r="AT11" s="99">
        <v>0</v>
      </c>
      <c r="AU11" s="99">
        <v>0</v>
      </c>
      <c r="AV11" s="99">
        <v>22.813452927030227</v>
      </c>
      <c r="AW11" s="99">
        <v>0</v>
      </c>
      <c r="AX11" s="99">
        <v>0</v>
      </c>
      <c r="AY11" s="99">
        <v>104.66483024401731</v>
      </c>
      <c r="BA11" s="99">
        <v>104.66483024401731</v>
      </c>
    </row>
    <row r="12" spans="1:55">
      <c r="B12" s="119">
        <v>3</v>
      </c>
      <c r="C12" s="105" t="s">
        <v>293</v>
      </c>
      <c r="D12" s="99">
        <v>21.9384332417916</v>
      </c>
      <c r="I12" s="99">
        <v>0</v>
      </c>
      <c r="K12" s="99">
        <v>50.09724536602593</v>
      </c>
      <c r="L12" s="99">
        <v>0</v>
      </c>
      <c r="M12" s="99">
        <v>0</v>
      </c>
      <c r="N12" s="99">
        <v>77.381037805021634</v>
      </c>
      <c r="O12" s="99">
        <v>50.09724536602593</v>
      </c>
      <c r="P12" s="99">
        <v>0</v>
      </c>
      <c r="S12" s="99">
        <v>0</v>
      </c>
      <c r="X12" s="99">
        <v>0</v>
      </c>
      <c r="AA12" s="99">
        <v>0</v>
      </c>
      <c r="AC12" s="99">
        <v>0</v>
      </c>
      <c r="AD12" s="99">
        <v>0</v>
      </c>
      <c r="AH12" s="99">
        <v>0</v>
      </c>
      <c r="AJ12" s="99">
        <v>77.381037805021634</v>
      </c>
      <c r="AP12" s="99">
        <v>145.59051890251084</v>
      </c>
      <c r="AQ12" s="99">
        <v>0</v>
      </c>
      <c r="AR12" s="99">
        <v>0</v>
      </c>
      <c r="AZ12" s="99">
        <v>0</v>
      </c>
      <c r="BA12" s="99">
        <v>0</v>
      </c>
    </row>
    <row r="13" spans="1:55">
      <c r="B13" s="119">
        <v>4</v>
      </c>
      <c r="C13" s="105" t="s">
        <v>293</v>
      </c>
      <c r="E13" s="99">
        <v>0</v>
      </c>
      <c r="U13" s="99">
        <v>0</v>
      </c>
      <c r="AM13" s="99">
        <v>0</v>
      </c>
      <c r="BC13" s="99">
        <v>0</v>
      </c>
    </row>
    <row r="14" spans="1:55">
      <c r="A14" s="114" t="s">
        <v>134</v>
      </c>
      <c r="B14" s="120">
        <v>1</v>
      </c>
      <c r="C14" s="116" t="s">
        <v>293</v>
      </c>
      <c r="D14" s="116">
        <v>28.619423531250007</v>
      </c>
      <c r="E14" s="116">
        <f t="shared" ref="E14:AZ14" si="0">D$172*SUM(D$122:D$169)</f>
        <v>24.32395487159549</v>
      </c>
      <c r="F14" s="116">
        <f t="shared" si="0"/>
        <v>133.4605340190634</v>
      </c>
      <c r="G14" s="116">
        <f t="shared" si="0"/>
        <v>121.57729830601889</v>
      </c>
      <c r="H14" s="116">
        <f t="shared" si="0"/>
        <v>218.44715365162642</v>
      </c>
      <c r="I14" s="116">
        <f t="shared" si="0"/>
        <v>166.91987732982918</v>
      </c>
      <c r="J14" s="116">
        <f t="shared" si="0"/>
        <v>133.4605340190634</v>
      </c>
      <c r="K14" s="116">
        <f t="shared" si="0"/>
        <v>115.27110416115207</v>
      </c>
      <c r="L14" s="116">
        <f t="shared" si="0"/>
        <v>251.84574853895228</v>
      </c>
      <c r="M14" s="116">
        <f t="shared" si="0"/>
        <v>129.43472951964858</v>
      </c>
      <c r="N14" s="116">
        <f t="shared" si="0"/>
        <v>133.4605340190634</v>
      </c>
      <c r="O14" s="116">
        <f t="shared" si="0"/>
        <v>218.44715365162642</v>
      </c>
      <c r="P14" s="116">
        <f t="shared" si="0"/>
        <v>200.25772379371512</v>
      </c>
      <c r="Q14" s="116">
        <f t="shared" si="0"/>
        <v>115.27110416115207</v>
      </c>
      <c r="R14" s="116">
        <f t="shared" si="0"/>
        <v>185.04855876430059</v>
      </c>
      <c r="S14" s="116">
        <f t="shared" si="0"/>
        <v>148.66969904847792</v>
      </c>
      <c r="T14" s="116">
        <f t="shared" si="0"/>
        <v>185.04855876430059</v>
      </c>
      <c r="U14" s="116">
        <f t="shared" si="0"/>
        <v>200.25772379371512</v>
      </c>
      <c r="V14" s="116">
        <f t="shared" si="0"/>
        <v>171.63115899429957</v>
      </c>
      <c r="W14" s="116">
        <f t="shared" si="0"/>
        <v>166.85912890638926</v>
      </c>
      <c r="X14" s="116">
        <f t="shared" si="0"/>
        <v>166.85912890638926</v>
      </c>
      <c r="Y14" s="116">
        <f t="shared" si="0"/>
        <v>115.27110416115207</v>
      </c>
      <c r="Z14" s="116">
        <f t="shared" si="0"/>
        <v>218.44715365162642</v>
      </c>
      <c r="AA14" s="116">
        <f t="shared" si="0"/>
        <v>166.85912890638926</v>
      </c>
      <c r="AB14" s="116">
        <f t="shared" si="0"/>
        <v>166.85912890638926</v>
      </c>
      <c r="AC14" s="116">
        <f t="shared" si="0"/>
        <v>166.85912890638926</v>
      </c>
      <c r="AD14" s="116">
        <f t="shared" si="0"/>
        <v>133.4605340190634</v>
      </c>
      <c r="AE14" s="116">
        <f t="shared" si="0"/>
        <v>200.25772379371512</v>
      </c>
      <c r="AF14" s="116">
        <f t="shared" si="0"/>
        <v>133.4605340190634</v>
      </c>
      <c r="AG14" s="116">
        <f t="shared" si="0"/>
        <v>200.25772379371512</v>
      </c>
      <c r="AH14" s="116">
        <f t="shared" si="0"/>
        <v>166.85912890638926</v>
      </c>
      <c r="AI14" s="116">
        <f t="shared" si="0"/>
        <v>115.27110416115207</v>
      </c>
      <c r="AJ14" s="116">
        <f t="shared" si="0"/>
        <v>166.85912890638926</v>
      </c>
      <c r="AK14" s="116">
        <f t="shared" si="0"/>
        <v>75.911979616832667</v>
      </c>
      <c r="AL14" s="116">
        <f t="shared" si="0"/>
        <v>166.85912890638929</v>
      </c>
      <c r="AM14" s="116">
        <f t="shared" si="0"/>
        <v>166.85912890638923</v>
      </c>
      <c r="AN14" s="116">
        <f t="shared" si="0"/>
        <v>166.85912890638929</v>
      </c>
      <c r="AO14" s="116">
        <f t="shared" si="0"/>
        <v>69.797529516373771</v>
      </c>
      <c r="AP14" s="116">
        <f t="shared" si="0"/>
        <v>166.85912890638929</v>
      </c>
      <c r="AQ14" s="116">
        <f t="shared" si="0"/>
        <v>166.85912890638923</v>
      </c>
      <c r="AR14" s="116">
        <f t="shared" si="0"/>
        <v>206.90670735572283</v>
      </c>
      <c r="AS14" s="116">
        <f t="shared" si="0"/>
        <v>138.3521184360483</v>
      </c>
      <c r="AT14" s="116">
        <f t="shared" si="0"/>
        <v>138.35211843604833</v>
      </c>
      <c r="AU14" s="116">
        <f t="shared" si="0"/>
        <v>166.85912890638926</v>
      </c>
      <c r="AV14" s="116">
        <f t="shared" si="0"/>
        <v>151.64996387697471</v>
      </c>
      <c r="AW14" s="116">
        <f t="shared" si="0"/>
        <v>182.06829393580378</v>
      </c>
      <c r="AX14" s="116">
        <f t="shared" si="0"/>
        <v>166.85912890638923</v>
      </c>
      <c r="AY14" s="116">
        <f t="shared" si="0"/>
        <v>97.081674303240746</v>
      </c>
      <c r="AZ14" s="109">
        <f t="shared" si="0"/>
        <v>236.63658350953773</v>
      </c>
      <c r="BA14" s="106">
        <f>SUM($E14:$AZ14)</f>
        <v>7602.0438006831173</v>
      </c>
    </row>
    <row r="15" spans="1:55">
      <c r="A15" s="121" t="s">
        <v>123</v>
      </c>
      <c r="B15" s="122">
        <v>1</v>
      </c>
      <c r="C15" s="123" t="s">
        <v>293</v>
      </c>
      <c r="D15" s="123">
        <v>43.750000000000021</v>
      </c>
      <c r="E15" s="123">
        <v>240.04724536602603</v>
      </c>
      <c r="F15" s="123">
        <v>207.33103780502168</v>
      </c>
      <c r="G15" s="123">
        <v>300.11924163612366</v>
      </c>
      <c r="H15" s="123">
        <v>300.11924163612366</v>
      </c>
      <c r="I15" s="123">
        <v>240.04724536602603</v>
      </c>
      <c r="J15" s="123">
        <v>207.33103780502168</v>
      </c>
      <c r="K15" s="123">
        <v>300.11924163612366</v>
      </c>
      <c r="L15" s="123">
        <v>207.33103780502168</v>
      </c>
      <c r="M15" s="123">
        <v>240.04724536602603</v>
      </c>
      <c r="N15" s="123">
        <v>300.11924163612366</v>
      </c>
      <c r="O15" s="123">
        <v>300.11924163612366</v>
      </c>
      <c r="P15" s="123">
        <v>207.33103780502168</v>
      </c>
      <c r="Q15" s="123">
        <v>240.04724536602603</v>
      </c>
      <c r="R15" s="123">
        <v>207.33103780502168</v>
      </c>
      <c r="S15" s="123">
        <v>240.04724536602603</v>
      </c>
      <c r="T15" s="123">
        <v>300.11924163612366</v>
      </c>
      <c r="U15" s="123">
        <v>300.11924163612366</v>
      </c>
      <c r="V15" s="123">
        <v>300.11924163612366</v>
      </c>
      <c r="W15" s="123">
        <v>300.11924163612366</v>
      </c>
      <c r="X15" s="123">
        <v>207.33103780502168</v>
      </c>
      <c r="Y15" s="123">
        <v>300.11924163612366</v>
      </c>
      <c r="Z15" s="123">
        <v>300.11924163612366</v>
      </c>
      <c r="AA15" s="123">
        <v>300.11924163612366</v>
      </c>
      <c r="AB15" s="123">
        <v>300.11924163612366</v>
      </c>
      <c r="AC15" s="123">
        <v>240.04724536602603</v>
      </c>
      <c r="AD15" s="123">
        <v>300.11924163612366</v>
      </c>
      <c r="AE15" s="123">
        <v>240.04724536602603</v>
      </c>
      <c r="AF15" s="123">
        <v>300.11924163612366</v>
      </c>
      <c r="AG15" s="123">
        <v>300.11924163612366</v>
      </c>
      <c r="AH15" s="123">
        <v>207.33103780502168</v>
      </c>
      <c r="AI15" s="123">
        <v>300.11924163612366</v>
      </c>
      <c r="AJ15" s="123">
        <v>43.750000000000021</v>
      </c>
      <c r="AK15" s="123">
        <v>300.11924163612372</v>
      </c>
      <c r="AL15" s="123">
        <v>300.1192416361236</v>
      </c>
      <c r="AM15" s="123">
        <v>300.11924163612372</v>
      </c>
      <c r="AN15" s="123">
        <v>125.54051890251083</v>
      </c>
      <c r="AO15" s="123">
        <v>300.11924163612372</v>
      </c>
      <c r="AP15" s="123">
        <v>125.54051890251083</v>
      </c>
      <c r="AQ15" s="123">
        <v>248.84543708167499</v>
      </c>
      <c r="AR15" s="123">
        <v>248.84543708167493</v>
      </c>
      <c r="AS15" s="123">
        <v>248.84543708167499</v>
      </c>
      <c r="AT15" s="123">
        <v>300.11924163612366</v>
      </c>
      <c r="AU15" s="123">
        <v>272.76345292703036</v>
      </c>
      <c r="AV15" s="123">
        <v>300.11924163612366</v>
      </c>
      <c r="AW15" s="123">
        <v>300.1192416361236</v>
      </c>
      <c r="AX15" s="123">
        <v>174.61483024401733</v>
      </c>
      <c r="AY15" s="123">
        <v>300.1192416361236</v>
      </c>
      <c r="AZ15" s="99">
        <v>130.8648302440173</v>
      </c>
    </row>
    <row r="16" spans="1:55">
      <c r="A16" s="109"/>
      <c r="B16" s="118">
        <v>2</v>
      </c>
      <c r="C16" s="108" t="s">
        <v>293</v>
      </c>
      <c r="D16" s="105">
        <v>0</v>
      </c>
      <c r="E16" s="109"/>
      <c r="F16" s="109">
        <v>11.342563135573954</v>
      </c>
      <c r="G16" s="109">
        <v>92.788203831101953</v>
      </c>
      <c r="H16" s="109"/>
      <c r="I16" s="109">
        <v>0</v>
      </c>
      <c r="J16" s="109"/>
      <c r="K16" s="109">
        <v>92.788203831101953</v>
      </c>
      <c r="L16" s="109">
        <v>0</v>
      </c>
      <c r="M16" s="109"/>
      <c r="N16" s="109"/>
      <c r="O16" s="109"/>
      <c r="P16" s="109">
        <v>0</v>
      </c>
      <c r="Q16" s="109">
        <v>92.788203831101953</v>
      </c>
      <c r="R16" s="109">
        <v>60.0719962700976</v>
      </c>
      <c r="S16" s="109">
        <v>92.788203831101953</v>
      </c>
      <c r="T16" s="109">
        <v>60.0719962700976</v>
      </c>
      <c r="U16" s="109">
        <v>0</v>
      </c>
      <c r="V16" s="109">
        <v>0</v>
      </c>
      <c r="W16" s="109"/>
      <c r="X16" s="109">
        <v>0</v>
      </c>
      <c r="Y16" s="109">
        <v>92.788203831101953</v>
      </c>
      <c r="Z16" s="109"/>
      <c r="AA16" s="109">
        <v>0</v>
      </c>
      <c r="AB16" s="109">
        <v>0</v>
      </c>
      <c r="AC16" s="109"/>
      <c r="AD16" s="109">
        <v>60.0719962700976</v>
      </c>
      <c r="AE16" s="109">
        <v>0</v>
      </c>
      <c r="AF16" s="109">
        <v>60.0719962700976</v>
      </c>
      <c r="AG16" s="109"/>
      <c r="AH16" s="109">
        <v>0</v>
      </c>
      <c r="AI16" s="109"/>
      <c r="AJ16" s="109">
        <v>0</v>
      </c>
      <c r="AK16" s="109"/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  <c r="AQ16" s="109">
        <v>123.30491817916409</v>
      </c>
      <c r="AR16" s="109">
        <v>0</v>
      </c>
      <c r="AS16" s="109">
        <v>0</v>
      </c>
      <c r="AT16" s="109">
        <v>0</v>
      </c>
      <c r="AU16" s="109">
        <v>0</v>
      </c>
      <c r="AV16" s="109">
        <v>27.355788709093247</v>
      </c>
      <c r="AW16" s="109">
        <v>0</v>
      </c>
      <c r="AX16" s="109">
        <v>0</v>
      </c>
      <c r="AY16" s="109">
        <v>125.50441139210631</v>
      </c>
      <c r="BA16" s="99">
        <v>125.50441139210631</v>
      </c>
    </row>
    <row r="17" spans="1:55">
      <c r="A17" s="109"/>
      <c r="B17" s="118">
        <v>3</v>
      </c>
      <c r="C17" s="108" t="s">
        <v>293</v>
      </c>
      <c r="D17" s="105">
        <v>0</v>
      </c>
      <c r="E17" s="109"/>
      <c r="F17" s="109"/>
      <c r="G17" s="109"/>
      <c r="H17" s="109"/>
      <c r="I17" s="109">
        <v>0</v>
      </c>
      <c r="J17" s="109"/>
      <c r="K17" s="109">
        <v>60.0719962700976</v>
      </c>
      <c r="L17" s="109">
        <v>0</v>
      </c>
      <c r="M17" s="109">
        <v>0</v>
      </c>
      <c r="N17" s="109">
        <v>92.788203831101953</v>
      </c>
      <c r="O17" s="109">
        <v>60.0719962700976</v>
      </c>
      <c r="P17" s="109">
        <v>0</v>
      </c>
      <c r="Q17" s="109"/>
      <c r="R17" s="109"/>
      <c r="S17" s="109">
        <v>0</v>
      </c>
      <c r="T17" s="109"/>
      <c r="U17" s="109"/>
      <c r="V17" s="109"/>
      <c r="W17" s="109"/>
      <c r="X17" s="109">
        <v>0</v>
      </c>
      <c r="Y17" s="109"/>
      <c r="Z17" s="109"/>
      <c r="AA17" s="109">
        <v>0</v>
      </c>
      <c r="AB17" s="109"/>
      <c r="AC17" s="109">
        <v>0</v>
      </c>
      <c r="AD17" s="109">
        <v>0</v>
      </c>
      <c r="AE17" s="109"/>
      <c r="AF17" s="109"/>
      <c r="AG17" s="109"/>
      <c r="AH17" s="109">
        <v>0</v>
      </c>
      <c r="AI17" s="109"/>
      <c r="AJ17" s="109">
        <v>92.788203831101953</v>
      </c>
      <c r="AK17" s="109"/>
      <c r="AL17" s="109"/>
      <c r="AM17" s="109"/>
      <c r="AN17" s="109"/>
      <c r="AO17" s="109"/>
      <c r="AP17" s="109">
        <v>174.57872273361278</v>
      </c>
      <c r="AQ17" s="109">
        <v>0</v>
      </c>
      <c r="AR17" s="109">
        <v>0</v>
      </c>
      <c r="AS17" s="109"/>
      <c r="AT17" s="109"/>
      <c r="AU17" s="109"/>
      <c r="AV17" s="109"/>
      <c r="AW17" s="109"/>
      <c r="AX17" s="109"/>
      <c r="AY17" s="109"/>
      <c r="AZ17" s="99">
        <v>0</v>
      </c>
      <c r="BA17" s="99">
        <v>0</v>
      </c>
    </row>
    <row r="18" spans="1:55">
      <c r="A18" s="124"/>
      <c r="B18" s="115">
        <v>4</v>
      </c>
      <c r="C18" s="124" t="s">
        <v>293</v>
      </c>
      <c r="D18" s="124"/>
      <c r="E18" s="124">
        <v>0</v>
      </c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>
        <v>0</v>
      </c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>
        <v>0</v>
      </c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BC18" s="99">
        <v>0</v>
      </c>
    </row>
    <row r="20" spans="1:55">
      <c r="A20" s="101" t="s">
        <v>294</v>
      </c>
    </row>
    <row r="21" spans="1:55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5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5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5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5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5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5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5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5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5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5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5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309.00247560000003</v>
      </c>
      <c r="D95" s="109">
        <v>194.99999999999997</v>
      </c>
      <c r="E95" s="109">
        <v>194.99999999999997</v>
      </c>
      <c r="F95" s="109">
        <v>194.99999999999997</v>
      </c>
      <c r="G95" s="109">
        <v>194.99999999999997</v>
      </c>
      <c r="H95" s="109">
        <v>194.99999999999997</v>
      </c>
      <c r="I95" s="109">
        <v>194.99999999999997</v>
      </c>
      <c r="J95" s="109">
        <v>194.99999999999997</v>
      </c>
      <c r="K95" s="109">
        <v>194.99999999999997</v>
      </c>
      <c r="L95" s="109">
        <v>194.99999999999997</v>
      </c>
      <c r="M95" s="109">
        <v>194.99999999999997</v>
      </c>
      <c r="N95" s="109">
        <v>194.99999999999997</v>
      </c>
      <c r="O95" s="109">
        <v>194.99999999999997</v>
      </c>
      <c r="P95" s="109">
        <v>194.99999999999997</v>
      </c>
      <c r="Q95" s="109">
        <v>194.99999999999997</v>
      </c>
      <c r="R95" s="109">
        <v>194.99999999999997</v>
      </c>
      <c r="S95" s="109">
        <v>194.99999999999997</v>
      </c>
      <c r="T95" s="109">
        <v>194.99999999999997</v>
      </c>
      <c r="U95" s="109">
        <v>194.99999999999997</v>
      </c>
      <c r="V95" s="109">
        <v>194.99999999999997</v>
      </c>
      <c r="W95" s="109">
        <v>194.99999999999997</v>
      </c>
      <c r="X95" s="109">
        <v>194.99999999999997</v>
      </c>
      <c r="Y95" s="109">
        <v>194.99999999999997</v>
      </c>
      <c r="Z95" s="109">
        <v>194.99999999999997</v>
      </c>
      <c r="AA95" s="109">
        <v>194.99999999999997</v>
      </c>
      <c r="AB95" s="109">
        <v>194.99999999999997</v>
      </c>
      <c r="AC95" s="109">
        <v>194.99999999999997</v>
      </c>
      <c r="AD95" s="109">
        <v>194.99999999999997</v>
      </c>
      <c r="AE95" s="109">
        <v>194.99999999999997</v>
      </c>
      <c r="AF95" s="109">
        <v>194.99999999999997</v>
      </c>
      <c r="AG95" s="109">
        <v>194.99999999999997</v>
      </c>
      <c r="AH95" s="109">
        <v>194.99999999999997</v>
      </c>
      <c r="AI95" s="109">
        <v>194.99999999999997</v>
      </c>
      <c r="AJ95" s="109">
        <v>194.99999999999997</v>
      </c>
      <c r="AK95" s="109">
        <v>194.99999999999997</v>
      </c>
      <c r="AL95" s="109">
        <v>194.99999999999997</v>
      </c>
      <c r="AM95" s="109">
        <v>194.99999999999997</v>
      </c>
      <c r="AN95" s="109">
        <v>155.99999999999997</v>
      </c>
      <c r="AO95" s="109">
        <v>155.99999999999997</v>
      </c>
      <c r="AP95" s="109">
        <v>155.99999999999997</v>
      </c>
      <c r="AQ95" s="109">
        <v>155.99999999999997</v>
      </c>
      <c r="AR95" s="109">
        <v>194.99999999999997</v>
      </c>
      <c r="AS95" s="109">
        <v>194.99999999999997</v>
      </c>
      <c r="AT95" s="109">
        <v>194.99999999999997</v>
      </c>
      <c r="AU95" s="109">
        <v>194.99999999999997</v>
      </c>
      <c r="AV95" s="109">
        <v>194.99999999999997</v>
      </c>
      <c r="AW95" s="109">
        <v>194.99999999999997</v>
      </c>
      <c r="AX95" s="109">
        <v>194.99999999999997</v>
      </c>
      <c r="AY95" s="109">
        <v>194.99999999999997</v>
      </c>
    </row>
    <row r="96" spans="1:52">
      <c r="A96" s="108"/>
      <c r="B96" s="119">
        <v>2</v>
      </c>
      <c r="C96" s="109">
        <v>309.00247560000003</v>
      </c>
      <c r="D96" s="109">
        <v>309.00247560000003</v>
      </c>
      <c r="E96" s="109">
        <v>194.99999999999997</v>
      </c>
      <c r="F96" s="109">
        <v>194.99999999999997</v>
      </c>
      <c r="G96" s="109">
        <v>194.99999999999997</v>
      </c>
      <c r="H96" s="109">
        <v>194.99999999999997</v>
      </c>
      <c r="I96" s="109">
        <v>194.99999999999997</v>
      </c>
      <c r="J96" s="109">
        <v>194.99999999999997</v>
      </c>
      <c r="K96" s="109">
        <v>194.99999999999997</v>
      </c>
      <c r="L96" s="109">
        <v>194.99999999999997</v>
      </c>
      <c r="M96" s="109">
        <v>194.99999999999997</v>
      </c>
      <c r="N96" s="109">
        <v>194.99999999999997</v>
      </c>
      <c r="O96" s="109">
        <v>194.99999999999997</v>
      </c>
      <c r="P96" s="109">
        <v>194.99999999999997</v>
      </c>
      <c r="Q96" s="109">
        <v>194.99999999999997</v>
      </c>
      <c r="R96" s="109">
        <v>194.99999999999997</v>
      </c>
      <c r="S96" s="109">
        <v>194.99999999999997</v>
      </c>
      <c r="T96" s="109">
        <v>194.99999999999997</v>
      </c>
      <c r="U96" s="109">
        <v>194.99999999999997</v>
      </c>
      <c r="V96" s="109">
        <v>194.99999999999997</v>
      </c>
      <c r="W96" s="109">
        <v>194.99999999999997</v>
      </c>
      <c r="X96" s="109">
        <v>194.99999999999997</v>
      </c>
      <c r="Y96" s="109">
        <v>194.99999999999997</v>
      </c>
      <c r="Z96" s="109">
        <v>194.99999999999997</v>
      </c>
      <c r="AA96" s="109">
        <v>194.99999999999997</v>
      </c>
      <c r="AB96" s="109">
        <v>194.99999999999997</v>
      </c>
      <c r="AC96" s="109">
        <v>194.99999999999997</v>
      </c>
      <c r="AD96" s="109">
        <v>194.99999999999997</v>
      </c>
      <c r="AE96" s="109">
        <v>194.99999999999997</v>
      </c>
      <c r="AF96" s="109">
        <v>194.99999999999997</v>
      </c>
      <c r="AG96" s="109">
        <v>194.99999999999997</v>
      </c>
      <c r="AH96" s="109">
        <v>194.99999999999997</v>
      </c>
      <c r="AI96" s="109">
        <v>194.99999999999997</v>
      </c>
      <c r="AJ96" s="109">
        <v>194.99999999999997</v>
      </c>
      <c r="AK96" s="109">
        <v>194.99999999999997</v>
      </c>
      <c r="AL96" s="109">
        <v>194.99999999999997</v>
      </c>
      <c r="AM96" s="109">
        <v>194.99999999999997</v>
      </c>
      <c r="AN96" s="109">
        <v>194.99999999999997</v>
      </c>
      <c r="AO96" s="109">
        <v>155.99999999999997</v>
      </c>
      <c r="AP96" s="109">
        <v>155.99999999999997</v>
      </c>
      <c r="AQ96" s="109">
        <v>155.99999999999997</v>
      </c>
      <c r="AR96" s="109">
        <v>155.99999999999997</v>
      </c>
      <c r="AS96" s="109">
        <v>194.99999999999997</v>
      </c>
      <c r="AT96" s="109">
        <v>194.99999999999997</v>
      </c>
      <c r="AU96" s="109">
        <v>194.99999999999997</v>
      </c>
      <c r="AV96" s="109">
        <v>194.99999999999997</v>
      </c>
      <c r="AW96" s="109">
        <v>194.99999999999997</v>
      </c>
      <c r="AX96" s="109">
        <v>194.99999999999997</v>
      </c>
      <c r="AY96" s="109">
        <v>194.99999999999997</v>
      </c>
    </row>
    <row r="97" spans="1:52">
      <c r="A97" s="108"/>
      <c r="B97" s="126">
        <v>3</v>
      </c>
      <c r="C97" s="109">
        <v>309.00247560000003</v>
      </c>
      <c r="D97" s="109">
        <v>309.00247560000003</v>
      </c>
      <c r="E97" s="109">
        <v>309.00247560000003</v>
      </c>
      <c r="F97" s="109">
        <v>194.99999999999997</v>
      </c>
      <c r="G97" s="109">
        <v>194.99999999999997</v>
      </c>
      <c r="H97" s="109">
        <v>194.99999999999997</v>
      </c>
      <c r="I97" s="109">
        <v>194.99999999999997</v>
      </c>
      <c r="J97" s="109">
        <v>194.99999999999997</v>
      </c>
      <c r="K97" s="109">
        <v>194.99999999999997</v>
      </c>
      <c r="L97" s="109">
        <v>194.99999999999997</v>
      </c>
      <c r="M97" s="109">
        <v>194.99999999999997</v>
      </c>
      <c r="N97" s="109">
        <v>194.99999999999997</v>
      </c>
      <c r="O97" s="109">
        <v>194.99999999999997</v>
      </c>
      <c r="P97" s="109">
        <v>194.99999999999997</v>
      </c>
      <c r="Q97" s="109">
        <v>194.99999999999997</v>
      </c>
      <c r="R97" s="109">
        <v>194.99999999999997</v>
      </c>
      <c r="S97" s="109">
        <v>194.99999999999997</v>
      </c>
      <c r="T97" s="109">
        <v>194.99999999999997</v>
      </c>
      <c r="U97" s="109">
        <v>194.99999999999997</v>
      </c>
      <c r="V97" s="109">
        <v>194.99999999999997</v>
      </c>
      <c r="W97" s="109">
        <v>194.99999999999997</v>
      </c>
      <c r="X97" s="109">
        <v>194.99999999999997</v>
      </c>
      <c r="Y97" s="109">
        <v>194.99999999999997</v>
      </c>
      <c r="Z97" s="109">
        <v>194.99999999999997</v>
      </c>
      <c r="AA97" s="109">
        <v>194.99999999999997</v>
      </c>
      <c r="AB97" s="109">
        <v>194.99999999999997</v>
      </c>
      <c r="AC97" s="109">
        <v>194.99999999999997</v>
      </c>
      <c r="AD97" s="109">
        <v>194.99999999999997</v>
      </c>
      <c r="AE97" s="109">
        <v>194.99999999999997</v>
      </c>
      <c r="AF97" s="109">
        <v>194.99999999999997</v>
      </c>
      <c r="AG97" s="109">
        <v>194.99999999999997</v>
      </c>
      <c r="AH97" s="109">
        <v>194.99999999999997</v>
      </c>
      <c r="AI97" s="109">
        <v>194.99999999999997</v>
      </c>
      <c r="AJ97" s="109">
        <v>194.99999999999997</v>
      </c>
      <c r="AK97" s="109">
        <v>194.99999999999997</v>
      </c>
      <c r="AL97" s="109">
        <v>194.99999999999997</v>
      </c>
      <c r="AM97" s="109">
        <v>194.99999999999997</v>
      </c>
      <c r="AN97" s="109">
        <v>194.99999999999997</v>
      </c>
      <c r="AO97" s="109">
        <v>194.99999999999997</v>
      </c>
      <c r="AP97" s="109">
        <v>155.99999999999997</v>
      </c>
      <c r="AQ97" s="109">
        <v>155.99999999999997</v>
      </c>
      <c r="AR97" s="109">
        <v>155.99999999999997</v>
      </c>
      <c r="AS97" s="109">
        <v>155.99999999999997</v>
      </c>
      <c r="AT97" s="109">
        <v>194.99999999999997</v>
      </c>
      <c r="AU97" s="109">
        <v>194.99999999999997</v>
      </c>
      <c r="AV97" s="109">
        <v>194.99999999999997</v>
      </c>
      <c r="AW97" s="109">
        <v>194.99999999999997</v>
      </c>
      <c r="AX97" s="109">
        <v>194.99999999999997</v>
      </c>
      <c r="AY97" s="109">
        <v>194.99999999999997</v>
      </c>
    </row>
    <row r="98" spans="1:52">
      <c r="A98" s="108"/>
      <c r="B98" s="129">
        <v>4</v>
      </c>
      <c r="C98" s="105">
        <v>309.00247560000003</v>
      </c>
      <c r="D98" s="109">
        <v>309.00247560000003</v>
      </c>
      <c r="E98" s="109">
        <v>309.00247560000003</v>
      </c>
      <c r="F98" s="109">
        <v>309.00247560000003</v>
      </c>
      <c r="G98" s="109">
        <v>194.99999999999997</v>
      </c>
      <c r="H98" s="109">
        <v>194.99999999999997</v>
      </c>
      <c r="I98" s="109">
        <v>194.99999999999997</v>
      </c>
      <c r="J98" s="109">
        <v>194.99999999999997</v>
      </c>
      <c r="K98" s="109">
        <v>194.99999999999997</v>
      </c>
      <c r="L98" s="109">
        <v>194.99999999999997</v>
      </c>
      <c r="M98" s="109">
        <v>178.99999999999994</v>
      </c>
      <c r="N98" s="109">
        <v>175.99999999999991</v>
      </c>
      <c r="O98" s="109">
        <v>185.99999999999989</v>
      </c>
      <c r="P98" s="109">
        <v>193.99999999999986</v>
      </c>
      <c r="Q98" s="109">
        <v>194.99999999999997</v>
      </c>
      <c r="R98" s="109">
        <v>189.99999999999994</v>
      </c>
      <c r="S98" s="109">
        <v>194.99999999999997</v>
      </c>
      <c r="T98" s="109">
        <v>194.99999999999997</v>
      </c>
      <c r="U98" s="109">
        <v>168.99999999999994</v>
      </c>
      <c r="V98" s="109">
        <v>170.99999999999991</v>
      </c>
      <c r="W98" s="109">
        <v>185.99999999999989</v>
      </c>
      <c r="X98" s="109">
        <v>189.99999999999986</v>
      </c>
      <c r="Y98" s="109">
        <v>194.99999999999997</v>
      </c>
      <c r="Z98" s="109">
        <v>186.99999999999994</v>
      </c>
      <c r="AA98" s="109">
        <v>194.99999999999997</v>
      </c>
      <c r="AB98" s="109">
        <v>186.99999999999994</v>
      </c>
      <c r="AC98" s="109">
        <v>191.99999999999991</v>
      </c>
      <c r="AD98" s="109">
        <v>175.99999999999989</v>
      </c>
      <c r="AE98" s="109">
        <v>153.99999999999986</v>
      </c>
      <c r="AF98" s="109">
        <v>146.99999999999983</v>
      </c>
      <c r="AG98" s="109">
        <v>127.9999999999998</v>
      </c>
      <c r="AH98" s="109">
        <v>126.99999999999977</v>
      </c>
      <c r="AI98" s="109">
        <v>144.99999999999974</v>
      </c>
      <c r="AJ98" s="109">
        <v>171.99999999999972</v>
      </c>
      <c r="AK98" s="109">
        <v>181.99999999999969</v>
      </c>
      <c r="AL98" s="109">
        <v>149.99999999999966</v>
      </c>
      <c r="AM98" s="109">
        <v>160.99999999999963</v>
      </c>
      <c r="AN98" s="109">
        <v>150.9999999999996</v>
      </c>
      <c r="AO98" s="109">
        <v>194.99999999999997</v>
      </c>
      <c r="AP98" s="109">
        <v>194.99999999999997</v>
      </c>
      <c r="AQ98" s="109">
        <v>141.99999999999994</v>
      </c>
      <c r="AR98" s="109">
        <v>91.999999999999915</v>
      </c>
      <c r="AS98" s="109">
        <v>105.99999999999989</v>
      </c>
      <c r="AT98" s="109">
        <v>84.999999999999858</v>
      </c>
      <c r="AU98" s="109">
        <v>125.99999999999983</v>
      </c>
      <c r="AV98" s="109">
        <v>168.9999999999998</v>
      </c>
      <c r="AW98" s="109">
        <v>149.99999999999977</v>
      </c>
      <c r="AX98" s="109">
        <v>176.99999999999974</v>
      </c>
      <c r="AY98" s="109">
        <v>194.99999999999997</v>
      </c>
    </row>
    <row r="99" spans="1:52">
      <c r="A99" s="127"/>
      <c r="B99" s="131" t="s">
        <v>296</v>
      </c>
      <c r="C99" s="124">
        <v>63.730816800000014</v>
      </c>
      <c r="D99" s="124">
        <v>110.00247560000003</v>
      </c>
      <c r="E99" s="124">
        <v>146.00247560000003</v>
      </c>
      <c r="F99" s="124">
        <v>137.00247560000003</v>
      </c>
      <c r="G99" s="124">
        <v>97.002475600000025</v>
      </c>
      <c r="H99" s="124">
        <v>16.999999999999972</v>
      </c>
      <c r="I99" s="124">
        <v>9.9999999999999716</v>
      </c>
      <c r="J99" s="124">
        <v>58.999999999999972</v>
      </c>
      <c r="K99" s="124">
        <v>27.999999999999972</v>
      </c>
      <c r="L99" s="124">
        <v>17.999999999999972</v>
      </c>
      <c r="M99" s="124">
        <v>0</v>
      </c>
      <c r="N99" s="124">
        <v>0</v>
      </c>
      <c r="O99" s="124">
        <v>0</v>
      </c>
      <c r="P99" s="124">
        <v>0</v>
      </c>
      <c r="Q99" s="124">
        <v>31.999999999999858</v>
      </c>
      <c r="R99" s="124">
        <v>0</v>
      </c>
      <c r="S99" s="124">
        <v>4.9999999999999432</v>
      </c>
      <c r="T99" s="124">
        <v>16.999999999999972</v>
      </c>
      <c r="U99" s="124">
        <v>0</v>
      </c>
      <c r="V99" s="124">
        <v>0</v>
      </c>
      <c r="W99" s="124">
        <v>0</v>
      </c>
      <c r="X99" s="124">
        <v>0</v>
      </c>
      <c r="Y99" s="124">
        <v>7.9999999999998579</v>
      </c>
      <c r="Z99" s="124">
        <v>0</v>
      </c>
      <c r="AA99" s="124">
        <v>36.999999999999943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1.9999999999996021</v>
      </c>
      <c r="AP99" s="124">
        <v>27.999999999999972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25.999999999999744</v>
      </c>
      <c r="AZ99" s="106">
        <f>SUM($D99:$AY99)</f>
        <v>777.00990239999896</v>
      </c>
    </row>
    <row r="100" spans="1:52">
      <c r="A100" s="130" t="s">
        <v>133</v>
      </c>
      <c r="B100" s="118">
        <v>1</v>
      </c>
      <c r="C100" s="105">
        <v>21.9384332417916</v>
      </c>
      <c r="D100" s="105">
        <v>48.784215952378801</v>
      </c>
      <c r="E100" s="105">
        <v>163.70275463397408</v>
      </c>
      <c r="F100" s="105">
        <v>136.41896219497838</v>
      </c>
      <c r="G100" s="105">
        <v>213.8</v>
      </c>
      <c r="H100" s="105">
        <v>213.8</v>
      </c>
      <c r="I100" s="105">
        <v>163.70275463397408</v>
      </c>
      <c r="J100" s="105">
        <v>136.41896219497838</v>
      </c>
      <c r="K100" s="105">
        <v>213.8</v>
      </c>
      <c r="L100" s="105">
        <v>136.41896219497838</v>
      </c>
      <c r="M100" s="105">
        <v>163.70275463397408</v>
      </c>
      <c r="N100" s="105">
        <v>213.8</v>
      </c>
      <c r="O100" s="105">
        <v>213.8</v>
      </c>
      <c r="P100" s="105">
        <v>136.41896219497838</v>
      </c>
      <c r="Q100" s="105">
        <v>163.70275463397408</v>
      </c>
      <c r="R100" s="105">
        <v>136.41896219497838</v>
      </c>
      <c r="S100" s="105">
        <v>163.70275463397408</v>
      </c>
      <c r="T100" s="105">
        <v>213.8</v>
      </c>
      <c r="U100" s="105">
        <v>213.8</v>
      </c>
      <c r="V100" s="105">
        <v>213.8</v>
      </c>
      <c r="W100" s="105">
        <v>213.8</v>
      </c>
      <c r="X100" s="105">
        <v>136.41896219497838</v>
      </c>
      <c r="Y100" s="105">
        <v>213.8</v>
      </c>
      <c r="Z100" s="105">
        <v>213.8</v>
      </c>
      <c r="AA100" s="105">
        <v>213.8</v>
      </c>
      <c r="AB100" s="105">
        <v>213.8</v>
      </c>
      <c r="AC100" s="105">
        <v>163.70275463397408</v>
      </c>
      <c r="AD100" s="105">
        <v>213.8</v>
      </c>
      <c r="AE100" s="105">
        <v>163.70275463397408</v>
      </c>
      <c r="AF100" s="105">
        <v>213.8</v>
      </c>
      <c r="AG100" s="105">
        <v>213.8</v>
      </c>
      <c r="AH100" s="105">
        <v>136.41896219497838</v>
      </c>
      <c r="AI100" s="105">
        <v>213.8</v>
      </c>
      <c r="AJ100" s="105">
        <v>0</v>
      </c>
      <c r="AK100" s="105">
        <v>213.80000000000007</v>
      </c>
      <c r="AL100" s="105">
        <v>213.8</v>
      </c>
      <c r="AM100" s="105">
        <v>213.80000000000007</v>
      </c>
      <c r="AN100" s="105">
        <v>68.209481097489189</v>
      </c>
      <c r="AO100" s="105">
        <v>213.80000000000007</v>
      </c>
      <c r="AP100" s="105">
        <v>68.209481097489189</v>
      </c>
      <c r="AQ100" s="105">
        <v>171.04003650445529</v>
      </c>
      <c r="AR100" s="105">
        <v>171.04003650445523</v>
      </c>
      <c r="AS100" s="105">
        <v>171.04003650445529</v>
      </c>
      <c r="AT100" s="105">
        <v>213.8</v>
      </c>
      <c r="AU100" s="105">
        <v>190.98654707296978</v>
      </c>
      <c r="AV100" s="105">
        <v>213.8</v>
      </c>
      <c r="AW100" s="105">
        <v>213.8</v>
      </c>
      <c r="AX100" s="105">
        <v>109.1351697559827</v>
      </c>
      <c r="AY100" s="105">
        <v>213.8</v>
      </c>
    </row>
    <row r="101" spans="1:52">
      <c r="A101" s="108"/>
      <c r="B101" s="118">
        <v>2</v>
      </c>
      <c r="C101" s="105">
        <v>0</v>
      </c>
      <c r="D101" s="105">
        <v>4.798656160099199</v>
      </c>
      <c r="E101" s="105">
        <v>0</v>
      </c>
      <c r="F101" s="105">
        <v>9.4591690598659284</v>
      </c>
      <c r="G101" s="105">
        <v>77.381037805021634</v>
      </c>
      <c r="H101" s="105">
        <v>80.181037805021646</v>
      </c>
      <c r="I101" s="105">
        <v>36.981037805021657</v>
      </c>
      <c r="J101" s="105">
        <v>0</v>
      </c>
      <c r="K101" s="105">
        <v>77.381037805021634</v>
      </c>
      <c r="L101" s="105">
        <v>102.27828317104758</v>
      </c>
      <c r="M101" s="105">
        <v>6.6972453660259532</v>
      </c>
      <c r="N101" s="105">
        <v>0</v>
      </c>
      <c r="O101" s="105">
        <v>66.181037805021646</v>
      </c>
      <c r="P101" s="105">
        <v>130.07828317104759</v>
      </c>
      <c r="Q101" s="105">
        <v>77.878283171047599</v>
      </c>
      <c r="R101" s="105">
        <v>65.67828317104761</v>
      </c>
      <c r="S101" s="105">
        <v>100.47828317104762</v>
      </c>
      <c r="T101" s="105">
        <v>109.27828317104763</v>
      </c>
      <c r="U101" s="105">
        <v>118.07828317104764</v>
      </c>
      <c r="V101" s="105">
        <v>155.87828317104766</v>
      </c>
      <c r="W101" s="105">
        <v>162.67828317104767</v>
      </c>
      <c r="X101" s="105">
        <v>142.47828317104768</v>
      </c>
      <c r="Y101" s="105">
        <v>96.27828317104769</v>
      </c>
      <c r="Z101" s="105">
        <v>128.0782831710477</v>
      </c>
      <c r="AA101" s="105">
        <v>91.878283171047713</v>
      </c>
      <c r="AB101" s="105">
        <v>83.678283171047724</v>
      </c>
      <c r="AC101" s="105">
        <v>35.478283171047735</v>
      </c>
      <c r="AD101" s="105">
        <v>50.09724536602593</v>
      </c>
      <c r="AE101" s="105">
        <v>86.897245366025942</v>
      </c>
      <c r="AF101" s="105">
        <v>77.697245366025953</v>
      </c>
      <c r="AG101" s="105">
        <v>35.497245366025965</v>
      </c>
      <c r="AH101" s="105">
        <v>33.297245366025976</v>
      </c>
      <c r="AI101" s="105">
        <v>0</v>
      </c>
      <c r="AJ101" s="105">
        <v>0</v>
      </c>
      <c r="AK101" s="105">
        <v>0</v>
      </c>
      <c r="AL101" s="105">
        <v>1.8000000000000682</v>
      </c>
      <c r="AM101" s="105">
        <v>0.60000000000007958</v>
      </c>
      <c r="AN101" s="105">
        <v>0</v>
      </c>
      <c r="AO101" s="105">
        <v>0</v>
      </c>
      <c r="AP101" s="105">
        <v>0</v>
      </c>
      <c r="AQ101" s="105">
        <v>102.83055540696606</v>
      </c>
      <c r="AR101" s="105">
        <v>10.870591911421343</v>
      </c>
      <c r="AS101" s="105">
        <v>0</v>
      </c>
      <c r="AT101" s="105">
        <v>0</v>
      </c>
      <c r="AU101" s="105">
        <v>0</v>
      </c>
      <c r="AV101" s="105">
        <v>22.813452927030227</v>
      </c>
      <c r="AW101" s="105">
        <v>0</v>
      </c>
      <c r="AX101" s="105">
        <v>0</v>
      </c>
      <c r="AY101" s="105">
        <v>104.66483024401731</v>
      </c>
    </row>
    <row r="102" spans="1:52">
      <c r="A102" s="108"/>
      <c r="B102" s="119">
        <v>3</v>
      </c>
      <c r="C102" s="105">
        <v>0</v>
      </c>
      <c r="D102" s="105">
        <v>21.9384332417916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50.09724536602593</v>
      </c>
      <c r="L102" s="105">
        <v>0</v>
      </c>
      <c r="M102" s="105">
        <v>0</v>
      </c>
      <c r="N102" s="105">
        <v>77.381037805021634</v>
      </c>
      <c r="O102" s="105">
        <v>50.09724536602593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77.381037805021634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145.59051890251084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28.619423531250007</v>
      </c>
      <c r="D109" s="105">
        <v>28.619423531250007</v>
      </c>
      <c r="E109" s="105">
        <v>24.32395487159549</v>
      </c>
      <c r="F109" s="105">
        <v>133.4605340190634</v>
      </c>
      <c r="G109" s="105">
        <v>121.57729830601889</v>
      </c>
      <c r="H109" s="105">
        <v>218.44715365162642</v>
      </c>
      <c r="I109" s="105">
        <v>166.91987732982918</v>
      </c>
      <c r="J109" s="105">
        <v>133.4605340190634</v>
      </c>
      <c r="K109" s="105">
        <v>115.27110416115207</v>
      </c>
      <c r="L109" s="105">
        <v>251.84574853895228</v>
      </c>
      <c r="M109" s="105">
        <v>129.43472951964858</v>
      </c>
      <c r="N109" s="105">
        <v>133.4605340190634</v>
      </c>
      <c r="O109" s="105">
        <v>218.44715365162642</v>
      </c>
      <c r="P109" s="105">
        <v>200.25772379371512</v>
      </c>
      <c r="Q109" s="105">
        <v>115.27110416115207</v>
      </c>
      <c r="R109" s="105">
        <v>185.04855876430059</v>
      </c>
      <c r="S109" s="105">
        <v>148.66969904847792</v>
      </c>
      <c r="T109" s="105">
        <v>185.04855876430059</v>
      </c>
      <c r="U109" s="105">
        <v>200.25772379371512</v>
      </c>
      <c r="V109" s="105">
        <v>171.63115899429957</v>
      </c>
      <c r="W109" s="105">
        <v>166.85912890638926</v>
      </c>
      <c r="X109" s="105">
        <v>166.85912890638926</v>
      </c>
      <c r="Y109" s="105">
        <v>115.27110416115207</v>
      </c>
      <c r="Z109" s="105">
        <v>218.44715365162642</v>
      </c>
      <c r="AA109" s="105">
        <v>166.85912890638926</v>
      </c>
      <c r="AB109" s="105">
        <v>166.85912890638926</v>
      </c>
      <c r="AC109" s="105">
        <v>166.85912890638926</v>
      </c>
      <c r="AD109" s="105">
        <v>133.4605340190634</v>
      </c>
      <c r="AE109" s="105">
        <v>200.25772379371512</v>
      </c>
      <c r="AF109" s="105">
        <v>133.4605340190634</v>
      </c>
      <c r="AG109" s="105">
        <v>200.25772379371512</v>
      </c>
      <c r="AH109" s="105">
        <v>166.85912890638926</v>
      </c>
      <c r="AI109" s="105">
        <v>115.27110416115207</v>
      </c>
      <c r="AJ109" s="105">
        <v>166.85912890638926</v>
      </c>
      <c r="AK109" s="105">
        <v>75.911979616832667</v>
      </c>
      <c r="AL109" s="105">
        <v>166.85912890638929</v>
      </c>
      <c r="AM109" s="105">
        <v>166.85912890638923</v>
      </c>
      <c r="AN109" s="105">
        <v>166.85912890638929</v>
      </c>
      <c r="AO109" s="105">
        <v>69.797529516373771</v>
      </c>
      <c r="AP109" s="105">
        <v>166.85912890638929</v>
      </c>
      <c r="AQ109" s="105">
        <v>166.85912890638923</v>
      </c>
      <c r="AR109" s="105">
        <v>206.90670735572283</v>
      </c>
      <c r="AS109" s="105">
        <v>138.3521184360483</v>
      </c>
      <c r="AT109" s="105">
        <v>138.35211843604833</v>
      </c>
      <c r="AU109" s="105">
        <v>166.85912890638926</v>
      </c>
      <c r="AV109" s="105">
        <v>151.64996387697471</v>
      </c>
      <c r="AW109" s="105">
        <v>182.06829393580378</v>
      </c>
      <c r="AX109" s="105">
        <v>166.85912890638923</v>
      </c>
      <c r="AY109" s="105">
        <v>97.081674303240746</v>
      </c>
    </row>
    <row r="110" spans="1:52">
      <c r="A110" s="108"/>
      <c r="B110" s="118">
        <v>2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64.447153651626422</v>
      </c>
      <c r="J110" s="105">
        <v>58.367030981455599</v>
      </c>
      <c r="K110" s="105">
        <v>0</v>
      </c>
      <c r="L110" s="105">
        <v>0</v>
      </c>
      <c r="M110" s="105">
        <v>71.845748538952279</v>
      </c>
      <c r="N110" s="105">
        <v>19.881212677517311</v>
      </c>
      <c r="O110" s="105">
        <v>0</v>
      </c>
      <c r="P110" s="105">
        <v>9.4471536516264223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22.257723793715115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20.257723793715115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47.711848811988176</v>
      </c>
      <c r="AT110" s="105">
        <v>0</v>
      </c>
      <c r="AU110" s="105">
        <v>0</v>
      </c>
      <c r="AV110" s="105">
        <v>0</v>
      </c>
      <c r="AW110" s="105">
        <v>0</v>
      </c>
      <c r="AX110" s="105">
        <v>8.9496331945863687</v>
      </c>
      <c r="AY110" s="105">
        <v>0</v>
      </c>
    </row>
    <row r="111" spans="1:52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>
        <v>43.118750000000006</v>
      </c>
      <c r="D122" s="105">
        <v>43.750000000000021</v>
      </c>
      <c r="E122" s="105">
        <v>240.04724536602603</v>
      </c>
      <c r="F122" s="105">
        <v>207.33103780502168</v>
      </c>
      <c r="G122" s="105">
        <v>300.11924163612366</v>
      </c>
      <c r="H122" s="105">
        <v>300.11924163612366</v>
      </c>
      <c r="I122" s="105">
        <v>240.04724536602603</v>
      </c>
      <c r="J122" s="105">
        <v>207.33103780502168</v>
      </c>
      <c r="K122" s="105">
        <v>300.11924163612366</v>
      </c>
      <c r="L122" s="105">
        <v>207.33103780502168</v>
      </c>
      <c r="M122" s="105">
        <v>240.04724536602603</v>
      </c>
      <c r="N122" s="105">
        <v>300.11924163612366</v>
      </c>
      <c r="O122" s="105">
        <v>300.11924163612366</v>
      </c>
      <c r="P122" s="105">
        <v>207.33103780502168</v>
      </c>
      <c r="Q122" s="105">
        <v>240.04724536602603</v>
      </c>
      <c r="R122" s="105">
        <v>207.33103780502168</v>
      </c>
      <c r="S122" s="105">
        <v>240.04724536602603</v>
      </c>
      <c r="T122" s="105">
        <v>300.11924163612366</v>
      </c>
      <c r="U122" s="105">
        <v>300.11924163612366</v>
      </c>
      <c r="V122" s="105">
        <v>300.11924163612366</v>
      </c>
      <c r="W122" s="105">
        <v>300.11924163612366</v>
      </c>
      <c r="X122" s="105">
        <v>207.33103780502168</v>
      </c>
      <c r="Y122" s="105">
        <v>300.11924163612366</v>
      </c>
      <c r="Z122" s="105">
        <v>300.11924163612366</v>
      </c>
      <c r="AA122" s="105">
        <v>300.11924163612366</v>
      </c>
      <c r="AB122" s="105">
        <v>300.11924163612366</v>
      </c>
      <c r="AC122" s="105">
        <v>240.04724536602603</v>
      </c>
      <c r="AD122" s="105">
        <v>300.11924163612366</v>
      </c>
      <c r="AE122" s="105">
        <v>240.04724536602603</v>
      </c>
      <c r="AF122" s="105">
        <v>300.11924163612366</v>
      </c>
      <c r="AG122" s="105">
        <v>300.11924163612366</v>
      </c>
      <c r="AH122" s="105">
        <v>207.33103780502168</v>
      </c>
      <c r="AI122" s="105">
        <v>300.11924163612366</v>
      </c>
      <c r="AJ122" s="105">
        <v>43.750000000000021</v>
      </c>
      <c r="AK122" s="105">
        <v>300.11924163612372</v>
      </c>
      <c r="AL122" s="105">
        <v>300.1192416361236</v>
      </c>
      <c r="AM122" s="105">
        <v>300.11924163612372</v>
      </c>
      <c r="AN122" s="105">
        <v>125.54051890251083</v>
      </c>
      <c r="AO122" s="105">
        <v>300.11924163612372</v>
      </c>
      <c r="AP122" s="105">
        <v>125.54051890251083</v>
      </c>
      <c r="AQ122" s="105">
        <v>248.84543708167499</v>
      </c>
      <c r="AR122" s="105">
        <v>248.84543708167493</v>
      </c>
      <c r="AS122" s="105">
        <v>248.84543708167499</v>
      </c>
      <c r="AT122" s="105">
        <v>300.11924163612366</v>
      </c>
      <c r="AU122" s="105">
        <v>272.76345292703036</v>
      </c>
      <c r="AV122" s="105">
        <v>300.11924163612366</v>
      </c>
      <c r="AW122" s="105">
        <v>300.1192416361236</v>
      </c>
      <c r="AX122" s="105">
        <v>174.61483024401733</v>
      </c>
      <c r="AY122" s="105">
        <v>300.1192416361236</v>
      </c>
    </row>
    <row r="123" spans="1:52">
      <c r="A123" s="108"/>
      <c r="B123" s="118">
        <v>2</v>
      </c>
      <c r="C123" s="105">
        <v>0</v>
      </c>
      <c r="D123" s="105">
        <v>0</v>
      </c>
      <c r="E123" s="105">
        <v>0</v>
      </c>
      <c r="F123" s="105">
        <v>11.342563135573954</v>
      </c>
      <c r="G123" s="105">
        <v>92.788203831101953</v>
      </c>
      <c r="H123" s="105">
        <v>0.10926444895684995</v>
      </c>
      <c r="I123" s="105">
        <v>0</v>
      </c>
      <c r="J123" s="105">
        <v>0</v>
      </c>
      <c r="K123" s="105">
        <v>92.788203831101953</v>
      </c>
      <c r="L123" s="105">
        <v>25.475240876960967</v>
      </c>
      <c r="M123" s="105">
        <v>0</v>
      </c>
      <c r="N123" s="105">
        <v>0</v>
      </c>
      <c r="O123" s="105">
        <v>0</v>
      </c>
      <c r="P123" s="105">
        <v>0</v>
      </c>
      <c r="Q123" s="105">
        <v>92.788203831101953</v>
      </c>
      <c r="R123" s="105">
        <v>60.0719962700976</v>
      </c>
      <c r="S123" s="105">
        <v>92.788203831101953</v>
      </c>
      <c r="T123" s="105">
        <v>60.0719962700976</v>
      </c>
      <c r="U123" s="105">
        <v>8.583156704910536</v>
      </c>
      <c r="V123" s="105">
        <v>0</v>
      </c>
      <c r="W123" s="105">
        <v>0</v>
      </c>
      <c r="X123" s="105">
        <v>0</v>
      </c>
      <c r="Y123" s="105">
        <v>92.788203831101953</v>
      </c>
      <c r="Z123" s="105">
        <v>0</v>
      </c>
      <c r="AA123" s="105">
        <v>0</v>
      </c>
      <c r="AB123" s="105">
        <v>0</v>
      </c>
      <c r="AC123" s="105">
        <v>0</v>
      </c>
      <c r="AD123" s="105">
        <v>60.0719962700976</v>
      </c>
      <c r="AE123" s="105">
        <v>0</v>
      </c>
      <c r="AF123" s="105">
        <v>60.0719962700976</v>
      </c>
      <c r="AG123" s="105">
        <v>0</v>
      </c>
      <c r="AH123" s="105">
        <v>0</v>
      </c>
      <c r="AI123" s="105">
        <v>0</v>
      </c>
      <c r="AJ123" s="105">
        <v>0</v>
      </c>
      <c r="AK123" s="105">
        <v>0</v>
      </c>
      <c r="AL123" s="105">
        <v>0</v>
      </c>
      <c r="AM123" s="105">
        <v>0</v>
      </c>
      <c r="AN123" s="105">
        <v>0</v>
      </c>
      <c r="AO123" s="105">
        <v>0</v>
      </c>
      <c r="AP123" s="105">
        <v>0</v>
      </c>
      <c r="AQ123" s="105">
        <v>123.3049181791641</v>
      </c>
      <c r="AR123" s="105">
        <v>0</v>
      </c>
      <c r="AS123" s="105">
        <v>0</v>
      </c>
      <c r="AT123" s="105">
        <v>0</v>
      </c>
      <c r="AU123" s="105">
        <v>0</v>
      </c>
      <c r="AV123" s="105">
        <v>27.355788709093247</v>
      </c>
      <c r="AW123" s="105">
        <v>0</v>
      </c>
      <c r="AX123" s="105">
        <v>0</v>
      </c>
      <c r="AY123" s="105">
        <v>125.50441139210629</v>
      </c>
    </row>
    <row r="124" spans="1:52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60.0719962700976</v>
      </c>
      <c r="L124" s="105">
        <v>0</v>
      </c>
      <c r="M124" s="105">
        <v>0</v>
      </c>
      <c r="N124" s="105">
        <v>92.788203831101953</v>
      </c>
      <c r="O124" s="105">
        <v>60.0719962700976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92.788203831101953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174.57872273361278</v>
      </c>
      <c r="AQ124" s="105">
        <v>0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0.66373500000000007</v>
      </c>
      <c r="D172" s="133">
        <v>0.55597611135075375</v>
      </c>
      <c r="E172" s="133">
        <v>0.55597611135075375</v>
      </c>
      <c r="F172" s="133">
        <v>0.55597611135075375</v>
      </c>
      <c r="G172" s="133">
        <v>0.55597611135075375</v>
      </c>
      <c r="H172" s="133">
        <v>0.55597611135075375</v>
      </c>
      <c r="I172" s="133">
        <v>0.55597611135075375</v>
      </c>
      <c r="J172" s="133">
        <v>0.55597611135075375</v>
      </c>
      <c r="K172" s="133">
        <v>0.55597611135075375</v>
      </c>
      <c r="L172" s="133">
        <v>0.55597611135075375</v>
      </c>
      <c r="M172" s="133">
        <v>0.55597611135075375</v>
      </c>
      <c r="N172" s="133">
        <v>0.55597611135075375</v>
      </c>
      <c r="O172" s="133">
        <v>0.55597611135075375</v>
      </c>
      <c r="P172" s="133">
        <v>0.55597611135075375</v>
      </c>
      <c r="Q172" s="133">
        <v>0.55597611135075375</v>
      </c>
      <c r="R172" s="133">
        <v>0.55597611135075375</v>
      </c>
      <c r="S172" s="133">
        <v>0.55597611135075375</v>
      </c>
      <c r="T172" s="133">
        <v>0.55597611135075375</v>
      </c>
      <c r="U172" s="133">
        <v>0.55597611135075375</v>
      </c>
      <c r="V172" s="133">
        <v>0.55597611135075375</v>
      </c>
      <c r="W172" s="133">
        <v>0.55597611135075375</v>
      </c>
      <c r="X172" s="133">
        <v>0.55597611135075375</v>
      </c>
      <c r="Y172" s="133">
        <v>0.55597611135075375</v>
      </c>
      <c r="Z172" s="133">
        <v>0.55597611135075375</v>
      </c>
      <c r="AA172" s="133">
        <v>0.55597611135075375</v>
      </c>
      <c r="AB172" s="133">
        <v>0.55597611135075375</v>
      </c>
      <c r="AC172" s="133">
        <v>0.55597611135075375</v>
      </c>
      <c r="AD172" s="133">
        <v>0.55597611135075375</v>
      </c>
      <c r="AE172" s="133">
        <v>0.55597611135075375</v>
      </c>
      <c r="AF172" s="133">
        <v>0.55597611135075375</v>
      </c>
      <c r="AG172" s="133">
        <v>0.55597611135075375</v>
      </c>
      <c r="AH172" s="133">
        <v>0.55597611135075375</v>
      </c>
      <c r="AI172" s="133">
        <v>0.55597611135075375</v>
      </c>
      <c r="AJ172" s="133">
        <v>0.55597611135075375</v>
      </c>
      <c r="AK172" s="133">
        <v>0.55597611135075375</v>
      </c>
      <c r="AL172" s="133">
        <v>0.55597611135075375</v>
      </c>
      <c r="AM172" s="133">
        <v>0.55597611135075375</v>
      </c>
      <c r="AN172" s="133">
        <v>0.55597611135075375</v>
      </c>
      <c r="AO172" s="133">
        <v>0.55597611135075375</v>
      </c>
      <c r="AP172" s="133">
        <v>0.55597611135075375</v>
      </c>
      <c r="AQ172" s="133">
        <v>0.55597611135075375</v>
      </c>
      <c r="AR172" s="133">
        <v>0.55597611135075375</v>
      </c>
      <c r="AS172" s="133">
        <v>0.55597611135075375</v>
      </c>
      <c r="AT172" s="133">
        <v>0.55597611135075375</v>
      </c>
      <c r="AU172" s="133">
        <v>0.55597611135075375</v>
      </c>
      <c r="AV172" s="133">
        <v>0.55597611135075375</v>
      </c>
      <c r="AW172" s="133">
        <v>0.55597611135075375</v>
      </c>
      <c r="AX172" s="133">
        <v>0.55597611135075375</v>
      </c>
      <c r="AY172" s="133">
        <v>0.55597611135075375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1122.0074268000001</v>
      </c>
      <c r="E175" s="123">
        <f t="shared" si="1"/>
        <v>1008.0049512000001</v>
      </c>
      <c r="F175" s="123">
        <f t="shared" si="1"/>
        <v>894.00247559999991</v>
      </c>
      <c r="G175" s="123">
        <f t="shared" si="1"/>
        <v>779.99999999999989</v>
      </c>
      <c r="H175" s="123">
        <f t="shared" si="1"/>
        <v>779.99999999999989</v>
      </c>
      <c r="I175" s="123">
        <f t="shared" si="1"/>
        <v>779.99999999999989</v>
      </c>
      <c r="J175" s="123">
        <f t="shared" si="1"/>
        <v>779.99999999999989</v>
      </c>
      <c r="K175" s="123">
        <f t="shared" si="1"/>
        <v>779.99999999999989</v>
      </c>
      <c r="L175" s="123">
        <f t="shared" si="1"/>
        <v>779.99999999999989</v>
      </c>
      <c r="M175" s="123">
        <f t="shared" si="1"/>
        <v>763.99999999999977</v>
      </c>
      <c r="N175" s="123">
        <f t="shared" si="1"/>
        <v>760.99999999999977</v>
      </c>
      <c r="O175" s="123">
        <f t="shared" si="1"/>
        <v>770.99999999999977</v>
      </c>
      <c r="P175" s="123">
        <f t="shared" si="1"/>
        <v>778.99999999999977</v>
      </c>
      <c r="Q175" s="123">
        <f t="shared" si="1"/>
        <v>779.99999999999989</v>
      </c>
      <c r="R175" s="123">
        <f t="shared" si="1"/>
        <v>774.99999999999977</v>
      </c>
      <c r="S175" s="123">
        <f t="shared" si="1"/>
        <v>779.99999999999989</v>
      </c>
      <c r="T175" s="123">
        <f t="shared" si="1"/>
        <v>779.99999999999989</v>
      </c>
      <c r="U175" s="123">
        <f t="shared" si="1"/>
        <v>753.99999999999977</v>
      </c>
      <c r="V175" s="123">
        <f t="shared" si="1"/>
        <v>755.99999999999977</v>
      </c>
      <c r="W175" s="123">
        <f t="shared" si="1"/>
        <v>770.99999999999977</v>
      </c>
      <c r="X175" s="123">
        <f t="shared" si="1"/>
        <v>774.99999999999977</v>
      </c>
      <c r="Y175" s="123">
        <f t="shared" si="1"/>
        <v>779.99999999999989</v>
      </c>
      <c r="Z175" s="123">
        <f t="shared" si="1"/>
        <v>771.99999999999977</v>
      </c>
      <c r="AA175" s="123">
        <f t="shared" si="1"/>
        <v>779.99999999999989</v>
      </c>
      <c r="AB175" s="123">
        <f t="shared" si="1"/>
        <v>771.99999999999977</v>
      </c>
      <c r="AC175" s="123">
        <f t="shared" si="1"/>
        <v>776.99999999999977</v>
      </c>
      <c r="AD175" s="123">
        <f t="shared" si="1"/>
        <v>760.99999999999977</v>
      </c>
      <c r="AE175" s="123">
        <f t="shared" si="1"/>
        <v>738.99999999999977</v>
      </c>
      <c r="AF175" s="123">
        <f t="shared" si="1"/>
        <v>731.99999999999977</v>
      </c>
      <c r="AG175" s="123">
        <f t="shared" si="1"/>
        <v>712.99999999999966</v>
      </c>
      <c r="AH175" s="123">
        <f t="shared" si="1"/>
        <v>711.99999999999966</v>
      </c>
      <c r="AI175" s="123">
        <f t="shared" si="1"/>
        <v>729.99999999999966</v>
      </c>
      <c r="AJ175" s="123">
        <f t="shared" si="1"/>
        <v>756.99999999999955</v>
      </c>
      <c r="AK175" s="123">
        <f t="shared" si="1"/>
        <v>766.99999999999955</v>
      </c>
      <c r="AL175" s="123">
        <f t="shared" si="1"/>
        <v>734.99999999999955</v>
      </c>
      <c r="AM175" s="123">
        <f t="shared" si="1"/>
        <v>745.99999999999955</v>
      </c>
      <c r="AN175" s="123">
        <f t="shared" si="1"/>
        <v>696.99999999999955</v>
      </c>
      <c r="AO175" s="123">
        <f t="shared" si="1"/>
        <v>701.99999999999989</v>
      </c>
      <c r="AP175" s="123">
        <f t="shared" si="1"/>
        <v>662.99999999999989</v>
      </c>
      <c r="AQ175" s="123">
        <f t="shared" si="1"/>
        <v>609.99999999999977</v>
      </c>
      <c r="AR175" s="123">
        <f t="shared" si="1"/>
        <v>598.99999999999977</v>
      </c>
      <c r="AS175" s="123">
        <f t="shared" si="1"/>
        <v>651.99999999999977</v>
      </c>
      <c r="AT175" s="123">
        <f t="shared" si="1"/>
        <v>669.99999999999977</v>
      </c>
      <c r="AU175" s="123">
        <f t="shared" si="1"/>
        <v>710.99999999999977</v>
      </c>
      <c r="AV175" s="123">
        <f t="shared" si="1"/>
        <v>753.99999999999966</v>
      </c>
      <c r="AW175" s="123">
        <f t="shared" si="1"/>
        <v>734.99999999999966</v>
      </c>
      <c r="AX175" s="123">
        <f t="shared" si="1"/>
        <v>761.99999999999966</v>
      </c>
      <c r="AY175" s="123">
        <f t="shared" si="1"/>
        <v>779.99999999999989</v>
      </c>
    </row>
    <row r="176" spans="1:52">
      <c r="A176" s="124"/>
      <c r="B176" s="135" t="s">
        <v>299</v>
      </c>
      <c r="C176" s="124" t="s">
        <v>293</v>
      </c>
      <c r="D176" s="124">
        <v>163</v>
      </c>
      <c r="E176" s="124">
        <v>172</v>
      </c>
      <c r="F176" s="124">
        <v>212</v>
      </c>
      <c r="G176" s="124">
        <v>178</v>
      </c>
      <c r="H176" s="124">
        <v>185</v>
      </c>
      <c r="I176" s="124">
        <v>136</v>
      </c>
      <c r="J176" s="124">
        <v>167</v>
      </c>
      <c r="K176" s="124">
        <v>177</v>
      </c>
      <c r="L176" s="124">
        <v>211</v>
      </c>
      <c r="M176" s="124">
        <v>198</v>
      </c>
      <c r="N176" s="124">
        <v>185</v>
      </c>
      <c r="O176" s="124">
        <v>187</v>
      </c>
      <c r="P176" s="124">
        <v>162</v>
      </c>
      <c r="Q176" s="124">
        <v>200</v>
      </c>
      <c r="R176" s="124">
        <v>185</v>
      </c>
      <c r="S176" s="124">
        <v>178</v>
      </c>
      <c r="T176" s="124">
        <v>221</v>
      </c>
      <c r="U176" s="124">
        <v>193</v>
      </c>
      <c r="V176" s="124">
        <v>180</v>
      </c>
      <c r="W176" s="124">
        <v>191</v>
      </c>
      <c r="X176" s="124">
        <v>182</v>
      </c>
      <c r="Y176" s="124">
        <v>203</v>
      </c>
      <c r="Z176" s="124">
        <v>150</v>
      </c>
      <c r="AA176" s="124">
        <v>203</v>
      </c>
      <c r="AB176" s="124">
        <v>190</v>
      </c>
      <c r="AC176" s="124">
        <v>211</v>
      </c>
      <c r="AD176" s="124">
        <v>217</v>
      </c>
      <c r="AE176" s="124">
        <v>202</v>
      </c>
      <c r="AF176" s="124">
        <v>214</v>
      </c>
      <c r="AG176" s="124">
        <v>196</v>
      </c>
      <c r="AH176" s="124">
        <v>177</v>
      </c>
      <c r="AI176" s="124">
        <v>168</v>
      </c>
      <c r="AJ176" s="124">
        <v>185</v>
      </c>
      <c r="AK176" s="124">
        <v>227</v>
      </c>
      <c r="AL176" s="124">
        <v>184</v>
      </c>
      <c r="AM176" s="124">
        <v>205</v>
      </c>
      <c r="AN176" s="124">
        <v>149</v>
      </c>
      <c r="AO176" s="124">
        <v>167</v>
      </c>
      <c r="AP176" s="124">
        <v>209</v>
      </c>
      <c r="AQ176" s="124">
        <v>206</v>
      </c>
      <c r="AR176" s="124">
        <v>142</v>
      </c>
      <c r="AS176" s="124">
        <v>177</v>
      </c>
      <c r="AT176" s="124">
        <v>154</v>
      </c>
      <c r="AU176" s="124">
        <v>152</v>
      </c>
      <c r="AV176" s="124">
        <v>214</v>
      </c>
      <c r="AW176" s="124">
        <v>168</v>
      </c>
      <c r="AX176" s="124">
        <v>151</v>
      </c>
      <c r="AY176" s="124">
        <v>182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75.5213053542696</v>
      </c>
      <c r="E177" s="123">
        <f t="shared" si="2"/>
        <v>163.70275463397408</v>
      </c>
      <c r="F177" s="123">
        <f t="shared" si="2"/>
        <v>145.87813125484431</v>
      </c>
      <c r="G177" s="123">
        <f t="shared" si="2"/>
        <v>291.18103780502167</v>
      </c>
      <c r="H177" s="123">
        <f t="shared" si="2"/>
        <v>293.98103780502163</v>
      </c>
      <c r="I177" s="123">
        <f t="shared" si="2"/>
        <v>200.68379243899574</v>
      </c>
      <c r="J177" s="123">
        <f t="shared" si="2"/>
        <v>136.41896219497838</v>
      </c>
      <c r="K177" s="123">
        <f t="shared" si="2"/>
        <v>341.27828317104763</v>
      </c>
      <c r="L177" s="123">
        <f t="shared" si="2"/>
        <v>238.69724536602595</v>
      </c>
      <c r="M177" s="123">
        <f t="shared" si="2"/>
        <v>170.40000000000003</v>
      </c>
      <c r="N177" s="123">
        <f t="shared" si="2"/>
        <v>291.18103780502167</v>
      </c>
      <c r="O177" s="123">
        <f t="shared" si="2"/>
        <v>330.07828317104759</v>
      </c>
      <c r="P177" s="123">
        <f t="shared" si="2"/>
        <v>266.49724536602594</v>
      </c>
      <c r="Q177" s="123">
        <f t="shared" si="2"/>
        <v>241.58103780502168</v>
      </c>
      <c r="R177" s="123">
        <f t="shared" si="2"/>
        <v>202.09724536602599</v>
      </c>
      <c r="S177" s="123">
        <f t="shared" si="2"/>
        <v>264.18103780502167</v>
      </c>
      <c r="T177" s="123">
        <f t="shared" si="2"/>
        <v>323.07828317104764</v>
      </c>
      <c r="U177" s="123">
        <f t="shared" si="2"/>
        <v>331.87828317104766</v>
      </c>
      <c r="V177" s="123">
        <f t="shared" si="2"/>
        <v>369.67828317104767</v>
      </c>
      <c r="W177" s="123">
        <f t="shared" si="2"/>
        <v>376.47828317104768</v>
      </c>
      <c r="X177" s="123">
        <f t="shared" si="2"/>
        <v>278.89724536602603</v>
      </c>
      <c r="Y177" s="123">
        <f t="shared" si="2"/>
        <v>310.0782831710477</v>
      </c>
      <c r="Z177" s="123">
        <f t="shared" si="2"/>
        <v>341.87828317104771</v>
      </c>
      <c r="AA177" s="123">
        <f t="shared" si="2"/>
        <v>305.67828317104772</v>
      </c>
      <c r="AB177" s="123">
        <f t="shared" si="2"/>
        <v>297.47828317104774</v>
      </c>
      <c r="AC177" s="123">
        <f t="shared" si="2"/>
        <v>199.18103780502182</v>
      </c>
      <c r="AD177" s="123">
        <f t="shared" si="2"/>
        <v>263.89724536602591</v>
      </c>
      <c r="AE177" s="123">
        <f t="shared" si="2"/>
        <v>250.60000000000002</v>
      </c>
      <c r="AF177" s="123">
        <f t="shared" si="2"/>
        <v>291.49724536602594</v>
      </c>
      <c r="AG177" s="123">
        <f t="shared" si="2"/>
        <v>249.29724536602598</v>
      </c>
      <c r="AH177" s="123">
        <f t="shared" si="2"/>
        <v>169.71620756100435</v>
      </c>
      <c r="AI177" s="123">
        <f t="shared" si="2"/>
        <v>213.8</v>
      </c>
      <c r="AJ177" s="123">
        <f t="shared" si="2"/>
        <v>77.381037805021634</v>
      </c>
      <c r="AK177" s="123">
        <f t="shared" si="2"/>
        <v>213.80000000000007</v>
      </c>
      <c r="AL177" s="123">
        <f t="shared" si="2"/>
        <v>215.60000000000008</v>
      </c>
      <c r="AM177" s="123">
        <f t="shared" si="2"/>
        <v>214.40000000000015</v>
      </c>
      <c r="AN177" s="123">
        <f t="shared" si="2"/>
        <v>68.209481097489189</v>
      </c>
      <c r="AO177" s="123">
        <f t="shared" si="2"/>
        <v>213.80000000000007</v>
      </c>
      <c r="AP177" s="123">
        <f t="shared" si="2"/>
        <v>213.8</v>
      </c>
      <c r="AQ177" s="123">
        <f t="shared" si="2"/>
        <v>273.87059191142134</v>
      </c>
      <c r="AR177" s="123">
        <f t="shared" si="2"/>
        <v>181.91062841587657</v>
      </c>
      <c r="AS177" s="123">
        <f t="shared" si="2"/>
        <v>171.04003650445529</v>
      </c>
      <c r="AT177" s="123">
        <f t="shared" si="2"/>
        <v>213.8</v>
      </c>
      <c r="AU177" s="123">
        <f t="shared" si="2"/>
        <v>190.98654707296978</v>
      </c>
      <c r="AV177" s="123">
        <f t="shared" si="2"/>
        <v>236.61345292703024</v>
      </c>
      <c r="AW177" s="123">
        <f t="shared" si="2"/>
        <v>213.8</v>
      </c>
      <c r="AX177" s="123">
        <f t="shared" si="2"/>
        <v>109.1351697559827</v>
      </c>
      <c r="AY177" s="123">
        <f t="shared" si="2"/>
        <v>318.46483024401732</v>
      </c>
    </row>
    <row r="178" spans="1:51">
      <c r="A178" s="124"/>
      <c r="B178" s="135" t="s">
        <v>299</v>
      </c>
      <c r="C178" s="124" t="s">
        <v>293</v>
      </c>
      <c r="D178" s="124">
        <v>75.5213053542696</v>
      </c>
      <c r="E178" s="124">
        <v>163.70275463397408</v>
      </c>
      <c r="F178" s="124">
        <v>145.87813125484431</v>
      </c>
      <c r="G178" s="124">
        <v>211</v>
      </c>
      <c r="H178" s="124">
        <v>257</v>
      </c>
      <c r="I178" s="124">
        <v>200.68379243899574</v>
      </c>
      <c r="J178" s="124">
        <v>136.41896219497838</v>
      </c>
      <c r="K178" s="124">
        <v>239</v>
      </c>
      <c r="L178" s="124">
        <v>232</v>
      </c>
      <c r="M178" s="124">
        <v>170.40000000000003</v>
      </c>
      <c r="N178" s="124">
        <v>225</v>
      </c>
      <c r="O178" s="124">
        <v>200</v>
      </c>
      <c r="P178" s="124">
        <v>266</v>
      </c>
      <c r="Q178" s="124">
        <v>226</v>
      </c>
      <c r="R178" s="124">
        <v>179</v>
      </c>
      <c r="S178" s="124">
        <v>205</v>
      </c>
      <c r="T178" s="124">
        <v>205</v>
      </c>
      <c r="U178" s="124">
        <v>176</v>
      </c>
      <c r="V178" s="124">
        <v>207</v>
      </c>
      <c r="W178" s="124">
        <v>234</v>
      </c>
      <c r="X178" s="124">
        <v>260</v>
      </c>
      <c r="Y178" s="124">
        <v>182</v>
      </c>
      <c r="Z178" s="124">
        <v>250</v>
      </c>
      <c r="AA178" s="124">
        <v>222</v>
      </c>
      <c r="AB178" s="124">
        <v>262</v>
      </c>
      <c r="AC178" s="124">
        <v>199.18103780502182</v>
      </c>
      <c r="AD178" s="124">
        <v>177</v>
      </c>
      <c r="AE178" s="124">
        <v>223</v>
      </c>
      <c r="AF178" s="124">
        <v>256</v>
      </c>
      <c r="AG178" s="124">
        <v>216</v>
      </c>
      <c r="AH178" s="124">
        <v>169.71620756100435</v>
      </c>
      <c r="AI178" s="124">
        <v>213.8</v>
      </c>
      <c r="AJ178" s="124">
        <v>77.381037805021634</v>
      </c>
      <c r="AK178" s="124">
        <v>212</v>
      </c>
      <c r="AL178" s="124">
        <v>215</v>
      </c>
      <c r="AM178" s="124">
        <v>214.40000000000015</v>
      </c>
      <c r="AN178" s="124">
        <v>68.209481097489189</v>
      </c>
      <c r="AO178" s="124">
        <v>213.80000000000007</v>
      </c>
      <c r="AP178" s="124">
        <v>213.8</v>
      </c>
      <c r="AQ178" s="124">
        <v>263</v>
      </c>
      <c r="AR178" s="124">
        <v>181.91062841587657</v>
      </c>
      <c r="AS178" s="124">
        <v>171.04003650445529</v>
      </c>
      <c r="AT178" s="124">
        <v>213.8</v>
      </c>
      <c r="AU178" s="124">
        <v>190.98654707296978</v>
      </c>
      <c r="AV178" s="124">
        <v>236.61345292703024</v>
      </c>
      <c r="AW178" s="124">
        <v>213.8</v>
      </c>
      <c r="AX178" s="124">
        <v>109.1351697559827</v>
      </c>
      <c r="AY178" s="124">
        <v>250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28.619423531250007</v>
      </c>
      <c r="E179" s="123">
        <f t="shared" si="3"/>
        <v>24.32395487159549</v>
      </c>
      <c r="F179" s="123">
        <f t="shared" si="3"/>
        <v>133.4605340190634</v>
      </c>
      <c r="G179" s="123">
        <f t="shared" si="3"/>
        <v>121.57729830601889</v>
      </c>
      <c r="H179" s="123">
        <f t="shared" si="3"/>
        <v>218.44715365162642</v>
      </c>
      <c r="I179" s="123">
        <f t="shared" si="3"/>
        <v>231.3670309814556</v>
      </c>
      <c r="J179" s="123">
        <f t="shared" si="3"/>
        <v>191.827565000519</v>
      </c>
      <c r="K179" s="123">
        <f t="shared" si="3"/>
        <v>115.27110416115207</v>
      </c>
      <c r="L179" s="123">
        <f t="shared" si="3"/>
        <v>251.84574853895228</v>
      </c>
      <c r="M179" s="123">
        <f t="shared" si="3"/>
        <v>201.28047805860086</v>
      </c>
      <c r="N179" s="123">
        <f t="shared" si="3"/>
        <v>153.34174669658071</v>
      </c>
      <c r="O179" s="123">
        <f t="shared" si="3"/>
        <v>218.44715365162642</v>
      </c>
      <c r="P179" s="123">
        <f t="shared" si="3"/>
        <v>209.70487744534154</v>
      </c>
      <c r="Q179" s="123">
        <f t="shared" si="3"/>
        <v>115.27110416115207</v>
      </c>
      <c r="R179" s="123">
        <f t="shared" si="3"/>
        <v>185.04855876430059</v>
      </c>
      <c r="S179" s="123">
        <f t="shared" si="3"/>
        <v>148.66969904847792</v>
      </c>
      <c r="T179" s="123">
        <f t="shared" si="3"/>
        <v>185.04855876430059</v>
      </c>
      <c r="U179" s="123">
        <f t="shared" si="3"/>
        <v>200.25772379371512</v>
      </c>
      <c r="V179" s="123">
        <f t="shared" si="3"/>
        <v>193.88888278801468</v>
      </c>
      <c r="W179" s="123">
        <f t="shared" si="3"/>
        <v>166.85912890638926</v>
      </c>
      <c r="X179" s="123">
        <f t="shared" si="3"/>
        <v>166.85912890638926</v>
      </c>
      <c r="Y179" s="123">
        <f t="shared" si="3"/>
        <v>115.27110416115207</v>
      </c>
      <c r="Z179" s="123">
        <f t="shared" si="3"/>
        <v>218.44715365162642</v>
      </c>
      <c r="AA179" s="123">
        <f t="shared" si="3"/>
        <v>166.85912890638926</v>
      </c>
      <c r="AB179" s="123">
        <f t="shared" si="3"/>
        <v>166.85912890638926</v>
      </c>
      <c r="AC179" s="123">
        <f t="shared" si="3"/>
        <v>166.85912890638926</v>
      </c>
      <c r="AD179" s="123">
        <f t="shared" si="3"/>
        <v>133.4605340190634</v>
      </c>
      <c r="AE179" s="123">
        <f t="shared" si="3"/>
        <v>200.25772379371512</v>
      </c>
      <c r="AF179" s="123">
        <f t="shared" si="3"/>
        <v>133.4605340190634</v>
      </c>
      <c r="AG179" s="123">
        <f t="shared" si="3"/>
        <v>200.25772379371512</v>
      </c>
      <c r="AH179" s="123">
        <f t="shared" si="3"/>
        <v>187.11685270010437</v>
      </c>
      <c r="AI179" s="123">
        <f t="shared" si="3"/>
        <v>115.27110416115207</v>
      </c>
      <c r="AJ179" s="123">
        <f t="shared" si="3"/>
        <v>166.85912890638926</v>
      </c>
      <c r="AK179" s="123">
        <f t="shared" si="3"/>
        <v>75.911979616832667</v>
      </c>
      <c r="AL179" s="123">
        <f t="shared" si="3"/>
        <v>166.85912890638929</v>
      </c>
      <c r="AM179" s="123">
        <f t="shared" si="3"/>
        <v>166.85912890638923</v>
      </c>
      <c r="AN179" s="123">
        <f t="shared" si="3"/>
        <v>166.85912890638929</v>
      </c>
      <c r="AO179" s="123">
        <f t="shared" si="3"/>
        <v>69.797529516373771</v>
      </c>
      <c r="AP179" s="123">
        <f t="shared" si="3"/>
        <v>166.85912890638929</v>
      </c>
      <c r="AQ179" s="123">
        <f t="shared" si="3"/>
        <v>166.85912890638923</v>
      </c>
      <c r="AR179" s="123">
        <f t="shared" si="3"/>
        <v>206.90670735572283</v>
      </c>
      <c r="AS179" s="123">
        <f t="shared" si="3"/>
        <v>186.06396724803648</v>
      </c>
      <c r="AT179" s="123">
        <f t="shared" si="3"/>
        <v>138.35211843604833</v>
      </c>
      <c r="AU179" s="123">
        <f t="shared" si="3"/>
        <v>166.85912890638926</v>
      </c>
      <c r="AV179" s="123">
        <f t="shared" si="3"/>
        <v>151.64996387697471</v>
      </c>
      <c r="AW179" s="123">
        <f t="shared" si="3"/>
        <v>182.06829393580378</v>
      </c>
      <c r="AX179" s="123">
        <f t="shared" si="3"/>
        <v>175.8087621009756</v>
      </c>
      <c r="AY179" s="123">
        <f t="shared" si="3"/>
        <v>97.081674303240746</v>
      </c>
    </row>
    <row r="180" spans="1:51">
      <c r="A180" s="124"/>
      <c r="B180" s="135" t="s">
        <v>299</v>
      </c>
      <c r="C180" s="124" t="s">
        <v>293</v>
      </c>
      <c r="D180" s="124">
        <v>28.619423531250007</v>
      </c>
      <c r="E180" s="124">
        <v>24.32395487159549</v>
      </c>
      <c r="F180" s="124">
        <v>133.4605340190634</v>
      </c>
      <c r="G180" s="124">
        <v>121.57729830601889</v>
      </c>
      <c r="H180" s="124">
        <v>154</v>
      </c>
      <c r="I180" s="124">
        <v>173</v>
      </c>
      <c r="J180" s="124">
        <v>191.827565000519</v>
      </c>
      <c r="K180" s="124">
        <v>115.27110416115207</v>
      </c>
      <c r="L180" s="124">
        <v>180</v>
      </c>
      <c r="M180" s="124">
        <v>181.39926538108355</v>
      </c>
      <c r="N180" s="124">
        <v>153.34174669658071</v>
      </c>
      <c r="O180" s="124">
        <v>209</v>
      </c>
      <c r="P180" s="124">
        <v>209.70487744534154</v>
      </c>
      <c r="Q180" s="124">
        <v>115.27110416115207</v>
      </c>
      <c r="R180" s="124">
        <v>185.04855876430059</v>
      </c>
      <c r="S180" s="124">
        <v>148.66969904847792</v>
      </c>
      <c r="T180" s="124">
        <v>185.04855876430059</v>
      </c>
      <c r="U180" s="124">
        <v>178</v>
      </c>
      <c r="V180" s="124">
        <v>193.88888278801468</v>
      </c>
      <c r="W180" s="124">
        <v>166.85912890638926</v>
      </c>
      <c r="X180" s="124">
        <v>166.85912890638926</v>
      </c>
      <c r="Y180" s="124">
        <v>115.27110416115207</v>
      </c>
      <c r="Z180" s="124">
        <v>218.44715365162642</v>
      </c>
      <c r="AA180" s="124">
        <v>166.85912890638926</v>
      </c>
      <c r="AB180" s="124">
        <v>166.85912890638926</v>
      </c>
      <c r="AC180" s="124">
        <v>166.85912890638926</v>
      </c>
      <c r="AD180" s="124">
        <v>133.4605340190634</v>
      </c>
      <c r="AE180" s="124">
        <v>200.25772379371512</v>
      </c>
      <c r="AF180" s="124">
        <v>133.4605340190634</v>
      </c>
      <c r="AG180" s="124">
        <v>180</v>
      </c>
      <c r="AH180" s="124">
        <v>187.11685270010437</v>
      </c>
      <c r="AI180" s="124">
        <v>115.27110416115207</v>
      </c>
      <c r="AJ180" s="124">
        <v>166.85912890638926</v>
      </c>
      <c r="AK180" s="124">
        <v>75.911979616832667</v>
      </c>
      <c r="AL180" s="124">
        <v>166.85912890638929</v>
      </c>
      <c r="AM180" s="124">
        <v>166.85912890638923</v>
      </c>
      <c r="AN180" s="124">
        <v>166.85912890638929</v>
      </c>
      <c r="AO180" s="124">
        <v>69.797529516373771</v>
      </c>
      <c r="AP180" s="124">
        <v>166.85912890638929</v>
      </c>
      <c r="AQ180" s="124">
        <v>166.85912890638923</v>
      </c>
      <c r="AR180" s="124">
        <v>159.19485854373465</v>
      </c>
      <c r="AS180" s="124">
        <v>186.06396724803648</v>
      </c>
      <c r="AT180" s="124">
        <v>138.35211843604833</v>
      </c>
      <c r="AU180" s="124">
        <v>166.85912890638926</v>
      </c>
      <c r="AV180" s="124">
        <v>151.64996387697471</v>
      </c>
      <c r="AW180" s="124">
        <v>173.11866074121741</v>
      </c>
      <c r="AX180" s="124">
        <v>175.8087621009756</v>
      </c>
      <c r="AY180" s="124">
        <v>97.081674303240746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19.426045128404532</v>
      </c>
      <c r="E181" s="123">
        <f t="shared" si="4"/>
        <v>106.58671134696263</v>
      </c>
      <c r="F181" s="123">
        <f t="shared" si="4"/>
        <v>97.096302634576745</v>
      </c>
      <c r="G181" s="123">
        <f t="shared" si="4"/>
        <v>174.46029181559919</v>
      </c>
      <c r="H181" s="123">
        <f t="shared" si="4"/>
        <v>133.30862875525136</v>
      </c>
      <c r="I181" s="123">
        <f t="shared" si="4"/>
        <v>106.58671134696263</v>
      </c>
      <c r="J181" s="123">
        <f t="shared" si="4"/>
        <v>92.059933643869613</v>
      </c>
      <c r="K181" s="123">
        <f t="shared" si="4"/>
        <v>201.13369319837093</v>
      </c>
      <c r="L181" s="123">
        <f t="shared" si="4"/>
        <v>103.37154916233405</v>
      </c>
      <c r="M181" s="123">
        <f t="shared" si="4"/>
        <v>106.58671134696263</v>
      </c>
      <c r="N181" s="123">
        <f t="shared" si="4"/>
        <v>174.46029181559919</v>
      </c>
      <c r="O181" s="123">
        <f t="shared" si="4"/>
        <v>159.93351411250615</v>
      </c>
      <c r="P181" s="123">
        <f t="shared" si="4"/>
        <v>92.059933643869613</v>
      </c>
      <c r="Q181" s="123">
        <f t="shared" si="4"/>
        <v>147.78689043282742</v>
      </c>
      <c r="R181" s="123">
        <f t="shared" si="4"/>
        <v>118.73333502664137</v>
      </c>
      <c r="S181" s="123">
        <f t="shared" si="4"/>
        <v>147.78689043282742</v>
      </c>
      <c r="T181" s="123">
        <f t="shared" si="4"/>
        <v>159.93351411250615</v>
      </c>
      <c r="U181" s="123">
        <f t="shared" si="4"/>
        <v>137.07123934673464</v>
      </c>
      <c r="V181" s="123">
        <f t="shared" si="4"/>
        <v>133.2601127297344</v>
      </c>
      <c r="W181" s="123">
        <f t="shared" si="4"/>
        <v>133.2601127297344</v>
      </c>
      <c r="X181" s="123">
        <f t="shared" si="4"/>
        <v>92.059933643869613</v>
      </c>
      <c r="Y181" s="123">
        <f t="shared" si="4"/>
        <v>174.46029181559919</v>
      </c>
      <c r="Z181" s="123">
        <f t="shared" si="4"/>
        <v>133.2601127297344</v>
      </c>
      <c r="AA181" s="123">
        <f t="shared" si="4"/>
        <v>133.2601127297344</v>
      </c>
      <c r="AB181" s="123">
        <f t="shared" si="4"/>
        <v>133.2601127297344</v>
      </c>
      <c r="AC181" s="123">
        <f t="shared" si="4"/>
        <v>106.58671134696263</v>
      </c>
      <c r="AD181" s="123">
        <f t="shared" si="4"/>
        <v>159.93351411250615</v>
      </c>
      <c r="AE181" s="123">
        <f t="shared" si="4"/>
        <v>106.58671134696263</v>
      </c>
      <c r="AF181" s="123">
        <f t="shared" si="4"/>
        <v>159.93351411250615</v>
      </c>
      <c r="AG181" s="123">
        <f t="shared" si="4"/>
        <v>133.2601127297344</v>
      </c>
      <c r="AH181" s="123">
        <f t="shared" si="4"/>
        <v>92.059933643869613</v>
      </c>
      <c r="AI181" s="123">
        <f t="shared" si="4"/>
        <v>133.2601127297344</v>
      </c>
      <c r="AJ181" s="123">
        <f t="shared" si="4"/>
        <v>60.626224214269314</v>
      </c>
      <c r="AK181" s="123">
        <f t="shared" si="4"/>
        <v>133.26011272973443</v>
      </c>
      <c r="AL181" s="123">
        <f t="shared" si="4"/>
        <v>133.26011272973437</v>
      </c>
      <c r="AM181" s="123">
        <f t="shared" si="4"/>
        <v>133.26011272973443</v>
      </c>
      <c r="AN181" s="123">
        <f t="shared" si="4"/>
        <v>55.742989386137062</v>
      </c>
      <c r="AO181" s="123">
        <f t="shared" si="4"/>
        <v>133.26011272973443</v>
      </c>
      <c r="AP181" s="123">
        <f t="shared" si="4"/>
        <v>133.26011272973437</v>
      </c>
      <c r="AQ181" s="123">
        <f t="shared" si="4"/>
        <v>165.24364790511626</v>
      </c>
      <c r="AR181" s="123">
        <f t="shared" si="4"/>
        <v>110.49331864562664</v>
      </c>
      <c r="AS181" s="123">
        <f t="shared" si="4"/>
        <v>110.49331864562667</v>
      </c>
      <c r="AT181" s="123">
        <f t="shared" si="4"/>
        <v>133.2601127297344</v>
      </c>
      <c r="AU181" s="123">
        <f t="shared" si="4"/>
        <v>121.11348905005565</v>
      </c>
      <c r="AV181" s="123">
        <f t="shared" si="4"/>
        <v>145.40673640941313</v>
      </c>
      <c r="AW181" s="123">
        <f t="shared" si="4"/>
        <v>133.26011272973437</v>
      </c>
      <c r="AX181" s="123">
        <f t="shared" si="4"/>
        <v>77.533155940776581</v>
      </c>
      <c r="AY181" s="123">
        <f t="shared" si="4"/>
        <v>188.98706951869218</v>
      </c>
    </row>
    <row r="182" spans="1:51">
      <c r="A182" s="124"/>
      <c r="B182" s="135" t="s">
        <v>299</v>
      </c>
      <c r="C182" s="124" t="s">
        <v>293</v>
      </c>
      <c r="D182" s="124">
        <v>19.426045128404532</v>
      </c>
      <c r="E182" s="124">
        <v>106.58671134696263</v>
      </c>
      <c r="F182" s="124">
        <v>97.096302634576745</v>
      </c>
      <c r="G182" s="124">
        <v>174.35102736664231</v>
      </c>
      <c r="H182" s="124">
        <v>133.30862875525136</v>
      </c>
      <c r="I182" s="124">
        <v>106.58671134696263</v>
      </c>
      <c r="J182" s="124">
        <v>92.059933643869613</v>
      </c>
      <c r="K182" s="124">
        <v>175.65845232140995</v>
      </c>
      <c r="L182" s="124">
        <v>103.37154916233405</v>
      </c>
      <c r="M182" s="124">
        <v>106.58671134696263</v>
      </c>
      <c r="N182" s="124">
        <v>174.46029181559919</v>
      </c>
      <c r="O182" s="124">
        <v>159.93351411250615</v>
      </c>
      <c r="P182" s="124">
        <v>92.059933643869613</v>
      </c>
      <c r="Q182" s="124">
        <v>147.78689043282742</v>
      </c>
      <c r="R182" s="124">
        <v>118.73333502664137</v>
      </c>
      <c r="S182" s="124">
        <v>147.78689043282742</v>
      </c>
      <c r="T182" s="124">
        <v>151.35035740759562</v>
      </c>
      <c r="U182" s="124">
        <v>137.07123934673464</v>
      </c>
      <c r="V182" s="124">
        <v>133.2601127297344</v>
      </c>
      <c r="W182" s="124">
        <v>133.2601127297344</v>
      </c>
      <c r="X182" s="124">
        <v>92.059933643869613</v>
      </c>
      <c r="Y182" s="124">
        <v>174.46029181559919</v>
      </c>
      <c r="Z182" s="124">
        <v>133.2601127297344</v>
      </c>
      <c r="AA182" s="124">
        <v>133.2601127297344</v>
      </c>
      <c r="AB182" s="124">
        <v>133.2601127297344</v>
      </c>
      <c r="AC182" s="124">
        <v>106.58671134696263</v>
      </c>
      <c r="AD182" s="124">
        <v>159.93351411250615</v>
      </c>
      <c r="AE182" s="124">
        <v>106.58671134696263</v>
      </c>
      <c r="AF182" s="124">
        <v>159.93351411250615</v>
      </c>
      <c r="AG182" s="124">
        <v>133.2601127297344</v>
      </c>
      <c r="AH182" s="124">
        <v>92.059933643869613</v>
      </c>
      <c r="AI182" s="124">
        <v>133.2601127297344</v>
      </c>
      <c r="AJ182" s="124">
        <v>60.626224214269314</v>
      </c>
      <c r="AK182" s="124">
        <v>133.26011272973443</v>
      </c>
      <c r="AL182" s="124">
        <v>133.26011272973437</v>
      </c>
      <c r="AM182" s="124">
        <v>133.26011272973443</v>
      </c>
      <c r="AN182" s="124">
        <v>55.742989386137062</v>
      </c>
      <c r="AO182" s="124">
        <v>133.26011272973443</v>
      </c>
      <c r="AP182" s="124">
        <v>133.26011272973437</v>
      </c>
      <c r="AQ182" s="124">
        <v>165.24364790511626</v>
      </c>
      <c r="AR182" s="124">
        <v>110.49331864562664</v>
      </c>
      <c r="AS182" s="124">
        <v>110.49331864562667</v>
      </c>
      <c r="AT182" s="124">
        <v>133.2601127297344</v>
      </c>
      <c r="AU182" s="124">
        <v>121.11348905005565</v>
      </c>
      <c r="AV182" s="124">
        <v>145.40673640941313</v>
      </c>
      <c r="AW182" s="124">
        <v>133.26011272973437</v>
      </c>
      <c r="AX182" s="124">
        <v>77.533155940776581</v>
      </c>
      <c r="AY182" s="124">
        <v>188.98706951869218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16.000000000000028</v>
      </c>
      <c r="M187" s="105">
        <v>19.000000000000057</v>
      </c>
      <c r="N187" s="105">
        <v>9.0000000000000853</v>
      </c>
      <c r="O187" s="105">
        <v>1.0000000000001137</v>
      </c>
      <c r="P187" s="105">
        <v>0</v>
      </c>
      <c r="Q187" s="105">
        <v>5.0000000000000284</v>
      </c>
      <c r="R187" s="105">
        <v>0</v>
      </c>
      <c r="S187" s="105">
        <v>0</v>
      </c>
      <c r="T187" s="105">
        <v>26.000000000000028</v>
      </c>
      <c r="U187" s="105">
        <v>24.000000000000057</v>
      </c>
      <c r="V187" s="105">
        <v>9.0000000000000853</v>
      </c>
      <c r="W187" s="105">
        <v>5.0000000000001137</v>
      </c>
      <c r="X187" s="105">
        <v>0</v>
      </c>
      <c r="Y187" s="105">
        <v>8.0000000000000284</v>
      </c>
      <c r="Z187" s="105">
        <v>0</v>
      </c>
      <c r="AA187" s="105">
        <v>8.0000000000000284</v>
      </c>
      <c r="AB187" s="105">
        <v>3.0000000000000568</v>
      </c>
      <c r="AC187" s="105">
        <v>19.000000000000085</v>
      </c>
      <c r="AD187" s="105">
        <v>41.000000000000114</v>
      </c>
      <c r="AE187" s="105">
        <v>48.000000000000142</v>
      </c>
      <c r="AF187" s="105">
        <v>67.000000000000171</v>
      </c>
      <c r="AG187" s="105">
        <v>68.000000000000199</v>
      </c>
      <c r="AH187" s="105">
        <v>50.000000000000227</v>
      </c>
      <c r="AI187" s="105">
        <v>23.000000000000256</v>
      </c>
      <c r="AJ187" s="105">
        <v>13.000000000000284</v>
      </c>
      <c r="AK187" s="105">
        <v>45.000000000000313</v>
      </c>
      <c r="AL187" s="105">
        <v>34.000000000000341</v>
      </c>
      <c r="AM187" s="105">
        <v>44.000000000000369</v>
      </c>
      <c r="AN187" s="105">
        <v>0</v>
      </c>
      <c r="AO187" s="105">
        <v>0</v>
      </c>
      <c r="AP187" s="105">
        <v>14.000000000000028</v>
      </c>
      <c r="AQ187" s="105">
        <v>64.000000000000057</v>
      </c>
      <c r="AR187" s="105">
        <v>50.000000000000085</v>
      </c>
      <c r="AS187" s="105">
        <v>71.000000000000114</v>
      </c>
      <c r="AT187" s="105">
        <v>69.000000000000142</v>
      </c>
      <c r="AU187" s="105">
        <v>26.000000000000171</v>
      </c>
      <c r="AV187" s="105">
        <v>45.000000000000199</v>
      </c>
      <c r="AW187" s="105">
        <v>18.000000000000227</v>
      </c>
      <c r="AX187" s="105">
        <v>0</v>
      </c>
      <c r="AY187" s="105">
        <v>0</v>
      </c>
    </row>
    <row r="188" spans="1:51">
      <c r="A188" s="127"/>
      <c r="B188" s="128">
        <v>4</v>
      </c>
      <c r="C188" s="105">
        <v>199</v>
      </c>
      <c r="D188" s="105">
        <v>163</v>
      </c>
      <c r="E188" s="105">
        <v>172</v>
      </c>
      <c r="F188" s="105">
        <v>212</v>
      </c>
      <c r="G188" s="105">
        <v>178</v>
      </c>
      <c r="H188" s="105">
        <v>185</v>
      </c>
      <c r="I188" s="105">
        <v>136</v>
      </c>
      <c r="J188" s="105">
        <v>167</v>
      </c>
      <c r="K188" s="105">
        <v>177</v>
      </c>
      <c r="L188" s="105">
        <v>194.99999999999997</v>
      </c>
      <c r="M188" s="105">
        <v>178.99999999999994</v>
      </c>
      <c r="N188" s="105">
        <v>175.99999999999991</v>
      </c>
      <c r="O188" s="105">
        <v>185.99999999999989</v>
      </c>
      <c r="P188" s="105">
        <v>162</v>
      </c>
      <c r="Q188" s="105">
        <v>194.99999999999997</v>
      </c>
      <c r="R188" s="105">
        <v>185</v>
      </c>
      <c r="S188" s="105">
        <v>178</v>
      </c>
      <c r="T188" s="105">
        <v>194.99999999999997</v>
      </c>
      <c r="U188" s="105">
        <v>168.99999999999994</v>
      </c>
      <c r="V188" s="105">
        <v>170.99999999999991</v>
      </c>
      <c r="W188" s="105">
        <v>185.99999999999989</v>
      </c>
      <c r="X188" s="105">
        <v>182</v>
      </c>
      <c r="Y188" s="105">
        <v>194.99999999999997</v>
      </c>
      <c r="Z188" s="105">
        <v>150</v>
      </c>
      <c r="AA188" s="105">
        <v>194.99999999999997</v>
      </c>
      <c r="AB188" s="105">
        <v>186.99999999999994</v>
      </c>
      <c r="AC188" s="105">
        <v>191.99999999999991</v>
      </c>
      <c r="AD188" s="105">
        <v>175.99999999999989</v>
      </c>
      <c r="AE188" s="105">
        <v>153.99999999999986</v>
      </c>
      <c r="AF188" s="105">
        <v>146.99999999999983</v>
      </c>
      <c r="AG188" s="105">
        <v>127.9999999999998</v>
      </c>
      <c r="AH188" s="105">
        <v>126.99999999999977</v>
      </c>
      <c r="AI188" s="105">
        <v>144.99999999999974</v>
      </c>
      <c r="AJ188" s="105">
        <v>171.99999999999972</v>
      </c>
      <c r="AK188" s="105">
        <v>181.99999999999969</v>
      </c>
      <c r="AL188" s="105">
        <v>149.99999999999966</v>
      </c>
      <c r="AM188" s="105">
        <v>160.99999999999963</v>
      </c>
      <c r="AN188" s="105">
        <v>149</v>
      </c>
      <c r="AO188" s="105">
        <v>167</v>
      </c>
      <c r="AP188" s="105">
        <v>194.99999999999997</v>
      </c>
      <c r="AQ188" s="105">
        <v>141.99999999999994</v>
      </c>
      <c r="AR188" s="105">
        <v>91.999999999999915</v>
      </c>
      <c r="AS188" s="105">
        <v>105.99999999999989</v>
      </c>
      <c r="AT188" s="105">
        <v>84.999999999999858</v>
      </c>
      <c r="AU188" s="105">
        <v>125.99999999999983</v>
      </c>
      <c r="AV188" s="105">
        <v>168.9999999999998</v>
      </c>
      <c r="AW188" s="105">
        <v>149.99999999999977</v>
      </c>
      <c r="AX188" s="105">
        <v>151</v>
      </c>
      <c r="AY188" s="105">
        <v>182</v>
      </c>
    </row>
    <row r="189" spans="1:51">
      <c r="A189" s="125" t="s">
        <v>133</v>
      </c>
      <c r="B189" s="122">
        <v>1</v>
      </c>
      <c r="C189" s="123">
        <v>21.9384332417916</v>
      </c>
      <c r="D189" s="123">
        <v>48.784215952378801</v>
      </c>
      <c r="E189" s="123">
        <v>163.70275463397408</v>
      </c>
      <c r="F189" s="123">
        <v>136.41896219497838</v>
      </c>
      <c r="G189" s="123">
        <v>133.61896219497837</v>
      </c>
      <c r="H189" s="123">
        <v>176.81896219497835</v>
      </c>
      <c r="I189" s="123">
        <v>163.70275463397408</v>
      </c>
      <c r="J189" s="123">
        <v>136.41896219497838</v>
      </c>
      <c r="K189" s="123">
        <v>111.52171682895244</v>
      </c>
      <c r="L189" s="123">
        <v>129.72171682895242</v>
      </c>
      <c r="M189" s="123">
        <v>163.70275463397408</v>
      </c>
      <c r="N189" s="123">
        <v>147.61896219497837</v>
      </c>
      <c r="O189" s="123">
        <v>83.721716828952424</v>
      </c>
      <c r="P189" s="123">
        <v>135.92171682895241</v>
      </c>
      <c r="Q189" s="123">
        <v>148.1217168289524</v>
      </c>
      <c r="R189" s="123">
        <v>113.32171682895239</v>
      </c>
      <c r="S189" s="123">
        <v>104.52171682895238</v>
      </c>
      <c r="T189" s="123">
        <v>95.721716828952367</v>
      </c>
      <c r="U189" s="123">
        <v>57.921716828952356</v>
      </c>
      <c r="V189" s="123">
        <v>51.121716828952344</v>
      </c>
      <c r="W189" s="123">
        <v>71.321716828952333</v>
      </c>
      <c r="X189" s="123">
        <v>117.52171682895232</v>
      </c>
      <c r="Y189" s="123">
        <v>85.72171682895231</v>
      </c>
      <c r="Z189" s="123">
        <v>121.9217168289523</v>
      </c>
      <c r="AA189" s="123">
        <v>130.12171682895229</v>
      </c>
      <c r="AB189" s="123">
        <v>178.32171682895228</v>
      </c>
      <c r="AC189" s="123">
        <v>163.70275463397408</v>
      </c>
      <c r="AD189" s="123">
        <v>126.90275463397407</v>
      </c>
      <c r="AE189" s="123">
        <v>136.10275463397406</v>
      </c>
      <c r="AF189" s="123">
        <v>178.30275463397405</v>
      </c>
      <c r="AG189" s="123">
        <v>180.50275463397404</v>
      </c>
      <c r="AH189" s="123">
        <v>136.41896219497838</v>
      </c>
      <c r="AI189" s="123">
        <v>213.8</v>
      </c>
      <c r="AJ189" s="123">
        <v>0</v>
      </c>
      <c r="AK189" s="123">
        <v>212</v>
      </c>
      <c r="AL189" s="123">
        <v>213.19999999999993</v>
      </c>
      <c r="AM189" s="123">
        <v>213.80000000000007</v>
      </c>
      <c r="AN189" s="123">
        <v>68.209481097489189</v>
      </c>
      <c r="AO189" s="123">
        <v>213.80000000000007</v>
      </c>
      <c r="AP189" s="123">
        <v>68.209481097489174</v>
      </c>
      <c r="AQ189" s="123">
        <v>160.16944459303394</v>
      </c>
      <c r="AR189" s="123">
        <v>171.04003650445523</v>
      </c>
      <c r="AS189" s="123">
        <v>171.04003650445529</v>
      </c>
      <c r="AT189" s="123">
        <v>213.8</v>
      </c>
      <c r="AU189" s="123">
        <v>190.98654707296978</v>
      </c>
      <c r="AV189" s="123">
        <v>213.8</v>
      </c>
      <c r="AW189" s="123">
        <v>213.8</v>
      </c>
      <c r="AX189" s="123">
        <v>109.1351697559827</v>
      </c>
      <c r="AY189" s="123">
        <v>145.33516975598269</v>
      </c>
    </row>
    <row r="190" spans="1:51">
      <c r="A190" s="108"/>
      <c r="B190" s="118">
        <v>2</v>
      </c>
      <c r="C190" s="105">
        <v>0</v>
      </c>
      <c r="D190" s="105">
        <v>4.798656160099199</v>
      </c>
      <c r="E190" s="105">
        <v>0</v>
      </c>
      <c r="F190" s="105">
        <v>9.4591690598659284</v>
      </c>
      <c r="G190" s="105">
        <v>77.381037805021634</v>
      </c>
      <c r="H190" s="105">
        <v>80.181037805021646</v>
      </c>
      <c r="I190" s="105">
        <v>36.981037805021657</v>
      </c>
      <c r="J190" s="105">
        <v>0</v>
      </c>
      <c r="K190" s="105">
        <v>77.381037805021634</v>
      </c>
      <c r="L190" s="105">
        <v>102.27828317104758</v>
      </c>
      <c r="M190" s="105">
        <v>6.6972453660259532</v>
      </c>
      <c r="N190" s="105">
        <v>0</v>
      </c>
      <c r="O190" s="105">
        <v>66.181037805021646</v>
      </c>
      <c r="P190" s="105">
        <v>130.07828317104759</v>
      </c>
      <c r="Q190" s="105">
        <v>77.878283171047599</v>
      </c>
      <c r="R190" s="105">
        <v>65.67828317104761</v>
      </c>
      <c r="S190" s="105">
        <v>100.47828317104762</v>
      </c>
      <c r="T190" s="105">
        <v>109.27828317104763</v>
      </c>
      <c r="U190" s="105">
        <v>118.07828317104764</v>
      </c>
      <c r="V190" s="105">
        <v>155.87828317104766</v>
      </c>
      <c r="W190" s="105">
        <v>162.67828317104767</v>
      </c>
      <c r="X190" s="105">
        <v>142.47828317104768</v>
      </c>
      <c r="Y190" s="105">
        <v>96.27828317104769</v>
      </c>
      <c r="Z190" s="105">
        <v>128.0782831710477</v>
      </c>
      <c r="AA190" s="105">
        <v>91.878283171047713</v>
      </c>
      <c r="AB190" s="105">
        <v>83.678283171047724</v>
      </c>
      <c r="AC190" s="105">
        <v>35.478283171047735</v>
      </c>
      <c r="AD190" s="105">
        <v>50.09724536602593</v>
      </c>
      <c r="AE190" s="105">
        <v>86.897245366025942</v>
      </c>
      <c r="AF190" s="105">
        <v>77.697245366025953</v>
      </c>
      <c r="AG190" s="105">
        <v>35.497245366025965</v>
      </c>
      <c r="AH190" s="105">
        <v>33.297245366025976</v>
      </c>
      <c r="AI190" s="105">
        <v>0</v>
      </c>
      <c r="AJ190" s="105">
        <v>0</v>
      </c>
      <c r="AK190" s="105">
        <v>0</v>
      </c>
      <c r="AL190" s="105">
        <v>1.8000000000000682</v>
      </c>
      <c r="AM190" s="105">
        <v>0.60000000000007958</v>
      </c>
      <c r="AN190" s="105">
        <v>0</v>
      </c>
      <c r="AO190" s="105">
        <v>0</v>
      </c>
      <c r="AP190" s="105">
        <v>0</v>
      </c>
      <c r="AQ190" s="105">
        <v>102.83055540696606</v>
      </c>
      <c r="AR190" s="105">
        <v>10.870591911421343</v>
      </c>
      <c r="AS190" s="105">
        <v>0</v>
      </c>
      <c r="AT190" s="105">
        <v>0</v>
      </c>
      <c r="AU190" s="105">
        <v>0</v>
      </c>
      <c r="AV190" s="105">
        <v>22.813452927030227</v>
      </c>
      <c r="AW190" s="105">
        <v>0</v>
      </c>
      <c r="AX190" s="105">
        <v>0</v>
      </c>
      <c r="AY190" s="105">
        <v>104.66483024401731</v>
      </c>
    </row>
    <row r="191" spans="1:51">
      <c r="A191" s="108"/>
      <c r="B191" s="119">
        <v>3</v>
      </c>
      <c r="C191" s="105">
        <v>0</v>
      </c>
      <c r="D191" s="105">
        <v>21.9384332417916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50.09724536602593</v>
      </c>
      <c r="L191" s="105">
        <v>0</v>
      </c>
      <c r="M191" s="105">
        <v>0</v>
      </c>
      <c r="N191" s="105">
        <v>77.381037805021634</v>
      </c>
      <c r="O191" s="105">
        <v>50.09724536602593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77.381037805021634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145.59051890251084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28.619423531250007</v>
      </c>
      <c r="D197" s="105">
        <v>28.619423531250007</v>
      </c>
      <c r="E197" s="105">
        <v>24.32395487159549</v>
      </c>
      <c r="F197" s="105">
        <v>133.4605340190634</v>
      </c>
      <c r="G197" s="105">
        <v>121.57729830601889</v>
      </c>
      <c r="H197" s="105">
        <v>154</v>
      </c>
      <c r="I197" s="105">
        <v>108.55284634837358</v>
      </c>
      <c r="J197" s="105">
        <v>133.4605340190634</v>
      </c>
      <c r="K197" s="105">
        <v>115.27110416115207</v>
      </c>
      <c r="L197" s="105">
        <v>180</v>
      </c>
      <c r="M197" s="105">
        <v>109.55351684213127</v>
      </c>
      <c r="N197" s="105">
        <v>133.4605340190634</v>
      </c>
      <c r="O197" s="105">
        <v>209</v>
      </c>
      <c r="P197" s="105">
        <v>200.25772379371512</v>
      </c>
      <c r="Q197" s="105">
        <v>115.27110416115207</v>
      </c>
      <c r="R197" s="105">
        <v>185.04855876430059</v>
      </c>
      <c r="S197" s="105">
        <v>148.66969904847792</v>
      </c>
      <c r="T197" s="105">
        <v>185.04855876430059</v>
      </c>
      <c r="U197" s="105">
        <v>178</v>
      </c>
      <c r="V197" s="105">
        <v>171.63115899429957</v>
      </c>
      <c r="W197" s="105">
        <v>166.85912890638926</v>
      </c>
      <c r="X197" s="105">
        <v>166.85912890638926</v>
      </c>
      <c r="Y197" s="105">
        <v>115.27110416115207</v>
      </c>
      <c r="Z197" s="105">
        <v>218.44715365162642</v>
      </c>
      <c r="AA197" s="105">
        <v>166.85912890638926</v>
      </c>
      <c r="AB197" s="105">
        <v>166.85912890638926</v>
      </c>
      <c r="AC197" s="105">
        <v>166.85912890638926</v>
      </c>
      <c r="AD197" s="105">
        <v>133.4605340190634</v>
      </c>
      <c r="AE197" s="105">
        <v>200.25772379371512</v>
      </c>
      <c r="AF197" s="105">
        <v>133.4605340190634</v>
      </c>
      <c r="AG197" s="105">
        <v>180</v>
      </c>
      <c r="AH197" s="105">
        <v>166.85912890638926</v>
      </c>
      <c r="AI197" s="105">
        <v>115.27110416115207</v>
      </c>
      <c r="AJ197" s="105">
        <v>166.85912890638926</v>
      </c>
      <c r="AK197" s="105">
        <v>75.911979616832667</v>
      </c>
      <c r="AL197" s="105">
        <v>166.85912890638929</v>
      </c>
      <c r="AM197" s="105">
        <v>166.85912890638923</v>
      </c>
      <c r="AN197" s="105">
        <v>166.85912890638929</v>
      </c>
      <c r="AO197" s="105">
        <v>69.797529516373771</v>
      </c>
      <c r="AP197" s="105">
        <v>166.85912890638929</v>
      </c>
      <c r="AQ197" s="105">
        <v>166.85912890638923</v>
      </c>
      <c r="AR197" s="105">
        <v>159.19485854373465</v>
      </c>
      <c r="AS197" s="105">
        <v>138.3521184360483</v>
      </c>
      <c r="AT197" s="105">
        <v>138.35211843604833</v>
      </c>
      <c r="AU197" s="105">
        <v>166.85912890638926</v>
      </c>
      <c r="AV197" s="105">
        <v>151.64996387697471</v>
      </c>
      <c r="AW197" s="105">
        <v>173.11866074121741</v>
      </c>
      <c r="AX197" s="105">
        <v>166.85912890638923</v>
      </c>
      <c r="AY197" s="105">
        <v>97.081674303240746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64.447153651626422</v>
      </c>
      <c r="J198" s="105">
        <v>58.367030981455599</v>
      </c>
      <c r="K198" s="105">
        <v>0</v>
      </c>
      <c r="L198" s="105">
        <v>0</v>
      </c>
      <c r="M198" s="105">
        <v>71.845748538952279</v>
      </c>
      <c r="N198" s="105">
        <v>19.881212677517311</v>
      </c>
      <c r="O198" s="105">
        <v>0</v>
      </c>
      <c r="P198" s="105">
        <v>9.4471536516264223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22.257723793715115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20.257723793715115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47.711848811988176</v>
      </c>
      <c r="AT198" s="105">
        <v>0</v>
      </c>
      <c r="AU198" s="105">
        <v>0</v>
      </c>
      <c r="AV198" s="105">
        <v>0</v>
      </c>
      <c r="AW198" s="105">
        <v>0</v>
      </c>
      <c r="AX198" s="105">
        <v>8.9496331945863687</v>
      </c>
      <c r="AY198" s="105">
        <v>0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14.499326468749999</v>
      </c>
      <c r="D209" s="123">
        <v>19.426045128404532</v>
      </c>
      <c r="E209" s="123">
        <v>106.58671134696263</v>
      </c>
      <c r="F209" s="123">
        <v>92.059933643869613</v>
      </c>
      <c r="G209" s="123">
        <v>133.15084828077755</v>
      </c>
      <c r="H209" s="123">
        <v>133.2601127297344</v>
      </c>
      <c r="I209" s="123">
        <v>106.58671134696263</v>
      </c>
      <c r="J209" s="123">
        <v>92.059933643869613</v>
      </c>
      <c r="K209" s="123">
        <v>107.78487185277343</v>
      </c>
      <c r="L209" s="123">
        <v>92.059933643869613</v>
      </c>
      <c r="M209" s="123">
        <v>106.58671134696263</v>
      </c>
      <c r="N209" s="123">
        <v>133.2601127297344</v>
      </c>
      <c r="O209" s="123">
        <v>133.2601127297344</v>
      </c>
      <c r="P209" s="123">
        <v>92.059933643869613</v>
      </c>
      <c r="Q209" s="123">
        <v>106.58671134696263</v>
      </c>
      <c r="R209" s="123">
        <v>92.059933643869613</v>
      </c>
      <c r="S209" s="123">
        <v>106.58671134696263</v>
      </c>
      <c r="T209" s="123">
        <v>124.67695602482387</v>
      </c>
      <c r="U209" s="123">
        <v>133.2601127297344</v>
      </c>
      <c r="V209" s="123">
        <v>133.2601127297344</v>
      </c>
      <c r="W209" s="123">
        <v>133.2601127297344</v>
      </c>
      <c r="X209" s="123">
        <v>92.059933643869613</v>
      </c>
      <c r="Y209" s="123">
        <v>133.2601127297344</v>
      </c>
      <c r="Z209" s="123">
        <v>133.2601127297344</v>
      </c>
      <c r="AA209" s="123">
        <v>133.2601127297344</v>
      </c>
      <c r="AB209" s="123">
        <v>133.2601127297344</v>
      </c>
      <c r="AC209" s="123">
        <v>106.58671134696263</v>
      </c>
      <c r="AD209" s="123">
        <v>133.2601127297344</v>
      </c>
      <c r="AE209" s="123">
        <v>106.58671134696263</v>
      </c>
      <c r="AF209" s="123">
        <v>133.2601127297344</v>
      </c>
      <c r="AG209" s="123">
        <v>133.2601127297344</v>
      </c>
      <c r="AH209" s="123">
        <v>92.059933643869613</v>
      </c>
      <c r="AI209" s="123">
        <v>133.2601127297344</v>
      </c>
      <c r="AJ209" s="123">
        <v>19.426045128404532</v>
      </c>
      <c r="AK209" s="123">
        <v>133.26011272973443</v>
      </c>
      <c r="AL209" s="123">
        <v>133.26011272973437</v>
      </c>
      <c r="AM209" s="123">
        <v>133.26011272973443</v>
      </c>
      <c r="AN209" s="123">
        <v>55.742989386137062</v>
      </c>
      <c r="AO209" s="123">
        <v>133.26011272973443</v>
      </c>
      <c r="AP209" s="123">
        <v>55.742989386137054</v>
      </c>
      <c r="AQ209" s="123">
        <v>110.49331864562667</v>
      </c>
      <c r="AR209" s="123">
        <v>110.49331864562664</v>
      </c>
      <c r="AS209" s="123">
        <v>110.49331864562667</v>
      </c>
      <c r="AT209" s="123">
        <v>133.2601127297344</v>
      </c>
      <c r="AU209" s="123">
        <v>121.11348905005565</v>
      </c>
      <c r="AV209" s="123">
        <v>133.2601127297344</v>
      </c>
      <c r="AW209" s="123">
        <v>133.26011272973437</v>
      </c>
      <c r="AX209" s="123">
        <v>77.533155940776581</v>
      </c>
      <c r="AY209" s="123">
        <v>133.26011272973437</v>
      </c>
    </row>
    <row r="210" spans="1:51">
      <c r="A210" s="108"/>
      <c r="B210" s="118">
        <v>2</v>
      </c>
      <c r="C210" s="105">
        <v>0</v>
      </c>
      <c r="D210" s="109">
        <v>0</v>
      </c>
      <c r="E210" s="109">
        <v>0</v>
      </c>
      <c r="F210" s="109">
        <v>5.0363689907071345</v>
      </c>
      <c r="G210" s="109">
        <v>41.200179085864775</v>
      </c>
      <c r="H210" s="109">
        <v>4.8516025516937594E-2</v>
      </c>
      <c r="I210" s="109">
        <v>0</v>
      </c>
      <c r="J210" s="109">
        <v>0</v>
      </c>
      <c r="K210" s="109">
        <v>41.200179085864775</v>
      </c>
      <c r="L210" s="109">
        <v>11.311615518464443</v>
      </c>
      <c r="M210" s="109">
        <v>0</v>
      </c>
      <c r="N210" s="109">
        <v>0</v>
      </c>
      <c r="O210" s="109">
        <v>0</v>
      </c>
      <c r="P210" s="109">
        <v>0</v>
      </c>
      <c r="Q210" s="109">
        <v>41.200179085864775</v>
      </c>
      <c r="R210" s="109">
        <v>26.673401382771754</v>
      </c>
      <c r="S210" s="109">
        <v>41.200179085864775</v>
      </c>
      <c r="T210" s="109">
        <v>26.673401382771754</v>
      </c>
      <c r="U210" s="109">
        <v>3.8111266170002271</v>
      </c>
      <c r="V210" s="109">
        <v>0</v>
      </c>
      <c r="W210" s="109">
        <v>0</v>
      </c>
      <c r="X210" s="109">
        <v>0</v>
      </c>
      <c r="Y210" s="109">
        <v>41.200179085864775</v>
      </c>
      <c r="Z210" s="109">
        <v>0</v>
      </c>
      <c r="AA210" s="109">
        <v>0</v>
      </c>
      <c r="AB210" s="109">
        <v>0</v>
      </c>
      <c r="AC210" s="109">
        <v>0</v>
      </c>
      <c r="AD210" s="109">
        <v>26.673401382771754</v>
      </c>
      <c r="AE210" s="109">
        <v>0</v>
      </c>
      <c r="AF210" s="109">
        <v>26.673401382771754</v>
      </c>
      <c r="AG210" s="109">
        <v>0</v>
      </c>
      <c r="AH210" s="109">
        <v>0</v>
      </c>
      <c r="AI210" s="109">
        <v>0</v>
      </c>
      <c r="AJ210" s="109">
        <v>0</v>
      </c>
      <c r="AK210" s="109">
        <v>0</v>
      </c>
      <c r="AL210" s="109">
        <v>0</v>
      </c>
      <c r="AM210" s="109">
        <v>0</v>
      </c>
      <c r="AN210" s="109">
        <v>0</v>
      </c>
      <c r="AO210" s="109">
        <v>0</v>
      </c>
      <c r="AP210" s="109">
        <v>0</v>
      </c>
      <c r="AQ210" s="109">
        <v>54.750329259489583</v>
      </c>
      <c r="AR210" s="109">
        <v>0</v>
      </c>
      <c r="AS210" s="109">
        <v>0</v>
      </c>
      <c r="AT210" s="109">
        <v>0</v>
      </c>
      <c r="AU210" s="109">
        <v>0</v>
      </c>
      <c r="AV210" s="109">
        <v>12.146623679678727</v>
      </c>
      <c r="AW210" s="109">
        <v>0</v>
      </c>
      <c r="AX210" s="109">
        <v>0</v>
      </c>
      <c r="AY210" s="109">
        <v>55.726956788957793</v>
      </c>
    </row>
    <row r="211" spans="1:51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26.673401382771754</v>
      </c>
      <c r="L211" s="109">
        <v>0</v>
      </c>
      <c r="M211" s="109">
        <v>0</v>
      </c>
      <c r="N211" s="109">
        <v>41.200179085864775</v>
      </c>
      <c r="O211" s="109">
        <v>26.673401382771754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41.200179085864775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77.517123343597319</v>
      </c>
      <c r="AQ211" s="109">
        <v>0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15810.570666537069</v>
      </c>
      <c r="E259" s="123">
        <f t="shared" ref="E259:AX259" si="5">F$14*$B$259</f>
        <v>86749.347112391217</v>
      </c>
      <c r="F259" s="123">
        <f t="shared" si="5"/>
        <v>79025.243898912275</v>
      </c>
      <c r="G259" s="123">
        <f t="shared" si="5"/>
        <v>141990.64987355718</v>
      </c>
      <c r="H259" s="123">
        <f t="shared" si="5"/>
        <v>108497.92026438896</v>
      </c>
      <c r="I259" s="123">
        <f t="shared" si="5"/>
        <v>86749.347112391217</v>
      </c>
      <c r="J259" s="123">
        <f t="shared" si="5"/>
        <v>74926.217704748837</v>
      </c>
      <c r="K259" s="123">
        <f t="shared" si="5"/>
        <v>163699.73655031898</v>
      </c>
      <c r="L259" s="123">
        <f t="shared" si="5"/>
        <v>84132.574187771577</v>
      </c>
      <c r="M259" s="123">
        <f t="shared" si="5"/>
        <v>86749.347112391217</v>
      </c>
      <c r="N259" s="123">
        <f t="shared" si="5"/>
        <v>141990.64987355718</v>
      </c>
      <c r="O259" s="123">
        <f t="shared" si="5"/>
        <v>130167.52046591483</v>
      </c>
      <c r="P259" s="123">
        <f t="shared" si="5"/>
        <v>74926.217704748837</v>
      </c>
      <c r="Q259" s="123">
        <f t="shared" si="5"/>
        <v>120281.56319679538</v>
      </c>
      <c r="R259" s="123">
        <f t="shared" si="5"/>
        <v>96635.30438151065</v>
      </c>
      <c r="S259" s="123">
        <f t="shared" si="5"/>
        <v>120281.56319679538</v>
      </c>
      <c r="T259" s="123">
        <f t="shared" si="5"/>
        <v>130167.52046591483</v>
      </c>
      <c r="U259" s="123">
        <f t="shared" si="5"/>
        <v>111560.25334629472</v>
      </c>
      <c r="V259" s="123">
        <f t="shared" si="5"/>
        <v>108458.43378915302</v>
      </c>
      <c r="W259" s="123">
        <f t="shared" si="5"/>
        <v>108458.43378915302</v>
      </c>
      <c r="X259" s="123">
        <f t="shared" si="5"/>
        <v>74926.217704748837</v>
      </c>
      <c r="Y259" s="123">
        <f t="shared" si="5"/>
        <v>141990.64987355718</v>
      </c>
      <c r="Z259" s="123">
        <f t="shared" si="5"/>
        <v>108458.43378915302</v>
      </c>
      <c r="AA259" s="123">
        <f t="shared" si="5"/>
        <v>108458.43378915302</v>
      </c>
      <c r="AB259" s="123">
        <f t="shared" si="5"/>
        <v>108458.43378915302</v>
      </c>
      <c r="AC259" s="123">
        <f t="shared" si="5"/>
        <v>86749.347112391217</v>
      </c>
      <c r="AD259" s="123">
        <f t="shared" si="5"/>
        <v>130167.52046591483</v>
      </c>
      <c r="AE259" s="123">
        <f t="shared" si="5"/>
        <v>86749.347112391217</v>
      </c>
      <c r="AF259" s="123">
        <f t="shared" si="5"/>
        <v>130167.52046591483</v>
      </c>
      <c r="AG259" s="123">
        <f t="shared" si="5"/>
        <v>108458.43378915302</v>
      </c>
      <c r="AH259" s="123">
        <f t="shared" si="5"/>
        <v>74926.217704748837</v>
      </c>
      <c r="AI259" s="123">
        <f t="shared" si="5"/>
        <v>108458.43378915302</v>
      </c>
      <c r="AJ259" s="123">
        <f t="shared" si="5"/>
        <v>49342.786750941232</v>
      </c>
      <c r="AK259" s="123">
        <f t="shared" si="5"/>
        <v>108458.43378915303</v>
      </c>
      <c r="AL259" s="123">
        <f t="shared" si="5"/>
        <v>108458.433789153</v>
      </c>
      <c r="AM259" s="123">
        <f t="shared" si="5"/>
        <v>108458.43378915303</v>
      </c>
      <c r="AN259" s="123">
        <f t="shared" si="5"/>
        <v>45368.394185642952</v>
      </c>
      <c r="AO259" s="123">
        <f t="shared" si="5"/>
        <v>108458.43378915303</v>
      </c>
      <c r="AP259" s="123">
        <f t="shared" si="5"/>
        <v>108458.433789153</v>
      </c>
      <c r="AQ259" s="123">
        <f t="shared" si="5"/>
        <v>134489.35978121983</v>
      </c>
      <c r="AR259" s="123">
        <f t="shared" si="5"/>
        <v>89928.876983431401</v>
      </c>
      <c r="AS259" s="123">
        <f t="shared" si="5"/>
        <v>89928.876983431415</v>
      </c>
      <c r="AT259" s="123">
        <f t="shared" si="5"/>
        <v>108458.43378915302</v>
      </c>
      <c r="AU259" s="123">
        <f t="shared" si="5"/>
        <v>98572.476520033568</v>
      </c>
      <c r="AV259" s="123">
        <f t="shared" si="5"/>
        <v>118344.39105827246</v>
      </c>
      <c r="AW259" s="123">
        <f t="shared" si="5"/>
        <v>108458.433789153</v>
      </c>
      <c r="AX259" s="123">
        <f t="shared" si="5"/>
        <v>63103.088297106486</v>
      </c>
      <c r="AY259" s="123">
        <f>AZ$14*$B$259</f>
        <v>153813.77928119953</v>
      </c>
      <c r="AZ259" s="138">
        <f>SUM($D259:$AY259)</f>
        <v>4941328.4704440283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57540.445608000002</v>
      </c>
      <c r="E260" s="124">
        <f t="shared" ref="E260:AY260" si="6">(E$175-E$176+E$177-E$178+E$179-E$180+E$181-E$182)*$B$260</f>
        <v>50160.297072000001</v>
      </c>
      <c r="F260" s="124">
        <f t="shared" si="6"/>
        <v>40920.148535999993</v>
      </c>
      <c r="G260" s="124">
        <f t="shared" si="6"/>
        <v>40937.41813523871</v>
      </c>
      <c r="H260" s="124">
        <f t="shared" si="6"/>
        <v>41785.691487398879</v>
      </c>
      <c r="I260" s="124">
        <f t="shared" si="6"/>
        <v>42142.021858887332</v>
      </c>
      <c r="J260" s="124">
        <f t="shared" si="6"/>
        <v>36779.999999999993</v>
      </c>
      <c r="K260" s="124">
        <f t="shared" si="6"/>
        <v>43845.211442880507</v>
      </c>
      <c r="L260" s="124">
        <f t="shared" si="6"/>
        <v>38852.579634298687</v>
      </c>
      <c r="M260" s="124">
        <f t="shared" si="6"/>
        <v>35152.872760651029</v>
      </c>
      <c r="N260" s="124">
        <f t="shared" si="6"/>
        <v>38530.86226830128</v>
      </c>
      <c r="O260" s="124">
        <f t="shared" si="6"/>
        <v>43411.526209360425</v>
      </c>
      <c r="P260" s="124">
        <f t="shared" si="6"/>
        <v>37049.834721961539</v>
      </c>
      <c r="Q260" s="124">
        <f t="shared" si="6"/>
        <v>35734.862268301287</v>
      </c>
      <c r="R260" s="124">
        <f t="shared" si="6"/>
        <v>36785.834721961539</v>
      </c>
      <c r="S260" s="124">
        <f t="shared" si="6"/>
        <v>39670.862268301295</v>
      </c>
      <c r="T260" s="124">
        <f t="shared" si="6"/>
        <v>41139.686392557487</v>
      </c>
      <c r="U260" s="124">
        <f t="shared" si="6"/>
        <v>44348.160417885752</v>
      </c>
      <c r="V260" s="124">
        <f t="shared" si="6"/>
        <v>44320.696990262848</v>
      </c>
      <c r="W260" s="124">
        <f t="shared" si="6"/>
        <v>43348.696990262848</v>
      </c>
      <c r="X260" s="124">
        <f t="shared" si="6"/>
        <v>36713.834721961546</v>
      </c>
      <c r="Y260" s="124">
        <f t="shared" si="6"/>
        <v>42304.696990262855</v>
      </c>
      <c r="Z260" s="124">
        <f t="shared" si="6"/>
        <v>42832.696990262855</v>
      </c>
      <c r="AA260" s="124">
        <f t="shared" si="6"/>
        <v>39640.696990262855</v>
      </c>
      <c r="AB260" s="124">
        <f t="shared" si="6"/>
        <v>37048.696990262848</v>
      </c>
      <c r="AC260" s="124">
        <f t="shared" si="6"/>
        <v>33959.999999999985</v>
      </c>
      <c r="AD260" s="124">
        <f t="shared" si="6"/>
        <v>37853.834721961539</v>
      </c>
      <c r="AE260" s="124">
        <f t="shared" si="6"/>
        <v>33875.999999999993</v>
      </c>
      <c r="AF260" s="124">
        <f t="shared" si="6"/>
        <v>33209.834721961539</v>
      </c>
      <c r="AG260" s="124">
        <f t="shared" si="6"/>
        <v>34233.298149584443</v>
      </c>
      <c r="AH260" s="124">
        <f t="shared" si="6"/>
        <v>32099.999999999978</v>
      </c>
      <c r="AI260" s="124">
        <f t="shared" si="6"/>
        <v>33719.999999999985</v>
      </c>
      <c r="AJ260" s="124">
        <f t="shared" si="6"/>
        <v>34319.999999999971</v>
      </c>
      <c r="AK260" s="124">
        <f t="shared" si="6"/>
        <v>32507.999999999985</v>
      </c>
      <c r="AL260" s="124">
        <f t="shared" si="6"/>
        <v>33095.999999999978</v>
      </c>
      <c r="AM260" s="124">
        <f t="shared" si="6"/>
        <v>32459.999999999971</v>
      </c>
      <c r="AN260" s="124">
        <f t="shared" si="6"/>
        <v>32879.999999999971</v>
      </c>
      <c r="AO260" s="124">
        <f t="shared" si="6"/>
        <v>32100</v>
      </c>
      <c r="AP260" s="124">
        <f t="shared" si="6"/>
        <v>27240</v>
      </c>
      <c r="AQ260" s="124">
        <f t="shared" si="6"/>
        <v>24892.235514685268</v>
      </c>
      <c r="AR260" s="124">
        <f t="shared" si="6"/>
        <v>30282.71092871928</v>
      </c>
      <c r="AS260" s="124">
        <f t="shared" si="6"/>
        <v>28499.999999999985</v>
      </c>
      <c r="AT260" s="124">
        <f t="shared" si="6"/>
        <v>30959.999999999985</v>
      </c>
      <c r="AU260" s="124">
        <f t="shared" si="6"/>
        <v>33539.999999999985</v>
      </c>
      <c r="AV260" s="124">
        <f t="shared" si="6"/>
        <v>32399.999999999985</v>
      </c>
      <c r="AW260" s="124">
        <f t="shared" si="6"/>
        <v>34556.977991675165</v>
      </c>
      <c r="AX260" s="124">
        <f t="shared" si="6"/>
        <v>36659.999999999978</v>
      </c>
      <c r="AY260" s="124">
        <f t="shared" si="6"/>
        <v>39987.889814641036</v>
      </c>
      <c r="AZ260" s="140">
        <f>SUM($D260:$AY260)</f>
        <v>1786335.1143107526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284</v>
      </c>
    </row>
    <row r="2" spans="1:54">
      <c r="A2" s="99" t="s">
        <v>285</v>
      </c>
      <c r="B2" s="106" t="s">
        <v>59</v>
      </c>
    </row>
    <row r="3" spans="1:54">
      <c r="A3" s="99" t="s">
        <v>286</v>
      </c>
      <c r="B3" s="107">
        <v>20000</v>
      </c>
      <c r="C3" s="108"/>
    </row>
    <row r="4" spans="1:54">
      <c r="B4" s="109"/>
      <c r="C4" s="109"/>
    </row>
    <row r="5" spans="1:54">
      <c r="C5" s="110" t="s">
        <v>287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4">
      <c r="A8" s="101" t="s">
        <v>292</v>
      </c>
      <c r="B8" s="113"/>
      <c r="AY8" s="109"/>
    </row>
    <row r="9" spans="1:54">
      <c r="A9" s="114" t="s">
        <v>125</v>
      </c>
      <c r="B9" s="115">
        <v>1</v>
      </c>
      <c r="C9" s="116" t="s">
        <v>293</v>
      </c>
      <c r="D9" s="116">
        <v>702.60690989603677</v>
      </c>
      <c r="E9" s="116">
        <v>702.60690989603677</v>
      </c>
      <c r="F9" s="116">
        <v>702.60690989603677</v>
      </c>
      <c r="G9" s="116">
        <v>702.60690989603677</v>
      </c>
      <c r="H9" s="116">
        <v>702.60690989603677</v>
      </c>
      <c r="I9" s="116">
        <v>702.60690989603677</v>
      </c>
      <c r="J9" s="116">
        <v>702.60690989603677</v>
      </c>
      <c r="K9" s="116">
        <v>702.60690989603677</v>
      </c>
      <c r="L9" s="116">
        <v>702.60690989603677</v>
      </c>
      <c r="M9" s="116">
        <v>702.60690989603677</v>
      </c>
      <c r="N9" s="116">
        <v>702.60690989603677</v>
      </c>
      <c r="O9" s="116">
        <v>702.60690989603677</v>
      </c>
      <c r="P9" s="116">
        <v>702.60690989603677</v>
      </c>
      <c r="Q9" s="116">
        <v>702.60690989603677</v>
      </c>
      <c r="R9" s="116">
        <v>702.60690989603677</v>
      </c>
      <c r="S9" s="116">
        <v>702.60690989603677</v>
      </c>
      <c r="T9" s="116">
        <v>702.60690989603677</v>
      </c>
      <c r="U9" s="116">
        <v>649.1412149593732</v>
      </c>
      <c r="V9" s="116">
        <v>702.60690989603677</v>
      </c>
      <c r="W9" s="116">
        <v>702.60690989603677</v>
      </c>
      <c r="X9" s="116">
        <v>702.60690989603677</v>
      </c>
      <c r="Y9" s="116">
        <v>702.60690989603677</v>
      </c>
      <c r="Z9" s="116">
        <v>702.60690989603677</v>
      </c>
      <c r="AA9" s="116">
        <v>702.60690989603677</v>
      </c>
      <c r="AB9" s="116">
        <v>702.60690989603677</v>
      </c>
      <c r="AC9" s="116">
        <v>702.60690989603677</v>
      </c>
      <c r="AD9" s="116">
        <v>702.60690989603677</v>
      </c>
      <c r="AE9" s="116">
        <v>702.60690989603677</v>
      </c>
      <c r="AF9" s="116">
        <v>702.60690989603677</v>
      </c>
      <c r="AG9" s="116">
        <v>702.60690989603677</v>
      </c>
      <c r="AH9" s="116">
        <v>702.60690989603677</v>
      </c>
      <c r="AI9" s="116">
        <v>702.60690989603677</v>
      </c>
      <c r="AJ9" s="116">
        <v>702.60690989603677</v>
      </c>
      <c r="AK9" s="116">
        <v>702.60690989603677</v>
      </c>
      <c r="AL9" s="116">
        <v>702.60690989603677</v>
      </c>
      <c r="AM9" s="116">
        <v>702.60690989603677</v>
      </c>
      <c r="AN9" s="116">
        <v>702.60690989603677</v>
      </c>
      <c r="AO9" s="116">
        <v>702.60690989603677</v>
      </c>
      <c r="AP9" s="116">
        <v>702.60690989603677</v>
      </c>
      <c r="AQ9" s="116">
        <v>702.60690989603677</v>
      </c>
      <c r="AR9" s="116">
        <v>702.60690989603677</v>
      </c>
      <c r="AS9" s="116">
        <v>702.60690989603677</v>
      </c>
      <c r="AT9" s="116">
        <v>702.60690989603677</v>
      </c>
      <c r="AU9" s="116">
        <v>702.60690989603677</v>
      </c>
      <c r="AV9" s="116">
        <v>702.60690989603677</v>
      </c>
      <c r="AW9" s="116">
        <v>702.60690989603677</v>
      </c>
      <c r="AX9" s="116">
        <v>702.60690989603677</v>
      </c>
      <c r="AY9" s="116">
        <v>702.60690989603677</v>
      </c>
    </row>
    <row r="10" spans="1:54">
      <c r="A10" s="117" t="s">
        <v>133</v>
      </c>
      <c r="B10" s="118">
        <v>1</v>
      </c>
      <c r="C10" s="105" t="s">
        <v>293</v>
      </c>
      <c r="D10" s="99">
        <v>1704.8215176868557</v>
      </c>
      <c r="E10" s="99">
        <v>465.99435368153604</v>
      </c>
      <c r="F10" s="99">
        <v>0</v>
      </c>
      <c r="G10" s="99">
        <v>1245.281386513966</v>
      </c>
      <c r="H10" s="99">
        <v>740.96108294820749</v>
      </c>
      <c r="I10" s="99">
        <v>740.96108294820749</v>
      </c>
      <c r="J10" s="99">
        <v>740.96108294820749</v>
      </c>
      <c r="K10" s="99">
        <v>740.96108294820749</v>
      </c>
      <c r="L10" s="99">
        <v>740.96108294820749</v>
      </c>
      <c r="M10" s="99">
        <v>730.30601179274652</v>
      </c>
      <c r="N10" s="99">
        <v>740.96108294820749</v>
      </c>
      <c r="O10" s="99">
        <v>740.96108294820749</v>
      </c>
      <c r="P10" s="99">
        <v>740.96108294820749</v>
      </c>
      <c r="Q10" s="99">
        <v>740.96108294820749</v>
      </c>
      <c r="R10" s="99">
        <v>740.96108294820749</v>
      </c>
      <c r="S10" s="99">
        <v>740.96108294820749</v>
      </c>
      <c r="T10" s="99">
        <v>740.96108294820749</v>
      </c>
      <c r="U10" s="99">
        <v>740.96108294820749</v>
      </c>
      <c r="V10" s="99">
        <v>0</v>
      </c>
      <c r="W10" s="99">
        <v>684.57678233449712</v>
      </c>
      <c r="X10" s="99">
        <v>740.96108294820749</v>
      </c>
      <c r="Y10" s="99">
        <v>740.96108294820749</v>
      </c>
      <c r="Z10" s="99">
        <v>740.96108294820749</v>
      </c>
      <c r="AA10" s="99">
        <v>717.49362562094393</v>
      </c>
      <c r="AB10" s="99">
        <v>740.96108294820749</v>
      </c>
      <c r="AC10" s="99">
        <v>740.96108294820749</v>
      </c>
      <c r="AD10" s="99">
        <v>740.96108294820749</v>
      </c>
      <c r="AE10" s="99">
        <v>740.96108294820749</v>
      </c>
      <c r="AF10" s="99">
        <v>740.96108294820749</v>
      </c>
      <c r="AG10" s="99">
        <v>717.49362562094393</v>
      </c>
      <c r="AH10" s="99">
        <v>740.96108294820749</v>
      </c>
      <c r="AI10" s="99">
        <v>740.96108294820749</v>
      </c>
      <c r="AJ10" s="99">
        <v>740.96108294820749</v>
      </c>
      <c r="AK10" s="99">
        <v>717.49362562094393</v>
      </c>
      <c r="AL10" s="99">
        <v>38.437158515407688</v>
      </c>
      <c r="AM10" s="99">
        <v>0</v>
      </c>
      <c r="AN10" s="99">
        <v>1245.281386513966</v>
      </c>
      <c r="AO10" s="99">
        <v>0</v>
      </c>
      <c r="AP10" s="99">
        <v>730.30601179274652</v>
      </c>
      <c r="AQ10" s="99">
        <v>740.96108294820749</v>
      </c>
      <c r="AR10" s="99">
        <v>740.96108294820749</v>
      </c>
      <c r="AS10" s="99">
        <v>740.96108294820749</v>
      </c>
      <c r="AT10" s="99">
        <v>740.96108294820749</v>
      </c>
      <c r="AU10" s="99">
        <v>0</v>
      </c>
      <c r="AV10" s="99">
        <v>730.30601179274652</v>
      </c>
      <c r="AW10" s="99">
        <v>0</v>
      </c>
      <c r="AX10" s="99">
        <v>730.30601179274652</v>
      </c>
      <c r="AY10" s="99">
        <v>740.96108294820749</v>
      </c>
      <c r="AZ10" s="99">
        <v>740.96108294820749</v>
      </c>
    </row>
    <row r="11" spans="1:54">
      <c r="B11" s="118">
        <v>2</v>
      </c>
      <c r="C11" s="105" t="s">
        <v>293</v>
      </c>
      <c r="D11" s="99">
        <v>0</v>
      </c>
      <c r="E11" s="99">
        <v>29.324335617754741</v>
      </c>
      <c r="F11" s="99">
        <v>0</v>
      </c>
      <c r="I11" s="99">
        <v>0</v>
      </c>
      <c r="J11" s="99">
        <v>0</v>
      </c>
      <c r="L11" s="99">
        <v>0</v>
      </c>
      <c r="N11" s="99">
        <v>0</v>
      </c>
      <c r="O11" s="99">
        <v>0</v>
      </c>
      <c r="P11" s="99">
        <v>0</v>
      </c>
      <c r="Q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740.96108294820749</v>
      </c>
      <c r="X11" s="99">
        <v>0</v>
      </c>
      <c r="Y11" s="99">
        <v>0</v>
      </c>
      <c r="AB11" s="99">
        <v>23.46745732726356</v>
      </c>
      <c r="AC11" s="99">
        <v>0</v>
      </c>
      <c r="AD11" s="99">
        <v>0</v>
      </c>
      <c r="AE11" s="99">
        <v>0</v>
      </c>
      <c r="AF11" s="99">
        <v>0</v>
      </c>
      <c r="AH11" s="99">
        <v>23.46745732726356</v>
      </c>
      <c r="AI11" s="99">
        <v>0</v>
      </c>
      <c r="AK11" s="99">
        <v>0</v>
      </c>
      <c r="AL11" s="99">
        <v>23.46745732726356</v>
      </c>
      <c r="AM11" s="99">
        <v>702.52392443279984</v>
      </c>
      <c r="AN11" s="99">
        <v>0</v>
      </c>
      <c r="AO11" s="99">
        <v>0</v>
      </c>
      <c r="AP11" s="99">
        <v>0</v>
      </c>
      <c r="AQ11" s="99">
        <v>10.655071155460973</v>
      </c>
      <c r="AR11" s="99">
        <v>0</v>
      </c>
      <c r="AS11" s="99">
        <v>0</v>
      </c>
      <c r="AT11" s="99">
        <v>0</v>
      </c>
      <c r="AU11" s="99">
        <v>0</v>
      </c>
      <c r="AV11" s="99">
        <v>740.96108294820749</v>
      </c>
      <c r="AW11" s="99">
        <v>0</v>
      </c>
      <c r="AX11" s="99">
        <v>0</v>
      </c>
      <c r="AY11" s="99">
        <v>10.655071155460973</v>
      </c>
      <c r="AZ11" s="99">
        <v>0</v>
      </c>
    </row>
    <row r="12" spans="1:54">
      <c r="B12" s="119">
        <v>3</v>
      </c>
      <c r="C12" s="105" t="s">
        <v>293</v>
      </c>
      <c r="D12" s="99">
        <v>29.324335617754741</v>
      </c>
      <c r="F12" s="99">
        <v>0</v>
      </c>
      <c r="I12" s="99">
        <v>0</v>
      </c>
      <c r="L12" s="99">
        <v>0</v>
      </c>
      <c r="N12" s="99">
        <v>0</v>
      </c>
      <c r="O12" s="99">
        <v>10.655071155460973</v>
      </c>
      <c r="S12" s="99">
        <v>0</v>
      </c>
      <c r="AA12" s="99">
        <v>0</v>
      </c>
      <c r="AC12" s="99">
        <v>0</v>
      </c>
      <c r="AH12" s="99">
        <v>0</v>
      </c>
      <c r="AK12" s="99">
        <v>0</v>
      </c>
      <c r="AO12" s="99">
        <v>0</v>
      </c>
      <c r="AQ12" s="99">
        <v>740.96108294820749</v>
      </c>
      <c r="AR12" s="99">
        <v>0</v>
      </c>
      <c r="AT12" s="99">
        <v>0</v>
      </c>
      <c r="AV12" s="99">
        <v>0</v>
      </c>
      <c r="AW12" s="99">
        <v>0</v>
      </c>
      <c r="AX12" s="99">
        <v>10.655071155460973</v>
      </c>
      <c r="AY12" s="99">
        <v>740.96108294820749</v>
      </c>
      <c r="BB12" s="99">
        <v>0</v>
      </c>
    </row>
    <row r="13" spans="1:54">
      <c r="B13" s="119">
        <v>4</v>
      </c>
      <c r="C13" s="105" t="s">
        <v>293</v>
      </c>
      <c r="I13" s="99">
        <v>0</v>
      </c>
      <c r="AC13" s="99">
        <v>0</v>
      </c>
      <c r="AR13" s="99">
        <v>0</v>
      </c>
    </row>
    <row r="14" spans="1:54">
      <c r="A14" s="114" t="s">
        <v>134</v>
      </c>
      <c r="B14" s="120">
        <v>1</v>
      </c>
      <c r="C14" s="116" t="s">
        <v>293</v>
      </c>
      <c r="D14" s="116">
        <v>88.58919638020835</v>
      </c>
      <c r="E14" s="116">
        <f t="shared" ref="E14:AZ14" si="0">D$172*SUM(D$122:D$169)</f>
        <v>79.182227086682218</v>
      </c>
      <c r="F14" s="116">
        <f t="shared" si="0"/>
        <v>402.43914863302047</v>
      </c>
      <c r="G14" s="116">
        <f t="shared" si="0"/>
        <v>79.182227086682218</v>
      </c>
      <c r="H14" s="116">
        <f t="shared" si="0"/>
        <v>943.02494166721806</v>
      </c>
      <c r="I14" s="116">
        <f t="shared" si="0"/>
        <v>708.37171599822045</v>
      </c>
      <c r="J14" s="116">
        <f t="shared" si="0"/>
        <v>669.97170068168907</v>
      </c>
      <c r="K14" s="116">
        <f t="shared" si="0"/>
        <v>634.36407876313433</v>
      </c>
      <c r="L14" s="116">
        <f t="shared" si="0"/>
        <v>615.61813275322709</v>
      </c>
      <c r="M14" s="116">
        <f t="shared" si="0"/>
        <v>593.18158516295807</v>
      </c>
      <c r="N14" s="116">
        <f t="shared" si="0"/>
        <v>585.79023916625192</v>
      </c>
      <c r="O14" s="116">
        <f t="shared" si="0"/>
        <v>593.18158516295807</v>
      </c>
      <c r="P14" s="116">
        <f t="shared" si="0"/>
        <v>600.57293115966388</v>
      </c>
      <c r="Q14" s="116">
        <f t="shared" si="0"/>
        <v>593.18158516295807</v>
      </c>
      <c r="R14" s="116">
        <f t="shared" si="0"/>
        <v>613.31313976491822</v>
      </c>
      <c r="S14" s="116">
        <f t="shared" si="0"/>
        <v>593.18158516295807</v>
      </c>
      <c r="T14" s="116">
        <f t="shared" si="0"/>
        <v>593.18158516295796</v>
      </c>
      <c r="U14" s="116">
        <f t="shared" si="0"/>
        <v>593.18158516295807</v>
      </c>
      <c r="V14" s="116">
        <f t="shared" si="0"/>
        <v>593.18158516295796</v>
      </c>
      <c r="W14" s="116">
        <f t="shared" si="0"/>
        <v>90.20645344093866</v>
      </c>
      <c r="X14" s="116">
        <f t="shared" si="0"/>
        <v>1068.0675606500797</v>
      </c>
      <c r="Y14" s="116">
        <f t="shared" si="0"/>
        <v>815.63720759245314</v>
      </c>
      <c r="Z14" s="116">
        <f t="shared" si="0"/>
        <v>650.92544941972847</v>
      </c>
      <c r="AA14" s="116">
        <f t="shared" si="0"/>
        <v>626.20102127585403</v>
      </c>
      <c r="AB14" s="116">
        <f t="shared" si="0"/>
        <v>594.8799467606384</v>
      </c>
      <c r="AC14" s="116">
        <f t="shared" si="0"/>
        <v>609.46079102070905</v>
      </c>
      <c r="AD14" s="116">
        <f t="shared" si="0"/>
        <v>609.28073747238045</v>
      </c>
      <c r="AE14" s="116">
        <f t="shared" si="0"/>
        <v>593.18158516295796</v>
      </c>
      <c r="AF14" s="116">
        <f t="shared" si="0"/>
        <v>617.96711556103355</v>
      </c>
      <c r="AG14" s="116">
        <f t="shared" si="0"/>
        <v>611.83704468904739</v>
      </c>
      <c r="AH14" s="116">
        <f t="shared" si="0"/>
        <v>576.90237930520698</v>
      </c>
      <c r="AI14" s="116">
        <f t="shared" si="0"/>
        <v>609.46079102070905</v>
      </c>
      <c r="AJ14" s="116">
        <f t="shared" si="0"/>
        <v>620.90290526656952</v>
      </c>
      <c r="AK14" s="116">
        <f t="shared" si="0"/>
        <v>593.18158516295796</v>
      </c>
      <c r="AL14" s="116">
        <f t="shared" si="0"/>
        <v>576.90237930520698</v>
      </c>
      <c r="AM14" s="116">
        <f t="shared" si="0"/>
        <v>122.12501252756859</v>
      </c>
      <c r="AN14" s="116">
        <f t="shared" si="0"/>
        <v>566.51800557982267</v>
      </c>
      <c r="AO14" s="116">
        <f t="shared" si="0"/>
        <v>943.02494166721806</v>
      </c>
      <c r="AP14" s="116">
        <f t="shared" si="0"/>
        <v>201.67322253623499</v>
      </c>
      <c r="AQ14" s="116">
        <f t="shared" si="0"/>
        <v>585.79023916625192</v>
      </c>
      <c r="AR14" s="116">
        <f t="shared" si="0"/>
        <v>1114.5722892359399</v>
      </c>
      <c r="AS14" s="116">
        <f t="shared" si="0"/>
        <v>827.67613714014772</v>
      </c>
      <c r="AT14" s="116">
        <f t="shared" si="0"/>
        <v>701.72737980474699</v>
      </c>
      <c r="AU14" s="116">
        <f t="shared" si="0"/>
        <v>598.50489501471247</v>
      </c>
      <c r="AV14" s="116">
        <f t="shared" si="0"/>
        <v>79.182227086682218</v>
      </c>
      <c r="AW14" s="116">
        <f t="shared" si="0"/>
        <v>1099.7895972425276</v>
      </c>
      <c r="AX14" s="116">
        <f t="shared" si="0"/>
        <v>230.85702594244708</v>
      </c>
      <c r="AY14" s="116">
        <f t="shared" si="0"/>
        <v>593.18158516295796</v>
      </c>
      <c r="AZ14" s="109">
        <f t="shared" si="0"/>
        <v>1114.5722892359399</v>
      </c>
      <c r="BA14" s="106">
        <f>SUM($E14:$AZ14)</f>
        <v>28728.291379351096</v>
      </c>
    </row>
    <row r="15" spans="1:54">
      <c r="A15" s="121" t="s">
        <v>123</v>
      </c>
      <c r="B15" s="122">
        <v>1</v>
      </c>
      <c r="C15" s="123" t="s">
        <v>293</v>
      </c>
      <c r="D15" s="123">
        <v>153.12500000000006</v>
      </c>
      <c r="E15" s="123">
        <v>778.24907055179085</v>
      </c>
      <c r="F15" s="123">
        <v>153.12500000000006</v>
      </c>
      <c r="G15" s="123">
        <v>1823.6503254033858</v>
      </c>
      <c r="H15" s="123">
        <v>1147.1125979905025</v>
      </c>
      <c r="I15" s="123">
        <v>1147.1125979905023</v>
      </c>
      <c r="J15" s="123">
        <v>1147.1125979905025</v>
      </c>
      <c r="K15" s="123">
        <v>1147.1125979905023</v>
      </c>
      <c r="L15" s="123">
        <v>1147.1125979905025</v>
      </c>
      <c r="M15" s="123">
        <v>1132.8189882072538</v>
      </c>
      <c r="N15" s="123">
        <v>1147.1125979905025</v>
      </c>
      <c r="O15" s="123">
        <v>1147.1125979905023</v>
      </c>
      <c r="P15" s="123">
        <v>1147.1125979905025</v>
      </c>
      <c r="Q15" s="123">
        <v>1147.1125979905023</v>
      </c>
      <c r="R15" s="123">
        <v>1147.1125979905025</v>
      </c>
      <c r="S15" s="123">
        <v>1147.1125979905023</v>
      </c>
      <c r="T15" s="123">
        <v>1147.1125979905025</v>
      </c>
      <c r="U15" s="123">
        <v>1147.1125979905023</v>
      </c>
      <c r="V15" s="123">
        <v>153.12500000000006</v>
      </c>
      <c r="W15" s="123">
        <v>1071.4739486455214</v>
      </c>
      <c r="X15" s="123">
        <v>1147.1125979905023</v>
      </c>
      <c r="Y15" s="123">
        <v>1147.1125979905025</v>
      </c>
      <c r="Z15" s="123">
        <v>1147.1125979905023</v>
      </c>
      <c r="AA15" s="123">
        <v>1115.6313743790565</v>
      </c>
      <c r="AB15" s="123">
        <v>1147.1125979905023</v>
      </c>
      <c r="AC15" s="123">
        <v>1147.1125979905025</v>
      </c>
      <c r="AD15" s="123">
        <v>1147.1125979905023</v>
      </c>
      <c r="AE15" s="123">
        <v>1147.1125979905025</v>
      </c>
      <c r="AF15" s="123">
        <v>1147.1125979905023</v>
      </c>
      <c r="AG15" s="123">
        <v>1115.6313743790565</v>
      </c>
      <c r="AH15" s="123">
        <v>1147.1125979905023</v>
      </c>
      <c r="AI15" s="123">
        <v>1147.1125979905025</v>
      </c>
      <c r="AJ15" s="123">
        <v>1147.1125979905023</v>
      </c>
      <c r="AK15" s="123">
        <v>1115.6313743790565</v>
      </c>
      <c r="AL15" s="123">
        <v>204.68784148459235</v>
      </c>
      <c r="AM15" s="123">
        <v>153.12500000000006</v>
      </c>
      <c r="AN15" s="123">
        <v>1823.6503254033858</v>
      </c>
      <c r="AO15" s="123">
        <v>153.12500000000006</v>
      </c>
      <c r="AP15" s="123">
        <v>1132.8189882072538</v>
      </c>
      <c r="AQ15" s="123">
        <v>1147.1125979905025</v>
      </c>
      <c r="AR15" s="123">
        <v>1147.1125979905023</v>
      </c>
      <c r="AS15" s="123">
        <v>1147.1125979905025</v>
      </c>
      <c r="AT15" s="123">
        <v>1147.1125979905023</v>
      </c>
      <c r="AU15" s="123">
        <v>153.12500000000006</v>
      </c>
      <c r="AV15" s="123">
        <v>1132.8189882072538</v>
      </c>
      <c r="AW15" s="123">
        <v>153.12500000000006</v>
      </c>
      <c r="AX15" s="123">
        <v>1132.8189882072538</v>
      </c>
      <c r="AY15" s="123">
        <v>1147.1125979905025</v>
      </c>
      <c r="AZ15" s="99">
        <v>993.98759799050242</v>
      </c>
    </row>
    <row r="16" spans="1:54">
      <c r="A16" s="109"/>
      <c r="B16" s="118">
        <v>2</v>
      </c>
      <c r="C16" s="108" t="s">
        <v>293</v>
      </c>
      <c r="D16" s="105">
        <v>0</v>
      </c>
      <c r="E16" s="109">
        <v>0</v>
      </c>
      <c r="F16" s="109">
        <v>0</v>
      </c>
      <c r="G16" s="109"/>
      <c r="H16" s="109"/>
      <c r="I16" s="109">
        <v>0</v>
      </c>
      <c r="J16" s="109">
        <v>0</v>
      </c>
      <c r="K16" s="109"/>
      <c r="L16" s="109">
        <v>0</v>
      </c>
      <c r="M16" s="109"/>
      <c r="N16" s="109">
        <v>0</v>
      </c>
      <c r="O16" s="109">
        <v>0</v>
      </c>
      <c r="P16" s="109">
        <v>0</v>
      </c>
      <c r="Q16" s="109">
        <v>0</v>
      </c>
      <c r="R16" s="109"/>
      <c r="S16" s="109">
        <v>0</v>
      </c>
      <c r="T16" s="109">
        <v>0</v>
      </c>
      <c r="U16" s="109">
        <v>0</v>
      </c>
      <c r="V16" s="109">
        <v>0</v>
      </c>
      <c r="W16" s="109">
        <v>993.98759799050242</v>
      </c>
      <c r="X16" s="109">
        <v>0</v>
      </c>
      <c r="Y16" s="109">
        <v>0</v>
      </c>
      <c r="Z16" s="109"/>
      <c r="AA16" s="109"/>
      <c r="AB16" s="109">
        <v>31.481223611446012</v>
      </c>
      <c r="AC16" s="109">
        <v>0</v>
      </c>
      <c r="AD16" s="109">
        <v>0</v>
      </c>
      <c r="AE16" s="109">
        <v>0</v>
      </c>
      <c r="AF16" s="109">
        <v>0</v>
      </c>
      <c r="AG16" s="109"/>
      <c r="AH16" s="109">
        <v>31.481223611446012</v>
      </c>
      <c r="AI16" s="109">
        <v>0</v>
      </c>
      <c r="AJ16" s="109"/>
      <c r="AK16" s="109">
        <v>0</v>
      </c>
      <c r="AL16" s="109">
        <v>31.481223611446012</v>
      </c>
      <c r="AM16" s="109">
        <v>942.42475650591007</v>
      </c>
      <c r="AN16" s="109">
        <v>0</v>
      </c>
      <c r="AO16" s="109">
        <v>0</v>
      </c>
      <c r="AP16" s="109">
        <v>0</v>
      </c>
      <c r="AQ16" s="109">
        <v>14.293609783248598</v>
      </c>
      <c r="AR16" s="109">
        <v>0</v>
      </c>
      <c r="AS16" s="109">
        <v>0</v>
      </c>
      <c r="AT16" s="109">
        <v>0</v>
      </c>
      <c r="AU16" s="109">
        <v>0</v>
      </c>
      <c r="AV16" s="109">
        <v>993.98759799050242</v>
      </c>
      <c r="AW16" s="109">
        <v>0</v>
      </c>
      <c r="AX16" s="109">
        <v>0</v>
      </c>
      <c r="AY16" s="109">
        <v>14.293609783248598</v>
      </c>
      <c r="AZ16" s="99">
        <v>0</v>
      </c>
    </row>
    <row r="17" spans="1:54">
      <c r="A17" s="109"/>
      <c r="B17" s="118">
        <v>3</v>
      </c>
      <c r="C17" s="108" t="s">
        <v>293</v>
      </c>
      <c r="D17" s="105">
        <v>0</v>
      </c>
      <c r="E17" s="109"/>
      <c r="F17" s="109">
        <v>0</v>
      </c>
      <c r="G17" s="109"/>
      <c r="H17" s="109"/>
      <c r="I17" s="109">
        <v>0</v>
      </c>
      <c r="J17" s="109"/>
      <c r="K17" s="109"/>
      <c r="L17" s="109">
        <v>0</v>
      </c>
      <c r="M17" s="109"/>
      <c r="N17" s="109">
        <v>0</v>
      </c>
      <c r="O17" s="109">
        <v>14.293609783248598</v>
      </c>
      <c r="P17" s="109"/>
      <c r="Q17" s="109"/>
      <c r="R17" s="109"/>
      <c r="S17" s="109">
        <v>0</v>
      </c>
      <c r="T17" s="109"/>
      <c r="U17" s="109"/>
      <c r="V17" s="109"/>
      <c r="W17" s="109"/>
      <c r="X17" s="109"/>
      <c r="Y17" s="109"/>
      <c r="Z17" s="109"/>
      <c r="AA17" s="109">
        <v>0</v>
      </c>
      <c r="AB17" s="109"/>
      <c r="AC17" s="109">
        <v>0</v>
      </c>
      <c r="AD17" s="109"/>
      <c r="AE17" s="109"/>
      <c r="AF17" s="109"/>
      <c r="AG17" s="109"/>
      <c r="AH17" s="109">
        <v>0</v>
      </c>
      <c r="AI17" s="109"/>
      <c r="AJ17" s="109"/>
      <c r="AK17" s="109">
        <v>0</v>
      </c>
      <c r="AL17" s="109"/>
      <c r="AM17" s="109"/>
      <c r="AN17" s="109"/>
      <c r="AO17" s="109">
        <v>0</v>
      </c>
      <c r="AP17" s="109"/>
      <c r="AQ17" s="109">
        <v>993.98759799050242</v>
      </c>
      <c r="AR17" s="109">
        <v>0</v>
      </c>
      <c r="AS17" s="109"/>
      <c r="AT17" s="109">
        <v>0</v>
      </c>
      <c r="AU17" s="109"/>
      <c r="AV17" s="109">
        <v>0</v>
      </c>
      <c r="AW17" s="109">
        <v>0</v>
      </c>
      <c r="AX17" s="109">
        <v>14.293609783248598</v>
      </c>
      <c r="AY17" s="109">
        <v>993.98759799050242</v>
      </c>
      <c r="BB17" s="99">
        <v>0</v>
      </c>
    </row>
    <row r="18" spans="1:54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>
        <v>0</v>
      </c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>
        <v>0</v>
      </c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>
        <v>0</v>
      </c>
      <c r="AS18" s="124"/>
      <c r="AT18" s="124"/>
      <c r="AU18" s="124"/>
      <c r="AV18" s="124"/>
      <c r="AW18" s="124"/>
      <c r="AX18" s="124"/>
      <c r="AY18" s="124"/>
    </row>
    <row r="20" spans="1:54">
      <c r="A20" s="101" t="s">
        <v>294</v>
      </c>
    </row>
    <row r="21" spans="1:54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414.47161080000001</v>
      </c>
      <c r="D95" s="109">
        <v>702.60690989603677</v>
      </c>
      <c r="E95" s="109">
        <v>702.60690989603677</v>
      </c>
      <c r="F95" s="109">
        <v>702.60690989603677</v>
      </c>
      <c r="G95" s="109">
        <v>702.60690989603677</v>
      </c>
      <c r="H95" s="109">
        <v>702.60690989603677</v>
      </c>
      <c r="I95" s="109">
        <v>702.60690989603677</v>
      </c>
      <c r="J95" s="109">
        <v>702.60690989603677</v>
      </c>
      <c r="K95" s="109">
        <v>702.60690989603677</v>
      </c>
      <c r="L95" s="109">
        <v>702.60690989603677</v>
      </c>
      <c r="M95" s="109">
        <v>702.60690989603677</v>
      </c>
      <c r="N95" s="109">
        <v>702.60690989603677</v>
      </c>
      <c r="O95" s="109">
        <v>702.60690989603677</v>
      </c>
      <c r="P95" s="109">
        <v>702.60690989603677</v>
      </c>
      <c r="Q95" s="109">
        <v>702.60690989603677</v>
      </c>
      <c r="R95" s="109">
        <v>702.60690989603677</v>
      </c>
      <c r="S95" s="109">
        <v>702.60690989603677</v>
      </c>
      <c r="T95" s="109">
        <v>702.60690989603677</v>
      </c>
      <c r="U95" s="109">
        <v>649.1412149593732</v>
      </c>
      <c r="V95" s="109">
        <v>702.60690989603677</v>
      </c>
      <c r="W95" s="109">
        <v>702.60690989603677</v>
      </c>
      <c r="X95" s="109">
        <v>702.60690989603677</v>
      </c>
      <c r="Y95" s="109">
        <v>702.60690989603677</v>
      </c>
      <c r="Z95" s="109">
        <v>702.60690989603677</v>
      </c>
      <c r="AA95" s="109">
        <v>702.60690989603677</v>
      </c>
      <c r="AB95" s="109">
        <v>702.60690989603677</v>
      </c>
      <c r="AC95" s="109">
        <v>702.60690989603677</v>
      </c>
      <c r="AD95" s="109">
        <v>702.60690989603677</v>
      </c>
      <c r="AE95" s="109">
        <v>702.60690989603677</v>
      </c>
      <c r="AF95" s="109">
        <v>702.60690989603677</v>
      </c>
      <c r="AG95" s="109">
        <v>702.60690989603677</v>
      </c>
      <c r="AH95" s="109">
        <v>702.60690989603677</v>
      </c>
      <c r="AI95" s="109">
        <v>702.60690989603677</v>
      </c>
      <c r="AJ95" s="109">
        <v>702.60690989603677</v>
      </c>
      <c r="AK95" s="109">
        <v>702.60690989603677</v>
      </c>
      <c r="AL95" s="109">
        <v>702.60690989603677</v>
      </c>
      <c r="AM95" s="109">
        <v>702.60690989603677</v>
      </c>
      <c r="AN95" s="109">
        <v>702.60690989603677</v>
      </c>
      <c r="AO95" s="109">
        <v>702.60690989603677</v>
      </c>
      <c r="AP95" s="109">
        <v>702.60690989603677</v>
      </c>
      <c r="AQ95" s="109">
        <v>702.60690989603677</v>
      </c>
      <c r="AR95" s="109">
        <v>702.60690989603677</v>
      </c>
      <c r="AS95" s="109">
        <v>702.60690989603677</v>
      </c>
      <c r="AT95" s="109">
        <v>702.60690989603677</v>
      </c>
      <c r="AU95" s="109">
        <v>702.60690989603677</v>
      </c>
      <c r="AV95" s="109">
        <v>702.60690989603677</v>
      </c>
      <c r="AW95" s="109">
        <v>702.60690989603677</v>
      </c>
      <c r="AX95" s="109">
        <v>702.60690989603677</v>
      </c>
      <c r="AY95" s="109">
        <v>702.60690989603677</v>
      </c>
    </row>
    <row r="96" spans="1:52">
      <c r="A96" s="108"/>
      <c r="B96" s="119">
        <v>2</v>
      </c>
      <c r="C96" s="109">
        <v>414.47161080000001</v>
      </c>
      <c r="D96" s="109">
        <v>400.24631520000162</v>
      </c>
      <c r="E96" s="109">
        <v>401.85322509603839</v>
      </c>
      <c r="F96" s="109">
        <v>425.46013499207515</v>
      </c>
      <c r="G96" s="109">
        <v>496.06704488811192</v>
      </c>
      <c r="H96" s="109">
        <v>439.67395478414869</v>
      </c>
      <c r="I96" s="109">
        <v>435.28086468018546</v>
      </c>
      <c r="J96" s="109">
        <v>442.88777457622223</v>
      </c>
      <c r="K96" s="109">
        <v>521.494684472259</v>
      </c>
      <c r="L96" s="109">
        <v>651.10159436829576</v>
      </c>
      <c r="M96" s="109">
        <v>702.60690989603677</v>
      </c>
      <c r="N96" s="109">
        <v>702.60690989603677</v>
      </c>
      <c r="O96" s="109">
        <v>702.60690989603677</v>
      </c>
      <c r="P96" s="109">
        <v>702.60690989603677</v>
      </c>
      <c r="Q96" s="109">
        <v>702.60690989603677</v>
      </c>
      <c r="R96" s="109">
        <v>702.60690989603677</v>
      </c>
      <c r="S96" s="109">
        <v>702.60690989603677</v>
      </c>
      <c r="T96" s="109">
        <v>702.60690989603677</v>
      </c>
      <c r="U96" s="109">
        <v>702.60690989603677</v>
      </c>
      <c r="V96" s="109">
        <v>649.1412149593732</v>
      </c>
      <c r="W96" s="109">
        <v>697.31190828803665</v>
      </c>
      <c r="X96" s="109">
        <v>697.91881818407342</v>
      </c>
      <c r="Y96" s="109">
        <v>702.60690989603677</v>
      </c>
      <c r="Z96" s="109">
        <v>702.60690989603677</v>
      </c>
      <c r="AA96" s="109">
        <v>702.60690989603677</v>
      </c>
      <c r="AB96" s="109">
        <v>702.60690989603677</v>
      </c>
      <c r="AC96" s="109">
        <v>666.95336766425726</v>
      </c>
      <c r="AD96" s="109">
        <v>549.56027756029403</v>
      </c>
      <c r="AE96" s="109">
        <v>448.16718745633079</v>
      </c>
      <c r="AF96" s="109">
        <v>559.77409735236756</v>
      </c>
      <c r="AG96" s="109">
        <v>454.38100724840433</v>
      </c>
      <c r="AH96" s="109">
        <v>435.9879171444411</v>
      </c>
      <c r="AI96" s="109">
        <v>494.59482704047787</v>
      </c>
      <c r="AJ96" s="109">
        <v>556.20173693651464</v>
      </c>
      <c r="AK96" s="109">
        <v>476.8086468325514</v>
      </c>
      <c r="AL96" s="109">
        <v>463.41555672858817</v>
      </c>
      <c r="AM96" s="109">
        <v>554.02246662462494</v>
      </c>
      <c r="AN96" s="109">
        <v>508.62937652066171</v>
      </c>
      <c r="AO96" s="109">
        <v>525.23628641669848</v>
      </c>
      <c r="AP96" s="109">
        <v>502.84319631273524</v>
      </c>
      <c r="AQ96" s="109">
        <v>242.45010620877201</v>
      </c>
      <c r="AR96" s="109">
        <v>208.05701610480878</v>
      </c>
      <c r="AS96" s="109">
        <v>114.66392600084555</v>
      </c>
      <c r="AT96" s="109">
        <v>11.270835896882318</v>
      </c>
      <c r="AU96" s="109">
        <v>0</v>
      </c>
      <c r="AV96" s="109">
        <v>72.606909896036768</v>
      </c>
      <c r="AW96" s="109">
        <v>25.213819792073537</v>
      </c>
      <c r="AX96" s="109">
        <v>0</v>
      </c>
      <c r="AY96" s="109">
        <v>0</v>
      </c>
    </row>
    <row r="97" spans="1:52">
      <c r="A97" s="108"/>
      <c r="B97" s="126">
        <v>3</v>
      </c>
      <c r="C97" s="109">
        <v>90.303093600001603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12.101594368295764</v>
      </c>
      <c r="N97" s="109">
        <v>35.708504264332532</v>
      </c>
      <c r="O97" s="109">
        <v>63.315414160369301</v>
      </c>
      <c r="P97" s="109">
        <v>160.92232405640607</v>
      </c>
      <c r="Q97" s="109">
        <v>43.529233952442837</v>
      </c>
      <c r="R97" s="109">
        <v>128.13614384847961</v>
      </c>
      <c r="S97" s="109">
        <v>125.74305374451637</v>
      </c>
      <c r="T97" s="109">
        <v>220.34996364055314</v>
      </c>
      <c r="U97" s="109">
        <v>244.95687353658991</v>
      </c>
      <c r="V97" s="109">
        <v>188.56378343262668</v>
      </c>
      <c r="W97" s="109">
        <v>0</v>
      </c>
      <c r="X97" s="109">
        <v>0</v>
      </c>
      <c r="Y97" s="109">
        <v>16.918818184073416</v>
      </c>
      <c r="Z97" s="109">
        <v>63.525728080110184</v>
      </c>
      <c r="AA97" s="109">
        <v>34.132637976146952</v>
      </c>
      <c r="AB97" s="109">
        <v>70.739547872183721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09">
        <v>0</v>
      </c>
      <c r="AN97" s="109">
        <v>0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>
      <c r="A98" s="108"/>
      <c r="B98" s="129">
        <v>4</v>
      </c>
      <c r="C98" s="105">
        <v>0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>
      <c r="A99" s="127"/>
      <c r="B99" s="131" t="s">
        <v>296</v>
      </c>
      <c r="C99" s="124">
        <v>0</v>
      </c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0</v>
      </c>
    </row>
    <row r="100" spans="1:52">
      <c r="A100" s="130" t="s">
        <v>133</v>
      </c>
      <c r="B100" s="118">
        <v>1</v>
      </c>
      <c r="C100" s="105">
        <v>1664.1041895207466</v>
      </c>
      <c r="D100" s="105">
        <v>1704.8215176868557</v>
      </c>
      <c r="E100" s="105">
        <v>465.99435368153604</v>
      </c>
      <c r="F100" s="105">
        <v>0</v>
      </c>
      <c r="G100" s="105">
        <v>1245.281386513966</v>
      </c>
      <c r="H100" s="105">
        <v>740.96108294820749</v>
      </c>
      <c r="I100" s="105">
        <v>740.96108294820749</v>
      </c>
      <c r="J100" s="105">
        <v>740.96108294820749</v>
      </c>
      <c r="K100" s="105">
        <v>740.96108294820749</v>
      </c>
      <c r="L100" s="105">
        <v>740.96108294820749</v>
      </c>
      <c r="M100" s="105">
        <v>730.30601179274652</v>
      </c>
      <c r="N100" s="105">
        <v>740.96108294820749</v>
      </c>
      <c r="O100" s="105">
        <v>740.96108294820749</v>
      </c>
      <c r="P100" s="105">
        <v>740.96108294820749</v>
      </c>
      <c r="Q100" s="105">
        <v>740.96108294820749</v>
      </c>
      <c r="R100" s="105">
        <v>740.96108294820749</v>
      </c>
      <c r="S100" s="105">
        <v>740.96108294820749</v>
      </c>
      <c r="T100" s="105">
        <v>740.96108294820749</v>
      </c>
      <c r="U100" s="105">
        <v>740.96108294820749</v>
      </c>
      <c r="V100" s="105">
        <v>0</v>
      </c>
      <c r="W100" s="105">
        <v>684.57678233449712</v>
      </c>
      <c r="X100" s="105">
        <v>740.96108294820749</v>
      </c>
      <c r="Y100" s="105">
        <v>740.96108294820749</v>
      </c>
      <c r="Z100" s="105">
        <v>740.96108294820749</v>
      </c>
      <c r="AA100" s="105">
        <v>717.49362562094393</v>
      </c>
      <c r="AB100" s="105">
        <v>740.96108294820749</v>
      </c>
      <c r="AC100" s="105">
        <v>740.96108294820749</v>
      </c>
      <c r="AD100" s="105">
        <v>740.96108294820749</v>
      </c>
      <c r="AE100" s="105">
        <v>740.96108294820749</v>
      </c>
      <c r="AF100" s="105">
        <v>740.96108294820749</v>
      </c>
      <c r="AG100" s="105">
        <v>717.49362562094393</v>
      </c>
      <c r="AH100" s="105">
        <v>740.96108294820749</v>
      </c>
      <c r="AI100" s="105">
        <v>740.96108294820749</v>
      </c>
      <c r="AJ100" s="105">
        <v>740.96108294820749</v>
      </c>
      <c r="AK100" s="105">
        <v>717.49362562094393</v>
      </c>
      <c r="AL100" s="105">
        <v>38.437158515407688</v>
      </c>
      <c r="AM100" s="105">
        <v>0</v>
      </c>
      <c r="AN100" s="105">
        <v>1245.281386513966</v>
      </c>
      <c r="AO100" s="105">
        <v>0</v>
      </c>
      <c r="AP100" s="105">
        <v>730.30601179274652</v>
      </c>
      <c r="AQ100" s="105">
        <v>740.96108294820749</v>
      </c>
      <c r="AR100" s="105">
        <v>740.96108294820749</v>
      </c>
      <c r="AS100" s="105">
        <v>740.96108294820749</v>
      </c>
      <c r="AT100" s="105">
        <v>740.96108294820749</v>
      </c>
      <c r="AU100" s="105">
        <v>0</v>
      </c>
      <c r="AV100" s="105">
        <v>730.30601179274652</v>
      </c>
      <c r="AW100" s="105">
        <v>0</v>
      </c>
      <c r="AX100" s="105">
        <v>730.30601179274652</v>
      </c>
      <c r="AY100" s="105">
        <v>740.96108294820749</v>
      </c>
    </row>
    <row r="101" spans="1:52">
      <c r="A101" s="108"/>
      <c r="B101" s="118">
        <v>2</v>
      </c>
      <c r="C101" s="105">
        <v>1621.5470398040159</v>
      </c>
      <c r="D101" s="105">
        <v>1274.6512293247624</v>
      </c>
      <c r="E101" s="105">
        <v>1734.1458533046105</v>
      </c>
      <c r="F101" s="105">
        <v>465.99435368153604</v>
      </c>
      <c r="G101" s="105">
        <v>0</v>
      </c>
      <c r="H101" s="105">
        <v>1245.281386513966</v>
      </c>
      <c r="I101" s="105">
        <v>740.96108294820749</v>
      </c>
      <c r="J101" s="105">
        <v>740.96108294820749</v>
      </c>
      <c r="K101" s="105">
        <v>740.96108294820749</v>
      </c>
      <c r="L101" s="105">
        <v>740.96108294820749</v>
      </c>
      <c r="M101" s="105">
        <v>740.96108294820749</v>
      </c>
      <c r="N101" s="105">
        <v>730.30601179274652</v>
      </c>
      <c r="O101" s="105">
        <v>740.96108294820749</v>
      </c>
      <c r="P101" s="105">
        <v>740.96108294820749</v>
      </c>
      <c r="Q101" s="105">
        <v>740.96108294820749</v>
      </c>
      <c r="R101" s="105">
        <v>740.96108294820749</v>
      </c>
      <c r="S101" s="105">
        <v>740.96108294820749</v>
      </c>
      <c r="T101" s="105">
        <v>740.96108294820749</v>
      </c>
      <c r="U101" s="105">
        <v>740.96108294820749</v>
      </c>
      <c r="V101" s="105">
        <v>740.96108294820749</v>
      </c>
      <c r="W101" s="105">
        <v>740.96108294820749</v>
      </c>
      <c r="X101" s="105">
        <v>684.57678233449712</v>
      </c>
      <c r="Y101" s="105">
        <v>740.96108294820749</v>
      </c>
      <c r="Z101" s="105">
        <v>740.96108294820749</v>
      </c>
      <c r="AA101" s="105">
        <v>740.96108294820749</v>
      </c>
      <c r="AB101" s="105">
        <v>740.96108294820749</v>
      </c>
      <c r="AC101" s="105">
        <v>740.96108294820749</v>
      </c>
      <c r="AD101" s="105">
        <v>740.96108294820749</v>
      </c>
      <c r="AE101" s="105">
        <v>686.1177656376916</v>
      </c>
      <c r="AF101" s="105">
        <v>705.0788485858991</v>
      </c>
      <c r="AG101" s="105">
        <v>740.96108294820749</v>
      </c>
      <c r="AH101" s="105">
        <v>740.96108294820749</v>
      </c>
      <c r="AI101" s="105">
        <v>740.96108294820749</v>
      </c>
      <c r="AJ101" s="105">
        <v>576.92318037872906</v>
      </c>
      <c r="AK101" s="105">
        <v>665.88426332693655</v>
      </c>
      <c r="AL101" s="105">
        <v>557.84534627514404</v>
      </c>
      <c r="AM101" s="105">
        <v>702.52392443279984</v>
      </c>
      <c r="AN101" s="105">
        <v>0</v>
      </c>
      <c r="AO101" s="105">
        <v>629.80531094676587</v>
      </c>
      <c r="AP101" s="105">
        <v>0</v>
      </c>
      <c r="AQ101" s="105">
        <v>10.655071155460973</v>
      </c>
      <c r="AR101" s="105">
        <v>708.57723705187595</v>
      </c>
      <c r="AS101" s="105">
        <v>700.53832000008344</v>
      </c>
      <c r="AT101" s="105">
        <v>740.96108294820749</v>
      </c>
      <c r="AU101" s="105">
        <v>596.46048589649843</v>
      </c>
      <c r="AV101" s="105">
        <v>740.96108294820749</v>
      </c>
      <c r="AW101" s="105">
        <v>680.26709474095401</v>
      </c>
      <c r="AX101" s="105">
        <v>0</v>
      </c>
      <c r="AY101" s="105">
        <v>10.655071155460973</v>
      </c>
    </row>
    <row r="102" spans="1:52">
      <c r="A102" s="108"/>
      <c r="B102" s="119">
        <v>3</v>
      </c>
      <c r="C102" s="105">
        <v>0</v>
      </c>
      <c r="D102" s="105">
        <v>29.324335617754741</v>
      </c>
      <c r="E102" s="105">
        <v>499.97556494251717</v>
      </c>
      <c r="F102" s="105">
        <v>1501.1214182471276</v>
      </c>
      <c r="G102" s="105">
        <v>465.99435368153604</v>
      </c>
      <c r="H102" s="105">
        <v>0</v>
      </c>
      <c r="I102" s="105">
        <v>874.39715844262969</v>
      </c>
      <c r="J102" s="105">
        <v>715.35824139083718</v>
      </c>
      <c r="K102" s="105">
        <v>671.31932433904467</v>
      </c>
      <c r="L102" s="105">
        <v>562.28040728725216</v>
      </c>
      <c r="M102" s="105">
        <v>534.24149023545965</v>
      </c>
      <c r="N102" s="105">
        <v>595.20257318366714</v>
      </c>
      <c r="O102" s="105">
        <v>687.16365613187463</v>
      </c>
      <c r="P102" s="105">
        <v>740.96108294820749</v>
      </c>
      <c r="Q102" s="105">
        <v>740.96108294820749</v>
      </c>
      <c r="R102" s="105">
        <v>740.96108294820749</v>
      </c>
      <c r="S102" s="105">
        <v>740.96108294820749</v>
      </c>
      <c r="T102" s="105">
        <v>740.96108294820749</v>
      </c>
      <c r="U102" s="105">
        <v>658.93015382111957</v>
      </c>
      <c r="V102" s="105">
        <v>623.89123676932707</v>
      </c>
      <c r="W102" s="105">
        <v>628.85231971753456</v>
      </c>
      <c r="X102" s="105">
        <v>543.81340266574205</v>
      </c>
      <c r="Y102" s="105">
        <v>435.39018500023917</v>
      </c>
      <c r="Z102" s="105">
        <v>429.35126794844666</v>
      </c>
      <c r="AA102" s="105">
        <v>315.31235089665415</v>
      </c>
      <c r="AB102" s="105">
        <v>233.27343384486164</v>
      </c>
      <c r="AC102" s="105">
        <v>90.234516793069133</v>
      </c>
      <c r="AD102" s="105">
        <v>83.195599741276624</v>
      </c>
      <c r="AE102" s="105">
        <v>0</v>
      </c>
      <c r="AF102" s="105">
        <v>0</v>
      </c>
      <c r="AG102" s="105">
        <v>3.0788485858990953</v>
      </c>
      <c r="AH102" s="105">
        <v>49.039931534106586</v>
      </c>
      <c r="AI102" s="105">
        <v>17.001014482314076</v>
      </c>
      <c r="AJ102" s="105">
        <v>0</v>
      </c>
      <c r="AK102" s="105">
        <v>0</v>
      </c>
      <c r="AL102" s="105">
        <v>0</v>
      </c>
      <c r="AM102" s="105">
        <v>0</v>
      </c>
      <c r="AN102" s="105">
        <v>54.523924432799845</v>
      </c>
      <c r="AO102" s="105">
        <v>0</v>
      </c>
      <c r="AP102" s="105">
        <v>0</v>
      </c>
      <c r="AQ102" s="105">
        <v>740.96108294820749</v>
      </c>
      <c r="AR102" s="105">
        <v>0</v>
      </c>
      <c r="AS102" s="105">
        <v>0</v>
      </c>
      <c r="AT102" s="105">
        <v>2.5383200000834449</v>
      </c>
      <c r="AU102" s="105">
        <v>0</v>
      </c>
      <c r="AV102" s="105">
        <v>0</v>
      </c>
      <c r="AW102" s="105">
        <v>0</v>
      </c>
      <c r="AX102" s="105">
        <v>18.922165896414981</v>
      </c>
      <c r="AY102" s="105">
        <v>740.96108294820749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709.12141824712762</v>
      </c>
      <c r="H103" s="105">
        <v>446.11577192866366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22.163656131874632</v>
      </c>
      <c r="Q103" s="105">
        <v>100.12473908008212</v>
      </c>
      <c r="R103" s="105">
        <v>28.085822028289613</v>
      </c>
      <c r="S103" s="105">
        <v>44.046904976497103</v>
      </c>
      <c r="T103" s="105">
        <v>35.007987924704594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88.58919638020835</v>
      </c>
      <c r="D109" s="105">
        <v>88.58919638020835</v>
      </c>
      <c r="E109" s="105">
        <v>79.182227086682218</v>
      </c>
      <c r="F109" s="105">
        <v>402.43914863302047</v>
      </c>
      <c r="G109" s="105">
        <v>79.182227086682218</v>
      </c>
      <c r="H109" s="105">
        <v>943.02494166721806</v>
      </c>
      <c r="I109" s="105">
        <v>708.37171599822045</v>
      </c>
      <c r="J109" s="105">
        <v>669.97170068168907</v>
      </c>
      <c r="K109" s="105">
        <v>634.36407876313433</v>
      </c>
      <c r="L109" s="105">
        <v>615.61813275322709</v>
      </c>
      <c r="M109" s="105">
        <v>593.18158516295807</v>
      </c>
      <c r="N109" s="105">
        <v>585.79023916625192</v>
      </c>
      <c r="O109" s="105">
        <v>593.18158516295807</v>
      </c>
      <c r="P109" s="105">
        <v>600.57293115966388</v>
      </c>
      <c r="Q109" s="105">
        <v>593.18158516295807</v>
      </c>
      <c r="R109" s="105">
        <v>613.31313976491822</v>
      </c>
      <c r="S109" s="105">
        <v>593.18158516295807</v>
      </c>
      <c r="T109" s="105">
        <v>593.18158516295796</v>
      </c>
      <c r="U109" s="105">
        <v>593.18158516295807</v>
      </c>
      <c r="V109" s="105">
        <v>593.18158516295796</v>
      </c>
      <c r="W109" s="105">
        <v>90.20645344093866</v>
      </c>
      <c r="X109" s="105">
        <v>1068.0675606500797</v>
      </c>
      <c r="Y109" s="105">
        <v>815.63720759245314</v>
      </c>
      <c r="Z109" s="105">
        <v>650.92544941972847</v>
      </c>
      <c r="AA109" s="105">
        <v>626.20102127585403</v>
      </c>
      <c r="AB109" s="105">
        <v>594.8799467606384</v>
      </c>
      <c r="AC109" s="105">
        <v>609.46079102070905</v>
      </c>
      <c r="AD109" s="105">
        <v>609.28073747238045</v>
      </c>
      <c r="AE109" s="105">
        <v>593.18158516295796</v>
      </c>
      <c r="AF109" s="105">
        <v>617.96711556103355</v>
      </c>
      <c r="AG109" s="105">
        <v>611.83704468904739</v>
      </c>
      <c r="AH109" s="105">
        <v>576.90237930520698</v>
      </c>
      <c r="AI109" s="105">
        <v>609.46079102070905</v>
      </c>
      <c r="AJ109" s="105">
        <v>620.90290526656952</v>
      </c>
      <c r="AK109" s="105">
        <v>593.18158516295796</v>
      </c>
      <c r="AL109" s="105">
        <v>576.90237930520698</v>
      </c>
      <c r="AM109" s="105">
        <v>122.12501252756859</v>
      </c>
      <c r="AN109" s="105">
        <v>566.51800557982267</v>
      </c>
      <c r="AO109" s="105">
        <v>943.02494166721806</v>
      </c>
      <c r="AP109" s="105">
        <v>201.67322253623499</v>
      </c>
      <c r="AQ109" s="105">
        <v>585.79023916625192</v>
      </c>
      <c r="AR109" s="105">
        <v>1114.5722892359399</v>
      </c>
      <c r="AS109" s="105">
        <v>827.67613714014772</v>
      </c>
      <c r="AT109" s="105">
        <v>701.72737980474699</v>
      </c>
      <c r="AU109" s="105">
        <v>598.50489501471247</v>
      </c>
      <c r="AV109" s="105">
        <v>79.182227086682218</v>
      </c>
      <c r="AW109" s="105">
        <v>1099.7895972425276</v>
      </c>
      <c r="AX109" s="105">
        <v>230.85702594244708</v>
      </c>
      <c r="AY109" s="105">
        <v>593.18158516295796</v>
      </c>
    </row>
    <row r="110" spans="1:52">
      <c r="A110" s="108"/>
      <c r="B110" s="118">
        <v>2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418.02494166721806</v>
      </c>
      <c r="J110" s="105">
        <v>517.39665766543851</v>
      </c>
      <c r="K110" s="105">
        <v>512.36835834712758</v>
      </c>
      <c r="L110" s="105">
        <v>405.73243711026191</v>
      </c>
      <c r="M110" s="105">
        <v>444.350569863489</v>
      </c>
      <c r="N110" s="105">
        <v>439.53215502644707</v>
      </c>
      <c r="O110" s="105">
        <v>415.32239419269899</v>
      </c>
      <c r="P110" s="105">
        <v>259.50397935565707</v>
      </c>
      <c r="Q110" s="105">
        <v>171.07691051532095</v>
      </c>
      <c r="R110" s="105">
        <v>89.258495678279019</v>
      </c>
      <c r="S110" s="105">
        <v>0</v>
      </c>
      <c r="T110" s="105">
        <v>0</v>
      </c>
      <c r="U110" s="105">
        <v>16.181585162957958</v>
      </c>
      <c r="V110" s="105">
        <v>0</v>
      </c>
      <c r="W110" s="105">
        <v>0</v>
      </c>
      <c r="X110" s="105">
        <v>0</v>
      </c>
      <c r="Y110" s="105">
        <v>282.06756065007971</v>
      </c>
      <c r="Z110" s="105">
        <v>454.70476824253285</v>
      </c>
      <c r="AA110" s="105">
        <v>270.63021766226132</v>
      </c>
      <c r="AB110" s="105">
        <v>245.83123893811535</v>
      </c>
      <c r="AC110" s="105">
        <v>230.71118569875375</v>
      </c>
      <c r="AD110" s="105">
        <v>257.1719767194628</v>
      </c>
      <c r="AE110" s="105">
        <v>159.45271419184326</v>
      </c>
      <c r="AF110" s="105">
        <v>45.634299354801215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207.50017829570857</v>
      </c>
      <c r="AQ110" s="105">
        <v>0</v>
      </c>
      <c r="AR110" s="105">
        <v>0</v>
      </c>
      <c r="AS110" s="105">
        <v>539.57228923593993</v>
      </c>
      <c r="AT110" s="105">
        <v>506.24842637608765</v>
      </c>
      <c r="AU110" s="105">
        <v>465.97580618083464</v>
      </c>
      <c r="AV110" s="105">
        <v>156.75308301399616</v>
      </c>
      <c r="AW110" s="105">
        <v>0</v>
      </c>
      <c r="AX110" s="105">
        <v>305.78959724252763</v>
      </c>
      <c r="AY110" s="105">
        <v>0</v>
      </c>
    </row>
    <row r="111" spans="1:52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>
        <v>143.74479166666669</v>
      </c>
      <c r="D122" s="105">
        <v>153.12500000000006</v>
      </c>
      <c r="E122" s="105">
        <v>778.24907055179085</v>
      </c>
      <c r="F122" s="105">
        <v>153.12500000000006</v>
      </c>
      <c r="G122" s="105">
        <v>1823.6503254033858</v>
      </c>
      <c r="H122" s="105">
        <v>1147.1125979905025</v>
      </c>
      <c r="I122" s="105">
        <v>1147.1125979905023</v>
      </c>
      <c r="J122" s="105">
        <v>1147.1125979905025</v>
      </c>
      <c r="K122" s="105">
        <v>1147.1125979905023</v>
      </c>
      <c r="L122" s="105">
        <v>1147.1125979905025</v>
      </c>
      <c r="M122" s="105">
        <v>1132.8189882072538</v>
      </c>
      <c r="N122" s="105">
        <v>1147.1125979905025</v>
      </c>
      <c r="O122" s="105">
        <v>1147.1125979905023</v>
      </c>
      <c r="P122" s="105">
        <v>1147.1125979905025</v>
      </c>
      <c r="Q122" s="105">
        <v>1147.1125979905023</v>
      </c>
      <c r="R122" s="105">
        <v>1147.1125979905025</v>
      </c>
      <c r="S122" s="105">
        <v>1147.1125979905023</v>
      </c>
      <c r="T122" s="105">
        <v>1147.1125979905025</v>
      </c>
      <c r="U122" s="105">
        <v>1147.1125979905023</v>
      </c>
      <c r="V122" s="105">
        <v>153.12500000000006</v>
      </c>
      <c r="W122" s="105">
        <v>1071.4739486455214</v>
      </c>
      <c r="X122" s="105">
        <v>1147.1125979905023</v>
      </c>
      <c r="Y122" s="105">
        <v>1147.1125979905025</v>
      </c>
      <c r="Z122" s="105">
        <v>1147.1125979905023</v>
      </c>
      <c r="AA122" s="105">
        <v>1115.6313743790565</v>
      </c>
      <c r="AB122" s="105">
        <v>1147.1125979905023</v>
      </c>
      <c r="AC122" s="105">
        <v>1147.1125979905025</v>
      </c>
      <c r="AD122" s="105">
        <v>1147.1125979905023</v>
      </c>
      <c r="AE122" s="105">
        <v>1147.1125979905025</v>
      </c>
      <c r="AF122" s="105">
        <v>1147.1125979905023</v>
      </c>
      <c r="AG122" s="105">
        <v>1115.6313743790565</v>
      </c>
      <c r="AH122" s="105">
        <v>1147.1125979905023</v>
      </c>
      <c r="AI122" s="105">
        <v>1147.1125979905025</v>
      </c>
      <c r="AJ122" s="105">
        <v>1147.1125979905023</v>
      </c>
      <c r="AK122" s="105">
        <v>1115.6313743790565</v>
      </c>
      <c r="AL122" s="105">
        <v>204.68784148459235</v>
      </c>
      <c r="AM122" s="105">
        <v>153.12500000000006</v>
      </c>
      <c r="AN122" s="105">
        <v>1823.6503254033858</v>
      </c>
      <c r="AO122" s="105">
        <v>153.12500000000006</v>
      </c>
      <c r="AP122" s="105">
        <v>1132.8189882072538</v>
      </c>
      <c r="AQ122" s="105">
        <v>1147.1125979905025</v>
      </c>
      <c r="AR122" s="105">
        <v>1147.1125979905023</v>
      </c>
      <c r="AS122" s="105">
        <v>1147.1125979905025</v>
      </c>
      <c r="AT122" s="105">
        <v>1147.1125979905023</v>
      </c>
      <c r="AU122" s="105">
        <v>153.12500000000006</v>
      </c>
      <c r="AV122" s="105">
        <v>1132.8189882072538</v>
      </c>
      <c r="AW122" s="105">
        <v>153.12500000000006</v>
      </c>
      <c r="AX122" s="105">
        <v>1132.8189882072538</v>
      </c>
      <c r="AY122" s="105">
        <v>1147.1125979905025</v>
      </c>
    </row>
    <row r="123" spans="1:52">
      <c r="A123" s="108"/>
      <c r="B123" s="118">
        <v>2</v>
      </c>
      <c r="C123" s="105">
        <v>0</v>
      </c>
      <c r="D123" s="105">
        <v>0</v>
      </c>
      <c r="E123" s="105">
        <v>0</v>
      </c>
      <c r="F123" s="105">
        <v>0</v>
      </c>
      <c r="G123" s="105">
        <v>0</v>
      </c>
      <c r="H123" s="105">
        <v>222.75817987337484</v>
      </c>
      <c r="I123" s="105">
        <v>148.49906186565681</v>
      </c>
      <c r="J123" s="105">
        <v>79.63995917447005</v>
      </c>
      <c r="K123" s="105">
        <v>43.388478401838256</v>
      </c>
      <c r="L123" s="105">
        <v>0</v>
      </c>
      <c r="M123" s="105">
        <v>0</v>
      </c>
      <c r="N123" s="105">
        <v>0</v>
      </c>
      <c r="O123" s="105">
        <v>0</v>
      </c>
      <c r="P123" s="105">
        <v>0</v>
      </c>
      <c r="Q123" s="105">
        <v>38.931012827544464</v>
      </c>
      <c r="R123" s="105">
        <v>0</v>
      </c>
      <c r="S123" s="105">
        <v>0</v>
      </c>
      <c r="T123" s="105">
        <v>0</v>
      </c>
      <c r="U123" s="105">
        <v>0</v>
      </c>
      <c r="V123" s="105">
        <v>21.318984355511247</v>
      </c>
      <c r="W123" s="105">
        <v>993.98759799050231</v>
      </c>
      <c r="X123" s="105">
        <v>430.19145126123453</v>
      </c>
      <c r="Y123" s="105">
        <v>111.6668416592837</v>
      </c>
      <c r="Z123" s="105">
        <v>63.853990230057661</v>
      </c>
      <c r="AA123" s="105">
        <v>34.765566944705938</v>
      </c>
      <c r="AB123" s="105">
        <v>31.481223611446012</v>
      </c>
      <c r="AC123" s="105">
        <v>31.133030581239268</v>
      </c>
      <c r="AD123" s="105">
        <v>1.1368683772161603E-13</v>
      </c>
      <c r="AE123" s="105">
        <v>47.931012827544407</v>
      </c>
      <c r="AF123" s="105">
        <v>36.076495257013448</v>
      </c>
      <c r="AG123" s="105">
        <v>0</v>
      </c>
      <c r="AH123" s="105">
        <v>31.481223611446012</v>
      </c>
      <c r="AI123" s="105">
        <v>53.608332286721634</v>
      </c>
      <c r="AJ123" s="105">
        <v>0</v>
      </c>
      <c r="AK123" s="105">
        <v>0</v>
      </c>
      <c r="AL123" s="105">
        <v>31.481223611446012</v>
      </c>
      <c r="AM123" s="105">
        <v>942.42475650590995</v>
      </c>
      <c r="AN123" s="105">
        <v>2.8421709430404007E-14</v>
      </c>
      <c r="AO123" s="105">
        <v>236.87681400625127</v>
      </c>
      <c r="AP123" s="105">
        <v>0</v>
      </c>
      <c r="AQ123" s="105">
        <v>14.293609783248598</v>
      </c>
      <c r="AR123" s="105">
        <v>453.47269952636168</v>
      </c>
      <c r="AS123" s="105">
        <v>209.90916037671633</v>
      </c>
      <c r="AT123" s="105">
        <v>10.29437856247182</v>
      </c>
      <c r="AU123" s="105">
        <v>0</v>
      </c>
      <c r="AV123" s="105">
        <v>993.98759799050231</v>
      </c>
      <c r="AW123" s="105">
        <v>293.31334100219169</v>
      </c>
      <c r="AX123" s="105">
        <v>0</v>
      </c>
      <c r="AY123" s="105">
        <v>14.293609783248712</v>
      </c>
    </row>
    <row r="124" spans="1:52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14.293609783248598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993.98759799050242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14.293609783248598</v>
      </c>
      <c r="AY124" s="105">
        <v>993.98759799050242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0.61629500000000004</v>
      </c>
      <c r="D172" s="133">
        <v>0.51710842179057759</v>
      </c>
      <c r="E172" s="133">
        <v>0.51710842179057759</v>
      </c>
      <c r="F172" s="133">
        <v>0.51710842179057759</v>
      </c>
      <c r="G172" s="133">
        <v>0.51710842179057759</v>
      </c>
      <c r="H172" s="133">
        <v>0.51710842179057759</v>
      </c>
      <c r="I172" s="133">
        <v>0.51710842179057759</v>
      </c>
      <c r="J172" s="133">
        <v>0.51710842179057759</v>
      </c>
      <c r="K172" s="133">
        <v>0.51710842179057759</v>
      </c>
      <c r="L172" s="133">
        <v>0.51710842179057759</v>
      </c>
      <c r="M172" s="133">
        <v>0.51710842179057759</v>
      </c>
      <c r="N172" s="133">
        <v>0.51710842179057759</v>
      </c>
      <c r="O172" s="133">
        <v>0.51710842179057759</v>
      </c>
      <c r="P172" s="133">
        <v>0.51710842179057759</v>
      </c>
      <c r="Q172" s="133">
        <v>0.51710842179057759</v>
      </c>
      <c r="R172" s="133">
        <v>0.51710842179057759</v>
      </c>
      <c r="S172" s="133">
        <v>0.51710842179057759</v>
      </c>
      <c r="T172" s="133">
        <v>0.51710842179057759</v>
      </c>
      <c r="U172" s="133">
        <v>0.51710842179057759</v>
      </c>
      <c r="V172" s="133">
        <v>0.51710842179057759</v>
      </c>
      <c r="W172" s="133">
        <v>0.51710842179057759</v>
      </c>
      <c r="X172" s="133">
        <v>0.51710842179057759</v>
      </c>
      <c r="Y172" s="133">
        <v>0.51710842179057759</v>
      </c>
      <c r="Z172" s="133">
        <v>0.51710842179057759</v>
      </c>
      <c r="AA172" s="133">
        <v>0.51710842179057759</v>
      </c>
      <c r="AB172" s="133">
        <v>0.51710842179057759</v>
      </c>
      <c r="AC172" s="133">
        <v>0.51710842179057759</v>
      </c>
      <c r="AD172" s="133">
        <v>0.51710842179057759</v>
      </c>
      <c r="AE172" s="133">
        <v>0.51710842179057759</v>
      </c>
      <c r="AF172" s="133">
        <v>0.51710842179057759</v>
      </c>
      <c r="AG172" s="133">
        <v>0.51710842179057759</v>
      </c>
      <c r="AH172" s="133">
        <v>0.51710842179057759</v>
      </c>
      <c r="AI172" s="133">
        <v>0.51710842179057759</v>
      </c>
      <c r="AJ172" s="133">
        <v>0.51710842179057759</v>
      </c>
      <c r="AK172" s="133">
        <v>0.51710842179057759</v>
      </c>
      <c r="AL172" s="133">
        <v>0.51710842179057759</v>
      </c>
      <c r="AM172" s="133">
        <v>0.51710842179057759</v>
      </c>
      <c r="AN172" s="133">
        <v>0.51710842179057759</v>
      </c>
      <c r="AO172" s="133">
        <v>0.51710842179057759</v>
      </c>
      <c r="AP172" s="133">
        <v>0.51710842179057759</v>
      </c>
      <c r="AQ172" s="133">
        <v>0.51710842179057759</v>
      </c>
      <c r="AR172" s="133">
        <v>0.51710842179057759</v>
      </c>
      <c r="AS172" s="133">
        <v>0.51710842179057759</v>
      </c>
      <c r="AT172" s="133">
        <v>0.51710842179057759</v>
      </c>
      <c r="AU172" s="133">
        <v>0.51710842179057759</v>
      </c>
      <c r="AV172" s="133">
        <v>0.51710842179057759</v>
      </c>
      <c r="AW172" s="133">
        <v>0.51710842179057759</v>
      </c>
      <c r="AX172" s="133">
        <v>0.51710842179057759</v>
      </c>
      <c r="AY172" s="133">
        <v>0.51710842179057759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1102.8532250960384</v>
      </c>
      <c r="E175" s="123">
        <f t="shared" si="1"/>
        <v>1104.4601349920752</v>
      </c>
      <c r="F175" s="123">
        <f t="shared" si="1"/>
        <v>1128.0670448881119</v>
      </c>
      <c r="G175" s="123">
        <f t="shared" si="1"/>
        <v>1198.6739547841487</v>
      </c>
      <c r="H175" s="123">
        <f t="shared" si="1"/>
        <v>1142.2808646801855</v>
      </c>
      <c r="I175" s="123">
        <f t="shared" si="1"/>
        <v>1137.8877745762222</v>
      </c>
      <c r="J175" s="123">
        <f t="shared" si="1"/>
        <v>1145.494684472259</v>
      </c>
      <c r="K175" s="123">
        <f t="shared" si="1"/>
        <v>1224.1015943682958</v>
      </c>
      <c r="L175" s="123">
        <f t="shared" si="1"/>
        <v>1353.7085042643325</v>
      </c>
      <c r="M175" s="123">
        <f t="shared" si="1"/>
        <v>1417.3154141603693</v>
      </c>
      <c r="N175" s="123">
        <f t="shared" si="1"/>
        <v>1440.9223240564061</v>
      </c>
      <c r="O175" s="123">
        <f t="shared" si="1"/>
        <v>1468.5292339524428</v>
      </c>
      <c r="P175" s="123">
        <f t="shared" si="1"/>
        <v>1566.1361438484796</v>
      </c>
      <c r="Q175" s="123">
        <f t="shared" si="1"/>
        <v>1448.7430537445164</v>
      </c>
      <c r="R175" s="123">
        <f t="shared" si="1"/>
        <v>1533.3499636405531</v>
      </c>
      <c r="S175" s="123">
        <f t="shared" si="1"/>
        <v>1530.9568735365899</v>
      </c>
      <c r="T175" s="123">
        <f t="shared" si="1"/>
        <v>1625.5637834326267</v>
      </c>
      <c r="U175" s="123">
        <f t="shared" si="1"/>
        <v>1596.7049983919999</v>
      </c>
      <c r="V175" s="123">
        <f t="shared" si="1"/>
        <v>1540.3119082880366</v>
      </c>
      <c r="W175" s="123">
        <f t="shared" si="1"/>
        <v>1399.9188181840734</v>
      </c>
      <c r="X175" s="123">
        <f t="shared" si="1"/>
        <v>1400.5257280801102</v>
      </c>
      <c r="Y175" s="123">
        <f t="shared" si="1"/>
        <v>1422.132637976147</v>
      </c>
      <c r="Z175" s="123">
        <f t="shared" si="1"/>
        <v>1468.7395478721837</v>
      </c>
      <c r="AA175" s="123">
        <f t="shared" si="1"/>
        <v>1439.3464577682205</v>
      </c>
      <c r="AB175" s="123">
        <f t="shared" si="1"/>
        <v>1475.9533676642573</v>
      </c>
      <c r="AC175" s="123">
        <f t="shared" si="1"/>
        <v>1369.560277560294</v>
      </c>
      <c r="AD175" s="123">
        <f t="shared" si="1"/>
        <v>1252.1671874563308</v>
      </c>
      <c r="AE175" s="123">
        <f t="shared" si="1"/>
        <v>1150.7740973523676</v>
      </c>
      <c r="AF175" s="123">
        <f t="shared" si="1"/>
        <v>1262.3810072484043</v>
      </c>
      <c r="AG175" s="123">
        <f t="shared" si="1"/>
        <v>1156.9879171444411</v>
      </c>
      <c r="AH175" s="123">
        <f t="shared" si="1"/>
        <v>1138.5948270404779</v>
      </c>
      <c r="AI175" s="123">
        <f t="shared" si="1"/>
        <v>1197.2017369365146</v>
      </c>
      <c r="AJ175" s="123">
        <f t="shared" si="1"/>
        <v>1258.8086468325514</v>
      </c>
      <c r="AK175" s="123">
        <f t="shared" si="1"/>
        <v>1179.4155567285882</v>
      </c>
      <c r="AL175" s="123">
        <f t="shared" si="1"/>
        <v>1166.0224666246249</v>
      </c>
      <c r="AM175" s="123">
        <f t="shared" si="1"/>
        <v>1256.6293765206617</v>
      </c>
      <c r="AN175" s="123">
        <f t="shared" si="1"/>
        <v>1211.2362864166985</v>
      </c>
      <c r="AO175" s="123">
        <f t="shared" si="1"/>
        <v>1227.8431963127352</v>
      </c>
      <c r="AP175" s="123">
        <f t="shared" si="1"/>
        <v>1205.450106208772</v>
      </c>
      <c r="AQ175" s="123">
        <f t="shared" si="1"/>
        <v>945.05701610480878</v>
      </c>
      <c r="AR175" s="123">
        <f t="shared" si="1"/>
        <v>910.66392600084555</v>
      </c>
      <c r="AS175" s="123">
        <f t="shared" si="1"/>
        <v>817.27083589688232</v>
      </c>
      <c r="AT175" s="123">
        <f t="shared" si="1"/>
        <v>713.87774579291909</v>
      </c>
      <c r="AU175" s="123">
        <f t="shared" si="1"/>
        <v>702.60690989603677</v>
      </c>
      <c r="AV175" s="123">
        <f t="shared" si="1"/>
        <v>775.21381979207354</v>
      </c>
      <c r="AW175" s="123">
        <f t="shared" si="1"/>
        <v>727.8207296881103</v>
      </c>
      <c r="AX175" s="123">
        <f t="shared" si="1"/>
        <v>702.60690989603677</v>
      </c>
      <c r="AY175" s="123">
        <f t="shared" si="1"/>
        <v>702.60690989603677</v>
      </c>
    </row>
    <row r="176" spans="1:52">
      <c r="A176" s="124"/>
      <c r="B176" s="135" t="s">
        <v>299</v>
      </c>
      <c r="C176" s="124" t="s">
        <v>293</v>
      </c>
      <c r="D176" s="124">
        <v>701</v>
      </c>
      <c r="E176" s="124">
        <v>679</v>
      </c>
      <c r="F176" s="124">
        <v>632</v>
      </c>
      <c r="G176" s="124">
        <v>759</v>
      </c>
      <c r="H176" s="124">
        <v>707</v>
      </c>
      <c r="I176" s="124">
        <v>695</v>
      </c>
      <c r="J176" s="124">
        <v>624</v>
      </c>
      <c r="K176" s="124">
        <v>573</v>
      </c>
      <c r="L176" s="124">
        <v>639</v>
      </c>
      <c r="M176" s="124">
        <v>679</v>
      </c>
      <c r="N176" s="124">
        <v>675</v>
      </c>
      <c r="O176" s="124">
        <v>605</v>
      </c>
      <c r="P176" s="124">
        <v>820</v>
      </c>
      <c r="Q176" s="124">
        <v>618</v>
      </c>
      <c r="R176" s="124">
        <v>705</v>
      </c>
      <c r="S176" s="124">
        <v>608</v>
      </c>
      <c r="T176" s="124">
        <v>678</v>
      </c>
      <c r="U176" s="124">
        <v>759</v>
      </c>
      <c r="V176" s="124">
        <v>843</v>
      </c>
      <c r="W176" s="124">
        <v>702</v>
      </c>
      <c r="X176" s="124">
        <v>681</v>
      </c>
      <c r="Y176" s="124">
        <v>656</v>
      </c>
      <c r="Z176" s="124">
        <v>732</v>
      </c>
      <c r="AA176" s="124">
        <v>666</v>
      </c>
      <c r="AB176" s="124">
        <v>809</v>
      </c>
      <c r="AC176" s="124">
        <v>820</v>
      </c>
      <c r="AD176" s="124">
        <v>804</v>
      </c>
      <c r="AE176" s="124">
        <v>591</v>
      </c>
      <c r="AF176" s="124">
        <v>808</v>
      </c>
      <c r="AG176" s="124">
        <v>721</v>
      </c>
      <c r="AH176" s="124">
        <v>644</v>
      </c>
      <c r="AI176" s="124">
        <v>641</v>
      </c>
      <c r="AJ176" s="124">
        <v>782</v>
      </c>
      <c r="AK176" s="124">
        <v>716</v>
      </c>
      <c r="AL176" s="124">
        <v>612</v>
      </c>
      <c r="AM176" s="124">
        <v>748</v>
      </c>
      <c r="AN176" s="124">
        <v>686</v>
      </c>
      <c r="AO176" s="124">
        <v>725</v>
      </c>
      <c r="AP176" s="124">
        <v>963</v>
      </c>
      <c r="AQ176" s="124">
        <v>737</v>
      </c>
      <c r="AR176" s="124">
        <v>796</v>
      </c>
      <c r="AS176" s="124">
        <v>806</v>
      </c>
      <c r="AT176" s="124">
        <v>713.87774579291909</v>
      </c>
      <c r="AU176" s="124">
        <v>630</v>
      </c>
      <c r="AV176" s="124">
        <v>750</v>
      </c>
      <c r="AW176" s="124">
        <v>727.8207296881103</v>
      </c>
      <c r="AX176" s="124">
        <v>702.60690989603677</v>
      </c>
      <c r="AY176" s="124">
        <v>702.60690989603677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3008.7970826293731</v>
      </c>
      <c r="E177" s="123">
        <f t="shared" si="2"/>
        <v>2700.1157719286639</v>
      </c>
      <c r="F177" s="123">
        <f t="shared" si="2"/>
        <v>1967.1157719286637</v>
      </c>
      <c r="G177" s="123">
        <f t="shared" si="2"/>
        <v>2420.3971584426299</v>
      </c>
      <c r="H177" s="123">
        <f t="shared" si="2"/>
        <v>2432.3582413908371</v>
      </c>
      <c r="I177" s="123">
        <f t="shared" si="2"/>
        <v>2356.3193243390447</v>
      </c>
      <c r="J177" s="123">
        <f t="shared" si="2"/>
        <v>2197.2804072872523</v>
      </c>
      <c r="K177" s="123">
        <f t="shared" si="2"/>
        <v>2153.2414902354594</v>
      </c>
      <c r="L177" s="123">
        <f t="shared" si="2"/>
        <v>2044.202573183667</v>
      </c>
      <c r="M177" s="123">
        <f t="shared" si="2"/>
        <v>2005.5085849764137</v>
      </c>
      <c r="N177" s="123">
        <f t="shared" si="2"/>
        <v>2066.4696679246213</v>
      </c>
      <c r="O177" s="123">
        <f t="shared" si="2"/>
        <v>2169.0858220282898</v>
      </c>
      <c r="P177" s="123">
        <f t="shared" si="2"/>
        <v>2245.046904976497</v>
      </c>
      <c r="Q177" s="123">
        <f t="shared" si="2"/>
        <v>2323.0079879247046</v>
      </c>
      <c r="R177" s="123">
        <f t="shared" si="2"/>
        <v>2250.9690708729122</v>
      </c>
      <c r="S177" s="123">
        <f t="shared" si="2"/>
        <v>2266.9301538211193</v>
      </c>
      <c r="T177" s="123">
        <f t="shared" si="2"/>
        <v>2257.891236769327</v>
      </c>
      <c r="U177" s="123">
        <f t="shared" si="2"/>
        <v>2140.8523197175346</v>
      </c>
      <c r="V177" s="123">
        <f t="shared" si="2"/>
        <v>1364.8523197175346</v>
      </c>
      <c r="W177" s="123">
        <f t="shared" si="2"/>
        <v>2054.3901850002394</v>
      </c>
      <c r="X177" s="123">
        <f t="shared" si="2"/>
        <v>1969.3512679484465</v>
      </c>
      <c r="Y177" s="123">
        <f t="shared" si="2"/>
        <v>1917.3123508966542</v>
      </c>
      <c r="Z177" s="123">
        <f t="shared" si="2"/>
        <v>1911.2734338448618</v>
      </c>
      <c r="AA177" s="123">
        <f t="shared" si="2"/>
        <v>1773.7670594658057</v>
      </c>
      <c r="AB177" s="123">
        <f t="shared" si="2"/>
        <v>1715.1955997412765</v>
      </c>
      <c r="AC177" s="123">
        <f t="shared" si="2"/>
        <v>1572.1566826894841</v>
      </c>
      <c r="AD177" s="123">
        <f t="shared" si="2"/>
        <v>1565.1177656376917</v>
      </c>
      <c r="AE177" s="123">
        <f t="shared" si="2"/>
        <v>1427.0788485858991</v>
      </c>
      <c r="AF177" s="123">
        <f t="shared" si="2"/>
        <v>1446.0399315341065</v>
      </c>
      <c r="AG177" s="123">
        <f t="shared" si="2"/>
        <v>1461.5335571550506</v>
      </c>
      <c r="AH177" s="123">
        <f t="shared" si="2"/>
        <v>1530.9620974305217</v>
      </c>
      <c r="AI177" s="123">
        <f t="shared" si="2"/>
        <v>1498.9231803787291</v>
      </c>
      <c r="AJ177" s="123">
        <f t="shared" si="2"/>
        <v>1317.8842633269364</v>
      </c>
      <c r="AK177" s="123">
        <f t="shared" si="2"/>
        <v>1383.3778889478804</v>
      </c>
      <c r="AL177" s="123">
        <f t="shared" si="2"/>
        <v>596.28250479055168</v>
      </c>
      <c r="AM177" s="123">
        <f t="shared" si="2"/>
        <v>702.52392443279984</v>
      </c>
      <c r="AN177" s="123">
        <f t="shared" si="2"/>
        <v>1299.805310946766</v>
      </c>
      <c r="AO177" s="123">
        <f t="shared" si="2"/>
        <v>629.80531094676587</v>
      </c>
      <c r="AP177" s="123">
        <f t="shared" si="2"/>
        <v>730.30601179274652</v>
      </c>
      <c r="AQ177" s="123">
        <f t="shared" si="2"/>
        <v>1492.577237051876</v>
      </c>
      <c r="AR177" s="123">
        <f t="shared" si="2"/>
        <v>1449.5383200000833</v>
      </c>
      <c r="AS177" s="123">
        <f t="shared" si="2"/>
        <v>1441.4994029482909</v>
      </c>
      <c r="AT177" s="123">
        <f t="shared" si="2"/>
        <v>1484.4604858964985</v>
      </c>
      <c r="AU177" s="123">
        <f t="shared" si="2"/>
        <v>596.46048589649843</v>
      </c>
      <c r="AV177" s="123">
        <f t="shared" si="2"/>
        <v>1471.267094740954</v>
      </c>
      <c r="AW177" s="123">
        <f t="shared" si="2"/>
        <v>680.26709474095401</v>
      </c>
      <c r="AX177" s="123">
        <f t="shared" si="2"/>
        <v>749.2281776891615</v>
      </c>
      <c r="AY177" s="123">
        <f t="shared" si="2"/>
        <v>1492.577237051876</v>
      </c>
    </row>
    <row r="178" spans="1:51">
      <c r="A178" s="124"/>
      <c r="B178" s="135" t="s">
        <v>299</v>
      </c>
      <c r="C178" s="124" t="s">
        <v>293</v>
      </c>
      <c r="D178" s="124">
        <v>804</v>
      </c>
      <c r="E178" s="124">
        <v>733</v>
      </c>
      <c r="F178" s="124">
        <v>792</v>
      </c>
      <c r="G178" s="124">
        <v>729</v>
      </c>
      <c r="H178" s="124">
        <v>817</v>
      </c>
      <c r="I178" s="124">
        <v>900</v>
      </c>
      <c r="J178" s="124">
        <v>785</v>
      </c>
      <c r="K178" s="124">
        <v>850</v>
      </c>
      <c r="L178" s="124">
        <v>769</v>
      </c>
      <c r="M178" s="124">
        <v>680</v>
      </c>
      <c r="N178" s="124">
        <v>649</v>
      </c>
      <c r="O178" s="124">
        <v>665</v>
      </c>
      <c r="P178" s="124">
        <v>663</v>
      </c>
      <c r="Q178" s="124">
        <v>813</v>
      </c>
      <c r="R178" s="124">
        <v>725</v>
      </c>
      <c r="S178" s="124">
        <v>750</v>
      </c>
      <c r="T178" s="124">
        <v>858</v>
      </c>
      <c r="U178" s="124">
        <v>776</v>
      </c>
      <c r="V178" s="124">
        <v>736</v>
      </c>
      <c r="W178" s="124">
        <v>826</v>
      </c>
      <c r="X178" s="124">
        <v>793</v>
      </c>
      <c r="Y178" s="124">
        <v>747</v>
      </c>
      <c r="Z178" s="124">
        <v>855</v>
      </c>
      <c r="AA178" s="124">
        <v>823</v>
      </c>
      <c r="AB178" s="124">
        <v>884</v>
      </c>
      <c r="AC178" s="124">
        <v>748</v>
      </c>
      <c r="AD178" s="124">
        <v>879</v>
      </c>
      <c r="AE178" s="124">
        <v>722</v>
      </c>
      <c r="AF178" s="124">
        <v>702</v>
      </c>
      <c r="AG178" s="124">
        <v>695</v>
      </c>
      <c r="AH178" s="124">
        <v>773</v>
      </c>
      <c r="AI178" s="124">
        <v>922</v>
      </c>
      <c r="AJ178" s="124">
        <v>652</v>
      </c>
      <c r="AK178" s="124">
        <v>849</v>
      </c>
      <c r="AL178" s="124">
        <v>596.28250479055168</v>
      </c>
      <c r="AM178" s="124">
        <v>648</v>
      </c>
      <c r="AN178" s="124">
        <v>670</v>
      </c>
      <c r="AO178" s="124">
        <v>629.80531094676587</v>
      </c>
      <c r="AP178" s="124">
        <v>730.30601179274652</v>
      </c>
      <c r="AQ178" s="124">
        <v>784</v>
      </c>
      <c r="AR178" s="124">
        <v>749</v>
      </c>
      <c r="AS178" s="124">
        <v>698</v>
      </c>
      <c r="AT178" s="124">
        <v>888</v>
      </c>
      <c r="AU178" s="124">
        <v>596.46048589649843</v>
      </c>
      <c r="AV178" s="124">
        <v>791</v>
      </c>
      <c r="AW178" s="124">
        <v>672</v>
      </c>
      <c r="AX178" s="124">
        <v>749.2281776891615</v>
      </c>
      <c r="AY178" s="124">
        <v>940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88.58919638020835</v>
      </c>
      <c r="E179" s="123">
        <f t="shared" si="3"/>
        <v>79.182227086682218</v>
      </c>
      <c r="F179" s="123">
        <f t="shared" si="3"/>
        <v>402.43914863302047</v>
      </c>
      <c r="G179" s="123">
        <f t="shared" si="3"/>
        <v>79.182227086682218</v>
      </c>
      <c r="H179" s="123">
        <f t="shared" si="3"/>
        <v>943.02494166721806</v>
      </c>
      <c r="I179" s="123">
        <f t="shared" si="3"/>
        <v>1126.3966576654384</v>
      </c>
      <c r="J179" s="123">
        <f t="shared" si="3"/>
        <v>1187.3683583471275</v>
      </c>
      <c r="K179" s="123">
        <f t="shared" si="3"/>
        <v>1146.7324371102618</v>
      </c>
      <c r="L179" s="123">
        <f t="shared" si="3"/>
        <v>1021.350569863489</v>
      </c>
      <c r="M179" s="123">
        <f t="shared" si="3"/>
        <v>1037.5321550264471</v>
      </c>
      <c r="N179" s="123">
        <f t="shared" si="3"/>
        <v>1025.322394192699</v>
      </c>
      <c r="O179" s="123">
        <f t="shared" si="3"/>
        <v>1008.5039793556571</v>
      </c>
      <c r="P179" s="123">
        <f t="shared" si="3"/>
        <v>860.07691051532095</v>
      </c>
      <c r="Q179" s="123">
        <f t="shared" si="3"/>
        <v>764.25849567827902</v>
      </c>
      <c r="R179" s="123">
        <f t="shared" si="3"/>
        <v>702.57163544319724</v>
      </c>
      <c r="S179" s="123">
        <f t="shared" si="3"/>
        <v>593.18158516295807</v>
      </c>
      <c r="T179" s="123">
        <f t="shared" si="3"/>
        <v>593.18158516295796</v>
      </c>
      <c r="U179" s="123">
        <f t="shared" si="3"/>
        <v>609.36317032591603</v>
      </c>
      <c r="V179" s="123">
        <f t="shared" si="3"/>
        <v>593.18158516295796</v>
      </c>
      <c r="W179" s="123">
        <f t="shared" si="3"/>
        <v>90.20645344093866</v>
      </c>
      <c r="X179" s="123">
        <f t="shared" si="3"/>
        <v>1068.0675606500797</v>
      </c>
      <c r="Y179" s="123">
        <f t="shared" si="3"/>
        <v>1097.7047682425327</v>
      </c>
      <c r="Z179" s="123">
        <f t="shared" si="3"/>
        <v>1105.6302176622612</v>
      </c>
      <c r="AA179" s="123">
        <f t="shared" si="3"/>
        <v>896.83123893811535</v>
      </c>
      <c r="AB179" s="123">
        <f t="shared" si="3"/>
        <v>840.71118569875375</v>
      </c>
      <c r="AC179" s="123">
        <f t="shared" si="3"/>
        <v>840.1719767194628</v>
      </c>
      <c r="AD179" s="123">
        <f t="shared" si="3"/>
        <v>866.45271419184326</v>
      </c>
      <c r="AE179" s="123">
        <f t="shared" si="3"/>
        <v>752.63429935480121</v>
      </c>
      <c r="AF179" s="123">
        <f t="shared" si="3"/>
        <v>663.60141491583477</v>
      </c>
      <c r="AG179" s="123">
        <f t="shared" si="3"/>
        <v>611.83704468904739</v>
      </c>
      <c r="AH179" s="123">
        <f t="shared" si="3"/>
        <v>576.90237930520698</v>
      </c>
      <c r="AI179" s="123">
        <f t="shared" si="3"/>
        <v>609.46079102070905</v>
      </c>
      <c r="AJ179" s="123">
        <f t="shared" si="3"/>
        <v>620.90290526656952</v>
      </c>
      <c r="AK179" s="123">
        <f t="shared" si="3"/>
        <v>593.18158516295796</v>
      </c>
      <c r="AL179" s="123">
        <f t="shared" si="3"/>
        <v>576.90237930520698</v>
      </c>
      <c r="AM179" s="123">
        <f t="shared" si="3"/>
        <v>122.12501252756859</v>
      </c>
      <c r="AN179" s="123">
        <f t="shared" si="3"/>
        <v>566.51800557982267</v>
      </c>
      <c r="AO179" s="123">
        <f t="shared" si="3"/>
        <v>943.02494166721806</v>
      </c>
      <c r="AP179" s="123">
        <f t="shared" si="3"/>
        <v>409.17340083194358</v>
      </c>
      <c r="AQ179" s="123">
        <f t="shared" si="3"/>
        <v>585.79023916625192</v>
      </c>
      <c r="AR179" s="123">
        <f t="shared" si="3"/>
        <v>1114.5722892359399</v>
      </c>
      <c r="AS179" s="123">
        <f t="shared" si="3"/>
        <v>1367.2484263760875</v>
      </c>
      <c r="AT179" s="123">
        <f t="shared" si="3"/>
        <v>1207.9758061808348</v>
      </c>
      <c r="AU179" s="123">
        <f t="shared" si="3"/>
        <v>1064.4807011955472</v>
      </c>
      <c r="AV179" s="123">
        <f t="shared" si="3"/>
        <v>235.93531010067838</v>
      </c>
      <c r="AW179" s="123">
        <f t="shared" si="3"/>
        <v>1099.7895972425276</v>
      </c>
      <c r="AX179" s="123">
        <f t="shared" si="3"/>
        <v>536.64662318497471</v>
      </c>
      <c r="AY179" s="123">
        <f t="shared" si="3"/>
        <v>593.18158516295796</v>
      </c>
    </row>
    <row r="180" spans="1:51">
      <c r="A180" s="124"/>
      <c r="B180" s="135" t="s">
        <v>299</v>
      </c>
      <c r="C180" s="124" t="s">
        <v>293</v>
      </c>
      <c r="D180" s="124">
        <v>88.58919638020835</v>
      </c>
      <c r="E180" s="124">
        <v>79.182227086682218</v>
      </c>
      <c r="F180" s="124">
        <v>402.43914863302047</v>
      </c>
      <c r="G180" s="124">
        <v>79.182227086682218</v>
      </c>
      <c r="H180" s="124">
        <v>525</v>
      </c>
      <c r="I180" s="124">
        <v>609</v>
      </c>
      <c r="J180" s="124">
        <v>675</v>
      </c>
      <c r="K180" s="124">
        <v>741</v>
      </c>
      <c r="L180" s="124">
        <v>577</v>
      </c>
      <c r="M180" s="124">
        <v>598</v>
      </c>
      <c r="N180" s="124">
        <v>610</v>
      </c>
      <c r="O180" s="124">
        <v>749</v>
      </c>
      <c r="P180" s="124">
        <v>689</v>
      </c>
      <c r="Q180" s="124">
        <v>675</v>
      </c>
      <c r="R180" s="124">
        <v>702.57163544319724</v>
      </c>
      <c r="S180" s="124">
        <v>593.18158516295807</v>
      </c>
      <c r="T180" s="124">
        <v>577</v>
      </c>
      <c r="U180" s="124">
        <v>609.36317032591603</v>
      </c>
      <c r="V180" s="124">
        <v>593.18158516295796</v>
      </c>
      <c r="W180" s="124">
        <v>90.20645344093866</v>
      </c>
      <c r="X180" s="124">
        <v>786</v>
      </c>
      <c r="Y180" s="124">
        <v>643</v>
      </c>
      <c r="Z180" s="124">
        <v>835</v>
      </c>
      <c r="AA180" s="124">
        <v>651</v>
      </c>
      <c r="AB180" s="124">
        <v>610</v>
      </c>
      <c r="AC180" s="124">
        <v>583</v>
      </c>
      <c r="AD180" s="124">
        <v>707</v>
      </c>
      <c r="AE180" s="124">
        <v>707</v>
      </c>
      <c r="AF180" s="124">
        <v>663.60141491583477</v>
      </c>
      <c r="AG180" s="124">
        <v>611.83704468904739</v>
      </c>
      <c r="AH180" s="124">
        <v>576.90237930520698</v>
      </c>
      <c r="AI180" s="124">
        <v>609.46079102070905</v>
      </c>
      <c r="AJ180" s="124">
        <v>620.90290526656952</v>
      </c>
      <c r="AK180" s="124">
        <v>593.18158516295796</v>
      </c>
      <c r="AL180" s="124">
        <v>576.90237930520698</v>
      </c>
      <c r="AM180" s="124">
        <v>122.12501252756859</v>
      </c>
      <c r="AN180" s="124">
        <v>566.51800557982267</v>
      </c>
      <c r="AO180" s="124">
        <v>735.52476337150949</v>
      </c>
      <c r="AP180" s="124">
        <v>409.17340083194358</v>
      </c>
      <c r="AQ180" s="124">
        <v>585.79023916625192</v>
      </c>
      <c r="AR180" s="124">
        <v>575</v>
      </c>
      <c r="AS180" s="124">
        <v>861</v>
      </c>
      <c r="AT180" s="124">
        <v>742</v>
      </c>
      <c r="AU180" s="124">
        <v>907.72761818155095</v>
      </c>
      <c r="AV180" s="124">
        <v>235.93531010067838</v>
      </c>
      <c r="AW180" s="124">
        <v>794</v>
      </c>
      <c r="AX180" s="124">
        <v>536.64662318497471</v>
      </c>
      <c r="AY180" s="124">
        <v>593.18158516295796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73.942772913317839</v>
      </c>
      <c r="E181" s="123">
        <f t="shared" si="4"/>
        <v>375.80992191877039</v>
      </c>
      <c r="F181" s="123">
        <f t="shared" si="4"/>
        <v>73.942772913317839</v>
      </c>
      <c r="G181" s="123">
        <f t="shared" si="4"/>
        <v>880.62538373616769</v>
      </c>
      <c r="H181" s="123">
        <f t="shared" si="4"/>
        <v>661.49906186565681</v>
      </c>
      <c r="I181" s="123">
        <f t="shared" si="4"/>
        <v>625.63995917447005</v>
      </c>
      <c r="J181" s="123">
        <f t="shared" si="4"/>
        <v>592.38847840183826</v>
      </c>
      <c r="K181" s="123">
        <f t="shared" si="4"/>
        <v>574.88294363911348</v>
      </c>
      <c r="L181" s="123">
        <f t="shared" si="4"/>
        <v>553.93101282754446</v>
      </c>
      <c r="M181" s="123">
        <f t="shared" si="4"/>
        <v>547.0287490410019</v>
      </c>
      <c r="N181" s="123">
        <f t="shared" si="4"/>
        <v>553.93101282754446</v>
      </c>
      <c r="O181" s="123">
        <f t="shared" si="4"/>
        <v>560.83327661408691</v>
      </c>
      <c r="P181" s="123">
        <f t="shared" si="4"/>
        <v>553.93101282754446</v>
      </c>
      <c r="Q181" s="123">
        <f t="shared" si="4"/>
        <v>572.73047105312855</v>
      </c>
      <c r="R181" s="123">
        <f t="shared" si="4"/>
        <v>553.93101282754446</v>
      </c>
      <c r="S181" s="123">
        <f t="shared" si="4"/>
        <v>553.93101282754435</v>
      </c>
      <c r="T181" s="123">
        <f t="shared" si="4"/>
        <v>553.93101282754446</v>
      </c>
      <c r="U181" s="123">
        <f t="shared" si="4"/>
        <v>553.93101282754435</v>
      </c>
      <c r="V181" s="123">
        <f t="shared" si="4"/>
        <v>84.237530914572645</v>
      </c>
      <c r="W181" s="123">
        <f t="shared" si="4"/>
        <v>997.39398598594403</v>
      </c>
      <c r="X181" s="123">
        <f t="shared" si="4"/>
        <v>761.6668416592837</v>
      </c>
      <c r="Y181" s="123">
        <f t="shared" si="4"/>
        <v>607.85399023005766</v>
      </c>
      <c r="Z181" s="123">
        <f t="shared" si="4"/>
        <v>584.76556694470594</v>
      </c>
      <c r="AA181" s="123">
        <f t="shared" si="4"/>
        <v>555.51699456312394</v>
      </c>
      <c r="AB181" s="123">
        <f t="shared" si="4"/>
        <v>569.13303058123927</v>
      </c>
      <c r="AC181" s="123">
        <f t="shared" si="4"/>
        <v>568.96489109936124</v>
      </c>
      <c r="AD181" s="123">
        <f t="shared" si="4"/>
        <v>553.93101282754435</v>
      </c>
      <c r="AE181" s="123">
        <f t="shared" si="4"/>
        <v>577.07649525701345</v>
      </c>
      <c r="AF181" s="123">
        <f t="shared" si="4"/>
        <v>571.35204855846837</v>
      </c>
      <c r="AG181" s="123">
        <f t="shared" si="4"/>
        <v>538.72899507384955</v>
      </c>
      <c r="AH181" s="123">
        <f t="shared" si="4"/>
        <v>569.13303058123927</v>
      </c>
      <c r="AI181" s="123">
        <f t="shared" si="4"/>
        <v>579.81802501065465</v>
      </c>
      <c r="AJ181" s="123">
        <f t="shared" si="4"/>
        <v>553.93101282754435</v>
      </c>
      <c r="AK181" s="123">
        <f t="shared" si="4"/>
        <v>538.72899507384955</v>
      </c>
      <c r="AL181" s="123">
        <f t="shared" si="4"/>
        <v>114.04405256846978</v>
      </c>
      <c r="AM181" s="123">
        <f t="shared" si="4"/>
        <v>529.03175092608728</v>
      </c>
      <c r="AN181" s="123">
        <f t="shared" si="4"/>
        <v>880.62538373616769</v>
      </c>
      <c r="AO181" s="123">
        <f t="shared" si="4"/>
        <v>188.32859147001633</v>
      </c>
      <c r="AP181" s="123">
        <f t="shared" si="4"/>
        <v>547.0287490410019</v>
      </c>
      <c r="AQ181" s="123">
        <f t="shared" si="4"/>
        <v>1040.8215165283136</v>
      </c>
      <c r="AR181" s="123">
        <f t="shared" si="4"/>
        <v>772.90916037671639</v>
      </c>
      <c r="AS181" s="123">
        <f t="shared" si="4"/>
        <v>655.29437856247182</v>
      </c>
      <c r="AT181" s="123">
        <f t="shared" si="4"/>
        <v>558.90208153826165</v>
      </c>
      <c r="AU181" s="123">
        <f t="shared" si="4"/>
        <v>73.942772913317839</v>
      </c>
      <c r="AV181" s="123">
        <f t="shared" si="4"/>
        <v>1027.0169889552285</v>
      </c>
      <c r="AW181" s="123">
        <f t="shared" si="4"/>
        <v>215.58131505974467</v>
      </c>
      <c r="AX181" s="123">
        <f t="shared" si="4"/>
        <v>553.93101282754435</v>
      </c>
      <c r="AY181" s="123">
        <f t="shared" si="4"/>
        <v>1040.8215165283136</v>
      </c>
    </row>
    <row r="182" spans="1:51">
      <c r="A182" s="124"/>
      <c r="B182" s="135" t="s">
        <v>299</v>
      </c>
      <c r="C182" s="124" t="s">
        <v>293</v>
      </c>
      <c r="D182" s="124">
        <v>73.942772913317839</v>
      </c>
      <c r="E182" s="124">
        <v>375.80992191877039</v>
      </c>
      <c r="F182" s="124">
        <v>73.942772913317839</v>
      </c>
      <c r="G182" s="124">
        <v>657.86720386279285</v>
      </c>
      <c r="H182" s="124">
        <v>513</v>
      </c>
      <c r="I182" s="124">
        <v>546</v>
      </c>
      <c r="J182" s="124">
        <v>549</v>
      </c>
      <c r="K182" s="124">
        <v>574.88294363911348</v>
      </c>
      <c r="L182" s="124">
        <v>553.93101282754446</v>
      </c>
      <c r="M182" s="124">
        <v>547.0287490410019</v>
      </c>
      <c r="N182" s="124">
        <v>553.93101282754446</v>
      </c>
      <c r="O182" s="124">
        <v>560.83327661408691</v>
      </c>
      <c r="P182" s="124">
        <v>515</v>
      </c>
      <c r="Q182" s="124">
        <v>572.73047105312855</v>
      </c>
      <c r="R182" s="124">
        <v>553.93101282754446</v>
      </c>
      <c r="S182" s="124">
        <v>553.93101282754435</v>
      </c>
      <c r="T182" s="124">
        <v>553.93101282754446</v>
      </c>
      <c r="U182" s="124">
        <v>532.6120284720331</v>
      </c>
      <c r="V182" s="124">
        <v>84.237530914572645</v>
      </c>
      <c r="W182" s="124">
        <v>567.20253472470949</v>
      </c>
      <c r="X182" s="124">
        <v>650</v>
      </c>
      <c r="Y182" s="124">
        <v>544</v>
      </c>
      <c r="Z182" s="124">
        <v>550</v>
      </c>
      <c r="AA182" s="124">
        <v>555.51699456312394</v>
      </c>
      <c r="AB182" s="124">
        <v>538</v>
      </c>
      <c r="AC182" s="124">
        <v>568.96489109936124</v>
      </c>
      <c r="AD182" s="124">
        <v>506</v>
      </c>
      <c r="AE182" s="124">
        <v>541</v>
      </c>
      <c r="AF182" s="124">
        <v>571.35204855846837</v>
      </c>
      <c r="AG182" s="124">
        <v>538.72899507384955</v>
      </c>
      <c r="AH182" s="124">
        <v>515.52469829451763</v>
      </c>
      <c r="AI182" s="124">
        <v>579.81802501065465</v>
      </c>
      <c r="AJ182" s="124">
        <v>553.93101282754435</v>
      </c>
      <c r="AK182" s="124">
        <v>538.72899507384955</v>
      </c>
      <c r="AL182" s="124">
        <v>114.04405256846978</v>
      </c>
      <c r="AM182" s="124">
        <v>529.03175092608728</v>
      </c>
      <c r="AN182" s="124">
        <v>643.74856972991643</v>
      </c>
      <c r="AO182" s="124">
        <v>188.32859147001633</v>
      </c>
      <c r="AP182" s="124">
        <v>547.0287490410019</v>
      </c>
      <c r="AQ182" s="124">
        <v>587.34881700195194</v>
      </c>
      <c r="AR182" s="124">
        <v>563</v>
      </c>
      <c r="AS182" s="124">
        <v>645</v>
      </c>
      <c r="AT182" s="124">
        <v>558.90208153826165</v>
      </c>
      <c r="AU182" s="124">
        <v>73.942772913317839</v>
      </c>
      <c r="AV182" s="124">
        <v>733.70364795303681</v>
      </c>
      <c r="AW182" s="124">
        <v>215.58131505974467</v>
      </c>
      <c r="AX182" s="124">
        <v>553.93101282754435</v>
      </c>
      <c r="AY182" s="124">
        <v>697.05718270124748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14.22529559999839</v>
      </c>
      <c r="D185" s="123">
        <v>300.75368479999838</v>
      </c>
      <c r="E185" s="123">
        <v>277.14677490396161</v>
      </c>
      <c r="F185" s="123">
        <v>206.53986500792485</v>
      </c>
      <c r="G185" s="123">
        <v>262.93295511188808</v>
      </c>
      <c r="H185" s="123">
        <v>267.32604521585131</v>
      </c>
      <c r="I185" s="123">
        <v>259.71913531981454</v>
      </c>
      <c r="J185" s="123">
        <v>181.11222542377777</v>
      </c>
      <c r="K185" s="123">
        <v>51.505315527741004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5.2950016080001205</v>
      </c>
      <c r="W185" s="123">
        <v>4.6880917119633523</v>
      </c>
      <c r="X185" s="123">
        <v>0</v>
      </c>
      <c r="Y185" s="123">
        <v>0</v>
      </c>
      <c r="Z185" s="123">
        <v>0</v>
      </c>
      <c r="AA185" s="123">
        <v>0</v>
      </c>
      <c r="AB185" s="123">
        <v>35.653542231779511</v>
      </c>
      <c r="AC185" s="123">
        <v>153.04663233574274</v>
      </c>
      <c r="AD185" s="123">
        <v>254.43972243970597</v>
      </c>
      <c r="AE185" s="123">
        <v>142.83281254366921</v>
      </c>
      <c r="AF185" s="123">
        <v>248.22590264763244</v>
      </c>
      <c r="AG185" s="123">
        <v>266.61899275159567</v>
      </c>
      <c r="AH185" s="123">
        <v>208.0120828555589</v>
      </c>
      <c r="AI185" s="123">
        <v>146.40517295952213</v>
      </c>
      <c r="AJ185" s="123">
        <v>225.79826306348536</v>
      </c>
      <c r="AK185" s="123">
        <v>239.1913531674486</v>
      </c>
      <c r="AL185" s="123">
        <v>148.58444327141183</v>
      </c>
      <c r="AM185" s="123">
        <v>193.97753337537506</v>
      </c>
      <c r="AN185" s="123">
        <v>177.37062347933829</v>
      </c>
      <c r="AO185" s="123">
        <v>199.76371358330152</v>
      </c>
      <c r="AP185" s="123">
        <v>460.15680368726476</v>
      </c>
      <c r="AQ185" s="123">
        <v>494.54989379122799</v>
      </c>
      <c r="AR185" s="123">
        <v>587.94298389519122</v>
      </c>
      <c r="AS185" s="123">
        <v>691.33607399915445</v>
      </c>
      <c r="AT185" s="123">
        <v>702.60690989603677</v>
      </c>
      <c r="AU185" s="123">
        <v>630</v>
      </c>
      <c r="AV185" s="123">
        <v>677.39309010396323</v>
      </c>
      <c r="AW185" s="123">
        <v>702.60690989603677</v>
      </c>
      <c r="AX185" s="123">
        <v>702.60690989603677</v>
      </c>
      <c r="AY185" s="123">
        <v>702.60690989603677</v>
      </c>
    </row>
    <row r="186" spans="1:51">
      <c r="A186" s="108"/>
      <c r="B186" s="119">
        <v>2</v>
      </c>
      <c r="C186" s="105">
        <v>414.47161080000001</v>
      </c>
      <c r="D186" s="105">
        <v>400.24631520000162</v>
      </c>
      <c r="E186" s="105">
        <v>401.85322509603839</v>
      </c>
      <c r="F186" s="105">
        <v>425.46013499207515</v>
      </c>
      <c r="G186" s="105">
        <v>496.06704488811192</v>
      </c>
      <c r="H186" s="105">
        <v>439.67395478414869</v>
      </c>
      <c r="I186" s="105">
        <v>435.28086468018546</v>
      </c>
      <c r="J186" s="105">
        <v>442.88777457622223</v>
      </c>
      <c r="K186" s="105">
        <v>521.494684472259</v>
      </c>
      <c r="L186" s="105">
        <v>639</v>
      </c>
      <c r="M186" s="105">
        <v>666.89840563170424</v>
      </c>
      <c r="N186" s="105">
        <v>639.29149573566747</v>
      </c>
      <c r="O186" s="105">
        <v>541.6845858396307</v>
      </c>
      <c r="P186" s="105">
        <v>659.07767594359393</v>
      </c>
      <c r="Q186" s="105">
        <v>574.47076604755716</v>
      </c>
      <c r="R186" s="105">
        <v>576.86385615152039</v>
      </c>
      <c r="S186" s="105">
        <v>482.25694625548363</v>
      </c>
      <c r="T186" s="105">
        <v>457.65003635944686</v>
      </c>
      <c r="U186" s="105">
        <v>514.04312646341009</v>
      </c>
      <c r="V186" s="105">
        <v>649.1412149593732</v>
      </c>
      <c r="W186" s="105">
        <v>697.31190828803665</v>
      </c>
      <c r="X186" s="105">
        <v>681</v>
      </c>
      <c r="Y186" s="105">
        <v>639.08118181592658</v>
      </c>
      <c r="Z186" s="105">
        <v>668.47427191988982</v>
      </c>
      <c r="AA186" s="105">
        <v>631.86736202385305</v>
      </c>
      <c r="AB186" s="105">
        <v>702.60690989603677</v>
      </c>
      <c r="AC186" s="105">
        <v>666.95336766425726</v>
      </c>
      <c r="AD186" s="105">
        <v>549.56027756029403</v>
      </c>
      <c r="AE186" s="105">
        <v>448.16718745633079</v>
      </c>
      <c r="AF186" s="105">
        <v>559.77409735236756</v>
      </c>
      <c r="AG186" s="105">
        <v>454.38100724840433</v>
      </c>
      <c r="AH186" s="105">
        <v>435.9879171444411</v>
      </c>
      <c r="AI186" s="105">
        <v>494.59482704047787</v>
      </c>
      <c r="AJ186" s="105">
        <v>556.20173693651464</v>
      </c>
      <c r="AK186" s="105">
        <v>476.8086468325514</v>
      </c>
      <c r="AL186" s="105">
        <v>463.41555672858817</v>
      </c>
      <c r="AM186" s="105">
        <v>554.02246662462494</v>
      </c>
      <c r="AN186" s="105">
        <v>508.62937652066171</v>
      </c>
      <c r="AO186" s="105">
        <v>525.23628641669848</v>
      </c>
      <c r="AP186" s="105">
        <v>502.84319631273524</v>
      </c>
      <c r="AQ186" s="105">
        <v>242.45010620877201</v>
      </c>
      <c r="AR186" s="105">
        <v>208.05701610480878</v>
      </c>
      <c r="AS186" s="105">
        <v>114.66392600084555</v>
      </c>
      <c r="AT186" s="105">
        <v>11.270835896882318</v>
      </c>
      <c r="AU186" s="105">
        <v>0</v>
      </c>
      <c r="AV186" s="105">
        <v>72.606909896036768</v>
      </c>
      <c r="AW186" s="105">
        <v>25.213819792073537</v>
      </c>
      <c r="AX186" s="105">
        <v>0</v>
      </c>
      <c r="AY186" s="105">
        <v>0</v>
      </c>
    </row>
    <row r="187" spans="1:51">
      <c r="A187" s="108"/>
      <c r="B187" s="126">
        <v>3</v>
      </c>
      <c r="C187" s="105">
        <v>90.303093600001603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12.101594368295764</v>
      </c>
      <c r="N187" s="105">
        <v>35.708504264332532</v>
      </c>
      <c r="O187" s="105">
        <v>63.315414160369301</v>
      </c>
      <c r="P187" s="105">
        <v>160.92232405640607</v>
      </c>
      <c r="Q187" s="105">
        <v>43.529233952442837</v>
      </c>
      <c r="R187" s="105">
        <v>128.13614384847961</v>
      </c>
      <c r="S187" s="105">
        <v>125.74305374451637</v>
      </c>
      <c r="T187" s="105">
        <v>220.34996364055314</v>
      </c>
      <c r="U187" s="105">
        <v>244.95687353658991</v>
      </c>
      <c r="V187" s="105">
        <v>188.56378343262668</v>
      </c>
      <c r="W187" s="105">
        <v>0</v>
      </c>
      <c r="X187" s="105">
        <v>0</v>
      </c>
      <c r="Y187" s="105">
        <v>16.918818184073416</v>
      </c>
      <c r="Z187" s="105">
        <v>63.525728080110184</v>
      </c>
      <c r="AA187" s="105">
        <v>34.132637976146952</v>
      </c>
      <c r="AB187" s="105">
        <v>70.739547872183721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>
        <v>0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>
      <c r="A189" s="125" t="s">
        <v>133</v>
      </c>
      <c r="B189" s="122">
        <v>1</v>
      </c>
      <c r="C189" s="123">
        <v>389.45296019598413</v>
      </c>
      <c r="D189" s="123">
        <v>0</v>
      </c>
      <c r="E189" s="123">
        <v>0</v>
      </c>
      <c r="F189" s="123">
        <v>0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54.843317310515886</v>
      </c>
      <c r="AE189" s="123">
        <v>35.882234362308395</v>
      </c>
      <c r="AF189" s="123">
        <v>0</v>
      </c>
      <c r="AG189" s="123">
        <v>0</v>
      </c>
      <c r="AH189" s="123">
        <v>0</v>
      </c>
      <c r="AI189" s="123">
        <v>164.03790256947843</v>
      </c>
      <c r="AJ189" s="123">
        <v>75.076819621270943</v>
      </c>
      <c r="AK189" s="123">
        <v>183.11573667306345</v>
      </c>
      <c r="AL189" s="123">
        <v>38.437158515407646</v>
      </c>
      <c r="AM189" s="123">
        <v>0</v>
      </c>
      <c r="AN189" s="123">
        <v>615.47607556720016</v>
      </c>
      <c r="AO189" s="123">
        <v>0</v>
      </c>
      <c r="AP189" s="123">
        <v>730.30601179274652</v>
      </c>
      <c r="AQ189" s="123">
        <v>32.383845896331536</v>
      </c>
      <c r="AR189" s="123">
        <v>40.422762948124046</v>
      </c>
      <c r="AS189" s="123">
        <v>0</v>
      </c>
      <c r="AT189" s="123">
        <v>144.50059705170906</v>
      </c>
      <c r="AU189" s="123">
        <v>0</v>
      </c>
      <c r="AV189" s="123">
        <v>50.038917051792509</v>
      </c>
      <c r="AW189" s="123">
        <v>0</v>
      </c>
      <c r="AX189" s="123">
        <v>730.30601179274652</v>
      </c>
      <c r="AY189" s="123">
        <v>188.38384589633154</v>
      </c>
    </row>
    <row r="190" spans="1:51">
      <c r="A190" s="108"/>
      <c r="B190" s="118">
        <v>2</v>
      </c>
      <c r="C190" s="105">
        <v>1621.5470398040159</v>
      </c>
      <c r="D190" s="105">
        <v>774.67566438224526</v>
      </c>
      <c r="E190" s="105">
        <v>233.02443505748283</v>
      </c>
      <c r="F190" s="105">
        <v>0</v>
      </c>
      <c r="G190" s="105">
        <v>0</v>
      </c>
      <c r="H190" s="105">
        <v>370.88422807133634</v>
      </c>
      <c r="I190" s="105">
        <v>25.602841557370311</v>
      </c>
      <c r="J190" s="105">
        <v>69.641758609162821</v>
      </c>
      <c r="K190" s="105">
        <v>178.68067566095533</v>
      </c>
      <c r="L190" s="105">
        <v>206.71959271274784</v>
      </c>
      <c r="M190" s="105">
        <v>145.75850976454035</v>
      </c>
      <c r="N190" s="105">
        <v>53.797426816332859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82.030929127087916</v>
      </c>
      <c r="U190" s="105">
        <v>117.06984617888043</v>
      </c>
      <c r="V190" s="105">
        <v>112.10876323067293</v>
      </c>
      <c r="W190" s="105">
        <v>197.14768028246544</v>
      </c>
      <c r="X190" s="105">
        <v>249.18659733425795</v>
      </c>
      <c r="Y190" s="105">
        <v>311.60981499976083</v>
      </c>
      <c r="Z190" s="105">
        <v>425.64873205155334</v>
      </c>
      <c r="AA190" s="105">
        <v>507.68764910334585</v>
      </c>
      <c r="AB190" s="105">
        <v>650.72656615513836</v>
      </c>
      <c r="AC190" s="105">
        <v>657.76548320693087</v>
      </c>
      <c r="AD190" s="105">
        <v>740.96108294820749</v>
      </c>
      <c r="AE190" s="105">
        <v>686.1177656376916</v>
      </c>
      <c r="AF190" s="105">
        <v>702</v>
      </c>
      <c r="AG190" s="105">
        <v>691.9211514141009</v>
      </c>
      <c r="AH190" s="105">
        <v>723.96006846589341</v>
      </c>
      <c r="AI190" s="105">
        <v>740.96108294820749</v>
      </c>
      <c r="AJ190" s="105">
        <v>576.92318037872906</v>
      </c>
      <c r="AK190" s="105">
        <v>665.88426332693655</v>
      </c>
      <c r="AL190" s="105">
        <v>557.84534627514404</v>
      </c>
      <c r="AM190" s="105">
        <v>648</v>
      </c>
      <c r="AN190" s="105">
        <v>0</v>
      </c>
      <c r="AO190" s="105">
        <v>629.80531094676587</v>
      </c>
      <c r="AP190" s="105">
        <v>0</v>
      </c>
      <c r="AQ190" s="105">
        <v>10.655071155460973</v>
      </c>
      <c r="AR190" s="105">
        <v>708.57723705187595</v>
      </c>
      <c r="AS190" s="105">
        <v>698</v>
      </c>
      <c r="AT190" s="105">
        <v>740.96108294820749</v>
      </c>
      <c r="AU190" s="105">
        <v>596.46048589649843</v>
      </c>
      <c r="AV190" s="105">
        <v>740.96108294820749</v>
      </c>
      <c r="AW190" s="105">
        <v>672</v>
      </c>
      <c r="AX190" s="105">
        <v>0</v>
      </c>
      <c r="AY190" s="105">
        <v>10.655071155460973</v>
      </c>
    </row>
    <row r="191" spans="1:51">
      <c r="A191" s="108"/>
      <c r="B191" s="119">
        <v>3</v>
      </c>
      <c r="C191" s="105">
        <v>0</v>
      </c>
      <c r="D191" s="105">
        <v>29.324335617754741</v>
      </c>
      <c r="E191" s="105">
        <v>499.97556494251717</v>
      </c>
      <c r="F191" s="105">
        <v>792</v>
      </c>
      <c r="G191" s="105">
        <v>19.878581752872378</v>
      </c>
      <c r="H191" s="105">
        <v>0</v>
      </c>
      <c r="I191" s="105">
        <v>874.39715844262969</v>
      </c>
      <c r="J191" s="105">
        <v>715.35824139083718</v>
      </c>
      <c r="K191" s="105">
        <v>671.31932433904467</v>
      </c>
      <c r="L191" s="105">
        <v>562.28040728725216</v>
      </c>
      <c r="M191" s="105">
        <v>534.24149023545965</v>
      </c>
      <c r="N191" s="105">
        <v>595.20257318366714</v>
      </c>
      <c r="O191" s="105">
        <v>665</v>
      </c>
      <c r="P191" s="105">
        <v>640.83634386812537</v>
      </c>
      <c r="Q191" s="105">
        <v>712.87526091991788</v>
      </c>
      <c r="R191" s="105">
        <v>696.91417797171039</v>
      </c>
      <c r="S191" s="105">
        <v>705.9530950235029</v>
      </c>
      <c r="T191" s="105">
        <v>740.96108294820749</v>
      </c>
      <c r="U191" s="105">
        <v>658.93015382111957</v>
      </c>
      <c r="V191" s="105">
        <v>623.89123676932707</v>
      </c>
      <c r="W191" s="105">
        <v>628.85231971753456</v>
      </c>
      <c r="X191" s="105">
        <v>543.81340266574205</v>
      </c>
      <c r="Y191" s="105">
        <v>435.39018500023917</v>
      </c>
      <c r="Z191" s="105">
        <v>429.35126794844666</v>
      </c>
      <c r="AA191" s="105">
        <v>315.31235089665415</v>
      </c>
      <c r="AB191" s="105">
        <v>233.27343384486164</v>
      </c>
      <c r="AC191" s="105">
        <v>90.234516793069133</v>
      </c>
      <c r="AD191" s="105">
        <v>83.195599741276624</v>
      </c>
      <c r="AE191" s="105">
        <v>0</v>
      </c>
      <c r="AF191" s="105">
        <v>0</v>
      </c>
      <c r="AG191" s="105">
        <v>3.0788485858990953</v>
      </c>
      <c r="AH191" s="105">
        <v>49.039931534106586</v>
      </c>
      <c r="AI191" s="105">
        <v>17.001014482314076</v>
      </c>
      <c r="AJ191" s="105">
        <v>0</v>
      </c>
      <c r="AK191" s="105">
        <v>0</v>
      </c>
      <c r="AL191" s="105">
        <v>0</v>
      </c>
      <c r="AM191" s="105">
        <v>0</v>
      </c>
      <c r="AN191" s="105">
        <v>54.523924432799845</v>
      </c>
      <c r="AO191" s="105">
        <v>0</v>
      </c>
      <c r="AP191" s="105">
        <v>0</v>
      </c>
      <c r="AQ191" s="105">
        <v>740.96108294820749</v>
      </c>
      <c r="AR191" s="105">
        <v>0</v>
      </c>
      <c r="AS191" s="105">
        <v>0</v>
      </c>
      <c r="AT191" s="105">
        <v>2.5383200000834449</v>
      </c>
      <c r="AU191" s="105">
        <v>0</v>
      </c>
      <c r="AV191" s="105">
        <v>0</v>
      </c>
      <c r="AW191" s="105">
        <v>0</v>
      </c>
      <c r="AX191" s="105">
        <v>18.922165896414981</v>
      </c>
      <c r="AY191" s="105">
        <v>740.96108294820749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709.12141824712762</v>
      </c>
      <c r="H192" s="105">
        <v>446.11577192866366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22.163656131874632</v>
      </c>
      <c r="Q192" s="105">
        <v>100.12473908008212</v>
      </c>
      <c r="R192" s="105">
        <v>28.085822028289613</v>
      </c>
      <c r="S192" s="105">
        <v>44.046904976497103</v>
      </c>
      <c r="T192" s="105">
        <v>35.007987924704594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88.58919638020835</v>
      </c>
      <c r="D197" s="105">
        <v>88.58919638020835</v>
      </c>
      <c r="E197" s="105">
        <v>79.182227086682218</v>
      </c>
      <c r="F197" s="105">
        <v>402.43914863302047</v>
      </c>
      <c r="G197" s="105">
        <v>79.182227086682218</v>
      </c>
      <c r="H197" s="105">
        <v>525</v>
      </c>
      <c r="I197" s="105">
        <v>190.97505833278194</v>
      </c>
      <c r="J197" s="105">
        <v>157.60334233456149</v>
      </c>
      <c r="K197" s="105">
        <v>228.63164165287242</v>
      </c>
      <c r="L197" s="105">
        <v>171.26756288973809</v>
      </c>
      <c r="M197" s="105">
        <v>153.649430136511</v>
      </c>
      <c r="N197" s="105">
        <v>170.46784497355293</v>
      </c>
      <c r="O197" s="105">
        <v>333.67760580730101</v>
      </c>
      <c r="P197" s="105">
        <v>429.49602064434293</v>
      </c>
      <c r="Q197" s="105">
        <v>503.92308948467905</v>
      </c>
      <c r="R197" s="105">
        <v>613.31313976491822</v>
      </c>
      <c r="S197" s="105">
        <v>593.18158516295807</v>
      </c>
      <c r="T197" s="105">
        <v>577</v>
      </c>
      <c r="U197" s="105">
        <v>593.18158516295807</v>
      </c>
      <c r="V197" s="105">
        <v>593.18158516295796</v>
      </c>
      <c r="W197" s="105">
        <v>90.20645344093866</v>
      </c>
      <c r="X197" s="105">
        <v>786</v>
      </c>
      <c r="Y197" s="105">
        <v>360.93243934992029</v>
      </c>
      <c r="Z197" s="105">
        <v>380.29523175746715</v>
      </c>
      <c r="AA197" s="105">
        <v>380.36978233773868</v>
      </c>
      <c r="AB197" s="105">
        <v>364.16876106188465</v>
      </c>
      <c r="AC197" s="105">
        <v>352.28881430124625</v>
      </c>
      <c r="AD197" s="105">
        <v>449.8280232805372</v>
      </c>
      <c r="AE197" s="105">
        <v>547.54728580815674</v>
      </c>
      <c r="AF197" s="105">
        <v>617.96711556103355</v>
      </c>
      <c r="AG197" s="105">
        <v>611.83704468904739</v>
      </c>
      <c r="AH197" s="105">
        <v>576.90237930520698</v>
      </c>
      <c r="AI197" s="105">
        <v>609.46079102070905</v>
      </c>
      <c r="AJ197" s="105">
        <v>620.90290526656952</v>
      </c>
      <c r="AK197" s="105">
        <v>593.18158516295796</v>
      </c>
      <c r="AL197" s="105">
        <v>576.90237930520698</v>
      </c>
      <c r="AM197" s="105">
        <v>122.12501252756859</v>
      </c>
      <c r="AN197" s="105">
        <v>566.51800557982267</v>
      </c>
      <c r="AO197" s="105">
        <v>735.52476337150949</v>
      </c>
      <c r="AP197" s="105">
        <v>201.67322253623499</v>
      </c>
      <c r="AQ197" s="105">
        <v>585.79023916625192</v>
      </c>
      <c r="AR197" s="105">
        <v>575</v>
      </c>
      <c r="AS197" s="105">
        <v>321.42771076406007</v>
      </c>
      <c r="AT197" s="105">
        <v>235.75157362391235</v>
      </c>
      <c r="AU197" s="105">
        <v>441.75181200071631</v>
      </c>
      <c r="AV197" s="105">
        <v>79.182227086682218</v>
      </c>
      <c r="AW197" s="105">
        <v>794</v>
      </c>
      <c r="AX197" s="105">
        <v>230.85702594244708</v>
      </c>
      <c r="AY197" s="105">
        <v>593.18158516295796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418.02494166721806</v>
      </c>
      <c r="J198" s="105">
        <v>517.39665766543851</v>
      </c>
      <c r="K198" s="105">
        <v>512.36835834712758</v>
      </c>
      <c r="L198" s="105">
        <v>405.73243711026191</v>
      </c>
      <c r="M198" s="105">
        <v>444.350569863489</v>
      </c>
      <c r="N198" s="105">
        <v>439.53215502644707</v>
      </c>
      <c r="O198" s="105">
        <v>415.32239419269899</v>
      </c>
      <c r="P198" s="105">
        <v>259.50397935565707</v>
      </c>
      <c r="Q198" s="105">
        <v>171.07691051532095</v>
      </c>
      <c r="R198" s="105">
        <v>89.258495678279019</v>
      </c>
      <c r="S198" s="105">
        <v>0</v>
      </c>
      <c r="T198" s="105">
        <v>0</v>
      </c>
      <c r="U198" s="105">
        <v>16.181585162957958</v>
      </c>
      <c r="V198" s="105">
        <v>0</v>
      </c>
      <c r="W198" s="105">
        <v>0</v>
      </c>
      <c r="X198" s="105">
        <v>0</v>
      </c>
      <c r="Y198" s="105">
        <v>282.06756065007971</v>
      </c>
      <c r="Z198" s="105">
        <v>454.70476824253285</v>
      </c>
      <c r="AA198" s="105">
        <v>270.63021766226132</v>
      </c>
      <c r="AB198" s="105">
        <v>245.83123893811535</v>
      </c>
      <c r="AC198" s="105">
        <v>230.71118569875375</v>
      </c>
      <c r="AD198" s="105">
        <v>257.1719767194628</v>
      </c>
      <c r="AE198" s="105">
        <v>159.45271419184326</v>
      </c>
      <c r="AF198" s="105">
        <v>45.634299354801215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207.50017829570857</v>
      </c>
      <c r="AQ198" s="105">
        <v>0</v>
      </c>
      <c r="AR198" s="105">
        <v>0</v>
      </c>
      <c r="AS198" s="105">
        <v>539.57228923593993</v>
      </c>
      <c r="AT198" s="105">
        <v>506.24842637608765</v>
      </c>
      <c r="AU198" s="105">
        <v>465.97580618083464</v>
      </c>
      <c r="AV198" s="105">
        <v>156.75308301399616</v>
      </c>
      <c r="AW198" s="105">
        <v>0</v>
      </c>
      <c r="AX198" s="105">
        <v>305.78959724252763</v>
      </c>
      <c r="AY198" s="105">
        <v>0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55.155595286458336</v>
      </c>
      <c r="D209" s="123">
        <v>73.942772913317839</v>
      </c>
      <c r="E209" s="123">
        <v>375.80992191877039</v>
      </c>
      <c r="F209" s="123">
        <v>73.942772913317839</v>
      </c>
      <c r="G209" s="123">
        <v>657.86720386279285</v>
      </c>
      <c r="H209" s="123">
        <v>405.43195096188765</v>
      </c>
      <c r="I209" s="123">
        <v>474.2910536530743</v>
      </c>
      <c r="J209" s="123">
        <v>510.54253442570621</v>
      </c>
      <c r="K209" s="123">
        <v>553.93101282754435</v>
      </c>
      <c r="L209" s="123">
        <v>553.93101282754446</v>
      </c>
      <c r="M209" s="123">
        <v>547.0287490410019</v>
      </c>
      <c r="N209" s="123">
        <v>553.93101282754446</v>
      </c>
      <c r="O209" s="123">
        <v>553.93101282754435</v>
      </c>
      <c r="P209" s="123">
        <v>515</v>
      </c>
      <c r="Q209" s="123">
        <v>553.93101282754435</v>
      </c>
      <c r="R209" s="123">
        <v>553.93101282754446</v>
      </c>
      <c r="S209" s="123">
        <v>553.93101282754435</v>
      </c>
      <c r="T209" s="123">
        <v>553.93101282754446</v>
      </c>
      <c r="U209" s="123">
        <v>532.6120284720331</v>
      </c>
      <c r="V209" s="123">
        <v>73.942772913317839</v>
      </c>
      <c r="W209" s="123">
        <v>87.214294810482897</v>
      </c>
      <c r="X209" s="123">
        <v>442.26417116826065</v>
      </c>
      <c r="Y209" s="123">
        <v>490.0770225974868</v>
      </c>
      <c r="Z209" s="123">
        <v>519.16544588283841</v>
      </c>
      <c r="AA209" s="123">
        <v>538.72899507384955</v>
      </c>
      <c r="AB209" s="123">
        <v>522.79798224630508</v>
      </c>
      <c r="AC209" s="123">
        <v>553.93101282754435</v>
      </c>
      <c r="AD209" s="123">
        <v>505.99999999999994</v>
      </c>
      <c r="AE209" s="123">
        <v>517.85451757053102</v>
      </c>
      <c r="AF209" s="123">
        <v>553.93101282754435</v>
      </c>
      <c r="AG209" s="123">
        <v>538.72899507384955</v>
      </c>
      <c r="AH209" s="123">
        <v>500.32268054082272</v>
      </c>
      <c r="AI209" s="123">
        <v>553.93101282754446</v>
      </c>
      <c r="AJ209" s="123">
        <v>553.93101282754435</v>
      </c>
      <c r="AK209" s="123">
        <v>538.72899507384955</v>
      </c>
      <c r="AL209" s="123">
        <v>98.842034814774877</v>
      </c>
      <c r="AM209" s="123">
        <v>73.94277291331781</v>
      </c>
      <c r="AN209" s="123">
        <v>643.74856972991643</v>
      </c>
      <c r="AO209" s="123">
        <v>73.942772913317839</v>
      </c>
      <c r="AP209" s="123">
        <v>547.0287490410019</v>
      </c>
      <c r="AQ209" s="123">
        <v>100.45831330118278</v>
      </c>
      <c r="AR209" s="123">
        <v>344.02185245082802</v>
      </c>
      <c r="AS209" s="123">
        <v>543.63663426507264</v>
      </c>
      <c r="AT209" s="123">
        <v>553.93101282754435</v>
      </c>
      <c r="AU209" s="123">
        <v>73.942772913317839</v>
      </c>
      <c r="AV209" s="123">
        <v>253.71540803881021</v>
      </c>
      <c r="AW209" s="123">
        <v>73.942772913317839</v>
      </c>
      <c r="AX209" s="123">
        <v>547.02874904100179</v>
      </c>
      <c r="AY209" s="123">
        <v>210.16667900047827</v>
      </c>
    </row>
    <row r="210" spans="1:51">
      <c r="A210" s="108"/>
      <c r="B210" s="118">
        <v>2</v>
      </c>
      <c r="C210" s="105">
        <v>0</v>
      </c>
      <c r="D210" s="109">
        <v>0</v>
      </c>
      <c r="E210" s="109">
        <v>0</v>
      </c>
      <c r="F210" s="109">
        <v>0</v>
      </c>
      <c r="G210" s="109">
        <v>0</v>
      </c>
      <c r="H210" s="109">
        <v>107.56804903811238</v>
      </c>
      <c r="I210" s="109">
        <v>71.708946346925671</v>
      </c>
      <c r="J210" s="109">
        <v>38.457465574293813</v>
      </c>
      <c r="K210" s="109">
        <v>20.951930811569113</v>
      </c>
      <c r="L210" s="109">
        <v>0</v>
      </c>
      <c r="M210" s="109">
        <v>0</v>
      </c>
      <c r="N210" s="109">
        <v>0</v>
      </c>
      <c r="O210" s="109">
        <v>0</v>
      </c>
      <c r="P210" s="109">
        <v>0</v>
      </c>
      <c r="Q210" s="109">
        <v>18.799458225584214</v>
      </c>
      <c r="R210" s="109">
        <v>0</v>
      </c>
      <c r="S210" s="109">
        <v>0</v>
      </c>
      <c r="T210" s="109">
        <v>0</v>
      </c>
      <c r="U210" s="109">
        <v>0</v>
      </c>
      <c r="V210" s="109">
        <v>10.294758001254813</v>
      </c>
      <c r="W210" s="109">
        <v>479.9882399142266</v>
      </c>
      <c r="X210" s="109">
        <v>207.73582883173935</v>
      </c>
      <c r="Y210" s="109">
        <v>53.922977402513183</v>
      </c>
      <c r="Z210" s="109">
        <v>30.834554117161584</v>
      </c>
      <c r="AA210" s="109">
        <v>16.787999489274377</v>
      </c>
      <c r="AB210" s="109">
        <v>15.202017753694898</v>
      </c>
      <c r="AC210" s="109">
        <v>15.033878271816842</v>
      </c>
      <c r="AD210" s="109">
        <v>5.4898416489029661E-14</v>
      </c>
      <c r="AE210" s="109">
        <v>23.145482429468988</v>
      </c>
      <c r="AF210" s="109">
        <v>17.421035730923965</v>
      </c>
      <c r="AG210" s="109">
        <v>0</v>
      </c>
      <c r="AH210" s="109">
        <v>15.202017753694898</v>
      </c>
      <c r="AI210" s="109">
        <v>25.887012183110144</v>
      </c>
      <c r="AJ210" s="109">
        <v>0</v>
      </c>
      <c r="AK210" s="109">
        <v>0</v>
      </c>
      <c r="AL210" s="109">
        <v>15.202017753694898</v>
      </c>
      <c r="AM210" s="109">
        <v>455.08897801276947</v>
      </c>
      <c r="AN210" s="109">
        <v>1.3724604122257415E-14</v>
      </c>
      <c r="AO210" s="109">
        <v>114.3858185566985</v>
      </c>
      <c r="AP210" s="109">
        <v>0</v>
      </c>
      <c r="AQ210" s="109">
        <v>6.902263786542556</v>
      </c>
      <c r="AR210" s="109">
        <v>218.97814754917198</v>
      </c>
      <c r="AS210" s="109">
        <v>101.3633657349273</v>
      </c>
      <c r="AT210" s="109">
        <v>4.9710687107172626</v>
      </c>
      <c r="AU210" s="109">
        <v>0</v>
      </c>
      <c r="AV210" s="109">
        <v>479.9882399142266</v>
      </c>
      <c r="AW210" s="109">
        <v>141.63854214642683</v>
      </c>
      <c r="AX210" s="109">
        <v>0</v>
      </c>
      <c r="AY210" s="109">
        <v>6.9022637865426111</v>
      </c>
    </row>
    <row r="211" spans="1:51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6.902263786542556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479.9882399142266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6.902263786542556</v>
      </c>
      <c r="AY211" s="109">
        <v>479.9882399142266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51468.447606343441</v>
      </c>
      <c r="E259" s="123">
        <f t="shared" ref="E259:AX259" si="5">F$14*$B$259</f>
        <v>261585.4466114633</v>
      </c>
      <c r="F259" s="123">
        <f t="shared" si="5"/>
        <v>51468.447606343441</v>
      </c>
      <c r="G259" s="123">
        <f t="shared" si="5"/>
        <v>612966.21208369173</v>
      </c>
      <c r="H259" s="123">
        <f t="shared" si="5"/>
        <v>460441.61539884331</v>
      </c>
      <c r="I259" s="123">
        <f t="shared" si="5"/>
        <v>435481.60544309788</v>
      </c>
      <c r="J259" s="123">
        <f t="shared" si="5"/>
        <v>412336.6511960373</v>
      </c>
      <c r="K259" s="123">
        <f t="shared" si="5"/>
        <v>400151.78628959763</v>
      </c>
      <c r="L259" s="123">
        <f t="shared" si="5"/>
        <v>385568.03035592276</v>
      </c>
      <c r="M259" s="123">
        <f t="shared" si="5"/>
        <v>380763.65545806376</v>
      </c>
      <c r="N259" s="123">
        <f t="shared" si="5"/>
        <v>385568.03035592276</v>
      </c>
      <c r="O259" s="123">
        <f t="shared" si="5"/>
        <v>390372.40525378153</v>
      </c>
      <c r="P259" s="123">
        <f t="shared" si="5"/>
        <v>385568.03035592276</v>
      </c>
      <c r="Q259" s="123">
        <f t="shared" si="5"/>
        <v>398653.54084719683</v>
      </c>
      <c r="R259" s="123">
        <f t="shared" si="5"/>
        <v>385568.03035592276</v>
      </c>
      <c r="S259" s="123">
        <f t="shared" si="5"/>
        <v>385568.03035592264</v>
      </c>
      <c r="T259" s="123">
        <f t="shared" si="5"/>
        <v>385568.03035592276</v>
      </c>
      <c r="U259" s="123">
        <f t="shared" si="5"/>
        <v>385568.03035592264</v>
      </c>
      <c r="V259" s="123">
        <f t="shared" si="5"/>
        <v>58634.19473661013</v>
      </c>
      <c r="W259" s="123">
        <f t="shared" si="5"/>
        <v>694243.91442255187</v>
      </c>
      <c r="X259" s="123">
        <f t="shared" si="5"/>
        <v>530164.18493509456</v>
      </c>
      <c r="Y259" s="123">
        <f t="shared" si="5"/>
        <v>423101.54212282348</v>
      </c>
      <c r="Z259" s="123">
        <f t="shared" si="5"/>
        <v>407030.66382930509</v>
      </c>
      <c r="AA259" s="123">
        <f t="shared" si="5"/>
        <v>386671.96539441496</v>
      </c>
      <c r="AB259" s="123">
        <f t="shared" si="5"/>
        <v>396149.51416346087</v>
      </c>
      <c r="AC259" s="123">
        <f t="shared" si="5"/>
        <v>396032.4793570473</v>
      </c>
      <c r="AD259" s="123">
        <f t="shared" si="5"/>
        <v>385568.03035592264</v>
      </c>
      <c r="AE259" s="123">
        <f t="shared" si="5"/>
        <v>401678.62511467183</v>
      </c>
      <c r="AF259" s="123">
        <f t="shared" si="5"/>
        <v>397694.07904788078</v>
      </c>
      <c r="AG259" s="123">
        <f t="shared" si="5"/>
        <v>374986.54654838453</v>
      </c>
      <c r="AH259" s="123">
        <f t="shared" si="5"/>
        <v>396149.51416346087</v>
      </c>
      <c r="AI259" s="123">
        <f t="shared" si="5"/>
        <v>403586.8884232702</v>
      </c>
      <c r="AJ259" s="123">
        <f t="shared" si="5"/>
        <v>385568.03035592264</v>
      </c>
      <c r="AK259" s="123">
        <f t="shared" si="5"/>
        <v>374986.54654838453</v>
      </c>
      <c r="AL259" s="123">
        <f t="shared" si="5"/>
        <v>79381.258142919585</v>
      </c>
      <c r="AM259" s="123">
        <f t="shared" si="5"/>
        <v>368236.70362688473</v>
      </c>
      <c r="AN259" s="123">
        <f t="shared" si="5"/>
        <v>612966.21208369173</v>
      </c>
      <c r="AO259" s="123">
        <f t="shared" si="5"/>
        <v>131087.59464855274</v>
      </c>
      <c r="AP259" s="123">
        <f t="shared" si="5"/>
        <v>380763.65545806376</v>
      </c>
      <c r="AQ259" s="123">
        <f t="shared" si="5"/>
        <v>724471.98800336092</v>
      </c>
      <c r="AR259" s="123">
        <f t="shared" si="5"/>
        <v>537989.48914109601</v>
      </c>
      <c r="AS259" s="123">
        <f t="shared" si="5"/>
        <v>456122.79687308555</v>
      </c>
      <c r="AT259" s="123">
        <f t="shared" si="5"/>
        <v>389028.1817595631</v>
      </c>
      <c r="AU259" s="123">
        <f t="shared" si="5"/>
        <v>51468.447606343441</v>
      </c>
      <c r="AV259" s="123">
        <f t="shared" si="5"/>
        <v>714863.23820764292</v>
      </c>
      <c r="AW259" s="123">
        <f t="shared" si="5"/>
        <v>150057.06686259061</v>
      </c>
      <c r="AX259" s="123">
        <f t="shared" si="5"/>
        <v>385568.03035592264</v>
      </c>
      <c r="AY259" s="123">
        <f>AZ$14*$B$259</f>
        <v>724471.98800336092</v>
      </c>
      <c r="AZ259" s="138">
        <f>SUM($D259:$AY259)</f>
        <v>18673389.396578204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156399.0184635247</v>
      </c>
      <c r="E260" s="124">
        <f t="shared" ref="E260:AY260" si="6">(E$175-E$176+E$177-E$178+E$179-E$180+E$181-E$182)*$B$260</f>
        <v>143554.55441524432</v>
      </c>
      <c r="F260" s="124">
        <f t="shared" si="6"/>
        <v>100270.96900900654</v>
      </c>
      <c r="G260" s="124">
        <f t="shared" si="6"/>
        <v>141229.75758600922</v>
      </c>
      <c r="H260" s="124">
        <f t="shared" si="6"/>
        <v>157029.78657623383</v>
      </c>
      <c r="I260" s="124">
        <f t="shared" si="6"/>
        <v>149774.62294531055</v>
      </c>
      <c r="J260" s="124">
        <f t="shared" si="6"/>
        <v>149371.91571050862</v>
      </c>
      <c r="K260" s="124">
        <f t="shared" si="6"/>
        <v>141604.53130284103</v>
      </c>
      <c r="L260" s="124">
        <f t="shared" si="6"/>
        <v>146055.69883868931</v>
      </c>
      <c r="M260" s="124">
        <f t="shared" si="6"/>
        <v>150201.36924979379</v>
      </c>
      <c r="N260" s="124">
        <f t="shared" si="6"/>
        <v>155922.86317042354</v>
      </c>
      <c r="O260" s="124">
        <f t="shared" si="6"/>
        <v>157627.14212018339</v>
      </c>
      <c r="P260" s="124">
        <f t="shared" si="6"/>
        <v>152291.45833007054</v>
      </c>
      <c r="Q260" s="124">
        <f t="shared" si="6"/>
        <v>145800.57224085002</v>
      </c>
      <c r="R260" s="124">
        <f t="shared" si="6"/>
        <v>141259.14207080792</v>
      </c>
      <c r="S260" s="124">
        <f t="shared" si="6"/>
        <v>146393.22164146256</v>
      </c>
      <c r="T260" s="124">
        <f t="shared" si="6"/>
        <v>141818.19632189471</v>
      </c>
      <c r="U260" s="124">
        <f t="shared" si="6"/>
        <v>133432.57814790271</v>
      </c>
      <c r="V260" s="124">
        <f t="shared" si="6"/>
        <v>79569.853680334272</v>
      </c>
      <c r="W260" s="124">
        <f t="shared" si="6"/>
        <v>141390.02726673285</v>
      </c>
      <c r="X260" s="124">
        <f t="shared" si="6"/>
        <v>137376.68390027521</v>
      </c>
      <c r="Y260" s="124">
        <f t="shared" si="6"/>
        <v>147300.2248407235</v>
      </c>
      <c r="Z260" s="124">
        <f t="shared" si="6"/>
        <v>125904.52597944075</v>
      </c>
      <c r="AA260" s="124">
        <f t="shared" si="6"/>
        <v>118196.68537032852</v>
      </c>
      <c r="AB260" s="124">
        <f t="shared" si="6"/>
        <v>105599.59102113162</v>
      </c>
      <c r="AC260" s="124">
        <f t="shared" si="6"/>
        <v>97853.336218154422</v>
      </c>
      <c r="AD260" s="124">
        <f t="shared" si="6"/>
        <v>80500.120806804611</v>
      </c>
      <c r="AE260" s="124">
        <f t="shared" si="6"/>
        <v>80793.824433004876</v>
      </c>
      <c r="AF260" s="124">
        <f t="shared" si="6"/>
        <v>71905.25632695065</v>
      </c>
      <c r="AG260" s="124">
        <f t="shared" si="6"/>
        <v>72151.288457969509</v>
      </c>
      <c r="AH260" s="124">
        <f t="shared" si="6"/>
        <v>78369.915405463267</v>
      </c>
      <c r="AI260" s="124">
        <f t="shared" si="6"/>
        <v>67987.495038914625</v>
      </c>
      <c r="AJ260" s="124">
        <f t="shared" si="6"/>
        <v>68561.574609569274</v>
      </c>
      <c r="AK260" s="124">
        <f t="shared" si="6"/>
        <v>59867.606740588097</v>
      </c>
      <c r="AL260" s="124">
        <f t="shared" si="6"/>
        <v>33241.347997477496</v>
      </c>
      <c r="AM260" s="124">
        <f t="shared" si="6"/>
        <v>33789.198057207679</v>
      </c>
      <c r="AN260" s="124">
        <f t="shared" si="6"/>
        <v>83515.104682182951</v>
      </c>
      <c r="AO260" s="124">
        <f t="shared" si="6"/>
        <v>42620.602476506625</v>
      </c>
      <c r="AP260" s="124">
        <f t="shared" si="6"/>
        <v>14547.006372526321</v>
      </c>
      <c r="AQ260" s="124">
        <f t="shared" si="6"/>
        <v>82206.41716098279</v>
      </c>
      <c r="AR260" s="124">
        <f t="shared" si="6"/>
        <v>93881.021736815121</v>
      </c>
      <c r="AS260" s="124">
        <f t="shared" si="6"/>
        <v>76278.782627023946</v>
      </c>
      <c r="AT260" s="124">
        <f t="shared" si="6"/>
        <v>63746.177524639999</v>
      </c>
      <c r="AU260" s="124">
        <f t="shared" si="6"/>
        <v>13761.599574601983</v>
      </c>
      <c r="AV260" s="124">
        <f t="shared" si="6"/>
        <v>59927.655332113151</v>
      </c>
      <c r="AW260" s="124">
        <f t="shared" si="6"/>
        <v>18843.401519008894</v>
      </c>
      <c r="AX260" s="124">
        <f t="shared" si="6"/>
        <v>0</v>
      </c>
      <c r="AY260" s="124">
        <f t="shared" si="6"/>
        <v>53780.494252736513</v>
      </c>
      <c r="AZ260" s="140">
        <f>SUM($D260:$AY260)</f>
        <v>4813504.2175509669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283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16</v>
      </c>
      <c r="E6" s="99">
        <v>9254.4</v>
      </c>
      <c r="F6" s="99">
        <v>12</v>
      </c>
      <c r="G6" s="99">
        <v>6940.7999999999993</v>
      </c>
      <c r="H6" s="99">
        <v>17</v>
      </c>
      <c r="I6" s="99">
        <v>9832.7999999999993</v>
      </c>
      <c r="J6" s="99">
        <v>15</v>
      </c>
      <c r="K6" s="99">
        <v>8676</v>
      </c>
      <c r="L6" s="99">
        <v>15</v>
      </c>
      <c r="M6" s="99">
        <v>8676</v>
      </c>
      <c r="N6" s="99">
        <v>11</v>
      </c>
      <c r="O6" s="99">
        <v>6362.4</v>
      </c>
      <c r="P6" s="99">
        <v>10</v>
      </c>
      <c r="Q6" s="99">
        <v>5784</v>
      </c>
      <c r="R6" s="99">
        <v>11</v>
      </c>
      <c r="S6" s="99">
        <v>6362.4</v>
      </c>
      <c r="T6" s="99">
        <v>12</v>
      </c>
      <c r="U6" s="99">
        <v>6940.7999999999993</v>
      </c>
      <c r="V6" s="99">
        <v>17</v>
      </c>
      <c r="W6" s="99">
        <v>9832.7999999999993</v>
      </c>
      <c r="X6" s="99">
        <v>14</v>
      </c>
      <c r="Y6" s="99">
        <v>8097.5999999999995</v>
      </c>
      <c r="Z6" s="99">
        <v>12</v>
      </c>
      <c r="AA6" s="99">
        <v>6940.7999999999993</v>
      </c>
      <c r="AB6" s="99">
        <v>19</v>
      </c>
      <c r="AC6" s="99">
        <v>10989.6</v>
      </c>
      <c r="AD6" s="99">
        <v>11</v>
      </c>
      <c r="AE6" s="99">
        <v>6362.4</v>
      </c>
      <c r="AF6" s="99">
        <v>15</v>
      </c>
      <c r="AG6" s="99">
        <v>8676</v>
      </c>
      <c r="AH6" s="99">
        <v>11</v>
      </c>
      <c r="AI6" s="99">
        <v>6362.4</v>
      </c>
      <c r="AJ6" s="99">
        <v>17</v>
      </c>
      <c r="AK6" s="99">
        <v>9832.7999999999993</v>
      </c>
      <c r="AL6" s="99">
        <v>18</v>
      </c>
      <c r="AM6" s="99">
        <v>10411.199999999999</v>
      </c>
      <c r="AN6" s="99">
        <v>16</v>
      </c>
      <c r="AO6" s="99">
        <v>9254.4</v>
      </c>
      <c r="AP6" s="99">
        <v>12</v>
      </c>
      <c r="AQ6" s="99">
        <v>6940.7999999999993</v>
      </c>
      <c r="AR6" s="99">
        <v>11</v>
      </c>
      <c r="AS6" s="99">
        <v>6362.4</v>
      </c>
      <c r="AT6" s="99">
        <v>19</v>
      </c>
      <c r="AU6" s="99">
        <v>10989.6</v>
      </c>
      <c r="AV6" s="99">
        <v>18</v>
      </c>
      <c r="AW6" s="99">
        <v>10411.199999999999</v>
      </c>
      <c r="AX6" s="99">
        <v>15</v>
      </c>
      <c r="AY6" s="99">
        <v>8676</v>
      </c>
      <c r="AZ6" s="99">
        <v>17</v>
      </c>
      <c r="BA6" s="99">
        <v>9832.7999999999993</v>
      </c>
      <c r="BB6" s="99">
        <v>18</v>
      </c>
      <c r="BC6" s="99">
        <v>10411.199999999999</v>
      </c>
      <c r="BD6" s="99">
        <v>16</v>
      </c>
      <c r="BE6" s="99">
        <v>9254.4</v>
      </c>
      <c r="BF6" s="99">
        <v>12</v>
      </c>
      <c r="BG6" s="99">
        <v>6940.7999999999993</v>
      </c>
      <c r="BH6" s="99">
        <v>15</v>
      </c>
      <c r="BI6" s="99">
        <v>8676</v>
      </c>
      <c r="BJ6" s="99">
        <v>15</v>
      </c>
      <c r="BK6" s="99">
        <v>8676</v>
      </c>
      <c r="BL6" s="99">
        <v>13</v>
      </c>
      <c r="BM6" s="99">
        <v>7519.2</v>
      </c>
      <c r="BN6" s="99">
        <v>15</v>
      </c>
      <c r="BO6" s="99">
        <v>8676</v>
      </c>
      <c r="BP6" s="99">
        <v>16</v>
      </c>
      <c r="BQ6" s="99">
        <v>9254.4</v>
      </c>
      <c r="BR6" s="99">
        <v>16</v>
      </c>
      <c r="BS6" s="99">
        <v>9254.4</v>
      </c>
      <c r="BT6" s="99">
        <v>11</v>
      </c>
      <c r="BU6" s="99">
        <v>6362.4</v>
      </c>
      <c r="BV6" s="99">
        <v>16</v>
      </c>
      <c r="BW6" s="99">
        <v>9254.4</v>
      </c>
      <c r="BX6" s="99">
        <v>17</v>
      </c>
      <c r="BY6" s="99">
        <v>9832.7999999999993</v>
      </c>
      <c r="BZ6" s="99">
        <v>13</v>
      </c>
      <c r="CA6" s="99">
        <v>7519.2</v>
      </c>
      <c r="CB6" s="99">
        <v>21</v>
      </c>
      <c r="CC6" s="99">
        <v>12146.4</v>
      </c>
      <c r="CD6" s="99">
        <v>15</v>
      </c>
      <c r="CE6" s="99">
        <v>8676</v>
      </c>
      <c r="CF6" s="99">
        <v>17</v>
      </c>
      <c r="CG6" s="99">
        <v>9832.7999999999993</v>
      </c>
      <c r="CH6" s="99">
        <v>18</v>
      </c>
      <c r="CI6" s="99">
        <v>10411.199999999999</v>
      </c>
      <c r="CJ6" s="99">
        <v>16.166480536430825</v>
      </c>
      <c r="CK6" s="99">
        <v>9350.6923422715881</v>
      </c>
      <c r="CL6" s="99">
        <v>12</v>
      </c>
      <c r="CM6" s="99">
        <v>6940.7999999999993</v>
      </c>
      <c r="CN6" s="99">
        <v>15</v>
      </c>
      <c r="CO6" s="99">
        <v>8676</v>
      </c>
      <c r="CP6" s="99">
        <v>12.978970488265341</v>
      </c>
      <c r="CQ6" s="99">
        <v>7507.0365304126735</v>
      </c>
      <c r="CR6" s="99">
        <v>16.543375994782028</v>
      </c>
      <c r="CS6" s="99">
        <v>9568.6886753819253</v>
      </c>
      <c r="CT6" s="99">
        <v>14.430950652550177</v>
      </c>
      <c r="CU6" s="99">
        <v>8346.8618574350221</v>
      </c>
    </row>
    <row r="7" spans="1:99">
      <c r="C7" s="98" t="s">
        <v>173</v>
      </c>
      <c r="D7" s="99">
        <v>18</v>
      </c>
      <c r="E7" s="99">
        <v>14191.199999999999</v>
      </c>
      <c r="F7" s="99">
        <v>13</v>
      </c>
      <c r="G7" s="99">
        <v>10249.199999999999</v>
      </c>
      <c r="H7" s="99">
        <v>18</v>
      </c>
      <c r="I7" s="99">
        <v>14191.199999999999</v>
      </c>
      <c r="J7" s="99">
        <v>14</v>
      </c>
      <c r="K7" s="99">
        <v>11037.6</v>
      </c>
      <c r="L7" s="99">
        <v>14</v>
      </c>
      <c r="M7" s="99">
        <v>11037.6</v>
      </c>
      <c r="N7" s="99">
        <v>12</v>
      </c>
      <c r="O7" s="99">
        <v>9460.7999999999993</v>
      </c>
      <c r="P7" s="99">
        <v>10</v>
      </c>
      <c r="Q7" s="99">
        <v>7884</v>
      </c>
      <c r="R7" s="99">
        <v>10</v>
      </c>
      <c r="S7" s="99">
        <v>7884</v>
      </c>
      <c r="T7" s="99">
        <v>13</v>
      </c>
      <c r="U7" s="99">
        <v>10249.199999999999</v>
      </c>
      <c r="V7" s="99">
        <v>17</v>
      </c>
      <c r="W7" s="99">
        <v>13402.8</v>
      </c>
      <c r="X7" s="99">
        <v>14</v>
      </c>
      <c r="Y7" s="99">
        <v>11037.6</v>
      </c>
      <c r="Z7" s="99">
        <v>11</v>
      </c>
      <c r="AA7" s="99">
        <v>8672.4</v>
      </c>
      <c r="AB7" s="99">
        <v>18</v>
      </c>
      <c r="AC7" s="99">
        <v>14191.199999999999</v>
      </c>
      <c r="AD7" s="99">
        <v>11</v>
      </c>
      <c r="AE7" s="99">
        <v>8672.4</v>
      </c>
      <c r="AF7" s="99">
        <v>14</v>
      </c>
      <c r="AG7" s="99">
        <v>11037.6</v>
      </c>
      <c r="AH7" s="99">
        <v>12</v>
      </c>
      <c r="AI7" s="99">
        <v>9460.7999999999993</v>
      </c>
      <c r="AJ7" s="99">
        <v>19</v>
      </c>
      <c r="AK7" s="99">
        <v>14979.6</v>
      </c>
      <c r="AL7" s="99">
        <v>20</v>
      </c>
      <c r="AM7" s="99">
        <v>15768</v>
      </c>
      <c r="AN7" s="99">
        <v>16</v>
      </c>
      <c r="AO7" s="99">
        <v>12614.4</v>
      </c>
      <c r="AP7" s="99">
        <v>13</v>
      </c>
      <c r="AQ7" s="99">
        <v>10249.199999999999</v>
      </c>
      <c r="AR7" s="99">
        <v>10</v>
      </c>
      <c r="AS7" s="99">
        <v>7884</v>
      </c>
      <c r="AT7" s="99">
        <v>19</v>
      </c>
      <c r="AU7" s="99">
        <v>14979.6</v>
      </c>
      <c r="AV7" s="99">
        <v>17</v>
      </c>
      <c r="AW7" s="99">
        <v>13402.8</v>
      </c>
      <c r="AX7" s="99">
        <v>12</v>
      </c>
      <c r="AY7" s="99">
        <v>9460.7999999999993</v>
      </c>
      <c r="AZ7" s="99">
        <v>17</v>
      </c>
      <c r="BA7" s="99">
        <v>13402.8</v>
      </c>
      <c r="BB7" s="99">
        <v>17</v>
      </c>
      <c r="BC7" s="99">
        <v>13402.8</v>
      </c>
      <c r="BD7" s="99">
        <v>14</v>
      </c>
      <c r="BE7" s="99">
        <v>11037.6</v>
      </c>
      <c r="BF7" s="99">
        <v>12</v>
      </c>
      <c r="BG7" s="99">
        <v>9460.7999999999993</v>
      </c>
      <c r="BH7" s="99">
        <v>13</v>
      </c>
      <c r="BI7" s="99">
        <v>10249.199999999999</v>
      </c>
      <c r="BJ7" s="99">
        <v>14</v>
      </c>
      <c r="BK7" s="99">
        <v>11037.6</v>
      </c>
      <c r="BL7" s="99">
        <v>12</v>
      </c>
      <c r="BM7" s="99">
        <v>9460.7999999999993</v>
      </c>
      <c r="BN7" s="99">
        <v>14</v>
      </c>
      <c r="BO7" s="99">
        <v>11037.6</v>
      </c>
      <c r="BP7" s="99">
        <v>16</v>
      </c>
      <c r="BQ7" s="99">
        <v>12614.4</v>
      </c>
      <c r="BR7" s="99">
        <v>17</v>
      </c>
      <c r="BS7" s="99">
        <v>13402.8</v>
      </c>
      <c r="BT7" s="99">
        <v>11</v>
      </c>
      <c r="BU7" s="99">
        <v>8672.4</v>
      </c>
      <c r="BV7" s="99">
        <v>14</v>
      </c>
      <c r="BW7" s="99">
        <v>11037.6</v>
      </c>
      <c r="BX7" s="99">
        <v>18</v>
      </c>
      <c r="BY7" s="99">
        <v>14191.199999999999</v>
      </c>
      <c r="BZ7" s="99">
        <v>12</v>
      </c>
      <c r="CA7" s="99">
        <v>9460.7999999999993</v>
      </c>
      <c r="CB7" s="99">
        <v>23</v>
      </c>
      <c r="CC7" s="99">
        <v>18133.2</v>
      </c>
      <c r="CD7" s="99">
        <v>16</v>
      </c>
      <c r="CE7" s="99">
        <v>12614.4</v>
      </c>
      <c r="CF7" s="99">
        <v>15</v>
      </c>
      <c r="CG7" s="99">
        <v>11826</v>
      </c>
      <c r="CH7" s="99">
        <v>19</v>
      </c>
      <c r="CI7" s="99">
        <v>14979.6</v>
      </c>
      <c r="CJ7" s="99">
        <v>14.464745743122318</v>
      </c>
      <c r="CK7" s="99">
        <v>11404.005543877634</v>
      </c>
      <c r="CL7" s="99">
        <v>11</v>
      </c>
      <c r="CM7" s="99">
        <v>8672.4</v>
      </c>
      <c r="CN7" s="99">
        <v>14</v>
      </c>
      <c r="CO7" s="99">
        <v>11037.6</v>
      </c>
      <c r="CP7" s="99">
        <v>11.980588143014163</v>
      </c>
      <c r="CQ7" s="99">
        <v>9445.4956919523665</v>
      </c>
      <c r="CR7" s="99">
        <v>16.543375994782028</v>
      </c>
      <c r="CS7" s="99">
        <v>13042.797634286151</v>
      </c>
      <c r="CT7" s="99">
        <v>13.529016236765793</v>
      </c>
      <c r="CU7" s="99">
        <v>10666.27640106615</v>
      </c>
    </row>
    <row r="8" spans="1:99">
      <c r="C8" s="98" t="s">
        <v>174</v>
      </c>
      <c r="D8" s="99">
        <v>17</v>
      </c>
      <c r="E8" s="99">
        <v>5263.2</v>
      </c>
      <c r="F8" s="99">
        <v>12</v>
      </c>
      <c r="G8" s="99">
        <v>3715.2</v>
      </c>
      <c r="H8" s="99">
        <v>17</v>
      </c>
      <c r="I8" s="99">
        <v>5263.2</v>
      </c>
      <c r="J8" s="99">
        <v>14</v>
      </c>
      <c r="K8" s="99">
        <v>4334.3999999999996</v>
      </c>
      <c r="L8" s="99">
        <v>16</v>
      </c>
      <c r="M8" s="99">
        <v>4953.5999999999995</v>
      </c>
      <c r="N8" s="99">
        <v>11</v>
      </c>
      <c r="O8" s="99">
        <v>3405.5999999999995</v>
      </c>
      <c r="P8" s="99">
        <v>11</v>
      </c>
      <c r="Q8" s="99">
        <v>3405.5999999999995</v>
      </c>
      <c r="R8" s="99">
        <v>12</v>
      </c>
      <c r="S8" s="99">
        <v>3715.2</v>
      </c>
      <c r="T8" s="99">
        <v>14</v>
      </c>
      <c r="U8" s="99">
        <v>4334.3999999999996</v>
      </c>
      <c r="V8" s="99">
        <v>19</v>
      </c>
      <c r="W8" s="99">
        <v>5882.4</v>
      </c>
      <c r="X8" s="99">
        <v>14</v>
      </c>
      <c r="Y8" s="99">
        <v>4334.3999999999996</v>
      </c>
      <c r="Z8" s="99">
        <v>11</v>
      </c>
      <c r="AA8" s="99">
        <v>3405.5999999999995</v>
      </c>
      <c r="AB8" s="99">
        <v>18</v>
      </c>
      <c r="AC8" s="99">
        <v>5572.7999999999993</v>
      </c>
      <c r="AD8" s="99">
        <v>11</v>
      </c>
      <c r="AE8" s="99">
        <v>3405.5999999999995</v>
      </c>
      <c r="AF8" s="99">
        <v>16</v>
      </c>
      <c r="AG8" s="99">
        <v>4953.5999999999995</v>
      </c>
      <c r="AH8" s="99">
        <v>12</v>
      </c>
      <c r="AI8" s="99">
        <v>3715.2</v>
      </c>
      <c r="AJ8" s="99">
        <v>18</v>
      </c>
      <c r="AK8" s="99">
        <v>5572.7999999999993</v>
      </c>
      <c r="AL8" s="99">
        <v>18</v>
      </c>
      <c r="AM8" s="99">
        <v>5572.7999999999993</v>
      </c>
      <c r="AN8" s="99">
        <v>16</v>
      </c>
      <c r="AO8" s="99">
        <v>4953.5999999999995</v>
      </c>
      <c r="AP8" s="99">
        <v>12</v>
      </c>
      <c r="AQ8" s="99">
        <v>3715.2</v>
      </c>
      <c r="AR8" s="99">
        <v>12</v>
      </c>
      <c r="AS8" s="99">
        <v>3715.2</v>
      </c>
      <c r="AT8" s="99">
        <v>19</v>
      </c>
      <c r="AU8" s="99">
        <v>5882.4</v>
      </c>
      <c r="AV8" s="99">
        <v>19</v>
      </c>
      <c r="AW8" s="99">
        <v>5882.4</v>
      </c>
      <c r="AX8" s="99">
        <v>15</v>
      </c>
      <c r="AY8" s="99">
        <v>4643.9999999999991</v>
      </c>
      <c r="AZ8" s="99">
        <v>18</v>
      </c>
      <c r="BA8" s="99">
        <v>5572.7999999999993</v>
      </c>
      <c r="BB8" s="99">
        <v>19</v>
      </c>
      <c r="BC8" s="99">
        <v>5882.4</v>
      </c>
      <c r="BD8" s="99">
        <v>15</v>
      </c>
      <c r="BE8" s="99">
        <v>4643.9999999999991</v>
      </c>
      <c r="BF8" s="99">
        <v>14</v>
      </c>
      <c r="BG8" s="99">
        <v>4334.3999999999996</v>
      </c>
      <c r="BH8" s="99">
        <v>13</v>
      </c>
      <c r="BI8" s="99">
        <v>4024.7999999999997</v>
      </c>
      <c r="BJ8" s="99">
        <v>15</v>
      </c>
      <c r="BK8" s="99">
        <v>4643.9999999999991</v>
      </c>
      <c r="BL8" s="99">
        <v>13</v>
      </c>
      <c r="BM8" s="99">
        <v>4024.7999999999997</v>
      </c>
      <c r="BN8" s="99">
        <v>14</v>
      </c>
      <c r="BO8" s="99">
        <v>4334.3999999999996</v>
      </c>
      <c r="BP8" s="99">
        <v>17</v>
      </c>
      <c r="BQ8" s="99">
        <v>5263.2</v>
      </c>
      <c r="BR8" s="99">
        <v>18</v>
      </c>
      <c r="BS8" s="99">
        <v>5572.7999999999993</v>
      </c>
      <c r="BT8" s="99">
        <v>10</v>
      </c>
      <c r="BU8" s="99">
        <v>3095.9999999999995</v>
      </c>
      <c r="BV8" s="99">
        <v>15</v>
      </c>
      <c r="BW8" s="99">
        <v>4643.9999999999991</v>
      </c>
      <c r="BX8" s="99">
        <v>20</v>
      </c>
      <c r="BY8" s="99">
        <v>6191.9999999999991</v>
      </c>
      <c r="BZ8" s="99">
        <v>13</v>
      </c>
      <c r="CA8" s="99">
        <v>4024.7999999999997</v>
      </c>
      <c r="CB8" s="99">
        <v>23</v>
      </c>
      <c r="CC8" s="99">
        <v>7120.7999999999993</v>
      </c>
      <c r="CD8" s="99">
        <v>17</v>
      </c>
      <c r="CE8" s="99">
        <v>5263.2</v>
      </c>
      <c r="CF8" s="99">
        <v>17</v>
      </c>
      <c r="CG8" s="99">
        <v>5263.2</v>
      </c>
      <c r="CH8" s="99">
        <v>20</v>
      </c>
      <c r="CI8" s="99">
        <v>6191.9999999999991</v>
      </c>
      <c r="CJ8" s="99">
        <v>15.315613139776572</v>
      </c>
      <c r="CK8" s="99">
        <v>4741.7138280748259</v>
      </c>
      <c r="CL8" s="99">
        <v>12</v>
      </c>
      <c r="CM8" s="99">
        <v>3715.2</v>
      </c>
      <c r="CN8" s="99">
        <v>15</v>
      </c>
      <c r="CO8" s="99">
        <v>4643.9999999999991</v>
      </c>
      <c r="CP8" s="99">
        <v>12.978970488265341</v>
      </c>
      <c r="CQ8" s="99">
        <v>4018.2892631669492</v>
      </c>
      <c r="CR8" s="99">
        <v>16.543375994782028</v>
      </c>
      <c r="CS8" s="99">
        <v>5121.8292079845151</v>
      </c>
      <c r="CT8" s="99">
        <v>15.332885068334564</v>
      </c>
      <c r="CU8" s="99">
        <v>4747.0612171563807</v>
      </c>
    </row>
    <row r="9" spans="1:99">
      <c r="C9" s="98" t="s">
        <v>175</v>
      </c>
      <c r="D9" s="99">
        <v>18</v>
      </c>
      <c r="E9" s="99">
        <v>12636</v>
      </c>
      <c r="F9" s="99">
        <v>12</v>
      </c>
      <c r="G9" s="99">
        <v>8424</v>
      </c>
      <c r="H9" s="99">
        <v>15</v>
      </c>
      <c r="I9" s="99">
        <v>10530</v>
      </c>
      <c r="J9" s="99">
        <v>14</v>
      </c>
      <c r="K9" s="99">
        <v>9828</v>
      </c>
      <c r="L9" s="99">
        <v>15</v>
      </c>
      <c r="M9" s="99">
        <v>10530</v>
      </c>
      <c r="N9" s="99">
        <v>10</v>
      </c>
      <c r="O9" s="99">
        <v>7020</v>
      </c>
      <c r="P9" s="99">
        <v>10</v>
      </c>
      <c r="Q9" s="99">
        <v>7020</v>
      </c>
      <c r="R9" s="99">
        <v>11</v>
      </c>
      <c r="S9" s="99">
        <v>7722</v>
      </c>
      <c r="T9" s="99">
        <v>13</v>
      </c>
      <c r="U9" s="99">
        <v>9126</v>
      </c>
      <c r="V9" s="99">
        <v>19</v>
      </c>
      <c r="W9" s="99">
        <v>13338</v>
      </c>
      <c r="X9" s="99">
        <v>13</v>
      </c>
      <c r="Y9" s="99">
        <v>9126</v>
      </c>
      <c r="Z9" s="99">
        <v>12</v>
      </c>
      <c r="AA9" s="99">
        <v>8424</v>
      </c>
      <c r="AB9" s="99">
        <v>16</v>
      </c>
      <c r="AC9" s="99">
        <v>11232</v>
      </c>
      <c r="AD9" s="99">
        <v>12</v>
      </c>
      <c r="AE9" s="99">
        <v>8424</v>
      </c>
      <c r="AF9" s="99">
        <v>14</v>
      </c>
      <c r="AG9" s="99">
        <v>9828</v>
      </c>
      <c r="AH9" s="99">
        <v>10</v>
      </c>
      <c r="AI9" s="99">
        <v>7020</v>
      </c>
      <c r="AJ9" s="99">
        <v>19</v>
      </c>
      <c r="AK9" s="99">
        <v>13338</v>
      </c>
      <c r="AL9" s="99">
        <v>17</v>
      </c>
      <c r="AM9" s="99">
        <v>11934</v>
      </c>
      <c r="AN9" s="99">
        <v>15</v>
      </c>
      <c r="AO9" s="99">
        <v>10530</v>
      </c>
      <c r="AP9" s="99">
        <v>11</v>
      </c>
      <c r="AQ9" s="99">
        <v>7722</v>
      </c>
      <c r="AR9" s="99">
        <v>10</v>
      </c>
      <c r="AS9" s="99">
        <v>7020</v>
      </c>
      <c r="AT9" s="99">
        <v>18</v>
      </c>
      <c r="AU9" s="99">
        <v>12636</v>
      </c>
      <c r="AV9" s="99">
        <v>16</v>
      </c>
      <c r="AW9" s="99">
        <v>11232</v>
      </c>
      <c r="AX9" s="99">
        <v>13</v>
      </c>
      <c r="AY9" s="99">
        <v>9126</v>
      </c>
      <c r="AZ9" s="99">
        <v>15</v>
      </c>
      <c r="BA9" s="99">
        <v>10530</v>
      </c>
      <c r="BB9" s="99">
        <v>19</v>
      </c>
      <c r="BC9" s="99">
        <v>13338</v>
      </c>
      <c r="BD9" s="99">
        <v>15</v>
      </c>
      <c r="BE9" s="99">
        <v>10530</v>
      </c>
      <c r="BF9" s="99">
        <v>13</v>
      </c>
      <c r="BG9" s="99">
        <v>9126</v>
      </c>
      <c r="BH9" s="99">
        <v>14</v>
      </c>
      <c r="BI9" s="99">
        <v>9828</v>
      </c>
      <c r="BJ9" s="99">
        <v>13</v>
      </c>
      <c r="BK9" s="99">
        <v>9126</v>
      </c>
      <c r="BL9" s="99">
        <v>14</v>
      </c>
      <c r="BM9" s="99">
        <v>9828</v>
      </c>
      <c r="BN9" s="99">
        <v>15</v>
      </c>
      <c r="BO9" s="99">
        <v>10530</v>
      </c>
      <c r="BP9" s="99">
        <v>14</v>
      </c>
      <c r="BQ9" s="99">
        <v>9828</v>
      </c>
      <c r="BR9" s="99">
        <v>16</v>
      </c>
      <c r="BS9" s="99">
        <v>11232</v>
      </c>
      <c r="BT9" s="99">
        <v>11</v>
      </c>
      <c r="BU9" s="99">
        <v>7722</v>
      </c>
      <c r="BV9" s="99">
        <v>17</v>
      </c>
      <c r="BW9" s="99">
        <v>11934</v>
      </c>
      <c r="BX9" s="99">
        <v>17</v>
      </c>
      <c r="BY9" s="99">
        <v>11934</v>
      </c>
      <c r="BZ9" s="99">
        <v>13</v>
      </c>
      <c r="CA9" s="99">
        <v>9126</v>
      </c>
      <c r="CB9" s="99">
        <v>22</v>
      </c>
      <c r="CC9" s="99">
        <v>15444</v>
      </c>
      <c r="CD9" s="99">
        <v>15</v>
      </c>
      <c r="CE9" s="99">
        <v>10530</v>
      </c>
      <c r="CF9" s="99">
        <v>15</v>
      </c>
      <c r="CG9" s="99">
        <v>10530</v>
      </c>
      <c r="CH9" s="99">
        <v>17</v>
      </c>
      <c r="CI9" s="99">
        <v>11934</v>
      </c>
      <c r="CJ9" s="99">
        <v>13.613878346468063</v>
      </c>
      <c r="CK9" s="99">
        <v>9556.9425992205797</v>
      </c>
      <c r="CL9" s="99">
        <v>12</v>
      </c>
      <c r="CM9" s="99">
        <v>8424</v>
      </c>
      <c r="CN9" s="99">
        <v>15</v>
      </c>
      <c r="CO9" s="99">
        <v>10530</v>
      </c>
      <c r="CP9" s="99">
        <v>12.978970488265341</v>
      </c>
      <c r="CQ9" s="99">
        <v>9111.2372827622694</v>
      </c>
      <c r="CR9" s="99">
        <v>17.516515759180972</v>
      </c>
      <c r="CS9" s="99">
        <v>12296.594062945043</v>
      </c>
      <c r="CT9" s="99">
        <v>14.430950652550177</v>
      </c>
      <c r="CU9" s="99">
        <v>10130.527358090225</v>
      </c>
    </row>
    <row r="10" spans="1:99">
      <c r="C10" s="98" t="s">
        <v>176</v>
      </c>
      <c r="D10" s="99">
        <v>19</v>
      </c>
      <c r="E10" s="99">
        <v>10351.199999999999</v>
      </c>
      <c r="F10" s="99">
        <v>12</v>
      </c>
      <c r="G10" s="99">
        <v>6537.5999999999995</v>
      </c>
      <c r="H10" s="99">
        <v>17</v>
      </c>
      <c r="I10" s="99">
        <v>9261.5999999999985</v>
      </c>
      <c r="J10" s="99">
        <v>14</v>
      </c>
      <c r="K10" s="99">
        <v>7627.1999999999989</v>
      </c>
      <c r="L10" s="99">
        <v>14</v>
      </c>
      <c r="M10" s="99">
        <v>7627.1999999999989</v>
      </c>
      <c r="N10" s="99">
        <v>11</v>
      </c>
      <c r="O10" s="99">
        <v>5992.7999999999993</v>
      </c>
      <c r="P10" s="99">
        <v>10</v>
      </c>
      <c r="Q10" s="99">
        <v>5448</v>
      </c>
      <c r="R10" s="99">
        <v>12</v>
      </c>
      <c r="S10" s="99">
        <v>6537.5999999999995</v>
      </c>
      <c r="T10" s="99">
        <v>13</v>
      </c>
      <c r="U10" s="99">
        <v>7082.4</v>
      </c>
      <c r="V10" s="99">
        <v>18</v>
      </c>
      <c r="W10" s="99">
        <v>9806.4</v>
      </c>
      <c r="X10" s="99">
        <v>13</v>
      </c>
      <c r="Y10" s="99">
        <v>7082.4</v>
      </c>
      <c r="Z10" s="99">
        <v>10</v>
      </c>
      <c r="AA10" s="99">
        <v>5448</v>
      </c>
      <c r="AB10" s="99">
        <v>17</v>
      </c>
      <c r="AC10" s="99">
        <v>9261.5999999999985</v>
      </c>
      <c r="AD10" s="99">
        <v>12</v>
      </c>
      <c r="AE10" s="99">
        <v>6537.5999999999995</v>
      </c>
      <c r="AF10" s="99">
        <v>14</v>
      </c>
      <c r="AG10" s="99">
        <v>7627.1999999999989</v>
      </c>
      <c r="AH10" s="99">
        <v>11</v>
      </c>
      <c r="AI10" s="99">
        <v>5992.7999999999993</v>
      </c>
      <c r="AJ10" s="99">
        <v>19</v>
      </c>
      <c r="AK10" s="99">
        <v>10351.199999999999</v>
      </c>
      <c r="AL10" s="99">
        <v>20</v>
      </c>
      <c r="AM10" s="99">
        <v>10896</v>
      </c>
      <c r="AN10" s="99">
        <v>18</v>
      </c>
      <c r="AO10" s="99">
        <v>9806.4</v>
      </c>
      <c r="AP10" s="99">
        <v>13</v>
      </c>
      <c r="AQ10" s="99">
        <v>7082.4</v>
      </c>
      <c r="AR10" s="99">
        <v>12</v>
      </c>
      <c r="AS10" s="99">
        <v>6537.5999999999995</v>
      </c>
      <c r="AT10" s="99">
        <v>17</v>
      </c>
      <c r="AU10" s="99">
        <v>9261.5999999999985</v>
      </c>
      <c r="AV10" s="99">
        <v>16</v>
      </c>
      <c r="AW10" s="99">
        <v>8716.7999999999993</v>
      </c>
      <c r="AX10" s="99">
        <v>14</v>
      </c>
      <c r="AY10" s="99">
        <v>7627.1999999999989</v>
      </c>
      <c r="AZ10" s="99">
        <v>15</v>
      </c>
      <c r="BA10" s="99">
        <v>8171.9999999999991</v>
      </c>
      <c r="BB10" s="99">
        <v>19</v>
      </c>
      <c r="BC10" s="99">
        <v>10351.199999999999</v>
      </c>
      <c r="BD10" s="99">
        <v>15</v>
      </c>
      <c r="BE10" s="99">
        <v>8171.9999999999991</v>
      </c>
      <c r="BF10" s="99">
        <v>12</v>
      </c>
      <c r="BG10" s="99">
        <v>6537.5999999999995</v>
      </c>
      <c r="BH10" s="99">
        <v>13</v>
      </c>
      <c r="BI10" s="99">
        <v>7082.4</v>
      </c>
      <c r="BJ10" s="99">
        <v>14</v>
      </c>
      <c r="BK10" s="99">
        <v>7627.1999999999989</v>
      </c>
      <c r="BL10" s="99">
        <v>14</v>
      </c>
      <c r="BM10" s="99">
        <v>7627.1999999999989</v>
      </c>
      <c r="BN10" s="99">
        <v>14</v>
      </c>
      <c r="BO10" s="99">
        <v>7627.1999999999989</v>
      </c>
      <c r="BP10" s="99">
        <v>15</v>
      </c>
      <c r="BQ10" s="99">
        <v>8171.9999999999991</v>
      </c>
      <c r="BR10" s="99">
        <v>17</v>
      </c>
      <c r="BS10" s="99">
        <v>9261.5999999999985</v>
      </c>
      <c r="BT10" s="99">
        <v>10</v>
      </c>
      <c r="BU10" s="99">
        <v>5448</v>
      </c>
      <c r="BV10" s="99">
        <v>15</v>
      </c>
      <c r="BW10" s="99">
        <v>8171.9999999999991</v>
      </c>
      <c r="BX10" s="99">
        <v>18</v>
      </c>
      <c r="BY10" s="99">
        <v>9806.4</v>
      </c>
      <c r="BZ10" s="99">
        <v>12</v>
      </c>
      <c r="CA10" s="99">
        <v>6537.5999999999995</v>
      </c>
      <c r="CB10" s="99">
        <v>20</v>
      </c>
      <c r="CC10" s="99">
        <v>10896</v>
      </c>
      <c r="CD10" s="99">
        <v>16</v>
      </c>
      <c r="CE10" s="99">
        <v>8716.7999999999993</v>
      </c>
      <c r="CF10" s="99">
        <v>17</v>
      </c>
      <c r="CG10" s="99">
        <v>9261.5999999999985</v>
      </c>
      <c r="CH10" s="99">
        <v>17</v>
      </c>
      <c r="CI10" s="99">
        <v>9261.5999999999985</v>
      </c>
      <c r="CJ10" s="99">
        <v>15.315613139776572</v>
      </c>
      <c r="CK10" s="99">
        <v>8343.9460385502753</v>
      </c>
      <c r="CL10" s="99">
        <v>11</v>
      </c>
      <c r="CM10" s="99">
        <v>5992.7999999999993</v>
      </c>
      <c r="CN10" s="99">
        <v>16</v>
      </c>
      <c r="CO10" s="99">
        <v>8716.7999999999993</v>
      </c>
      <c r="CP10" s="99">
        <v>10.982205797762981</v>
      </c>
      <c r="CQ10" s="99">
        <v>5983.105718621272</v>
      </c>
      <c r="CR10" s="99">
        <v>15.570236230383086</v>
      </c>
      <c r="CS10" s="99">
        <v>8482.6646983127048</v>
      </c>
      <c r="CT10" s="99">
        <v>13.529016236765793</v>
      </c>
      <c r="CU10" s="99">
        <v>7370.6080457900034</v>
      </c>
    </row>
    <row r="11" spans="1:99">
      <c r="C11" s="98" t="s">
        <v>177</v>
      </c>
      <c r="D11" s="99">
        <v>16</v>
      </c>
      <c r="E11" s="99">
        <v>8524.7999999999993</v>
      </c>
      <c r="F11" s="99">
        <v>13</v>
      </c>
      <c r="G11" s="99">
        <v>6926.4</v>
      </c>
      <c r="H11" s="99">
        <v>17</v>
      </c>
      <c r="I11" s="99">
        <v>9057.5999999999985</v>
      </c>
      <c r="J11" s="99">
        <v>14</v>
      </c>
      <c r="K11" s="99">
        <v>7459.1999999999989</v>
      </c>
      <c r="L11" s="99">
        <v>14</v>
      </c>
      <c r="M11" s="99">
        <v>7459.1999999999989</v>
      </c>
      <c r="N11" s="99">
        <v>11</v>
      </c>
      <c r="O11" s="99">
        <v>5860.7999999999993</v>
      </c>
      <c r="P11" s="99">
        <v>10</v>
      </c>
      <c r="Q11" s="99">
        <v>5328</v>
      </c>
      <c r="R11" s="99">
        <v>11</v>
      </c>
      <c r="S11" s="99">
        <v>5860.7999999999993</v>
      </c>
      <c r="T11" s="99">
        <v>14</v>
      </c>
      <c r="U11" s="99">
        <v>7459.1999999999989</v>
      </c>
      <c r="V11" s="99">
        <v>20</v>
      </c>
      <c r="W11" s="99">
        <v>10656</v>
      </c>
      <c r="X11" s="99">
        <v>14</v>
      </c>
      <c r="Y11" s="99">
        <v>7459.1999999999989</v>
      </c>
      <c r="Z11" s="99">
        <v>10</v>
      </c>
      <c r="AA11" s="99">
        <v>5328</v>
      </c>
      <c r="AB11" s="99">
        <v>18</v>
      </c>
      <c r="AC11" s="99">
        <v>9590.4</v>
      </c>
      <c r="AD11" s="99">
        <v>13</v>
      </c>
      <c r="AE11" s="99">
        <v>6926.4</v>
      </c>
      <c r="AF11" s="99">
        <v>14</v>
      </c>
      <c r="AG11" s="99">
        <v>7459.1999999999989</v>
      </c>
      <c r="AH11" s="99">
        <v>10</v>
      </c>
      <c r="AI11" s="99">
        <v>5328</v>
      </c>
      <c r="AJ11" s="99">
        <v>18</v>
      </c>
      <c r="AK11" s="99">
        <v>9590.4</v>
      </c>
      <c r="AL11" s="99">
        <v>18</v>
      </c>
      <c r="AM11" s="99">
        <v>9590.4</v>
      </c>
      <c r="AN11" s="99">
        <v>18</v>
      </c>
      <c r="AO11" s="99">
        <v>9590.4</v>
      </c>
      <c r="AP11" s="99">
        <v>11</v>
      </c>
      <c r="AQ11" s="99">
        <v>5860.7999999999993</v>
      </c>
      <c r="AR11" s="99">
        <v>10</v>
      </c>
      <c r="AS11" s="99">
        <v>5328</v>
      </c>
      <c r="AT11" s="99">
        <v>18</v>
      </c>
      <c r="AU11" s="99">
        <v>9590.4</v>
      </c>
      <c r="AV11" s="99">
        <v>16</v>
      </c>
      <c r="AW11" s="99">
        <v>8524.7999999999993</v>
      </c>
      <c r="AX11" s="99">
        <v>15</v>
      </c>
      <c r="AY11" s="99">
        <v>7991.9999999999991</v>
      </c>
      <c r="AZ11" s="99">
        <v>18</v>
      </c>
      <c r="BA11" s="99">
        <v>9590.4</v>
      </c>
      <c r="BB11" s="99">
        <v>17</v>
      </c>
      <c r="BC11" s="99">
        <v>9057.5999999999985</v>
      </c>
      <c r="BD11" s="99">
        <v>15</v>
      </c>
      <c r="BE11" s="99">
        <v>7991.9999999999991</v>
      </c>
      <c r="BF11" s="99">
        <v>14</v>
      </c>
      <c r="BG11" s="99">
        <v>7459.1999999999989</v>
      </c>
      <c r="BH11" s="99">
        <v>13</v>
      </c>
      <c r="BI11" s="99">
        <v>6926.4</v>
      </c>
      <c r="BJ11" s="99">
        <v>15</v>
      </c>
      <c r="BK11" s="99">
        <v>7991.9999999999991</v>
      </c>
      <c r="BL11" s="99">
        <v>14</v>
      </c>
      <c r="BM11" s="99">
        <v>7459.1999999999989</v>
      </c>
      <c r="BN11" s="99">
        <v>16</v>
      </c>
      <c r="BO11" s="99">
        <v>8524.7999999999993</v>
      </c>
      <c r="BP11" s="99">
        <v>15</v>
      </c>
      <c r="BQ11" s="99">
        <v>7991.9999999999991</v>
      </c>
      <c r="BR11" s="99">
        <v>15</v>
      </c>
      <c r="BS11" s="99">
        <v>7991.9999999999991</v>
      </c>
      <c r="BT11" s="99">
        <v>10</v>
      </c>
      <c r="BU11" s="99">
        <v>5328</v>
      </c>
      <c r="BV11" s="99">
        <v>16</v>
      </c>
      <c r="BW11" s="99">
        <v>8524.7999999999993</v>
      </c>
      <c r="BX11" s="99">
        <v>19</v>
      </c>
      <c r="BY11" s="99">
        <v>10123.199999999999</v>
      </c>
      <c r="BZ11" s="99">
        <v>13</v>
      </c>
      <c r="CA11" s="99">
        <v>6926.4</v>
      </c>
      <c r="CB11" s="99">
        <v>21</v>
      </c>
      <c r="CC11" s="99">
        <v>11188.8</v>
      </c>
      <c r="CD11" s="99">
        <v>17</v>
      </c>
      <c r="CE11" s="99">
        <v>9057.5999999999985</v>
      </c>
      <c r="CF11" s="99">
        <v>16</v>
      </c>
      <c r="CG11" s="99">
        <v>8524.7999999999993</v>
      </c>
      <c r="CH11" s="99">
        <v>16</v>
      </c>
      <c r="CI11" s="99">
        <v>8524.7999999999993</v>
      </c>
      <c r="CJ11" s="99">
        <v>14.464745743122318</v>
      </c>
      <c r="CK11" s="99">
        <v>7706.8165319355703</v>
      </c>
      <c r="CL11" s="99">
        <v>13</v>
      </c>
      <c r="CM11" s="99">
        <v>6926.4</v>
      </c>
      <c r="CN11" s="99">
        <v>16</v>
      </c>
      <c r="CO11" s="99">
        <v>8524.7999999999993</v>
      </c>
      <c r="CP11" s="99">
        <v>13.977352833516523</v>
      </c>
      <c r="CQ11" s="99">
        <v>7447.1335896976025</v>
      </c>
      <c r="CR11" s="99">
        <v>14.597096465984142</v>
      </c>
      <c r="CS11" s="99">
        <v>7777.3329970763507</v>
      </c>
      <c r="CT11" s="99">
        <v>12.627081820981406</v>
      </c>
      <c r="CU11" s="99">
        <v>6727.7091942188927</v>
      </c>
    </row>
    <row r="12" spans="1:99">
      <c r="C12" s="98" t="s">
        <v>178</v>
      </c>
      <c r="D12" s="99">
        <v>16</v>
      </c>
      <c r="E12" s="99">
        <v>9004.7999999999993</v>
      </c>
      <c r="F12" s="99">
        <v>13</v>
      </c>
      <c r="G12" s="99">
        <v>7316.4</v>
      </c>
      <c r="H12" s="99">
        <v>16</v>
      </c>
      <c r="I12" s="99">
        <v>9004.7999999999993</v>
      </c>
      <c r="J12" s="99">
        <v>13</v>
      </c>
      <c r="K12" s="99">
        <v>7316.4</v>
      </c>
      <c r="L12" s="99">
        <v>16</v>
      </c>
      <c r="M12" s="99">
        <v>9004.7999999999993</v>
      </c>
      <c r="N12" s="99">
        <v>12</v>
      </c>
      <c r="O12" s="99">
        <v>6753.5999999999995</v>
      </c>
      <c r="P12" s="99">
        <v>9</v>
      </c>
      <c r="Q12" s="99">
        <v>5065.2</v>
      </c>
      <c r="R12" s="99">
        <v>11</v>
      </c>
      <c r="S12" s="99">
        <v>6190.7999999999993</v>
      </c>
      <c r="T12" s="99">
        <v>13</v>
      </c>
      <c r="U12" s="99">
        <v>7316.4</v>
      </c>
      <c r="V12" s="99">
        <v>18</v>
      </c>
      <c r="W12" s="99">
        <v>10130.4</v>
      </c>
      <c r="X12" s="99">
        <v>13</v>
      </c>
      <c r="Y12" s="99">
        <v>7316.4</v>
      </c>
      <c r="Z12" s="99">
        <v>11</v>
      </c>
      <c r="AA12" s="99">
        <v>6190.7999999999993</v>
      </c>
      <c r="AB12" s="99">
        <v>19</v>
      </c>
      <c r="AC12" s="99">
        <v>10693.199999999999</v>
      </c>
      <c r="AD12" s="99">
        <v>11</v>
      </c>
      <c r="AE12" s="99">
        <v>6190.7999999999993</v>
      </c>
      <c r="AF12" s="99">
        <v>15</v>
      </c>
      <c r="AG12" s="99">
        <v>8442</v>
      </c>
      <c r="AH12" s="99">
        <v>11</v>
      </c>
      <c r="AI12" s="99">
        <v>6190.7999999999993</v>
      </c>
      <c r="AJ12" s="99">
        <v>19</v>
      </c>
      <c r="AK12" s="99">
        <v>10693.199999999999</v>
      </c>
      <c r="AL12" s="99">
        <v>18</v>
      </c>
      <c r="AM12" s="99">
        <v>10130.4</v>
      </c>
      <c r="AN12" s="99">
        <v>18</v>
      </c>
      <c r="AO12" s="99">
        <v>10130.4</v>
      </c>
      <c r="AP12" s="99">
        <v>12</v>
      </c>
      <c r="AQ12" s="99">
        <v>6753.5999999999995</v>
      </c>
      <c r="AR12" s="99">
        <v>10</v>
      </c>
      <c r="AS12" s="99">
        <v>5628</v>
      </c>
      <c r="AT12" s="99">
        <v>19</v>
      </c>
      <c r="AU12" s="99">
        <v>10693.199999999999</v>
      </c>
      <c r="AV12" s="99">
        <v>16</v>
      </c>
      <c r="AW12" s="99">
        <v>9004.7999999999993</v>
      </c>
      <c r="AX12" s="99">
        <v>14</v>
      </c>
      <c r="AY12" s="99">
        <v>7879.1999999999989</v>
      </c>
      <c r="AZ12" s="99">
        <v>17</v>
      </c>
      <c r="BA12" s="99">
        <v>9567.5999999999985</v>
      </c>
      <c r="BB12" s="99">
        <v>17</v>
      </c>
      <c r="BC12" s="99">
        <v>9567.5999999999985</v>
      </c>
      <c r="BD12" s="99">
        <v>15</v>
      </c>
      <c r="BE12" s="99">
        <v>8442</v>
      </c>
      <c r="BF12" s="99">
        <v>13</v>
      </c>
      <c r="BG12" s="99">
        <v>7316.4</v>
      </c>
      <c r="BH12" s="99">
        <v>13</v>
      </c>
      <c r="BI12" s="99">
        <v>7316.4</v>
      </c>
      <c r="BJ12" s="99">
        <v>16</v>
      </c>
      <c r="BK12" s="99">
        <v>9004.7999999999993</v>
      </c>
      <c r="BL12" s="99">
        <v>13</v>
      </c>
      <c r="BM12" s="99">
        <v>7316.4</v>
      </c>
      <c r="BN12" s="99">
        <v>16</v>
      </c>
      <c r="BO12" s="99">
        <v>9004.7999999999993</v>
      </c>
      <c r="BP12" s="99">
        <v>15</v>
      </c>
      <c r="BQ12" s="99">
        <v>8442</v>
      </c>
      <c r="BR12" s="99">
        <v>15</v>
      </c>
      <c r="BS12" s="99">
        <v>8442</v>
      </c>
      <c r="BT12" s="99">
        <v>10</v>
      </c>
      <c r="BU12" s="99">
        <v>5628</v>
      </c>
      <c r="BV12" s="99">
        <v>17</v>
      </c>
      <c r="BW12" s="99">
        <v>9567.5999999999985</v>
      </c>
      <c r="BX12" s="99">
        <v>19</v>
      </c>
      <c r="BY12" s="99">
        <v>10693.199999999999</v>
      </c>
      <c r="BZ12" s="99">
        <v>13</v>
      </c>
      <c r="CA12" s="99">
        <v>7316.4</v>
      </c>
      <c r="CB12" s="99">
        <v>22</v>
      </c>
      <c r="CC12" s="99">
        <v>12381.599999999999</v>
      </c>
      <c r="CD12" s="99">
        <v>17</v>
      </c>
      <c r="CE12" s="99">
        <v>9567.5999999999985</v>
      </c>
      <c r="CF12" s="99">
        <v>15</v>
      </c>
      <c r="CG12" s="99">
        <v>8442</v>
      </c>
      <c r="CH12" s="99">
        <v>18</v>
      </c>
      <c r="CI12" s="99">
        <v>10130.4</v>
      </c>
      <c r="CJ12" s="99">
        <v>14.464745743122318</v>
      </c>
      <c r="CK12" s="99">
        <v>8140.7589042292402</v>
      </c>
      <c r="CL12" s="99">
        <v>11</v>
      </c>
      <c r="CM12" s="99">
        <v>6190.7999999999993</v>
      </c>
      <c r="CN12" s="99">
        <v>16</v>
      </c>
      <c r="CO12" s="99">
        <v>9004.7999999999993</v>
      </c>
      <c r="CP12" s="99">
        <v>11.980588143014163</v>
      </c>
      <c r="CQ12" s="99">
        <v>6742.6750068883703</v>
      </c>
      <c r="CR12" s="99">
        <v>15.570236230383086</v>
      </c>
      <c r="CS12" s="99">
        <v>8762.9289504595999</v>
      </c>
      <c r="CT12" s="99">
        <v>13.529016236765793</v>
      </c>
      <c r="CU12" s="99">
        <v>7614.1303380517875</v>
      </c>
    </row>
    <row r="13" spans="1:99">
      <c r="C13" s="98" t="s">
        <v>179</v>
      </c>
      <c r="D13" s="99">
        <v>19</v>
      </c>
      <c r="E13" s="99">
        <v>1618.8</v>
      </c>
      <c r="F13" s="99">
        <v>14</v>
      </c>
      <c r="G13" s="99">
        <v>1192.8</v>
      </c>
      <c r="H13" s="99">
        <v>19</v>
      </c>
      <c r="I13" s="99">
        <v>1618.8</v>
      </c>
      <c r="J13" s="99">
        <v>15</v>
      </c>
      <c r="K13" s="99">
        <v>1278</v>
      </c>
      <c r="L13" s="99">
        <v>15</v>
      </c>
      <c r="M13" s="99">
        <v>1278</v>
      </c>
      <c r="N13" s="99">
        <v>12</v>
      </c>
      <c r="O13" s="99">
        <v>1022.4000000000001</v>
      </c>
      <c r="P13" s="99">
        <v>10</v>
      </c>
      <c r="Q13" s="99">
        <v>852</v>
      </c>
      <c r="R13" s="99">
        <v>11</v>
      </c>
      <c r="S13" s="99">
        <v>937.2</v>
      </c>
      <c r="T13" s="99">
        <v>15</v>
      </c>
      <c r="U13" s="99">
        <v>1278</v>
      </c>
      <c r="V13" s="99">
        <v>18</v>
      </c>
      <c r="W13" s="99">
        <v>1533.6000000000001</v>
      </c>
      <c r="X13" s="99">
        <v>14</v>
      </c>
      <c r="Y13" s="99">
        <v>1192.8</v>
      </c>
      <c r="Z13" s="99">
        <v>11</v>
      </c>
      <c r="AA13" s="99">
        <v>937.2</v>
      </c>
      <c r="AB13" s="99">
        <v>20</v>
      </c>
      <c r="AC13" s="99">
        <v>1704</v>
      </c>
      <c r="AD13" s="99">
        <v>13</v>
      </c>
      <c r="AE13" s="99">
        <v>1107.6000000000001</v>
      </c>
      <c r="AF13" s="99">
        <v>16</v>
      </c>
      <c r="AG13" s="99">
        <v>1363.2</v>
      </c>
      <c r="AH13" s="99">
        <v>12</v>
      </c>
      <c r="AI13" s="99">
        <v>1022.4000000000001</v>
      </c>
      <c r="AJ13" s="99">
        <v>18</v>
      </c>
      <c r="AK13" s="99">
        <v>1533.6000000000001</v>
      </c>
      <c r="AL13" s="99">
        <v>18</v>
      </c>
      <c r="AM13" s="99">
        <v>1533.6000000000001</v>
      </c>
      <c r="AN13" s="99">
        <v>19</v>
      </c>
      <c r="AO13" s="99">
        <v>1618.8</v>
      </c>
      <c r="AP13" s="99">
        <v>13</v>
      </c>
      <c r="AQ13" s="99">
        <v>1107.6000000000001</v>
      </c>
      <c r="AR13" s="99">
        <v>11</v>
      </c>
      <c r="AS13" s="99">
        <v>937.2</v>
      </c>
      <c r="AT13" s="99">
        <v>20</v>
      </c>
      <c r="AU13" s="99">
        <v>1704</v>
      </c>
      <c r="AV13" s="99">
        <v>17</v>
      </c>
      <c r="AW13" s="99">
        <v>1448.4</v>
      </c>
      <c r="AX13" s="99">
        <v>15</v>
      </c>
      <c r="AY13" s="99">
        <v>1278</v>
      </c>
      <c r="AZ13" s="99">
        <v>18</v>
      </c>
      <c r="BA13" s="99">
        <v>1533.6000000000001</v>
      </c>
      <c r="BB13" s="99">
        <v>18</v>
      </c>
      <c r="BC13" s="99">
        <v>1533.6000000000001</v>
      </c>
      <c r="BD13" s="99">
        <v>16</v>
      </c>
      <c r="BE13" s="99">
        <v>1363.2</v>
      </c>
      <c r="BF13" s="99">
        <v>14</v>
      </c>
      <c r="BG13" s="99">
        <v>1192.8</v>
      </c>
      <c r="BH13" s="99">
        <v>15</v>
      </c>
      <c r="BI13" s="99">
        <v>1278</v>
      </c>
      <c r="BJ13" s="99">
        <v>14</v>
      </c>
      <c r="BK13" s="99">
        <v>1192.8</v>
      </c>
      <c r="BL13" s="99">
        <v>13</v>
      </c>
      <c r="BM13" s="99">
        <v>1107.6000000000001</v>
      </c>
      <c r="BN13" s="99">
        <v>17</v>
      </c>
      <c r="BO13" s="99">
        <v>1448.4</v>
      </c>
      <c r="BP13" s="99">
        <v>16</v>
      </c>
      <c r="BQ13" s="99">
        <v>1363.2</v>
      </c>
      <c r="BR13" s="99">
        <v>17</v>
      </c>
      <c r="BS13" s="99">
        <v>1448.4</v>
      </c>
      <c r="BT13" s="99">
        <v>11</v>
      </c>
      <c r="BU13" s="99">
        <v>937.2</v>
      </c>
      <c r="BV13" s="99">
        <v>16</v>
      </c>
      <c r="BW13" s="99">
        <v>1363.2</v>
      </c>
      <c r="BX13" s="99">
        <v>18</v>
      </c>
      <c r="BY13" s="99">
        <v>1533.6000000000001</v>
      </c>
      <c r="BZ13" s="99">
        <v>12</v>
      </c>
      <c r="CA13" s="99">
        <v>1022.4000000000001</v>
      </c>
      <c r="CB13" s="99">
        <v>22</v>
      </c>
      <c r="CC13" s="99">
        <v>1874.4</v>
      </c>
      <c r="CD13" s="99">
        <v>18</v>
      </c>
      <c r="CE13" s="99">
        <v>1533.6000000000001</v>
      </c>
      <c r="CF13" s="99">
        <v>16</v>
      </c>
      <c r="CG13" s="99">
        <v>1363.2</v>
      </c>
      <c r="CH13" s="99">
        <v>18</v>
      </c>
      <c r="CI13" s="99">
        <v>1533.6000000000001</v>
      </c>
      <c r="CJ13" s="99">
        <v>15.315613139776572</v>
      </c>
      <c r="CK13" s="99">
        <v>1304.890239508964</v>
      </c>
      <c r="CL13" s="99">
        <v>14</v>
      </c>
      <c r="CM13" s="99">
        <v>1192.8</v>
      </c>
      <c r="CN13" s="99">
        <v>17</v>
      </c>
      <c r="CO13" s="99">
        <v>1448.4</v>
      </c>
      <c r="CP13" s="99">
        <v>13.977352833516523</v>
      </c>
      <c r="CQ13" s="99">
        <v>1190.8704614156079</v>
      </c>
      <c r="CR13" s="99">
        <v>17.516515759180972</v>
      </c>
      <c r="CS13" s="99">
        <v>1492.4071426822188</v>
      </c>
      <c r="CT13" s="99">
        <v>15.332885068334564</v>
      </c>
      <c r="CU13" s="99">
        <v>1306.361807822105</v>
      </c>
    </row>
    <row r="14" spans="1:99">
      <c r="C14" s="98" t="s">
        <v>180</v>
      </c>
      <c r="D14" s="99">
        <v>19</v>
      </c>
      <c r="E14" s="99">
        <v>9279.6</v>
      </c>
      <c r="F14" s="99">
        <v>12</v>
      </c>
      <c r="G14" s="99">
        <v>5860.7999999999993</v>
      </c>
      <c r="H14" s="99">
        <v>18</v>
      </c>
      <c r="I14" s="99">
        <v>8791.1999999999989</v>
      </c>
      <c r="J14" s="99">
        <v>13</v>
      </c>
      <c r="K14" s="99">
        <v>6349.2</v>
      </c>
      <c r="L14" s="99">
        <v>14</v>
      </c>
      <c r="M14" s="99">
        <v>6837.5999999999995</v>
      </c>
      <c r="N14" s="99">
        <v>12</v>
      </c>
      <c r="O14" s="99">
        <v>5860.7999999999993</v>
      </c>
      <c r="P14" s="99">
        <v>10</v>
      </c>
      <c r="Q14" s="99">
        <v>4884</v>
      </c>
      <c r="R14" s="99">
        <v>12</v>
      </c>
      <c r="S14" s="99">
        <v>5860.7999999999993</v>
      </c>
      <c r="T14" s="99">
        <v>13</v>
      </c>
      <c r="U14" s="99">
        <v>6349.2</v>
      </c>
      <c r="V14" s="99">
        <v>17</v>
      </c>
      <c r="W14" s="99">
        <v>8302.7999999999993</v>
      </c>
      <c r="X14" s="99">
        <v>15</v>
      </c>
      <c r="Y14" s="99">
        <v>7326</v>
      </c>
      <c r="Z14" s="99">
        <v>11</v>
      </c>
      <c r="AA14" s="99">
        <v>5372.4</v>
      </c>
      <c r="AB14" s="99">
        <v>19</v>
      </c>
      <c r="AC14" s="99">
        <v>9279.6</v>
      </c>
      <c r="AD14" s="99">
        <v>12</v>
      </c>
      <c r="AE14" s="99">
        <v>5860.7999999999993</v>
      </c>
      <c r="AF14" s="99">
        <v>14</v>
      </c>
      <c r="AG14" s="99">
        <v>6837.5999999999995</v>
      </c>
      <c r="AH14" s="99">
        <v>10</v>
      </c>
      <c r="AI14" s="99">
        <v>4884</v>
      </c>
      <c r="AJ14" s="99">
        <v>16</v>
      </c>
      <c r="AK14" s="99">
        <v>7814.4</v>
      </c>
      <c r="AL14" s="99">
        <v>20</v>
      </c>
      <c r="AM14" s="99">
        <v>9768</v>
      </c>
      <c r="AN14" s="99">
        <v>16</v>
      </c>
      <c r="AO14" s="99">
        <v>7814.4</v>
      </c>
      <c r="AP14" s="99">
        <v>13</v>
      </c>
      <c r="AQ14" s="99">
        <v>6349.2</v>
      </c>
      <c r="AR14" s="99">
        <v>10</v>
      </c>
      <c r="AS14" s="99">
        <v>4884</v>
      </c>
      <c r="AT14" s="99">
        <v>19</v>
      </c>
      <c r="AU14" s="99">
        <v>9279.6</v>
      </c>
      <c r="AV14" s="99">
        <v>15</v>
      </c>
      <c r="AW14" s="99">
        <v>7326</v>
      </c>
      <c r="AX14" s="99">
        <v>14</v>
      </c>
      <c r="AY14" s="99">
        <v>6837.5999999999995</v>
      </c>
      <c r="AZ14" s="99">
        <v>16</v>
      </c>
      <c r="BA14" s="99">
        <v>7814.4</v>
      </c>
      <c r="BB14" s="99">
        <v>17</v>
      </c>
      <c r="BC14" s="99">
        <v>8302.7999999999993</v>
      </c>
      <c r="BD14" s="99">
        <v>16</v>
      </c>
      <c r="BE14" s="99">
        <v>7814.4</v>
      </c>
      <c r="BF14" s="99">
        <v>14</v>
      </c>
      <c r="BG14" s="99">
        <v>6837.5999999999995</v>
      </c>
      <c r="BH14" s="99">
        <v>14</v>
      </c>
      <c r="BI14" s="99">
        <v>6837.5999999999995</v>
      </c>
      <c r="BJ14" s="99">
        <v>15</v>
      </c>
      <c r="BK14" s="99">
        <v>7326</v>
      </c>
      <c r="BL14" s="99">
        <v>14</v>
      </c>
      <c r="BM14" s="99">
        <v>6837.5999999999995</v>
      </c>
      <c r="BN14" s="99">
        <v>14</v>
      </c>
      <c r="BO14" s="99">
        <v>6837.5999999999995</v>
      </c>
      <c r="BP14" s="99">
        <v>16</v>
      </c>
      <c r="BQ14" s="99">
        <v>7814.4</v>
      </c>
      <c r="BR14" s="99">
        <v>17</v>
      </c>
      <c r="BS14" s="99">
        <v>8302.7999999999993</v>
      </c>
      <c r="BT14" s="99">
        <v>11</v>
      </c>
      <c r="BU14" s="99">
        <v>5372.4</v>
      </c>
      <c r="BV14" s="99">
        <v>15</v>
      </c>
      <c r="BW14" s="99">
        <v>7326</v>
      </c>
      <c r="BX14" s="99">
        <v>17</v>
      </c>
      <c r="BY14" s="99">
        <v>8302.7999999999993</v>
      </c>
      <c r="BZ14" s="99">
        <v>13</v>
      </c>
      <c r="CA14" s="99">
        <v>6349.2</v>
      </c>
      <c r="CB14" s="99">
        <v>21</v>
      </c>
      <c r="CC14" s="99">
        <v>10256.4</v>
      </c>
      <c r="CD14" s="99">
        <v>16</v>
      </c>
      <c r="CE14" s="99">
        <v>7814.4</v>
      </c>
      <c r="CF14" s="99">
        <v>16</v>
      </c>
      <c r="CG14" s="99">
        <v>7814.4</v>
      </c>
      <c r="CH14" s="99">
        <v>19</v>
      </c>
      <c r="CI14" s="99">
        <v>9279.6</v>
      </c>
      <c r="CJ14" s="99">
        <v>14.464745743122318</v>
      </c>
      <c r="CK14" s="99">
        <v>7064.5818209409399</v>
      </c>
      <c r="CL14" s="99">
        <v>13</v>
      </c>
      <c r="CM14" s="99">
        <v>6349.2</v>
      </c>
      <c r="CN14" s="99">
        <v>14</v>
      </c>
      <c r="CO14" s="99">
        <v>6837.5999999999995</v>
      </c>
      <c r="CP14" s="99">
        <v>13.977352833516523</v>
      </c>
      <c r="CQ14" s="99">
        <v>6826.5391238894699</v>
      </c>
      <c r="CR14" s="99">
        <v>16.543375994782028</v>
      </c>
      <c r="CS14" s="99">
        <v>8079.7848358515421</v>
      </c>
      <c r="CT14" s="99">
        <v>12.627081820981406</v>
      </c>
      <c r="CU14" s="99">
        <v>6167.0667613673186</v>
      </c>
    </row>
    <row r="15" spans="1:99">
      <c r="C15" s="98" t="s">
        <v>181</v>
      </c>
      <c r="D15" s="99">
        <v>19</v>
      </c>
      <c r="E15" s="99">
        <v>14500.8</v>
      </c>
      <c r="F15" s="99">
        <v>12</v>
      </c>
      <c r="G15" s="99">
        <v>9158.4</v>
      </c>
      <c r="H15" s="99">
        <v>15</v>
      </c>
      <c r="I15" s="99">
        <v>11447.999999999998</v>
      </c>
      <c r="J15" s="99">
        <v>13</v>
      </c>
      <c r="K15" s="99">
        <v>9921.5999999999985</v>
      </c>
      <c r="L15" s="99">
        <v>16</v>
      </c>
      <c r="M15" s="99">
        <v>12211.199999999999</v>
      </c>
      <c r="N15" s="99">
        <v>11</v>
      </c>
      <c r="O15" s="99">
        <v>8395.1999999999989</v>
      </c>
      <c r="P15" s="99">
        <v>10</v>
      </c>
      <c r="Q15" s="99">
        <v>7631.9999999999991</v>
      </c>
      <c r="R15" s="99">
        <v>11</v>
      </c>
      <c r="S15" s="99">
        <v>8395.1999999999989</v>
      </c>
      <c r="T15" s="99">
        <v>13</v>
      </c>
      <c r="U15" s="99">
        <v>9921.5999999999985</v>
      </c>
      <c r="V15" s="99">
        <v>19</v>
      </c>
      <c r="W15" s="99">
        <v>14500.8</v>
      </c>
      <c r="X15" s="99">
        <v>14</v>
      </c>
      <c r="Y15" s="99">
        <v>10684.8</v>
      </c>
      <c r="Z15" s="99">
        <v>11</v>
      </c>
      <c r="AA15" s="99">
        <v>8395.1999999999989</v>
      </c>
      <c r="AB15" s="99">
        <v>17</v>
      </c>
      <c r="AC15" s="99">
        <v>12974.4</v>
      </c>
      <c r="AD15" s="99">
        <v>11</v>
      </c>
      <c r="AE15" s="99">
        <v>8395.1999999999989</v>
      </c>
      <c r="AF15" s="99">
        <v>13</v>
      </c>
      <c r="AG15" s="99">
        <v>9921.5999999999985</v>
      </c>
      <c r="AH15" s="99">
        <v>11</v>
      </c>
      <c r="AI15" s="99">
        <v>8395.1999999999989</v>
      </c>
      <c r="AJ15" s="99">
        <v>16</v>
      </c>
      <c r="AK15" s="99">
        <v>12211.199999999999</v>
      </c>
      <c r="AL15" s="99">
        <v>19</v>
      </c>
      <c r="AM15" s="99">
        <v>14500.8</v>
      </c>
      <c r="AN15" s="99">
        <v>17</v>
      </c>
      <c r="AO15" s="99">
        <v>12974.4</v>
      </c>
      <c r="AP15" s="99">
        <v>12</v>
      </c>
      <c r="AQ15" s="99">
        <v>9158.4</v>
      </c>
      <c r="AR15" s="99">
        <v>11</v>
      </c>
      <c r="AS15" s="99">
        <v>8395.1999999999989</v>
      </c>
      <c r="AT15" s="99">
        <v>16</v>
      </c>
      <c r="AU15" s="99">
        <v>12211.199999999999</v>
      </c>
      <c r="AV15" s="99">
        <v>15</v>
      </c>
      <c r="AW15" s="99">
        <v>11447.999999999998</v>
      </c>
      <c r="AX15" s="99">
        <v>14</v>
      </c>
      <c r="AY15" s="99">
        <v>10684.8</v>
      </c>
      <c r="AZ15" s="99">
        <v>16</v>
      </c>
      <c r="BA15" s="99">
        <v>12211.199999999999</v>
      </c>
      <c r="BB15" s="99">
        <v>19</v>
      </c>
      <c r="BC15" s="99">
        <v>14500.8</v>
      </c>
      <c r="BD15" s="99">
        <v>16</v>
      </c>
      <c r="BE15" s="99">
        <v>12211.199999999999</v>
      </c>
      <c r="BF15" s="99">
        <v>13</v>
      </c>
      <c r="BG15" s="99">
        <v>9921.5999999999985</v>
      </c>
      <c r="BH15" s="99">
        <v>15</v>
      </c>
      <c r="BI15" s="99">
        <v>11447.999999999998</v>
      </c>
      <c r="BJ15" s="99">
        <v>15</v>
      </c>
      <c r="BK15" s="99">
        <v>11447.999999999998</v>
      </c>
      <c r="BL15" s="99">
        <v>13</v>
      </c>
      <c r="BM15" s="99">
        <v>9921.5999999999985</v>
      </c>
      <c r="BN15" s="99">
        <v>14</v>
      </c>
      <c r="BO15" s="99">
        <v>10684.8</v>
      </c>
      <c r="BP15" s="99">
        <v>15</v>
      </c>
      <c r="BQ15" s="99">
        <v>11447.999999999998</v>
      </c>
      <c r="BR15" s="99">
        <v>14</v>
      </c>
      <c r="BS15" s="99">
        <v>10684.8</v>
      </c>
      <c r="BT15" s="99">
        <v>11</v>
      </c>
      <c r="BU15" s="99">
        <v>8395.1999999999989</v>
      </c>
      <c r="BV15" s="99">
        <v>17</v>
      </c>
      <c r="BW15" s="99">
        <v>12974.4</v>
      </c>
      <c r="BX15" s="99">
        <v>19</v>
      </c>
      <c r="BY15" s="99">
        <v>14500.8</v>
      </c>
      <c r="BZ15" s="99">
        <v>13</v>
      </c>
      <c r="CA15" s="99">
        <v>9921.5999999999985</v>
      </c>
      <c r="CB15" s="99">
        <v>22</v>
      </c>
      <c r="CC15" s="99">
        <v>16790.399999999998</v>
      </c>
      <c r="CD15" s="99">
        <v>16</v>
      </c>
      <c r="CE15" s="99">
        <v>12211.199999999999</v>
      </c>
      <c r="CF15" s="99">
        <v>15</v>
      </c>
      <c r="CG15" s="99">
        <v>11447.999999999998</v>
      </c>
      <c r="CH15" s="99">
        <v>18</v>
      </c>
      <c r="CI15" s="99">
        <v>13737.599999999999</v>
      </c>
      <c r="CJ15" s="99">
        <v>16.166480536430825</v>
      </c>
      <c r="CK15" s="99">
        <v>12338.257945404004</v>
      </c>
      <c r="CL15" s="99">
        <v>12</v>
      </c>
      <c r="CM15" s="99">
        <v>9158.4</v>
      </c>
      <c r="CN15" s="99">
        <v>16</v>
      </c>
      <c r="CO15" s="99">
        <v>12211.199999999999</v>
      </c>
      <c r="CP15" s="99">
        <v>12.978970488265341</v>
      </c>
      <c r="CQ15" s="99">
        <v>9905.5502766441077</v>
      </c>
      <c r="CR15" s="99">
        <v>15.570236230383086</v>
      </c>
      <c r="CS15" s="99">
        <v>11883.204291028371</v>
      </c>
      <c r="CT15" s="99">
        <v>12.627081820981406</v>
      </c>
      <c r="CU15" s="99">
        <v>9636.9888457730085</v>
      </c>
    </row>
    <row r="16" spans="1:99">
      <c r="C16" s="98" t="s">
        <v>182</v>
      </c>
      <c r="D16" s="99">
        <v>17</v>
      </c>
      <c r="E16" s="99">
        <v>5793.6</v>
      </c>
      <c r="F16" s="99">
        <v>12</v>
      </c>
      <c r="G16" s="99">
        <v>4089.6000000000004</v>
      </c>
      <c r="H16" s="99">
        <v>16</v>
      </c>
      <c r="I16" s="99">
        <v>5452.8</v>
      </c>
      <c r="J16" s="99">
        <v>14</v>
      </c>
      <c r="K16" s="99">
        <v>4771.2</v>
      </c>
      <c r="L16" s="99">
        <v>15</v>
      </c>
      <c r="M16" s="99">
        <v>5112</v>
      </c>
      <c r="N16" s="99">
        <v>11</v>
      </c>
      <c r="O16" s="99">
        <v>3748.8</v>
      </c>
      <c r="P16" s="99">
        <v>11</v>
      </c>
      <c r="Q16" s="99">
        <v>3748.8</v>
      </c>
      <c r="R16" s="99">
        <v>10</v>
      </c>
      <c r="S16" s="99">
        <v>3408</v>
      </c>
      <c r="T16" s="99">
        <v>13</v>
      </c>
      <c r="U16" s="99">
        <v>4430.4000000000005</v>
      </c>
      <c r="V16" s="99">
        <v>19</v>
      </c>
      <c r="W16" s="99">
        <v>6475.2</v>
      </c>
      <c r="X16" s="99">
        <v>13</v>
      </c>
      <c r="Y16" s="99">
        <v>4430.4000000000005</v>
      </c>
      <c r="Z16" s="99">
        <v>11</v>
      </c>
      <c r="AA16" s="99">
        <v>3748.8</v>
      </c>
      <c r="AB16" s="99">
        <v>18</v>
      </c>
      <c r="AC16" s="99">
        <v>6134.4000000000005</v>
      </c>
      <c r="AD16" s="99">
        <v>14</v>
      </c>
      <c r="AE16" s="99">
        <v>4771.2</v>
      </c>
      <c r="AF16" s="99">
        <v>15</v>
      </c>
      <c r="AG16" s="99">
        <v>5112</v>
      </c>
      <c r="AH16" s="99">
        <v>12</v>
      </c>
      <c r="AI16" s="99">
        <v>4089.6000000000004</v>
      </c>
      <c r="AJ16" s="99">
        <v>17</v>
      </c>
      <c r="AK16" s="99">
        <v>5793.6</v>
      </c>
      <c r="AL16" s="99">
        <v>20</v>
      </c>
      <c r="AM16" s="99">
        <v>6816</v>
      </c>
      <c r="AN16" s="99">
        <v>18</v>
      </c>
      <c r="AO16" s="99">
        <v>6134.4000000000005</v>
      </c>
      <c r="AP16" s="99">
        <v>12</v>
      </c>
      <c r="AQ16" s="99">
        <v>4089.6000000000004</v>
      </c>
      <c r="AR16" s="99">
        <v>10</v>
      </c>
      <c r="AS16" s="99">
        <v>3408</v>
      </c>
      <c r="AT16" s="99">
        <v>16</v>
      </c>
      <c r="AU16" s="99">
        <v>5452.8</v>
      </c>
      <c r="AV16" s="99">
        <v>19</v>
      </c>
      <c r="AW16" s="99">
        <v>6475.2</v>
      </c>
      <c r="AX16" s="99">
        <v>13</v>
      </c>
      <c r="AY16" s="99">
        <v>4430.4000000000005</v>
      </c>
      <c r="AZ16" s="99">
        <v>16</v>
      </c>
      <c r="BA16" s="99">
        <v>5452.8</v>
      </c>
      <c r="BB16" s="99">
        <v>19</v>
      </c>
      <c r="BC16" s="99">
        <v>6475.2</v>
      </c>
      <c r="BD16" s="99">
        <v>17</v>
      </c>
      <c r="BE16" s="99">
        <v>5793.6</v>
      </c>
      <c r="BF16" s="99">
        <v>12</v>
      </c>
      <c r="BG16" s="99">
        <v>4089.6000000000004</v>
      </c>
      <c r="BH16" s="99">
        <v>14</v>
      </c>
      <c r="BI16" s="99">
        <v>4771.2</v>
      </c>
      <c r="BJ16" s="99">
        <v>14</v>
      </c>
      <c r="BK16" s="99">
        <v>4771.2</v>
      </c>
      <c r="BL16" s="99">
        <v>13</v>
      </c>
      <c r="BM16" s="99">
        <v>4430.4000000000005</v>
      </c>
      <c r="BN16" s="99">
        <v>14</v>
      </c>
      <c r="BO16" s="99">
        <v>4771.2</v>
      </c>
      <c r="BP16" s="99">
        <v>16</v>
      </c>
      <c r="BQ16" s="99">
        <v>5452.8</v>
      </c>
      <c r="BR16" s="99">
        <v>17</v>
      </c>
      <c r="BS16" s="99">
        <v>5793.6</v>
      </c>
      <c r="BT16" s="99">
        <v>10</v>
      </c>
      <c r="BU16" s="99">
        <v>3408</v>
      </c>
      <c r="BV16" s="99">
        <v>15</v>
      </c>
      <c r="BW16" s="99">
        <v>5112</v>
      </c>
      <c r="BX16" s="99">
        <v>18</v>
      </c>
      <c r="BY16" s="99">
        <v>6134.4000000000005</v>
      </c>
      <c r="BZ16" s="99">
        <v>12</v>
      </c>
      <c r="CA16" s="99">
        <v>4089.6000000000004</v>
      </c>
      <c r="CB16" s="99">
        <v>21</v>
      </c>
      <c r="CC16" s="99">
        <v>7156.8</v>
      </c>
      <c r="CD16" s="99">
        <v>18</v>
      </c>
      <c r="CE16" s="99">
        <v>6134.4000000000005</v>
      </c>
      <c r="CF16" s="99">
        <v>17</v>
      </c>
      <c r="CG16" s="99">
        <v>5793.6</v>
      </c>
      <c r="CH16" s="99">
        <v>18</v>
      </c>
      <c r="CI16" s="99">
        <v>6134.4000000000005</v>
      </c>
      <c r="CJ16" s="99">
        <v>15.315613139776572</v>
      </c>
      <c r="CK16" s="99">
        <v>5219.5609580358559</v>
      </c>
      <c r="CL16" s="99">
        <v>13</v>
      </c>
      <c r="CM16" s="99">
        <v>4430.4000000000005</v>
      </c>
      <c r="CN16" s="99">
        <v>15</v>
      </c>
      <c r="CO16" s="99">
        <v>5112</v>
      </c>
      <c r="CP16" s="99">
        <v>13.977352833516523</v>
      </c>
      <c r="CQ16" s="99">
        <v>4763.4818456624316</v>
      </c>
      <c r="CR16" s="99">
        <v>17.516515759180972</v>
      </c>
      <c r="CS16" s="99">
        <v>5969.6285707288753</v>
      </c>
      <c r="CT16" s="99">
        <v>14.430950652550177</v>
      </c>
      <c r="CU16" s="99">
        <v>4918.0679823891005</v>
      </c>
    </row>
    <row r="17" spans="2:99">
      <c r="C17" s="98" t="s">
        <v>183</v>
      </c>
      <c r="D17" s="99">
        <v>16</v>
      </c>
      <c r="E17" s="99">
        <v>6758.4</v>
      </c>
      <c r="F17" s="99">
        <v>12</v>
      </c>
      <c r="G17" s="99">
        <v>5068.7999999999993</v>
      </c>
      <c r="H17" s="99">
        <v>19</v>
      </c>
      <c r="I17" s="99">
        <v>8025.5999999999995</v>
      </c>
      <c r="J17" s="99">
        <v>14</v>
      </c>
      <c r="K17" s="99">
        <v>5913.5999999999995</v>
      </c>
      <c r="L17" s="99">
        <v>17</v>
      </c>
      <c r="M17" s="99">
        <v>7180.7999999999993</v>
      </c>
      <c r="N17" s="99">
        <v>13</v>
      </c>
      <c r="O17" s="99">
        <v>5491.2</v>
      </c>
      <c r="P17" s="99">
        <v>9</v>
      </c>
      <c r="Q17" s="99">
        <v>3801.6</v>
      </c>
      <c r="R17" s="99">
        <v>11</v>
      </c>
      <c r="S17" s="99">
        <v>4646.3999999999996</v>
      </c>
      <c r="T17" s="99">
        <v>15</v>
      </c>
      <c r="U17" s="99">
        <v>6336</v>
      </c>
      <c r="V17" s="99">
        <v>17</v>
      </c>
      <c r="W17" s="99">
        <v>7180.7999999999993</v>
      </c>
      <c r="X17" s="99">
        <v>15</v>
      </c>
      <c r="Y17" s="99">
        <v>6336</v>
      </c>
      <c r="Z17" s="99">
        <v>10</v>
      </c>
      <c r="AA17" s="99">
        <v>4224</v>
      </c>
      <c r="AB17" s="99">
        <v>17</v>
      </c>
      <c r="AC17" s="99">
        <v>7180.7999999999993</v>
      </c>
      <c r="AD17" s="99">
        <v>12</v>
      </c>
      <c r="AE17" s="99">
        <v>5068.7999999999993</v>
      </c>
      <c r="AF17" s="99">
        <v>13</v>
      </c>
      <c r="AG17" s="99">
        <v>5491.2</v>
      </c>
      <c r="AH17" s="99">
        <v>11</v>
      </c>
      <c r="AI17" s="99">
        <v>4646.3999999999996</v>
      </c>
      <c r="AJ17" s="99">
        <v>16</v>
      </c>
      <c r="AK17" s="99">
        <v>6758.4</v>
      </c>
      <c r="AL17" s="99">
        <v>20</v>
      </c>
      <c r="AM17" s="99">
        <v>8448</v>
      </c>
      <c r="AN17" s="99">
        <v>19</v>
      </c>
      <c r="AO17" s="99">
        <v>8025.5999999999995</v>
      </c>
      <c r="AP17" s="99">
        <v>13</v>
      </c>
      <c r="AQ17" s="99">
        <v>5491.2</v>
      </c>
      <c r="AR17" s="99">
        <v>10</v>
      </c>
      <c r="AS17" s="99">
        <v>4224</v>
      </c>
      <c r="AT17" s="99">
        <v>17</v>
      </c>
      <c r="AU17" s="99">
        <v>7180.7999999999993</v>
      </c>
      <c r="AV17" s="99">
        <v>19</v>
      </c>
      <c r="AW17" s="99">
        <v>8025.5999999999995</v>
      </c>
      <c r="AX17" s="99">
        <v>13</v>
      </c>
      <c r="AY17" s="99">
        <v>5491.2</v>
      </c>
      <c r="AZ17" s="99">
        <v>17</v>
      </c>
      <c r="BA17" s="99">
        <v>7180.7999999999993</v>
      </c>
      <c r="BB17" s="99">
        <v>18</v>
      </c>
      <c r="BC17" s="99">
        <v>7603.2</v>
      </c>
      <c r="BD17" s="99">
        <v>15</v>
      </c>
      <c r="BE17" s="99">
        <v>6336</v>
      </c>
      <c r="BF17" s="99">
        <v>14</v>
      </c>
      <c r="BG17" s="99">
        <v>5913.5999999999995</v>
      </c>
      <c r="BH17" s="99">
        <v>15</v>
      </c>
      <c r="BI17" s="99">
        <v>6336</v>
      </c>
      <c r="BJ17" s="99">
        <v>16</v>
      </c>
      <c r="BK17" s="99">
        <v>6758.4</v>
      </c>
      <c r="BL17" s="99">
        <v>13</v>
      </c>
      <c r="BM17" s="99">
        <v>5491.2</v>
      </c>
      <c r="BN17" s="99">
        <v>15</v>
      </c>
      <c r="BO17" s="99">
        <v>6336</v>
      </c>
      <c r="BP17" s="99">
        <v>14</v>
      </c>
      <c r="BQ17" s="99">
        <v>5913.5999999999995</v>
      </c>
      <c r="BR17" s="99">
        <v>16</v>
      </c>
      <c r="BS17" s="99">
        <v>6758.4</v>
      </c>
      <c r="BT17" s="99">
        <v>11</v>
      </c>
      <c r="BU17" s="99">
        <v>4646.3999999999996</v>
      </c>
      <c r="BV17" s="99">
        <v>17</v>
      </c>
      <c r="BW17" s="99">
        <v>7180.7999999999993</v>
      </c>
      <c r="BX17" s="99">
        <v>17</v>
      </c>
      <c r="BY17" s="99">
        <v>7180.7999999999993</v>
      </c>
      <c r="BZ17" s="99">
        <v>14</v>
      </c>
      <c r="CA17" s="99">
        <v>5913.5999999999995</v>
      </c>
      <c r="CB17" s="99">
        <v>21</v>
      </c>
      <c r="CC17" s="99">
        <v>8870.4</v>
      </c>
      <c r="CD17" s="99">
        <v>15</v>
      </c>
      <c r="CE17" s="99">
        <v>6336</v>
      </c>
      <c r="CF17" s="99">
        <v>16</v>
      </c>
      <c r="CG17" s="99">
        <v>6758.4</v>
      </c>
      <c r="CH17" s="99">
        <v>18</v>
      </c>
      <c r="CI17" s="99">
        <v>7603.2</v>
      </c>
      <c r="CJ17" s="99">
        <v>14.464745743122318</v>
      </c>
      <c r="CK17" s="99">
        <v>6109.9086018948665</v>
      </c>
      <c r="CL17" s="99">
        <v>12</v>
      </c>
      <c r="CM17" s="99">
        <v>5068.7999999999993</v>
      </c>
      <c r="CN17" s="99">
        <v>16</v>
      </c>
      <c r="CO17" s="99">
        <v>6758.4</v>
      </c>
      <c r="CP17" s="99">
        <v>12.978970488265341</v>
      </c>
      <c r="CQ17" s="99">
        <v>5482.3171342432797</v>
      </c>
      <c r="CR17" s="99">
        <v>16.543375994782028</v>
      </c>
      <c r="CS17" s="99">
        <v>6987.9220201959288</v>
      </c>
      <c r="CT17" s="99">
        <v>13.529016236765793</v>
      </c>
      <c r="CU17" s="99">
        <v>5714.6564584098705</v>
      </c>
    </row>
    <row r="18" spans="2:99">
      <c r="C18" s="98" t="s">
        <v>184</v>
      </c>
      <c r="D18" s="99">
        <v>17</v>
      </c>
      <c r="E18" s="99">
        <v>11097.599999999999</v>
      </c>
      <c r="F18" s="99">
        <v>11</v>
      </c>
      <c r="G18" s="99">
        <v>7180.7999999999993</v>
      </c>
      <c r="H18" s="99">
        <v>17</v>
      </c>
      <c r="I18" s="99">
        <v>11097.599999999999</v>
      </c>
      <c r="J18" s="99">
        <v>13</v>
      </c>
      <c r="K18" s="99">
        <v>8486.4</v>
      </c>
      <c r="L18" s="99">
        <v>15</v>
      </c>
      <c r="M18" s="99">
        <v>9792</v>
      </c>
      <c r="N18" s="99">
        <v>11</v>
      </c>
      <c r="O18" s="99">
        <v>7180.7999999999993</v>
      </c>
      <c r="P18" s="99">
        <v>11</v>
      </c>
      <c r="Q18" s="99">
        <v>7180.7999999999993</v>
      </c>
      <c r="R18" s="99">
        <v>12</v>
      </c>
      <c r="S18" s="99">
        <v>7833.5999999999995</v>
      </c>
      <c r="T18" s="99">
        <v>13</v>
      </c>
      <c r="U18" s="99">
        <v>8486.4</v>
      </c>
      <c r="V18" s="99">
        <v>18</v>
      </c>
      <c r="W18" s="99">
        <v>11750.4</v>
      </c>
      <c r="X18" s="99">
        <v>12</v>
      </c>
      <c r="Y18" s="99">
        <v>7833.5999999999995</v>
      </c>
      <c r="Z18" s="99">
        <v>11</v>
      </c>
      <c r="AA18" s="99">
        <v>7180.7999999999993</v>
      </c>
      <c r="AB18" s="99">
        <v>19</v>
      </c>
      <c r="AC18" s="99">
        <v>12403.199999999999</v>
      </c>
      <c r="AD18" s="99">
        <v>13</v>
      </c>
      <c r="AE18" s="99">
        <v>8486.4</v>
      </c>
      <c r="AF18" s="99">
        <v>13</v>
      </c>
      <c r="AG18" s="99">
        <v>8486.4</v>
      </c>
      <c r="AH18" s="99">
        <v>12</v>
      </c>
      <c r="AI18" s="99">
        <v>7833.5999999999995</v>
      </c>
      <c r="AJ18" s="99">
        <v>16</v>
      </c>
      <c r="AK18" s="99">
        <v>10444.799999999999</v>
      </c>
      <c r="AL18" s="99">
        <v>18</v>
      </c>
      <c r="AM18" s="99">
        <v>11750.4</v>
      </c>
      <c r="AN18" s="99">
        <v>15</v>
      </c>
      <c r="AO18" s="99">
        <v>9792</v>
      </c>
      <c r="AP18" s="99">
        <v>12</v>
      </c>
      <c r="AQ18" s="99">
        <v>7833.5999999999995</v>
      </c>
      <c r="AR18" s="99">
        <v>10</v>
      </c>
      <c r="AS18" s="99">
        <v>6528</v>
      </c>
      <c r="AT18" s="99">
        <v>18</v>
      </c>
      <c r="AU18" s="99">
        <v>11750.4</v>
      </c>
      <c r="AV18" s="99">
        <v>16</v>
      </c>
      <c r="AW18" s="99">
        <v>10444.799999999999</v>
      </c>
      <c r="AX18" s="99">
        <v>13</v>
      </c>
      <c r="AY18" s="99">
        <v>8486.4</v>
      </c>
      <c r="AZ18" s="99">
        <v>18</v>
      </c>
      <c r="BA18" s="99">
        <v>11750.4</v>
      </c>
      <c r="BB18" s="99">
        <v>19</v>
      </c>
      <c r="BC18" s="99">
        <v>12403.199999999999</v>
      </c>
      <c r="BD18" s="99">
        <v>16</v>
      </c>
      <c r="BE18" s="99">
        <v>10444.799999999999</v>
      </c>
      <c r="BF18" s="99">
        <v>14</v>
      </c>
      <c r="BG18" s="99">
        <v>9139.1999999999989</v>
      </c>
      <c r="BH18" s="99">
        <v>13</v>
      </c>
      <c r="BI18" s="99">
        <v>8486.4</v>
      </c>
      <c r="BJ18" s="99">
        <v>14</v>
      </c>
      <c r="BK18" s="99">
        <v>9139.1999999999989</v>
      </c>
      <c r="BL18" s="99">
        <v>13</v>
      </c>
      <c r="BM18" s="99">
        <v>8486.4</v>
      </c>
      <c r="BN18" s="99">
        <v>14</v>
      </c>
      <c r="BO18" s="99">
        <v>9139.1999999999989</v>
      </c>
      <c r="BP18" s="99">
        <v>15</v>
      </c>
      <c r="BQ18" s="99">
        <v>9792</v>
      </c>
      <c r="BR18" s="99">
        <v>14</v>
      </c>
      <c r="BS18" s="99">
        <v>9139.1999999999989</v>
      </c>
      <c r="BT18" s="99">
        <v>11</v>
      </c>
      <c r="BU18" s="99">
        <v>7180.7999999999993</v>
      </c>
      <c r="BV18" s="99">
        <v>16</v>
      </c>
      <c r="BW18" s="99">
        <v>10444.799999999999</v>
      </c>
      <c r="BX18" s="99">
        <v>16</v>
      </c>
      <c r="BY18" s="99">
        <v>10444.799999999999</v>
      </c>
      <c r="BZ18" s="99">
        <v>12</v>
      </c>
      <c r="CA18" s="99">
        <v>7833.5999999999995</v>
      </c>
      <c r="CB18" s="99">
        <v>23</v>
      </c>
      <c r="CC18" s="99">
        <v>15014.4</v>
      </c>
      <c r="CD18" s="99">
        <v>16</v>
      </c>
      <c r="CE18" s="99">
        <v>10444.799999999999</v>
      </c>
      <c r="CF18" s="99">
        <v>16</v>
      </c>
      <c r="CG18" s="99">
        <v>10444.799999999999</v>
      </c>
      <c r="CH18" s="99">
        <v>18</v>
      </c>
      <c r="CI18" s="99">
        <v>11750.4</v>
      </c>
      <c r="CJ18" s="99">
        <v>13.613878346468063</v>
      </c>
      <c r="CK18" s="99">
        <v>8887.1397845743504</v>
      </c>
      <c r="CL18" s="99">
        <v>11</v>
      </c>
      <c r="CM18" s="99">
        <v>7180.7999999999993</v>
      </c>
      <c r="CN18" s="99">
        <v>15</v>
      </c>
      <c r="CO18" s="99">
        <v>9792</v>
      </c>
      <c r="CP18" s="99">
        <v>11.980588143014163</v>
      </c>
      <c r="CQ18" s="99">
        <v>7820.9279397596456</v>
      </c>
      <c r="CR18" s="99">
        <v>16.543375994782028</v>
      </c>
      <c r="CS18" s="99">
        <v>10799.515849393707</v>
      </c>
      <c r="CT18" s="99">
        <v>12.627081820981406</v>
      </c>
      <c r="CU18" s="99">
        <v>8242.959012736661</v>
      </c>
    </row>
    <row r="19" spans="2:99">
      <c r="C19" s="98" t="s">
        <v>185</v>
      </c>
      <c r="D19" s="99">
        <v>18</v>
      </c>
      <c r="E19" s="99">
        <v>5940</v>
      </c>
      <c r="F19" s="99">
        <v>13</v>
      </c>
      <c r="G19" s="99">
        <v>4290</v>
      </c>
      <c r="H19" s="99">
        <v>17</v>
      </c>
      <c r="I19" s="99">
        <v>5610</v>
      </c>
      <c r="J19" s="99">
        <v>15</v>
      </c>
      <c r="K19" s="99">
        <v>4950</v>
      </c>
      <c r="L19" s="99">
        <v>15</v>
      </c>
      <c r="M19" s="99">
        <v>4950</v>
      </c>
      <c r="N19" s="99">
        <v>11</v>
      </c>
      <c r="O19" s="99">
        <v>3630</v>
      </c>
      <c r="P19" s="99">
        <v>9</v>
      </c>
      <c r="Q19" s="99">
        <v>2970</v>
      </c>
      <c r="R19" s="99">
        <v>12</v>
      </c>
      <c r="S19" s="99">
        <v>3960</v>
      </c>
      <c r="T19" s="99">
        <v>14</v>
      </c>
      <c r="U19" s="99">
        <v>4620</v>
      </c>
      <c r="V19" s="99">
        <v>17</v>
      </c>
      <c r="W19" s="99">
        <v>5610</v>
      </c>
      <c r="X19" s="99">
        <v>13</v>
      </c>
      <c r="Y19" s="99">
        <v>4290</v>
      </c>
      <c r="Z19" s="99">
        <v>12</v>
      </c>
      <c r="AA19" s="99">
        <v>3960</v>
      </c>
      <c r="AB19" s="99">
        <v>18</v>
      </c>
      <c r="AC19" s="99">
        <v>5940</v>
      </c>
      <c r="AD19" s="99">
        <v>14</v>
      </c>
      <c r="AE19" s="99">
        <v>4620</v>
      </c>
      <c r="AF19" s="99">
        <v>14</v>
      </c>
      <c r="AG19" s="99">
        <v>4620</v>
      </c>
      <c r="AH19" s="99">
        <v>11</v>
      </c>
      <c r="AI19" s="99">
        <v>3630</v>
      </c>
      <c r="AJ19" s="99">
        <v>20</v>
      </c>
      <c r="AK19" s="99">
        <v>6600</v>
      </c>
      <c r="AL19" s="99">
        <v>21</v>
      </c>
      <c r="AM19" s="99">
        <v>6930</v>
      </c>
      <c r="AN19" s="99">
        <v>16</v>
      </c>
      <c r="AO19" s="99">
        <v>5280</v>
      </c>
      <c r="AP19" s="99">
        <v>13</v>
      </c>
      <c r="AQ19" s="99">
        <v>4290</v>
      </c>
      <c r="AR19" s="99">
        <v>11</v>
      </c>
      <c r="AS19" s="99">
        <v>3630</v>
      </c>
      <c r="AT19" s="99">
        <v>18</v>
      </c>
      <c r="AU19" s="99">
        <v>5940</v>
      </c>
      <c r="AV19" s="99">
        <v>18</v>
      </c>
      <c r="AW19" s="99">
        <v>5940</v>
      </c>
      <c r="AX19" s="99">
        <v>13</v>
      </c>
      <c r="AY19" s="99">
        <v>4290</v>
      </c>
      <c r="AZ19" s="99">
        <v>19</v>
      </c>
      <c r="BA19" s="99">
        <v>6270</v>
      </c>
      <c r="BB19" s="99">
        <v>18</v>
      </c>
      <c r="BC19" s="99">
        <v>5940</v>
      </c>
      <c r="BD19" s="99">
        <v>15</v>
      </c>
      <c r="BE19" s="99">
        <v>4950</v>
      </c>
      <c r="BF19" s="99">
        <v>13</v>
      </c>
      <c r="BG19" s="99">
        <v>4290</v>
      </c>
      <c r="BH19" s="99">
        <v>15</v>
      </c>
      <c r="BI19" s="99">
        <v>4950</v>
      </c>
      <c r="BJ19" s="99">
        <v>13</v>
      </c>
      <c r="BK19" s="99">
        <v>4290</v>
      </c>
      <c r="BL19" s="99">
        <v>14</v>
      </c>
      <c r="BM19" s="99">
        <v>4620</v>
      </c>
      <c r="BN19" s="99">
        <v>16</v>
      </c>
      <c r="BO19" s="99">
        <v>5280</v>
      </c>
      <c r="BP19" s="99">
        <v>17</v>
      </c>
      <c r="BQ19" s="99">
        <v>5610</v>
      </c>
      <c r="BR19" s="99">
        <v>16</v>
      </c>
      <c r="BS19" s="99">
        <v>5280</v>
      </c>
      <c r="BT19" s="99">
        <v>11</v>
      </c>
      <c r="BU19" s="99">
        <v>3630</v>
      </c>
      <c r="BV19" s="99">
        <v>17</v>
      </c>
      <c r="BW19" s="99">
        <v>5610</v>
      </c>
      <c r="BX19" s="99">
        <v>17</v>
      </c>
      <c r="BY19" s="99">
        <v>5610</v>
      </c>
      <c r="BZ19" s="99">
        <v>12</v>
      </c>
      <c r="CA19" s="99">
        <v>3960</v>
      </c>
      <c r="CB19" s="99">
        <v>21</v>
      </c>
      <c r="CC19" s="99">
        <v>6930</v>
      </c>
      <c r="CD19" s="99">
        <v>17</v>
      </c>
      <c r="CE19" s="99">
        <v>5610</v>
      </c>
      <c r="CF19" s="99">
        <v>16</v>
      </c>
      <c r="CG19" s="99">
        <v>5280</v>
      </c>
      <c r="CH19" s="99">
        <v>17</v>
      </c>
      <c r="CI19" s="99">
        <v>5610</v>
      </c>
      <c r="CJ19" s="99">
        <v>16.166480536430825</v>
      </c>
      <c r="CK19" s="99">
        <v>5334.9385770221725</v>
      </c>
      <c r="CL19" s="99">
        <v>12</v>
      </c>
      <c r="CM19" s="99">
        <v>3960</v>
      </c>
      <c r="CN19" s="99">
        <v>16</v>
      </c>
      <c r="CO19" s="99">
        <v>5280</v>
      </c>
      <c r="CP19" s="99">
        <v>12.978970488265341</v>
      </c>
      <c r="CQ19" s="99">
        <v>4283.0602611275626</v>
      </c>
      <c r="CR19" s="99">
        <v>17.516515759180972</v>
      </c>
      <c r="CS19" s="99">
        <v>5780.4502005297209</v>
      </c>
      <c r="CT19" s="99">
        <v>14.430950652550177</v>
      </c>
      <c r="CU19" s="99">
        <v>4762.2137153415579</v>
      </c>
    </row>
    <row r="20" spans="2:99">
      <c r="B20" s="98" t="s">
        <v>127</v>
      </c>
      <c r="C20" s="98" t="s">
        <v>186</v>
      </c>
      <c r="D20" s="99">
        <v>10</v>
      </c>
      <c r="E20" s="99">
        <v>2868</v>
      </c>
      <c r="F20" s="99">
        <v>14</v>
      </c>
      <c r="G20" s="99">
        <v>4015.2000000000003</v>
      </c>
      <c r="H20" s="99">
        <v>11</v>
      </c>
      <c r="I20" s="99">
        <v>3154.8</v>
      </c>
      <c r="J20" s="99">
        <v>17</v>
      </c>
      <c r="K20" s="99">
        <v>4875.6000000000004</v>
      </c>
      <c r="L20" s="99">
        <v>13</v>
      </c>
      <c r="M20" s="99">
        <v>3728.4</v>
      </c>
      <c r="N20" s="99">
        <v>15</v>
      </c>
      <c r="O20" s="99">
        <v>4302</v>
      </c>
      <c r="P20" s="99">
        <v>18</v>
      </c>
      <c r="Q20" s="99">
        <v>5162.4000000000005</v>
      </c>
      <c r="R20" s="99">
        <v>14</v>
      </c>
      <c r="S20" s="99">
        <v>4015.2000000000003</v>
      </c>
      <c r="T20" s="99">
        <v>9</v>
      </c>
      <c r="U20" s="99">
        <v>2581.2000000000003</v>
      </c>
      <c r="V20" s="99">
        <v>13</v>
      </c>
      <c r="W20" s="99">
        <v>3728.4</v>
      </c>
      <c r="X20" s="99">
        <v>11</v>
      </c>
      <c r="Y20" s="99">
        <v>3154.8</v>
      </c>
      <c r="Z20" s="99">
        <v>12</v>
      </c>
      <c r="AA20" s="99">
        <v>3441.6000000000004</v>
      </c>
      <c r="AB20" s="99">
        <v>17</v>
      </c>
      <c r="AC20" s="99">
        <v>4875.6000000000004</v>
      </c>
      <c r="AD20" s="99">
        <v>12</v>
      </c>
      <c r="AE20" s="99">
        <v>3441.6000000000004</v>
      </c>
      <c r="AF20" s="99">
        <v>17</v>
      </c>
      <c r="AG20" s="99">
        <v>4875.6000000000004</v>
      </c>
      <c r="AH20" s="99">
        <v>12</v>
      </c>
      <c r="AI20" s="99">
        <v>3441.6000000000004</v>
      </c>
      <c r="AJ20" s="99">
        <v>13</v>
      </c>
      <c r="AK20" s="99">
        <v>3728.4</v>
      </c>
      <c r="AL20" s="99">
        <v>14</v>
      </c>
      <c r="AM20" s="99">
        <v>4015.2000000000003</v>
      </c>
      <c r="AN20" s="99">
        <v>15</v>
      </c>
      <c r="AO20" s="99">
        <v>4302</v>
      </c>
      <c r="AP20" s="99">
        <v>16</v>
      </c>
      <c r="AQ20" s="99">
        <v>4588.8</v>
      </c>
      <c r="AR20" s="99">
        <v>13</v>
      </c>
      <c r="AS20" s="99">
        <v>3728.4</v>
      </c>
      <c r="AT20" s="99">
        <v>11</v>
      </c>
      <c r="AU20" s="99">
        <v>3154.8</v>
      </c>
      <c r="AV20" s="99">
        <v>16</v>
      </c>
      <c r="AW20" s="99">
        <v>4588.8</v>
      </c>
      <c r="AX20" s="99">
        <v>11</v>
      </c>
      <c r="AY20" s="99">
        <v>3154.8</v>
      </c>
      <c r="AZ20" s="99">
        <v>14</v>
      </c>
      <c r="BA20" s="99">
        <v>4015.2000000000003</v>
      </c>
      <c r="BB20" s="99">
        <v>15</v>
      </c>
      <c r="BC20" s="99">
        <v>4302</v>
      </c>
      <c r="BD20" s="99">
        <v>17</v>
      </c>
      <c r="BE20" s="99">
        <v>4875.6000000000004</v>
      </c>
      <c r="BF20" s="99">
        <v>11</v>
      </c>
      <c r="BG20" s="99">
        <v>3154.8</v>
      </c>
      <c r="BH20" s="99">
        <v>18</v>
      </c>
      <c r="BI20" s="99">
        <v>5162.4000000000005</v>
      </c>
      <c r="BJ20" s="99">
        <v>17</v>
      </c>
      <c r="BK20" s="99">
        <v>4875.6000000000004</v>
      </c>
      <c r="BL20" s="99">
        <v>15</v>
      </c>
      <c r="BM20" s="99">
        <v>4302</v>
      </c>
      <c r="BN20" s="99">
        <v>9</v>
      </c>
      <c r="BO20" s="99">
        <v>2581.2000000000003</v>
      </c>
      <c r="BP20" s="99">
        <v>18</v>
      </c>
      <c r="BQ20" s="99">
        <v>5162.4000000000005</v>
      </c>
      <c r="BR20" s="99">
        <v>14</v>
      </c>
      <c r="BS20" s="99">
        <v>4015.2000000000003</v>
      </c>
      <c r="BT20" s="99">
        <v>18</v>
      </c>
      <c r="BU20" s="99">
        <v>5162.4000000000005</v>
      </c>
      <c r="BV20" s="99">
        <v>12</v>
      </c>
      <c r="BW20" s="99">
        <v>3441.6000000000004</v>
      </c>
      <c r="BX20" s="99">
        <v>11</v>
      </c>
      <c r="BY20" s="99">
        <v>3154.8</v>
      </c>
      <c r="BZ20" s="99">
        <v>15</v>
      </c>
      <c r="CA20" s="99">
        <v>4302</v>
      </c>
      <c r="CB20" s="99">
        <v>18</v>
      </c>
      <c r="CC20" s="99">
        <v>5162.4000000000005</v>
      </c>
      <c r="CD20" s="99">
        <v>17</v>
      </c>
      <c r="CE20" s="99">
        <v>4875.6000000000004</v>
      </c>
      <c r="CF20" s="99">
        <v>15</v>
      </c>
      <c r="CG20" s="99">
        <v>4302</v>
      </c>
      <c r="CH20" s="99">
        <v>13</v>
      </c>
      <c r="CI20" s="99">
        <v>3728.4</v>
      </c>
      <c r="CJ20" s="99">
        <v>16.166480536430825</v>
      </c>
      <c r="CK20" s="99">
        <v>4636.5466178483612</v>
      </c>
      <c r="CL20" s="99">
        <v>12</v>
      </c>
      <c r="CM20" s="99">
        <v>3441.6000000000004</v>
      </c>
      <c r="CN20" s="99">
        <v>12</v>
      </c>
      <c r="CO20" s="99">
        <v>3441.6000000000004</v>
      </c>
      <c r="CP20" s="99">
        <v>14.975735178767701</v>
      </c>
      <c r="CQ20" s="99">
        <v>4295.0408492705765</v>
      </c>
      <c r="CR20" s="99">
        <v>14.597096465984142</v>
      </c>
      <c r="CS20" s="99">
        <v>4186.4472664442519</v>
      </c>
      <c r="CT20" s="99">
        <v>18.038688315687722</v>
      </c>
      <c r="CU20" s="99">
        <v>5173.4958089392385</v>
      </c>
    </row>
    <row r="21" spans="2:99">
      <c r="C21" s="98" t="s">
        <v>187</v>
      </c>
      <c r="D21" s="99">
        <v>11</v>
      </c>
      <c r="E21" s="99">
        <v>686.4</v>
      </c>
      <c r="F21" s="99">
        <v>14</v>
      </c>
      <c r="G21" s="99">
        <v>873.6</v>
      </c>
      <c r="H21" s="99">
        <v>10</v>
      </c>
      <c r="I21" s="99">
        <v>624</v>
      </c>
      <c r="J21" s="99">
        <v>18</v>
      </c>
      <c r="K21" s="99">
        <v>1123.2</v>
      </c>
      <c r="L21" s="99">
        <v>12</v>
      </c>
      <c r="M21" s="99">
        <v>748.8</v>
      </c>
      <c r="N21" s="99">
        <v>16</v>
      </c>
      <c r="O21" s="99">
        <v>998.4</v>
      </c>
      <c r="P21" s="99">
        <v>19</v>
      </c>
      <c r="Q21" s="99">
        <v>1185.5999999999999</v>
      </c>
      <c r="R21" s="99">
        <v>13</v>
      </c>
      <c r="S21" s="99">
        <v>811.19999999999993</v>
      </c>
      <c r="T21" s="99">
        <v>9</v>
      </c>
      <c r="U21" s="99">
        <v>561.6</v>
      </c>
      <c r="V21" s="99">
        <v>12</v>
      </c>
      <c r="W21" s="99">
        <v>748.8</v>
      </c>
      <c r="X21" s="99">
        <v>11</v>
      </c>
      <c r="Y21" s="99">
        <v>686.4</v>
      </c>
      <c r="Z21" s="99">
        <v>12</v>
      </c>
      <c r="AA21" s="99">
        <v>748.8</v>
      </c>
      <c r="AB21" s="99">
        <v>19</v>
      </c>
      <c r="AC21" s="99">
        <v>1185.5999999999999</v>
      </c>
      <c r="AD21" s="99">
        <v>13</v>
      </c>
      <c r="AE21" s="99">
        <v>811.19999999999993</v>
      </c>
      <c r="AF21" s="99">
        <v>16</v>
      </c>
      <c r="AG21" s="99">
        <v>998.4</v>
      </c>
      <c r="AH21" s="99">
        <v>11</v>
      </c>
      <c r="AI21" s="99">
        <v>686.4</v>
      </c>
      <c r="AJ21" s="99">
        <v>14</v>
      </c>
      <c r="AK21" s="99">
        <v>873.6</v>
      </c>
      <c r="AL21" s="99">
        <v>15</v>
      </c>
      <c r="AM21" s="99">
        <v>936</v>
      </c>
      <c r="AN21" s="99">
        <v>16</v>
      </c>
      <c r="AO21" s="99">
        <v>998.4</v>
      </c>
      <c r="AP21" s="99">
        <v>17</v>
      </c>
      <c r="AQ21" s="99">
        <v>1060.8</v>
      </c>
      <c r="AR21" s="99">
        <v>12</v>
      </c>
      <c r="AS21" s="99">
        <v>748.8</v>
      </c>
      <c r="AT21" s="99">
        <v>11</v>
      </c>
      <c r="AU21" s="99">
        <v>686.4</v>
      </c>
      <c r="AV21" s="99">
        <v>15</v>
      </c>
      <c r="AW21" s="99">
        <v>936</v>
      </c>
      <c r="AX21" s="99">
        <v>11</v>
      </c>
      <c r="AY21" s="99">
        <v>686.4</v>
      </c>
      <c r="AZ21" s="99">
        <v>14</v>
      </c>
      <c r="BA21" s="99">
        <v>873.6</v>
      </c>
      <c r="BB21" s="99">
        <v>17</v>
      </c>
      <c r="BC21" s="99">
        <v>1060.8</v>
      </c>
      <c r="BD21" s="99">
        <v>17</v>
      </c>
      <c r="BE21" s="99">
        <v>1060.8</v>
      </c>
      <c r="BF21" s="99">
        <v>12</v>
      </c>
      <c r="BG21" s="99">
        <v>748.8</v>
      </c>
      <c r="BH21" s="99">
        <v>20</v>
      </c>
      <c r="BI21" s="99">
        <v>1248</v>
      </c>
      <c r="BJ21" s="99">
        <v>17</v>
      </c>
      <c r="BK21" s="99">
        <v>1060.8</v>
      </c>
      <c r="BL21" s="99">
        <v>14</v>
      </c>
      <c r="BM21" s="99">
        <v>873.6</v>
      </c>
      <c r="BN21" s="99">
        <v>11</v>
      </c>
      <c r="BO21" s="99">
        <v>686.4</v>
      </c>
      <c r="BP21" s="99">
        <v>18</v>
      </c>
      <c r="BQ21" s="99">
        <v>1123.2</v>
      </c>
      <c r="BR21" s="99">
        <v>14</v>
      </c>
      <c r="BS21" s="99">
        <v>873.6</v>
      </c>
      <c r="BT21" s="99">
        <v>16</v>
      </c>
      <c r="BU21" s="99">
        <v>998.4</v>
      </c>
      <c r="BV21" s="99">
        <v>12</v>
      </c>
      <c r="BW21" s="99">
        <v>748.8</v>
      </c>
      <c r="BX21" s="99">
        <v>11</v>
      </c>
      <c r="BY21" s="99">
        <v>686.4</v>
      </c>
      <c r="BZ21" s="99">
        <v>16</v>
      </c>
      <c r="CA21" s="99">
        <v>998.4</v>
      </c>
      <c r="CB21" s="99">
        <v>21</v>
      </c>
      <c r="CC21" s="99">
        <v>1310.3999999999999</v>
      </c>
      <c r="CD21" s="99">
        <v>17</v>
      </c>
      <c r="CE21" s="99">
        <v>1060.8</v>
      </c>
      <c r="CF21" s="99">
        <v>14</v>
      </c>
      <c r="CG21" s="99">
        <v>873.6</v>
      </c>
      <c r="CH21" s="99">
        <v>16</v>
      </c>
      <c r="CI21" s="99">
        <v>998.4</v>
      </c>
      <c r="CJ21" s="99">
        <v>16.166480536430825</v>
      </c>
      <c r="CK21" s="99">
        <v>1008.7883854732835</v>
      </c>
      <c r="CL21" s="99">
        <v>11</v>
      </c>
      <c r="CM21" s="99">
        <v>686.4</v>
      </c>
      <c r="CN21" s="99">
        <v>14</v>
      </c>
      <c r="CO21" s="99">
        <v>873.6</v>
      </c>
      <c r="CP21" s="99">
        <v>13.977352833516523</v>
      </c>
      <c r="CQ21" s="99">
        <v>872.18681681143107</v>
      </c>
      <c r="CR21" s="99">
        <v>15.570236230383086</v>
      </c>
      <c r="CS21" s="99">
        <v>971.58274077590454</v>
      </c>
      <c r="CT21" s="99">
        <v>17.136753899903336</v>
      </c>
      <c r="CU21" s="99">
        <v>1069.3334433539683</v>
      </c>
    </row>
    <row r="22" spans="2:99">
      <c r="C22" s="98" t="s">
        <v>188</v>
      </c>
      <c r="D22" s="99">
        <v>10</v>
      </c>
      <c r="E22" s="99">
        <v>1872</v>
      </c>
      <c r="F22" s="99">
        <v>15</v>
      </c>
      <c r="G22" s="99">
        <v>2808</v>
      </c>
      <c r="H22" s="99">
        <v>11</v>
      </c>
      <c r="I22" s="99">
        <v>2059.1999999999998</v>
      </c>
      <c r="J22" s="99">
        <v>16</v>
      </c>
      <c r="K22" s="99">
        <v>2995.2</v>
      </c>
      <c r="L22" s="99">
        <v>12</v>
      </c>
      <c r="M22" s="99">
        <v>2246.3999999999996</v>
      </c>
      <c r="N22" s="99">
        <v>17</v>
      </c>
      <c r="O22" s="99">
        <v>3182.3999999999996</v>
      </c>
      <c r="P22" s="99">
        <v>18</v>
      </c>
      <c r="Q22" s="99">
        <v>3369.6</v>
      </c>
      <c r="R22" s="99">
        <v>12</v>
      </c>
      <c r="S22" s="99">
        <v>2246.3999999999996</v>
      </c>
      <c r="T22" s="99">
        <v>9</v>
      </c>
      <c r="U22" s="99">
        <v>1684.8</v>
      </c>
      <c r="V22" s="99">
        <v>13</v>
      </c>
      <c r="W22" s="99">
        <v>2433.6</v>
      </c>
      <c r="X22" s="99">
        <v>11</v>
      </c>
      <c r="Y22" s="99">
        <v>2059.1999999999998</v>
      </c>
      <c r="Z22" s="99">
        <v>11</v>
      </c>
      <c r="AA22" s="99">
        <v>2059.1999999999998</v>
      </c>
      <c r="AB22" s="99">
        <v>16</v>
      </c>
      <c r="AC22" s="99">
        <v>2995.2</v>
      </c>
      <c r="AD22" s="99">
        <v>12</v>
      </c>
      <c r="AE22" s="99">
        <v>2246.3999999999996</v>
      </c>
      <c r="AF22" s="99">
        <v>15</v>
      </c>
      <c r="AG22" s="99">
        <v>2808</v>
      </c>
      <c r="AH22" s="99">
        <v>10</v>
      </c>
      <c r="AI22" s="99">
        <v>1872</v>
      </c>
      <c r="AJ22" s="99">
        <v>12</v>
      </c>
      <c r="AK22" s="99">
        <v>2246.3999999999996</v>
      </c>
      <c r="AL22" s="99">
        <v>14</v>
      </c>
      <c r="AM22" s="99">
        <v>2620.7999999999997</v>
      </c>
      <c r="AN22" s="99">
        <v>16</v>
      </c>
      <c r="AO22" s="99">
        <v>2995.2</v>
      </c>
      <c r="AP22" s="99">
        <v>17</v>
      </c>
      <c r="AQ22" s="99">
        <v>3182.3999999999996</v>
      </c>
      <c r="AR22" s="99">
        <v>12</v>
      </c>
      <c r="AS22" s="99">
        <v>2246.3999999999996</v>
      </c>
      <c r="AT22" s="99">
        <v>12</v>
      </c>
      <c r="AU22" s="99">
        <v>2246.3999999999996</v>
      </c>
      <c r="AV22" s="99">
        <v>15</v>
      </c>
      <c r="AW22" s="99">
        <v>2808</v>
      </c>
      <c r="AX22" s="99">
        <v>11</v>
      </c>
      <c r="AY22" s="99">
        <v>2059.1999999999998</v>
      </c>
      <c r="AZ22" s="99">
        <v>15</v>
      </c>
      <c r="BA22" s="99">
        <v>2808</v>
      </c>
      <c r="BB22" s="99">
        <v>17</v>
      </c>
      <c r="BC22" s="99">
        <v>3182.3999999999996</v>
      </c>
      <c r="BD22" s="99">
        <v>20</v>
      </c>
      <c r="BE22" s="99">
        <v>3744</v>
      </c>
      <c r="BF22" s="99">
        <v>10</v>
      </c>
      <c r="BG22" s="99">
        <v>1872</v>
      </c>
      <c r="BH22" s="99">
        <v>18</v>
      </c>
      <c r="BI22" s="99">
        <v>3369.6</v>
      </c>
      <c r="BJ22" s="99">
        <v>15</v>
      </c>
      <c r="BK22" s="99">
        <v>2808</v>
      </c>
      <c r="BL22" s="99">
        <v>15</v>
      </c>
      <c r="BM22" s="99">
        <v>2808</v>
      </c>
      <c r="BN22" s="99">
        <v>11</v>
      </c>
      <c r="BO22" s="99">
        <v>2059.1999999999998</v>
      </c>
      <c r="BP22" s="99">
        <v>16</v>
      </c>
      <c r="BQ22" s="99">
        <v>2995.2</v>
      </c>
      <c r="BR22" s="99">
        <v>14</v>
      </c>
      <c r="BS22" s="99">
        <v>2620.7999999999997</v>
      </c>
      <c r="BT22" s="99">
        <v>16</v>
      </c>
      <c r="BU22" s="99">
        <v>2995.2</v>
      </c>
      <c r="BV22" s="99">
        <v>10</v>
      </c>
      <c r="BW22" s="99">
        <v>1872</v>
      </c>
      <c r="BX22" s="99">
        <v>10</v>
      </c>
      <c r="BY22" s="99">
        <v>1872</v>
      </c>
      <c r="BZ22" s="99">
        <v>15</v>
      </c>
      <c r="CA22" s="99">
        <v>2808</v>
      </c>
      <c r="CB22" s="99">
        <v>19</v>
      </c>
      <c r="CC22" s="99">
        <v>3556.7999999999997</v>
      </c>
      <c r="CD22" s="99">
        <v>17</v>
      </c>
      <c r="CE22" s="99">
        <v>3182.3999999999996</v>
      </c>
      <c r="CF22" s="99">
        <v>15</v>
      </c>
      <c r="CG22" s="99">
        <v>2808</v>
      </c>
      <c r="CH22" s="99">
        <v>15</v>
      </c>
      <c r="CI22" s="99">
        <v>2808</v>
      </c>
      <c r="CJ22" s="99">
        <v>14.464745743122318</v>
      </c>
      <c r="CK22" s="99">
        <v>2707.8004031124979</v>
      </c>
      <c r="CL22" s="99">
        <v>12</v>
      </c>
      <c r="CM22" s="99">
        <v>2246.3999999999996</v>
      </c>
      <c r="CN22" s="99">
        <v>13</v>
      </c>
      <c r="CO22" s="99">
        <v>2433.6</v>
      </c>
      <c r="CP22" s="99">
        <v>13.977352833516523</v>
      </c>
      <c r="CQ22" s="99">
        <v>2616.5604504342928</v>
      </c>
      <c r="CR22" s="99">
        <v>14.597096465984142</v>
      </c>
      <c r="CS22" s="99">
        <v>2732.5764584322314</v>
      </c>
      <c r="CT22" s="99">
        <v>17.136753899903336</v>
      </c>
      <c r="CU22" s="99">
        <v>3208.0003300619046</v>
      </c>
    </row>
    <row r="23" spans="2:99">
      <c r="C23" s="98" t="s">
        <v>189</v>
      </c>
      <c r="D23" s="99">
        <v>11</v>
      </c>
      <c r="E23" s="99">
        <v>3234</v>
      </c>
      <c r="F23" s="99">
        <v>14</v>
      </c>
      <c r="G23" s="99">
        <v>4116</v>
      </c>
      <c r="H23" s="99">
        <v>10</v>
      </c>
      <c r="I23" s="99">
        <v>2940</v>
      </c>
      <c r="J23" s="99">
        <v>16</v>
      </c>
      <c r="K23" s="99">
        <v>4704</v>
      </c>
      <c r="L23" s="99">
        <v>13</v>
      </c>
      <c r="M23" s="99">
        <v>3822</v>
      </c>
      <c r="N23" s="99">
        <v>14</v>
      </c>
      <c r="O23" s="99">
        <v>4116</v>
      </c>
      <c r="P23" s="99">
        <v>17</v>
      </c>
      <c r="Q23" s="99">
        <v>4998</v>
      </c>
      <c r="R23" s="99">
        <v>12</v>
      </c>
      <c r="S23" s="99">
        <v>3528</v>
      </c>
      <c r="T23" s="99">
        <v>9</v>
      </c>
      <c r="U23" s="99">
        <v>2646</v>
      </c>
      <c r="V23" s="99">
        <v>14</v>
      </c>
      <c r="W23" s="99">
        <v>4116</v>
      </c>
      <c r="X23" s="99">
        <v>11</v>
      </c>
      <c r="Y23" s="99">
        <v>3234</v>
      </c>
      <c r="Z23" s="99">
        <v>12</v>
      </c>
      <c r="AA23" s="99">
        <v>3528</v>
      </c>
      <c r="AB23" s="99">
        <v>19</v>
      </c>
      <c r="AC23" s="99">
        <v>5586</v>
      </c>
      <c r="AD23" s="99">
        <v>13</v>
      </c>
      <c r="AE23" s="99">
        <v>3822</v>
      </c>
      <c r="AF23" s="99">
        <v>16</v>
      </c>
      <c r="AG23" s="99">
        <v>4704</v>
      </c>
      <c r="AH23" s="99">
        <v>11</v>
      </c>
      <c r="AI23" s="99">
        <v>3234</v>
      </c>
      <c r="AJ23" s="99">
        <v>12</v>
      </c>
      <c r="AK23" s="99">
        <v>3528</v>
      </c>
      <c r="AL23" s="99">
        <v>14</v>
      </c>
      <c r="AM23" s="99">
        <v>4116</v>
      </c>
      <c r="AN23" s="99">
        <v>15</v>
      </c>
      <c r="AO23" s="99">
        <v>4410</v>
      </c>
      <c r="AP23" s="99">
        <v>16</v>
      </c>
      <c r="AQ23" s="99">
        <v>4704</v>
      </c>
      <c r="AR23" s="99">
        <v>13</v>
      </c>
      <c r="AS23" s="99">
        <v>3822</v>
      </c>
      <c r="AT23" s="99">
        <v>11</v>
      </c>
      <c r="AU23" s="99">
        <v>3234</v>
      </c>
      <c r="AV23" s="99">
        <v>17</v>
      </c>
      <c r="AW23" s="99">
        <v>4998</v>
      </c>
      <c r="AX23" s="99">
        <v>10</v>
      </c>
      <c r="AY23" s="99">
        <v>2940</v>
      </c>
      <c r="AZ23" s="99">
        <v>14</v>
      </c>
      <c r="BA23" s="99">
        <v>4116</v>
      </c>
      <c r="BB23" s="99">
        <v>16</v>
      </c>
      <c r="BC23" s="99">
        <v>4704</v>
      </c>
      <c r="BD23" s="99">
        <v>20</v>
      </c>
      <c r="BE23" s="99">
        <v>5880</v>
      </c>
      <c r="BF23" s="99">
        <v>11</v>
      </c>
      <c r="BG23" s="99">
        <v>3234</v>
      </c>
      <c r="BH23" s="99">
        <v>18</v>
      </c>
      <c r="BI23" s="99">
        <v>5292</v>
      </c>
      <c r="BJ23" s="99">
        <v>17</v>
      </c>
      <c r="BK23" s="99">
        <v>4998</v>
      </c>
      <c r="BL23" s="99">
        <v>14</v>
      </c>
      <c r="BM23" s="99">
        <v>4116</v>
      </c>
      <c r="BN23" s="99">
        <v>11</v>
      </c>
      <c r="BO23" s="99">
        <v>3234</v>
      </c>
      <c r="BP23" s="99">
        <v>18</v>
      </c>
      <c r="BQ23" s="99">
        <v>5292</v>
      </c>
      <c r="BR23" s="99">
        <v>14</v>
      </c>
      <c r="BS23" s="99">
        <v>4116</v>
      </c>
      <c r="BT23" s="99">
        <v>16</v>
      </c>
      <c r="BU23" s="99">
        <v>4704</v>
      </c>
      <c r="BV23" s="99">
        <v>12</v>
      </c>
      <c r="BW23" s="99">
        <v>3528</v>
      </c>
      <c r="BX23" s="99">
        <v>10</v>
      </c>
      <c r="BY23" s="99">
        <v>2940</v>
      </c>
      <c r="BZ23" s="99">
        <v>16</v>
      </c>
      <c r="CA23" s="99">
        <v>4704</v>
      </c>
      <c r="CB23" s="99">
        <v>19</v>
      </c>
      <c r="CC23" s="99">
        <v>5586</v>
      </c>
      <c r="CD23" s="99">
        <v>17</v>
      </c>
      <c r="CE23" s="99">
        <v>4998</v>
      </c>
      <c r="CF23" s="99">
        <v>16</v>
      </c>
      <c r="CG23" s="99">
        <v>4704</v>
      </c>
      <c r="CH23" s="99">
        <v>15</v>
      </c>
      <c r="CI23" s="99">
        <v>4410</v>
      </c>
      <c r="CJ23" s="99">
        <v>13.613878346468063</v>
      </c>
      <c r="CK23" s="99">
        <v>4002.4802338616105</v>
      </c>
      <c r="CL23" s="99">
        <v>11</v>
      </c>
      <c r="CM23" s="99">
        <v>3234</v>
      </c>
      <c r="CN23" s="99">
        <v>13</v>
      </c>
      <c r="CO23" s="99">
        <v>3822</v>
      </c>
      <c r="CP23" s="99">
        <v>14.975735178767701</v>
      </c>
      <c r="CQ23" s="99">
        <v>4402.8661425577038</v>
      </c>
      <c r="CR23" s="99">
        <v>13.6239567015852</v>
      </c>
      <c r="CS23" s="99">
        <v>4005.4432702660488</v>
      </c>
      <c r="CT23" s="99">
        <v>18.038688315687722</v>
      </c>
      <c r="CU23" s="99">
        <v>5303.3743648121899</v>
      </c>
    </row>
    <row r="24" spans="2:99">
      <c r="C24" s="98" t="s">
        <v>190</v>
      </c>
      <c r="D24" s="99">
        <v>11</v>
      </c>
      <c r="E24" s="99">
        <v>4039.2</v>
      </c>
      <c r="F24" s="99">
        <v>13</v>
      </c>
      <c r="G24" s="99">
        <v>4773.5999999999995</v>
      </c>
      <c r="H24" s="99">
        <v>9</v>
      </c>
      <c r="I24" s="99">
        <v>3304.7999999999997</v>
      </c>
      <c r="J24" s="99">
        <v>16</v>
      </c>
      <c r="K24" s="99">
        <v>5875.2</v>
      </c>
      <c r="L24" s="99">
        <v>12</v>
      </c>
      <c r="M24" s="99">
        <v>4406.3999999999996</v>
      </c>
      <c r="N24" s="99">
        <v>15</v>
      </c>
      <c r="O24" s="99">
        <v>5508</v>
      </c>
      <c r="P24" s="99">
        <v>18</v>
      </c>
      <c r="Q24" s="99">
        <v>6609.5999999999995</v>
      </c>
      <c r="R24" s="99">
        <v>14</v>
      </c>
      <c r="S24" s="99">
        <v>5140.8</v>
      </c>
      <c r="T24" s="99">
        <v>10</v>
      </c>
      <c r="U24" s="99">
        <v>3672</v>
      </c>
      <c r="V24" s="99">
        <v>14</v>
      </c>
      <c r="W24" s="99">
        <v>5140.8</v>
      </c>
      <c r="X24" s="99">
        <v>12</v>
      </c>
      <c r="Y24" s="99">
        <v>4406.3999999999996</v>
      </c>
      <c r="Z24" s="99">
        <v>11</v>
      </c>
      <c r="AA24" s="99">
        <v>4039.2</v>
      </c>
      <c r="AB24" s="99">
        <v>16</v>
      </c>
      <c r="AC24" s="99">
        <v>5875.2</v>
      </c>
      <c r="AD24" s="99">
        <v>12</v>
      </c>
      <c r="AE24" s="99">
        <v>4406.3999999999996</v>
      </c>
      <c r="AF24" s="99">
        <v>15</v>
      </c>
      <c r="AG24" s="99">
        <v>5508</v>
      </c>
      <c r="AH24" s="99">
        <v>11</v>
      </c>
      <c r="AI24" s="99">
        <v>4039.2</v>
      </c>
      <c r="AJ24" s="99">
        <v>14</v>
      </c>
      <c r="AK24" s="99">
        <v>5140.8</v>
      </c>
      <c r="AL24" s="99">
        <v>13</v>
      </c>
      <c r="AM24" s="99">
        <v>4773.5999999999995</v>
      </c>
      <c r="AN24" s="99">
        <v>15</v>
      </c>
      <c r="AO24" s="99">
        <v>5508</v>
      </c>
      <c r="AP24" s="99">
        <v>18</v>
      </c>
      <c r="AQ24" s="99">
        <v>6609.5999999999995</v>
      </c>
      <c r="AR24" s="99">
        <v>11</v>
      </c>
      <c r="AS24" s="99">
        <v>4039.2</v>
      </c>
      <c r="AT24" s="99">
        <v>11</v>
      </c>
      <c r="AU24" s="99">
        <v>4039.2</v>
      </c>
      <c r="AV24" s="99">
        <v>15</v>
      </c>
      <c r="AW24" s="99">
        <v>5508</v>
      </c>
      <c r="AX24" s="99">
        <v>11</v>
      </c>
      <c r="AY24" s="99">
        <v>4039.2</v>
      </c>
      <c r="AZ24" s="99">
        <v>16</v>
      </c>
      <c r="BA24" s="99">
        <v>5875.2</v>
      </c>
      <c r="BB24" s="99">
        <v>15</v>
      </c>
      <c r="BC24" s="99">
        <v>5508</v>
      </c>
      <c r="BD24" s="99">
        <v>17</v>
      </c>
      <c r="BE24" s="99">
        <v>6242.4</v>
      </c>
      <c r="BF24" s="99">
        <v>10</v>
      </c>
      <c r="BG24" s="99">
        <v>3672</v>
      </c>
      <c r="BH24" s="99">
        <v>19</v>
      </c>
      <c r="BI24" s="99">
        <v>6976.8</v>
      </c>
      <c r="BJ24" s="99">
        <v>17</v>
      </c>
      <c r="BK24" s="99">
        <v>6242.4</v>
      </c>
      <c r="BL24" s="99">
        <v>14</v>
      </c>
      <c r="BM24" s="99">
        <v>5140.8</v>
      </c>
      <c r="BN24" s="99">
        <v>10</v>
      </c>
      <c r="BO24" s="99">
        <v>3672</v>
      </c>
      <c r="BP24" s="99">
        <v>16</v>
      </c>
      <c r="BQ24" s="99">
        <v>5875.2</v>
      </c>
      <c r="BR24" s="99">
        <v>13</v>
      </c>
      <c r="BS24" s="99">
        <v>4773.5999999999995</v>
      </c>
      <c r="BT24" s="99">
        <v>16</v>
      </c>
      <c r="BU24" s="99">
        <v>5875.2</v>
      </c>
      <c r="BV24" s="99">
        <v>11</v>
      </c>
      <c r="BW24" s="99">
        <v>4039.2</v>
      </c>
      <c r="BX24" s="99">
        <v>12</v>
      </c>
      <c r="BY24" s="99">
        <v>4406.3999999999996</v>
      </c>
      <c r="BZ24" s="99">
        <v>16</v>
      </c>
      <c r="CA24" s="99">
        <v>5875.2</v>
      </c>
      <c r="CB24" s="99">
        <v>19</v>
      </c>
      <c r="CC24" s="99">
        <v>6976.8</v>
      </c>
      <c r="CD24" s="99">
        <v>16</v>
      </c>
      <c r="CE24" s="99">
        <v>5875.2</v>
      </c>
      <c r="CF24" s="99">
        <v>15</v>
      </c>
      <c r="CG24" s="99">
        <v>5508</v>
      </c>
      <c r="CH24" s="99">
        <v>13</v>
      </c>
      <c r="CI24" s="99">
        <v>4773.5999999999995</v>
      </c>
      <c r="CJ24" s="99">
        <v>15.315613139776572</v>
      </c>
      <c r="CK24" s="99">
        <v>5623.8931449259571</v>
      </c>
      <c r="CL24" s="99">
        <v>10</v>
      </c>
      <c r="CM24" s="99">
        <v>3672</v>
      </c>
      <c r="CN24" s="99">
        <v>12</v>
      </c>
      <c r="CO24" s="99">
        <v>4406.3999999999996</v>
      </c>
      <c r="CP24" s="99">
        <v>15.974117524018881</v>
      </c>
      <c r="CQ24" s="99">
        <v>5865.6959548197328</v>
      </c>
      <c r="CR24" s="99">
        <v>14.597096465984142</v>
      </c>
      <c r="CS24" s="99">
        <v>5360.0538223093772</v>
      </c>
      <c r="CT24" s="99">
        <v>17.136753899903336</v>
      </c>
      <c r="CU24" s="99">
        <v>6292.6160320445051</v>
      </c>
    </row>
    <row r="25" spans="2:99">
      <c r="C25" s="98" t="s">
        <v>191</v>
      </c>
      <c r="D25" s="99">
        <v>10</v>
      </c>
      <c r="E25" s="99">
        <v>5304</v>
      </c>
      <c r="F25" s="99">
        <v>14</v>
      </c>
      <c r="G25" s="99">
        <v>7425.5999999999995</v>
      </c>
      <c r="H25" s="99">
        <v>11</v>
      </c>
      <c r="I25" s="99">
        <v>5834.4</v>
      </c>
      <c r="J25" s="99">
        <v>15</v>
      </c>
      <c r="K25" s="99">
        <v>7956</v>
      </c>
      <c r="L25" s="99">
        <v>12</v>
      </c>
      <c r="M25" s="99">
        <v>6364.7999999999993</v>
      </c>
      <c r="N25" s="99">
        <v>15</v>
      </c>
      <c r="O25" s="99">
        <v>7956</v>
      </c>
      <c r="P25" s="99">
        <v>18</v>
      </c>
      <c r="Q25" s="99">
        <v>9547.1999999999989</v>
      </c>
      <c r="R25" s="99">
        <v>13</v>
      </c>
      <c r="S25" s="99">
        <v>6895.2</v>
      </c>
      <c r="T25" s="99">
        <v>9</v>
      </c>
      <c r="U25" s="99">
        <v>4773.5999999999995</v>
      </c>
      <c r="V25" s="99">
        <v>13</v>
      </c>
      <c r="W25" s="99">
        <v>6895.2</v>
      </c>
      <c r="X25" s="99">
        <v>11</v>
      </c>
      <c r="Y25" s="99">
        <v>5834.4</v>
      </c>
      <c r="Z25" s="99">
        <v>11</v>
      </c>
      <c r="AA25" s="99">
        <v>5834.4</v>
      </c>
      <c r="AB25" s="99">
        <v>17</v>
      </c>
      <c r="AC25" s="99">
        <v>9016.7999999999993</v>
      </c>
      <c r="AD25" s="99">
        <v>13</v>
      </c>
      <c r="AE25" s="99">
        <v>6895.2</v>
      </c>
      <c r="AF25" s="99">
        <v>16</v>
      </c>
      <c r="AG25" s="99">
        <v>8486.4</v>
      </c>
      <c r="AH25" s="99">
        <v>10</v>
      </c>
      <c r="AI25" s="99">
        <v>5304</v>
      </c>
      <c r="AJ25" s="99">
        <v>12</v>
      </c>
      <c r="AK25" s="99">
        <v>6364.7999999999993</v>
      </c>
      <c r="AL25" s="99">
        <v>14</v>
      </c>
      <c r="AM25" s="99">
        <v>7425.5999999999995</v>
      </c>
      <c r="AN25" s="99">
        <v>14</v>
      </c>
      <c r="AO25" s="99">
        <v>7425.5999999999995</v>
      </c>
      <c r="AP25" s="99">
        <v>16</v>
      </c>
      <c r="AQ25" s="99">
        <v>8486.4</v>
      </c>
      <c r="AR25" s="99">
        <v>11</v>
      </c>
      <c r="AS25" s="99">
        <v>5834.4</v>
      </c>
      <c r="AT25" s="99">
        <v>11</v>
      </c>
      <c r="AU25" s="99">
        <v>5834.4</v>
      </c>
      <c r="AV25" s="99">
        <v>15</v>
      </c>
      <c r="AW25" s="99">
        <v>7956</v>
      </c>
      <c r="AX25" s="99">
        <v>10</v>
      </c>
      <c r="AY25" s="99">
        <v>5304</v>
      </c>
      <c r="AZ25" s="99">
        <v>15</v>
      </c>
      <c r="BA25" s="99">
        <v>7956</v>
      </c>
      <c r="BB25" s="99">
        <v>14</v>
      </c>
      <c r="BC25" s="99">
        <v>7425.5999999999995</v>
      </c>
      <c r="BD25" s="99">
        <v>17</v>
      </c>
      <c r="BE25" s="99">
        <v>9016.7999999999993</v>
      </c>
      <c r="BF25" s="99">
        <v>11</v>
      </c>
      <c r="BG25" s="99">
        <v>5834.4</v>
      </c>
      <c r="BH25" s="99">
        <v>16</v>
      </c>
      <c r="BI25" s="99">
        <v>8486.4</v>
      </c>
      <c r="BJ25" s="99">
        <v>16</v>
      </c>
      <c r="BK25" s="99">
        <v>8486.4</v>
      </c>
      <c r="BL25" s="99">
        <v>15</v>
      </c>
      <c r="BM25" s="99">
        <v>7956</v>
      </c>
      <c r="BN25" s="99">
        <v>10</v>
      </c>
      <c r="BO25" s="99">
        <v>5304</v>
      </c>
      <c r="BP25" s="99">
        <v>15</v>
      </c>
      <c r="BQ25" s="99">
        <v>7956</v>
      </c>
      <c r="BR25" s="99">
        <v>13</v>
      </c>
      <c r="BS25" s="99">
        <v>6895.2</v>
      </c>
      <c r="BT25" s="99">
        <v>16</v>
      </c>
      <c r="BU25" s="99">
        <v>8486.4</v>
      </c>
      <c r="BV25" s="99">
        <v>10</v>
      </c>
      <c r="BW25" s="99">
        <v>5304</v>
      </c>
      <c r="BX25" s="99">
        <v>12</v>
      </c>
      <c r="BY25" s="99">
        <v>6364.7999999999993</v>
      </c>
      <c r="BZ25" s="99">
        <v>16</v>
      </c>
      <c r="CA25" s="99">
        <v>8486.4</v>
      </c>
      <c r="CB25" s="99">
        <v>17</v>
      </c>
      <c r="CC25" s="99">
        <v>9016.7999999999993</v>
      </c>
      <c r="CD25" s="99">
        <v>14</v>
      </c>
      <c r="CE25" s="99">
        <v>7425.5999999999995</v>
      </c>
      <c r="CF25" s="99">
        <v>14</v>
      </c>
      <c r="CG25" s="99">
        <v>7425.5999999999995</v>
      </c>
      <c r="CH25" s="99">
        <v>13</v>
      </c>
      <c r="CI25" s="99">
        <v>6895.2</v>
      </c>
      <c r="CJ25" s="99">
        <v>16.166480536430825</v>
      </c>
      <c r="CK25" s="99">
        <v>8574.7012765229101</v>
      </c>
      <c r="CL25" s="99">
        <v>11</v>
      </c>
      <c r="CM25" s="99">
        <v>5834.4</v>
      </c>
      <c r="CN25" s="99">
        <v>13</v>
      </c>
      <c r="CO25" s="99">
        <v>6895.2</v>
      </c>
      <c r="CP25" s="99">
        <v>16.972499869270063</v>
      </c>
      <c r="CQ25" s="99">
        <v>9002.2139306608406</v>
      </c>
      <c r="CR25" s="99">
        <v>14.597096465984142</v>
      </c>
      <c r="CS25" s="99">
        <v>7742.2999655579888</v>
      </c>
      <c r="CT25" s="99">
        <v>17.136753899903336</v>
      </c>
      <c r="CU25" s="99">
        <v>9089.33426850873</v>
      </c>
    </row>
    <row r="26" spans="2:99">
      <c r="C26" s="98" t="s">
        <v>192</v>
      </c>
      <c r="D26" s="99">
        <v>9</v>
      </c>
      <c r="E26" s="99">
        <v>4374</v>
      </c>
      <c r="F26" s="99">
        <v>13</v>
      </c>
      <c r="G26" s="99">
        <v>6318</v>
      </c>
      <c r="H26" s="99">
        <v>10</v>
      </c>
      <c r="I26" s="99">
        <v>4860</v>
      </c>
      <c r="J26" s="99">
        <v>17</v>
      </c>
      <c r="K26" s="99">
        <v>8262</v>
      </c>
      <c r="L26" s="99">
        <v>11</v>
      </c>
      <c r="M26" s="99">
        <v>5346</v>
      </c>
      <c r="N26" s="99">
        <v>16</v>
      </c>
      <c r="O26" s="99">
        <v>7776</v>
      </c>
      <c r="P26" s="99">
        <v>18</v>
      </c>
      <c r="Q26" s="99">
        <v>8748</v>
      </c>
      <c r="R26" s="99">
        <v>11</v>
      </c>
      <c r="S26" s="99">
        <v>5346</v>
      </c>
      <c r="T26" s="99">
        <v>8</v>
      </c>
      <c r="U26" s="99">
        <v>3888</v>
      </c>
      <c r="V26" s="99">
        <v>13</v>
      </c>
      <c r="W26" s="99">
        <v>6318</v>
      </c>
      <c r="X26" s="99">
        <v>12</v>
      </c>
      <c r="Y26" s="99">
        <v>5832</v>
      </c>
      <c r="Z26" s="99">
        <v>11</v>
      </c>
      <c r="AA26" s="99">
        <v>5346</v>
      </c>
      <c r="AB26" s="99">
        <v>18</v>
      </c>
      <c r="AC26" s="99">
        <v>8748</v>
      </c>
      <c r="AD26" s="99">
        <v>13</v>
      </c>
      <c r="AE26" s="99">
        <v>6318</v>
      </c>
      <c r="AF26" s="99">
        <v>15</v>
      </c>
      <c r="AG26" s="99">
        <v>7290</v>
      </c>
      <c r="AH26" s="99">
        <v>11</v>
      </c>
      <c r="AI26" s="99">
        <v>5346</v>
      </c>
      <c r="AJ26" s="99">
        <v>12</v>
      </c>
      <c r="AK26" s="99">
        <v>5832</v>
      </c>
      <c r="AL26" s="99">
        <v>13</v>
      </c>
      <c r="AM26" s="99">
        <v>6318</v>
      </c>
      <c r="AN26" s="99">
        <v>14</v>
      </c>
      <c r="AO26" s="99">
        <v>6804</v>
      </c>
      <c r="AP26" s="99">
        <v>16</v>
      </c>
      <c r="AQ26" s="99">
        <v>7776</v>
      </c>
      <c r="AR26" s="99">
        <v>11</v>
      </c>
      <c r="AS26" s="99">
        <v>5346</v>
      </c>
      <c r="AT26" s="99">
        <v>10</v>
      </c>
      <c r="AU26" s="99">
        <v>4860</v>
      </c>
      <c r="AV26" s="99">
        <v>17</v>
      </c>
      <c r="AW26" s="99">
        <v>8262</v>
      </c>
      <c r="AX26" s="99">
        <v>10</v>
      </c>
      <c r="AY26" s="99">
        <v>4860</v>
      </c>
      <c r="AZ26" s="99">
        <v>15</v>
      </c>
      <c r="BA26" s="99">
        <v>7290</v>
      </c>
      <c r="BB26" s="99">
        <v>15</v>
      </c>
      <c r="BC26" s="99">
        <v>7290</v>
      </c>
      <c r="BD26" s="99">
        <v>19</v>
      </c>
      <c r="BE26" s="99">
        <v>9234</v>
      </c>
      <c r="BF26" s="99">
        <v>10</v>
      </c>
      <c r="BG26" s="99">
        <v>4860</v>
      </c>
      <c r="BH26" s="99">
        <v>18</v>
      </c>
      <c r="BI26" s="99">
        <v>8748</v>
      </c>
      <c r="BJ26" s="99">
        <v>16</v>
      </c>
      <c r="BK26" s="99">
        <v>7776</v>
      </c>
      <c r="BL26" s="99">
        <v>16</v>
      </c>
      <c r="BM26" s="99">
        <v>7776</v>
      </c>
      <c r="BN26" s="99">
        <v>9</v>
      </c>
      <c r="BO26" s="99">
        <v>4374</v>
      </c>
      <c r="BP26" s="99">
        <v>15</v>
      </c>
      <c r="BQ26" s="99">
        <v>7290</v>
      </c>
      <c r="BR26" s="99">
        <v>13</v>
      </c>
      <c r="BS26" s="99">
        <v>6318</v>
      </c>
      <c r="BT26" s="99">
        <v>16</v>
      </c>
      <c r="BU26" s="99">
        <v>7776</v>
      </c>
      <c r="BV26" s="99">
        <v>10</v>
      </c>
      <c r="BW26" s="99">
        <v>4860</v>
      </c>
      <c r="BX26" s="99">
        <v>11</v>
      </c>
      <c r="BY26" s="99">
        <v>5346</v>
      </c>
      <c r="BZ26" s="99">
        <v>16</v>
      </c>
      <c r="CA26" s="99">
        <v>7776</v>
      </c>
      <c r="CB26" s="99">
        <v>19</v>
      </c>
      <c r="CC26" s="99">
        <v>9234</v>
      </c>
      <c r="CD26" s="99">
        <v>17</v>
      </c>
      <c r="CE26" s="99">
        <v>8262</v>
      </c>
      <c r="CF26" s="99">
        <v>15</v>
      </c>
      <c r="CG26" s="99">
        <v>7290</v>
      </c>
      <c r="CH26" s="99">
        <v>15</v>
      </c>
      <c r="CI26" s="99">
        <v>7290</v>
      </c>
      <c r="CJ26" s="99">
        <v>13.613878346468063</v>
      </c>
      <c r="CK26" s="99">
        <v>6616.3448763834785</v>
      </c>
      <c r="CL26" s="99">
        <v>11</v>
      </c>
      <c r="CM26" s="99">
        <v>5346</v>
      </c>
      <c r="CN26" s="99">
        <v>12</v>
      </c>
      <c r="CO26" s="99">
        <v>5832</v>
      </c>
      <c r="CP26" s="99">
        <v>15.974117524018881</v>
      </c>
      <c r="CQ26" s="99">
        <v>7763.4211166731766</v>
      </c>
      <c r="CR26" s="99">
        <v>15.570236230383086</v>
      </c>
      <c r="CS26" s="99">
        <v>7567.1348079661802</v>
      </c>
      <c r="CT26" s="99">
        <v>17.136753899903336</v>
      </c>
      <c r="CU26" s="99">
        <v>8328.4623953530208</v>
      </c>
    </row>
    <row r="27" spans="2:99">
      <c r="C27" s="98" t="s">
        <v>193</v>
      </c>
      <c r="D27" s="99">
        <v>11</v>
      </c>
      <c r="E27" s="99">
        <v>4699.2</v>
      </c>
      <c r="F27" s="99">
        <v>14</v>
      </c>
      <c r="G27" s="99">
        <v>5980.8</v>
      </c>
      <c r="H27" s="99">
        <v>10</v>
      </c>
      <c r="I27" s="99">
        <v>4272</v>
      </c>
      <c r="J27" s="99">
        <v>15</v>
      </c>
      <c r="K27" s="99">
        <v>6408</v>
      </c>
      <c r="L27" s="99">
        <v>13</v>
      </c>
      <c r="M27" s="99">
        <v>5553.5999999999995</v>
      </c>
      <c r="N27" s="99">
        <v>17</v>
      </c>
      <c r="O27" s="99">
        <v>7262.4</v>
      </c>
      <c r="P27" s="99">
        <v>18</v>
      </c>
      <c r="Q27" s="99">
        <v>7689.5999999999995</v>
      </c>
      <c r="R27" s="99">
        <v>13</v>
      </c>
      <c r="S27" s="99">
        <v>5553.5999999999995</v>
      </c>
      <c r="T27" s="99">
        <v>10</v>
      </c>
      <c r="U27" s="99">
        <v>4272</v>
      </c>
      <c r="V27" s="99">
        <v>12</v>
      </c>
      <c r="W27" s="99">
        <v>5126.3999999999996</v>
      </c>
      <c r="X27" s="99">
        <v>12</v>
      </c>
      <c r="Y27" s="99">
        <v>5126.3999999999996</v>
      </c>
      <c r="Z27" s="99">
        <v>12</v>
      </c>
      <c r="AA27" s="99">
        <v>5126.3999999999996</v>
      </c>
      <c r="AB27" s="99">
        <v>17</v>
      </c>
      <c r="AC27" s="99">
        <v>7262.4</v>
      </c>
      <c r="AD27" s="99">
        <v>13</v>
      </c>
      <c r="AE27" s="99">
        <v>5553.5999999999995</v>
      </c>
      <c r="AF27" s="99">
        <v>17</v>
      </c>
      <c r="AG27" s="99">
        <v>7262.4</v>
      </c>
      <c r="AH27" s="99">
        <v>11</v>
      </c>
      <c r="AI27" s="99">
        <v>4699.2</v>
      </c>
      <c r="AJ27" s="99">
        <v>12</v>
      </c>
      <c r="AK27" s="99">
        <v>5126.3999999999996</v>
      </c>
      <c r="AL27" s="99">
        <v>14</v>
      </c>
      <c r="AM27" s="99">
        <v>5980.8</v>
      </c>
      <c r="AN27" s="99">
        <v>15</v>
      </c>
      <c r="AO27" s="99">
        <v>6408</v>
      </c>
      <c r="AP27" s="99">
        <v>18</v>
      </c>
      <c r="AQ27" s="99">
        <v>7689.5999999999995</v>
      </c>
      <c r="AR27" s="99">
        <v>11</v>
      </c>
      <c r="AS27" s="99">
        <v>4699.2</v>
      </c>
      <c r="AT27" s="99">
        <v>11</v>
      </c>
      <c r="AU27" s="99">
        <v>4699.2</v>
      </c>
      <c r="AV27" s="99">
        <v>15</v>
      </c>
      <c r="AW27" s="99">
        <v>6408</v>
      </c>
      <c r="AX27" s="99">
        <v>11</v>
      </c>
      <c r="AY27" s="99">
        <v>4699.2</v>
      </c>
      <c r="AZ27" s="99">
        <v>14</v>
      </c>
      <c r="BA27" s="99">
        <v>5980.8</v>
      </c>
      <c r="BB27" s="99">
        <v>15</v>
      </c>
      <c r="BC27" s="99">
        <v>6408</v>
      </c>
      <c r="BD27" s="99">
        <v>18</v>
      </c>
      <c r="BE27" s="99">
        <v>7689.5999999999995</v>
      </c>
      <c r="BF27" s="99">
        <v>12</v>
      </c>
      <c r="BG27" s="99">
        <v>5126.3999999999996</v>
      </c>
      <c r="BH27" s="99">
        <v>17</v>
      </c>
      <c r="BI27" s="99">
        <v>7262.4</v>
      </c>
      <c r="BJ27" s="99">
        <v>15</v>
      </c>
      <c r="BK27" s="99">
        <v>6408</v>
      </c>
      <c r="BL27" s="99">
        <v>16</v>
      </c>
      <c r="BM27" s="99">
        <v>6835.2</v>
      </c>
      <c r="BN27" s="99">
        <v>10</v>
      </c>
      <c r="BO27" s="99">
        <v>4272</v>
      </c>
      <c r="BP27" s="99">
        <v>15</v>
      </c>
      <c r="BQ27" s="99">
        <v>6408</v>
      </c>
      <c r="BR27" s="99">
        <v>12</v>
      </c>
      <c r="BS27" s="99">
        <v>5126.3999999999996</v>
      </c>
      <c r="BT27" s="99">
        <v>15</v>
      </c>
      <c r="BU27" s="99">
        <v>6408</v>
      </c>
      <c r="BV27" s="99">
        <v>11</v>
      </c>
      <c r="BW27" s="99">
        <v>4699.2</v>
      </c>
      <c r="BX27" s="99">
        <v>11</v>
      </c>
      <c r="BY27" s="99">
        <v>4699.2</v>
      </c>
      <c r="BZ27" s="99">
        <v>17</v>
      </c>
      <c r="CA27" s="99">
        <v>7262.4</v>
      </c>
      <c r="CB27" s="99">
        <v>21</v>
      </c>
      <c r="CC27" s="99">
        <v>8971.1999999999989</v>
      </c>
      <c r="CD27" s="99">
        <v>16</v>
      </c>
      <c r="CE27" s="99">
        <v>6835.2</v>
      </c>
      <c r="CF27" s="99">
        <v>16</v>
      </c>
      <c r="CG27" s="99">
        <v>6835.2</v>
      </c>
      <c r="CH27" s="99">
        <v>13</v>
      </c>
      <c r="CI27" s="99">
        <v>5553.5999999999995</v>
      </c>
      <c r="CJ27" s="99">
        <v>15.315613139776572</v>
      </c>
      <c r="CK27" s="99">
        <v>6542.8299333125515</v>
      </c>
      <c r="CL27" s="99">
        <v>12</v>
      </c>
      <c r="CM27" s="99">
        <v>5126.3999999999996</v>
      </c>
      <c r="CN27" s="99">
        <v>13</v>
      </c>
      <c r="CO27" s="99">
        <v>5553.5999999999995</v>
      </c>
      <c r="CP27" s="99">
        <v>15.974117524018881</v>
      </c>
      <c r="CQ27" s="99">
        <v>6824.1430062608661</v>
      </c>
      <c r="CR27" s="99">
        <v>15.570236230383086</v>
      </c>
      <c r="CS27" s="99">
        <v>6651.6049176196539</v>
      </c>
      <c r="CT27" s="99">
        <v>16.234819484118951</v>
      </c>
      <c r="CU27" s="99">
        <v>6935.5148836156159</v>
      </c>
    </row>
    <row r="28" spans="2:99">
      <c r="C28" s="98" t="s">
        <v>194</v>
      </c>
      <c r="D28" s="99">
        <v>9</v>
      </c>
      <c r="E28" s="99">
        <v>6642</v>
      </c>
      <c r="F28" s="99">
        <v>13</v>
      </c>
      <c r="G28" s="99">
        <v>9594</v>
      </c>
      <c r="H28" s="99">
        <v>10</v>
      </c>
      <c r="I28" s="99">
        <v>7380</v>
      </c>
      <c r="J28" s="99">
        <v>16</v>
      </c>
      <c r="K28" s="99">
        <v>11808</v>
      </c>
      <c r="L28" s="99">
        <v>12</v>
      </c>
      <c r="M28" s="99">
        <v>8856</v>
      </c>
      <c r="N28" s="99">
        <v>15</v>
      </c>
      <c r="O28" s="99">
        <v>11070</v>
      </c>
      <c r="P28" s="99">
        <v>16</v>
      </c>
      <c r="Q28" s="99">
        <v>11808</v>
      </c>
      <c r="R28" s="99">
        <v>11</v>
      </c>
      <c r="S28" s="99">
        <v>8118</v>
      </c>
      <c r="T28" s="99">
        <v>9</v>
      </c>
      <c r="U28" s="99">
        <v>6642</v>
      </c>
      <c r="V28" s="99">
        <v>11</v>
      </c>
      <c r="W28" s="99">
        <v>8118</v>
      </c>
      <c r="X28" s="99">
        <v>12</v>
      </c>
      <c r="Y28" s="99">
        <v>8856</v>
      </c>
      <c r="Z28" s="99">
        <v>11</v>
      </c>
      <c r="AA28" s="99">
        <v>8118</v>
      </c>
      <c r="AB28" s="99">
        <v>17</v>
      </c>
      <c r="AC28" s="99">
        <v>12546</v>
      </c>
      <c r="AD28" s="99">
        <v>11</v>
      </c>
      <c r="AE28" s="99">
        <v>8118</v>
      </c>
      <c r="AF28" s="99">
        <v>16</v>
      </c>
      <c r="AG28" s="99">
        <v>11808</v>
      </c>
      <c r="AH28" s="99">
        <v>10</v>
      </c>
      <c r="AI28" s="99">
        <v>7380</v>
      </c>
      <c r="AJ28" s="99">
        <v>14</v>
      </c>
      <c r="AK28" s="99">
        <v>10332</v>
      </c>
      <c r="AL28" s="99">
        <v>14</v>
      </c>
      <c r="AM28" s="99">
        <v>10332</v>
      </c>
      <c r="AN28" s="99">
        <v>16</v>
      </c>
      <c r="AO28" s="99">
        <v>11808</v>
      </c>
      <c r="AP28" s="99">
        <v>17</v>
      </c>
      <c r="AQ28" s="99">
        <v>12546</v>
      </c>
      <c r="AR28" s="99">
        <v>11</v>
      </c>
      <c r="AS28" s="99">
        <v>8118</v>
      </c>
      <c r="AT28" s="99">
        <v>10</v>
      </c>
      <c r="AU28" s="99">
        <v>7380</v>
      </c>
      <c r="AV28" s="99">
        <v>15</v>
      </c>
      <c r="AW28" s="99">
        <v>11070</v>
      </c>
      <c r="AX28" s="99">
        <v>11</v>
      </c>
      <c r="AY28" s="99">
        <v>8118</v>
      </c>
      <c r="AZ28" s="99">
        <v>15</v>
      </c>
      <c r="BA28" s="99">
        <v>11070</v>
      </c>
      <c r="BB28" s="99">
        <v>14</v>
      </c>
      <c r="BC28" s="99">
        <v>10332</v>
      </c>
      <c r="BD28" s="99">
        <v>17</v>
      </c>
      <c r="BE28" s="99">
        <v>12546</v>
      </c>
      <c r="BF28" s="99">
        <v>12</v>
      </c>
      <c r="BG28" s="99">
        <v>8856</v>
      </c>
      <c r="BH28" s="99">
        <v>19</v>
      </c>
      <c r="BI28" s="99">
        <v>14022</v>
      </c>
      <c r="BJ28" s="99">
        <v>16</v>
      </c>
      <c r="BK28" s="99">
        <v>11808</v>
      </c>
      <c r="BL28" s="99">
        <v>14</v>
      </c>
      <c r="BM28" s="99">
        <v>10332</v>
      </c>
      <c r="BN28" s="99">
        <v>10</v>
      </c>
      <c r="BO28" s="99">
        <v>7380</v>
      </c>
      <c r="BP28" s="99">
        <v>15</v>
      </c>
      <c r="BQ28" s="99">
        <v>11070</v>
      </c>
      <c r="BR28" s="99">
        <v>12</v>
      </c>
      <c r="BS28" s="99">
        <v>8856</v>
      </c>
      <c r="BT28" s="99">
        <v>17</v>
      </c>
      <c r="BU28" s="99">
        <v>12546</v>
      </c>
      <c r="BV28" s="99">
        <v>10</v>
      </c>
      <c r="BW28" s="99">
        <v>7380</v>
      </c>
      <c r="BX28" s="99">
        <v>11</v>
      </c>
      <c r="BY28" s="99">
        <v>8118</v>
      </c>
      <c r="BZ28" s="99">
        <v>15</v>
      </c>
      <c r="CA28" s="99">
        <v>11070</v>
      </c>
      <c r="CB28" s="99">
        <v>20</v>
      </c>
      <c r="CC28" s="99">
        <v>14760</v>
      </c>
      <c r="CD28" s="99">
        <v>15</v>
      </c>
      <c r="CE28" s="99">
        <v>11070</v>
      </c>
      <c r="CF28" s="99">
        <v>15</v>
      </c>
      <c r="CG28" s="99">
        <v>11070</v>
      </c>
      <c r="CH28" s="99">
        <v>15</v>
      </c>
      <c r="CI28" s="99">
        <v>11070</v>
      </c>
      <c r="CJ28" s="99">
        <v>14.464745743122318</v>
      </c>
      <c r="CK28" s="99">
        <v>10674.982358424271</v>
      </c>
      <c r="CL28" s="99">
        <v>11</v>
      </c>
      <c r="CM28" s="99">
        <v>8118</v>
      </c>
      <c r="CN28" s="99">
        <v>12</v>
      </c>
      <c r="CO28" s="99">
        <v>8856</v>
      </c>
      <c r="CP28" s="99">
        <v>15.974117524018881</v>
      </c>
      <c r="CQ28" s="99">
        <v>11788.898732725935</v>
      </c>
      <c r="CR28" s="99">
        <v>13.6239567015852</v>
      </c>
      <c r="CS28" s="99">
        <v>10054.480045769878</v>
      </c>
      <c r="CT28" s="99">
        <v>15.332885068334564</v>
      </c>
      <c r="CU28" s="99">
        <v>11315.669180430908</v>
      </c>
    </row>
    <row r="29" spans="2:99">
      <c r="C29" s="98" t="s">
        <v>195</v>
      </c>
      <c r="D29" s="99">
        <v>11</v>
      </c>
      <c r="E29" s="99">
        <v>3722.3999999999996</v>
      </c>
      <c r="F29" s="99">
        <v>15</v>
      </c>
      <c r="G29" s="99">
        <v>5076</v>
      </c>
      <c r="H29" s="99">
        <v>10</v>
      </c>
      <c r="I29" s="99">
        <v>3384</v>
      </c>
      <c r="J29" s="99">
        <v>18</v>
      </c>
      <c r="K29" s="99">
        <v>6091.2</v>
      </c>
      <c r="L29" s="99">
        <v>13</v>
      </c>
      <c r="M29" s="99">
        <v>4399.2</v>
      </c>
      <c r="N29" s="99">
        <v>15</v>
      </c>
      <c r="O29" s="99">
        <v>5076</v>
      </c>
      <c r="P29" s="99">
        <v>18</v>
      </c>
      <c r="Q29" s="99">
        <v>6091.2</v>
      </c>
      <c r="R29" s="99">
        <v>12</v>
      </c>
      <c r="S29" s="99">
        <v>4060.7999999999997</v>
      </c>
      <c r="T29" s="99">
        <v>10</v>
      </c>
      <c r="U29" s="99">
        <v>3384</v>
      </c>
      <c r="V29" s="99">
        <v>12</v>
      </c>
      <c r="W29" s="99">
        <v>4060.7999999999997</v>
      </c>
      <c r="X29" s="99">
        <v>12</v>
      </c>
      <c r="Y29" s="99">
        <v>4060.7999999999997</v>
      </c>
      <c r="Z29" s="99">
        <v>12</v>
      </c>
      <c r="AA29" s="99">
        <v>4060.7999999999997</v>
      </c>
      <c r="AB29" s="99">
        <v>19</v>
      </c>
      <c r="AC29" s="99">
        <v>6429.5999999999995</v>
      </c>
      <c r="AD29" s="99">
        <v>12</v>
      </c>
      <c r="AE29" s="99">
        <v>4060.7999999999997</v>
      </c>
      <c r="AF29" s="99">
        <v>16</v>
      </c>
      <c r="AG29" s="99">
        <v>5414.4</v>
      </c>
      <c r="AH29" s="99">
        <v>11</v>
      </c>
      <c r="AI29" s="99">
        <v>3722.3999999999996</v>
      </c>
      <c r="AJ29" s="99">
        <v>13</v>
      </c>
      <c r="AK29" s="99">
        <v>4399.2</v>
      </c>
      <c r="AL29" s="99">
        <v>14</v>
      </c>
      <c r="AM29" s="99">
        <v>4737.5999999999995</v>
      </c>
      <c r="AN29" s="99">
        <v>16</v>
      </c>
      <c r="AO29" s="99">
        <v>5414.4</v>
      </c>
      <c r="AP29" s="99">
        <v>16</v>
      </c>
      <c r="AQ29" s="99">
        <v>5414.4</v>
      </c>
      <c r="AR29" s="99">
        <v>12</v>
      </c>
      <c r="AS29" s="99">
        <v>4060.7999999999997</v>
      </c>
      <c r="AT29" s="99">
        <v>12</v>
      </c>
      <c r="AU29" s="99">
        <v>4060.7999999999997</v>
      </c>
      <c r="AV29" s="99">
        <v>15</v>
      </c>
      <c r="AW29" s="99">
        <v>5076</v>
      </c>
      <c r="AX29" s="99">
        <v>11</v>
      </c>
      <c r="AY29" s="99">
        <v>3722.3999999999996</v>
      </c>
      <c r="AZ29" s="99">
        <v>16</v>
      </c>
      <c r="BA29" s="99">
        <v>5414.4</v>
      </c>
      <c r="BB29" s="99">
        <v>15</v>
      </c>
      <c r="BC29" s="99">
        <v>5076</v>
      </c>
      <c r="BD29" s="99">
        <v>18</v>
      </c>
      <c r="BE29" s="99">
        <v>6091.2</v>
      </c>
      <c r="BF29" s="99">
        <v>12</v>
      </c>
      <c r="BG29" s="99">
        <v>4060.7999999999997</v>
      </c>
      <c r="BH29" s="99">
        <v>18</v>
      </c>
      <c r="BI29" s="99">
        <v>6091.2</v>
      </c>
      <c r="BJ29" s="99">
        <v>18</v>
      </c>
      <c r="BK29" s="99">
        <v>6091.2</v>
      </c>
      <c r="BL29" s="99">
        <v>14</v>
      </c>
      <c r="BM29" s="99">
        <v>4737.5999999999995</v>
      </c>
      <c r="BN29" s="99">
        <v>10</v>
      </c>
      <c r="BO29" s="99">
        <v>3384</v>
      </c>
      <c r="BP29" s="99">
        <v>17</v>
      </c>
      <c r="BQ29" s="99">
        <v>5752.7999999999993</v>
      </c>
      <c r="BR29" s="99">
        <v>14</v>
      </c>
      <c r="BS29" s="99">
        <v>4737.5999999999995</v>
      </c>
      <c r="BT29" s="99">
        <v>15</v>
      </c>
      <c r="BU29" s="99">
        <v>5076</v>
      </c>
      <c r="BV29" s="99">
        <v>10</v>
      </c>
      <c r="BW29" s="99">
        <v>3384</v>
      </c>
      <c r="BX29" s="99">
        <v>11</v>
      </c>
      <c r="BY29" s="99">
        <v>3722.3999999999996</v>
      </c>
      <c r="BZ29" s="99">
        <v>16</v>
      </c>
      <c r="CA29" s="99">
        <v>5414.4</v>
      </c>
      <c r="CB29" s="99">
        <v>18</v>
      </c>
      <c r="CC29" s="99">
        <v>6091.2</v>
      </c>
      <c r="CD29" s="99">
        <v>14</v>
      </c>
      <c r="CE29" s="99">
        <v>4737.5999999999995</v>
      </c>
      <c r="CF29" s="99">
        <v>14</v>
      </c>
      <c r="CG29" s="99">
        <v>4737.5999999999995</v>
      </c>
      <c r="CH29" s="99">
        <v>15</v>
      </c>
      <c r="CI29" s="99">
        <v>5076</v>
      </c>
      <c r="CJ29" s="99">
        <v>14.464745743122318</v>
      </c>
      <c r="CK29" s="99">
        <v>4894.8699594725922</v>
      </c>
      <c r="CL29" s="99">
        <v>12</v>
      </c>
      <c r="CM29" s="99">
        <v>4060.7999999999997</v>
      </c>
      <c r="CN29" s="99">
        <v>12</v>
      </c>
      <c r="CO29" s="99">
        <v>4060.7999999999997</v>
      </c>
      <c r="CP29" s="99">
        <v>15.974117524018881</v>
      </c>
      <c r="CQ29" s="99">
        <v>5405.6413701279889</v>
      </c>
      <c r="CR29" s="99">
        <v>15.570236230383086</v>
      </c>
      <c r="CS29" s="99">
        <v>5268.9679403616365</v>
      </c>
      <c r="CT29" s="99">
        <v>15.332885068334564</v>
      </c>
      <c r="CU29" s="99">
        <v>5188.6483071244156</v>
      </c>
    </row>
    <row r="30" spans="2:99">
      <c r="C30" s="98" t="s">
        <v>196</v>
      </c>
      <c r="D30" s="99">
        <v>10</v>
      </c>
      <c r="E30" s="99">
        <v>1392</v>
      </c>
      <c r="F30" s="99">
        <v>13</v>
      </c>
      <c r="G30" s="99">
        <v>1809.6</v>
      </c>
      <c r="H30" s="99">
        <v>10</v>
      </c>
      <c r="I30" s="99">
        <v>1392</v>
      </c>
      <c r="J30" s="99">
        <v>17</v>
      </c>
      <c r="K30" s="99">
        <v>2366.3999999999996</v>
      </c>
      <c r="L30" s="99">
        <v>11</v>
      </c>
      <c r="M30" s="99">
        <v>1531.1999999999998</v>
      </c>
      <c r="N30" s="99">
        <v>17</v>
      </c>
      <c r="O30" s="99">
        <v>2366.3999999999996</v>
      </c>
      <c r="P30" s="99">
        <v>18</v>
      </c>
      <c r="Q30" s="99">
        <v>2505.6</v>
      </c>
      <c r="R30" s="99">
        <v>14</v>
      </c>
      <c r="S30" s="99">
        <v>1948.7999999999997</v>
      </c>
      <c r="T30" s="99">
        <v>9</v>
      </c>
      <c r="U30" s="99">
        <v>1252.8</v>
      </c>
      <c r="V30" s="99">
        <v>12</v>
      </c>
      <c r="W30" s="99">
        <v>1670.3999999999999</v>
      </c>
      <c r="X30" s="99">
        <v>12</v>
      </c>
      <c r="Y30" s="99">
        <v>1670.3999999999999</v>
      </c>
      <c r="Z30" s="99">
        <v>12</v>
      </c>
      <c r="AA30" s="99">
        <v>1670.3999999999999</v>
      </c>
      <c r="AB30" s="99">
        <v>19</v>
      </c>
      <c r="AC30" s="99">
        <v>2644.7999999999997</v>
      </c>
      <c r="AD30" s="99">
        <v>11</v>
      </c>
      <c r="AE30" s="99">
        <v>1531.1999999999998</v>
      </c>
      <c r="AF30" s="99">
        <v>16</v>
      </c>
      <c r="AG30" s="99">
        <v>2227.1999999999998</v>
      </c>
      <c r="AH30" s="99">
        <v>10</v>
      </c>
      <c r="AI30" s="99">
        <v>1392</v>
      </c>
      <c r="AJ30" s="99">
        <v>13</v>
      </c>
      <c r="AK30" s="99">
        <v>1809.6</v>
      </c>
      <c r="AL30" s="99">
        <v>13</v>
      </c>
      <c r="AM30" s="99">
        <v>1809.6</v>
      </c>
      <c r="AN30" s="99">
        <v>15</v>
      </c>
      <c r="AO30" s="99">
        <v>2088</v>
      </c>
      <c r="AP30" s="99">
        <v>16</v>
      </c>
      <c r="AQ30" s="99">
        <v>2227.1999999999998</v>
      </c>
      <c r="AR30" s="99">
        <v>13</v>
      </c>
      <c r="AS30" s="99">
        <v>1809.6</v>
      </c>
      <c r="AT30" s="99">
        <v>12</v>
      </c>
      <c r="AU30" s="99">
        <v>1670.3999999999999</v>
      </c>
      <c r="AV30" s="99">
        <v>17</v>
      </c>
      <c r="AW30" s="99">
        <v>2366.3999999999996</v>
      </c>
      <c r="AX30" s="99">
        <v>11</v>
      </c>
      <c r="AY30" s="99">
        <v>1531.1999999999998</v>
      </c>
      <c r="AZ30" s="99">
        <v>15</v>
      </c>
      <c r="BA30" s="99">
        <v>2088</v>
      </c>
      <c r="BB30" s="99">
        <v>17</v>
      </c>
      <c r="BC30" s="99">
        <v>2366.3999999999996</v>
      </c>
      <c r="BD30" s="99">
        <v>19</v>
      </c>
      <c r="BE30" s="99">
        <v>2644.7999999999997</v>
      </c>
      <c r="BF30" s="99">
        <v>12</v>
      </c>
      <c r="BG30" s="99">
        <v>1670.3999999999999</v>
      </c>
      <c r="BH30" s="99">
        <v>18</v>
      </c>
      <c r="BI30" s="99">
        <v>2505.6</v>
      </c>
      <c r="BJ30" s="99">
        <v>16</v>
      </c>
      <c r="BK30" s="99">
        <v>2227.1999999999998</v>
      </c>
      <c r="BL30" s="99">
        <v>16</v>
      </c>
      <c r="BM30" s="99">
        <v>2227.1999999999998</v>
      </c>
      <c r="BN30" s="99">
        <v>10</v>
      </c>
      <c r="BO30" s="99">
        <v>1392</v>
      </c>
      <c r="BP30" s="99">
        <v>16</v>
      </c>
      <c r="BQ30" s="99">
        <v>2227.1999999999998</v>
      </c>
      <c r="BR30" s="99">
        <v>14</v>
      </c>
      <c r="BS30" s="99">
        <v>1948.7999999999997</v>
      </c>
      <c r="BT30" s="99">
        <v>18</v>
      </c>
      <c r="BU30" s="99">
        <v>2505.6</v>
      </c>
      <c r="BV30" s="99">
        <v>11</v>
      </c>
      <c r="BW30" s="99">
        <v>1531.1999999999998</v>
      </c>
      <c r="BX30" s="99">
        <v>12</v>
      </c>
      <c r="BY30" s="99">
        <v>1670.3999999999999</v>
      </c>
      <c r="BZ30" s="99">
        <v>17</v>
      </c>
      <c r="CA30" s="99">
        <v>2366.3999999999996</v>
      </c>
      <c r="CB30" s="99">
        <v>21</v>
      </c>
      <c r="CC30" s="99">
        <v>2923.2</v>
      </c>
      <c r="CD30" s="99">
        <v>17</v>
      </c>
      <c r="CE30" s="99">
        <v>2366.3999999999996</v>
      </c>
      <c r="CF30" s="99">
        <v>16</v>
      </c>
      <c r="CG30" s="99">
        <v>2227.1999999999998</v>
      </c>
      <c r="CH30" s="99">
        <v>15</v>
      </c>
      <c r="CI30" s="99">
        <v>2088</v>
      </c>
      <c r="CJ30" s="99">
        <v>14.464745743122318</v>
      </c>
      <c r="CK30" s="99">
        <v>2013.4926074426264</v>
      </c>
      <c r="CL30" s="99">
        <v>10</v>
      </c>
      <c r="CM30" s="99">
        <v>1392</v>
      </c>
      <c r="CN30" s="99">
        <v>13</v>
      </c>
      <c r="CO30" s="99">
        <v>1809.6</v>
      </c>
      <c r="CP30" s="99">
        <v>13.977352833516523</v>
      </c>
      <c r="CQ30" s="99">
        <v>1945.6475144254998</v>
      </c>
      <c r="CR30" s="99">
        <v>13.6239567015852</v>
      </c>
      <c r="CS30" s="99">
        <v>1896.4547728606597</v>
      </c>
      <c r="CT30" s="99">
        <v>18.940622731472107</v>
      </c>
      <c r="CU30" s="99">
        <v>2636.5346842209169</v>
      </c>
    </row>
    <row r="31" spans="2:99">
      <c r="C31" s="98" t="s">
        <v>197</v>
      </c>
      <c r="D31" s="99">
        <v>11</v>
      </c>
      <c r="E31" s="99">
        <v>3748.8</v>
      </c>
      <c r="F31" s="99">
        <v>13</v>
      </c>
      <c r="G31" s="99">
        <v>4430.4000000000005</v>
      </c>
      <c r="H31" s="99">
        <v>11</v>
      </c>
      <c r="I31" s="99">
        <v>3748.8</v>
      </c>
      <c r="J31" s="99">
        <v>17</v>
      </c>
      <c r="K31" s="99">
        <v>5793.6</v>
      </c>
      <c r="L31" s="99">
        <v>13</v>
      </c>
      <c r="M31" s="99">
        <v>4430.4000000000005</v>
      </c>
      <c r="N31" s="99">
        <v>14</v>
      </c>
      <c r="O31" s="99">
        <v>4771.2</v>
      </c>
      <c r="P31" s="99">
        <v>18</v>
      </c>
      <c r="Q31" s="99">
        <v>6134.4000000000005</v>
      </c>
      <c r="R31" s="99">
        <v>12</v>
      </c>
      <c r="S31" s="99">
        <v>4089.6000000000004</v>
      </c>
      <c r="T31" s="99">
        <v>8</v>
      </c>
      <c r="U31" s="99">
        <v>2726.4</v>
      </c>
      <c r="V31" s="99">
        <v>14</v>
      </c>
      <c r="W31" s="99">
        <v>4771.2</v>
      </c>
      <c r="X31" s="99">
        <v>11</v>
      </c>
      <c r="Y31" s="99">
        <v>3748.8</v>
      </c>
      <c r="Z31" s="99">
        <v>11</v>
      </c>
      <c r="AA31" s="99">
        <v>3748.8</v>
      </c>
      <c r="AB31" s="99">
        <v>18</v>
      </c>
      <c r="AC31" s="99">
        <v>6134.4000000000005</v>
      </c>
      <c r="AD31" s="99">
        <v>11</v>
      </c>
      <c r="AE31" s="99">
        <v>3748.8</v>
      </c>
      <c r="AF31" s="99">
        <v>16</v>
      </c>
      <c r="AG31" s="99">
        <v>5452.8</v>
      </c>
      <c r="AH31" s="99">
        <v>10</v>
      </c>
      <c r="AI31" s="99">
        <v>3408</v>
      </c>
      <c r="AJ31" s="99">
        <v>13</v>
      </c>
      <c r="AK31" s="99">
        <v>4430.4000000000005</v>
      </c>
      <c r="AL31" s="99">
        <v>15</v>
      </c>
      <c r="AM31" s="99">
        <v>5112</v>
      </c>
      <c r="AN31" s="99">
        <v>16</v>
      </c>
      <c r="AO31" s="99">
        <v>5452.8</v>
      </c>
      <c r="AP31" s="99">
        <v>16</v>
      </c>
      <c r="AQ31" s="99">
        <v>5452.8</v>
      </c>
      <c r="AR31" s="99">
        <v>12</v>
      </c>
      <c r="AS31" s="99">
        <v>4089.6000000000004</v>
      </c>
      <c r="AT31" s="99">
        <v>11</v>
      </c>
      <c r="AU31" s="99">
        <v>3748.8</v>
      </c>
      <c r="AV31" s="99">
        <v>16</v>
      </c>
      <c r="AW31" s="99">
        <v>5452.8</v>
      </c>
      <c r="AX31" s="99">
        <v>11</v>
      </c>
      <c r="AY31" s="99">
        <v>3748.8</v>
      </c>
      <c r="AZ31" s="99">
        <v>14</v>
      </c>
      <c r="BA31" s="99">
        <v>4771.2</v>
      </c>
      <c r="BB31" s="99">
        <v>16</v>
      </c>
      <c r="BC31" s="99">
        <v>5452.8</v>
      </c>
      <c r="BD31" s="99">
        <v>18</v>
      </c>
      <c r="BE31" s="99">
        <v>6134.4000000000005</v>
      </c>
      <c r="BF31" s="99">
        <v>11</v>
      </c>
      <c r="BG31" s="99">
        <v>3748.8</v>
      </c>
      <c r="BH31" s="99">
        <v>17</v>
      </c>
      <c r="BI31" s="99">
        <v>5793.6</v>
      </c>
      <c r="BJ31" s="99">
        <v>15</v>
      </c>
      <c r="BK31" s="99">
        <v>5112</v>
      </c>
      <c r="BL31" s="99">
        <v>16</v>
      </c>
      <c r="BM31" s="99">
        <v>5452.8</v>
      </c>
      <c r="BN31" s="99">
        <v>9</v>
      </c>
      <c r="BO31" s="99">
        <v>3067.2000000000003</v>
      </c>
      <c r="BP31" s="99">
        <v>17</v>
      </c>
      <c r="BQ31" s="99">
        <v>5793.6</v>
      </c>
      <c r="BR31" s="99">
        <v>14</v>
      </c>
      <c r="BS31" s="99">
        <v>4771.2</v>
      </c>
      <c r="BT31" s="99">
        <v>16</v>
      </c>
      <c r="BU31" s="99">
        <v>5452.8</v>
      </c>
      <c r="BV31" s="99">
        <v>11</v>
      </c>
      <c r="BW31" s="99">
        <v>3748.8</v>
      </c>
      <c r="BX31" s="99">
        <v>11</v>
      </c>
      <c r="BY31" s="99">
        <v>3748.8</v>
      </c>
      <c r="BZ31" s="99">
        <v>16</v>
      </c>
      <c r="CA31" s="99">
        <v>5452.8</v>
      </c>
      <c r="CB31" s="99">
        <v>17</v>
      </c>
      <c r="CC31" s="99">
        <v>5793.6</v>
      </c>
      <c r="CD31" s="99">
        <v>17</v>
      </c>
      <c r="CE31" s="99">
        <v>5793.6</v>
      </c>
      <c r="CF31" s="99">
        <v>14</v>
      </c>
      <c r="CG31" s="99">
        <v>4771.2</v>
      </c>
      <c r="CH31" s="99">
        <v>13</v>
      </c>
      <c r="CI31" s="99">
        <v>4430.4000000000005</v>
      </c>
      <c r="CJ31" s="99">
        <v>14.464745743122318</v>
      </c>
      <c r="CK31" s="99">
        <v>4929.5853492560864</v>
      </c>
      <c r="CL31" s="99">
        <v>11</v>
      </c>
      <c r="CM31" s="99">
        <v>3748.8</v>
      </c>
      <c r="CN31" s="99">
        <v>12</v>
      </c>
      <c r="CO31" s="99">
        <v>4089.6000000000004</v>
      </c>
      <c r="CP31" s="99">
        <v>13.977352833516523</v>
      </c>
      <c r="CQ31" s="99">
        <v>4763.4818456624316</v>
      </c>
      <c r="CR31" s="99">
        <v>13.6239567015852</v>
      </c>
      <c r="CS31" s="99">
        <v>4643.0444439002367</v>
      </c>
      <c r="CT31" s="99">
        <v>18.038688315687722</v>
      </c>
      <c r="CU31" s="99">
        <v>6147.5849779863756</v>
      </c>
    </row>
    <row r="32" spans="2:99">
      <c r="C32" s="98" t="s">
        <v>198</v>
      </c>
      <c r="D32" s="99">
        <v>10</v>
      </c>
      <c r="E32" s="99">
        <v>8400</v>
      </c>
      <c r="F32" s="99">
        <v>12</v>
      </c>
      <c r="G32" s="99">
        <v>10080</v>
      </c>
      <c r="H32" s="99">
        <v>10</v>
      </c>
      <c r="I32" s="99">
        <v>8400</v>
      </c>
      <c r="J32" s="99">
        <v>16</v>
      </c>
      <c r="K32" s="99">
        <v>13440</v>
      </c>
      <c r="L32" s="99">
        <v>11</v>
      </c>
      <c r="M32" s="99">
        <v>9240</v>
      </c>
      <c r="N32" s="99">
        <v>16</v>
      </c>
      <c r="O32" s="99">
        <v>13440</v>
      </c>
      <c r="P32" s="99">
        <v>16</v>
      </c>
      <c r="Q32" s="99">
        <v>13440</v>
      </c>
      <c r="R32" s="99">
        <v>13</v>
      </c>
      <c r="S32" s="99">
        <v>10920</v>
      </c>
      <c r="T32" s="99">
        <v>8</v>
      </c>
      <c r="U32" s="99">
        <v>6720</v>
      </c>
      <c r="V32" s="99">
        <v>11</v>
      </c>
      <c r="W32" s="99">
        <v>9240</v>
      </c>
      <c r="X32" s="99">
        <v>12</v>
      </c>
      <c r="Y32" s="99">
        <v>10080</v>
      </c>
      <c r="Z32" s="99">
        <v>11</v>
      </c>
      <c r="AA32" s="99">
        <v>9240</v>
      </c>
      <c r="AB32" s="99">
        <v>17</v>
      </c>
      <c r="AC32" s="99">
        <v>14280</v>
      </c>
      <c r="AD32" s="99">
        <v>10</v>
      </c>
      <c r="AE32" s="99">
        <v>8400</v>
      </c>
      <c r="AF32" s="99">
        <v>17</v>
      </c>
      <c r="AG32" s="99">
        <v>14280</v>
      </c>
      <c r="AH32" s="99">
        <v>10</v>
      </c>
      <c r="AI32" s="99">
        <v>8400</v>
      </c>
      <c r="AJ32" s="99">
        <v>12</v>
      </c>
      <c r="AK32" s="99">
        <v>10080</v>
      </c>
      <c r="AL32" s="99">
        <v>12</v>
      </c>
      <c r="AM32" s="99">
        <v>10080</v>
      </c>
      <c r="AN32" s="99">
        <v>14</v>
      </c>
      <c r="AO32" s="99">
        <v>11760</v>
      </c>
      <c r="AP32" s="99">
        <v>14</v>
      </c>
      <c r="AQ32" s="99">
        <v>11760</v>
      </c>
      <c r="AR32" s="99">
        <v>11</v>
      </c>
      <c r="AS32" s="99">
        <v>9240</v>
      </c>
      <c r="AT32" s="99">
        <v>11</v>
      </c>
      <c r="AU32" s="99">
        <v>9240</v>
      </c>
      <c r="AV32" s="99">
        <v>14</v>
      </c>
      <c r="AW32" s="99">
        <v>11760</v>
      </c>
      <c r="AX32" s="99">
        <v>10</v>
      </c>
      <c r="AY32" s="99">
        <v>8400</v>
      </c>
      <c r="AZ32" s="99">
        <v>14</v>
      </c>
      <c r="BA32" s="99">
        <v>11760</v>
      </c>
      <c r="BB32" s="99">
        <v>14</v>
      </c>
      <c r="BC32" s="99">
        <v>11760</v>
      </c>
      <c r="BD32" s="99">
        <v>17</v>
      </c>
      <c r="BE32" s="99">
        <v>14280</v>
      </c>
      <c r="BF32" s="99">
        <v>11</v>
      </c>
      <c r="BG32" s="99">
        <v>9240</v>
      </c>
      <c r="BH32" s="99">
        <v>18</v>
      </c>
      <c r="BI32" s="99">
        <v>15120</v>
      </c>
      <c r="BJ32" s="99">
        <v>16</v>
      </c>
      <c r="BK32" s="99">
        <v>13440</v>
      </c>
      <c r="BL32" s="99">
        <v>14</v>
      </c>
      <c r="BM32" s="99">
        <v>11760</v>
      </c>
      <c r="BN32" s="99">
        <v>9</v>
      </c>
      <c r="BO32" s="99">
        <v>7560</v>
      </c>
      <c r="BP32" s="99">
        <v>17</v>
      </c>
      <c r="BQ32" s="99">
        <v>14280</v>
      </c>
      <c r="BR32" s="99">
        <v>14</v>
      </c>
      <c r="BS32" s="99">
        <v>11760</v>
      </c>
      <c r="BT32" s="99">
        <v>16</v>
      </c>
      <c r="BU32" s="99">
        <v>13440</v>
      </c>
      <c r="BV32" s="99">
        <v>11</v>
      </c>
      <c r="BW32" s="99">
        <v>9240</v>
      </c>
      <c r="BX32" s="99">
        <v>10</v>
      </c>
      <c r="BY32" s="99">
        <v>8400</v>
      </c>
      <c r="BZ32" s="99">
        <v>15</v>
      </c>
      <c r="CA32" s="99">
        <v>12600</v>
      </c>
      <c r="CB32" s="99">
        <v>17</v>
      </c>
      <c r="CC32" s="99">
        <v>14280</v>
      </c>
      <c r="CD32" s="99">
        <v>15</v>
      </c>
      <c r="CE32" s="99">
        <v>12600</v>
      </c>
      <c r="CF32" s="99">
        <v>14</v>
      </c>
      <c r="CG32" s="99">
        <v>11760</v>
      </c>
      <c r="CH32" s="99">
        <v>13</v>
      </c>
      <c r="CI32" s="99">
        <v>10920</v>
      </c>
      <c r="CJ32" s="99">
        <v>16.166480536430825</v>
      </c>
      <c r="CK32" s="99">
        <v>13579.843650601893</v>
      </c>
      <c r="CL32" s="99">
        <v>12</v>
      </c>
      <c r="CM32" s="99">
        <v>10080</v>
      </c>
      <c r="CN32" s="99">
        <v>11</v>
      </c>
      <c r="CO32" s="99">
        <v>9240</v>
      </c>
      <c r="CP32" s="99">
        <v>13.977352833516523</v>
      </c>
      <c r="CQ32" s="99">
        <v>11740.976380153879</v>
      </c>
      <c r="CR32" s="99">
        <v>12.650816937186258</v>
      </c>
      <c r="CS32" s="99">
        <v>10626.686227236456</v>
      </c>
      <c r="CT32" s="99">
        <v>15.332885068334564</v>
      </c>
      <c r="CU32" s="99">
        <v>12879.623457401034</v>
      </c>
    </row>
    <row r="33" spans="2:99">
      <c r="C33" s="98" t="s">
        <v>199</v>
      </c>
      <c r="D33" s="99">
        <v>11</v>
      </c>
      <c r="E33" s="99">
        <v>5214</v>
      </c>
      <c r="F33" s="99">
        <v>13</v>
      </c>
      <c r="G33" s="99">
        <v>6162</v>
      </c>
      <c r="H33" s="99">
        <v>9</v>
      </c>
      <c r="I33" s="99">
        <v>4266</v>
      </c>
      <c r="J33" s="99">
        <v>15</v>
      </c>
      <c r="K33" s="99">
        <v>7110</v>
      </c>
      <c r="L33" s="99">
        <v>12</v>
      </c>
      <c r="M33" s="99">
        <v>5688</v>
      </c>
      <c r="N33" s="99">
        <v>16</v>
      </c>
      <c r="O33" s="99">
        <v>7584</v>
      </c>
      <c r="P33" s="99">
        <v>17</v>
      </c>
      <c r="Q33" s="99">
        <v>8058</v>
      </c>
      <c r="R33" s="99">
        <v>12</v>
      </c>
      <c r="S33" s="99">
        <v>5688</v>
      </c>
      <c r="T33" s="99">
        <v>9</v>
      </c>
      <c r="U33" s="99">
        <v>4266</v>
      </c>
      <c r="V33" s="99">
        <v>13</v>
      </c>
      <c r="W33" s="99">
        <v>6162</v>
      </c>
      <c r="X33" s="99">
        <v>12</v>
      </c>
      <c r="Y33" s="99">
        <v>5688</v>
      </c>
      <c r="Z33" s="99">
        <v>11</v>
      </c>
      <c r="AA33" s="99">
        <v>5214</v>
      </c>
      <c r="AB33" s="99">
        <v>18</v>
      </c>
      <c r="AC33" s="99">
        <v>8532</v>
      </c>
      <c r="AD33" s="99">
        <v>11</v>
      </c>
      <c r="AE33" s="99">
        <v>5214</v>
      </c>
      <c r="AF33" s="99">
        <v>15</v>
      </c>
      <c r="AG33" s="99">
        <v>7110</v>
      </c>
      <c r="AH33" s="99">
        <v>10</v>
      </c>
      <c r="AI33" s="99">
        <v>4740</v>
      </c>
      <c r="AJ33" s="99">
        <v>13</v>
      </c>
      <c r="AK33" s="99">
        <v>6162</v>
      </c>
      <c r="AL33" s="99">
        <v>15</v>
      </c>
      <c r="AM33" s="99">
        <v>7110</v>
      </c>
      <c r="AN33" s="99">
        <v>14</v>
      </c>
      <c r="AO33" s="99">
        <v>6636</v>
      </c>
      <c r="AP33" s="99">
        <v>15</v>
      </c>
      <c r="AQ33" s="99">
        <v>7110</v>
      </c>
      <c r="AR33" s="99">
        <v>13</v>
      </c>
      <c r="AS33" s="99">
        <v>6162</v>
      </c>
      <c r="AT33" s="99">
        <v>11</v>
      </c>
      <c r="AU33" s="99">
        <v>5214</v>
      </c>
      <c r="AV33" s="99">
        <v>14</v>
      </c>
      <c r="AW33" s="99">
        <v>6636</v>
      </c>
      <c r="AX33" s="99">
        <v>11</v>
      </c>
      <c r="AY33" s="99">
        <v>5214</v>
      </c>
      <c r="AZ33" s="99">
        <v>15</v>
      </c>
      <c r="BA33" s="99">
        <v>7110</v>
      </c>
      <c r="BB33" s="99">
        <v>16</v>
      </c>
      <c r="BC33" s="99">
        <v>7584</v>
      </c>
      <c r="BD33" s="99">
        <v>17</v>
      </c>
      <c r="BE33" s="99">
        <v>8058</v>
      </c>
      <c r="BF33" s="99">
        <v>11</v>
      </c>
      <c r="BG33" s="99">
        <v>5214</v>
      </c>
      <c r="BH33" s="99">
        <v>17</v>
      </c>
      <c r="BI33" s="99">
        <v>8058</v>
      </c>
      <c r="BJ33" s="99">
        <v>16</v>
      </c>
      <c r="BK33" s="99">
        <v>7584</v>
      </c>
      <c r="BL33" s="99">
        <v>13</v>
      </c>
      <c r="BM33" s="99">
        <v>6162</v>
      </c>
      <c r="BN33" s="99">
        <v>10</v>
      </c>
      <c r="BO33" s="99">
        <v>4740</v>
      </c>
      <c r="BP33" s="99">
        <v>18</v>
      </c>
      <c r="BQ33" s="99">
        <v>8532</v>
      </c>
      <c r="BR33" s="99">
        <v>13</v>
      </c>
      <c r="BS33" s="99">
        <v>6162</v>
      </c>
      <c r="BT33" s="99">
        <v>16</v>
      </c>
      <c r="BU33" s="99">
        <v>7584</v>
      </c>
      <c r="BV33" s="99">
        <v>11</v>
      </c>
      <c r="BW33" s="99">
        <v>5214</v>
      </c>
      <c r="BX33" s="99">
        <v>12</v>
      </c>
      <c r="BY33" s="99">
        <v>5688</v>
      </c>
      <c r="BZ33" s="99">
        <v>16</v>
      </c>
      <c r="CA33" s="99">
        <v>7584</v>
      </c>
      <c r="CB33" s="99">
        <v>21</v>
      </c>
      <c r="CC33" s="99">
        <v>9954</v>
      </c>
      <c r="CD33" s="99">
        <v>16</v>
      </c>
      <c r="CE33" s="99">
        <v>7584</v>
      </c>
      <c r="CF33" s="99">
        <v>14</v>
      </c>
      <c r="CG33" s="99">
        <v>6636</v>
      </c>
      <c r="CH33" s="99">
        <v>13</v>
      </c>
      <c r="CI33" s="99">
        <v>6162</v>
      </c>
      <c r="CJ33" s="99">
        <v>14.464745743122318</v>
      </c>
      <c r="CK33" s="99">
        <v>6856.2894822399785</v>
      </c>
      <c r="CL33" s="99">
        <v>12</v>
      </c>
      <c r="CM33" s="99">
        <v>5688</v>
      </c>
      <c r="CN33" s="99">
        <v>13</v>
      </c>
      <c r="CO33" s="99">
        <v>6162</v>
      </c>
      <c r="CP33" s="99">
        <v>16.972499869270063</v>
      </c>
      <c r="CQ33" s="99">
        <v>8044.9649380340097</v>
      </c>
      <c r="CR33" s="99">
        <v>14.597096465984142</v>
      </c>
      <c r="CS33" s="99">
        <v>6919.0237248764834</v>
      </c>
      <c r="CT33" s="99">
        <v>16.234819484118951</v>
      </c>
      <c r="CU33" s="99">
        <v>7695.3044354723825</v>
      </c>
    </row>
    <row r="34" spans="2:99">
      <c r="C34" s="98" t="s">
        <v>200</v>
      </c>
      <c r="D34" s="99">
        <v>10</v>
      </c>
      <c r="E34" s="99">
        <v>5484</v>
      </c>
      <c r="F34" s="99">
        <v>13</v>
      </c>
      <c r="G34" s="99">
        <v>7129.2</v>
      </c>
      <c r="H34" s="99">
        <v>10</v>
      </c>
      <c r="I34" s="99">
        <v>5484</v>
      </c>
      <c r="J34" s="99">
        <v>16</v>
      </c>
      <c r="K34" s="99">
        <v>8774.4</v>
      </c>
      <c r="L34" s="99">
        <v>11</v>
      </c>
      <c r="M34" s="99">
        <v>6032.4</v>
      </c>
      <c r="N34" s="99">
        <v>15</v>
      </c>
      <c r="O34" s="99">
        <v>8226</v>
      </c>
      <c r="P34" s="99">
        <v>16</v>
      </c>
      <c r="Q34" s="99">
        <v>8774.4</v>
      </c>
      <c r="R34" s="99">
        <v>13</v>
      </c>
      <c r="S34" s="99">
        <v>7129.2</v>
      </c>
      <c r="T34" s="99">
        <v>9</v>
      </c>
      <c r="U34" s="99">
        <v>4935.5999999999995</v>
      </c>
      <c r="V34" s="99">
        <v>11</v>
      </c>
      <c r="W34" s="99">
        <v>6032.4</v>
      </c>
      <c r="X34" s="99">
        <v>12</v>
      </c>
      <c r="Y34" s="99">
        <v>6580.7999999999993</v>
      </c>
      <c r="Z34" s="99">
        <v>10</v>
      </c>
      <c r="AA34" s="99">
        <v>5484</v>
      </c>
      <c r="AB34" s="99">
        <v>17</v>
      </c>
      <c r="AC34" s="99">
        <v>9322.7999999999993</v>
      </c>
      <c r="AD34" s="99">
        <v>12</v>
      </c>
      <c r="AE34" s="99">
        <v>6580.7999999999993</v>
      </c>
      <c r="AF34" s="99">
        <v>16</v>
      </c>
      <c r="AG34" s="99">
        <v>8774.4</v>
      </c>
      <c r="AH34" s="99">
        <v>11</v>
      </c>
      <c r="AI34" s="99">
        <v>6032.4</v>
      </c>
      <c r="AJ34" s="99">
        <v>13</v>
      </c>
      <c r="AK34" s="99">
        <v>7129.2</v>
      </c>
      <c r="AL34" s="99">
        <v>14</v>
      </c>
      <c r="AM34" s="99">
        <v>7677.5999999999995</v>
      </c>
      <c r="AN34" s="99">
        <v>15</v>
      </c>
      <c r="AO34" s="99">
        <v>8226</v>
      </c>
      <c r="AP34" s="99">
        <v>17</v>
      </c>
      <c r="AQ34" s="99">
        <v>9322.7999999999993</v>
      </c>
      <c r="AR34" s="99">
        <v>11</v>
      </c>
      <c r="AS34" s="99">
        <v>6032.4</v>
      </c>
      <c r="AT34" s="99">
        <v>10</v>
      </c>
      <c r="AU34" s="99">
        <v>5484</v>
      </c>
      <c r="AV34" s="99">
        <v>16</v>
      </c>
      <c r="AW34" s="99">
        <v>8774.4</v>
      </c>
      <c r="AX34" s="99">
        <v>10</v>
      </c>
      <c r="AY34" s="99">
        <v>5484</v>
      </c>
      <c r="AZ34" s="99">
        <v>14</v>
      </c>
      <c r="BA34" s="99">
        <v>7677.5999999999995</v>
      </c>
      <c r="BB34" s="99">
        <v>14</v>
      </c>
      <c r="BC34" s="99">
        <v>7677.5999999999995</v>
      </c>
      <c r="BD34" s="99">
        <v>17</v>
      </c>
      <c r="BE34" s="99">
        <v>9322.7999999999993</v>
      </c>
      <c r="BF34" s="99">
        <v>11</v>
      </c>
      <c r="BG34" s="99">
        <v>6032.4</v>
      </c>
      <c r="BH34" s="99">
        <v>18</v>
      </c>
      <c r="BI34" s="99">
        <v>9871.1999999999989</v>
      </c>
      <c r="BJ34" s="99">
        <v>17</v>
      </c>
      <c r="BK34" s="99">
        <v>9322.7999999999993</v>
      </c>
      <c r="BL34" s="99">
        <v>16</v>
      </c>
      <c r="BM34" s="99">
        <v>8774.4</v>
      </c>
      <c r="BN34" s="99">
        <v>11</v>
      </c>
      <c r="BO34" s="99">
        <v>6032.4</v>
      </c>
      <c r="BP34" s="99">
        <v>16</v>
      </c>
      <c r="BQ34" s="99">
        <v>8774.4</v>
      </c>
      <c r="BR34" s="99">
        <v>14</v>
      </c>
      <c r="BS34" s="99">
        <v>7677.5999999999995</v>
      </c>
      <c r="BT34" s="99">
        <v>16</v>
      </c>
      <c r="BU34" s="99">
        <v>8774.4</v>
      </c>
      <c r="BV34" s="99">
        <v>11</v>
      </c>
      <c r="BW34" s="99">
        <v>6032.4</v>
      </c>
      <c r="BX34" s="99">
        <v>11</v>
      </c>
      <c r="BY34" s="99">
        <v>6032.4</v>
      </c>
      <c r="BZ34" s="99">
        <v>16</v>
      </c>
      <c r="CA34" s="99">
        <v>8774.4</v>
      </c>
      <c r="CB34" s="99">
        <v>19</v>
      </c>
      <c r="CC34" s="99">
        <v>10419.6</v>
      </c>
      <c r="CD34" s="99">
        <v>15</v>
      </c>
      <c r="CE34" s="99">
        <v>8226</v>
      </c>
      <c r="CF34" s="99">
        <v>15</v>
      </c>
      <c r="CG34" s="99">
        <v>8226</v>
      </c>
      <c r="CH34" s="99">
        <v>15</v>
      </c>
      <c r="CI34" s="99">
        <v>8226</v>
      </c>
      <c r="CJ34" s="99">
        <v>15.315613139776572</v>
      </c>
      <c r="CK34" s="99">
        <v>8399.0822458534712</v>
      </c>
      <c r="CL34" s="99">
        <v>12</v>
      </c>
      <c r="CM34" s="99">
        <v>6580.7999999999993</v>
      </c>
      <c r="CN34" s="99">
        <v>12</v>
      </c>
      <c r="CO34" s="99">
        <v>6580.7999999999993</v>
      </c>
      <c r="CP34" s="99">
        <v>15.974117524018881</v>
      </c>
      <c r="CQ34" s="99">
        <v>8760.2060501719534</v>
      </c>
      <c r="CR34" s="99">
        <v>15.570236230383086</v>
      </c>
      <c r="CS34" s="99">
        <v>8538.7175487420845</v>
      </c>
      <c r="CT34" s="99">
        <v>15.332885068334564</v>
      </c>
      <c r="CU34" s="99">
        <v>8408.5541714746741</v>
      </c>
    </row>
    <row r="35" spans="2:99">
      <c r="C35" s="98" t="s">
        <v>201</v>
      </c>
      <c r="D35" s="99">
        <v>10</v>
      </c>
      <c r="E35" s="99">
        <v>5027.9999999999991</v>
      </c>
      <c r="F35" s="99">
        <v>13</v>
      </c>
      <c r="G35" s="99">
        <v>6536.3999999999987</v>
      </c>
      <c r="H35" s="99">
        <v>9</v>
      </c>
      <c r="I35" s="99">
        <v>4525.1999999999989</v>
      </c>
      <c r="J35" s="99">
        <v>16</v>
      </c>
      <c r="K35" s="99">
        <v>8044.7999999999984</v>
      </c>
      <c r="L35" s="99">
        <v>11</v>
      </c>
      <c r="M35" s="99">
        <v>5530.7999999999993</v>
      </c>
      <c r="N35" s="99">
        <v>16</v>
      </c>
      <c r="O35" s="99">
        <v>8044.7999999999984</v>
      </c>
      <c r="P35" s="99">
        <v>17</v>
      </c>
      <c r="Q35" s="99">
        <v>8547.5999999999985</v>
      </c>
      <c r="R35" s="99">
        <v>12</v>
      </c>
      <c r="S35" s="99">
        <v>6033.5999999999985</v>
      </c>
      <c r="T35" s="99">
        <v>8</v>
      </c>
      <c r="U35" s="99">
        <v>4022.3999999999992</v>
      </c>
      <c r="V35" s="99">
        <v>13</v>
      </c>
      <c r="W35" s="99">
        <v>6536.3999999999987</v>
      </c>
      <c r="X35" s="99">
        <v>11</v>
      </c>
      <c r="Y35" s="99">
        <v>5530.7999999999993</v>
      </c>
      <c r="Z35" s="99">
        <v>12</v>
      </c>
      <c r="AA35" s="99">
        <v>6033.5999999999985</v>
      </c>
      <c r="AB35" s="99">
        <v>18</v>
      </c>
      <c r="AC35" s="99">
        <v>9050.3999999999978</v>
      </c>
      <c r="AD35" s="99">
        <v>13</v>
      </c>
      <c r="AE35" s="99">
        <v>6536.3999999999987</v>
      </c>
      <c r="AF35" s="99">
        <v>16</v>
      </c>
      <c r="AG35" s="99">
        <v>8044.7999999999984</v>
      </c>
      <c r="AH35" s="99">
        <v>10</v>
      </c>
      <c r="AI35" s="99">
        <v>5027.9999999999991</v>
      </c>
      <c r="AJ35" s="99">
        <v>14</v>
      </c>
      <c r="AK35" s="99">
        <v>7039.1999999999989</v>
      </c>
      <c r="AL35" s="99">
        <v>14</v>
      </c>
      <c r="AM35" s="99">
        <v>7039.1999999999989</v>
      </c>
      <c r="AN35" s="99">
        <v>14</v>
      </c>
      <c r="AO35" s="99">
        <v>7039.1999999999989</v>
      </c>
      <c r="AP35" s="99">
        <v>17</v>
      </c>
      <c r="AQ35" s="99">
        <v>8547.5999999999985</v>
      </c>
      <c r="AR35" s="99">
        <v>12</v>
      </c>
      <c r="AS35" s="99">
        <v>6033.5999999999985</v>
      </c>
      <c r="AT35" s="99">
        <v>12</v>
      </c>
      <c r="AU35" s="99">
        <v>6033.5999999999985</v>
      </c>
      <c r="AV35" s="99">
        <v>16</v>
      </c>
      <c r="AW35" s="99">
        <v>8044.7999999999984</v>
      </c>
      <c r="AX35" s="99">
        <v>11</v>
      </c>
      <c r="AY35" s="99">
        <v>5530.7999999999993</v>
      </c>
      <c r="AZ35" s="99">
        <v>16</v>
      </c>
      <c r="BA35" s="99">
        <v>8044.7999999999984</v>
      </c>
      <c r="BB35" s="99">
        <v>16</v>
      </c>
      <c r="BC35" s="99">
        <v>8044.7999999999984</v>
      </c>
      <c r="BD35" s="99">
        <v>19</v>
      </c>
      <c r="BE35" s="99">
        <v>9553.1999999999989</v>
      </c>
      <c r="BF35" s="99">
        <v>10</v>
      </c>
      <c r="BG35" s="99">
        <v>5027.9999999999991</v>
      </c>
      <c r="BH35" s="99">
        <v>18</v>
      </c>
      <c r="BI35" s="99">
        <v>9050.3999999999978</v>
      </c>
      <c r="BJ35" s="99">
        <v>17</v>
      </c>
      <c r="BK35" s="99">
        <v>8547.5999999999985</v>
      </c>
      <c r="BL35" s="99">
        <v>15</v>
      </c>
      <c r="BM35" s="99">
        <v>7541.9999999999982</v>
      </c>
      <c r="BN35" s="99">
        <v>10</v>
      </c>
      <c r="BO35" s="99">
        <v>5027.9999999999991</v>
      </c>
      <c r="BP35" s="99">
        <v>16</v>
      </c>
      <c r="BQ35" s="99">
        <v>8044.7999999999984</v>
      </c>
      <c r="BR35" s="99">
        <v>13</v>
      </c>
      <c r="BS35" s="99">
        <v>6536.3999999999987</v>
      </c>
      <c r="BT35" s="99">
        <v>16</v>
      </c>
      <c r="BU35" s="99">
        <v>8044.7999999999984</v>
      </c>
      <c r="BV35" s="99">
        <v>11</v>
      </c>
      <c r="BW35" s="99">
        <v>5530.7999999999993</v>
      </c>
      <c r="BX35" s="99">
        <v>10</v>
      </c>
      <c r="BY35" s="99">
        <v>5027.9999999999991</v>
      </c>
      <c r="BZ35" s="99">
        <v>15</v>
      </c>
      <c r="CA35" s="99">
        <v>7541.9999999999982</v>
      </c>
      <c r="CB35" s="99">
        <v>18</v>
      </c>
      <c r="CC35" s="99">
        <v>9050.3999999999978</v>
      </c>
      <c r="CD35" s="99">
        <v>14</v>
      </c>
      <c r="CE35" s="99">
        <v>7039.1999999999989</v>
      </c>
      <c r="CF35" s="99">
        <v>16</v>
      </c>
      <c r="CG35" s="99">
        <v>8044.7999999999984</v>
      </c>
      <c r="CH35" s="99">
        <v>14</v>
      </c>
      <c r="CI35" s="99">
        <v>7039.1999999999989</v>
      </c>
      <c r="CJ35" s="99">
        <v>13.613878346468063</v>
      </c>
      <c r="CK35" s="99">
        <v>6845.0580326041409</v>
      </c>
      <c r="CL35" s="99">
        <v>10</v>
      </c>
      <c r="CM35" s="99">
        <v>5027.9999999999991</v>
      </c>
      <c r="CN35" s="99">
        <v>14</v>
      </c>
      <c r="CO35" s="99">
        <v>7039.1999999999989</v>
      </c>
      <c r="CP35" s="99">
        <v>16.972499869270063</v>
      </c>
      <c r="CQ35" s="99">
        <v>8533.7729342689854</v>
      </c>
      <c r="CR35" s="99">
        <v>15.570236230383086</v>
      </c>
      <c r="CS35" s="99">
        <v>7828.7147766366143</v>
      </c>
      <c r="CT35" s="99">
        <v>16.234819484118951</v>
      </c>
      <c r="CU35" s="99">
        <v>8162.8672366150067</v>
      </c>
    </row>
    <row r="36" spans="2:99">
      <c r="C36" s="98" t="s">
        <v>202</v>
      </c>
      <c r="D36" s="99">
        <v>10</v>
      </c>
      <c r="E36" s="99">
        <v>7608</v>
      </c>
      <c r="F36" s="99">
        <v>12</v>
      </c>
      <c r="G36" s="99">
        <v>9129.5999999999985</v>
      </c>
      <c r="H36" s="99">
        <v>10</v>
      </c>
      <c r="I36" s="99">
        <v>7608</v>
      </c>
      <c r="J36" s="99">
        <v>17</v>
      </c>
      <c r="K36" s="99">
        <v>12933.599999999999</v>
      </c>
      <c r="L36" s="99">
        <v>12</v>
      </c>
      <c r="M36" s="99">
        <v>9129.5999999999985</v>
      </c>
      <c r="N36" s="99">
        <v>15</v>
      </c>
      <c r="O36" s="99">
        <v>11412</v>
      </c>
      <c r="P36" s="99">
        <v>15</v>
      </c>
      <c r="Q36" s="99">
        <v>11412</v>
      </c>
      <c r="R36" s="99">
        <v>12</v>
      </c>
      <c r="S36" s="99">
        <v>9129.5999999999985</v>
      </c>
      <c r="T36" s="99">
        <v>9</v>
      </c>
      <c r="U36" s="99">
        <v>6847.2</v>
      </c>
      <c r="V36" s="99">
        <v>13</v>
      </c>
      <c r="W36" s="99">
        <v>9890.4</v>
      </c>
      <c r="X36" s="99">
        <v>11</v>
      </c>
      <c r="Y36" s="99">
        <v>8368.7999999999993</v>
      </c>
      <c r="Z36" s="99">
        <v>11</v>
      </c>
      <c r="AA36" s="99">
        <v>8368.7999999999993</v>
      </c>
      <c r="AB36" s="99">
        <v>16</v>
      </c>
      <c r="AC36" s="99">
        <v>12172.8</v>
      </c>
      <c r="AD36" s="99">
        <v>11</v>
      </c>
      <c r="AE36" s="99">
        <v>8368.7999999999993</v>
      </c>
      <c r="AF36" s="99">
        <v>17</v>
      </c>
      <c r="AG36" s="99">
        <v>12933.599999999999</v>
      </c>
      <c r="AH36" s="99">
        <v>10</v>
      </c>
      <c r="AI36" s="99">
        <v>7608</v>
      </c>
      <c r="AJ36" s="99">
        <v>12</v>
      </c>
      <c r="AK36" s="99">
        <v>9129.5999999999985</v>
      </c>
      <c r="AL36" s="99">
        <v>14</v>
      </c>
      <c r="AM36" s="99">
        <v>10651.199999999999</v>
      </c>
      <c r="AN36" s="99">
        <v>14</v>
      </c>
      <c r="AO36" s="99">
        <v>10651.199999999999</v>
      </c>
      <c r="AP36" s="99">
        <v>17</v>
      </c>
      <c r="AQ36" s="99">
        <v>12933.599999999999</v>
      </c>
      <c r="AR36" s="99">
        <v>11</v>
      </c>
      <c r="AS36" s="99">
        <v>8368.7999999999993</v>
      </c>
      <c r="AT36" s="99">
        <v>10</v>
      </c>
      <c r="AU36" s="99">
        <v>7608</v>
      </c>
      <c r="AV36" s="99">
        <v>16</v>
      </c>
      <c r="AW36" s="99">
        <v>12172.8</v>
      </c>
      <c r="AX36" s="99">
        <v>11</v>
      </c>
      <c r="AY36" s="99">
        <v>8368.7999999999993</v>
      </c>
      <c r="AZ36" s="99">
        <v>15</v>
      </c>
      <c r="BA36" s="99">
        <v>11412</v>
      </c>
      <c r="BB36" s="99">
        <v>14</v>
      </c>
      <c r="BC36" s="99">
        <v>10651.199999999999</v>
      </c>
      <c r="BD36" s="99">
        <v>18</v>
      </c>
      <c r="BE36" s="99">
        <v>13694.4</v>
      </c>
      <c r="BF36" s="99">
        <v>10</v>
      </c>
      <c r="BG36" s="99">
        <v>7608</v>
      </c>
      <c r="BH36" s="99">
        <v>17</v>
      </c>
      <c r="BI36" s="99">
        <v>12933.599999999999</v>
      </c>
      <c r="BJ36" s="99">
        <v>14</v>
      </c>
      <c r="BK36" s="99">
        <v>10651.199999999999</v>
      </c>
      <c r="BL36" s="99">
        <v>15</v>
      </c>
      <c r="BM36" s="99">
        <v>11412</v>
      </c>
      <c r="BN36" s="99">
        <v>10</v>
      </c>
      <c r="BO36" s="99">
        <v>7608</v>
      </c>
      <c r="BP36" s="99">
        <v>16</v>
      </c>
      <c r="BQ36" s="99">
        <v>12172.8</v>
      </c>
      <c r="BR36" s="99">
        <v>13</v>
      </c>
      <c r="BS36" s="99">
        <v>9890.4</v>
      </c>
      <c r="BT36" s="99">
        <v>15</v>
      </c>
      <c r="BU36" s="99">
        <v>11412</v>
      </c>
      <c r="BV36" s="99">
        <v>11</v>
      </c>
      <c r="BW36" s="99">
        <v>8368.7999999999993</v>
      </c>
      <c r="BX36" s="99">
        <v>12</v>
      </c>
      <c r="BY36" s="99">
        <v>9129.5999999999985</v>
      </c>
      <c r="BZ36" s="99">
        <v>15</v>
      </c>
      <c r="CA36" s="99">
        <v>11412</v>
      </c>
      <c r="CB36" s="99">
        <v>18</v>
      </c>
      <c r="CC36" s="99">
        <v>13694.4</v>
      </c>
      <c r="CD36" s="99">
        <v>14</v>
      </c>
      <c r="CE36" s="99">
        <v>10651.199999999999</v>
      </c>
      <c r="CF36" s="99">
        <v>15</v>
      </c>
      <c r="CG36" s="99">
        <v>11412</v>
      </c>
      <c r="CH36" s="99">
        <v>14</v>
      </c>
      <c r="CI36" s="99">
        <v>10651.199999999999</v>
      </c>
      <c r="CJ36" s="99">
        <v>13.613878346468063</v>
      </c>
      <c r="CK36" s="99">
        <v>10357.438645992901</v>
      </c>
      <c r="CL36" s="99">
        <v>10</v>
      </c>
      <c r="CM36" s="99">
        <v>7608</v>
      </c>
      <c r="CN36" s="99">
        <v>13</v>
      </c>
      <c r="CO36" s="99">
        <v>9890.4</v>
      </c>
      <c r="CP36" s="99">
        <v>15.974117524018881</v>
      </c>
      <c r="CQ36" s="99">
        <v>12153.108612273563</v>
      </c>
      <c r="CR36" s="99">
        <v>14.597096465984142</v>
      </c>
      <c r="CS36" s="99">
        <v>11105.470991320735</v>
      </c>
      <c r="CT36" s="99">
        <v>15.332885068334564</v>
      </c>
      <c r="CU36" s="99">
        <v>11665.258959988936</v>
      </c>
    </row>
    <row r="37" spans="2:99">
      <c r="B37" s="98" t="s">
        <v>128</v>
      </c>
      <c r="C37" s="98" t="s">
        <v>203</v>
      </c>
      <c r="D37" s="99">
        <v>10</v>
      </c>
      <c r="E37" s="99">
        <v>8604</v>
      </c>
      <c r="F37" s="99">
        <v>7</v>
      </c>
      <c r="G37" s="99">
        <v>6022.8</v>
      </c>
      <c r="H37" s="99">
        <v>10</v>
      </c>
      <c r="I37" s="99">
        <v>8604</v>
      </c>
      <c r="J37" s="99">
        <v>7</v>
      </c>
      <c r="K37" s="99">
        <v>6022.8</v>
      </c>
      <c r="L37" s="99">
        <v>9</v>
      </c>
      <c r="M37" s="99">
        <v>7743.5999999999995</v>
      </c>
      <c r="N37" s="99">
        <v>7</v>
      </c>
      <c r="O37" s="99">
        <v>6022.8</v>
      </c>
      <c r="P37" s="99">
        <v>6</v>
      </c>
      <c r="Q37" s="99">
        <v>5162.3999999999996</v>
      </c>
      <c r="R37" s="99">
        <v>8</v>
      </c>
      <c r="S37" s="99">
        <v>6883.2</v>
      </c>
      <c r="T37" s="99">
        <v>11</v>
      </c>
      <c r="U37" s="99">
        <v>9464.4</v>
      </c>
      <c r="V37" s="99">
        <v>8</v>
      </c>
      <c r="W37" s="99">
        <v>6883.2</v>
      </c>
      <c r="X37" s="99">
        <v>10</v>
      </c>
      <c r="Y37" s="99">
        <v>8604</v>
      </c>
      <c r="Z37" s="99">
        <v>7</v>
      </c>
      <c r="AA37" s="99">
        <v>6022.8</v>
      </c>
      <c r="AB37" s="99">
        <v>8</v>
      </c>
      <c r="AC37" s="99">
        <v>6883.2</v>
      </c>
      <c r="AD37" s="99">
        <v>7</v>
      </c>
      <c r="AE37" s="99">
        <v>6022.8</v>
      </c>
      <c r="AF37" s="99">
        <v>8</v>
      </c>
      <c r="AG37" s="99">
        <v>6883.2</v>
      </c>
      <c r="AH37" s="99">
        <v>7</v>
      </c>
      <c r="AI37" s="99">
        <v>6022.8</v>
      </c>
      <c r="AJ37" s="99">
        <v>6</v>
      </c>
      <c r="AK37" s="99">
        <v>5162.3999999999996</v>
      </c>
      <c r="AL37" s="99">
        <v>9</v>
      </c>
      <c r="AM37" s="99">
        <v>7743.5999999999995</v>
      </c>
      <c r="AN37" s="99">
        <v>13</v>
      </c>
      <c r="AO37" s="99">
        <v>11185.199999999999</v>
      </c>
      <c r="AP37" s="99">
        <v>11</v>
      </c>
      <c r="AQ37" s="99">
        <v>9464.4</v>
      </c>
      <c r="AR37" s="99">
        <v>12</v>
      </c>
      <c r="AS37" s="99">
        <v>10324.799999999999</v>
      </c>
      <c r="AT37" s="99">
        <v>9</v>
      </c>
      <c r="AU37" s="99">
        <v>7743.5999999999995</v>
      </c>
      <c r="AV37" s="99">
        <v>10</v>
      </c>
      <c r="AW37" s="99">
        <v>8604</v>
      </c>
      <c r="AX37" s="99">
        <v>9</v>
      </c>
      <c r="AY37" s="99">
        <v>7743.5999999999995</v>
      </c>
      <c r="AZ37" s="99">
        <v>10</v>
      </c>
      <c r="BA37" s="99">
        <v>8604</v>
      </c>
      <c r="BB37" s="99">
        <v>9</v>
      </c>
      <c r="BC37" s="99">
        <v>7743.5999999999995</v>
      </c>
      <c r="BD37" s="99">
        <v>7</v>
      </c>
      <c r="BE37" s="99">
        <v>6022.8</v>
      </c>
      <c r="BF37" s="99">
        <v>8</v>
      </c>
      <c r="BG37" s="99">
        <v>6883.2</v>
      </c>
      <c r="BH37" s="99">
        <v>12</v>
      </c>
      <c r="BI37" s="99">
        <v>10324.799999999999</v>
      </c>
      <c r="BJ37" s="99">
        <v>7</v>
      </c>
      <c r="BK37" s="99">
        <v>6022.8</v>
      </c>
      <c r="BL37" s="99">
        <v>9</v>
      </c>
      <c r="BM37" s="99">
        <v>7743.5999999999995</v>
      </c>
      <c r="BN37" s="99">
        <v>7</v>
      </c>
      <c r="BO37" s="99">
        <v>6022.8</v>
      </c>
      <c r="BP37" s="99">
        <v>9</v>
      </c>
      <c r="BQ37" s="99">
        <v>7743.5999999999995</v>
      </c>
      <c r="BR37" s="99">
        <v>7</v>
      </c>
      <c r="BS37" s="99">
        <v>6022.8</v>
      </c>
      <c r="BT37" s="99">
        <v>7</v>
      </c>
      <c r="BU37" s="99">
        <v>6022.8</v>
      </c>
      <c r="BV37" s="99">
        <v>14</v>
      </c>
      <c r="BW37" s="99">
        <v>12045.6</v>
      </c>
      <c r="BX37" s="99">
        <v>9</v>
      </c>
      <c r="BY37" s="99">
        <v>7743.5999999999995</v>
      </c>
      <c r="BZ37" s="99">
        <v>9</v>
      </c>
      <c r="CA37" s="99">
        <v>7743.5999999999995</v>
      </c>
      <c r="CB37" s="99">
        <v>12</v>
      </c>
      <c r="CC37" s="99">
        <v>10324.799999999999</v>
      </c>
      <c r="CD37" s="99">
        <v>9</v>
      </c>
      <c r="CE37" s="99">
        <v>7743.5999999999995</v>
      </c>
      <c r="CF37" s="99">
        <v>13</v>
      </c>
      <c r="CG37" s="99">
        <v>11185.199999999999</v>
      </c>
      <c r="CH37" s="99">
        <v>12</v>
      </c>
      <c r="CI37" s="99">
        <v>10324.799999999999</v>
      </c>
      <c r="CJ37" s="99">
        <v>11.912143553159556</v>
      </c>
      <c r="CK37" s="99">
        <v>10249.208313138482</v>
      </c>
      <c r="CL37" s="99">
        <v>9</v>
      </c>
      <c r="CM37" s="99">
        <v>7743.5999999999995</v>
      </c>
      <c r="CN37" s="99">
        <v>11</v>
      </c>
      <c r="CO37" s="99">
        <v>9464.4</v>
      </c>
      <c r="CP37" s="99">
        <v>8.9854411072606197</v>
      </c>
      <c r="CQ37" s="99">
        <v>7731.0735286870367</v>
      </c>
      <c r="CR37" s="99">
        <v>8.7582578795904862</v>
      </c>
      <c r="CS37" s="99">
        <v>7535.6050795996543</v>
      </c>
      <c r="CT37" s="99">
        <v>9.9212785736282463</v>
      </c>
      <c r="CU37" s="99">
        <v>8536.2680847497431</v>
      </c>
    </row>
    <row r="38" spans="2:99">
      <c r="C38" s="98" t="s">
        <v>204</v>
      </c>
      <c r="D38" s="99">
        <v>9</v>
      </c>
      <c r="E38" s="99">
        <v>11178</v>
      </c>
      <c r="F38" s="99">
        <v>8</v>
      </c>
      <c r="G38" s="99">
        <v>9936</v>
      </c>
      <c r="H38" s="99">
        <v>8</v>
      </c>
      <c r="I38" s="99">
        <v>9936</v>
      </c>
      <c r="J38" s="99">
        <v>8</v>
      </c>
      <c r="K38" s="99">
        <v>9936</v>
      </c>
      <c r="L38" s="99">
        <v>8</v>
      </c>
      <c r="M38" s="99">
        <v>9936</v>
      </c>
      <c r="N38" s="99">
        <v>7</v>
      </c>
      <c r="O38" s="99">
        <v>8694</v>
      </c>
      <c r="P38" s="99">
        <v>7</v>
      </c>
      <c r="Q38" s="99">
        <v>8694</v>
      </c>
      <c r="R38" s="99">
        <v>7</v>
      </c>
      <c r="S38" s="99">
        <v>8694</v>
      </c>
      <c r="T38" s="99">
        <v>11</v>
      </c>
      <c r="U38" s="99">
        <v>13662</v>
      </c>
      <c r="V38" s="99">
        <v>8</v>
      </c>
      <c r="W38" s="99">
        <v>9936</v>
      </c>
      <c r="X38" s="99">
        <v>10</v>
      </c>
      <c r="Y38" s="99">
        <v>12420</v>
      </c>
      <c r="Z38" s="99">
        <v>6</v>
      </c>
      <c r="AA38" s="99">
        <v>7452</v>
      </c>
      <c r="AB38" s="99">
        <v>7</v>
      </c>
      <c r="AC38" s="99">
        <v>8694</v>
      </c>
      <c r="AD38" s="99">
        <v>8</v>
      </c>
      <c r="AE38" s="99">
        <v>9936</v>
      </c>
      <c r="AF38" s="99">
        <v>8</v>
      </c>
      <c r="AG38" s="99">
        <v>9936</v>
      </c>
      <c r="AH38" s="99">
        <v>8</v>
      </c>
      <c r="AI38" s="99">
        <v>9936</v>
      </c>
      <c r="AJ38" s="99">
        <v>6</v>
      </c>
      <c r="AK38" s="99">
        <v>7452</v>
      </c>
      <c r="AL38" s="99">
        <v>7</v>
      </c>
      <c r="AM38" s="99">
        <v>8694</v>
      </c>
      <c r="AN38" s="99">
        <v>13</v>
      </c>
      <c r="AO38" s="99">
        <v>16146</v>
      </c>
      <c r="AP38" s="99">
        <v>11</v>
      </c>
      <c r="AQ38" s="99">
        <v>13662</v>
      </c>
      <c r="AR38" s="99">
        <v>11</v>
      </c>
      <c r="AS38" s="99">
        <v>13662</v>
      </c>
      <c r="AT38" s="99">
        <v>9</v>
      </c>
      <c r="AU38" s="99">
        <v>11178</v>
      </c>
      <c r="AV38" s="99">
        <v>9</v>
      </c>
      <c r="AW38" s="99">
        <v>11178</v>
      </c>
      <c r="AX38" s="99">
        <v>9</v>
      </c>
      <c r="AY38" s="99">
        <v>11178</v>
      </c>
      <c r="AZ38" s="99">
        <v>11</v>
      </c>
      <c r="BA38" s="99">
        <v>13662</v>
      </c>
      <c r="BB38" s="99">
        <v>9</v>
      </c>
      <c r="BC38" s="99">
        <v>11178</v>
      </c>
      <c r="BD38" s="99">
        <v>7</v>
      </c>
      <c r="BE38" s="99">
        <v>8694</v>
      </c>
      <c r="BF38" s="99">
        <v>8</v>
      </c>
      <c r="BG38" s="99">
        <v>9936</v>
      </c>
      <c r="BH38" s="99">
        <v>11</v>
      </c>
      <c r="BI38" s="99">
        <v>13662</v>
      </c>
      <c r="BJ38" s="99">
        <v>8</v>
      </c>
      <c r="BK38" s="99">
        <v>9936</v>
      </c>
      <c r="BL38" s="99">
        <v>9</v>
      </c>
      <c r="BM38" s="99">
        <v>11178</v>
      </c>
      <c r="BN38" s="99">
        <v>8</v>
      </c>
      <c r="BO38" s="99">
        <v>9936</v>
      </c>
      <c r="BP38" s="99">
        <v>8</v>
      </c>
      <c r="BQ38" s="99">
        <v>9936</v>
      </c>
      <c r="BR38" s="99">
        <v>8</v>
      </c>
      <c r="BS38" s="99">
        <v>9936</v>
      </c>
      <c r="BT38" s="99">
        <v>7</v>
      </c>
      <c r="BU38" s="99">
        <v>8694</v>
      </c>
      <c r="BV38" s="99">
        <v>12</v>
      </c>
      <c r="BW38" s="99">
        <v>14904</v>
      </c>
      <c r="BX38" s="99">
        <v>10</v>
      </c>
      <c r="BY38" s="99">
        <v>12420</v>
      </c>
      <c r="BZ38" s="99">
        <v>9</v>
      </c>
      <c r="CA38" s="99">
        <v>11178</v>
      </c>
      <c r="CB38" s="99">
        <v>11</v>
      </c>
      <c r="CC38" s="99">
        <v>13662</v>
      </c>
      <c r="CD38" s="99">
        <v>8</v>
      </c>
      <c r="CE38" s="99">
        <v>9936</v>
      </c>
      <c r="CF38" s="99">
        <v>12</v>
      </c>
      <c r="CG38" s="99">
        <v>14904</v>
      </c>
      <c r="CH38" s="99">
        <v>11</v>
      </c>
      <c r="CI38" s="99">
        <v>13662</v>
      </c>
      <c r="CJ38" s="99">
        <v>10.210408759851047</v>
      </c>
      <c r="CK38" s="99">
        <v>12681.327679735001</v>
      </c>
      <c r="CL38" s="99">
        <v>10</v>
      </c>
      <c r="CM38" s="99">
        <v>12420</v>
      </c>
      <c r="CN38" s="99">
        <v>11</v>
      </c>
      <c r="CO38" s="99">
        <v>13662</v>
      </c>
      <c r="CP38" s="99">
        <v>7.9870587620094406</v>
      </c>
      <c r="CQ38" s="99">
        <v>9919.9269824157254</v>
      </c>
      <c r="CR38" s="99">
        <v>7.7851181151915432</v>
      </c>
      <c r="CS38" s="99">
        <v>9669.1166990678958</v>
      </c>
      <c r="CT38" s="99">
        <v>11.725147405197019</v>
      </c>
      <c r="CU38" s="99">
        <v>14562.633077254697</v>
      </c>
    </row>
    <row r="39" spans="2:99">
      <c r="C39" s="98" t="s">
        <v>205</v>
      </c>
      <c r="D39" s="99">
        <v>9</v>
      </c>
      <c r="E39" s="99">
        <v>12808.800000000001</v>
      </c>
      <c r="F39" s="99">
        <v>8</v>
      </c>
      <c r="G39" s="99">
        <v>11385.6</v>
      </c>
      <c r="H39" s="99">
        <v>9</v>
      </c>
      <c r="I39" s="99">
        <v>12808.800000000001</v>
      </c>
      <c r="J39" s="99">
        <v>7</v>
      </c>
      <c r="K39" s="99">
        <v>9962.4</v>
      </c>
      <c r="L39" s="99">
        <v>8</v>
      </c>
      <c r="M39" s="99">
        <v>11385.6</v>
      </c>
      <c r="N39" s="99">
        <v>7</v>
      </c>
      <c r="O39" s="99">
        <v>9962.4</v>
      </c>
      <c r="P39" s="99">
        <v>6</v>
      </c>
      <c r="Q39" s="99">
        <v>8539.2000000000007</v>
      </c>
      <c r="R39" s="99">
        <v>7</v>
      </c>
      <c r="S39" s="99">
        <v>9962.4</v>
      </c>
      <c r="T39" s="99">
        <v>10</v>
      </c>
      <c r="U39" s="99">
        <v>14232</v>
      </c>
      <c r="V39" s="99">
        <v>7</v>
      </c>
      <c r="W39" s="99">
        <v>9962.4</v>
      </c>
      <c r="X39" s="99">
        <v>11</v>
      </c>
      <c r="Y39" s="99">
        <v>15655.2</v>
      </c>
      <c r="Z39" s="99">
        <v>7</v>
      </c>
      <c r="AA39" s="99">
        <v>9962.4</v>
      </c>
      <c r="AB39" s="99">
        <v>8</v>
      </c>
      <c r="AC39" s="99">
        <v>11385.6</v>
      </c>
      <c r="AD39" s="99">
        <v>8</v>
      </c>
      <c r="AE39" s="99">
        <v>11385.6</v>
      </c>
      <c r="AF39" s="99">
        <v>8</v>
      </c>
      <c r="AG39" s="99">
        <v>11385.6</v>
      </c>
      <c r="AH39" s="99">
        <v>7</v>
      </c>
      <c r="AI39" s="99">
        <v>9962.4</v>
      </c>
      <c r="AJ39" s="99">
        <v>6</v>
      </c>
      <c r="AK39" s="99">
        <v>8539.2000000000007</v>
      </c>
      <c r="AL39" s="99">
        <v>8</v>
      </c>
      <c r="AM39" s="99">
        <v>11385.6</v>
      </c>
      <c r="AN39" s="99">
        <v>12</v>
      </c>
      <c r="AO39" s="99">
        <v>17078.400000000001</v>
      </c>
      <c r="AP39" s="99">
        <v>10</v>
      </c>
      <c r="AQ39" s="99">
        <v>14232</v>
      </c>
      <c r="AR39" s="99">
        <v>10</v>
      </c>
      <c r="AS39" s="99">
        <v>14232</v>
      </c>
      <c r="AT39" s="99">
        <v>8</v>
      </c>
      <c r="AU39" s="99">
        <v>11385.6</v>
      </c>
      <c r="AV39" s="99">
        <v>8</v>
      </c>
      <c r="AW39" s="99">
        <v>11385.6</v>
      </c>
      <c r="AX39" s="99">
        <v>8</v>
      </c>
      <c r="AY39" s="99">
        <v>11385.6</v>
      </c>
      <c r="AZ39" s="99">
        <v>9</v>
      </c>
      <c r="BA39" s="99">
        <v>12808.800000000001</v>
      </c>
      <c r="BB39" s="99">
        <v>9</v>
      </c>
      <c r="BC39" s="99">
        <v>12808.800000000001</v>
      </c>
      <c r="BD39" s="99">
        <v>7</v>
      </c>
      <c r="BE39" s="99">
        <v>9962.4</v>
      </c>
      <c r="BF39" s="99">
        <v>9</v>
      </c>
      <c r="BG39" s="99">
        <v>12808.800000000001</v>
      </c>
      <c r="BH39" s="99">
        <v>12</v>
      </c>
      <c r="BI39" s="99">
        <v>17078.400000000001</v>
      </c>
      <c r="BJ39" s="99">
        <v>8</v>
      </c>
      <c r="BK39" s="99">
        <v>11385.6</v>
      </c>
      <c r="BL39" s="99">
        <v>8</v>
      </c>
      <c r="BM39" s="99">
        <v>11385.6</v>
      </c>
      <c r="BN39" s="99">
        <v>8</v>
      </c>
      <c r="BO39" s="99">
        <v>11385.6</v>
      </c>
      <c r="BP39" s="99">
        <v>8</v>
      </c>
      <c r="BQ39" s="99">
        <v>11385.6</v>
      </c>
      <c r="BR39" s="99">
        <v>7</v>
      </c>
      <c r="BS39" s="99">
        <v>9962.4</v>
      </c>
      <c r="BT39" s="99">
        <v>6</v>
      </c>
      <c r="BU39" s="99">
        <v>8539.2000000000007</v>
      </c>
      <c r="BV39" s="99">
        <v>12</v>
      </c>
      <c r="BW39" s="99">
        <v>17078.400000000001</v>
      </c>
      <c r="BX39" s="99">
        <v>10</v>
      </c>
      <c r="BY39" s="99">
        <v>14232</v>
      </c>
      <c r="BZ39" s="99">
        <v>9</v>
      </c>
      <c r="CA39" s="99">
        <v>12808.800000000001</v>
      </c>
      <c r="CB39" s="99">
        <v>11</v>
      </c>
      <c r="CC39" s="99">
        <v>15655.2</v>
      </c>
      <c r="CD39" s="99">
        <v>9</v>
      </c>
      <c r="CE39" s="99">
        <v>12808.800000000001</v>
      </c>
      <c r="CF39" s="99">
        <v>13</v>
      </c>
      <c r="CG39" s="99">
        <v>18501.600000000002</v>
      </c>
      <c r="CH39" s="99">
        <v>12</v>
      </c>
      <c r="CI39" s="99">
        <v>17078.400000000001</v>
      </c>
      <c r="CJ39" s="99">
        <v>11.061276156505302</v>
      </c>
      <c r="CK39" s="99">
        <v>15742.408225938347</v>
      </c>
      <c r="CL39" s="99">
        <v>10</v>
      </c>
      <c r="CM39" s="99">
        <v>14232</v>
      </c>
      <c r="CN39" s="99">
        <v>12</v>
      </c>
      <c r="CO39" s="99">
        <v>17078.400000000001</v>
      </c>
      <c r="CP39" s="99">
        <v>7.9870587620094406</v>
      </c>
      <c r="CQ39" s="99">
        <v>11367.182030091837</v>
      </c>
      <c r="CR39" s="99">
        <v>7.7851181151915432</v>
      </c>
      <c r="CS39" s="99">
        <v>11079.780101540604</v>
      </c>
      <c r="CT39" s="99">
        <v>9.9212785736282463</v>
      </c>
      <c r="CU39" s="99">
        <v>14119.96366598772</v>
      </c>
    </row>
    <row r="40" spans="2:99">
      <c r="C40" s="98" t="s">
        <v>206</v>
      </c>
      <c r="D40" s="99">
        <v>9</v>
      </c>
      <c r="E40" s="99">
        <v>6523.2</v>
      </c>
      <c r="F40" s="99">
        <v>7</v>
      </c>
      <c r="G40" s="99">
        <v>5073.5999999999995</v>
      </c>
      <c r="H40" s="99">
        <v>10</v>
      </c>
      <c r="I40" s="99">
        <v>7248</v>
      </c>
      <c r="J40" s="99">
        <v>8</v>
      </c>
      <c r="K40" s="99">
        <v>5798.4</v>
      </c>
      <c r="L40" s="99">
        <v>8</v>
      </c>
      <c r="M40" s="99">
        <v>5798.4</v>
      </c>
      <c r="N40" s="99">
        <v>8</v>
      </c>
      <c r="O40" s="99">
        <v>5798.4</v>
      </c>
      <c r="P40" s="99">
        <v>7</v>
      </c>
      <c r="Q40" s="99">
        <v>5073.5999999999995</v>
      </c>
      <c r="R40" s="99">
        <v>8</v>
      </c>
      <c r="S40" s="99">
        <v>5798.4</v>
      </c>
      <c r="T40" s="99">
        <v>10</v>
      </c>
      <c r="U40" s="99">
        <v>7248</v>
      </c>
      <c r="V40" s="99">
        <v>8</v>
      </c>
      <c r="W40" s="99">
        <v>5798.4</v>
      </c>
      <c r="X40" s="99">
        <v>10</v>
      </c>
      <c r="Y40" s="99">
        <v>7248</v>
      </c>
      <c r="Z40" s="99">
        <v>7</v>
      </c>
      <c r="AA40" s="99">
        <v>5073.5999999999995</v>
      </c>
      <c r="AB40" s="99">
        <v>9</v>
      </c>
      <c r="AC40" s="99">
        <v>6523.2</v>
      </c>
      <c r="AD40" s="99">
        <v>9</v>
      </c>
      <c r="AE40" s="99">
        <v>6523.2</v>
      </c>
      <c r="AF40" s="99">
        <v>9</v>
      </c>
      <c r="AG40" s="99">
        <v>6523.2</v>
      </c>
      <c r="AH40" s="99">
        <v>7</v>
      </c>
      <c r="AI40" s="99">
        <v>5073.5999999999995</v>
      </c>
      <c r="AJ40" s="99">
        <v>7</v>
      </c>
      <c r="AK40" s="99">
        <v>5073.5999999999995</v>
      </c>
      <c r="AL40" s="99">
        <v>9</v>
      </c>
      <c r="AM40" s="99">
        <v>6523.2</v>
      </c>
      <c r="AN40" s="99">
        <v>13</v>
      </c>
      <c r="AO40" s="99">
        <v>9422.4</v>
      </c>
      <c r="AP40" s="99">
        <v>11</v>
      </c>
      <c r="AQ40" s="99">
        <v>7972.7999999999993</v>
      </c>
      <c r="AR40" s="99">
        <v>10</v>
      </c>
      <c r="AS40" s="99">
        <v>7248</v>
      </c>
      <c r="AT40" s="99">
        <v>10</v>
      </c>
      <c r="AU40" s="99">
        <v>7248</v>
      </c>
      <c r="AV40" s="99">
        <v>9</v>
      </c>
      <c r="AW40" s="99">
        <v>6523.2</v>
      </c>
      <c r="AX40" s="99">
        <v>8</v>
      </c>
      <c r="AY40" s="99">
        <v>5798.4</v>
      </c>
      <c r="AZ40" s="99">
        <v>11</v>
      </c>
      <c r="BA40" s="99">
        <v>7972.7999999999993</v>
      </c>
      <c r="BB40" s="99">
        <v>10</v>
      </c>
      <c r="BC40" s="99">
        <v>7248</v>
      </c>
      <c r="BD40" s="99">
        <v>6</v>
      </c>
      <c r="BE40" s="99">
        <v>4348.7999999999993</v>
      </c>
      <c r="BF40" s="99">
        <v>9</v>
      </c>
      <c r="BG40" s="99">
        <v>6523.2</v>
      </c>
      <c r="BH40" s="99">
        <v>13</v>
      </c>
      <c r="BI40" s="99">
        <v>9422.4</v>
      </c>
      <c r="BJ40" s="99">
        <v>8</v>
      </c>
      <c r="BK40" s="99">
        <v>5798.4</v>
      </c>
      <c r="BL40" s="99">
        <v>8</v>
      </c>
      <c r="BM40" s="99">
        <v>5798.4</v>
      </c>
      <c r="BN40" s="99">
        <v>7</v>
      </c>
      <c r="BO40" s="99">
        <v>5073.5999999999995</v>
      </c>
      <c r="BP40" s="99">
        <v>9</v>
      </c>
      <c r="BQ40" s="99">
        <v>6523.2</v>
      </c>
      <c r="BR40" s="99">
        <v>9</v>
      </c>
      <c r="BS40" s="99">
        <v>6523.2</v>
      </c>
      <c r="BT40" s="99">
        <v>7</v>
      </c>
      <c r="BU40" s="99">
        <v>5073.5999999999995</v>
      </c>
      <c r="BV40" s="99">
        <v>12</v>
      </c>
      <c r="BW40" s="99">
        <v>8697.5999999999985</v>
      </c>
      <c r="BX40" s="99">
        <v>10</v>
      </c>
      <c r="BY40" s="99">
        <v>7248</v>
      </c>
      <c r="BZ40" s="99">
        <v>10</v>
      </c>
      <c r="CA40" s="99">
        <v>7248</v>
      </c>
      <c r="CB40" s="99">
        <v>11</v>
      </c>
      <c r="CC40" s="99">
        <v>7972.7999999999993</v>
      </c>
      <c r="CD40" s="99">
        <v>9</v>
      </c>
      <c r="CE40" s="99">
        <v>6523.2</v>
      </c>
      <c r="CF40" s="99">
        <v>14</v>
      </c>
      <c r="CG40" s="99">
        <v>10147.199999999999</v>
      </c>
      <c r="CH40" s="99">
        <v>13</v>
      </c>
      <c r="CI40" s="99">
        <v>9422.4</v>
      </c>
      <c r="CJ40" s="99">
        <v>10.210408759851047</v>
      </c>
      <c r="CK40" s="99">
        <v>7400.5042691400386</v>
      </c>
      <c r="CL40" s="99">
        <v>11</v>
      </c>
      <c r="CM40" s="99">
        <v>7972.7999999999993</v>
      </c>
      <c r="CN40" s="99">
        <v>12</v>
      </c>
      <c r="CO40" s="99">
        <v>8697.5999999999985</v>
      </c>
      <c r="CP40" s="99">
        <v>7.9870587620094406</v>
      </c>
      <c r="CQ40" s="99">
        <v>5789.020190704442</v>
      </c>
      <c r="CR40" s="99">
        <v>9.7313976439894283</v>
      </c>
      <c r="CS40" s="99">
        <v>7053.3170123635373</v>
      </c>
      <c r="CT40" s="99">
        <v>10.823212989412633</v>
      </c>
      <c r="CU40" s="99">
        <v>7844.6647747262759</v>
      </c>
    </row>
    <row r="41" spans="2:99">
      <c r="C41" s="98" t="s">
        <v>207</v>
      </c>
      <c r="D41" s="99">
        <v>10</v>
      </c>
      <c r="E41" s="99">
        <v>6600</v>
      </c>
      <c r="F41" s="99">
        <v>8</v>
      </c>
      <c r="G41" s="99">
        <v>5280</v>
      </c>
      <c r="H41" s="99">
        <v>9</v>
      </c>
      <c r="I41" s="99">
        <v>5940</v>
      </c>
      <c r="J41" s="99">
        <v>8</v>
      </c>
      <c r="K41" s="99">
        <v>5280</v>
      </c>
      <c r="L41" s="99">
        <v>8</v>
      </c>
      <c r="M41" s="99">
        <v>5280</v>
      </c>
      <c r="N41" s="99">
        <v>8</v>
      </c>
      <c r="O41" s="99">
        <v>5280</v>
      </c>
      <c r="P41" s="99">
        <v>7</v>
      </c>
      <c r="Q41" s="99">
        <v>4620</v>
      </c>
      <c r="R41" s="99">
        <v>8</v>
      </c>
      <c r="S41" s="99">
        <v>5280</v>
      </c>
      <c r="T41" s="99">
        <v>12</v>
      </c>
      <c r="U41" s="99">
        <v>7920</v>
      </c>
      <c r="V41" s="99">
        <v>7</v>
      </c>
      <c r="W41" s="99">
        <v>4620</v>
      </c>
      <c r="X41" s="99">
        <v>10</v>
      </c>
      <c r="Y41" s="99">
        <v>6600</v>
      </c>
      <c r="Z41" s="99">
        <v>7</v>
      </c>
      <c r="AA41" s="99">
        <v>4620</v>
      </c>
      <c r="AB41" s="99">
        <v>8</v>
      </c>
      <c r="AC41" s="99">
        <v>5280</v>
      </c>
      <c r="AD41" s="99">
        <v>8</v>
      </c>
      <c r="AE41" s="99">
        <v>5280</v>
      </c>
      <c r="AF41" s="99">
        <v>9</v>
      </c>
      <c r="AG41" s="99">
        <v>5940</v>
      </c>
      <c r="AH41" s="99">
        <v>8</v>
      </c>
      <c r="AI41" s="99">
        <v>5280</v>
      </c>
      <c r="AJ41" s="99">
        <v>7</v>
      </c>
      <c r="AK41" s="99">
        <v>4620</v>
      </c>
      <c r="AL41" s="99">
        <v>8</v>
      </c>
      <c r="AM41" s="99">
        <v>5280</v>
      </c>
      <c r="AN41" s="99">
        <v>13</v>
      </c>
      <c r="AO41" s="99">
        <v>8580</v>
      </c>
      <c r="AP41" s="99">
        <v>10</v>
      </c>
      <c r="AQ41" s="99">
        <v>6600</v>
      </c>
      <c r="AR41" s="99">
        <v>10</v>
      </c>
      <c r="AS41" s="99">
        <v>6600</v>
      </c>
      <c r="AT41" s="99">
        <v>9</v>
      </c>
      <c r="AU41" s="99">
        <v>5940</v>
      </c>
      <c r="AV41" s="99">
        <v>9</v>
      </c>
      <c r="AW41" s="99">
        <v>5940</v>
      </c>
      <c r="AX41" s="99">
        <v>9</v>
      </c>
      <c r="AY41" s="99">
        <v>5940</v>
      </c>
      <c r="AZ41" s="99">
        <v>11</v>
      </c>
      <c r="BA41" s="99">
        <v>7260</v>
      </c>
      <c r="BB41" s="99">
        <v>10</v>
      </c>
      <c r="BC41" s="99">
        <v>6600</v>
      </c>
      <c r="BD41" s="99">
        <v>7</v>
      </c>
      <c r="BE41" s="99">
        <v>4620</v>
      </c>
      <c r="BF41" s="99">
        <v>8</v>
      </c>
      <c r="BG41" s="99">
        <v>5280</v>
      </c>
      <c r="BH41" s="99">
        <v>11</v>
      </c>
      <c r="BI41" s="99">
        <v>7260</v>
      </c>
      <c r="BJ41" s="99">
        <v>8</v>
      </c>
      <c r="BK41" s="99">
        <v>5280</v>
      </c>
      <c r="BL41" s="99">
        <v>10</v>
      </c>
      <c r="BM41" s="99">
        <v>6600</v>
      </c>
      <c r="BN41" s="99">
        <v>8</v>
      </c>
      <c r="BO41" s="99">
        <v>5280</v>
      </c>
      <c r="BP41" s="99">
        <v>9</v>
      </c>
      <c r="BQ41" s="99">
        <v>5940</v>
      </c>
      <c r="BR41" s="99">
        <v>8</v>
      </c>
      <c r="BS41" s="99">
        <v>5280</v>
      </c>
      <c r="BT41" s="99">
        <v>6</v>
      </c>
      <c r="BU41" s="99">
        <v>3960</v>
      </c>
      <c r="BV41" s="99">
        <v>13</v>
      </c>
      <c r="BW41" s="99">
        <v>8580</v>
      </c>
      <c r="BX41" s="99">
        <v>11</v>
      </c>
      <c r="BY41" s="99">
        <v>7260</v>
      </c>
      <c r="BZ41" s="99">
        <v>10</v>
      </c>
      <c r="CA41" s="99">
        <v>6600</v>
      </c>
      <c r="CB41" s="99">
        <v>10</v>
      </c>
      <c r="CC41" s="99">
        <v>6600</v>
      </c>
      <c r="CD41" s="99">
        <v>9</v>
      </c>
      <c r="CE41" s="99">
        <v>5940</v>
      </c>
      <c r="CF41" s="99">
        <v>13</v>
      </c>
      <c r="CG41" s="99">
        <v>8580</v>
      </c>
      <c r="CH41" s="99">
        <v>12</v>
      </c>
      <c r="CI41" s="99">
        <v>7920</v>
      </c>
      <c r="CJ41" s="99">
        <v>11.912143553159556</v>
      </c>
      <c r="CK41" s="99">
        <v>7862.0147450853065</v>
      </c>
      <c r="CL41" s="99">
        <v>9</v>
      </c>
      <c r="CM41" s="99">
        <v>5940</v>
      </c>
      <c r="CN41" s="99">
        <v>12</v>
      </c>
      <c r="CO41" s="99">
        <v>7920</v>
      </c>
      <c r="CP41" s="99">
        <v>8.9854411072606197</v>
      </c>
      <c r="CQ41" s="99">
        <v>5930.3911307920089</v>
      </c>
      <c r="CR41" s="99">
        <v>9.7313976439894283</v>
      </c>
      <c r="CS41" s="99">
        <v>6422.7224450330223</v>
      </c>
      <c r="CT41" s="99">
        <v>11.725147405197019</v>
      </c>
      <c r="CU41" s="99">
        <v>7738.5972874300323</v>
      </c>
    </row>
    <row r="42" spans="2:99">
      <c r="C42" s="98" t="s">
        <v>208</v>
      </c>
      <c r="D42" s="99">
        <v>10</v>
      </c>
      <c r="E42" s="99">
        <v>8460</v>
      </c>
      <c r="F42" s="99">
        <v>7</v>
      </c>
      <c r="G42" s="99">
        <v>5922</v>
      </c>
      <c r="H42" s="99">
        <v>10</v>
      </c>
      <c r="I42" s="99">
        <v>8460</v>
      </c>
      <c r="J42" s="99">
        <v>8</v>
      </c>
      <c r="K42" s="99">
        <v>6768</v>
      </c>
      <c r="L42" s="99">
        <v>8</v>
      </c>
      <c r="M42" s="99">
        <v>6768</v>
      </c>
      <c r="N42" s="99">
        <v>8</v>
      </c>
      <c r="O42" s="99">
        <v>6768</v>
      </c>
      <c r="P42" s="99">
        <v>6</v>
      </c>
      <c r="Q42" s="99">
        <v>5076</v>
      </c>
      <c r="R42" s="99">
        <v>7</v>
      </c>
      <c r="S42" s="99">
        <v>5922</v>
      </c>
      <c r="T42" s="99">
        <v>10</v>
      </c>
      <c r="U42" s="99">
        <v>8460</v>
      </c>
      <c r="V42" s="99">
        <v>8</v>
      </c>
      <c r="W42" s="99">
        <v>6768</v>
      </c>
      <c r="X42" s="99">
        <v>11</v>
      </c>
      <c r="Y42" s="99">
        <v>9306</v>
      </c>
      <c r="Z42" s="99">
        <v>7</v>
      </c>
      <c r="AA42" s="99">
        <v>5922</v>
      </c>
      <c r="AB42" s="99">
        <v>9</v>
      </c>
      <c r="AC42" s="99">
        <v>7614</v>
      </c>
      <c r="AD42" s="99">
        <v>8</v>
      </c>
      <c r="AE42" s="99">
        <v>6768</v>
      </c>
      <c r="AF42" s="99">
        <v>9</v>
      </c>
      <c r="AG42" s="99">
        <v>7614</v>
      </c>
      <c r="AH42" s="99">
        <v>7</v>
      </c>
      <c r="AI42" s="99">
        <v>5922</v>
      </c>
      <c r="AJ42" s="99">
        <v>7</v>
      </c>
      <c r="AK42" s="99">
        <v>5922</v>
      </c>
      <c r="AL42" s="99">
        <v>8</v>
      </c>
      <c r="AM42" s="99">
        <v>6768</v>
      </c>
      <c r="AN42" s="99">
        <v>12</v>
      </c>
      <c r="AO42" s="99">
        <v>10152</v>
      </c>
      <c r="AP42" s="99">
        <v>10</v>
      </c>
      <c r="AQ42" s="99">
        <v>8460</v>
      </c>
      <c r="AR42" s="99">
        <v>11</v>
      </c>
      <c r="AS42" s="99">
        <v>9306</v>
      </c>
      <c r="AT42" s="99">
        <v>9</v>
      </c>
      <c r="AU42" s="99">
        <v>7614</v>
      </c>
      <c r="AV42" s="99">
        <v>9</v>
      </c>
      <c r="AW42" s="99">
        <v>7614</v>
      </c>
      <c r="AX42" s="99">
        <v>8</v>
      </c>
      <c r="AY42" s="99">
        <v>6768</v>
      </c>
      <c r="AZ42" s="99">
        <v>12</v>
      </c>
      <c r="BA42" s="99">
        <v>10152</v>
      </c>
      <c r="BB42" s="99">
        <v>8</v>
      </c>
      <c r="BC42" s="99">
        <v>6768</v>
      </c>
      <c r="BD42" s="99">
        <v>7</v>
      </c>
      <c r="BE42" s="99">
        <v>5922</v>
      </c>
      <c r="BF42" s="99">
        <v>9</v>
      </c>
      <c r="BG42" s="99">
        <v>7614</v>
      </c>
      <c r="BH42" s="99">
        <v>13</v>
      </c>
      <c r="BI42" s="99">
        <v>10998</v>
      </c>
      <c r="BJ42" s="99">
        <v>8</v>
      </c>
      <c r="BK42" s="99">
        <v>6768</v>
      </c>
      <c r="BL42" s="99">
        <v>9</v>
      </c>
      <c r="BM42" s="99">
        <v>7614</v>
      </c>
      <c r="BN42" s="99">
        <v>8</v>
      </c>
      <c r="BO42" s="99">
        <v>6768</v>
      </c>
      <c r="BP42" s="99">
        <v>8</v>
      </c>
      <c r="BQ42" s="99">
        <v>6768</v>
      </c>
      <c r="BR42" s="99">
        <v>7</v>
      </c>
      <c r="BS42" s="99">
        <v>5922</v>
      </c>
      <c r="BT42" s="99">
        <v>6</v>
      </c>
      <c r="BU42" s="99">
        <v>5076</v>
      </c>
      <c r="BV42" s="99">
        <v>13</v>
      </c>
      <c r="BW42" s="99">
        <v>10998</v>
      </c>
      <c r="BX42" s="99">
        <v>10</v>
      </c>
      <c r="BY42" s="99">
        <v>8460</v>
      </c>
      <c r="BZ42" s="99">
        <v>9</v>
      </c>
      <c r="CA42" s="99">
        <v>7614</v>
      </c>
      <c r="CB42" s="99">
        <v>12</v>
      </c>
      <c r="CC42" s="99">
        <v>10152</v>
      </c>
      <c r="CD42" s="99">
        <v>8</v>
      </c>
      <c r="CE42" s="99">
        <v>6768</v>
      </c>
      <c r="CF42" s="99">
        <v>12</v>
      </c>
      <c r="CG42" s="99">
        <v>10152</v>
      </c>
      <c r="CH42" s="99">
        <v>12</v>
      </c>
      <c r="CI42" s="99">
        <v>10152</v>
      </c>
      <c r="CJ42" s="99">
        <v>11.061276156505302</v>
      </c>
      <c r="CK42" s="99">
        <v>9357.8396284034861</v>
      </c>
      <c r="CL42" s="99">
        <v>9</v>
      </c>
      <c r="CM42" s="99">
        <v>7614</v>
      </c>
      <c r="CN42" s="99">
        <v>13</v>
      </c>
      <c r="CO42" s="99">
        <v>10998</v>
      </c>
      <c r="CP42" s="99">
        <v>7.9870587620094406</v>
      </c>
      <c r="CQ42" s="99">
        <v>6757.0517126599871</v>
      </c>
      <c r="CR42" s="99">
        <v>8.7582578795904862</v>
      </c>
      <c r="CS42" s="99">
        <v>7409.4861661335517</v>
      </c>
      <c r="CT42" s="99">
        <v>10.823212989412633</v>
      </c>
      <c r="CU42" s="99">
        <v>9156.4381890430886</v>
      </c>
    </row>
    <row r="43" spans="2:99">
      <c r="C43" s="98" t="s">
        <v>209</v>
      </c>
      <c r="D43" s="99">
        <v>9</v>
      </c>
      <c r="E43" s="99">
        <v>9201.6</v>
      </c>
      <c r="F43" s="99">
        <v>8</v>
      </c>
      <c r="G43" s="99">
        <v>8179.2</v>
      </c>
      <c r="H43" s="99">
        <v>9</v>
      </c>
      <c r="I43" s="99">
        <v>9201.6</v>
      </c>
      <c r="J43" s="99">
        <v>7</v>
      </c>
      <c r="K43" s="99">
        <v>7156.8</v>
      </c>
      <c r="L43" s="99">
        <v>9</v>
      </c>
      <c r="M43" s="99">
        <v>9201.6</v>
      </c>
      <c r="N43" s="99">
        <v>7</v>
      </c>
      <c r="O43" s="99">
        <v>7156.8</v>
      </c>
      <c r="P43" s="99">
        <v>7</v>
      </c>
      <c r="Q43" s="99">
        <v>7156.8</v>
      </c>
      <c r="R43" s="99">
        <v>7</v>
      </c>
      <c r="S43" s="99">
        <v>7156.8</v>
      </c>
      <c r="T43" s="99">
        <v>10</v>
      </c>
      <c r="U43" s="99">
        <v>10224</v>
      </c>
      <c r="V43" s="99">
        <v>8</v>
      </c>
      <c r="W43" s="99">
        <v>8179.2</v>
      </c>
      <c r="X43" s="99">
        <v>9</v>
      </c>
      <c r="Y43" s="99">
        <v>9201.6</v>
      </c>
      <c r="Z43" s="99">
        <v>6</v>
      </c>
      <c r="AA43" s="99">
        <v>6134.4</v>
      </c>
      <c r="AB43" s="99">
        <v>8</v>
      </c>
      <c r="AC43" s="99">
        <v>8179.2</v>
      </c>
      <c r="AD43" s="99">
        <v>8</v>
      </c>
      <c r="AE43" s="99">
        <v>8179.2</v>
      </c>
      <c r="AF43" s="99">
        <v>8</v>
      </c>
      <c r="AG43" s="99">
        <v>8179.2</v>
      </c>
      <c r="AH43" s="99">
        <v>7</v>
      </c>
      <c r="AI43" s="99">
        <v>7156.8</v>
      </c>
      <c r="AJ43" s="99">
        <v>7</v>
      </c>
      <c r="AK43" s="99">
        <v>7156.8</v>
      </c>
      <c r="AL43" s="99">
        <v>9</v>
      </c>
      <c r="AM43" s="99">
        <v>9201.6</v>
      </c>
      <c r="AN43" s="99">
        <v>12</v>
      </c>
      <c r="AO43" s="99">
        <v>12268.8</v>
      </c>
      <c r="AP43" s="99">
        <v>11</v>
      </c>
      <c r="AQ43" s="99">
        <v>11246.4</v>
      </c>
      <c r="AR43" s="99">
        <v>11</v>
      </c>
      <c r="AS43" s="99">
        <v>11246.4</v>
      </c>
      <c r="AT43" s="99">
        <v>9</v>
      </c>
      <c r="AU43" s="99">
        <v>9201.6</v>
      </c>
      <c r="AV43" s="99">
        <v>9</v>
      </c>
      <c r="AW43" s="99">
        <v>9201.6</v>
      </c>
      <c r="AX43" s="99">
        <v>8</v>
      </c>
      <c r="AY43" s="99">
        <v>8179.2</v>
      </c>
      <c r="AZ43" s="99">
        <v>11</v>
      </c>
      <c r="BA43" s="99">
        <v>11246.4</v>
      </c>
      <c r="BB43" s="99">
        <v>8</v>
      </c>
      <c r="BC43" s="99">
        <v>8179.2</v>
      </c>
      <c r="BD43" s="99">
        <v>7</v>
      </c>
      <c r="BE43" s="99">
        <v>7156.8</v>
      </c>
      <c r="BF43" s="99">
        <v>8</v>
      </c>
      <c r="BG43" s="99">
        <v>8179.2</v>
      </c>
      <c r="BH43" s="99">
        <v>11</v>
      </c>
      <c r="BI43" s="99">
        <v>11246.4</v>
      </c>
      <c r="BJ43" s="99">
        <v>7</v>
      </c>
      <c r="BK43" s="99">
        <v>7156.8</v>
      </c>
      <c r="BL43" s="99">
        <v>8</v>
      </c>
      <c r="BM43" s="99">
        <v>8179.2</v>
      </c>
      <c r="BN43" s="99">
        <v>7</v>
      </c>
      <c r="BO43" s="99">
        <v>7156.8</v>
      </c>
      <c r="BP43" s="99">
        <v>9</v>
      </c>
      <c r="BQ43" s="99">
        <v>9201.6</v>
      </c>
      <c r="BR43" s="99">
        <v>7</v>
      </c>
      <c r="BS43" s="99">
        <v>7156.8</v>
      </c>
      <c r="BT43" s="99">
        <v>6</v>
      </c>
      <c r="BU43" s="99">
        <v>6134.4</v>
      </c>
      <c r="BV43" s="99">
        <v>12</v>
      </c>
      <c r="BW43" s="99">
        <v>12268.8</v>
      </c>
      <c r="BX43" s="99">
        <v>10</v>
      </c>
      <c r="BY43" s="99">
        <v>10224</v>
      </c>
      <c r="BZ43" s="99">
        <v>8</v>
      </c>
      <c r="CA43" s="99">
        <v>8179.2</v>
      </c>
      <c r="CB43" s="99">
        <v>11</v>
      </c>
      <c r="CC43" s="99">
        <v>11246.4</v>
      </c>
      <c r="CD43" s="99">
        <v>9</v>
      </c>
      <c r="CE43" s="99">
        <v>9201.6</v>
      </c>
      <c r="CF43" s="99">
        <v>12</v>
      </c>
      <c r="CG43" s="99">
        <v>12268.8</v>
      </c>
      <c r="CH43" s="99">
        <v>12</v>
      </c>
      <c r="CI43" s="99">
        <v>12268.8</v>
      </c>
      <c r="CJ43" s="99">
        <v>11.061276156505302</v>
      </c>
      <c r="CK43" s="99">
        <v>11309.048742411022</v>
      </c>
      <c r="CL43" s="99">
        <v>9</v>
      </c>
      <c r="CM43" s="99">
        <v>9201.6</v>
      </c>
      <c r="CN43" s="99">
        <v>13</v>
      </c>
      <c r="CO43" s="99">
        <v>13291.199999999999</v>
      </c>
      <c r="CP43" s="99">
        <v>7.9870587620094406</v>
      </c>
      <c r="CQ43" s="99">
        <v>8165.9688782784515</v>
      </c>
      <c r="CR43" s="99">
        <v>8.7582578795904862</v>
      </c>
      <c r="CS43" s="99">
        <v>8954.442856093312</v>
      </c>
      <c r="CT43" s="99">
        <v>10.823212989412633</v>
      </c>
      <c r="CU43" s="99">
        <v>11065.652960375477</v>
      </c>
    </row>
    <row r="44" spans="2:99">
      <c r="C44" s="98" t="s">
        <v>210</v>
      </c>
      <c r="D44" s="99">
        <v>10</v>
      </c>
      <c r="E44" s="99">
        <v>10224</v>
      </c>
      <c r="F44" s="99">
        <v>7</v>
      </c>
      <c r="G44" s="99">
        <v>7156.8</v>
      </c>
      <c r="H44" s="99">
        <v>9</v>
      </c>
      <c r="I44" s="99">
        <v>9201.6</v>
      </c>
      <c r="J44" s="99">
        <v>8</v>
      </c>
      <c r="K44" s="99">
        <v>8179.2</v>
      </c>
      <c r="L44" s="99">
        <v>8</v>
      </c>
      <c r="M44" s="99">
        <v>8179.2</v>
      </c>
      <c r="N44" s="99">
        <v>7</v>
      </c>
      <c r="O44" s="99">
        <v>7156.8</v>
      </c>
      <c r="P44" s="99">
        <v>6</v>
      </c>
      <c r="Q44" s="99">
        <v>6134.4</v>
      </c>
      <c r="R44" s="99">
        <v>7</v>
      </c>
      <c r="S44" s="99">
        <v>7156.8</v>
      </c>
      <c r="T44" s="99">
        <v>11</v>
      </c>
      <c r="U44" s="99">
        <v>11246.4</v>
      </c>
      <c r="V44" s="99">
        <v>8</v>
      </c>
      <c r="W44" s="99">
        <v>8179.2</v>
      </c>
      <c r="X44" s="99">
        <v>9</v>
      </c>
      <c r="Y44" s="99">
        <v>9201.6</v>
      </c>
      <c r="Z44" s="99">
        <v>6</v>
      </c>
      <c r="AA44" s="99">
        <v>6134.4</v>
      </c>
      <c r="AB44" s="99">
        <v>8</v>
      </c>
      <c r="AC44" s="99">
        <v>8179.2</v>
      </c>
      <c r="AD44" s="99">
        <v>7</v>
      </c>
      <c r="AE44" s="99">
        <v>7156.8</v>
      </c>
      <c r="AF44" s="99">
        <v>8</v>
      </c>
      <c r="AG44" s="99">
        <v>8179.2</v>
      </c>
      <c r="AH44" s="99">
        <v>7</v>
      </c>
      <c r="AI44" s="99">
        <v>7156.8</v>
      </c>
      <c r="AJ44" s="99">
        <v>6</v>
      </c>
      <c r="AK44" s="99">
        <v>6134.4</v>
      </c>
      <c r="AL44" s="99">
        <v>9</v>
      </c>
      <c r="AM44" s="99">
        <v>9201.6</v>
      </c>
      <c r="AN44" s="99">
        <v>11</v>
      </c>
      <c r="AO44" s="99">
        <v>11246.4</v>
      </c>
      <c r="AP44" s="99">
        <v>10</v>
      </c>
      <c r="AQ44" s="99">
        <v>10224</v>
      </c>
      <c r="AR44" s="99">
        <v>12</v>
      </c>
      <c r="AS44" s="99">
        <v>12268.8</v>
      </c>
      <c r="AT44" s="99">
        <v>9</v>
      </c>
      <c r="AU44" s="99">
        <v>9201.6</v>
      </c>
      <c r="AV44" s="99">
        <v>9</v>
      </c>
      <c r="AW44" s="99">
        <v>9201.6</v>
      </c>
      <c r="AX44" s="99">
        <v>8</v>
      </c>
      <c r="AY44" s="99">
        <v>8179.2</v>
      </c>
      <c r="AZ44" s="99">
        <v>9</v>
      </c>
      <c r="BA44" s="99">
        <v>9201.6</v>
      </c>
      <c r="BB44" s="99">
        <v>9</v>
      </c>
      <c r="BC44" s="99">
        <v>9201.6</v>
      </c>
      <c r="BD44" s="99">
        <v>6</v>
      </c>
      <c r="BE44" s="99">
        <v>6134.4</v>
      </c>
      <c r="BF44" s="99">
        <v>9</v>
      </c>
      <c r="BG44" s="99">
        <v>9201.6</v>
      </c>
      <c r="BH44" s="99">
        <v>13</v>
      </c>
      <c r="BI44" s="99">
        <v>13291.199999999999</v>
      </c>
      <c r="BJ44" s="99">
        <v>7</v>
      </c>
      <c r="BK44" s="99">
        <v>7156.8</v>
      </c>
      <c r="BL44" s="99">
        <v>8</v>
      </c>
      <c r="BM44" s="99">
        <v>8179.2</v>
      </c>
      <c r="BN44" s="99">
        <v>8</v>
      </c>
      <c r="BO44" s="99">
        <v>8179.2</v>
      </c>
      <c r="BP44" s="99">
        <v>8</v>
      </c>
      <c r="BQ44" s="99">
        <v>8179.2</v>
      </c>
      <c r="BR44" s="99">
        <v>7</v>
      </c>
      <c r="BS44" s="99">
        <v>7156.8</v>
      </c>
      <c r="BT44" s="99">
        <v>7</v>
      </c>
      <c r="BU44" s="99">
        <v>7156.8</v>
      </c>
      <c r="BV44" s="99">
        <v>13</v>
      </c>
      <c r="BW44" s="99">
        <v>13291.199999999999</v>
      </c>
      <c r="BX44" s="99">
        <v>10</v>
      </c>
      <c r="BY44" s="99">
        <v>10224</v>
      </c>
      <c r="BZ44" s="99">
        <v>9</v>
      </c>
      <c r="CA44" s="99">
        <v>9201.6</v>
      </c>
      <c r="CB44" s="99">
        <v>10</v>
      </c>
      <c r="CC44" s="99">
        <v>10224</v>
      </c>
      <c r="CD44" s="99">
        <v>8</v>
      </c>
      <c r="CE44" s="99">
        <v>8179.2</v>
      </c>
      <c r="CF44" s="99">
        <v>12</v>
      </c>
      <c r="CG44" s="99">
        <v>12268.8</v>
      </c>
      <c r="CH44" s="99">
        <v>12</v>
      </c>
      <c r="CI44" s="99">
        <v>12268.8</v>
      </c>
      <c r="CJ44" s="99">
        <v>11.061276156505302</v>
      </c>
      <c r="CK44" s="99">
        <v>11309.048742411022</v>
      </c>
      <c r="CL44" s="99">
        <v>10</v>
      </c>
      <c r="CM44" s="99">
        <v>10224</v>
      </c>
      <c r="CN44" s="99">
        <v>12</v>
      </c>
      <c r="CO44" s="99">
        <v>12268.8</v>
      </c>
      <c r="CP44" s="99">
        <v>8.9854411072606197</v>
      </c>
      <c r="CQ44" s="99">
        <v>9186.7149880632569</v>
      </c>
      <c r="CR44" s="99">
        <v>8.7582578795904862</v>
      </c>
      <c r="CS44" s="99">
        <v>8954.442856093312</v>
      </c>
      <c r="CT44" s="99">
        <v>9.9212785736282463</v>
      </c>
      <c r="CU44" s="99">
        <v>10143.51521367752</v>
      </c>
    </row>
    <row r="45" spans="2:99">
      <c r="C45" s="98" t="s">
        <v>211</v>
      </c>
      <c r="D45" s="99">
        <v>10</v>
      </c>
      <c r="E45" s="99">
        <v>12492</v>
      </c>
      <c r="F45" s="99">
        <v>7</v>
      </c>
      <c r="G45" s="99">
        <v>8744.4</v>
      </c>
      <c r="H45" s="99">
        <v>9</v>
      </c>
      <c r="I45" s="99">
        <v>11242.800000000001</v>
      </c>
      <c r="J45" s="99">
        <v>8</v>
      </c>
      <c r="K45" s="99">
        <v>9993.6</v>
      </c>
      <c r="L45" s="99">
        <v>8</v>
      </c>
      <c r="M45" s="99">
        <v>9993.6</v>
      </c>
      <c r="N45" s="99">
        <v>8</v>
      </c>
      <c r="O45" s="99">
        <v>9993.6</v>
      </c>
      <c r="P45" s="99">
        <v>6</v>
      </c>
      <c r="Q45" s="99">
        <v>7495.2000000000007</v>
      </c>
      <c r="R45" s="99">
        <v>6</v>
      </c>
      <c r="S45" s="99">
        <v>7495.2000000000007</v>
      </c>
      <c r="T45" s="99">
        <v>10</v>
      </c>
      <c r="U45" s="99">
        <v>12492</v>
      </c>
      <c r="V45" s="99">
        <v>7</v>
      </c>
      <c r="W45" s="99">
        <v>8744.4</v>
      </c>
      <c r="X45" s="99">
        <v>11</v>
      </c>
      <c r="Y45" s="99">
        <v>13741.2</v>
      </c>
      <c r="Z45" s="99">
        <v>6</v>
      </c>
      <c r="AA45" s="99">
        <v>7495.2000000000007</v>
      </c>
      <c r="AB45" s="99">
        <v>8</v>
      </c>
      <c r="AC45" s="99">
        <v>9993.6</v>
      </c>
      <c r="AD45" s="99">
        <v>8</v>
      </c>
      <c r="AE45" s="99">
        <v>9993.6</v>
      </c>
      <c r="AF45" s="99">
        <v>9</v>
      </c>
      <c r="AG45" s="99">
        <v>11242.800000000001</v>
      </c>
      <c r="AH45" s="99">
        <v>8</v>
      </c>
      <c r="AI45" s="99">
        <v>9993.6</v>
      </c>
      <c r="AJ45" s="99">
        <v>7</v>
      </c>
      <c r="AK45" s="99">
        <v>8744.4</v>
      </c>
      <c r="AL45" s="99">
        <v>8</v>
      </c>
      <c r="AM45" s="99">
        <v>9993.6</v>
      </c>
      <c r="AN45" s="99">
        <v>13</v>
      </c>
      <c r="AO45" s="99">
        <v>16239.6</v>
      </c>
      <c r="AP45" s="99">
        <v>11</v>
      </c>
      <c r="AQ45" s="99">
        <v>13741.2</v>
      </c>
      <c r="AR45" s="99">
        <v>10</v>
      </c>
      <c r="AS45" s="99">
        <v>12492</v>
      </c>
      <c r="AT45" s="99">
        <v>8</v>
      </c>
      <c r="AU45" s="99">
        <v>9993.6</v>
      </c>
      <c r="AV45" s="99">
        <v>8</v>
      </c>
      <c r="AW45" s="99">
        <v>9993.6</v>
      </c>
      <c r="AX45" s="99">
        <v>8</v>
      </c>
      <c r="AY45" s="99">
        <v>9993.6</v>
      </c>
      <c r="AZ45" s="99">
        <v>11</v>
      </c>
      <c r="BA45" s="99">
        <v>13741.2</v>
      </c>
      <c r="BB45" s="99">
        <v>9</v>
      </c>
      <c r="BC45" s="99">
        <v>11242.800000000001</v>
      </c>
      <c r="BD45" s="99">
        <v>7</v>
      </c>
      <c r="BE45" s="99">
        <v>8744.4</v>
      </c>
      <c r="BF45" s="99">
        <v>8</v>
      </c>
      <c r="BG45" s="99">
        <v>9993.6</v>
      </c>
      <c r="BH45" s="99">
        <v>11</v>
      </c>
      <c r="BI45" s="99">
        <v>13741.2</v>
      </c>
      <c r="BJ45" s="99">
        <v>7</v>
      </c>
      <c r="BK45" s="99">
        <v>8744.4</v>
      </c>
      <c r="BL45" s="99">
        <v>9</v>
      </c>
      <c r="BM45" s="99">
        <v>11242.800000000001</v>
      </c>
      <c r="BN45" s="99">
        <v>7</v>
      </c>
      <c r="BO45" s="99">
        <v>8744.4</v>
      </c>
      <c r="BP45" s="99">
        <v>9</v>
      </c>
      <c r="BQ45" s="99">
        <v>11242.800000000001</v>
      </c>
      <c r="BR45" s="99">
        <v>8</v>
      </c>
      <c r="BS45" s="99">
        <v>9993.6</v>
      </c>
      <c r="BT45" s="99">
        <v>7</v>
      </c>
      <c r="BU45" s="99">
        <v>8744.4</v>
      </c>
      <c r="BV45" s="99">
        <v>12</v>
      </c>
      <c r="BW45" s="99">
        <v>14990.400000000001</v>
      </c>
      <c r="BX45" s="99">
        <v>10</v>
      </c>
      <c r="BY45" s="99">
        <v>12492</v>
      </c>
      <c r="BZ45" s="99">
        <v>8</v>
      </c>
      <c r="CA45" s="99">
        <v>9993.6</v>
      </c>
      <c r="CB45" s="99">
        <v>11</v>
      </c>
      <c r="CC45" s="99">
        <v>13741.2</v>
      </c>
      <c r="CD45" s="99">
        <v>9</v>
      </c>
      <c r="CE45" s="99">
        <v>11242.800000000001</v>
      </c>
      <c r="CF45" s="99">
        <v>11</v>
      </c>
      <c r="CG45" s="99">
        <v>13741.2</v>
      </c>
      <c r="CH45" s="99">
        <v>11</v>
      </c>
      <c r="CI45" s="99">
        <v>13741.2</v>
      </c>
      <c r="CJ45" s="99">
        <v>10.210408759851047</v>
      </c>
      <c r="CK45" s="99">
        <v>12754.842622805929</v>
      </c>
      <c r="CL45" s="99">
        <v>9</v>
      </c>
      <c r="CM45" s="99">
        <v>11242.800000000001</v>
      </c>
      <c r="CN45" s="99">
        <v>11</v>
      </c>
      <c r="CO45" s="99">
        <v>13741.2</v>
      </c>
      <c r="CP45" s="99">
        <v>8.9854411072606197</v>
      </c>
      <c r="CQ45" s="99">
        <v>11224.613031189967</v>
      </c>
      <c r="CR45" s="99">
        <v>9.7313976439894283</v>
      </c>
      <c r="CS45" s="99">
        <v>12156.461936871594</v>
      </c>
      <c r="CT45" s="99">
        <v>9.9212785736282463</v>
      </c>
      <c r="CU45" s="99">
        <v>12393.661194176406</v>
      </c>
    </row>
    <row r="46" spans="2:99">
      <c r="C46" s="98" t="s">
        <v>212</v>
      </c>
      <c r="D46" s="99">
        <v>8</v>
      </c>
      <c r="E46" s="99">
        <v>9696</v>
      </c>
      <c r="F46" s="99">
        <v>8</v>
      </c>
      <c r="G46" s="99">
        <v>9696</v>
      </c>
      <c r="H46" s="99">
        <v>9</v>
      </c>
      <c r="I46" s="99">
        <v>10908</v>
      </c>
      <c r="J46" s="99">
        <v>7</v>
      </c>
      <c r="K46" s="99">
        <v>8484</v>
      </c>
      <c r="L46" s="99">
        <v>8</v>
      </c>
      <c r="M46" s="99">
        <v>9696</v>
      </c>
      <c r="N46" s="99">
        <v>7</v>
      </c>
      <c r="O46" s="99">
        <v>8484</v>
      </c>
      <c r="P46" s="99">
        <v>6</v>
      </c>
      <c r="Q46" s="99">
        <v>7272</v>
      </c>
      <c r="R46" s="99">
        <v>7</v>
      </c>
      <c r="S46" s="99">
        <v>8484</v>
      </c>
      <c r="T46" s="99">
        <v>10</v>
      </c>
      <c r="U46" s="99">
        <v>12120</v>
      </c>
      <c r="V46" s="99">
        <v>7</v>
      </c>
      <c r="W46" s="99">
        <v>8484</v>
      </c>
      <c r="X46" s="99">
        <v>11</v>
      </c>
      <c r="Y46" s="99">
        <v>13332</v>
      </c>
      <c r="Z46" s="99">
        <v>6</v>
      </c>
      <c r="AA46" s="99">
        <v>7272</v>
      </c>
      <c r="AB46" s="99">
        <v>8</v>
      </c>
      <c r="AC46" s="99">
        <v>9696</v>
      </c>
      <c r="AD46" s="99">
        <v>8</v>
      </c>
      <c r="AE46" s="99">
        <v>9696</v>
      </c>
      <c r="AF46" s="99">
        <v>8</v>
      </c>
      <c r="AG46" s="99">
        <v>9696</v>
      </c>
      <c r="AH46" s="99">
        <v>8</v>
      </c>
      <c r="AI46" s="99">
        <v>9696</v>
      </c>
      <c r="AJ46" s="99">
        <v>6</v>
      </c>
      <c r="AK46" s="99">
        <v>7272</v>
      </c>
      <c r="AL46" s="99">
        <v>9</v>
      </c>
      <c r="AM46" s="99">
        <v>10908</v>
      </c>
      <c r="AN46" s="99">
        <v>12</v>
      </c>
      <c r="AO46" s="99">
        <v>14544</v>
      </c>
      <c r="AP46" s="99">
        <v>10</v>
      </c>
      <c r="AQ46" s="99">
        <v>12120</v>
      </c>
      <c r="AR46" s="99">
        <v>11</v>
      </c>
      <c r="AS46" s="99">
        <v>13332</v>
      </c>
      <c r="AT46" s="99">
        <v>10</v>
      </c>
      <c r="AU46" s="99">
        <v>12120</v>
      </c>
      <c r="AV46" s="99">
        <v>8</v>
      </c>
      <c r="AW46" s="99">
        <v>9696</v>
      </c>
      <c r="AX46" s="99">
        <v>8</v>
      </c>
      <c r="AY46" s="99">
        <v>9696</v>
      </c>
      <c r="AZ46" s="99">
        <v>11</v>
      </c>
      <c r="BA46" s="99">
        <v>13332</v>
      </c>
      <c r="BB46" s="99">
        <v>8</v>
      </c>
      <c r="BC46" s="99">
        <v>9696</v>
      </c>
      <c r="BD46" s="99">
        <v>7</v>
      </c>
      <c r="BE46" s="99">
        <v>8484</v>
      </c>
      <c r="BF46" s="99">
        <v>9</v>
      </c>
      <c r="BG46" s="99">
        <v>10908</v>
      </c>
      <c r="BH46" s="99">
        <v>11</v>
      </c>
      <c r="BI46" s="99">
        <v>13332</v>
      </c>
      <c r="BJ46" s="99">
        <v>7</v>
      </c>
      <c r="BK46" s="99">
        <v>8484</v>
      </c>
      <c r="BL46" s="99">
        <v>9</v>
      </c>
      <c r="BM46" s="99">
        <v>10908</v>
      </c>
      <c r="BN46" s="99">
        <v>7</v>
      </c>
      <c r="BO46" s="99">
        <v>8484</v>
      </c>
      <c r="BP46" s="99">
        <v>9</v>
      </c>
      <c r="BQ46" s="99">
        <v>10908</v>
      </c>
      <c r="BR46" s="99">
        <v>7</v>
      </c>
      <c r="BS46" s="99">
        <v>8484</v>
      </c>
      <c r="BT46" s="99">
        <v>7</v>
      </c>
      <c r="BU46" s="99">
        <v>8484</v>
      </c>
      <c r="BV46" s="99">
        <v>12</v>
      </c>
      <c r="BW46" s="99">
        <v>14544</v>
      </c>
      <c r="BX46" s="99">
        <v>10</v>
      </c>
      <c r="BY46" s="99">
        <v>12120</v>
      </c>
      <c r="BZ46" s="99">
        <v>8</v>
      </c>
      <c r="CA46" s="99">
        <v>9696</v>
      </c>
      <c r="CB46" s="99">
        <v>11</v>
      </c>
      <c r="CC46" s="99">
        <v>13332</v>
      </c>
      <c r="CD46" s="99">
        <v>8</v>
      </c>
      <c r="CE46" s="99">
        <v>9696</v>
      </c>
      <c r="CF46" s="99">
        <v>13</v>
      </c>
      <c r="CG46" s="99">
        <v>15756</v>
      </c>
      <c r="CH46" s="99">
        <v>12</v>
      </c>
      <c r="CI46" s="99">
        <v>14544</v>
      </c>
      <c r="CJ46" s="99">
        <v>11.061276156505302</v>
      </c>
      <c r="CK46" s="99">
        <v>13406.266701684426</v>
      </c>
      <c r="CL46" s="99">
        <v>10</v>
      </c>
      <c r="CM46" s="99">
        <v>12120</v>
      </c>
      <c r="CN46" s="99">
        <v>11</v>
      </c>
      <c r="CO46" s="99">
        <v>13332</v>
      </c>
      <c r="CP46" s="99">
        <v>8.9854411072606197</v>
      </c>
      <c r="CQ46" s="99">
        <v>10890.354621999872</v>
      </c>
      <c r="CR46" s="99">
        <v>9.7313976439894283</v>
      </c>
      <c r="CS46" s="99">
        <v>11794.453944515188</v>
      </c>
      <c r="CT46" s="99">
        <v>11.725147405197019</v>
      </c>
      <c r="CU46" s="99">
        <v>14210.878655098786</v>
      </c>
    </row>
    <row r="47" spans="2:99">
      <c r="C47" s="98" t="s">
        <v>213</v>
      </c>
      <c r="D47" s="99">
        <v>9</v>
      </c>
      <c r="E47" s="99">
        <v>13748.4</v>
      </c>
      <c r="F47" s="99">
        <v>7</v>
      </c>
      <c r="G47" s="99">
        <v>10693.199999999999</v>
      </c>
      <c r="H47" s="99">
        <v>9</v>
      </c>
      <c r="I47" s="99">
        <v>13748.4</v>
      </c>
      <c r="J47" s="99">
        <v>8</v>
      </c>
      <c r="K47" s="99">
        <v>12220.8</v>
      </c>
      <c r="L47" s="99">
        <v>8</v>
      </c>
      <c r="M47" s="99">
        <v>12220.8</v>
      </c>
      <c r="N47" s="99">
        <v>7</v>
      </c>
      <c r="O47" s="99">
        <v>10693.199999999999</v>
      </c>
      <c r="P47" s="99">
        <v>6</v>
      </c>
      <c r="Q47" s="99">
        <v>9165.5999999999985</v>
      </c>
      <c r="R47" s="99">
        <v>7</v>
      </c>
      <c r="S47" s="99">
        <v>10693.199999999999</v>
      </c>
      <c r="T47" s="99">
        <v>11</v>
      </c>
      <c r="U47" s="99">
        <v>16803.599999999999</v>
      </c>
      <c r="V47" s="99">
        <v>8</v>
      </c>
      <c r="W47" s="99">
        <v>12220.8</v>
      </c>
      <c r="X47" s="99">
        <v>9</v>
      </c>
      <c r="Y47" s="99">
        <v>13748.4</v>
      </c>
      <c r="Z47" s="99">
        <v>6</v>
      </c>
      <c r="AA47" s="99">
        <v>9165.5999999999985</v>
      </c>
      <c r="AB47" s="99">
        <v>7</v>
      </c>
      <c r="AC47" s="99">
        <v>10693.199999999999</v>
      </c>
      <c r="AD47" s="99">
        <v>7</v>
      </c>
      <c r="AE47" s="99">
        <v>10693.199999999999</v>
      </c>
      <c r="AF47" s="99">
        <v>9</v>
      </c>
      <c r="AG47" s="99">
        <v>13748.4</v>
      </c>
      <c r="AH47" s="99">
        <v>7</v>
      </c>
      <c r="AI47" s="99">
        <v>10693.199999999999</v>
      </c>
      <c r="AJ47" s="99">
        <v>5</v>
      </c>
      <c r="AK47" s="99">
        <v>7638</v>
      </c>
      <c r="AL47" s="99">
        <v>8</v>
      </c>
      <c r="AM47" s="99">
        <v>12220.8</v>
      </c>
      <c r="AN47" s="99">
        <v>12</v>
      </c>
      <c r="AO47" s="99">
        <v>18331.199999999997</v>
      </c>
      <c r="AP47" s="99">
        <v>11</v>
      </c>
      <c r="AQ47" s="99">
        <v>16803.599999999999</v>
      </c>
      <c r="AR47" s="99">
        <v>10</v>
      </c>
      <c r="AS47" s="99">
        <v>15276</v>
      </c>
      <c r="AT47" s="99">
        <v>9</v>
      </c>
      <c r="AU47" s="99">
        <v>13748.4</v>
      </c>
      <c r="AV47" s="99">
        <v>8</v>
      </c>
      <c r="AW47" s="99">
        <v>12220.8</v>
      </c>
      <c r="AX47" s="99">
        <v>8</v>
      </c>
      <c r="AY47" s="99">
        <v>12220.8</v>
      </c>
      <c r="AZ47" s="99">
        <v>9</v>
      </c>
      <c r="BA47" s="99">
        <v>13748.4</v>
      </c>
      <c r="BB47" s="99">
        <v>9</v>
      </c>
      <c r="BC47" s="99">
        <v>13748.4</v>
      </c>
      <c r="BD47" s="99">
        <v>7</v>
      </c>
      <c r="BE47" s="99">
        <v>10693.199999999999</v>
      </c>
      <c r="BF47" s="99">
        <v>8</v>
      </c>
      <c r="BG47" s="99">
        <v>12220.8</v>
      </c>
      <c r="BH47" s="99">
        <v>12</v>
      </c>
      <c r="BI47" s="99">
        <v>18331.199999999997</v>
      </c>
      <c r="BJ47" s="99">
        <v>7</v>
      </c>
      <c r="BK47" s="99">
        <v>10693.199999999999</v>
      </c>
      <c r="BL47" s="99">
        <v>9</v>
      </c>
      <c r="BM47" s="99">
        <v>13748.4</v>
      </c>
      <c r="BN47" s="99">
        <v>7</v>
      </c>
      <c r="BO47" s="99">
        <v>10693.199999999999</v>
      </c>
      <c r="BP47" s="99">
        <v>8</v>
      </c>
      <c r="BQ47" s="99">
        <v>12220.8</v>
      </c>
      <c r="BR47" s="99">
        <v>8</v>
      </c>
      <c r="BS47" s="99">
        <v>12220.8</v>
      </c>
      <c r="BT47" s="99">
        <v>7</v>
      </c>
      <c r="BU47" s="99">
        <v>10693.199999999999</v>
      </c>
      <c r="BV47" s="99">
        <v>12</v>
      </c>
      <c r="BW47" s="99">
        <v>18331.199999999997</v>
      </c>
      <c r="BX47" s="99">
        <v>9</v>
      </c>
      <c r="BY47" s="99">
        <v>13748.4</v>
      </c>
      <c r="BZ47" s="99">
        <v>9</v>
      </c>
      <c r="CA47" s="99">
        <v>13748.4</v>
      </c>
      <c r="CB47" s="99">
        <v>11</v>
      </c>
      <c r="CC47" s="99">
        <v>16803.599999999999</v>
      </c>
      <c r="CD47" s="99">
        <v>7</v>
      </c>
      <c r="CE47" s="99">
        <v>10693.199999999999</v>
      </c>
      <c r="CF47" s="99">
        <v>13</v>
      </c>
      <c r="CG47" s="99">
        <v>19858.8</v>
      </c>
      <c r="CH47" s="99">
        <v>12</v>
      </c>
      <c r="CI47" s="99">
        <v>18331.199999999997</v>
      </c>
      <c r="CJ47" s="99">
        <v>10.210408759851047</v>
      </c>
      <c r="CK47" s="99">
        <v>15597.420421548459</v>
      </c>
      <c r="CL47" s="99">
        <v>9</v>
      </c>
      <c r="CM47" s="99">
        <v>13748.4</v>
      </c>
      <c r="CN47" s="99">
        <v>11</v>
      </c>
      <c r="CO47" s="99">
        <v>16803.599999999999</v>
      </c>
      <c r="CP47" s="99">
        <v>7.9870587620094406</v>
      </c>
      <c r="CQ47" s="99">
        <v>12201.03096484562</v>
      </c>
      <c r="CR47" s="99">
        <v>8.7582578795904862</v>
      </c>
      <c r="CS47" s="99">
        <v>13379.114736862426</v>
      </c>
      <c r="CT47" s="99">
        <v>9.9212785736282463</v>
      </c>
      <c r="CU47" s="99">
        <v>15155.745149074508</v>
      </c>
    </row>
    <row r="48" spans="2:99">
      <c r="C48" s="98" t="s">
        <v>214</v>
      </c>
      <c r="D48" s="99">
        <v>10</v>
      </c>
      <c r="E48" s="99">
        <v>8676</v>
      </c>
      <c r="F48" s="99">
        <v>8</v>
      </c>
      <c r="G48" s="99">
        <v>6940.8</v>
      </c>
      <c r="H48" s="99">
        <v>8</v>
      </c>
      <c r="I48" s="99">
        <v>6940.8</v>
      </c>
      <c r="J48" s="99">
        <v>8</v>
      </c>
      <c r="K48" s="99">
        <v>6940.8</v>
      </c>
      <c r="L48" s="99">
        <v>8</v>
      </c>
      <c r="M48" s="99">
        <v>6940.8</v>
      </c>
      <c r="N48" s="99">
        <v>8</v>
      </c>
      <c r="O48" s="99">
        <v>6940.8</v>
      </c>
      <c r="P48" s="99">
        <v>6</v>
      </c>
      <c r="Q48" s="99">
        <v>5205.6000000000004</v>
      </c>
      <c r="R48" s="99">
        <v>7</v>
      </c>
      <c r="S48" s="99">
        <v>6073.2</v>
      </c>
      <c r="T48" s="99">
        <v>11</v>
      </c>
      <c r="U48" s="99">
        <v>9543.6</v>
      </c>
      <c r="V48" s="99">
        <v>7</v>
      </c>
      <c r="W48" s="99">
        <v>6073.2</v>
      </c>
      <c r="X48" s="99">
        <v>11</v>
      </c>
      <c r="Y48" s="99">
        <v>9543.6</v>
      </c>
      <c r="Z48" s="99">
        <v>7</v>
      </c>
      <c r="AA48" s="99">
        <v>6073.2</v>
      </c>
      <c r="AB48" s="99">
        <v>8</v>
      </c>
      <c r="AC48" s="99">
        <v>6940.8</v>
      </c>
      <c r="AD48" s="99">
        <v>8</v>
      </c>
      <c r="AE48" s="99">
        <v>6940.8</v>
      </c>
      <c r="AF48" s="99">
        <v>8</v>
      </c>
      <c r="AG48" s="99">
        <v>6940.8</v>
      </c>
      <c r="AH48" s="99">
        <v>7</v>
      </c>
      <c r="AI48" s="99">
        <v>6073.2</v>
      </c>
      <c r="AJ48" s="99">
        <v>7</v>
      </c>
      <c r="AK48" s="99">
        <v>6073.2</v>
      </c>
      <c r="AL48" s="99">
        <v>8</v>
      </c>
      <c r="AM48" s="99">
        <v>6940.8</v>
      </c>
      <c r="AN48" s="99">
        <v>13</v>
      </c>
      <c r="AO48" s="99">
        <v>11278.800000000001</v>
      </c>
      <c r="AP48" s="99">
        <v>11</v>
      </c>
      <c r="AQ48" s="99">
        <v>9543.6</v>
      </c>
      <c r="AR48" s="99">
        <v>10</v>
      </c>
      <c r="AS48" s="99">
        <v>8676</v>
      </c>
      <c r="AT48" s="99">
        <v>10</v>
      </c>
      <c r="AU48" s="99">
        <v>8676</v>
      </c>
      <c r="AV48" s="99">
        <v>9</v>
      </c>
      <c r="AW48" s="99">
        <v>7808.4000000000005</v>
      </c>
      <c r="AX48" s="99">
        <v>9</v>
      </c>
      <c r="AY48" s="99">
        <v>7808.4000000000005</v>
      </c>
      <c r="AZ48" s="99">
        <v>11</v>
      </c>
      <c r="BA48" s="99">
        <v>9543.6</v>
      </c>
      <c r="BB48" s="99">
        <v>9</v>
      </c>
      <c r="BC48" s="99">
        <v>7808.4000000000005</v>
      </c>
      <c r="BD48" s="99">
        <v>7</v>
      </c>
      <c r="BE48" s="99">
        <v>6073.2</v>
      </c>
      <c r="BF48" s="99">
        <v>8</v>
      </c>
      <c r="BG48" s="99">
        <v>6940.8</v>
      </c>
      <c r="BH48" s="99">
        <v>12</v>
      </c>
      <c r="BI48" s="99">
        <v>10411.200000000001</v>
      </c>
      <c r="BJ48" s="99">
        <v>7</v>
      </c>
      <c r="BK48" s="99">
        <v>6073.2</v>
      </c>
      <c r="BL48" s="99">
        <v>8</v>
      </c>
      <c r="BM48" s="99">
        <v>6940.8</v>
      </c>
      <c r="BN48" s="99">
        <v>7</v>
      </c>
      <c r="BO48" s="99">
        <v>6073.2</v>
      </c>
      <c r="BP48" s="99">
        <v>9</v>
      </c>
      <c r="BQ48" s="99">
        <v>7808.4000000000005</v>
      </c>
      <c r="BR48" s="99">
        <v>8</v>
      </c>
      <c r="BS48" s="99">
        <v>6940.8</v>
      </c>
      <c r="BT48" s="99">
        <v>6</v>
      </c>
      <c r="BU48" s="99">
        <v>5205.6000000000004</v>
      </c>
      <c r="BV48" s="99">
        <v>11</v>
      </c>
      <c r="BW48" s="99">
        <v>9543.6</v>
      </c>
      <c r="BX48" s="99">
        <v>10</v>
      </c>
      <c r="BY48" s="99">
        <v>8676</v>
      </c>
      <c r="BZ48" s="99">
        <v>9</v>
      </c>
      <c r="CA48" s="99">
        <v>7808.4000000000005</v>
      </c>
      <c r="CB48" s="99">
        <v>11</v>
      </c>
      <c r="CC48" s="99">
        <v>9543.6</v>
      </c>
      <c r="CD48" s="99">
        <v>9</v>
      </c>
      <c r="CE48" s="99">
        <v>7808.4000000000005</v>
      </c>
      <c r="CF48" s="99">
        <v>12</v>
      </c>
      <c r="CG48" s="99">
        <v>10411.200000000001</v>
      </c>
      <c r="CH48" s="99">
        <v>13</v>
      </c>
      <c r="CI48" s="99">
        <v>11278.800000000001</v>
      </c>
      <c r="CJ48" s="99">
        <v>11.061276156505302</v>
      </c>
      <c r="CK48" s="99">
        <v>9596.7631933840003</v>
      </c>
      <c r="CL48" s="99">
        <v>10</v>
      </c>
      <c r="CM48" s="99">
        <v>8676</v>
      </c>
      <c r="CN48" s="99">
        <v>11</v>
      </c>
      <c r="CO48" s="99">
        <v>9543.6</v>
      </c>
      <c r="CP48" s="99">
        <v>7.9870587620094406</v>
      </c>
      <c r="CQ48" s="99">
        <v>6929.5721819193905</v>
      </c>
      <c r="CR48" s="99">
        <v>9.7313976439894283</v>
      </c>
      <c r="CS48" s="99">
        <v>8442.9605959252276</v>
      </c>
      <c r="CT48" s="99">
        <v>10.823212989412633</v>
      </c>
      <c r="CU48" s="99">
        <v>9390.2195896144003</v>
      </c>
    </row>
    <row r="49" spans="2:99">
      <c r="B49" s="98" t="s">
        <v>129</v>
      </c>
      <c r="C49" s="98" t="s">
        <v>215</v>
      </c>
      <c r="D49" s="99">
        <v>9</v>
      </c>
      <c r="E49" s="99">
        <v>8866.7999999999993</v>
      </c>
      <c r="F49" s="99">
        <v>10</v>
      </c>
      <c r="G49" s="99">
        <v>9852</v>
      </c>
      <c r="H49" s="99">
        <v>7</v>
      </c>
      <c r="I49" s="99">
        <v>6896.4</v>
      </c>
      <c r="J49" s="99">
        <v>11</v>
      </c>
      <c r="K49" s="99">
        <v>10837.199999999999</v>
      </c>
      <c r="L49" s="99">
        <v>11</v>
      </c>
      <c r="M49" s="99">
        <v>10837.199999999999</v>
      </c>
      <c r="N49" s="99">
        <v>10</v>
      </c>
      <c r="O49" s="99">
        <v>9852</v>
      </c>
      <c r="P49" s="99">
        <v>6</v>
      </c>
      <c r="Q49" s="99">
        <v>5911.2</v>
      </c>
      <c r="R49" s="99">
        <v>7</v>
      </c>
      <c r="S49" s="99">
        <v>6896.4</v>
      </c>
      <c r="T49" s="99">
        <v>9</v>
      </c>
      <c r="U49" s="99">
        <v>8866.7999999999993</v>
      </c>
      <c r="V49" s="99">
        <v>7</v>
      </c>
      <c r="W49" s="99">
        <v>6896.4</v>
      </c>
      <c r="X49" s="99">
        <v>10</v>
      </c>
      <c r="Y49" s="99">
        <v>9852</v>
      </c>
      <c r="Z49" s="99">
        <v>9</v>
      </c>
      <c r="AA49" s="99">
        <v>8866.7999999999993</v>
      </c>
      <c r="AB49" s="99">
        <v>9</v>
      </c>
      <c r="AC49" s="99">
        <v>8866.7999999999993</v>
      </c>
      <c r="AD49" s="99">
        <v>8</v>
      </c>
      <c r="AE49" s="99">
        <v>7881.5999999999995</v>
      </c>
      <c r="AF49" s="99">
        <v>7</v>
      </c>
      <c r="AG49" s="99">
        <v>6896.4</v>
      </c>
      <c r="AH49" s="99">
        <v>11</v>
      </c>
      <c r="AI49" s="99">
        <v>10837.199999999999</v>
      </c>
      <c r="AJ49" s="99">
        <v>7</v>
      </c>
      <c r="AK49" s="99">
        <v>6896.4</v>
      </c>
      <c r="AL49" s="99">
        <v>8</v>
      </c>
      <c r="AM49" s="99">
        <v>7881.5999999999995</v>
      </c>
      <c r="AN49" s="99">
        <v>11</v>
      </c>
      <c r="AO49" s="99">
        <v>10837.199999999999</v>
      </c>
      <c r="AP49" s="99">
        <v>7</v>
      </c>
      <c r="AQ49" s="99">
        <v>6896.4</v>
      </c>
      <c r="AR49" s="99">
        <v>11</v>
      </c>
      <c r="AS49" s="99">
        <v>10837.199999999999</v>
      </c>
      <c r="AT49" s="99">
        <v>6</v>
      </c>
      <c r="AU49" s="99">
        <v>5911.2</v>
      </c>
      <c r="AV49" s="99">
        <v>5.56291390728477</v>
      </c>
      <c r="AW49" s="99">
        <v>5480.5827814569548</v>
      </c>
      <c r="AX49" s="99">
        <v>0</v>
      </c>
      <c r="AY49" s="99">
        <v>0</v>
      </c>
      <c r="AZ49" s="99">
        <v>12</v>
      </c>
      <c r="BA49" s="99">
        <v>11822.4</v>
      </c>
      <c r="BB49" s="99">
        <v>10</v>
      </c>
      <c r="BC49" s="99">
        <v>9852</v>
      </c>
      <c r="BD49" s="99">
        <v>12</v>
      </c>
      <c r="BE49" s="99">
        <v>11822.4</v>
      </c>
      <c r="BF49" s="99">
        <v>7</v>
      </c>
      <c r="BG49" s="99">
        <v>6896.4</v>
      </c>
      <c r="BH49" s="99">
        <v>9</v>
      </c>
      <c r="BI49" s="99">
        <v>8866.7999999999993</v>
      </c>
      <c r="BJ49" s="99">
        <v>9</v>
      </c>
      <c r="BK49" s="99">
        <v>8866.7999999999993</v>
      </c>
      <c r="BL49" s="99">
        <v>6</v>
      </c>
      <c r="BM49" s="99">
        <v>5911.2</v>
      </c>
      <c r="BN49" s="99">
        <v>10</v>
      </c>
      <c r="BO49" s="99">
        <v>9852</v>
      </c>
      <c r="BP49" s="99">
        <v>10</v>
      </c>
      <c r="BQ49" s="99">
        <v>9852</v>
      </c>
      <c r="BR49" s="99">
        <v>10</v>
      </c>
      <c r="BS49" s="99">
        <v>9852</v>
      </c>
      <c r="BT49" s="99">
        <v>6</v>
      </c>
      <c r="BU49" s="99">
        <v>5911.2</v>
      </c>
      <c r="BV49" s="99">
        <v>11</v>
      </c>
      <c r="BW49" s="99">
        <v>10837.199999999999</v>
      </c>
      <c r="BX49" s="99">
        <v>7</v>
      </c>
      <c r="BY49" s="99">
        <v>6896.4</v>
      </c>
      <c r="BZ49" s="99">
        <v>10</v>
      </c>
      <c r="CA49" s="99">
        <v>9852</v>
      </c>
      <c r="CB49" s="99">
        <v>11</v>
      </c>
      <c r="CC49" s="99">
        <v>10837.199999999999</v>
      </c>
      <c r="CD49" s="99">
        <v>8</v>
      </c>
      <c r="CE49" s="99">
        <v>7881.5999999999995</v>
      </c>
      <c r="CF49" s="99">
        <v>9</v>
      </c>
      <c r="CG49" s="99">
        <v>8866.7999999999993</v>
      </c>
      <c r="CH49" s="99">
        <v>8</v>
      </c>
      <c r="CI49" s="99">
        <v>7881.5999999999995</v>
      </c>
      <c r="CJ49" s="99">
        <v>8</v>
      </c>
      <c r="CK49" s="99">
        <v>7881.5999999999995</v>
      </c>
      <c r="CL49" s="99">
        <v>9</v>
      </c>
      <c r="CM49" s="99">
        <v>8866.7999999999993</v>
      </c>
      <c r="CN49" s="99">
        <v>10</v>
      </c>
      <c r="CO49" s="99">
        <v>9852</v>
      </c>
      <c r="CP49" s="99">
        <v>11</v>
      </c>
      <c r="CQ49" s="99">
        <v>10837.199999999999</v>
      </c>
      <c r="CR49" s="99">
        <v>6</v>
      </c>
      <c r="CS49" s="99">
        <v>5911.2</v>
      </c>
      <c r="CT49" s="99">
        <v>6</v>
      </c>
      <c r="CU49" s="99">
        <v>5911.2</v>
      </c>
    </row>
    <row r="50" spans="2:99">
      <c r="C50" s="98" t="s">
        <v>216</v>
      </c>
      <c r="D50" s="99">
        <v>10</v>
      </c>
      <c r="E50" s="99">
        <v>2820</v>
      </c>
      <c r="F50" s="99">
        <v>12</v>
      </c>
      <c r="G50" s="99">
        <v>3384</v>
      </c>
      <c r="H50" s="99">
        <v>6</v>
      </c>
      <c r="I50" s="99">
        <v>1692</v>
      </c>
      <c r="J50" s="99">
        <v>10</v>
      </c>
      <c r="K50" s="99">
        <v>2820</v>
      </c>
      <c r="L50" s="99">
        <v>11</v>
      </c>
      <c r="M50" s="99">
        <v>3102</v>
      </c>
      <c r="N50" s="99">
        <v>11</v>
      </c>
      <c r="O50" s="99">
        <v>3102</v>
      </c>
      <c r="P50" s="99">
        <v>7</v>
      </c>
      <c r="Q50" s="99">
        <v>1974</v>
      </c>
      <c r="R50" s="99">
        <v>7</v>
      </c>
      <c r="S50" s="99">
        <v>1974</v>
      </c>
      <c r="T50" s="99">
        <v>10</v>
      </c>
      <c r="U50" s="99">
        <v>2820</v>
      </c>
      <c r="V50" s="99">
        <v>7</v>
      </c>
      <c r="W50" s="99">
        <v>1974</v>
      </c>
      <c r="X50" s="99">
        <v>10</v>
      </c>
      <c r="Y50" s="99">
        <v>2820</v>
      </c>
      <c r="Z50" s="99">
        <v>10</v>
      </c>
      <c r="AA50" s="99">
        <v>2820</v>
      </c>
      <c r="AB50" s="99">
        <v>10</v>
      </c>
      <c r="AC50" s="99">
        <v>2820</v>
      </c>
      <c r="AD50" s="99">
        <v>9</v>
      </c>
      <c r="AE50" s="99">
        <v>2538</v>
      </c>
      <c r="AF50" s="99">
        <v>7</v>
      </c>
      <c r="AG50" s="99">
        <v>1974</v>
      </c>
      <c r="AH50" s="99">
        <v>11</v>
      </c>
      <c r="AI50" s="99">
        <v>3102</v>
      </c>
      <c r="AJ50" s="99">
        <v>8</v>
      </c>
      <c r="AK50" s="99">
        <v>2256</v>
      </c>
      <c r="AL50" s="99">
        <v>10</v>
      </c>
      <c r="AM50" s="99">
        <v>2820</v>
      </c>
      <c r="AN50" s="99">
        <v>12</v>
      </c>
      <c r="AO50" s="99">
        <v>3384</v>
      </c>
      <c r="AP50" s="99">
        <v>7</v>
      </c>
      <c r="AQ50" s="99">
        <v>1974</v>
      </c>
      <c r="AR50" s="99">
        <v>12</v>
      </c>
      <c r="AS50" s="99">
        <v>3384</v>
      </c>
      <c r="AT50" s="99">
        <v>6</v>
      </c>
      <c r="AU50" s="99">
        <v>1692</v>
      </c>
      <c r="AV50" s="99">
        <v>7</v>
      </c>
      <c r="AW50" s="99">
        <v>1974</v>
      </c>
      <c r="AX50" s="99">
        <v>11</v>
      </c>
      <c r="AY50" s="99">
        <v>3102</v>
      </c>
      <c r="AZ50" s="99">
        <v>10</v>
      </c>
      <c r="BA50" s="99">
        <v>2820</v>
      </c>
      <c r="BB50" s="99">
        <v>11</v>
      </c>
      <c r="BC50" s="99">
        <v>3102</v>
      </c>
      <c r="BD50" s="99">
        <v>11</v>
      </c>
      <c r="BE50" s="99">
        <v>3102</v>
      </c>
      <c r="BF50" s="99">
        <v>7</v>
      </c>
      <c r="BG50" s="99">
        <v>1974</v>
      </c>
      <c r="BH50" s="99">
        <v>10</v>
      </c>
      <c r="BI50" s="99">
        <v>2820</v>
      </c>
      <c r="BJ50" s="99">
        <v>10</v>
      </c>
      <c r="BK50" s="99">
        <v>2820</v>
      </c>
      <c r="BL50" s="99">
        <v>6</v>
      </c>
      <c r="BM50" s="99">
        <v>1692</v>
      </c>
      <c r="BN50" s="99">
        <v>10</v>
      </c>
      <c r="BO50" s="99">
        <v>2820</v>
      </c>
      <c r="BP50" s="99">
        <v>10</v>
      </c>
      <c r="BQ50" s="99">
        <v>2820</v>
      </c>
      <c r="BR50" s="99">
        <v>10</v>
      </c>
      <c r="BS50" s="99">
        <v>2820</v>
      </c>
      <c r="BT50" s="99">
        <v>6</v>
      </c>
      <c r="BU50" s="99">
        <v>1692</v>
      </c>
      <c r="BV50" s="99">
        <v>12</v>
      </c>
      <c r="BW50" s="99">
        <v>3384</v>
      </c>
      <c r="BX50" s="99">
        <v>8</v>
      </c>
      <c r="BY50" s="99">
        <v>2256</v>
      </c>
      <c r="BZ50" s="99">
        <v>9</v>
      </c>
      <c r="CA50" s="99">
        <v>2538</v>
      </c>
      <c r="CB50" s="99">
        <v>13</v>
      </c>
      <c r="CC50" s="99">
        <v>3666</v>
      </c>
      <c r="CD50" s="99">
        <v>8</v>
      </c>
      <c r="CE50" s="99">
        <v>2256</v>
      </c>
      <c r="CF50" s="99">
        <v>9</v>
      </c>
      <c r="CG50" s="99">
        <v>2538</v>
      </c>
      <c r="CH50" s="99">
        <v>10</v>
      </c>
      <c r="CI50" s="99">
        <v>2820</v>
      </c>
      <c r="CJ50" s="99">
        <v>6.8069391732340314</v>
      </c>
      <c r="CK50" s="99">
        <v>1919.5568468519969</v>
      </c>
      <c r="CL50" s="99">
        <v>9</v>
      </c>
      <c r="CM50" s="99">
        <v>2538</v>
      </c>
      <c r="CN50" s="99">
        <v>10</v>
      </c>
      <c r="CO50" s="99">
        <v>2820</v>
      </c>
      <c r="CP50" s="99">
        <v>9.9838234525118015</v>
      </c>
      <c r="CQ50" s="99">
        <v>2815.4382136083282</v>
      </c>
      <c r="CR50" s="99">
        <v>6.8119783507926002</v>
      </c>
      <c r="CS50" s="99">
        <v>1920.9778949235133</v>
      </c>
      <c r="CT50" s="99">
        <v>5.4116064947063167</v>
      </c>
      <c r="CU50" s="99">
        <v>1526.0730315071812</v>
      </c>
    </row>
    <row r="51" spans="2:99">
      <c r="C51" s="98" t="s">
        <v>217</v>
      </c>
      <c r="D51" s="99">
        <v>9</v>
      </c>
      <c r="E51" s="99">
        <v>7689.5999999999995</v>
      </c>
      <c r="F51" s="99">
        <v>10</v>
      </c>
      <c r="G51" s="99">
        <v>8544</v>
      </c>
      <c r="H51" s="99">
        <v>6</v>
      </c>
      <c r="I51" s="99">
        <v>5126.3999999999996</v>
      </c>
      <c r="J51" s="99">
        <v>11</v>
      </c>
      <c r="K51" s="99">
        <v>9398.4</v>
      </c>
      <c r="L51" s="99">
        <v>11</v>
      </c>
      <c r="M51" s="99">
        <v>9398.4</v>
      </c>
      <c r="N51" s="99">
        <v>11</v>
      </c>
      <c r="O51" s="99">
        <v>9398.4</v>
      </c>
      <c r="P51" s="99">
        <v>7</v>
      </c>
      <c r="Q51" s="99">
        <v>5980.8</v>
      </c>
      <c r="R51" s="99">
        <v>6</v>
      </c>
      <c r="S51" s="99">
        <v>5126.3999999999996</v>
      </c>
      <c r="T51" s="99">
        <v>10</v>
      </c>
      <c r="U51" s="99">
        <v>8544</v>
      </c>
      <c r="V51" s="99">
        <v>7</v>
      </c>
      <c r="W51" s="99">
        <v>5980.8</v>
      </c>
      <c r="X51" s="99">
        <v>9</v>
      </c>
      <c r="Y51" s="99">
        <v>7689.5999999999995</v>
      </c>
      <c r="Z51" s="99">
        <v>11</v>
      </c>
      <c r="AA51" s="99">
        <v>9398.4</v>
      </c>
      <c r="AB51" s="99">
        <v>9</v>
      </c>
      <c r="AC51" s="99">
        <v>7689.5999999999995</v>
      </c>
      <c r="AD51" s="99">
        <v>9</v>
      </c>
      <c r="AE51" s="99">
        <v>7689.5999999999995</v>
      </c>
      <c r="AF51" s="99">
        <v>7</v>
      </c>
      <c r="AG51" s="99">
        <v>5980.8</v>
      </c>
      <c r="AH51" s="99">
        <v>10</v>
      </c>
      <c r="AI51" s="99">
        <v>8544</v>
      </c>
      <c r="AJ51" s="99">
        <v>8</v>
      </c>
      <c r="AK51" s="99">
        <v>6835.2</v>
      </c>
      <c r="AL51" s="99">
        <v>8</v>
      </c>
      <c r="AM51" s="99">
        <v>6835.2</v>
      </c>
      <c r="AN51" s="99">
        <v>11</v>
      </c>
      <c r="AO51" s="99">
        <v>9398.4</v>
      </c>
      <c r="AP51" s="99">
        <v>6</v>
      </c>
      <c r="AQ51" s="99">
        <v>5126.3999999999996</v>
      </c>
      <c r="AR51" s="99">
        <v>12</v>
      </c>
      <c r="AS51" s="99">
        <v>10252.799999999999</v>
      </c>
      <c r="AT51" s="99">
        <v>5</v>
      </c>
      <c r="AU51" s="99">
        <v>4272</v>
      </c>
      <c r="AV51" s="99">
        <v>7</v>
      </c>
      <c r="AW51" s="99">
        <v>5980.8</v>
      </c>
      <c r="AX51" s="99">
        <v>10</v>
      </c>
      <c r="AY51" s="99">
        <v>8544</v>
      </c>
      <c r="AZ51" s="99">
        <v>10</v>
      </c>
      <c r="BA51" s="99">
        <v>8544</v>
      </c>
      <c r="BB51" s="99">
        <v>11</v>
      </c>
      <c r="BC51" s="99">
        <v>9398.4</v>
      </c>
      <c r="BD51" s="99">
        <v>10</v>
      </c>
      <c r="BE51" s="99">
        <v>8544</v>
      </c>
      <c r="BF51" s="99">
        <v>7</v>
      </c>
      <c r="BG51" s="99">
        <v>5980.8</v>
      </c>
      <c r="BH51" s="99">
        <v>10</v>
      </c>
      <c r="BI51" s="99">
        <v>8544</v>
      </c>
      <c r="BJ51" s="99">
        <v>8</v>
      </c>
      <c r="BK51" s="99">
        <v>6835.2</v>
      </c>
      <c r="BL51" s="99">
        <v>6</v>
      </c>
      <c r="BM51" s="99">
        <v>5126.3999999999996</v>
      </c>
      <c r="BN51" s="99">
        <v>9</v>
      </c>
      <c r="BO51" s="99">
        <v>7689.5999999999995</v>
      </c>
      <c r="BP51" s="99">
        <v>9</v>
      </c>
      <c r="BQ51" s="99">
        <v>7689.5999999999995</v>
      </c>
      <c r="BR51" s="99">
        <v>9</v>
      </c>
      <c r="BS51" s="99">
        <v>7689.5999999999995</v>
      </c>
      <c r="BT51" s="99">
        <v>6</v>
      </c>
      <c r="BU51" s="99">
        <v>5126.3999999999996</v>
      </c>
      <c r="BV51" s="99">
        <v>10</v>
      </c>
      <c r="BW51" s="99">
        <v>8544</v>
      </c>
      <c r="BX51" s="99">
        <v>7</v>
      </c>
      <c r="BY51" s="99">
        <v>5980.8</v>
      </c>
      <c r="BZ51" s="99">
        <v>10</v>
      </c>
      <c r="CA51" s="99">
        <v>8544</v>
      </c>
      <c r="CB51" s="99">
        <v>11</v>
      </c>
      <c r="CC51" s="99">
        <v>9398.4</v>
      </c>
      <c r="CD51" s="99">
        <v>7</v>
      </c>
      <c r="CE51" s="99">
        <v>5980.8</v>
      </c>
      <c r="CF51" s="99">
        <v>9</v>
      </c>
      <c r="CG51" s="99">
        <v>7689.5999999999995</v>
      </c>
      <c r="CH51" s="99">
        <v>10</v>
      </c>
      <c r="CI51" s="99">
        <v>8544</v>
      </c>
      <c r="CJ51" s="99">
        <v>5.9560717765797779</v>
      </c>
      <c r="CK51" s="99">
        <v>5088.8677259097622</v>
      </c>
      <c r="CL51" s="99">
        <v>9</v>
      </c>
      <c r="CM51" s="99">
        <v>7689.5999999999995</v>
      </c>
      <c r="CN51" s="99">
        <v>9</v>
      </c>
      <c r="CO51" s="99">
        <v>7689.5999999999995</v>
      </c>
      <c r="CP51" s="99">
        <v>9.9838234525118015</v>
      </c>
      <c r="CQ51" s="99">
        <v>8530.1787578260828</v>
      </c>
      <c r="CR51" s="99">
        <v>5.838838586393658</v>
      </c>
      <c r="CS51" s="99">
        <v>4988.7036882147413</v>
      </c>
      <c r="CT51" s="99">
        <v>5.4116064947063167</v>
      </c>
      <c r="CU51" s="99">
        <v>4623.6765890770766</v>
      </c>
    </row>
    <row r="52" spans="2:99">
      <c r="C52" s="98" t="s">
        <v>218</v>
      </c>
      <c r="D52" s="99">
        <v>9</v>
      </c>
      <c r="E52" s="99">
        <v>4860</v>
      </c>
      <c r="F52" s="99">
        <v>10</v>
      </c>
      <c r="G52" s="99">
        <v>5400</v>
      </c>
      <c r="H52" s="99">
        <v>6</v>
      </c>
      <c r="I52" s="99">
        <v>3240</v>
      </c>
      <c r="J52" s="99">
        <v>10</v>
      </c>
      <c r="K52" s="99">
        <v>5400</v>
      </c>
      <c r="L52" s="99">
        <v>10</v>
      </c>
      <c r="M52" s="99">
        <v>5400</v>
      </c>
      <c r="N52" s="99">
        <v>10</v>
      </c>
      <c r="O52" s="99">
        <v>5400</v>
      </c>
      <c r="P52" s="99">
        <v>7</v>
      </c>
      <c r="Q52" s="99">
        <v>3780</v>
      </c>
      <c r="R52" s="99">
        <v>7</v>
      </c>
      <c r="S52" s="99">
        <v>3780</v>
      </c>
      <c r="T52" s="99">
        <v>10</v>
      </c>
      <c r="U52" s="99">
        <v>5400</v>
      </c>
      <c r="V52" s="99">
        <v>7</v>
      </c>
      <c r="W52" s="99">
        <v>3780</v>
      </c>
      <c r="X52" s="99">
        <v>9</v>
      </c>
      <c r="Y52" s="99">
        <v>4860</v>
      </c>
      <c r="Z52" s="99">
        <v>11</v>
      </c>
      <c r="AA52" s="99">
        <v>5940</v>
      </c>
      <c r="AB52" s="99">
        <v>9</v>
      </c>
      <c r="AC52" s="99">
        <v>4860</v>
      </c>
      <c r="AD52" s="99">
        <v>9</v>
      </c>
      <c r="AE52" s="99">
        <v>4860</v>
      </c>
      <c r="AF52" s="99">
        <v>8</v>
      </c>
      <c r="AG52" s="99">
        <v>4320</v>
      </c>
      <c r="AH52" s="99">
        <v>10</v>
      </c>
      <c r="AI52" s="99">
        <v>5400</v>
      </c>
      <c r="AJ52" s="99">
        <v>7</v>
      </c>
      <c r="AK52" s="99">
        <v>3780</v>
      </c>
      <c r="AL52" s="99">
        <v>9</v>
      </c>
      <c r="AM52" s="99">
        <v>4860</v>
      </c>
      <c r="AN52" s="99">
        <v>12</v>
      </c>
      <c r="AO52" s="99">
        <v>6480</v>
      </c>
      <c r="AP52" s="99">
        <v>7</v>
      </c>
      <c r="AQ52" s="99">
        <v>3780</v>
      </c>
      <c r="AR52" s="99">
        <v>12</v>
      </c>
      <c r="AS52" s="99">
        <v>6480</v>
      </c>
      <c r="AT52" s="99">
        <v>6</v>
      </c>
      <c r="AU52" s="99">
        <v>3240</v>
      </c>
      <c r="AV52" s="99">
        <v>6</v>
      </c>
      <c r="AW52" s="99">
        <v>3240</v>
      </c>
      <c r="AX52" s="99">
        <v>12</v>
      </c>
      <c r="AY52" s="99">
        <v>6480</v>
      </c>
      <c r="AZ52" s="99">
        <v>11</v>
      </c>
      <c r="BA52" s="99">
        <v>5940</v>
      </c>
      <c r="BB52" s="99">
        <v>11</v>
      </c>
      <c r="BC52" s="99">
        <v>5940</v>
      </c>
      <c r="BD52" s="99">
        <v>12</v>
      </c>
      <c r="BE52" s="99">
        <v>6480</v>
      </c>
      <c r="BF52" s="99">
        <v>7</v>
      </c>
      <c r="BG52" s="99">
        <v>3780</v>
      </c>
      <c r="BH52" s="99">
        <v>9</v>
      </c>
      <c r="BI52" s="99">
        <v>4860</v>
      </c>
      <c r="BJ52" s="99">
        <v>8</v>
      </c>
      <c r="BK52" s="99">
        <v>4320</v>
      </c>
      <c r="BL52" s="99">
        <v>6</v>
      </c>
      <c r="BM52" s="99">
        <v>3240</v>
      </c>
      <c r="BN52" s="99">
        <v>10</v>
      </c>
      <c r="BO52" s="99">
        <v>5400</v>
      </c>
      <c r="BP52" s="99">
        <v>11</v>
      </c>
      <c r="BQ52" s="99">
        <v>5940</v>
      </c>
      <c r="BR52" s="99">
        <v>9</v>
      </c>
      <c r="BS52" s="99">
        <v>4860</v>
      </c>
      <c r="BT52" s="99">
        <v>6</v>
      </c>
      <c r="BU52" s="99">
        <v>3240</v>
      </c>
      <c r="BV52" s="99">
        <v>11</v>
      </c>
      <c r="BW52" s="99">
        <v>5940</v>
      </c>
      <c r="BX52" s="99">
        <v>7</v>
      </c>
      <c r="BY52" s="99">
        <v>3780</v>
      </c>
      <c r="BZ52" s="99">
        <v>10</v>
      </c>
      <c r="CA52" s="99">
        <v>5400</v>
      </c>
      <c r="CB52" s="99">
        <v>11</v>
      </c>
      <c r="CC52" s="99">
        <v>5940</v>
      </c>
      <c r="CD52" s="99">
        <v>8</v>
      </c>
      <c r="CE52" s="99">
        <v>4320</v>
      </c>
      <c r="CF52" s="99">
        <v>9</v>
      </c>
      <c r="CG52" s="99">
        <v>4860</v>
      </c>
      <c r="CH52" s="99">
        <v>9</v>
      </c>
      <c r="CI52" s="99">
        <v>4860</v>
      </c>
      <c r="CJ52" s="99">
        <v>6.8069391732340314</v>
      </c>
      <c r="CK52" s="99">
        <v>3675.7471535463769</v>
      </c>
      <c r="CL52" s="99">
        <v>9</v>
      </c>
      <c r="CM52" s="99">
        <v>4860</v>
      </c>
      <c r="CN52" s="99">
        <v>10</v>
      </c>
      <c r="CO52" s="99">
        <v>5400</v>
      </c>
      <c r="CP52" s="99">
        <v>10.982205797762981</v>
      </c>
      <c r="CQ52" s="99">
        <v>5930.3911307920098</v>
      </c>
      <c r="CR52" s="99">
        <v>5.838838586393658</v>
      </c>
      <c r="CS52" s="99">
        <v>3152.9728366525756</v>
      </c>
      <c r="CT52" s="99">
        <v>5.4116064947063167</v>
      </c>
      <c r="CU52" s="99">
        <v>2922.267507141411</v>
      </c>
    </row>
    <row r="53" spans="2:99">
      <c r="C53" s="98" t="s">
        <v>219</v>
      </c>
      <c r="D53" s="99">
        <v>9</v>
      </c>
      <c r="E53" s="99">
        <v>3661.2000000000003</v>
      </c>
      <c r="F53" s="99">
        <v>11</v>
      </c>
      <c r="G53" s="99">
        <v>4474.8</v>
      </c>
      <c r="H53" s="99">
        <v>6</v>
      </c>
      <c r="I53" s="99">
        <v>2440.8000000000002</v>
      </c>
      <c r="J53" s="99">
        <v>12</v>
      </c>
      <c r="K53" s="99">
        <v>4881.6000000000004</v>
      </c>
      <c r="L53" s="99">
        <v>11</v>
      </c>
      <c r="M53" s="99">
        <v>4474.8</v>
      </c>
      <c r="N53" s="99">
        <v>10</v>
      </c>
      <c r="O53" s="99">
        <v>4068</v>
      </c>
      <c r="P53" s="99">
        <v>6</v>
      </c>
      <c r="Q53" s="99">
        <v>2440.8000000000002</v>
      </c>
      <c r="R53" s="99">
        <v>6</v>
      </c>
      <c r="S53" s="99">
        <v>2440.8000000000002</v>
      </c>
      <c r="T53" s="99">
        <v>10</v>
      </c>
      <c r="U53" s="99">
        <v>4068</v>
      </c>
      <c r="V53" s="99">
        <v>7</v>
      </c>
      <c r="W53" s="99">
        <v>2847.6</v>
      </c>
      <c r="X53" s="99">
        <v>10</v>
      </c>
      <c r="Y53" s="99">
        <v>4068</v>
      </c>
      <c r="Z53" s="99">
        <v>11</v>
      </c>
      <c r="AA53" s="99">
        <v>4474.8</v>
      </c>
      <c r="AB53" s="99">
        <v>9</v>
      </c>
      <c r="AC53" s="99">
        <v>3661.2000000000003</v>
      </c>
      <c r="AD53" s="99">
        <v>9</v>
      </c>
      <c r="AE53" s="99">
        <v>3661.2000000000003</v>
      </c>
      <c r="AF53" s="99">
        <v>8</v>
      </c>
      <c r="AG53" s="99">
        <v>3254.4</v>
      </c>
      <c r="AH53" s="99">
        <v>11</v>
      </c>
      <c r="AI53" s="99">
        <v>4474.8</v>
      </c>
      <c r="AJ53" s="99">
        <v>7</v>
      </c>
      <c r="AK53" s="99">
        <v>2847.6</v>
      </c>
      <c r="AL53" s="99">
        <v>8</v>
      </c>
      <c r="AM53" s="99">
        <v>3254.4</v>
      </c>
      <c r="AN53" s="99">
        <v>11</v>
      </c>
      <c r="AO53" s="99">
        <v>4474.8</v>
      </c>
      <c r="AP53" s="99">
        <v>7</v>
      </c>
      <c r="AQ53" s="99">
        <v>2847.6</v>
      </c>
      <c r="AR53" s="99">
        <v>12</v>
      </c>
      <c r="AS53" s="99">
        <v>4881.6000000000004</v>
      </c>
      <c r="AT53" s="99">
        <v>6</v>
      </c>
      <c r="AU53" s="99">
        <v>2440.8000000000002</v>
      </c>
      <c r="AV53" s="99">
        <v>8</v>
      </c>
      <c r="AW53" s="99">
        <v>3254.4</v>
      </c>
      <c r="AX53" s="99">
        <v>11</v>
      </c>
      <c r="AY53" s="99">
        <v>4474.8</v>
      </c>
      <c r="AZ53" s="99">
        <v>12</v>
      </c>
      <c r="BA53" s="99">
        <v>4881.6000000000004</v>
      </c>
      <c r="BB53" s="99">
        <v>12</v>
      </c>
      <c r="BC53" s="99">
        <v>4881.6000000000004</v>
      </c>
      <c r="BD53" s="99">
        <v>11</v>
      </c>
      <c r="BE53" s="99">
        <v>4474.8</v>
      </c>
      <c r="BF53" s="99">
        <v>7</v>
      </c>
      <c r="BG53" s="99">
        <v>2847.6</v>
      </c>
      <c r="BH53" s="99">
        <v>9</v>
      </c>
      <c r="BI53" s="99">
        <v>3661.2000000000003</v>
      </c>
      <c r="BJ53" s="99">
        <v>9</v>
      </c>
      <c r="BK53" s="99">
        <v>3661.2000000000003</v>
      </c>
      <c r="BL53" s="99">
        <v>6</v>
      </c>
      <c r="BM53" s="99">
        <v>2440.8000000000002</v>
      </c>
      <c r="BN53" s="99">
        <v>10</v>
      </c>
      <c r="BO53" s="99">
        <v>4068</v>
      </c>
      <c r="BP53" s="99">
        <v>11</v>
      </c>
      <c r="BQ53" s="99">
        <v>4474.8</v>
      </c>
      <c r="BR53" s="99">
        <v>11</v>
      </c>
      <c r="BS53" s="99">
        <v>4474.8</v>
      </c>
      <c r="BT53" s="99">
        <v>7</v>
      </c>
      <c r="BU53" s="99">
        <v>2847.6</v>
      </c>
      <c r="BV53" s="99">
        <v>11</v>
      </c>
      <c r="BW53" s="99">
        <v>4474.8</v>
      </c>
      <c r="BX53" s="99">
        <v>7</v>
      </c>
      <c r="BY53" s="99">
        <v>2847.6</v>
      </c>
      <c r="BZ53" s="99">
        <v>9</v>
      </c>
      <c r="CA53" s="99">
        <v>3661.2000000000003</v>
      </c>
      <c r="CB53" s="99">
        <v>13</v>
      </c>
      <c r="CC53" s="99">
        <v>5288.4000000000005</v>
      </c>
      <c r="CD53" s="99">
        <v>8</v>
      </c>
      <c r="CE53" s="99">
        <v>3254.4</v>
      </c>
      <c r="CF53" s="99">
        <v>10</v>
      </c>
      <c r="CG53" s="99">
        <v>4068</v>
      </c>
      <c r="CH53" s="99">
        <v>10</v>
      </c>
      <c r="CI53" s="99">
        <v>4068</v>
      </c>
      <c r="CJ53" s="99">
        <v>6.8069391732340314</v>
      </c>
      <c r="CK53" s="99">
        <v>2769.0628556716042</v>
      </c>
      <c r="CL53" s="99">
        <v>9</v>
      </c>
      <c r="CM53" s="99">
        <v>3661.2000000000003</v>
      </c>
      <c r="CN53" s="99">
        <v>10</v>
      </c>
      <c r="CO53" s="99">
        <v>4068</v>
      </c>
      <c r="CP53" s="99">
        <v>11.980588143014163</v>
      </c>
      <c r="CQ53" s="99">
        <v>4873.7032565781619</v>
      </c>
      <c r="CR53" s="99">
        <v>6.8119783507926002</v>
      </c>
      <c r="CS53" s="99">
        <v>2771.1127931024298</v>
      </c>
      <c r="CT53" s="99">
        <v>5.4116064947063167</v>
      </c>
      <c r="CU53" s="99">
        <v>2201.4415220465298</v>
      </c>
    </row>
    <row r="54" spans="2:99">
      <c r="C54" s="98" t="s">
        <v>220</v>
      </c>
      <c r="D54" s="99">
        <v>10</v>
      </c>
      <c r="E54" s="99">
        <v>3348</v>
      </c>
      <c r="F54" s="99">
        <v>10</v>
      </c>
      <c r="G54" s="99">
        <v>3348</v>
      </c>
      <c r="H54" s="99">
        <v>6</v>
      </c>
      <c r="I54" s="99">
        <v>2008.8000000000002</v>
      </c>
      <c r="J54" s="99">
        <v>12</v>
      </c>
      <c r="K54" s="99">
        <v>4017.6000000000004</v>
      </c>
      <c r="L54" s="99">
        <v>12</v>
      </c>
      <c r="M54" s="99">
        <v>4017.6000000000004</v>
      </c>
      <c r="N54" s="99">
        <v>10</v>
      </c>
      <c r="O54" s="99">
        <v>3348</v>
      </c>
      <c r="P54" s="99">
        <v>7</v>
      </c>
      <c r="Q54" s="99">
        <v>2343.6</v>
      </c>
      <c r="R54" s="99">
        <v>7</v>
      </c>
      <c r="S54" s="99">
        <v>2343.6</v>
      </c>
      <c r="T54" s="99">
        <v>10</v>
      </c>
      <c r="U54" s="99">
        <v>3348</v>
      </c>
      <c r="V54" s="99">
        <v>7</v>
      </c>
      <c r="W54" s="99">
        <v>2343.6</v>
      </c>
      <c r="X54" s="99">
        <v>10</v>
      </c>
      <c r="Y54" s="99">
        <v>3348</v>
      </c>
      <c r="Z54" s="99">
        <v>10</v>
      </c>
      <c r="AA54" s="99">
        <v>3348</v>
      </c>
      <c r="AB54" s="99">
        <v>10</v>
      </c>
      <c r="AC54" s="99">
        <v>3348</v>
      </c>
      <c r="AD54" s="99">
        <v>9</v>
      </c>
      <c r="AE54" s="99">
        <v>3013.2000000000003</v>
      </c>
      <c r="AF54" s="99">
        <v>7</v>
      </c>
      <c r="AG54" s="99">
        <v>2343.6</v>
      </c>
      <c r="AH54" s="99">
        <v>10</v>
      </c>
      <c r="AI54" s="99">
        <v>3348</v>
      </c>
      <c r="AJ54" s="99">
        <v>8</v>
      </c>
      <c r="AK54" s="99">
        <v>2678.4</v>
      </c>
      <c r="AL54" s="99">
        <v>9</v>
      </c>
      <c r="AM54" s="99">
        <v>3013.2000000000003</v>
      </c>
      <c r="AN54" s="99">
        <v>11</v>
      </c>
      <c r="AO54" s="99">
        <v>3682.8</v>
      </c>
      <c r="AP54" s="99">
        <v>7</v>
      </c>
      <c r="AQ54" s="99">
        <v>2343.6</v>
      </c>
      <c r="AR54" s="99">
        <v>12</v>
      </c>
      <c r="AS54" s="99">
        <v>4017.6000000000004</v>
      </c>
      <c r="AT54" s="99">
        <v>7</v>
      </c>
      <c r="AU54" s="99">
        <v>2343.6</v>
      </c>
      <c r="AV54" s="99">
        <v>7</v>
      </c>
      <c r="AW54" s="99">
        <v>2343.6</v>
      </c>
      <c r="AX54" s="99">
        <v>12</v>
      </c>
      <c r="AY54" s="99">
        <v>4017.6000000000004</v>
      </c>
      <c r="AZ54" s="99">
        <v>11</v>
      </c>
      <c r="BA54" s="99">
        <v>3682.8</v>
      </c>
      <c r="BB54" s="99">
        <v>12</v>
      </c>
      <c r="BC54" s="99">
        <v>4017.6000000000004</v>
      </c>
      <c r="BD54" s="99">
        <v>12</v>
      </c>
      <c r="BE54" s="99">
        <v>4017.6000000000004</v>
      </c>
      <c r="BF54" s="99">
        <v>6</v>
      </c>
      <c r="BG54" s="99">
        <v>2008.8000000000002</v>
      </c>
      <c r="BH54" s="99">
        <v>10</v>
      </c>
      <c r="BI54" s="99">
        <v>3348</v>
      </c>
      <c r="BJ54" s="99">
        <v>8</v>
      </c>
      <c r="BK54" s="99">
        <v>2678.4</v>
      </c>
      <c r="BL54" s="99">
        <v>6</v>
      </c>
      <c r="BM54" s="99">
        <v>2008.8000000000002</v>
      </c>
      <c r="BN54" s="99">
        <v>10</v>
      </c>
      <c r="BO54" s="99">
        <v>3348</v>
      </c>
      <c r="BP54" s="99">
        <v>10</v>
      </c>
      <c r="BQ54" s="99">
        <v>3348</v>
      </c>
      <c r="BR54" s="99">
        <v>10</v>
      </c>
      <c r="BS54" s="99">
        <v>3348</v>
      </c>
      <c r="BT54" s="99">
        <v>7</v>
      </c>
      <c r="BU54" s="99">
        <v>2343.6</v>
      </c>
      <c r="BV54" s="99">
        <v>10</v>
      </c>
      <c r="BW54" s="99">
        <v>3348</v>
      </c>
      <c r="BX54" s="99">
        <v>7</v>
      </c>
      <c r="BY54" s="99">
        <v>2343.6</v>
      </c>
      <c r="BZ54" s="99">
        <v>10</v>
      </c>
      <c r="CA54" s="99">
        <v>3348</v>
      </c>
      <c r="CB54" s="99">
        <v>11</v>
      </c>
      <c r="CC54" s="99">
        <v>3682.8</v>
      </c>
      <c r="CD54" s="99">
        <v>9</v>
      </c>
      <c r="CE54" s="99">
        <v>3013.2000000000003</v>
      </c>
      <c r="CF54" s="99">
        <v>9</v>
      </c>
      <c r="CG54" s="99">
        <v>3013.2000000000003</v>
      </c>
      <c r="CH54" s="99">
        <v>9</v>
      </c>
      <c r="CI54" s="99">
        <v>3013.2000000000003</v>
      </c>
      <c r="CJ54" s="99">
        <v>6.8069391732340314</v>
      </c>
      <c r="CK54" s="99">
        <v>2278.9632351987539</v>
      </c>
      <c r="CL54" s="99">
        <v>9</v>
      </c>
      <c r="CM54" s="99">
        <v>3013.2000000000003</v>
      </c>
      <c r="CN54" s="99">
        <v>11</v>
      </c>
      <c r="CO54" s="99">
        <v>3682.8</v>
      </c>
      <c r="CP54" s="99">
        <v>9.9838234525118015</v>
      </c>
      <c r="CQ54" s="99">
        <v>3342.5840919009511</v>
      </c>
      <c r="CR54" s="99">
        <v>5.838838586393658</v>
      </c>
      <c r="CS54" s="99">
        <v>1954.8431587245968</v>
      </c>
      <c r="CT54" s="99">
        <v>6.313540910490703</v>
      </c>
      <c r="CU54" s="99">
        <v>2113.7734968322875</v>
      </c>
    </row>
    <row r="55" spans="2:99">
      <c r="C55" s="98" t="s">
        <v>221</v>
      </c>
      <c r="D55" s="99">
        <v>10</v>
      </c>
      <c r="E55" s="99">
        <v>6636</v>
      </c>
      <c r="F55" s="99">
        <v>10</v>
      </c>
      <c r="G55" s="99">
        <v>6636</v>
      </c>
      <c r="H55" s="99">
        <v>7</v>
      </c>
      <c r="I55" s="99">
        <v>4645.2</v>
      </c>
      <c r="J55" s="99">
        <v>11</v>
      </c>
      <c r="K55" s="99">
        <v>7299.6</v>
      </c>
      <c r="L55" s="99">
        <v>10</v>
      </c>
      <c r="M55" s="99">
        <v>6636</v>
      </c>
      <c r="N55" s="99">
        <v>9</v>
      </c>
      <c r="O55" s="99">
        <v>5972.4000000000005</v>
      </c>
      <c r="P55" s="99">
        <v>6</v>
      </c>
      <c r="Q55" s="99">
        <v>3981.6000000000004</v>
      </c>
      <c r="R55" s="99">
        <v>7</v>
      </c>
      <c r="S55" s="99">
        <v>4645.2</v>
      </c>
      <c r="T55" s="99">
        <v>9</v>
      </c>
      <c r="U55" s="99">
        <v>5972.4000000000005</v>
      </c>
      <c r="V55" s="99">
        <v>7</v>
      </c>
      <c r="W55" s="99">
        <v>4645.2</v>
      </c>
      <c r="X55" s="99">
        <v>9</v>
      </c>
      <c r="Y55" s="99">
        <v>5972.4000000000005</v>
      </c>
      <c r="Z55" s="99">
        <v>9</v>
      </c>
      <c r="AA55" s="99">
        <v>5972.4000000000005</v>
      </c>
      <c r="AB55" s="99">
        <v>10</v>
      </c>
      <c r="AC55" s="99">
        <v>6636</v>
      </c>
      <c r="AD55" s="99">
        <v>8</v>
      </c>
      <c r="AE55" s="99">
        <v>5308.8</v>
      </c>
      <c r="AF55" s="99">
        <v>7</v>
      </c>
      <c r="AG55" s="99">
        <v>4645.2</v>
      </c>
      <c r="AH55" s="99">
        <v>10</v>
      </c>
      <c r="AI55" s="99">
        <v>6636</v>
      </c>
      <c r="AJ55" s="99">
        <v>8</v>
      </c>
      <c r="AK55" s="99">
        <v>5308.8</v>
      </c>
      <c r="AL55" s="99">
        <v>9</v>
      </c>
      <c r="AM55" s="99">
        <v>5972.4000000000005</v>
      </c>
      <c r="AN55" s="99">
        <v>10</v>
      </c>
      <c r="AO55" s="99">
        <v>6636</v>
      </c>
      <c r="AP55" s="99">
        <v>7</v>
      </c>
      <c r="AQ55" s="99">
        <v>4645.2</v>
      </c>
      <c r="AR55" s="99">
        <v>11</v>
      </c>
      <c r="AS55" s="99">
        <v>7299.6</v>
      </c>
      <c r="AT55" s="99">
        <v>5</v>
      </c>
      <c r="AU55" s="99">
        <v>3318</v>
      </c>
      <c r="AV55" s="99">
        <v>8</v>
      </c>
      <c r="AW55" s="99">
        <v>5308.8</v>
      </c>
      <c r="AX55" s="99">
        <v>10</v>
      </c>
      <c r="AY55" s="99">
        <v>6636</v>
      </c>
      <c r="AZ55" s="99">
        <v>10</v>
      </c>
      <c r="BA55" s="99">
        <v>6636</v>
      </c>
      <c r="BB55" s="99">
        <v>12</v>
      </c>
      <c r="BC55" s="99">
        <v>7963.2000000000007</v>
      </c>
      <c r="BD55" s="99">
        <v>11</v>
      </c>
      <c r="BE55" s="99">
        <v>7299.6</v>
      </c>
      <c r="BF55" s="99">
        <v>7</v>
      </c>
      <c r="BG55" s="99">
        <v>4645.2</v>
      </c>
      <c r="BH55" s="99">
        <v>10</v>
      </c>
      <c r="BI55" s="99">
        <v>6636</v>
      </c>
      <c r="BJ55" s="99">
        <v>8</v>
      </c>
      <c r="BK55" s="99">
        <v>5308.8</v>
      </c>
      <c r="BL55" s="99">
        <v>6</v>
      </c>
      <c r="BM55" s="99">
        <v>3981.6000000000004</v>
      </c>
      <c r="BN55" s="99">
        <v>9</v>
      </c>
      <c r="BO55" s="99">
        <v>5972.4000000000005</v>
      </c>
      <c r="BP55" s="99">
        <v>11</v>
      </c>
      <c r="BQ55" s="99">
        <v>7299.6</v>
      </c>
      <c r="BR55" s="99">
        <v>9</v>
      </c>
      <c r="BS55" s="99">
        <v>5972.4000000000005</v>
      </c>
      <c r="BT55" s="99">
        <v>5</v>
      </c>
      <c r="BU55" s="99">
        <v>3318</v>
      </c>
      <c r="BV55" s="99">
        <v>11</v>
      </c>
      <c r="BW55" s="99">
        <v>7299.6</v>
      </c>
      <c r="BX55" s="99">
        <v>7</v>
      </c>
      <c r="BY55" s="99">
        <v>4645.2</v>
      </c>
      <c r="BZ55" s="99">
        <v>10</v>
      </c>
      <c r="CA55" s="99">
        <v>6636</v>
      </c>
      <c r="CB55" s="99">
        <v>11</v>
      </c>
      <c r="CC55" s="99">
        <v>7299.6</v>
      </c>
      <c r="CD55" s="99">
        <v>8</v>
      </c>
      <c r="CE55" s="99">
        <v>5308.8</v>
      </c>
      <c r="CF55" s="99">
        <v>10</v>
      </c>
      <c r="CG55" s="99">
        <v>6636</v>
      </c>
      <c r="CH55" s="99">
        <v>9</v>
      </c>
      <c r="CI55" s="99">
        <v>5972.4000000000005</v>
      </c>
      <c r="CJ55" s="99">
        <v>6.8069391732340314</v>
      </c>
      <c r="CK55" s="99">
        <v>4517.0848353581032</v>
      </c>
      <c r="CL55" s="99">
        <v>9</v>
      </c>
      <c r="CM55" s="99">
        <v>5972.4000000000005</v>
      </c>
      <c r="CN55" s="99">
        <v>11</v>
      </c>
      <c r="CO55" s="99">
        <v>7299.6</v>
      </c>
      <c r="CP55" s="99">
        <v>9.9838234525118015</v>
      </c>
      <c r="CQ55" s="99">
        <v>6625.265243086832</v>
      </c>
      <c r="CR55" s="99">
        <v>6.8119783507926002</v>
      </c>
      <c r="CS55" s="99">
        <v>4520.4288335859692</v>
      </c>
      <c r="CT55" s="99">
        <v>5.4116064947063167</v>
      </c>
      <c r="CU55" s="99">
        <v>3591.142069887112</v>
      </c>
    </row>
    <row r="56" spans="2:99">
      <c r="C56" s="98" t="s">
        <v>222</v>
      </c>
      <c r="D56" s="99">
        <v>8</v>
      </c>
      <c r="E56" s="99">
        <v>7852.7999999999993</v>
      </c>
      <c r="F56" s="99">
        <v>11</v>
      </c>
      <c r="G56" s="99">
        <v>10797.599999999999</v>
      </c>
      <c r="H56" s="99">
        <v>7</v>
      </c>
      <c r="I56" s="99">
        <v>6871.1999999999989</v>
      </c>
      <c r="J56" s="99">
        <v>11</v>
      </c>
      <c r="K56" s="99">
        <v>10797.599999999999</v>
      </c>
      <c r="L56" s="99">
        <v>10</v>
      </c>
      <c r="M56" s="99">
        <v>9816</v>
      </c>
      <c r="N56" s="99">
        <v>10</v>
      </c>
      <c r="O56" s="99">
        <v>9816</v>
      </c>
      <c r="P56" s="99">
        <v>6</v>
      </c>
      <c r="Q56" s="99">
        <v>5889.5999999999995</v>
      </c>
      <c r="R56" s="99">
        <v>6</v>
      </c>
      <c r="S56" s="99">
        <v>5889.5999999999995</v>
      </c>
      <c r="T56" s="99">
        <v>9</v>
      </c>
      <c r="U56" s="99">
        <v>8834.4</v>
      </c>
      <c r="V56" s="99">
        <v>7</v>
      </c>
      <c r="W56" s="99">
        <v>6871.1999999999989</v>
      </c>
      <c r="X56" s="99">
        <v>10</v>
      </c>
      <c r="Y56" s="99">
        <v>9816</v>
      </c>
      <c r="Z56" s="99">
        <v>10</v>
      </c>
      <c r="AA56" s="99">
        <v>9816</v>
      </c>
      <c r="AB56" s="99">
        <v>9</v>
      </c>
      <c r="AC56" s="99">
        <v>8834.4</v>
      </c>
      <c r="AD56" s="99">
        <v>8</v>
      </c>
      <c r="AE56" s="99">
        <v>7852.7999999999993</v>
      </c>
      <c r="AF56" s="99">
        <v>7</v>
      </c>
      <c r="AG56" s="99">
        <v>6871.1999999999989</v>
      </c>
      <c r="AH56" s="99">
        <v>11</v>
      </c>
      <c r="AI56" s="99">
        <v>10797.599999999999</v>
      </c>
      <c r="AJ56" s="99">
        <v>8</v>
      </c>
      <c r="AK56" s="99">
        <v>7852.7999999999993</v>
      </c>
      <c r="AL56" s="99">
        <v>8</v>
      </c>
      <c r="AM56" s="99">
        <v>7852.7999999999993</v>
      </c>
      <c r="AN56" s="99">
        <v>12</v>
      </c>
      <c r="AO56" s="99">
        <v>11779.199999999999</v>
      </c>
      <c r="AP56" s="99">
        <v>6</v>
      </c>
      <c r="AQ56" s="99">
        <v>5889.5999999999995</v>
      </c>
      <c r="AR56" s="99">
        <v>12</v>
      </c>
      <c r="AS56" s="99">
        <v>11779.199999999999</v>
      </c>
      <c r="AT56" s="99">
        <v>6</v>
      </c>
      <c r="AU56" s="99">
        <v>5889.5999999999995</v>
      </c>
      <c r="AV56" s="99">
        <v>6</v>
      </c>
      <c r="AW56" s="99">
        <v>5889.5999999999995</v>
      </c>
      <c r="AX56" s="99">
        <v>10</v>
      </c>
      <c r="AY56" s="99">
        <v>9816</v>
      </c>
      <c r="AZ56" s="99">
        <v>10</v>
      </c>
      <c r="BA56" s="99">
        <v>9816</v>
      </c>
      <c r="BB56" s="99">
        <v>10</v>
      </c>
      <c r="BC56" s="99">
        <v>9816</v>
      </c>
      <c r="BD56" s="99">
        <v>11</v>
      </c>
      <c r="BE56" s="99">
        <v>10797.599999999999</v>
      </c>
      <c r="BF56" s="99">
        <v>7</v>
      </c>
      <c r="BG56" s="99">
        <v>6871.1999999999989</v>
      </c>
      <c r="BH56" s="99">
        <v>9</v>
      </c>
      <c r="BI56" s="99">
        <v>8834.4</v>
      </c>
      <c r="BJ56" s="99">
        <v>9</v>
      </c>
      <c r="BK56" s="99">
        <v>8834.4</v>
      </c>
      <c r="BL56" s="99">
        <v>6</v>
      </c>
      <c r="BM56" s="99">
        <v>5889.5999999999995</v>
      </c>
      <c r="BN56" s="99">
        <v>9</v>
      </c>
      <c r="BO56" s="99">
        <v>8834.4</v>
      </c>
      <c r="BP56" s="99">
        <v>9</v>
      </c>
      <c r="BQ56" s="99">
        <v>8834.4</v>
      </c>
      <c r="BR56" s="99">
        <v>9</v>
      </c>
      <c r="BS56" s="99">
        <v>8834.4</v>
      </c>
      <c r="BT56" s="99">
        <v>6</v>
      </c>
      <c r="BU56" s="99">
        <v>5889.5999999999995</v>
      </c>
      <c r="BV56" s="99">
        <v>9</v>
      </c>
      <c r="BW56" s="99">
        <v>8834.4</v>
      </c>
      <c r="BX56" s="99">
        <v>7</v>
      </c>
      <c r="BY56" s="99">
        <v>6871.1999999999989</v>
      </c>
      <c r="BZ56" s="99">
        <v>9</v>
      </c>
      <c r="CA56" s="99">
        <v>8834.4</v>
      </c>
      <c r="CB56" s="99">
        <v>12</v>
      </c>
      <c r="CC56" s="99">
        <v>11779.199999999999</v>
      </c>
      <c r="CD56" s="99">
        <v>7</v>
      </c>
      <c r="CE56" s="99">
        <v>6871.1999999999989</v>
      </c>
      <c r="CF56" s="99">
        <v>9</v>
      </c>
      <c r="CG56" s="99">
        <v>8834.4</v>
      </c>
      <c r="CH56" s="99">
        <v>9</v>
      </c>
      <c r="CI56" s="99">
        <v>8834.4</v>
      </c>
      <c r="CJ56" s="99">
        <v>7</v>
      </c>
      <c r="CK56" s="99">
        <v>6871.1999999999989</v>
      </c>
      <c r="CL56" s="99">
        <v>8</v>
      </c>
      <c r="CM56" s="99">
        <v>7852.7999999999993</v>
      </c>
      <c r="CN56" s="99">
        <v>10</v>
      </c>
      <c r="CO56" s="99">
        <v>9816</v>
      </c>
      <c r="CP56" s="99">
        <v>10</v>
      </c>
      <c r="CQ56" s="99">
        <v>9816</v>
      </c>
      <c r="CR56" s="99">
        <v>6</v>
      </c>
      <c r="CS56" s="99">
        <v>5889.5999999999995</v>
      </c>
      <c r="CT56" s="99">
        <v>6</v>
      </c>
      <c r="CU56" s="99">
        <v>5889.5999999999995</v>
      </c>
    </row>
    <row r="57" spans="2:99">
      <c r="C57" s="98" t="s">
        <v>223</v>
      </c>
      <c r="D57" s="99">
        <v>9</v>
      </c>
      <c r="E57" s="99">
        <v>12700.800000000001</v>
      </c>
      <c r="F57" s="99">
        <v>10</v>
      </c>
      <c r="G57" s="99">
        <v>14112</v>
      </c>
      <c r="H57" s="99">
        <v>6</v>
      </c>
      <c r="I57" s="99">
        <v>8467.2000000000007</v>
      </c>
      <c r="J57" s="99">
        <v>10</v>
      </c>
      <c r="K57" s="99">
        <v>14112</v>
      </c>
      <c r="L57" s="99">
        <v>10</v>
      </c>
      <c r="M57" s="99">
        <v>14112</v>
      </c>
      <c r="N57" s="99">
        <v>10</v>
      </c>
      <c r="O57" s="99">
        <v>14112</v>
      </c>
      <c r="P57" s="99">
        <v>5</v>
      </c>
      <c r="Q57" s="99">
        <v>7056</v>
      </c>
      <c r="R57" s="99">
        <v>6</v>
      </c>
      <c r="S57" s="99">
        <v>8467.2000000000007</v>
      </c>
      <c r="T57" s="99">
        <v>10</v>
      </c>
      <c r="U57" s="99">
        <v>14112</v>
      </c>
      <c r="V57" s="99">
        <v>7</v>
      </c>
      <c r="W57" s="99">
        <v>9878.4</v>
      </c>
      <c r="X57" s="99">
        <v>8</v>
      </c>
      <c r="Y57" s="99">
        <v>11289.6</v>
      </c>
      <c r="Z57" s="99">
        <v>10</v>
      </c>
      <c r="AA57" s="99">
        <v>14112</v>
      </c>
      <c r="AB57" s="99">
        <v>10</v>
      </c>
      <c r="AC57" s="99">
        <v>14112</v>
      </c>
      <c r="AD57" s="99">
        <v>8</v>
      </c>
      <c r="AE57" s="99">
        <v>11289.6</v>
      </c>
      <c r="AF57" s="99">
        <v>6</v>
      </c>
      <c r="AG57" s="99">
        <v>8467.2000000000007</v>
      </c>
      <c r="AH57" s="99">
        <v>10</v>
      </c>
      <c r="AI57" s="99">
        <v>14112</v>
      </c>
      <c r="AJ57" s="99">
        <v>8</v>
      </c>
      <c r="AK57" s="99">
        <v>11289.6</v>
      </c>
      <c r="AL57" s="99">
        <v>8</v>
      </c>
      <c r="AM57" s="99">
        <v>11289.6</v>
      </c>
      <c r="AN57" s="99">
        <v>10</v>
      </c>
      <c r="AO57" s="99">
        <v>14112</v>
      </c>
      <c r="AP57" s="99">
        <v>6</v>
      </c>
      <c r="AQ57" s="99">
        <v>8467.2000000000007</v>
      </c>
      <c r="AR57" s="99">
        <v>12</v>
      </c>
      <c r="AS57" s="99">
        <v>16934.400000000001</v>
      </c>
      <c r="AT57" s="99">
        <v>6</v>
      </c>
      <c r="AU57" s="99">
        <v>8467.2000000000007</v>
      </c>
      <c r="AV57" s="99">
        <v>7</v>
      </c>
      <c r="AW57" s="99">
        <v>9878.4</v>
      </c>
      <c r="AX57" s="99">
        <v>10</v>
      </c>
      <c r="AY57" s="99">
        <v>14112</v>
      </c>
      <c r="AZ57" s="99">
        <v>11</v>
      </c>
      <c r="BA57" s="99">
        <v>15523.2</v>
      </c>
      <c r="BB57" s="99">
        <v>11</v>
      </c>
      <c r="BC57" s="99">
        <v>15523.2</v>
      </c>
      <c r="BD57" s="99">
        <v>10</v>
      </c>
      <c r="BE57" s="99">
        <v>14112</v>
      </c>
      <c r="BF57" s="99">
        <v>6</v>
      </c>
      <c r="BG57" s="99">
        <v>8467.2000000000007</v>
      </c>
      <c r="BH57" s="99">
        <v>8</v>
      </c>
      <c r="BI57" s="99">
        <v>11289.6</v>
      </c>
      <c r="BJ57" s="99">
        <v>8</v>
      </c>
      <c r="BK57" s="99">
        <v>11289.6</v>
      </c>
      <c r="BL57" s="99">
        <v>5</v>
      </c>
      <c r="BM57" s="99">
        <v>7056</v>
      </c>
      <c r="BN57" s="99">
        <v>9</v>
      </c>
      <c r="BO57" s="99">
        <v>12700.800000000001</v>
      </c>
      <c r="BP57" s="99">
        <v>9</v>
      </c>
      <c r="BQ57" s="99">
        <v>12700.800000000001</v>
      </c>
      <c r="BR57" s="99">
        <v>9</v>
      </c>
      <c r="BS57" s="99">
        <v>12700.800000000001</v>
      </c>
      <c r="BT57" s="99">
        <v>6</v>
      </c>
      <c r="BU57" s="99">
        <v>8467.2000000000007</v>
      </c>
      <c r="BV57" s="99">
        <v>11</v>
      </c>
      <c r="BW57" s="99">
        <v>15523.2</v>
      </c>
      <c r="BX57" s="99">
        <v>6</v>
      </c>
      <c r="BY57" s="99">
        <v>8467.2000000000007</v>
      </c>
      <c r="BZ57" s="99">
        <v>9</v>
      </c>
      <c r="CA57" s="99">
        <v>12700.800000000001</v>
      </c>
      <c r="CB57" s="99">
        <v>11</v>
      </c>
      <c r="CC57" s="99">
        <v>15523.2</v>
      </c>
      <c r="CD57" s="99">
        <v>7</v>
      </c>
      <c r="CE57" s="99">
        <v>9878.4</v>
      </c>
      <c r="CF57" s="99">
        <v>10</v>
      </c>
      <c r="CG57" s="99">
        <v>14112</v>
      </c>
      <c r="CH57" s="99">
        <v>9</v>
      </c>
      <c r="CI57" s="99">
        <v>12700.800000000001</v>
      </c>
      <c r="CJ57" s="99">
        <v>5.9560717765797779</v>
      </c>
      <c r="CK57" s="99">
        <v>8405.2084911093825</v>
      </c>
      <c r="CL57" s="99">
        <v>8</v>
      </c>
      <c r="CM57" s="99">
        <v>11289.6</v>
      </c>
      <c r="CN57" s="99">
        <v>9</v>
      </c>
      <c r="CO57" s="99">
        <v>12700.800000000001</v>
      </c>
      <c r="CP57" s="99">
        <v>9.9838234525118015</v>
      </c>
      <c r="CQ57" s="99">
        <v>14089.171656184655</v>
      </c>
      <c r="CR57" s="99">
        <v>5.838838586393658</v>
      </c>
      <c r="CS57" s="99">
        <v>8239.7690131187301</v>
      </c>
      <c r="CT57" s="99">
        <v>4.5096720789219304</v>
      </c>
      <c r="CU57" s="99">
        <v>6364.0492377746286</v>
      </c>
    </row>
    <row r="58" spans="2:99">
      <c r="C58" s="98" t="s">
        <v>224</v>
      </c>
      <c r="D58" s="99">
        <v>9</v>
      </c>
      <c r="E58" s="99">
        <v>10594.800000000001</v>
      </c>
      <c r="F58" s="99">
        <v>11</v>
      </c>
      <c r="G58" s="99">
        <v>12949.2</v>
      </c>
      <c r="H58" s="99">
        <v>6</v>
      </c>
      <c r="I58" s="99">
        <v>7063.2000000000007</v>
      </c>
      <c r="J58" s="99">
        <v>11</v>
      </c>
      <c r="K58" s="99">
        <v>12949.2</v>
      </c>
      <c r="L58" s="99">
        <v>10</v>
      </c>
      <c r="M58" s="99">
        <v>11772</v>
      </c>
      <c r="N58" s="99">
        <v>9</v>
      </c>
      <c r="O58" s="99">
        <v>10594.800000000001</v>
      </c>
      <c r="P58" s="99">
        <v>6</v>
      </c>
      <c r="Q58" s="99">
        <v>7063.2000000000007</v>
      </c>
      <c r="R58" s="99">
        <v>7</v>
      </c>
      <c r="S58" s="99">
        <v>8240.4</v>
      </c>
      <c r="T58" s="99">
        <v>10</v>
      </c>
      <c r="U58" s="99">
        <v>11772</v>
      </c>
      <c r="V58" s="99">
        <v>6</v>
      </c>
      <c r="W58" s="99">
        <v>7063.2000000000007</v>
      </c>
      <c r="X58" s="99">
        <v>9</v>
      </c>
      <c r="Y58" s="99">
        <v>10594.800000000001</v>
      </c>
      <c r="Z58" s="99">
        <v>10</v>
      </c>
      <c r="AA58" s="99">
        <v>11772</v>
      </c>
      <c r="AB58" s="99">
        <v>9</v>
      </c>
      <c r="AC58" s="99">
        <v>10594.800000000001</v>
      </c>
      <c r="AD58" s="99">
        <v>8</v>
      </c>
      <c r="AE58" s="99">
        <v>9417.6</v>
      </c>
      <c r="AF58" s="99">
        <v>8</v>
      </c>
      <c r="AG58" s="99">
        <v>9417.6</v>
      </c>
      <c r="AH58" s="99">
        <v>9</v>
      </c>
      <c r="AI58" s="99">
        <v>10594.800000000001</v>
      </c>
      <c r="AJ58" s="99">
        <v>7</v>
      </c>
      <c r="AK58" s="99">
        <v>8240.4</v>
      </c>
      <c r="AL58" s="99">
        <v>9</v>
      </c>
      <c r="AM58" s="99">
        <v>10594.800000000001</v>
      </c>
      <c r="AN58" s="99">
        <v>10</v>
      </c>
      <c r="AO58" s="99">
        <v>11772</v>
      </c>
      <c r="AP58" s="99">
        <v>6</v>
      </c>
      <c r="AQ58" s="99">
        <v>7063.2000000000007</v>
      </c>
      <c r="AR58" s="99">
        <v>10</v>
      </c>
      <c r="AS58" s="99">
        <v>11772</v>
      </c>
      <c r="AT58" s="99">
        <v>6</v>
      </c>
      <c r="AU58" s="99">
        <v>7063.2000000000007</v>
      </c>
      <c r="AV58" s="99">
        <v>6.4900662251655641</v>
      </c>
      <c r="AW58" s="99">
        <v>7640.105960264902</v>
      </c>
      <c r="AX58" s="99">
        <v>0</v>
      </c>
      <c r="AY58" s="99">
        <v>0</v>
      </c>
      <c r="AZ58" s="99">
        <v>11</v>
      </c>
      <c r="BA58" s="99">
        <v>12949.2</v>
      </c>
      <c r="BB58" s="99">
        <v>10</v>
      </c>
      <c r="BC58" s="99">
        <v>11772</v>
      </c>
      <c r="BD58" s="99">
        <v>10</v>
      </c>
      <c r="BE58" s="99">
        <v>11772</v>
      </c>
      <c r="BF58" s="99">
        <v>7</v>
      </c>
      <c r="BG58" s="99">
        <v>8240.4</v>
      </c>
      <c r="BH58" s="99">
        <v>9</v>
      </c>
      <c r="BI58" s="99">
        <v>10594.800000000001</v>
      </c>
      <c r="BJ58" s="99">
        <v>9</v>
      </c>
      <c r="BK58" s="99">
        <v>10594.800000000001</v>
      </c>
      <c r="BL58" s="99">
        <v>5</v>
      </c>
      <c r="BM58" s="99">
        <v>5886</v>
      </c>
      <c r="BN58" s="99">
        <v>9</v>
      </c>
      <c r="BO58" s="99">
        <v>10594.800000000001</v>
      </c>
      <c r="BP58" s="99">
        <v>11</v>
      </c>
      <c r="BQ58" s="99">
        <v>12949.2</v>
      </c>
      <c r="BR58" s="99">
        <v>9</v>
      </c>
      <c r="BS58" s="99">
        <v>10594.800000000001</v>
      </c>
      <c r="BT58" s="99">
        <v>5</v>
      </c>
      <c r="BU58" s="99">
        <v>5886</v>
      </c>
      <c r="BV58" s="99">
        <v>9</v>
      </c>
      <c r="BW58" s="99">
        <v>10594.800000000001</v>
      </c>
      <c r="BX58" s="99">
        <v>7</v>
      </c>
      <c r="BY58" s="99">
        <v>8240.4</v>
      </c>
      <c r="BZ58" s="99">
        <v>10</v>
      </c>
      <c r="CA58" s="99">
        <v>11772</v>
      </c>
      <c r="CB58" s="99">
        <v>10</v>
      </c>
      <c r="CC58" s="99">
        <v>11772</v>
      </c>
      <c r="CD58" s="99">
        <v>8</v>
      </c>
      <c r="CE58" s="99">
        <v>9417.6</v>
      </c>
      <c r="CF58" s="99">
        <v>9</v>
      </c>
      <c r="CG58" s="99">
        <v>10594.800000000001</v>
      </c>
      <c r="CH58" s="99">
        <v>10</v>
      </c>
      <c r="CI58" s="99">
        <v>11772</v>
      </c>
      <c r="CJ58" s="99">
        <v>8</v>
      </c>
      <c r="CK58" s="99">
        <v>9417.6</v>
      </c>
      <c r="CL58" s="99">
        <v>8</v>
      </c>
      <c r="CM58" s="99">
        <v>9417.6</v>
      </c>
      <c r="CN58" s="99">
        <v>9</v>
      </c>
      <c r="CO58" s="99">
        <v>10594.800000000001</v>
      </c>
      <c r="CP58" s="99">
        <v>9</v>
      </c>
      <c r="CQ58" s="99">
        <v>10594.800000000001</v>
      </c>
      <c r="CR58" s="99">
        <v>7</v>
      </c>
      <c r="CS58" s="99">
        <v>8240.4</v>
      </c>
      <c r="CT58" s="99">
        <v>6</v>
      </c>
      <c r="CU58" s="99">
        <v>7063.2000000000007</v>
      </c>
    </row>
    <row r="59" spans="2:99">
      <c r="C59" s="98" t="s">
        <v>225</v>
      </c>
      <c r="D59" s="99">
        <v>9</v>
      </c>
      <c r="E59" s="99">
        <v>2732.3999999999996</v>
      </c>
      <c r="F59" s="99">
        <v>10</v>
      </c>
      <c r="G59" s="99">
        <v>3035.9999999999995</v>
      </c>
      <c r="H59" s="99">
        <v>6</v>
      </c>
      <c r="I59" s="99">
        <v>1821.6</v>
      </c>
      <c r="J59" s="99">
        <v>12</v>
      </c>
      <c r="K59" s="99">
        <v>3643.2</v>
      </c>
      <c r="L59" s="99">
        <v>12</v>
      </c>
      <c r="M59" s="99">
        <v>3643.2</v>
      </c>
      <c r="N59" s="99">
        <v>10</v>
      </c>
      <c r="O59" s="99">
        <v>3035.9999999999995</v>
      </c>
      <c r="P59" s="99">
        <v>6</v>
      </c>
      <c r="Q59" s="99">
        <v>1821.6</v>
      </c>
      <c r="R59" s="99">
        <v>7</v>
      </c>
      <c r="S59" s="99">
        <v>2125.1999999999998</v>
      </c>
      <c r="T59" s="99">
        <v>10</v>
      </c>
      <c r="U59" s="99">
        <v>3035.9999999999995</v>
      </c>
      <c r="V59" s="99">
        <v>7</v>
      </c>
      <c r="W59" s="99">
        <v>2125.1999999999998</v>
      </c>
      <c r="X59" s="99">
        <v>9</v>
      </c>
      <c r="Y59" s="99">
        <v>2732.3999999999996</v>
      </c>
      <c r="Z59" s="99">
        <v>11</v>
      </c>
      <c r="AA59" s="99">
        <v>3339.5999999999995</v>
      </c>
      <c r="AB59" s="99">
        <v>11</v>
      </c>
      <c r="AC59" s="99">
        <v>3339.5999999999995</v>
      </c>
      <c r="AD59" s="99">
        <v>8</v>
      </c>
      <c r="AE59" s="99">
        <v>2428.7999999999997</v>
      </c>
      <c r="AF59" s="99">
        <v>7</v>
      </c>
      <c r="AG59" s="99">
        <v>2125.1999999999998</v>
      </c>
      <c r="AH59" s="99">
        <v>11</v>
      </c>
      <c r="AI59" s="99">
        <v>3339.5999999999995</v>
      </c>
      <c r="AJ59" s="99">
        <v>7</v>
      </c>
      <c r="AK59" s="99">
        <v>2125.1999999999998</v>
      </c>
      <c r="AL59" s="99">
        <v>10</v>
      </c>
      <c r="AM59" s="99">
        <v>3035.9999999999995</v>
      </c>
      <c r="AN59" s="99">
        <v>12</v>
      </c>
      <c r="AO59" s="99">
        <v>3643.2</v>
      </c>
      <c r="AP59" s="99">
        <v>8</v>
      </c>
      <c r="AQ59" s="99">
        <v>2428.7999999999997</v>
      </c>
      <c r="AR59" s="99">
        <v>11</v>
      </c>
      <c r="AS59" s="99">
        <v>3339.5999999999995</v>
      </c>
      <c r="AT59" s="99">
        <v>6</v>
      </c>
      <c r="AU59" s="99">
        <v>1821.6</v>
      </c>
      <c r="AV59" s="99">
        <v>7</v>
      </c>
      <c r="AW59" s="99">
        <v>2125.1999999999998</v>
      </c>
      <c r="AX59" s="99">
        <v>10</v>
      </c>
      <c r="AY59" s="99">
        <v>3035.9999999999995</v>
      </c>
      <c r="AZ59" s="99">
        <v>12</v>
      </c>
      <c r="BA59" s="99">
        <v>3643.2</v>
      </c>
      <c r="BB59" s="99">
        <v>12</v>
      </c>
      <c r="BC59" s="99">
        <v>3643.2</v>
      </c>
      <c r="BD59" s="99">
        <v>10</v>
      </c>
      <c r="BE59" s="99">
        <v>3035.9999999999995</v>
      </c>
      <c r="BF59" s="99">
        <v>6</v>
      </c>
      <c r="BG59" s="99">
        <v>1821.6</v>
      </c>
      <c r="BH59" s="99">
        <v>10</v>
      </c>
      <c r="BI59" s="99">
        <v>3035.9999999999995</v>
      </c>
      <c r="BJ59" s="99">
        <v>9</v>
      </c>
      <c r="BK59" s="99">
        <v>2732.3999999999996</v>
      </c>
      <c r="BL59" s="99">
        <v>6</v>
      </c>
      <c r="BM59" s="99">
        <v>1821.6</v>
      </c>
      <c r="BN59" s="99">
        <v>10</v>
      </c>
      <c r="BO59" s="99">
        <v>3035.9999999999995</v>
      </c>
      <c r="BP59" s="99">
        <v>11</v>
      </c>
      <c r="BQ59" s="99">
        <v>3339.5999999999995</v>
      </c>
      <c r="BR59" s="99">
        <v>9</v>
      </c>
      <c r="BS59" s="99">
        <v>2732.3999999999996</v>
      </c>
      <c r="BT59" s="99">
        <v>7</v>
      </c>
      <c r="BU59" s="99">
        <v>2125.1999999999998</v>
      </c>
      <c r="BV59" s="99">
        <v>12</v>
      </c>
      <c r="BW59" s="99">
        <v>3643.2</v>
      </c>
      <c r="BX59" s="99">
        <v>8</v>
      </c>
      <c r="BY59" s="99">
        <v>2428.7999999999997</v>
      </c>
      <c r="BZ59" s="99">
        <v>9</v>
      </c>
      <c r="CA59" s="99">
        <v>2732.3999999999996</v>
      </c>
      <c r="CB59" s="99">
        <v>12</v>
      </c>
      <c r="CC59" s="99">
        <v>3643.2</v>
      </c>
      <c r="CD59" s="99">
        <v>7</v>
      </c>
      <c r="CE59" s="99">
        <v>2125.1999999999998</v>
      </c>
      <c r="CF59" s="99">
        <v>10</v>
      </c>
      <c r="CG59" s="99">
        <v>3035.9999999999995</v>
      </c>
      <c r="CH59" s="99">
        <v>10</v>
      </c>
      <c r="CI59" s="99">
        <v>3035.9999999999995</v>
      </c>
      <c r="CJ59" s="99">
        <v>6.8069391732340314</v>
      </c>
      <c r="CK59" s="99">
        <v>2066.5867329938519</v>
      </c>
      <c r="CL59" s="99">
        <v>10</v>
      </c>
      <c r="CM59" s="99">
        <v>3035.9999999999995</v>
      </c>
      <c r="CN59" s="99">
        <v>11</v>
      </c>
      <c r="CO59" s="99">
        <v>3339.5999999999995</v>
      </c>
      <c r="CP59" s="99">
        <v>9.9838234525118015</v>
      </c>
      <c r="CQ59" s="99">
        <v>3031.0888001825824</v>
      </c>
      <c r="CR59" s="99">
        <v>6.8119783507926002</v>
      </c>
      <c r="CS59" s="99">
        <v>2068.1166273006334</v>
      </c>
      <c r="CT59" s="99">
        <v>5.4116064947063167</v>
      </c>
      <c r="CU59" s="99">
        <v>1642.9637317928375</v>
      </c>
    </row>
    <row r="60" spans="2:99">
      <c r="C60" s="98" t="s">
        <v>226</v>
      </c>
      <c r="D60" s="99">
        <v>9</v>
      </c>
      <c r="E60" s="99">
        <v>5864.4000000000005</v>
      </c>
      <c r="F60" s="99">
        <v>11</v>
      </c>
      <c r="G60" s="99">
        <v>7167.6</v>
      </c>
      <c r="H60" s="99">
        <v>6</v>
      </c>
      <c r="I60" s="99">
        <v>3909.6000000000004</v>
      </c>
      <c r="J60" s="99">
        <v>11</v>
      </c>
      <c r="K60" s="99">
        <v>7167.6</v>
      </c>
      <c r="L60" s="99">
        <v>10</v>
      </c>
      <c r="M60" s="99">
        <v>6516</v>
      </c>
      <c r="N60" s="99">
        <v>11</v>
      </c>
      <c r="O60" s="99">
        <v>7167.6</v>
      </c>
      <c r="P60" s="99">
        <v>6</v>
      </c>
      <c r="Q60" s="99">
        <v>3909.6000000000004</v>
      </c>
      <c r="R60" s="99">
        <v>6</v>
      </c>
      <c r="S60" s="99">
        <v>3909.6000000000004</v>
      </c>
      <c r="T60" s="99">
        <v>9</v>
      </c>
      <c r="U60" s="99">
        <v>5864.4000000000005</v>
      </c>
      <c r="V60" s="99">
        <v>7</v>
      </c>
      <c r="W60" s="99">
        <v>4561.2</v>
      </c>
      <c r="X60" s="99">
        <v>9</v>
      </c>
      <c r="Y60" s="99">
        <v>5864.4000000000005</v>
      </c>
      <c r="Z60" s="99">
        <v>11</v>
      </c>
      <c r="AA60" s="99">
        <v>7167.6</v>
      </c>
      <c r="AB60" s="99">
        <v>10</v>
      </c>
      <c r="AC60" s="99">
        <v>6516</v>
      </c>
      <c r="AD60" s="99">
        <v>8</v>
      </c>
      <c r="AE60" s="99">
        <v>5212.8</v>
      </c>
      <c r="AF60" s="99">
        <v>8</v>
      </c>
      <c r="AG60" s="99">
        <v>5212.8</v>
      </c>
      <c r="AH60" s="99">
        <v>11</v>
      </c>
      <c r="AI60" s="99">
        <v>7167.6</v>
      </c>
      <c r="AJ60" s="99">
        <v>7</v>
      </c>
      <c r="AK60" s="99">
        <v>4561.2</v>
      </c>
      <c r="AL60" s="99">
        <v>9</v>
      </c>
      <c r="AM60" s="99">
        <v>5864.4000000000005</v>
      </c>
      <c r="AN60" s="99">
        <v>12</v>
      </c>
      <c r="AO60" s="99">
        <v>7819.2000000000007</v>
      </c>
      <c r="AP60" s="99">
        <v>7</v>
      </c>
      <c r="AQ60" s="99">
        <v>4561.2</v>
      </c>
      <c r="AR60" s="99">
        <v>10</v>
      </c>
      <c r="AS60" s="99">
        <v>6516</v>
      </c>
      <c r="AT60" s="99">
        <v>6</v>
      </c>
      <c r="AU60" s="99">
        <v>3909.6000000000004</v>
      </c>
      <c r="AV60" s="99">
        <v>8</v>
      </c>
      <c r="AW60" s="99">
        <v>5212.8</v>
      </c>
      <c r="AX60" s="99">
        <v>11</v>
      </c>
      <c r="AY60" s="99">
        <v>7167.6</v>
      </c>
      <c r="AZ60" s="99">
        <v>10</v>
      </c>
      <c r="BA60" s="99">
        <v>6516</v>
      </c>
      <c r="BB60" s="99">
        <v>10</v>
      </c>
      <c r="BC60" s="99">
        <v>6516</v>
      </c>
      <c r="BD60" s="99">
        <v>12</v>
      </c>
      <c r="BE60" s="99">
        <v>7819.2000000000007</v>
      </c>
      <c r="BF60" s="99">
        <v>7</v>
      </c>
      <c r="BG60" s="99">
        <v>4561.2</v>
      </c>
      <c r="BH60" s="99">
        <v>9</v>
      </c>
      <c r="BI60" s="99">
        <v>5864.4000000000005</v>
      </c>
      <c r="BJ60" s="99">
        <v>9</v>
      </c>
      <c r="BK60" s="99">
        <v>5864.4000000000005</v>
      </c>
      <c r="BL60" s="99">
        <v>6</v>
      </c>
      <c r="BM60" s="99">
        <v>3909.6000000000004</v>
      </c>
      <c r="BN60" s="99">
        <v>10</v>
      </c>
      <c r="BO60" s="99">
        <v>6516</v>
      </c>
      <c r="BP60" s="99">
        <v>11</v>
      </c>
      <c r="BQ60" s="99">
        <v>7167.6</v>
      </c>
      <c r="BR60" s="99">
        <v>10</v>
      </c>
      <c r="BS60" s="99">
        <v>6516</v>
      </c>
      <c r="BT60" s="99">
        <v>6</v>
      </c>
      <c r="BU60" s="99">
        <v>3909.6000000000004</v>
      </c>
      <c r="BV60" s="99">
        <v>10</v>
      </c>
      <c r="BW60" s="99">
        <v>6516</v>
      </c>
      <c r="BX60" s="99">
        <v>7</v>
      </c>
      <c r="BY60" s="99">
        <v>4561.2</v>
      </c>
      <c r="BZ60" s="99">
        <v>10</v>
      </c>
      <c r="CA60" s="99">
        <v>6516</v>
      </c>
      <c r="CB60" s="99">
        <v>12</v>
      </c>
      <c r="CC60" s="99">
        <v>7819.2000000000007</v>
      </c>
      <c r="CD60" s="99">
        <v>8</v>
      </c>
      <c r="CE60" s="99">
        <v>5212.8</v>
      </c>
      <c r="CF60" s="99">
        <v>10</v>
      </c>
      <c r="CG60" s="99">
        <v>6516</v>
      </c>
      <c r="CH60" s="99">
        <v>10</v>
      </c>
      <c r="CI60" s="99">
        <v>6516</v>
      </c>
      <c r="CJ60" s="99">
        <v>6.8069391732340314</v>
      </c>
      <c r="CK60" s="99">
        <v>4435.401565279295</v>
      </c>
      <c r="CL60" s="99">
        <v>9</v>
      </c>
      <c r="CM60" s="99">
        <v>5864.4000000000005</v>
      </c>
      <c r="CN60" s="99">
        <v>11</v>
      </c>
      <c r="CO60" s="99">
        <v>7167.6</v>
      </c>
      <c r="CP60" s="99">
        <v>10.982205797762981</v>
      </c>
      <c r="CQ60" s="99">
        <v>7156.0052978223594</v>
      </c>
      <c r="CR60" s="99">
        <v>5.838838586393658</v>
      </c>
      <c r="CS60" s="99">
        <v>3804.5872228941075</v>
      </c>
      <c r="CT60" s="99">
        <v>5.4116064947063167</v>
      </c>
      <c r="CU60" s="99">
        <v>3526.2027919506363</v>
      </c>
    </row>
    <row r="61" spans="2:99">
      <c r="C61" s="98" t="s">
        <v>227</v>
      </c>
      <c r="D61" s="99">
        <v>9</v>
      </c>
      <c r="E61" s="99">
        <v>8564.4</v>
      </c>
      <c r="F61" s="99">
        <v>10</v>
      </c>
      <c r="G61" s="99">
        <v>9516</v>
      </c>
      <c r="H61" s="99">
        <v>7</v>
      </c>
      <c r="I61" s="99">
        <v>6661.1999999999989</v>
      </c>
      <c r="J61" s="99">
        <v>11</v>
      </c>
      <c r="K61" s="99">
        <v>10467.599999999999</v>
      </c>
      <c r="L61" s="99">
        <v>12</v>
      </c>
      <c r="M61" s="99">
        <v>11419.199999999999</v>
      </c>
      <c r="N61" s="99">
        <v>10</v>
      </c>
      <c r="O61" s="99">
        <v>9516</v>
      </c>
      <c r="P61" s="99">
        <v>6</v>
      </c>
      <c r="Q61" s="99">
        <v>5709.5999999999995</v>
      </c>
      <c r="R61" s="99">
        <v>6</v>
      </c>
      <c r="S61" s="99">
        <v>5709.5999999999995</v>
      </c>
      <c r="T61" s="99">
        <v>9</v>
      </c>
      <c r="U61" s="99">
        <v>8564.4</v>
      </c>
      <c r="V61" s="99">
        <v>7</v>
      </c>
      <c r="W61" s="99">
        <v>6661.1999999999989</v>
      </c>
      <c r="X61" s="99">
        <v>9</v>
      </c>
      <c r="Y61" s="99">
        <v>8564.4</v>
      </c>
      <c r="Z61" s="99">
        <v>10</v>
      </c>
      <c r="AA61" s="99">
        <v>9516</v>
      </c>
      <c r="AB61" s="99">
        <v>9</v>
      </c>
      <c r="AC61" s="99">
        <v>8564.4</v>
      </c>
      <c r="AD61" s="99">
        <v>8</v>
      </c>
      <c r="AE61" s="99">
        <v>7612.7999999999993</v>
      </c>
      <c r="AF61" s="99">
        <v>7</v>
      </c>
      <c r="AG61" s="99">
        <v>6661.1999999999989</v>
      </c>
      <c r="AH61" s="99">
        <v>9</v>
      </c>
      <c r="AI61" s="99">
        <v>8564.4</v>
      </c>
      <c r="AJ61" s="99">
        <v>8</v>
      </c>
      <c r="AK61" s="99">
        <v>7612.7999999999993</v>
      </c>
      <c r="AL61" s="99">
        <v>9</v>
      </c>
      <c r="AM61" s="99">
        <v>8564.4</v>
      </c>
      <c r="AN61" s="99">
        <v>12</v>
      </c>
      <c r="AO61" s="99">
        <v>11419.199999999999</v>
      </c>
      <c r="AP61" s="99">
        <v>7</v>
      </c>
      <c r="AQ61" s="99">
        <v>6661.1999999999989</v>
      </c>
      <c r="AR61" s="99">
        <v>12</v>
      </c>
      <c r="AS61" s="99">
        <v>11419.199999999999</v>
      </c>
      <c r="AT61" s="99">
        <v>6</v>
      </c>
      <c r="AU61" s="99">
        <v>5709.5999999999995</v>
      </c>
      <c r="AV61" s="99">
        <v>6</v>
      </c>
      <c r="AW61" s="99">
        <v>5709.5999999999995</v>
      </c>
      <c r="AX61" s="99">
        <v>10</v>
      </c>
      <c r="AY61" s="99">
        <v>9516</v>
      </c>
      <c r="AZ61" s="99">
        <v>11</v>
      </c>
      <c r="BA61" s="99">
        <v>10467.599999999999</v>
      </c>
      <c r="BB61" s="99">
        <v>12</v>
      </c>
      <c r="BC61" s="99">
        <v>11419.199999999999</v>
      </c>
      <c r="BD61" s="99">
        <v>10</v>
      </c>
      <c r="BE61" s="99">
        <v>9516</v>
      </c>
      <c r="BF61" s="99">
        <v>6</v>
      </c>
      <c r="BG61" s="99">
        <v>5709.5999999999995</v>
      </c>
      <c r="BH61" s="99">
        <v>9</v>
      </c>
      <c r="BI61" s="99">
        <v>8564.4</v>
      </c>
      <c r="BJ61" s="99">
        <v>8</v>
      </c>
      <c r="BK61" s="99">
        <v>7612.7999999999993</v>
      </c>
      <c r="BL61" s="99">
        <v>5</v>
      </c>
      <c r="BM61" s="99">
        <v>4758</v>
      </c>
      <c r="BN61" s="99">
        <v>10</v>
      </c>
      <c r="BO61" s="99">
        <v>9516</v>
      </c>
      <c r="BP61" s="99">
        <v>10</v>
      </c>
      <c r="BQ61" s="99">
        <v>9516</v>
      </c>
      <c r="BR61" s="99">
        <v>9</v>
      </c>
      <c r="BS61" s="99">
        <v>8564.4</v>
      </c>
      <c r="BT61" s="99">
        <v>6</v>
      </c>
      <c r="BU61" s="99">
        <v>5709.5999999999995</v>
      </c>
      <c r="BV61" s="99">
        <v>10</v>
      </c>
      <c r="BW61" s="99">
        <v>9516</v>
      </c>
      <c r="BX61" s="99">
        <v>7</v>
      </c>
      <c r="BY61" s="99">
        <v>6661.1999999999989</v>
      </c>
      <c r="BZ61" s="99">
        <v>10</v>
      </c>
      <c r="CA61" s="99">
        <v>9516</v>
      </c>
      <c r="CB61" s="99">
        <v>12</v>
      </c>
      <c r="CC61" s="99">
        <v>11419.199999999999</v>
      </c>
      <c r="CD61" s="99">
        <v>8</v>
      </c>
      <c r="CE61" s="99">
        <v>7612.7999999999993</v>
      </c>
      <c r="CF61" s="99">
        <v>9</v>
      </c>
      <c r="CG61" s="99">
        <v>8564.4</v>
      </c>
      <c r="CH61" s="99">
        <v>10</v>
      </c>
      <c r="CI61" s="99">
        <v>9516</v>
      </c>
      <c r="CJ61" s="99">
        <v>6.8069391732340314</v>
      </c>
      <c r="CK61" s="99">
        <v>6477.4833172495037</v>
      </c>
      <c r="CL61" s="99">
        <v>9</v>
      </c>
      <c r="CM61" s="99">
        <v>8564.4</v>
      </c>
      <c r="CN61" s="99">
        <v>11</v>
      </c>
      <c r="CO61" s="99">
        <v>10467.599999999999</v>
      </c>
      <c r="CP61" s="99">
        <v>9.9838234525118015</v>
      </c>
      <c r="CQ61" s="99">
        <v>9500.606397410229</v>
      </c>
      <c r="CR61" s="99">
        <v>6.8119783507926002</v>
      </c>
      <c r="CS61" s="99">
        <v>6482.278598614238</v>
      </c>
      <c r="CT61" s="99">
        <v>5.4116064947063167</v>
      </c>
      <c r="CU61" s="99">
        <v>5149.6847403625306</v>
      </c>
    </row>
    <row r="62" spans="2:99">
      <c r="C62" s="98" t="s">
        <v>228</v>
      </c>
      <c r="D62" s="99">
        <v>8</v>
      </c>
      <c r="E62" s="99">
        <v>13353.6</v>
      </c>
      <c r="F62" s="99">
        <v>9</v>
      </c>
      <c r="G62" s="99">
        <v>15022.800000000001</v>
      </c>
      <c r="H62" s="99">
        <v>6</v>
      </c>
      <c r="I62" s="99">
        <v>10015.200000000001</v>
      </c>
      <c r="J62" s="99">
        <v>10</v>
      </c>
      <c r="K62" s="99">
        <v>16692</v>
      </c>
      <c r="L62" s="99">
        <v>9</v>
      </c>
      <c r="M62" s="99">
        <v>15022.800000000001</v>
      </c>
      <c r="N62" s="99">
        <v>10</v>
      </c>
      <c r="O62" s="99">
        <v>16692</v>
      </c>
      <c r="P62" s="99">
        <v>5</v>
      </c>
      <c r="Q62" s="99">
        <v>8346</v>
      </c>
      <c r="R62" s="99">
        <v>6</v>
      </c>
      <c r="S62" s="99">
        <v>10015.200000000001</v>
      </c>
      <c r="T62" s="99">
        <v>9</v>
      </c>
      <c r="U62" s="99">
        <v>15022.800000000001</v>
      </c>
      <c r="V62" s="99">
        <v>7</v>
      </c>
      <c r="W62" s="99">
        <v>11684.4</v>
      </c>
      <c r="X62" s="99">
        <v>9</v>
      </c>
      <c r="Y62" s="99">
        <v>15022.800000000001</v>
      </c>
      <c r="Z62" s="99">
        <v>9</v>
      </c>
      <c r="AA62" s="99">
        <v>15022.800000000001</v>
      </c>
      <c r="AB62" s="99">
        <v>8</v>
      </c>
      <c r="AC62" s="99">
        <v>13353.6</v>
      </c>
      <c r="AD62" s="99">
        <v>8</v>
      </c>
      <c r="AE62" s="99">
        <v>13353.6</v>
      </c>
      <c r="AF62" s="99">
        <v>8</v>
      </c>
      <c r="AG62" s="99">
        <v>13353.6</v>
      </c>
      <c r="AH62" s="99">
        <v>9</v>
      </c>
      <c r="AI62" s="99">
        <v>15022.800000000001</v>
      </c>
      <c r="AJ62" s="99">
        <v>7</v>
      </c>
      <c r="AK62" s="99">
        <v>11684.4</v>
      </c>
      <c r="AL62" s="99">
        <v>7</v>
      </c>
      <c r="AM62" s="99">
        <v>11684.4</v>
      </c>
      <c r="AN62" s="99">
        <v>10</v>
      </c>
      <c r="AO62" s="99">
        <v>16692</v>
      </c>
      <c r="AP62" s="99">
        <v>7</v>
      </c>
      <c r="AQ62" s="99">
        <v>11684.4</v>
      </c>
      <c r="AR62" s="99">
        <v>11</v>
      </c>
      <c r="AS62" s="99">
        <v>18361.2</v>
      </c>
      <c r="AT62" s="99">
        <v>6</v>
      </c>
      <c r="AU62" s="99">
        <v>10015.200000000001</v>
      </c>
      <c r="AV62" s="99">
        <v>7</v>
      </c>
      <c r="AW62" s="99">
        <v>11684.4</v>
      </c>
      <c r="AX62" s="99">
        <v>11</v>
      </c>
      <c r="AY62" s="99">
        <v>18361.2</v>
      </c>
      <c r="AZ62" s="99">
        <v>10</v>
      </c>
      <c r="BA62" s="99">
        <v>16692</v>
      </c>
      <c r="BB62" s="99">
        <v>9</v>
      </c>
      <c r="BC62" s="99">
        <v>15022.800000000001</v>
      </c>
      <c r="BD62" s="99">
        <v>11</v>
      </c>
      <c r="BE62" s="99">
        <v>18361.2</v>
      </c>
      <c r="BF62" s="99">
        <v>6</v>
      </c>
      <c r="BG62" s="99">
        <v>10015.200000000001</v>
      </c>
      <c r="BH62" s="99">
        <v>9</v>
      </c>
      <c r="BI62" s="99">
        <v>15022.800000000001</v>
      </c>
      <c r="BJ62" s="99">
        <v>8</v>
      </c>
      <c r="BK62" s="99">
        <v>13353.6</v>
      </c>
      <c r="BL62" s="99">
        <v>5</v>
      </c>
      <c r="BM62" s="99">
        <v>8346</v>
      </c>
      <c r="BN62" s="99">
        <v>9</v>
      </c>
      <c r="BO62" s="99">
        <v>15022.800000000001</v>
      </c>
      <c r="BP62" s="99">
        <v>10</v>
      </c>
      <c r="BQ62" s="99">
        <v>16692</v>
      </c>
      <c r="BR62" s="99">
        <v>9</v>
      </c>
      <c r="BS62" s="99">
        <v>15022.800000000001</v>
      </c>
      <c r="BT62" s="99">
        <v>5</v>
      </c>
      <c r="BU62" s="99">
        <v>8346</v>
      </c>
      <c r="BV62" s="99">
        <v>9</v>
      </c>
      <c r="BW62" s="99">
        <v>15022.800000000001</v>
      </c>
      <c r="BX62" s="99">
        <v>7</v>
      </c>
      <c r="BY62" s="99">
        <v>11684.4</v>
      </c>
      <c r="BZ62" s="99">
        <v>8</v>
      </c>
      <c r="CA62" s="99">
        <v>13353.6</v>
      </c>
      <c r="CB62" s="99">
        <v>11</v>
      </c>
      <c r="CC62" s="99">
        <v>18361.2</v>
      </c>
      <c r="CD62" s="99">
        <v>8</v>
      </c>
      <c r="CE62" s="99">
        <v>13353.6</v>
      </c>
      <c r="CF62" s="99">
        <v>8</v>
      </c>
      <c r="CG62" s="99">
        <v>13353.6</v>
      </c>
      <c r="CH62" s="99">
        <v>8</v>
      </c>
      <c r="CI62" s="99">
        <v>13353.6</v>
      </c>
      <c r="CJ62" s="99">
        <v>7</v>
      </c>
      <c r="CK62" s="99">
        <v>11684.4</v>
      </c>
      <c r="CL62" s="99">
        <v>8</v>
      </c>
      <c r="CM62" s="99">
        <v>13353.6</v>
      </c>
      <c r="CN62" s="99">
        <v>9</v>
      </c>
      <c r="CO62" s="99">
        <v>15022.800000000001</v>
      </c>
      <c r="CP62" s="99">
        <v>9</v>
      </c>
      <c r="CQ62" s="99">
        <v>15022.800000000001</v>
      </c>
      <c r="CR62" s="99">
        <v>6</v>
      </c>
      <c r="CS62" s="99">
        <v>10015.200000000001</v>
      </c>
      <c r="CT62" s="99">
        <v>6</v>
      </c>
      <c r="CU62" s="99">
        <v>10015.200000000001</v>
      </c>
    </row>
    <row r="63" spans="2:99">
      <c r="C63" s="98" t="s">
        <v>229</v>
      </c>
      <c r="D63" s="99">
        <v>9</v>
      </c>
      <c r="E63" s="99">
        <v>7160.4000000000005</v>
      </c>
      <c r="F63" s="99">
        <v>11</v>
      </c>
      <c r="G63" s="99">
        <v>8751.6</v>
      </c>
      <c r="H63" s="99">
        <v>7</v>
      </c>
      <c r="I63" s="99">
        <v>5569.2</v>
      </c>
      <c r="J63" s="99">
        <v>10</v>
      </c>
      <c r="K63" s="99">
        <v>7956</v>
      </c>
      <c r="L63" s="99">
        <v>10</v>
      </c>
      <c r="M63" s="99">
        <v>7956</v>
      </c>
      <c r="N63" s="99">
        <v>10</v>
      </c>
      <c r="O63" s="99">
        <v>7956</v>
      </c>
      <c r="P63" s="99">
        <v>6</v>
      </c>
      <c r="Q63" s="99">
        <v>4773.6000000000004</v>
      </c>
      <c r="R63" s="99">
        <v>7</v>
      </c>
      <c r="S63" s="99">
        <v>5569.2</v>
      </c>
      <c r="T63" s="99">
        <v>9</v>
      </c>
      <c r="U63" s="99">
        <v>7160.4000000000005</v>
      </c>
      <c r="V63" s="99">
        <v>7</v>
      </c>
      <c r="W63" s="99">
        <v>5569.2</v>
      </c>
      <c r="X63" s="99">
        <v>10</v>
      </c>
      <c r="Y63" s="99">
        <v>7956</v>
      </c>
      <c r="Z63" s="99">
        <v>10</v>
      </c>
      <c r="AA63" s="99">
        <v>7956</v>
      </c>
      <c r="AB63" s="99">
        <v>10</v>
      </c>
      <c r="AC63" s="99">
        <v>7956</v>
      </c>
      <c r="AD63" s="99">
        <v>8</v>
      </c>
      <c r="AE63" s="99">
        <v>6364.8</v>
      </c>
      <c r="AF63" s="99">
        <v>8</v>
      </c>
      <c r="AG63" s="99">
        <v>6364.8</v>
      </c>
      <c r="AH63" s="99">
        <v>10</v>
      </c>
      <c r="AI63" s="99">
        <v>7956</v>
      </c>
      <c r="AJ63" s="99">
        <v>7</v>
      </c>
      <c r="AK63" s="99">
        <v>5569.2</v>
      </c>
      <c r="AL63" s="99">
        <v>8</v>
      </c>
      <c r="AM63" s="99">
        <v>6364.8</v>
      </c>
      <c r="AN63" s="99">
        <v>11</v>
      </c>
      <c r="AO63" s="99">
        <v>8751.6</v>
      </c>
      <c r="AP63" s="99">
        <v>7</v>
      </c>
      <c r="AQ63" s="99">
        <v>5569.2</v>
      </c>
      <c r="AR63" s="99">
        <v>12</v>
      </c>
      <c r="AS63" s="99">
        <v>9547.2000000000007</v>
      </c>
      <c r="AT63" s="99">
        <v>6</v>
      </c>
      <c r="AU63" s="99">
        <v>4773.6000000000004</v>
      </c>
      <c r="AV63" s="99">
        <v>7</v>
      </c>
      <c r="AW63" s="99">
        <v>5569.2</v>
      </c>
      <c r="AX63" s="99">
        <v>10</v>
      </c>
      <c r="AY63" s="99">
        <v>7956</v>
      </c>
      <c r="AZ63" s="99">
        <v>12</v>
      </c>
      <c r="BA63" s="99">
        <v>9547.2000000000007</v>
      </c>
      <c r="BB63" s="99">
        <v>12</v>
      </c>
      <c r="BC63" s="99">
        <v>9547.2000000000007</v>
      </c>
      <c r="BD63" s="99">
        <v>12</v>
      </c>
      <c r="BE63" s="99">
        <v>9547.2000000000007</v>
      </c>
      <c r="BF63" s="99">
        <v>6</v>
      </c>
      <c r="BG63" s="99">
        <v>4773.6000000000004</v>
      </c>
      <c r="BH63" s="99">
        <v>9</v>
      </c>
      <c r="BI63" s="99">
        <v>7160.4000000000005</v>
      </c>
      <c r="BJ63" s="99">
        <v>9</v>
      </c>
      <c r="BK63" s="99">
        <v>7160.4000000000005</v>
      </c>
      <c r="BL63" s="99">
        <v>5</v>
      </c>
      <c r="BM63" s="99">
        <v>3978</v>
      </c>
      <c r="BN63" s="99">
        <v>10</v>
      </c>
      <c r="BO63" s="99">
        <v>7956</v>
      </c>
      <c r="BP63" s="99">
        <v>10</v>
      </c>
      <c r="BQ63" s="99">
        <v>7956</v>
      </c>
      <c r="BR63" s="99">
        <v>9</v>
      </c>
      <c r="BS63" s="99">
        <v>7160.4000000000005</v>
      </c>
      <c r="BT63" s="99">
        <v>6</v>
      </c>
      <c r="BU63" s="99">
        <v>4773.6000000000004</v>
      </c>
      <c r="BV63" s="99">
        <v>11</v>
      </c>
      <c r="BW63" s="99">
        <v>8751.6</v>
      </c>
      <c r="BX63" s="99">
        <v>7</v>
      </c>
      <c r="BY63" s="99">
        <v>5569.2</v>
      </c>
      <c r="BZ63" s="99">
        <v>11</v>
      </c>
      <c r="CA63" s="99">
        <v>8751.6</v>
      </c>
      <c r="CB63" s="99">
        <v>12</v>
      </c>
      <c r="CC63" s="99">
        <v>9547.2000000000007</v>
      </c>
      <c r="CD63" s="99">
        <v>8</v>
      </c>
      <c r="CE63" s="99">
        <v>6364.8</v>
      </c>
      <c r="CF63" s="99">
        <v>9</v>
      </c>
      <c r="CG63" s="99">
        <v>7160.4000000000005</v>
      </c>
      <c r="CH63" s="99">
        <v>10</v>
      </c>
      <c r="CI63" s="99">
        <v>7956</v>
      </c>
      <c r="CJ63" s="99">
        <v>6.8069391732340314</v>
      </c>
      <c r="CK63" s="99">
        <v>5415.6008062249957</v>
      </c>
      <c r="CL63" s="99">
        <v>8</v>
      </c>
      <c r="CM63" s="99">
        <v>6364.8</v>
      </c>
      <c r="CN63" s="99">
        <v>9</v>
      </c>
      <c r="CO63" s="99">
        <v>7160.4000000000005</v>
      </c>
      <c r="CP63" s="99">
        <v>10.982205797762981</v>
      </c>
      <c r="CQ63" s="99">
        <v>8737.442932700229</v>
      </c>
      <c r="CR63" s="99">
        <v>6.8119783507926002</v>
      </c>
      <c r="CS63" s="99">
        <v>5419.609975890593</v>
      </c>
      <c r="CT63" s="99">
        <v>5.4116064947063167</v>
      </c>
      <c r="CU63" s="99">
        <v>4305.4741271883458</v>
      </c>
    </row>
    <row r="64" spans="2:99">
      <c r="C64" s="98" t="s">
        <v>230</v>
      </c>
      <c r="D64" s="99">
        <v>10</v>
      </c>
      <c r="E64" s="99">
        <v>10091.999999999998</v>
      </c>
      <c r="F64" s="99">
        <v>11</v>
      </c>
      <c r="G64" s="99">
        <v>11101.199999999997</v>
      </c>
      <c r="H64" s="99">
        <v>6</v>
      </c>
      <c r="I64" s="99">
        <v>6055.1999999999989</v>
      </c>
      <c r="J64" s="99">
        <v>10</v>
      </c>
      <c r="K64" s="99">
        <v>10091.999999999998</v>
      </c>
      <c r="L64" s="99">
        <v>10</v>
      </c>
      <c r="M64" s="99">
        <v>10091.999999999998</v>
      </c>
      <c r="N64" s="99">
        <v>11</v>
      </c>
      <c r="O64" s="99">
        <v>11101.199999999997</v>
      </c>
      <c r="P64" s="99">
        <v>6</v>
      </c>
      <c r="Q64" s="99">
        <v>6055.1999999999989</v>
      </c>
      <c r="R64" s="99">
        <v>7</v>
      </c>
      <c r="S64" s="99">
        <v>7064.3999999999987</v>
      </c>
      <c r="T64" s="99">
        <v>10</v>
      </c>
      <c r="U64" s="99">
        <v>10091.999999999998</v>
      </c>
      <c r="V64" s="99">
        <v>6</v>
      </c>
      <c r="W64" s="99">
        <v>6055.1999999999989</v>
      </c>
      <c r="X64" s="99">
        <v>10</v>
      </c>
      <c r="Y64" s="99">
        <v>10091.999999999998</v>
      </c>
      <c r="Z64" s="99">
        <v>10</v>
      </c>
      <c r="AA64" s="99">
        <v>10091.999999999998</v>
      </c>
      <c r="AB64" s="99">
        <v>9</v>
      </c>
      <c r="AC64" s="99">
        <v>9082.7999999999993</v>
      </c>
      <c r="AD64" s="99">
        <v>8</v>
      </c>
      <c r="AE64" s="99">
        <v>8073.5999999999985</v>
      </c>
      <c r="AF64" s="99">
        <v>8</v>
      </c>
      <c r="AG64" s="99">
        <v>8073.5999999999985</v>
      </c>
      <c r="AH64" s="99">
        <v>10</v>
      </c>
      <c r="AI64" s="99">
        <v>10091.999999999998</v>
      </c>
      <c r="AJ64" s="99">
        <v>7</v>
      </c>
      <c r="AK64" s="99">
        <v>7064.3999999999987</v>
      </c>
      <c r="AL64" s="99">
        <v>8</v>
      </c>
      <c r="AM64" s="99">
        <v>8073.5999999999985</v>
      </c>
      <c r="AN64" s="99">
        <v>11</v>
      </c>
      <c r="AO64" s="99">
        <v>11101.199999999997</v>
      </c>
      <c r="AP64" s="99">
        <v>7</v>
      </c>
      <c r="AQ64" s="99">
        <v>7064.3999999999987</v>
      </c>
      <c r="AR64" s="99">
        <v>10</v>
      </c>
      <c r="AS64" s="99">
        <v>10091.999999999998</v>
      </c>
      <c r="AT64" s="99">
        <v>6</v>
      </c>
      <c r="AU64" s="99">
        <v>6055.1999999999989</v>
      </c>
      <c r="AV64" s="99">
        <v>7</v>
      </c>
      <c r="AW64" s="99">
        <v>7064.3999999999987</v>
      </c>
      <c r="AX64" s="99">
        <v>10</v>
      </c>
      <c r="AY64" s="99">
        <v>10091.999999999998</v>
      </c>
      <c r="AZ64" s="99">
        <v>11</v>
      </c>
      <c r="BA64" s="99">
        <v>11101.199999999997</v>
      </c>
      <c r="BB64" s="99">
        <v>11</v>
      </c>
      <c r="BC64" s="99">
        <v>11101.199999999997</v>
      </c>
      <c r="BD64" s="99">
        <v>12</v>
      </c>
      <c r="BE64" s="99">
        <v>12110.399999999998</v>
      </c>
      <c r="BF64" s="99">
        <v>6</v>
      </c>
      <c r="BG64" s="99">
        <v>6055.1999999999989</v>
      </c>
      <c r="BH64" s="99">
        <v>9</v>
      </c>
      <c r="BI64" s="99">
        <v>9082.7999999999993</v>
      </c>
      <c r="BJ64" s="99">
        <v>8</v>
      </c>
      <c r="BK64" s="99">
        <v>8073.5999999999985</v>
      </c>
      <c r="BL64" s="99">
        <v>6</v>
      </c>
      <c r="BM64" s="99">
        <v>6055.1999999999989</v>
      </c>
      <c r="BN64" s="99">
        <v>10</v>
      </c>
      <c r="BO64" s="99">
        <v>10091.999999999998</v>
      </c>
      <c r="BP64" s="99">
        <v>10</v>
      </c>
      <c r="BQ64" s="99">
        <v>10091.999999999998</v>
      </c>
      <c r="BR64" s="99">
        <v>10</v>
      </c>
      <c r="BS64" s="99">
        <v>10091.999999999998</v>
      </c>
      <c r="BT64" s="99">
        <v>6</v>
      </c>
      <c r="BU64" s="99">
        <v>6055.1999999999989</v>
      </c>
      <c r="BV64" s="99">
        <v>10</v>
      </c>
      <c r="BW64" s="99">
        <v>10091.999999999998</v>
      </c>
      <c r="BX64" s="99">
        <v>7</v>
      </c>
      <c r="BY64" s="99">
        <v>7064.3999999999987</v>
      </c>
      <c r="BZ64" s="99">
        <v>9</v>
      </c>
      <c r="CA64" s="99">
        <v>9082.7999999999993</v>
      </c>
      <c r="CB64" s="99">
        <v>12</v>
      </c>
      <c r="CC64" s="99">
        <v>12110.399999999998</v>
      </c>
      <c r="CD64" s="99">
        <v>8</v>
      </c>
      <c r="CE64" s="99">
        <v>8073.5999999999985</v>
      </c>
      <c r="CF64" s="99">
        <v>9</v>
      </c>
      <c r="CG64" s="99">
        <v>9082.7999999999993</v>
      </c>
      <c r="CH64" s="99">
        <v>9</v>
      </c>
      <c r="CI64" s="99">
        <v>9082.7999999999993</v>
      </c>
      <c r="CJ64" s="99">
        <v>6.8069391732340314</v>
      </c>
      <c r="CK64" s="99">
        <v>6869.5630136277832</v>
      </c>
      <c r="CL64" s="99">
        <v>8</v>
      </c>
      <c r="CM64" s="99">
        <v>8073.5999999999985</v>
      </c>
      <c r="CN64" s="99">
        <v>9</v>
      </c>
      <c r="CO64" s="99">
        <v>9082.7999999999993</v>
      </c>
      <c r="CP64" s="99">
        <v>9.9838234525118015</v>
      </c>
      <c r="CQ64" s="99">
        <v>10075.674628274908</v>
      </c>
      <c r="CR64" s="99">
        <v>6.8119783507926002</v>
      </c>
      <c r="CS64" s="99">
        <v>6874.6485516198909</v>
      </c>
      <c r="CT64" s="99">
        <v>5.4116064947063167</v>
      </c>
      <c r="CU64" s="99">
        <v>5461.3932744576141</v>
      </c>
    </row>
    <row r="65" spans="2:99">
      <c r="C65" s="98" t="s">
        <v>231</v>
      </c>
      <c r="D65" s="99">
        <v>10</v>
      </c>
      <c r="E65" s="99">
        <v>10260</v>
      </c>
      <c r="F65" s="99">
        <v>11</v>
      </c>
      <c r="G65" s="99">
        <v>11286</v>
      </c>
      <c r="H65" s="99">
        <v>6</v>
      </c>
      <c r="I65" s="99">
        <v>6156</v>
      </c>
      <c r="J65" s="99">
        <v>11</v>
      </c>
      <c r="K65" s="99">
        <v>11286</v>
      </c>
      <c r="L65" s="99">
        <v>12</v>
      </c>
      <c r="M65" s="99">
        <v>12312</v>
      </c>
      <c r="N65" s="99">
        <v>9</v>
      </c>
      <c r="O65" s="99">
        <v>9234</v>
      </c>
      <c r="P65" s="99">
        <v>6</v>
      </c>
      <c r="Q65" s="99">
        <v>6156</v>
      </c>
      <c r="R65" s="99">
        <v>6</v>
      </c>
      <c r="S65" s="99">
        <v>6156</v>
      </c>
      <c r="T65" s="99">
        <v>10</v>
      </c>
      <c r="U65" s="99">
        <v>10260</v>
      </c>
      <c r="V65" s="99">
        <v>6</v>
      </c>
      <c r="W65" s="99">
        <v>6156</v>
      </c>
      <c r="X65" s="99">
        <v>9</v>
      </c>
      <c r="Y65" s="99">
        <v>9234</v>
      </c>
      <c r="Z65" s="99">
        <v>9</v>
      </c>
      <c r="AA65" s="99">
        <v>9234</v>
      </c>
      <c r="AB65" s="99">
        <v>10</v>
      </c>
      <c r="AC65" s="99">
        <v>10260</v>
      </c>
      <c r="AD65" s="99">
        <v>9</v>
      </c>
      <c r="AE65" s="99">
        <v>9234</v>
      </c>
      <c r="AF65" s="99">
        <v>7</v>
      </c>
      <c r="AG65" s="99">
        <v>7182</v>
      </c>
      <c r="AH65" s="99">
        <v>10</v>
      </c>
      <c r="AI65" s="99">
        <v>10260</v>
      </c>
      <c r="AJ65" s="99">
        <v>8</v>
      </c>
      <c r="AK65" s="99">
        <v>8208</v>
      </c>
      <c r="AL65" s="99">
        <v>8</v>
      </c>
      <c r="AM65" s="99">
        <v>8208</v>
      </c>
      <c r="AN65" s="99">
        <v>11</v>
      </c>
      <c r="AO65" s="99">
        <v>11286</v>
      </c>
      <c r="AP65" s="99">
        <v>6</v>
      </c>
      <c r="AQ65" s="99">
        <v>6156</v>
      </c>
      <c r="AR65" s="99">
        <v>10</v>
      </c>
      <c r="AS65" s="99">
        <v>10260</v>
      </c>
      <c r="AT65" s="99">
        <v>6</v>
      </c>
      <c r="AU65" s="99">
        <v>6156</v>
      </c>
      <c r="AV65" s="99">
        <v>7</v>
      </c>
      <c r="AW65" s="99">
        <v>7182</v>
      </c>
      <c r="AX65" s="99">
        <v>11</v>
      </c>
      <c r="AY65" s="99">
        <v>11286</v>
      </c>
      <c r="AZ65" s="99">
        <v>10</v>
      </c>
      <c r="BA65" s="99">
        <v>10260</v>
      </c>
      <c r="BB65" s="99">
        <v>10</v>
      </c>
      <c r="BC65" s="99">
        <v>10260</v>
      </c>
      <c r="BD65" s="99">
        <v>11</v>
      </c>
      <c r="BE65" s="99">
        <v>11286</v>
      </c>
      <c r="BF65" s="99">
        <v>7</v>
      </c>
      <c r="BG65" s="99">
        <v>7182</v>
      </c>
      <c r="BH65" s="99">
        <v>9</v>
      </c>
      <c r="BI65" s="99">
        <v>9234</v>
      </c>
      <c r="BJ65" s="99">
        <v>9</v>
      </c>
      <c r="BK65" s="99">
        <v>9234</v>
      </c>
      <c r="BL65" s="99">
        <v>6</v>
      </c>
      <c r="BM65" s="99">
        <v>6156</v>
      </c>
      <c r="BN65" s="99">
        <v>9</v>
      </c>
      <c r="BO65" s="99">
        <v>9234</v>
      </c>
      <c r="BP65" s="99">
        <v>11</v>
      </c>
      <c r="BQ65" s="99">
        <v>11286</v>
      </c>
      <c r="BR65" s="99">
        <v>9</v>
      </c>
      <c r="BS65" s="99">
        <v>9234</v>
      </c>
      <c r="BT65" s="99">
        <v>6</v>
      </c>
      <c r="BU65" s="99">
        <v>6156</v>
      </c>
      <c r="BV65" s="99">
        <v>11</v>
      </c>
      <c r="BW65" s="99">
        <v>11286</v>
      </c>
      <c r="BX65" s="99">
        <v>8</v>
      </c>
      <c r="BY65" s="99">
        <v>8208</v>
      </c>
      <c r="BZ65" s="99">
        <v>9</v>
      </c>
      <c r="CA65" s="99">
        <v>9234</v>
      </c>
      <c r="CB65" s="99">
        <v>10</v>
      </c>
      <c r="CC65" s="99">
        <v>10260</v>
      </c>
      <c r="CD65" s="99">
        <v>8</v>
      </c>
      <c r="CE65" s="99">
        <v>8208</v>
      </c>
      <c r="CF65" s="99">
        <v>10</v>
      </c>
      <c r="CG65" s="99">
        <v>10260</v>
      </c>
      <c r="CH65" s="99">
        <v>9</v>
      </c>
      <c r="CI65" s="99">
        <v>9234</v>
      </c>
      <c r="CJ65" s="99">
        <v>6.8069391732340314</v>
      </c>
      <c r="CK65" s="99">
        <v>6983.9195917381167</v>
      </c>
      <c r="CL65" s="99">
        <v>9</v>
      </c>
      <c r="CM65" s="99">
        <v>9234</v>
      </c>
      <c r="CN65" s="99">
        <v>9</v>
      </c>
      <c r="CO65" s="99">
        <v>9234</v>
      </c>
      <c r="CP65" s="99">
        <v>9.9838234525118015</v>
      </c>
      <c r="CQ65" s="99">
        <v>10243.402862277107</v>
      </c>
      <c r="CR65" s="99">
        <v>6.8119783507926002</v>
      </c>
      <c r="CS65" s="99">
        <v>6989.0897879132081</v>
      </c>
      <c r="CT65" s="99">
        <v>5.4116064947063167</v>
      </c>
      <c r="CU65" s="99">
        <v>5552.3082635686806</v>
      </c>
    </row>
    <row r="66" spans="2:99">
      <c r="C66" s="98" t="s">
        <v>232</v>
      </c>
      <c r="D66" s="99">
        <v>9</v>
      </c>
      <c r="E66" s="99">
        <v>10713.599999999999</v>
      </c>
      <c r="F66" s="99">
        <v>10</v>
      </c>
      <c r="G66" s="99">
        <v>11903.999999999998</v>
      </c>
      <c r="H66" s="99">
        <v>7</v>
      </c>
      <c r="I66" s="99">
        <v>8332.7999999999993</v>
      </c>
      <c r="J66" s="99">
        <v>10</v>
      </c>
      <c r="K66" s="99">
        <v>11903.999999999998</v>
      </c>
      <c r="L66" s="99">
        <v>11</v>
      </c>
      <c r="M66" s="99">
        <v>13094.399999999998</v>
      </c>
      <c r="N66" s="99">
        <v>9</v>
      </c>
      <c r="O66" s="99">
        <v>10713.599999999999</v>
      </c>
      <c r="P66" s="99">
        <v>6</v>
      </c>
      <c r="Q66" s="99">
        <v>7142.4</v>
      </c>
      <c r="R66" s="99">
        <v>6</v>
      </c>
      <c r="S66" s="99">
        <v>7142.4</v>
      </c>
      <c r="T66" s="99">
        <v>8</v>
      </c>
      <c r="U66" s="99">
        <v>9523.1999999999989</v>
      </c>
      <c r="V66" s="99">
        <v>6</v>
      </c>
      <c r="W66" s="99">
        <v>7142.4</v>
      </c>
      <c r="X66" s="99">
        <v>8</v>
      </c>
      <c r="Y66" s="99">
        <v>9523.1999999999989</v>
      </c>
      <c r="Z66" s="99">
        <v>9</v>
      </c>
      <c r="AA66" s="99">
        <v>10713.599999999999</v>
      </c>
      <c r="AB66" s="99">
        <v>9</v>
      </c>
      <c r="AC66" s="99">
        <v>10713.599999999999</v>
      </c>
      <c r="AD66" s="99">
        <v>8</v>
      </c>
      <c r="AE66" s="99">
        <v>9523.1999999999989</v>
      </c>
      <c r="AF66" s="99">
        <v>7</v>
      </c>
      <c r="AG66" s="99">
        <v>8332.7999999999993</v>
      </c>
      <c r="AH66" s="99">
        <v>10</v>
      </c>
      <c r="AI66" s="99">
        <v>11903.999999999998</v>
      </c>
      <c r="AJ66" s="99">
        <v>8</v>
      </c>
      <c r="AK66" s="99">
        <v>9523.1999999999989</v>
      </c>
      <c r="AL66" s="99">
        <v>9</v>
      </c>
      <c r="AM66" s="99">
        <v>10713.599999999999</v>
      </c>
      <c r="AN66" s="99">
        <v>10</v>
      </c>
      <c r="AO66" s="99">
        <v>11903.999999999998</v>
      </c>
      <c r="AP66" s="99">
        <v>7</v>
      </c>
      <c r="AQ66" s="99">
        <v>8332.7999999999993</v>
      </c>
      <c r="AR66" s="99">
        <v>11</v>
      </c>
      <c r="AS66" s="99">
        <v>13094.399999999998</v>
      </c>
      <c r="AT66" s="99">
        <v>6</v>
      </c>
      <c r="AU66" s="99">
        <v>7142.4</v>
      </c>
      <c r="AV66" s="99">
        <v>7</v>
      </c>
      <c r="AW66" s="99">
        <v>8332.7999999999993</v>
      </c>
      <c r="AX66" s="99">
        <v>11</v>
      </c>
      <c r="AY66" s="99">
        <v>13094.399999999998</v>
      </c>
      <c r="AZ66" s="99">
        <v>11</v>
      </c>
      <c r="BA66" s="99">
        <v>13094.399999999998</v>
      </c>
      <c r="BB66" s="99">
        <v>10</v>
      </c>
      <c r="BC66" s="99">
        <v>11903.999999999998</v>
      </c>
      <c r="BD66" s="99">
        <v>11</v>
      </c>
      <c r="BE66" s="99">
        <v>13094.399999999998</v>
      </c>
      <c r="BF66" s="99">
        <v>7</v>
      </c>
      <c r="BG66" s="99">
        <v>8332.7999999999993</v>
      </c>
      <c r="BH66" s="99">
        <v>8</v>
      </c>
      <c r="BI66" s="99">
        <v>9523.1999999999989</v>
      </c>
      <c r="BJ66" s="99">
        <v>9</v>
      </c>
      <c r="BK66" s="99">
        <v>10713.599999999999</v>
      </c>
      <c r="BL66" s="99">
        <v>6</v>
      </c>
      <c r="BM66" s="99">
        <v>7142.4</v>
      </c>
      <c r="BN66" s="99">
        <v>10</v>
      </c>
      <c r="BO66" s="99">
        <v>11903.999999999998</v>
      </c>
      <c r="BP66" s="99">
        <v>10</v>
      </c>
      <c r="BQ66" s="99">
        <v>11903.999999999998</v>
      </c>
      <c r="BR66" s="99">
        <v>10</v>
      </c>
      <c r="BS66" s="99">
        <v>11903.999999999998</v>
      </c>
      <c r="BT66" s="99">
        <v>6</v>
      </c>
      <c r="BU66" s="99">
        <v>7142.4</v>
      </c>
      <c r="BV66" s="99">
        <v>9</v>
      </c>
      <c r="BW66" s="99">
        <v>10713.599999999999</v>
      </c>
      <c r="BX66" s="99">
        <v>7</v>
      </c>
      <c r="BY66" s="99">
        <v>8332.7999999999993</v>
      </c>
      <c r="BZ66" s="99">
        <v>9</v>
      </c>
      <c r="CA66" s="99">
        <v>10713.599999999999</v>
      </c>
      <c r="CB66" s="99">
        <v>10</v>
      </c>
      <c r="CC66" s="99">
        <v>11903.999999999998</v>
      </c>
      <c r="CD66" s="99">
        <v>7</v>
      </c>
      <c r="CE66" s="99">
        <v>8332.7999999999993</v>
      </c>
      <c r="CF66" s="99">
        <v>9</v>
      </c>
      <c r="CG66" s="99">
        <v>10713.599999999999</v>
      </c>
      <c r="CH66" s="99">
        <v>9</v>
      </c>
      <c r="CI66" s="99">
        <v>10713.599999999999</v>
      </c>
      <c r="CJ66" s="99">
        <v>6.8069391732340314</v>
      </c>
      <c r="CK66" s="99">
        <v>8102.9803918177904</v>
      </c>
      <c r="CL66" s="99">
        <v>8</v>
      </c>
      <c r="CM66" s="99">
        <v>9523.1999999999989</v>
      </c>
      <c r="CN66" s="99">
        <v>11</v>
      </c>
      <c r="CO66" s="99">
        <v>13094.399999999998</v>
      </c>
      <c r="CP66" s="99">
        <v>9.9838234525118015</v>
      </c>
      <c r="CQ66" s="99">
        <v>11884.743437870047</v>
      </c>
      <c r="CR66" s="99">
        <v>5.838838586393658</v>
      </c>
      <c r="CS66" s="99">
        <v>6950.5534532430102</v>
      </c>
      <c r="CT66" s="99">
        <v>5.4116064947063167</v>
      </c>
      <c r="CU66" s="99">
        <v>6441.9763712983986</v>
      </c>
    </row>
    <row r="67" spans="2:99">
      <c r="C67" s="98" t="s">
        <v>233</v>
      </c>
      <c r="D67" s="99">
        <v>9</v>
      </c>
      <c r="E67" s="99">
        <v>10108.800000000001</v>
      </c>
      <c r="F67" s="99">
        <v>9</v>
      </c>
      <c r="G67" s="99">
        <v>10108.800000000001</v>
      </c>
      <c r="H67" s="99">
        <v>6</v>
      </c>
      <c r="I67" s="99">
        <v>6739.2000000000007</v>
      </c>
      <c r="J67" s="99">
        <v>10</v>
      </c>
      <c r="K67" s="99">
        <v>11232</v>
      </c>
      <c r="L67" s="99">
        <v>10</v>
      </c>
      <c r="M67" s="99">
        <v>11232</v>
      </c>
      <c r="N67" s="99">
        <v>10</v>
      </c>
      <c r="O67" s="99">
        <v>11232</v>
      </c>
      <c r="P67" s="99">
        <v>6</v>
      </c>
      <c r="Q67" s="99">
        <v>6739.2000000000007</v>
      </c>
      <c r="R67" s="99">
        <v>6</v>
      </c>
      <c r="S67" s="99">
        <v>6739.2000000000007</v>
      </c>
      <c r="T67" s="99">
        <v>9</v>
      </c>
      <c r="U67" s="99">
        <v>10108.800000000001</v>
      </c>
      <c r="V67" s="99">
        <v>7</v>
      </c>
      <c r="W67" s="99">
        <v>7862.4000000000005</v>
      </c>
      <c r="X67" s="99">
        <v>9</v>
      </c>
      <c r="Y67" s="99">
        <v>10108.800000000001</v>
      </c>
      <c r="Z67" s="99">
        <v>9</v>
      </c>
      <c r="AA67" s="99">
        <v>10108.800000000001</v>
      </c>
      <c r="AB67" s="99">
        <v>9</v>
      </c>
      <c r="AC67" s="99">
        <v>10108.800000000001</v>
      </c>
      <c r="AD67" s="99">
        <v>8</v>
      </c>
      <c r="AE67" s="99">
        <v>8985.6</v>
      </c>
      <c r="AF67" s="99">
        <v>7</v>
      </c>
      <c r="AG67" s="99">
        <v>7862.4000000000005</v>
      </c>
      <c r="AH67" s="99">
        <v>11</v>
      </c>
      <c r="AI67" s="99">
        <v>12355.2</v>
      </c>
      <c r="AJ67" s="99">
        <v>7</v>
      </c>
      <c r="AK67" s="99">
        <v>7862.4000000000005</v>
      </c>
      <c r="AL67" s="99">
        <v>9</v>
      </c>
      <c r="AM67" s="99">
        <v>10108.800000000001</v>
      </c>
      <c r="AN67" s="99">
        <v>11</v>
      </c>
      <c r="AO67" s="99">
        <v>12355.2</v>
      </c>
      <c r="AP67" s="99">
        <v>7</v>
      </c>
      <c r="AQ67" s="99">
        <v>7862.4000000000005</v>
      </c>
      <c r="AR67" s="99">
        <v>12</v>
      </c>
      <c r="AS67" s="99">
        <v>13478.400000000001</v>
      </c>
      <c r="AT67" s="99">
        <v>6</v>
      </c>
      <c r="AU67" s="99">
        <v>6739.2000000000007</v>
      </c>
      <c r="AV67" s="99">
        <v>6</v>
      </c>
      <c r="AW67" s="99">
        <v>6739.2000000000007</v>
      </c>
      <c r="AX67" s="99">
        <v>11</v>
      </c>
      <c r="AY67" s="99">
        <v>12355.2</v>
      </c>
      <c r="AZ67" s="99">
        <v>10</v>
      </c>
      <c r="BA67" s="99">
        <v>11232</v>
      </c>
      <c r="BB67" s="99">
        <v>10</v>
      </c>
      <c r="BC67" s="99">
        <v>11232</v>
      </c>
      <c r="BD67" s="99">
        <v>12</v>
      </c>
      <c r="BE67" s="99">
        <v>13478.400000000001</v>
      </c>
      <c r="BF67" s="99">
        <v>7</v>
      </c>
      <c r="BG67" s="99">
        <v>7862.4000000000005</v>
      </c>
      <c r="BH67" s="99">
        <v>9</v>
      </c>
      <c r="BI67" s="99">
        <v>10108.800000000001</v>
      </c>
      <c r="BJ67" s="99">
        <v>8</v>
      </c>
      <c r="BK67" s="99">
        <v>8985.6</v>
      </c>
      <c r="BL67" s="99">
        <v>5</v>
      </c>
      <c r="BM67" s="99">
        <v>5616</v>
      </c>
      <c r="BN67" s="99">
        <v>10</v>
      </c>
      <c r="BO67" s="99">
        <v>11232</v>
      </c>
      <c r="BP67" s="99">
        <v>9</v>
      </c>
      <c r="BQ67" s="99">
        <v>10108.800000000001</v>
      </c>
      <c r="BR67" s="99">
        <v>10</v>
      </c>
      <c r="BS67" s="99">
        <v>11232</v>
      </c>
      <c r="BT67" s="99">
        <v>6</v>
      </c>
      <c r="BU67" s="99">
        <v>6739.2000000000007</v>
      </c>
      <c r="BV67" s="99">
        <v>10</v>
      </c>
      <c r="BW67" s="99">
        <v>11232</v>
      </c>
      <c r="BX67" s="99">
        <v>7</v>
      </c>
      <c r="BY67" s="99">
        <v>7862.4000000000005</v>
      </c>
      <c r="BZ67" s="99">
        <v>9</v>
      </c>
      <c r="CA67" s="99">
        <v>10108.800000000001</v>
      </c>
      <c r="CB67" s="99">
        <v>11</v>
      </c>
      <c r="CC67" s="99">
        <v>12355.2</v>
      </c>
      <c r="CD67" s="99">
        <v>7</v>
      </c>
      <c r="CE67" s="99">
        <v>7862.4000000000005</v>
      </c>
      <c r="CF67" s="99">
        <v>9</v>
      </c>
      <c r="CG67" s="99">
        <v>10108.800000000001</v>
      </c>
      <c r="CH67" s="99">
        <v>9</v>
      </c>
      <c r="CI67" s="99">
        <v>10108.800000000001</v>
      </c>
      <c r="CJ67" s="99">
        <v>6.8069391732340314</v>
      </c>
      <c r="CK67" s="99">
        <v>7645.554079376464</v>
      </c>
      <c r="CL67" s="99">
        <v>8</v>
      </c>
      <c r="CM67" s="99">
        <v>8985.6</v>
      </c>
      <c r="CN67" s="99">
        <v>10</v>
      </c>
      <c r="CO67" s="99">
        <v>11232</v>
      </c>
      <c r="CP67" s="99">
        <v>9.9838234525118015</v>
      </c>
      <c r="CQ67" s="99">
        <v>11213.830501861255</v>
      </c>
      <c r="CR67" s="99">
        <v>5.838838586393658</v>
      </c>
      <c r="CS67" s="99">
        <v>6558.1835002373573</v>
      </c>
      <c r="CT67" s="99">
        <v>5.4116064947063167</v>
      </c>
      <c r="CU67" s="99">
        <v>6078.3164148541355</v>
      </c>
    </row>
    <row r="68" spans="2:99">
      <c r="C68" s="98" t="s">
        <v>234</v>
      </c>
      <c r="D68" s="99">
        <v>8</v>
      </c>
      <c r="E68" s="99">
        <v>8265.6</v>
      </c>
      <c r="F68" s="99">
        <v>11</v>
      </c>
      <c r="G68" s="99">
        <v>11365.2</v>
      </c>
      <c r="H68" s="99">
        <v>6</v>
      </c>
      <c r="I68" s="99">
        <v>6199.2000000000007</v>
      </c>
      <c r="J68" s="99">
        <v>11</v>
      </c>
      <c r="K68" s="99">
        <v>11365.2</v>
      </c>
      <c r="L68" s="99">
        <v>11</v>
      </c>
      <c r="M68" s="99">
        <v>11365.2</v>
      </c>
      <c r="N68" s="99">
        <v>10</v>
      </c>
      <c r="O68" s="99">
        <v>10332</v>
      </c>
      <c r="P68" s="99">
        <v>6</v>
      </c>
      <c r="Q68" s="99">
        <v>6199.2000000000007</v>
      </c>
      <c r="R68" s="99">
        <v>7</v>
      </c>
      <c r="S68" s="99">
        <v>7232.4000000000005</v>
      </c>
      <c r="T68" s="99">
        <v>9</v>
      </c>
      <c r="U68" s="99">
        <v>9298.8000000000011</v>
      </c>
      <c r="V68" s="99">
        <v>6</v>
      </c>
      <c r="W68" s="99">
        <v>6199.2000000000007</v>
      </c>
      <c r="X68" s="99">
        <v>9</v>
      </c>
      <c r="Y68" s="99">
        <v>9298.8000000000011</v>
      </c>
      <c r="Z68" s="99">
        <v>9</v>
      </c>
      <c r="AA68" s="99">
        <v>9298.8000000000011</v>
      </c>
      <c r="AB68" s="99">
        <v>10</v>
      </c>
      <c r="AC68" s="99">
        <v>10332</v>
      </c>
      <c r="AD68" s="99">
        <v>8</v>
      </c>
      <c r="AE68" s="99">
        <v>8265.6</v>
      </c>
      <c r="AF68" s="99">
        <v>7</v>
      </c>
      <c r="AG68" s="99">
        <v>7232.4000000000005</v>
      </c>
      <c r="AH68" s="99">
        <v>10</v>
      </c>
      <c r="AI68" s="99">
        <v>10332</v>
      </c>
      <c r="AJ68" s="99">
        <v>7</v>
      </c>
      <c r="AK68" s="99">
        <v>7232.4000000000005</v>
      </c>
      <c r="AL68" s="99">
        <v>9</v>
      </c>
      <c r="AM68" s="99">
        <v>9298.8000000000011</v>
      </c>
      <c r="AN68" s="99">
        <v>12</v>
      </c>
      <c r="AO68" s="99">
        <v>12398.400000000001</v>
      </c>
      <c r="AP68" s="99">
        <v>7</v>
      </c>
      <c r="AQ68" s="99">
        <v>7232.4000000000005</v>
      </c>
      <c r="AR68" s="99">
        <v>12</v>
      </c>
      <c r="AS68" s="99">
        <v>12398.400000000001</v>
      </c>
      <c r="AT68" s="99">
        <v>6</v>
      </c>
      <c r="AU68" s="99">
        <v>6199.2000000000007</v>
      </c>
      <c r="AV68" s="99">
        <v>6</v>
      </c>
      <c r="AW68" s="99">
        <v>6199.2000000000007</v>
      </c>
      <c r="AX68" s="99">
        <v>10</v>
      </c>
      <c r="AY68" s="99">
        <v>10332</v>
      </c>
      <c r="AZ68" s="99">
        <v>11</v>
      </c>
      <c r="BA68" s="99">
        <v>11365.2</v>
      </c>
      <c r="BB68" s="99">
        <v>10</v>
      </c>
      <c r="BC68" s="99">
        <v>10332</v>
      </c>
      <c r="BD68" s="99">
        <v>11</v>
      </c>
      <c r="BE68" s="99">
        <v>11365.2</v>
      </c>
      <c r="BF68" s="99">
        <v>7</v>
      </c>
      <c r="BG68" s="99">
        <v>7232.4000000000005</v>
      </c>
      <c r="BH68" s="99">
        <v>10</v>
      </c>
      <c r="BI68" s="99">
        <v>10332</v>
      </c>
      <c r="BJ68" s="99">
        <v>9</v>
      </c>
      <c r="BK68" s="99">
        <v>9298.8000000000011</v>
      </c>
      <c r="BL68" s="99">
        <v>6</v>
      </c>
      <c r="BM68" s="99">
        <v>6199.2000000000007</v>
      </c>
      <c r="BN68" s="99">
        <v>9</v>
      </c>
      <c r="BO68" s="99">
        <v>9298.8000000000011</v>
      </c>
      <c r="BP68" s="99">
        <v>10</v>
      </c>
      <c r="BQ68" s="99">
        <v>10332</v>
      </c>
      <c r="BR68" s="99">
        <v>9</v>
      </c>
      <c r="BS68" s="99">
        <v>9298.8000000000011</v>
      </c>
      <c r="BT68" s="99">
        <v>6</v>
      </c>
      <c r="BU68" s="99">
        <v>6199.2000000000007</v>
      </c>
      <c r="BV68" s="99">
        <v>11</v>
      </c>
      <c r="BW68" s="99">
        <v>11365.2</v>
      </c>
      <c r="BX68" s="99">
        <v>7</v>
      </c>
      <c r="BY68" s="99">
        <v>7232.4000000000005</v>
      </c>
      <c r="BZ68" s="99">
        <v>9</v>
      </c>
      <c r="CA68" s="99">
        <v>9298.8000000000011</v>
      </c>
      <c r="CB68" s="99">
        <v>12</v>
      </c>
      <c r="CC68" s="99">
        <v>12398.400000000001</v>
      </c>
      <c r="CD68" s="99">
        <v>8</v>
      </c>
      <c r="CE68" s="99">
        <v>8265.6</v>
      </c>
      <c r="CF68" s="99">
        <v>9</v>
      </c>
      <c r="CG68" s="99">
        <v>9298.8000000000011</v>
      </c>
      <c r="CH68" s="99">
        <v>10</v>
      </c>
      <c r="CI68" s="99">
        <v>10332</v>
      </c>
      <c r="CJ68" s="99">
        <v>6.8069391732340314</v>
      </c>
      <c r="CK68" s="99">
        <v>7032.9295537854014</v>
      </c>
      <c r="CL68" s="99">
        <v>8</v>
      </c>
      <c r="CM68" s="99">
        <v>8265.6</v>
      </c>
      <c r="CN68" s="99">
        <v>10</v>
      </c>
      <c r="CO68" s="99">
        <v>10332</v>
      </c>
      <c r="CP68" s="99">
        <v>8.9854411072606197</v>
      </c>
      <c r="CQ68" s="99">
        <v>9283.7577520216728</v>
      </c>
      <c r="CR68" s="99">
        <v>6.8119783507926002</v>
      </c>
      <c r="CS68" s="99">
        <v>7038.1360320389149</v>
      </c>
      <c r="CT68" s="99">
        <v>5.4116064947063167</v>
      </c>
      <c r="CU68" s="99">
        <v>5591.2718303305664</v>
      </c>
    </row>
    <row r="69" spans="2:99">
      <c r="C69" s="98" t="s">
        <v>235</v>
      </c>
      <c r="D69" s="99">
        <v>10</v>
      </c>
      <c r="E69" s="99">
        <v>7584</v>
      </c>
      <c r="F69" s="99">
        <v>10</v>
      </c>
      <c r="G69" s="99">
        <v>7584</v>
      </c>
      <c r="H69" s="99">
        <v>7</v>
      </c>
      <c r="I69" s="99">
        <v>5308.8</v>
      </c>
      <c r="J69" s="99">
        <v>10</v>
      </c>
      <c r="K69" s="99">
        <v>7584</v>
      </c>
      <c r="L69" s="99">
        <v>10</v>
      </c>
      <c r="M69" s="99">
        <v>7584</v>
      </c>
      <c r="N69" s="99">
        <v>11</v>
      </c>
      <c r="O69" s="99">
        <v>8342.4</v>
      </c>
      <c r="P69" s="99">
        <v>7</v>
      </c>
      <c r="Q69" s="99">
        <v>5308.8</v>
      </c>
      <c r="R69" s="99">
        <v>6</v>
      </c>
      <c r="S69" s="99">
        <v>4550.3999999999996</v>
      </c>
      <c r="T69" s="99">
        <v>10</v>
      </c>
      <c r="U69" s="99">
        <v>7584</v>
      </c>
      <c r="V69" s="99">
        <v>6</v>
      </c>
      <c r="W69" s="99">
        <v>4550.3999999999996</v>
      </c>
      <c r="X69" s="99">
        <v>10</v>
      </c>
      <c r="Y69" s="99">
        <v>7584</v>
      </c>
      <c r="Z69" s="99">
        <v>11</v>
      </c>
      <c r="AA69" s="99">
        <v>8342.4</v>
      </c>
      <c r="AB69" s="99">
        <v>9</v>
      </c>
      <c r="AC69" s="99">
        <v>6825.5999999999995</v>
      </c>
      <c r="AD69" s="99">
        <v>9</v>
      </c>
      <c r="AE69" s="99">
        <v>6825.5999999999995</v>
      </c>
      <c r="AF69" s="99">
        <v>8</v>
      </c>
      <c r="AG69" s="99">
        <v>6067.2</v>
      </c>
      <c r="AH69" s="99">
        <v>10</v>
      </c>
      <c r="AI69" s="99">
        <v>7584</v>
      </c>
      <c r="AJ69" s="99">
        <v>8</v>
      </c>
      <c r="AK69" s="99">
        <v>6067.2</v>
      </c>
      <c r="AL69" s="99">
        <v>9</v>
      </c>
      <c r="AM69" s="99">
        <v>6825.5999999999995</v>
      </c>
      <c r="AN69" s="99">
        <v>12</v>
      </c>
      <c r="AO69" s="99">
        <v>9100.7999999999993</v>
      </c>
      <c r="AP69" s="99">
        <v>7</v>
      </c>
      <c r="AQ69" s="99">
        <v>5308.8</v>
      </c>
      <c r="AR69" s="99">
        <v>11</v>
      </c>
      <c r="AS69" s="99">
        <v>8342.4</v>
      </c>
      <c r="AT69" s="99">
        <v>6</v>
      </c>
      <c r="AU69" s="99">
        <v>4550.3999999999996</v>
      </c>
      <c r="AV69" s="99">
        <v>7</v>
      </c>
      <c r="AW69" s="99">
        <v>5308.8</v>
      </c>
      <c r="AX69" s="99">
        <v>11</v>
      </c>
      <c r="AY69" s="99">
        <v>8342.4</v>
      </c>
      <c r="AZ69" s="99">
        <v>10</v>
      </c>
      <c r="BA69" s="99">
        <v>7584</v>
      </c>
      <c r="BB69" s="99">
        <v>11</v>
      </c>
      <c r="BC69" s="99">
        <v>8342.4</v>
      </c>
      <c r="BD69" s="99">
        <v>12</v>
      </c>
      <c r="BE69" s="99">
        <v>9100.7999999999993</v>
      </c>
      <c r="BF69" s="99">
        <v>6</v>
      </c>
      <c r="BG69" s="99">
        <v>4550.3999999999996</v>
      </c>
      <c r="BH69" s="99">
        <v>10</v>
      </c>
      <c r="BI69" s="99">
        <v>7584</v>
      </c>
      <c r="BJ69" s="99">
        <v>8</v>
      </c>
      <c r="BK69" s="99">
        <v>6067.2</v>
      </c>
      <c r="BL69" s="99">
        <v>5</v>
      </c>
      <c r="BM69" s="99">
        <v>3792</v>
      </c>
      <c r="BN69" s="99">
        <v>9</v>
      </c>
      <c r="BO69" s="99">
        <v>6825.5999999999995</v>
      </c>
      <c r="BP69" s="99">
        <v>10</v>
      </c>
      <c r="BQ69" s="99">
        <v>7584</v>
      </c>
      <c r="BR69" s="99">
        <v>10</v>
      </c>
      <c r="BS69" s="99">
        <v>7584</v>
      </c>
      <c r="BT69" s="99">
        <v>6</v>
      </c>
      <c r="BU69" s="99">
        <v>4550.3999999999996</v>
      </c>
      <c r="BV69" s="99">
        <v>11</v>
      </c>
      <c r="BW69" s="99">
        <v>8342.4</v>
      </c>
      <c r="BX69" s="99">
        <v>8</v>
      </c>
      <c r="BY69" s="99">
        <v>6067.2</v>
      </c>
      <c r="BZ69" s="99">
        <v>10</v>
      </c>
      <c r="CA69" s="99">
        <v>7584</v>
      </c>
      <c r="CB69" s="99">
        <v>12</v>
      </c>
      <c r="CC69" s="99">
        <v>9100.7999999999993</v>
      </c>
      <c r="CD69" s="99">
        <v>7</v>
      </c>
      <c r="CE69" s="99">
        <v>5308.8</v>
      </c>
      <c r="CF69" s="99">
        <v>9</v>
      </c>
      <c r="CG69" s="99">
        <v>6825.5999999999995</v>
      </c>
      <c r="CH69" s="99">
        <v>10</v>
      </c>
      <c r="CI69" s="99">
        <v>7584</v>
      </c>
      <c r="CJ69" s="99">
        <v>6.8069391732340314</v>
      </c>
      <c r="CK69" s="99">
        <v>5162.3826689806892</v>
      </c>
      <c r="CL69" s="99">
        <v>8</v>
      </c>
      <c r="CM69" s="99">
        <v>6067.2</v>
      </c>
      <c r="CN69" s="99">
        <v>10</v>
      </c>
      <c r="CO69" s="99">
        <v>7584</v>
      </c>
      <c r="CP69" s="99">
        <v>9.9838234525118015</v>
      </c>
      <c r="CQ69" s="99">
        <v>7571.7317063849496</v>
      </c>
      <c r="CR69" s="99">
        <v>6.8119783507926002</v>
      </c>
      <c r="CS69" s="99">
        <v>5166.2043812411075</v>
      </c>
      <c r="CT69" s="99">
        <v>5.4116064947063167</v>
      </c>
      <c r="CU69" s="99">
        <v>4104.1623655852709</v>
      </c>
    </row>
    <row r="70" spans="2:99">
      <c r="C70" s="98" t="s">
        <v>236</v>
      </c>
      <c r="D70" s="99">
        <v>10</v>
      </c>
      <c r="E70" s="99">
        <v>5351.9999999999991</v>
      </c>
      <c r="F70" s="99">
        <v>11</v>
      </c>
      <c r="G70" s="99">
        <v>5887.1999999999989</v>
      </c>
      <c r="H70" s="99">
        <v>7</v>
      </c>
      <c r="I70" s="99">
        <v>3746.3999999999996</v>
      </c>
      <c r="J70" s="99">
        <v>12</v>
      </c>
      <c r="K70" s="99">
        <v>6422.4</v>
      </c>
      <c r="L70" s="99">
        <v>11</v>
      </c>
      <c r="M70" s="99">
        <v>5887.1999999999989</v>
      </c>
      <c r="N70" s="99">
        <v>11</v>
      </c>
      <c r="O70" s="99">
        <v>5887.1999999999989</v>
      </c>
      <c r="P70" s="99">
        <v>7</v>
      </c>
      <c r="Q70" s="99">
        <v>3746.3999999999996</v>
      </c>
      <c r="R70" s="99">
        <v>7</v>
      </c>
      <c r="S70" s="99">
        <v>3746.3999999999996</v>
      </c>
      <c r="T70" s="99">
        <v>10</v>
      </c>
      <c r="U70" s="99">
        <v>5351.9999999999991</v>
      </c>
      <c r="V70" s="99">
        <v>7</v>
      </c>
      <c r="W70" s="99">
        <v>3746.3999999999996</v>
      </c>
      <c r="X70" s="99">
        <v>9</v>
      </c>
      <c r="Y70" s="99">
        <v>4816.7999999999993</v>
      </c>
      <c r="Z70" s="99">
        <v>9</v>
      </c>
      <c r="AA70" s="99">
        <v>4816.7999999999993</v>
      </c>
      <c r="AB70" s="99">
        <v>10</v>
      </c>
      <c r="AC70" s="99">
        <v>5351.9999999999991</v>
      </c>
      <c r="AD70" s="99">
        <v>8</v>
      </c>
      <c r="AE70" s="99">
        <v>4281.5999999999995</v>
      </c>
      <c r="AF70" s="99">
        <v>8</v>
      </c>
      <c r="AG70" s="99">
        <v>4281.5999999999995</v>
      </c>
      <c r="AH70" s="99">
        <v>11</v>
      </c>
      <c r="AI70" s="99">
        <v>5887.1999999999989</v>
      </c>
      <c r="AJ70" s="99">
        <v>7</v>
      </c>
      <c r="AK70" s="99">
        <v>3746.3999999999996</v>
      </c>
      <c r="AL70" s="99">
        <v>9</v>
      </c>
      <c r="AM70" s="99">
        <v>4816.7999999999993</v>
      </c>
      <c r="AN70" s="99">
        <v>12</v>
      </c>
      <c r="AO70" s="99">
        <v>6422.4</v>
      </c>
      <c r="AP70" s="99">
        <v>7</v>
      </c>
      <c r="AQ70" s="99">
        <v>3746.3999999999996</v>
      </c>
      <c r="AR70" s="99">
        <v>11</v>
      </c>
      <c r="AS70" s="99">
        <v>5887.1999999999989</v>
      </c>
      <c r="AT70" s="99">
        <v>6</v>
      </c>
      <c r="AU70" s="99">
        <v>3211.2</v>
      </c>
      <c r="AV70" s="99">
        <v>8</v>
      </c>
      <c r="AW70" s="99">
        <v>4281.5999999999995</v>
      </c>
      <c r="AX70" s="99">
        <v>10</v>
      </c>
      <c r="AY70" s="99">
        <v>5351.9999999999991</v>
      </c>
      <c r="AZ70" s="99">
        <v>12</v>
      </c>
      <c r="BA70" s="99">
        <v>6422.4</v>
      </c>
      <c r="BB70" s="99">
        <v>11</v>
      </c>
      <c r="BC70" s="99">
        <v>5887.1999999999989</v>
      </c>
      <c r="BD70" s="99">
        <v>11</v>
      </c>
      <c r="BE70" s="99">
        <v>5887.1999999999989</v>
      </c>
      <c r="BF70" s="99">
        <v>7</v>
      </c>
      <c r="BG70" s="99">
        <v>3746.3999999999996</v>
      </c>
      <c r="BH70" s="99">
        <v>9</v>
      </c>
      <c r="BI70" s="99">
        <v>4816.7999999999993</v>
      </c>
      <c r="BJ70" s="99">
        <v>9</v>
      </c>
      <c r="BK70" s="99">
        <v>4816.7999999999993</v>
      </c>
      <c r="BL70" s="99">
        <v>5</v>
      </c>
      <c r="BM70" s="99">
        <v>2675.9999999999995</v>
      </c>
      <c r="BN70" s="99">
        <v>10</v>
      </c>
      <c r="BO70" s="99">
        <v>5351.9999999999991</v>
      </c>
      <c r="BP70" s="99">
        <v>10</v>
      </c>
      <c r="BQ70" s="99">
        <v>5351.9999999999991</v>
      </c>
      <c r="BR70" s="99">
        <v>10</v>
      </c>
      <c r="BS70" s="99">
        <v>5351.9999999999991</v>
      </c>
      <c r="BT70" s="99">
        <v>6</v>
      </c>
      <c r="BU70" s="99">
        <v>3211.2</v>
      </c>
      <c r="BV70" s="99">
        <v>11</v>
      </c>
      <c r="BW70" s="99">
        <v>5887.1999999999989</v>
      </c>
      <c r="BX70" s="99">
        <v>7</v>
      </c>
      <c r="BY70" s="99">
        <v>3746.3999999999996</v>
      </c>
      <c r="BZ70" s="99">
        <v>11</v>
      </c>
      <c r="CA70" s="99">
        <v>5887.1999999999989</v>
      </c>
      <c r="CB70" s="99">
        <v>10</v>
      </c>
      <c r="CC70" s="99">
        <v>5351.9999999999991</v>
      </c>
      <c r="CD70" s="99">
        <v>7</v>
      </c>
      <c r="CE70" s="99">
        <v>3746.3999999999996</v>
      </c>
      <c r="CF70" s="99">
        <v>10</v>
      </c>
      <c r="CG70" s="99">
        <v>5351.9999999999991</v>
      </c>
      <c r="CH70" s="99">
        <v>9</v>
      </c>
      <c r="CI70" s="99">
        <v>4816.7999999999993</v>
      </c>
      <c r="CJ70" s="99">
        <v>7.6578065698882858</v>
      </c>
      <c r="CK70" s="99">
        <v>4098.4580762042096</v>
      </c>
      <c r="CL70" s="99">
        <v>9</v>
      </c>
      <c r="CM70" s="99">
        <v>4816.7999999999993</v>
      </c>
      <c r="CN70" s="99">
        <v>9</v>
      </c>
      <c r="CO70" s="99">
        <v>4816.7999999999993</v>
      </c>
      <c r="CP70" s="99">
        <v>9.9838234525118015</v>
      </c>
      <c r="CQ70" s="99">
        <v>5343.3423117843158</v>
      </c>
      <c r="CR70" s="99">
        <v>6.8119783507926002</v>
      </c>
      <c r="CS70" s="99">
        <v>3645.7708133441993</v>
      </c>
      <c r="CT70" s="99">
        <v>5.4116064947063167</v>
      </c>
      <c r="CU70" s="99">
        <v>2896.2917959668202</v>
      </c>
    </row>
    <row r="71" spans="2:99">
      <c r="B71" s="98" t="s">
        <v>130</v>
      </c>
      <c r="C71" s="98" t="s">
        <v>237</v>
      </c>
      <c r="D71" s="99">
        <v>9</v>
      </c>
      <c r="E71" s="99">
        <v>5076</v>
      </c>
      <c r="F71" s="99">
        <v>6</v>
      </c>
      <c r="G71" s="99">
        <v>3384</v>
      </c>
      <c r="H71" s="99">
        <v>6</v>
      </c>
      <c r="I71" s="99">
        <v>3384</v>
      </c>
      <c r="J71" s="99">
        <v>9</v>
      </c>
      <c r="K71" s="99">
        <v>5076</v>
      </c>
      <c r="L71" s="99">
        <v>7</v>
      </c>
      <c r="M71" s="99">
        <v>3948</v>
      </c>
      <c r="N71" s="99">
        <v>7</v>
      </c>
      <c r="O71" s="99">
        <v>3948</v>
      </c>
      <c r="P71" s="99">
        <v>9</v>
      </c>
      <c r="Q71" s="99">
        <v>5076</v>
      </c>
      <c r="R71" s="99">
        <v>8</v>
      </c>
      <c r="S71" s="99">
        <v>4512</v>
      </c>
      <c r="T71" s="99">
        <v>6</v>
      </c>
      <c r="U71" s="99">
        <v>3384</v>
      </c>
      <c r="V71" s="99">
        <v>8</v>
      </c>
      <c r="W71" s="99">
        <v>4512</v>
      </c>
      <c r="X71" s="99">
        <v>9</v>
      </c>
      <c r="Y71" s="99">
        <v>5076</v>
      </c>
      <c r="Z71" s="99">
        <v>8</v>
      </c>
      <c r="AA71" s="99">
        <v>4512</v>
      </c>
      <c r="AB71" s="99">
        <v>7</v>
      </c>
      <c r="AC71" s="99">
        <v>3948</v>
      </c>
      <c r="AD71" s="99">
        <v>6</v>
      </c>
      <c r="AE71" s="99">
        <v>3384</v>
      </c>
      <c r="AF71" s="99">
        <v>7</v>
      </c>
      <c r="AG71" s="99">
        <v>3948</v>
      </c>
      <c r="AH71" s="99">
        <v>6</v>
      </c>
      <c r="AI71" s="99">
        <v>3384</v>
      </c>
      <c r="AJ71" s="99">
        <v>8</v>
      </c>
      <c r="AK71" s="99">
        <v>4512</v>
      </c>
      <c r="AL71" s="99">
        <v>8</v>
      </c>
      <c r="AM71" s="99">
        <v>4512</v>
      </c>
      <c r="AN71" s="99">
        <v>5</v>
      </c>
      <c r="AO71" s="99">
        <v>2820</v>
      </c>
      <c r="AP71" s="99">
        <v>7</v>
      </c>
      <c r="AQ71" s="99">
        <v>3948</v>
      </c>
      <c r="AR71" s="99">
        <v>9</v>
      </c>
      <c r="AS71" s="99">
        <v>5076</v>
      </c>
      <c r="AT71" s="99">
        <v>6</v>
      </c>
      <c r="AU71" s="99">
        <v>3384</v>
      </c>
      <c r="AV71" s="99">
        <v>8.3443708609271532</v>
      </c>
      <c r="AW71" s="99">
        <v>4706.2251655629143</v>
      </c>
      <c r="AX71" s="99">
        <v>0</v>
      </c>
      <c r="AY71" s="99">
        <v>0</v>
      </c>
      <c r="AZ71" s="99">
        <v>9</v>
      </c>
      <c r="BA71" s="99">
        <v>5076</v>
      </c>
      <c r="BB71" s="99">
        <v>6</v>
      </c>
      <c r="BC71" s="99">
        <v>3384</v>
      </c>
      <c r="BD71" s="99">
        <v>6</v>
      </c>
      <c r="BE71" s="99">
        <v>3384</v>
      </c>
      <c r="BF71" s="99">
        <v>7</v>
      </c>
      <c r="BG71" s="99">
        <v>3948</v>
      </c>
      <c r="BH71" s="99">
        <v>6</v>
      </c>
      <c r="BI71" s="99">
        <v>3384</v>
      </c>
      <c r="BJ71" s="99">
        <v>8</v>
      </c>
      <c r="BK71" s="99">
        <v>4512</v>
      </c>
      <c r="BL71" s="99">
        <v>6</v>
      </c>
      <c r="BM71" s="99">
        <v>3384</v>
      </c>
      <c r="BN71" s="99">
        <v>5</v>
      </c>
      <c r="BO71" s="99">
        <v>2820</v>
      </c>
      <c r="BP71" s="99">
        <v>8</v>
      </c>
      <c r="BQ71" s="99">
        <v>4512</v>
      </c>
      <c r="BR71" s="99">
        <v>6</v>
      </c>
      <c r="BS71" s="99">
        <v>3384</v>
      </c>
      <c r="BT71" s="99">
        <v>7</v>
      </c>
      <c r="BU71" s="99">
        <v>3948</v>
      </c>
      <c r="BV71" s="99">
        <v>7</v>
      </c>
      <c r="BW71" s="99">
        <v>3948</v>
      </c>
      <c r="BX71" s="99">
        <v>6</v>
      </c>
      <c r="BY71" s="99">
        <v>3384</v>
      </c>
      <c r="BZ71" s="99">
        <v>7</v>
      </c>
      <c r="CA71" s="99">
        <v>3948</v>
      </c>
      <c r="CB71" s="99">
        <v>7</v>
      </c>
      <c r="CC71" s="99">
        <v>3948</v>
      </c>
      <c r="CD71" s="99">
        <v>8</v>
      </c>
      <c r="CE71" s="99">
        <v>4512</v>
      </c>
      <c r="CF71" s="99">
        <v>7</v>
      </c>
      <c r="CG71" s="99">
        <v>3948</v>
      </c>
      <c r="CH71" s="99">
        <v>10</v>
      </c>
      <c r="CI71" s="99">
        <v>5640</v>
      </c>
      <c r="CJ71" s="99">
        <v>10</v>
      </c>
      <c r="CK71" s="99">
        <v>5640</v>
      </c>
      <c r="CL71" s="99">
        <v>7</v>
      </c>
      <c r="CM71" s="99">
        <v>3948</v>
      </c>
      <c r="CN71" s="99">
        <v>10</v>
      </c>
      <c r="CO71" s="99">
        <v>5640</v>
      </c>
      <c r="CP71" s="99">
        <v>7</v>
      </c>
      <c r="CQ71" s="99">
        <v>3948</v>
      </c>
      <c r="CR71" s="99">
        <v>10</v>
      </c>
      <c r="CS71" s="99">
        <v>5640</v>
      </c>
      <c r="CT71" s="99">
        <v>7</v>
      </c>
      <c r="CU71" s="99">
        <v>3948</v>
      </c>
    </row>
    <row r="72" spans="2:99">
      <c r="C72" s="98" t="s">
        <v>238</v>
      </c>
      <c r="D72" s="99">
        <v>8</v>
      </c>
      <c r="E72" s="99">
        <v>595.19999999999993</v>
      </c>
      <c r="F72" s="99">
        <v>7</v>
      </c>
      <c r="G72" s="99">
        <v>520.79999999999995</v>
      </c>
      <c r="H72" s="99">
        <v>6</v>
      </c>
      <c r="I72" s="99">
        <v>446.4</v>
      </c>
      <c r="J72" s="99">
        <v>9</v>
      </c>
      <c r="K72" s="99">
        <v>669.59999999999991</v>
      </c>
      <c r="L72" s="99">
        <v>7</v>
      </c>
      <c r="M72" s="99">
        <v>520.79999999999995</v>
      </c>
      <c r="N72" s="99">
        <v>8</v>
      </c>
      <c r="O72" s="99">
        <v>595.19999999999993</v>
      </c>
      <c r="P72" s="99">
        <v>9</v>
      </c>
      <c r="Q72" s="99">
        <v>669.59999999999991</v>
      </c>
      <c r="R72" s="99">
        <v>8</v>
      </c>
      <c r="S72" s="99">
        <v>595.19999999999993</v>
      </c>
      <c r="T72" s="99">
        <v>6</v>
      </c>
      <c r="U72" s="99">
        <v>446.4</v>
      </c>
      <c r="V72" s="99">
        <v>10</v>
      </c>
      <c r="W72" s="99">
        <v>743.99999999999989</v>
      </c>
      <c r="X72" s="99">
        <v>9</v>
      </c>
      <c r="Y72" s="99">
        <v>669.59999999999991</v>
      </c>
      <c r="Z72" s="99">
        <v>8</v>
      </c>
      <c r="AA72" s="99">
        <v>595.19999999999993</v>
      </c>
      <c r="AB72" s="99">
        <v>7</v>
      </c>
      <c r="AC72" s="99">
        <v>520.79999999999995</v>
      </c>
      <c r="AD72" s="99">
        <v>7</v>
      </c>
      <c r="AE72" s="99">
        <v>520.79999999999995</v>
      </c>
      <c r="AF72" s="99">
        <v>9</v>
      </c>
      <c r="AG72" s="99">
        <v>669.59999999999991</v>
      </c>
      <c r="AH72" s="99">
        <v>7</v>
      </c>
      <c r="AI72" s="99">
        <v>520.79999999999995</v>
      </c>
      <c r="AJ72" s="99">
        <v>9</v>
      </c>
      <c r="AK72" s="99">
        <v>669.59999999999991</v>
      </c>
      <c r="AL72" s="99">
        <v>9</v>
      </c>
      <c r="AM72" s="99">
        <v>669.59999999999991</v>
      </c>
      <c r="AN72" s="99">
        <v>5</v>
      </c>
      <c r="AO72" s="99">
        <v>371.99999999999994</v>
      </c>
      <c r="AP72" s="99">
        <v>6</v>
      </c>
      <c r="AQ72" s="99">
        <v>446.4</v>
      </c>
      <c r="AR72" s="99">
        <v>9</v>
      </c>
      <c r="AS72" s="99">
        <v>669.59999999999991</v>
      </c>
      <c r="AT72" s="99">
        <v>6</v>
      </c>
      <c r="AU72" s="99">
        <v>446.4</v>
      </c>
      <c r="AV72" s="99">
        <v>8.3443708609271532</v>
      </c>
      <c r="AW72" s="99">
        <v>620.82119205298011</v>
      </c>
      <c r="AX72" s="99">
        <v>0</v>
      </c>
      <c r="AY72" s="99">
        <v>0</v>
      </c>
      <c r="AZ72" s="99">
        <v>9</v>
      </c>
      <c r="BA72" s="99">
        <v>669.59999999999991</v>
      </c>
      <c r="BB72" s="99">
        <v>7</v>
      </c>
      <c r="BC72" s="99">
        <v>520.79999999999995</v>
      </c>
      <c r="BD72" s="99">
        <v>7</v>
      </c>
      <c r="BE72" s="99">
        <v>520.79999999999995</v>
      </c>
      <c r="BF72" s="99">
        <v>7</v>
      </c>
      <c r="BG72" s="99">
        <v>520.79999999999995</v>
      </c>
      <c r="BH72" s="99">
        <v>6</v>
      </c>
      <c r="BI72" s="99">
        <v>446.4</v>
      </c>
      <c r="BJ72" s="99">
        <v>7</v>
      </c>
      <c r="BK72" s="99">
        <v>520.79999999999995</v>
      </c>
      <c r="BL72" s="99">
        <v>6</v>
      </c>
      <c r="BM72" s="99">
        <v>446.4</v>
      </c>
      <c r="BN72" s="99">
        <v>6</v>
      </c>
      <c r="BO72" s="99">
        <v>446.4</v>
      </c>
      <c r="BP72" s="99">
        <v>8</v>
      </c>
      <c r="BQ72" s="99">
        <v>595.19999999999993</v>
      </c>
      <c r="BR72" s="99">
        <v>6</v>
      </c>
      <c r="BS72" s="99">
        <v>446.4</v>
      </c>
      <c r="BT72" s="99">
        <v>8</v>
      </c>
      <c r="BU72" s="99">
        <v>595.19999999999993</v>
      </c>
      <c r="BV72" s="99">
        <v>8</v>
      </c>
      <c r="BW72" s="99">
        <v>595.19999999999993</v>
      </c>
      <c r="BX72" s="99">
        <v>6</v>
      </c>
      <c r="BY72" s="99">
        <v>446.4</v>
      </c>
      <c r="BZ72" s="99">
        <v>8</v>
      </c>
      <c r="CA72" s="99">
        <v>595.19999999999993</v>
      </c>
      <c r="CB72" s="99">
        <v>7</v>
      </c>
      <c r="CC72" s="99">
        <v>520.79999999999995</v>
      </c>
      <c r="CD72" s="99">
        <v>9</v>
      </c>
      <c r="CE72" s="99">
        <v>669.59999999999991</v>
      </c>
      <c r="CF72" s="99">
        <v>7</v>
      </c>
      <c r="CG72" s="99">
        <v>520.79999999999995</v>
      </c>
      <c r="CH72" s="99">
        <v>11</v>
      </c>
      <c r="CI72" s="99">
        <v>818.39999999999986</v>
      </c>
      <c r="CJ72" s="99">
        <v>11</v>
      </c>
      <c r="CK72" s="99">
        <v>818.39999999999986</v>
      </c>
      <c r="CL72" s="99">
        <v>8</v>
      </c>
      <c r="CM72" s="99">
        <v>595.19999999999993</v>
      </c>
      <c r="CN72" s="99">
        <v>11</v>
      </c>
      <c r="CO72" s="99">
        <v>818.39999999999986</v>
      </c>
      <c r="CP72" s="99">
        <v>9</v>
      </c>
      <c r="CQ72" s="99">
        <v>669.59999999999991</v>
      </c>
      <c r="CR72" s="99">
        <v>10</v>
      </c>
      <c r="CS72" s="99">
        <v>743.99999999999989</v>
      </c>
      <c r="CT72" s="99">
        <v>7</v>
      </c>
      <c r="CU72" s="99">
        <v>520.79999999999995</v>
      </c>
    </row>
    <row r="73" spans="2:99">
      <c r="C73" s="98" t="s">
        <v>239</v>
      </c>
      <c r="D73" s="99">
        <v>8</v>
      </c>
      <c r="E73" s="99">
        <v>4473.5999999999995</v>
      </c>
      <c r="F73" s="99">
        <v>6</v>
      </c>
      <c r="G73" s="99">
        <v>3355.2</v>
      </c>
      <c r="H73" s="99">
        <v>7</v>
      </c>
      <c r="I73" s="99">
        <v>3914.3999999999996</v>
      </c>
      <c r="J73" s="99">
        <v>10</v>
      </c>
      <c r="K73" s="99">
        <v>5591.9999999999991</v>
      </c>
      <c r="L73" s="99">
        <v>8</v>
      </c>
      <c r="M73" s="99">
        <v>4473.5999999999995</v>
      </c>
      <c r="N73" s="99">
        <v>7</v>
      </c>
      <c r="O73" s="99">
        <v>3914.3999999999996</v>
      </c>
      <c r="P73" s="99">
        <v>9</v>
      </c>
      <c r="Q73" s="99">
        <v>5032.7999999999993</v>
      </c>
      <c r="R73" s="99">
        <v>7</v>
      </c>
      <c r="S73" s="99">
        <v>3914.3999999999996</v>
      </c>
      <c r="T73" s="99">
        <v>6</v>
      </c>
      <c r="U73" s="99">
        <v>3355.2</v>
      </c>
      <c r="V73" s="99">
        <v>8</v>
      </c>
      <c r="W73" s="99">
        <v>4473.5999999999995</v>
      </c>
      <c r="X73" s="99">
        <v>9</v>
      </c>
      <c r="Y73" s="99">
        <v>5032.7999999999993</v>
      </c>
      <c r="Z73" s="99">
        <v>8</v>
      </c>
      <c r="AA73" s="99">
        <v>4473.5999999999995</v>
      </c>
      <c r="AB73" s="99">
        <v>7</v>
      </c>
      <c r="AC73" s="99">
        <v>3914.3999999999996</v>
      </c>
      <c r="AD73" s="99">
        <v>7</v>
      </c>
      <c r="AE73" s="99">
        <v>3914.3999999999996</v>
      </c>
      <c r="AF73" s="99">
        <v>7</v>
      </c>
      <c r="AG73" s="99">
        <v>3914.3999999999996</v>
      </c>
      <c r="AH73" s="99">
        <v>6</v>
      </c>
      <c r="AI73" s="99">
        <v>3355.2</v>
      </c>
      <c r="AJ73" s="99">
        <v>8</v>
      </c>
      <c r="AK73" s="99">
        <v>4473.5999999999995</v>
      </c>
      <c r="AL73" s="99">
        <v>8</v>
      </c>
      <c r="AM73" s="99">
        <v>4473.5999999999995</v>
      </c>
      <c r="AN73" s="99">
        <v>5</v>
      </c>
      <c r="AO73" s="99">
        <v>2795.9999999999995</v>
      </c>
      <c r="AP73" s="99">
        <v>6</v>
      </c>
      <c r="AQ73" s="99">
        <v>3355.2</v>
      </c>
      <c r="AR73" s="99">
        <v>9</v>
      </c>
      <c r="AS73" s="99">
        <v>5032.7999999999993</v>
      </c>
      <c r="AT73" s="99">
        <v>6</v>
      </c>
      <c r="AU73" s="99">
        <v>3355.2</v>
      </c>
      <c r="AV73" s="99">
        <v>7.4172185430463591</v>
      </c>
      <c r="AW73" s="99">
        <v>4147.7086092715235</v>
      </c>
      <c r="AX73" s="99">
        <v>0</v>
      </c>
      <c r="AY73" s="99">
        <v>0</v>
      </c>
      <c r="AZ73" s="99">
        <v>8</v>
      </c>
      <c r="BA73" s="99">
        <v>4473.5999999999995</v>
      </c>
      <c r="BB73" s="99">
        <v>7</v>
      </c>
      <c r="BC73" s="99">
        <v>3914.3999999999996</v>
      </c>
      <c r="BD73" s="99">
        <v>6</v>
      </c>
      <c r="BE73" s="99">
        <v>3355.2</v>
      </c>
      <c r="BF73" s="99">
        <v>6</v>
      </c>
      <c r="BG73" s="99">
        <v>3355.2</v>
      </c>
      <c r="BH73" s="99">
        <v>5</v>
      </c>
      <c r="BI73" s="99">
        <v>2795.9999999999995</v>
      </c>
      <c r="BJ73" s="99">
        <v>7</v>
      </c>
      <c r="BK73" s="99">
        <v>3914.3999999999996</v>
      </c>
      <c r="BL73" s="99">
        <v>6</v>
      </c>
      <c r="BM73" s="99">
        <v>3355.2</v>
      </c>
      <c r="BN73" s="99">
        <v>5</v>
      </c>
      <c r="BO73" s="99">
        <v>2795.9999999999995</v>
      </c>
      <c r="BP73" s="99">
        <v>9</v>
      </c>
      <c r="BQ73" s="99">
        <v>5032.7999999999993</v>
      </c>
      <c r="BR73" s="99">
        <v>6</v>
      </c>
      <c r="BS73" s="99">
        <v>3355.2</v>
      </c>
      <c r="BT73" s="99">
        <v>8</v>
      </c>
      <c r="BU73" s="99">
        <v>4473.5999999999995</v>
      </c>
      <c r="BV73" s="99">
        <v>8</v>
      </c>
      <c r="BW73" s="99">
        <v>4473.5999999999995</v>
      </c>
      <c r="BX73" s="99">
        <v>6</v>
      </c>
      <c r="BY73" s="99">
        <v>3355.2</v>
      </c>
      <c r="BZ73" s="99">
        <v>7</v>
      </c>
      <c r="CA73" s="99">
        <v>3914.3999999999996</v>
      </c>
      <c r="CB73" s="99">
        <v>7</v>
      </c>
      <c r="CC73" s="99">
        <v>3914.3999999999996</v>
      </c>
      <c r="CD73" s="99">
        <v>9</v>
      </c>
      <c r="CE73" s="99">
        <v>5032.7999999999993</v>
      </c>
      <c r="CF73" s="99">
        <v>7</v>
      </c>
      <c r="CG73" s="99">
        <v>3914.3999999999996</v>
      </c>
      <c r="CH73" s="99">
        <v>11</v>
      </c>
      <c r="CI73" s="99">
        <v>6151.1999999999989</v>
      </c>
      <c r="CJ73" s="99">
        <v>10</v>
      </c>
      <c r="CK73" s="99">
        <v>5591.9999999999991</v>
      </c>
      <c r="CL73" s="99">
        <v>8</v>
      </c>
      <c r="CM73" s="99">
        <v>4473.5999999999995</v>
      </c>
      <c r="CN73" s="99">
        <v>9</v>
      </c>
      <c r="CO73" s="99">
        <v>5032.7999999999993</v>
      </c>
      <c r="CP73" s="99">
        <v>9</v>
      </c>
      <c r="CQ73" s="99">
        <v>5032.7999999999993</v>
      </c>
      <c r="CR73" s="99">
        <v>10</v>
      </c>
      <c r="CS73" s="99">
        <v>5591.9999999999991</v>
      </c>
      <c r="CT73" s="99">
        <v>7</v>
      </c>
      <c r="CU73" s="99">
        <v>3914.3999999999996</v>
      </c>
    </row>
    <row r="74" spans="2:99">
      <c r="C74" s="98" t="s">
        <v>240</v>
      </c>
      <c r="D74" s="99">
        <v>8</v>
      </c>
      <c r="E74" s="99">
        <v>3225.6</v>
      </c>
      <c r="F74" s="99">
        <v>6</v>
      </c>
      <c r="G74" s="99">
        <v>2419.1999999999998</v>
      </c>
      <c r="H74" s="99">
        <v>6</v>
      </c>
      <c r="I74" s="99">
        <v>2419.1999999999998</v>
      </c>
      <c r="J74" s="99">
        <v>10</v>
      </c>
      <c r="K74" s="99">
        <v>4032</v>
      </c>
      <c r="L74" s="99">
        <v>8</v>
      </c>
      <c r="M74" s="99">
        <v>3225.6</v>
      </c>
      <c r="N74" s="99">
        <v>8</v>
      </c>
      <c r="O74" s="99">
        <v>3225.6</v>
      </c>
      <c r="P74" s="99">
        <v>8</v>
      </c>
      <c r="Q74" s="99">
        <v>3225.6</v>
      </c>
      <c r="R74" s="99">
        <v>8</v>
      </c>
      <c r="S74" s="99">
        <v>3225.6</v>
      </c>
      <c r="T74" s="99">
        <v>7</v>
      </c>
      <c r="U74" s="99">
        <v>2822.4</v>
      </c>
      <c r="V74" s="99">
        <v>8</v>
      </c>
      <c r="W74" s="99">
        <v>3225.6</v>
      </c>
      <c r="X74" s="99">
        <v>10</v>
      </c>
      <c r="Y74" s="99">
        <v>4032</v>
      </c>
      <c r="Z74" s="99">
        <v>7</v>
      </c>
      <c r="AA74" s="99">
        <v>2822.4</v>
      </c>
      <c r="AB74" s="99">
        <v>7</v>
      </c>
      <c r="AC74" s="99">
        <v>2822.4</v>
      </c>
      <c r="AD74" s="99">
        <v>7</v>
      </c>
      <c r="AE74" s="99">
        <v>2822.4</v>
      </c>
      <c r="AF74" s="99">
        <v>8</v>
      </c>
      <c r="AG74" s="99">
        <v>3225.6</v>
      </c>
      <c r="AH74" s="99">
        <v>6</v>
      </c>
      <c r="AI74" s="99">
        <v>2419.1999999999998</v>
      </c>
      <c r="AJ74" s="99">
        <v>8</v>
      </c>
      <c r="AK74" s="99">
        <v>3225.6</v>
      </c>
      <c r="AL74" s="99">
        <v>9</v>
      </c>
      <c r="AM74" s="99">
        <v>3628.7999999999997</v>
      </c>
      <c r="AN74" s="99">
        <v>5</v>
      </c>
      <c r="AO74" s="99">
        <v>2016</v>
      </c>
      <c r="AP74" s="99">
        <v>7</v>
      </c>
      <c r="AQ74" s="99">
        <v>2822.4</v>
      </c>
      <c r="AR74" s="99">
        <v>10</v>
      </c>
      <c r="AS74" s="99">
        <v>4032</v>
      </c>
      <c r="AT74" s="99">
        <v>6</v>
      </c>
      <c r="AU74" s="99">
        <v>2419.1999999999998</v>
      </c>
      <c r="AV74" s="99">
        <v>8.3443708609271532</v>
      </c>
      <c r="AW74" s="99">
        <v>3364.4503311258281</v>
      </c>
      <c r="AX74" s="99">
        <v>0</v>
      </c>
      <c r="AY74" s="99">
        <v>0</v>
      </c>
      <c r="AZ74" s="99">
        <v>9</v>
      </c>
      <c r="BA74" s="99">
        <v>3628.7999999999997</v>
      </c>
      <c r="BB74" s="99">
        <v>7</v>
      </c>
      <c r="BC74" s="99">
        <v>2822.4</v>
      </c>
      <c r="BD74" s="99">
        <v>6</v>
      </c>
      <c r="BE74" s="99">
        <v>2419.1999999999998</v>
      </c>
      <c r="BF74" s="99">
        <v>7</v>
      </c>
      <c r="BG74" s="99">
        <v>2822.4</v>
      </c>
      <c r="BH74" s="99">
        <v>6</v>
      </c>
      <c r="BI74" s="99">
        <v>2419.1999999999998</v>
      </c>
      <c r="BJ74" s="99">
        <v>8</v>
      </c>
      <c r="BK74" s="99">
        <v>3225.6</v>
      </c>
      <c r="BL74" s="99">
        <v>6</v>
      </c>
      <c r="BM74" s="99">
        <v>2419.1999999999998</v>
      </c>
      <c r="BN74" s="99">
        <v>5</v>
      </c>
      <c r="BO74" s="99">
        <v>2016</v>
      </c>
      <c r="BP74" s="99">
        <v>9</v>
      </c>
      <c r="BQ74" s="99">
        <v>3628.7999999999997</v>
      </c>
      <c r="BR74" s="99">
        <v>5</v>
      </c>
      <c r="BS74" s="99">
        <v>2016</v>
      </c>
      <c r="BT74" s="99">
        <v>8</v>
      </c>
      <c r="BU74" s="99">
        <v>3225.6</v>
      </c>
      <c r="BV74" s="99">
        <v>7</v>
      </c>
      <c r="BW74" s="99">
        <v>2822.4</v>
      </c>
      <c r="BX74" s="99">
        <v>7</v>
      </c>
      <c r="BY74" s="99">
        <v>2822.4</v>
      </c>
      <c r="BZ74" s="99">
        <v>7</v>
      </c>
      <c r="CA74" s="99">
        <v>2822.4</v>
      </c>
      <c r="CB74" s="99">
        <v>8</v>
      </c>
      <c r="CC74" s="99">
        <v>3225.6</v>
      </c>
      <c r="CD74" s="99">
        <v>8</v>
      </c>
      <c r="CE74" s="99">
        <v>3225.6</v>
      </c>
      <c r="CF74" s="99">
        <v>8</v>
      </c>
      <c r="CG74" s="99">
        <v>3225.6</v>
      </c>
      <c r="CH74" s="99">
        <v>10</v>
      </c>
      <c r="CI74" s="99">
        <v>4032</v>
      </c>
      <c r="CJ74" s="99">
        <v>11</v>
      </c>
      <c r="CK74" s="99">
        <v>4435.2</v>
      </c>
      <c r="CL74" s="99">
        <v>8</v>
      </c>
      <c r="CM74" s="99">
        <v>3225.6</v>
      </c>
      <c r="CN74" s="99">
        <v>10</v>
      </c>
      <c r="CO74" s="99">
        <v>4032</v>
      </c>
      <c r="CP74" s="99">
        <v>7</v>
      </c>
      <c r="CQ74" s="99">
        <v>2822.4</v>
      </c>
      <c r="CR74" s="99">
        <v>9</v>
      </c>
      <c r="CS74" s="99">
        <v>3628.7999999999997</v>
      </c>
      <c r="CT74" s="99">
        <v>7</v>
      </c>
      <c r="CU74" s="99">
        <v>2822.4</v>
      </c>
    </row>
    <row r="75" spans="2:99">
      <c r="C75" s="98" t="s">
        <v>241</v>
      </c>
      <c r="D75" s="99">
        <v>9</v>
      </c>
      <c r="E75" s="99">
        <v>5788.7999999999993</v>
      </c>
      <c r="F75" s="99">
        <v>7</v>
      </c>
      <c r="G75" s="99">
        <v>4502.3999999999996</v>
      </c>
      <c r="H75" s="99">
        <v>7</v>
      </c>
      <c r="I75" s="99">
        <v>4502.3999999999996</v>
      </c>
      <c r="J75" s="99">
        <v>9</v>
      </c>
      <c r="K75" s="99">
        <v>5788.7999999999993</v>
      </c>
      <c r="L75" s="99">
        <v>8</v>
      </c>
      <c r="M75" s="99">
        <v>5145.5999999999995</v>
      </c>
      <c r="N75" s="99">
        <v>7</v>
      </c>
      <c r="O75" s="99">
        <v>4502.3999999999996</v>
      </c>
      <c r="P75" s="99">
        <v>8</v>
      </c>
      <c r="Q75" s="99">
        <v>5145.5999999999995</v>
      </c>
      <c r="R75" s="99">
        <v>8</v>
      </c>
      <c r="S75" s="99">
        <v>5145.5999999999995</v>
      </c>
      <c r="T75" s="99">
        <v>7</v>
      </c>
      <c r="U75" s="99">
        <v>4502.3999999999996</v>
      </c>
      <c r="V75" s="99">
        <v>9</v>
      </c>
      <c r="W75" s="99">
        <v>5788.7999999999993</v>
      </c>
      <c r="X75" s="99">
        <v>8</v>
      </c>
      <c r="Y75" s="99">
        <v>5145.5999999999995</v>
      </c>
      <c r="Z75" s="99">
        <v>7</v>
      </c>
      <c r="AA75" s="99">
        <v>4502.3999999999996</v>
      </c>
      <c r="AB75" s="99">
        <v>6</v>
      </c>
      <c r="AC75" s="99">
        <v>3859.2</v>
      </c>
      <c r="AD75" s="99">
        <v>7</v>
      </c>
      <c r="AE75" s="99">
        <v>4502.3999999999996</v>
      </c>
      <c r="AF75" s="99">
        <v>7</v>
      </c>
      <c r="AG75" s="99">
        <v>4502.3999999999996</v>
      </c>
      <c r="AH75" s="99">
        <v>6</v>
      </c>
      <c r="AI75" s="99">
        <v>3859.2</v>
      </c>
      <c r="AJ75" s="99">
        <v>8</v>
      </c>
      <c r="AK75" s="99">
        <v>5145.5999999999995</v>
      </c>
      <c r="AL75" s="99">
        <v>8</v>
      </c>
      <c r="AM75" s="99">
        <v>5145.5999999999995</v>
      </c>
      <c r="AN75" s="99">
        <v>5</v>
      </c>
      <c r="AO75" s="99">
        <v>3215.9999999999995</v>
      </c>
      <c r="AP75" s="99">
        <v>7</v>
      </c>
      <c r="AQ75" s="99">
        <v>4502.3999999999996</v>
      </c>
      <c r="AR75" s="99">
        <v>9</v>
      </c>
      <c r="AS75" s="99">
        <v>5788.7999999999993</v>
      </c>
      <c r="AT75" s="99">
        <v>6</v>
      </c>
      <c r="AU75" s="99">
        <v>3859.2</v>
      </c>
      <c r="AV75" s="99">
        <v>7.4172185430463591</v>
      </c>
      <c r="AW75" s="99">
        <v>4770.754966887418</v>
      </c>
      <c r="AX75" s="99">
        <v>0</v>
      </c>
      <c r="AY75" s="99">
        <v>0</v>
      </c>
      <c r="AZ75" s="99">
        <v>9</v>
      </c>
      <c r="BA75" s="99">
        <v>5788.7999999999993</v>
      </c>
      <c r="BB75" s="99">
        <v>7</v>
      </c>
      <c r="BC75" s="99">
        <v>4502.3999999999996</v>
      </c>
      <c r="BD75" s="99">
        <v>6</v>
      </c>
      <c r="BE75" s="99">
        <v>3859.2</v>
      </c>
      <c r="BF75" s="99">
        <v>7</v>
      </c>
      <c r="BG75" s="99">
        <v>4502.3999999999996</v>
      </c>
      <c r="BH75" s="99">
        <v>6</v>
      </c>
      <c r="BI75" s="99">
        <v>3859.2</v>
      </c>
      <c r="BJ75" s="99">
        <v>7</v>
      </c>
      <c r="BK75" s="99">
        <v>4502.3999999999996</v>
      </c>
      <c r="BL75" s="99">
        <v>6</v>
      </c>
      <c r="BM75" s="99">
        <v>3859.2</v>
      </c>
      <c r="BN75" s="99">
        <v>5</v>
      </c>
      <c r="BO75" s="99">
        <v>3215.9999999999995</v>
      </c>
      <c r="BP75" s="99">
        <v>9</v>
      </c>
      <c r="BQ75" s="99">
        <v>5788.7999999999993</v>
      </c>
      <c r="BR75" s="99">
        <v>6</v>
      </c>
      <c r="BS75" s="99">
        <v>3859.2</v>
      </c>
      <c r="BT75" s="99">
        <v>8</v>
      </c>
      <c r="BU75" s="99">
        <v>5145.5999999999995</v>
      </c>
      <c r="BV75" s="99">
        <v>8</v>
      </c>
      <c r="BW75" s="99">
        <v>5145.5999999999995</v>
      </c>
      <c r="BX75" s="99">
        <v>6</v>
      </c>
      <c r="BY75" s="99">
        <v>3859.2</v>
      </c>
      <c r="BZ75" s="99">
        <v>7</v>
      </c>
      <c r="CA75" s="99">
        <v>4502.3999999999996</v>
      </c>
      <c r="CB75" s="99">
        <v>8</v>
      </c>
      <c r="CC75" s="99">
        <v>5145.5999999999995</v>
      </c>
      <c r="CD75" s="99">
        <v>8</v>
      </c>
      <c r="CE75" s="99">
        <v>5145.5999999999995</v>
      </c>
      <c r="CF75" s="99">
        <v>8</v>
      </c>
      <c r="CG75" s="99">
        <v>5145.5999999999995</v>
      </c>
      <c r="CH75" s="99">
        <v>10</v>
      </c>
      <c r="CI75" s="99">
        <v>6431.9999999999991</v>
      </c>
      <c r="CJ75" s="99">
        <v>11</v>
      </c>
      <c r="CK75" s="99">
        <v>7075.1999999999989</v>
      </c>
      <c r="CL75" s="99">
        <v>8</v>
      </c>
      <c r="CM75" s="99">
        <v>5145.5999999999995</v>
      </c>
      <c r="CN75" s="99">
        <v>9</v>
      </c>
      <c r="CO75" s="99">
        <v>5788.7999999999993</v>
      </c>
      <c r="CP75" s="99">
        <v>7</v>
      </c>
      <c r="CQ75" s="99">
        <v>4502.3999999999996</v>
      </c>
      <c r="CR75" s="99">
        <v>9</v>
      </c>
      <c r="CS75" s="99">
        <v>5788.7999999999993</v>
      </c>
      <c r="CT75" s="99">
        <v>8</v>
      </c>
      <c r="CU75" s="99">
        <v>5145.5999999999995</v>
      </c>
    </row>
    <row r="76" spans="2:99">
      <c r="C76" s="98" t="s">
        <v>242</v>
      </c>
      <c r="D76" s="99">
        <v>8</v>
      </c>
      <c r="E76" s="99">
        <v>6230.4</v>
      </c>
      <c r="F76" s="99">
        <v>6</v>
      </c>
      <c r="G76" s="99">
        <v>4672.7999999999993</v>
      </c>
      <c r="H76" s="99">
        <v>6</v>
      </c>
      <c r="I76" s="99">
        <v>4672.7999999999993</v>
      </c>
      <c r="J76" s="99">
        <v>10</v>
      </c>
      <c r="K76" s="99">
        <v>7788</v>
      </c>
      <c r="L76" s="99">
        <v>6</v>
      </c>
      <c r="M76" s="99">
        <v>4672.7999999999993</v>
      </c>
      <c r="N76" s="99">
        <v>8</v>
      </c>
      <c r="O76" s="99">
        <v>6230.4</v>
      </c>
      <c r="P76" s="99">
        <v>9</v>
      </c>
      <c r="Q76" s="99">
        <v>7009.2</v>
      </c>
      <c r="R76" s="99">
        <v>8</v>
      </c>
      <c r="S76" s="99">
        <v>6230.4</v>
      </c>
      <c r="T76" s="99">
        <v>7</v>
      </c>
      <c r="U76" s="99">
        <v>5451.5999999999995</v>
      </c>
      <c r="V76" s="99">
        <v>9</v>
      </c>
      <c r="W76" s="99">
        <v>7009.2</v>
      </c>
      <c r="X76" s="99">
        <v>8</v>
      </c>
      <c r="Y76" s="99">
        <v>6230.4</v>
      </c>
      <c r="Z76" s="99">
        <v>8</v>
      </c>
      <c r="AA76" s="99">
        <v>6230.4</v>
      </c>
      <c r="AB76" s="99">
        <v>7</v>
      </c>
      <c r="AC76" s="99">
        <v>5451.5999999999995</v>
      </c>
      <c r="AD76" s="99">
        <v>7</v>
      </c>
      <c r="AE76" s="99">
        <v>5451.5999999999995</v>
      </c>
      <c r="AF76" s="99">
        <v>7</v>
      </c>
      <c r="AG76" s="99">
        <v>5451.5999999999995</v>
      </c>
      <c r="AH76" s="99">
        <v>6</v>
      </c>
      <c r="AI76" s="99">
        <v>4672.7999999999993</v>
      </c>
      <c r="AJ76" s="99">
        <v>8</v>
      </c>
      <c r="AK76" s="99">
        <v>6230.4</v>
      </c>
      <c r="AL76" s="99">
        <v>8</v>
      </c>
      <c r="AM76" s="99">
        <v>6230.4</v>
      </c>
      <c r="AN76" s="99">
        <v>5</v>
      </c>
      <c r="AO76" s="99">
        <v>3894</v>
      </c>
      <c r="AP76" s="99">
        <v>6</v>
      </c>
      <c r="AQ76" s="99">
        <v>4672.7999999999993</v>
      </c>
      <c r="AR76" s="99">
        <v>10</v>
      </c>
      <c r="AS76" s="99">
        <v>7788</v>
      </c>
      <c r="AT76" s="99">
        <v>6</v>
      </c>
      <c r="AU76" s="99">
        <v>4672.7999999999993</v>
      </c>
      <c r="AV76" s="99">
        <v>8.3443708609271532</v>
      </c>
      <c r="AW76" s="99">
        <v>6498.5960264900668</v>
      </c>
      <c r="AX76" s="99">
        <v>0</v>
      </c>
      <c r="AY76" s="99">
        <v>0</v>
      </c>
      <c r="AZ76" s="99">
        <v>9</v>
      </c>
      <c r="BA76" s="99">
        <v>7009.2</v>
      </c>
      <c r="BB76" s="99">
        <v>6</v>
      </c>
      <c r="BC76" s="99">
        <v>4672.7999999999993</v>
      </c>
      <c r="BD76" s="99">
        <v>6</v>
      </c>
      <c r="BE76" s="99">
        <v>4672.7999999999993</v>
      </c>
      <c r="BF76" s="99">
        <v>7</v>
      </c>
      <c r="BG76" s="99">
        <v>5451.5999999999995</v>
      </c>
      <c r="BH76" s="99">
        <v>6</v>
      </c>
      <c r="BI76" s="99">
        <v>4672.7999999999993</v>
      </c>
      <c r="BJ76" s="99">
        <v>8</v>
      </c>
      <c r="BK76" s="99">
        <v>6230.4</v>
      </c>
      <c r="BL76" s="99">
        <v>6</v>
      </c>
      <c r="BM76" s="99">
        <v>4672.7999999999993</v>
      </c>
      <c r="BN76" s="99">
        <v>5</v>
      </c>
      <c r="BO76" s="99">
        <v>3894</v>
      </c>
      <c r="BP76" s="99">
        <v>8</v>
      </c>
      <c r="BQ76" s="99">
        <v>6230.4</v>
      </c>
      <c r="BR76" s="99">
        <v>5</v>
      </c>
      <c r="BS76" s="99">
        <v>3894</v>
      </c>
      <c r="BT76" s="99">
        <v>7</v>
      </c>
      <c r="BU76" s="99">
        <v>5451.5999999999995</v>
      </c>
      <c r="BV76" s="99">
        <v>7</v>
      </c>
      <c r="BW76" s="99">
        <v>5451.5999999999995</v>
      </c>
      <c r="BX76" s="99">
        <v>6</v>
      </c>
      <c r="BY76" s="99">
        <v>4672.7999999999993</v>
      </c>
      <c r="BZ76" s="99">
        <v>7</v>
      </c>
      <c r="CA76" s="99">
        <v>5451.5999999999995</v>
      </c>
      <c r="CB76" s="99">
        <v>7</v>
      </c>
      <c r="CC76" s="99">
        <v>5451.5999999999995</v>
      </c>
      <c r="CD76" s="99">
        <v>9</v>
      </c>
      <c r="CE76" s="99">
        <v>7009.2</v>
      </c>
      <c r="CF76" s="99">
        <v>7</v>
      </c>
      <c r="CG76" s="99">
        <v>5451.5999999999995</v>
      </c>
      <c r="CH76" s="99">
        <v>9</v>
      </c>
      <c r="CI76" s="99">
        <v>7009.2</v>
      </c>
      <c r="CJ76" s="99">
        <v>11</v>
      </c>
      <c r="CK76" s="99">
        <v>8566.7999999999993</v>
      </c>
      <c r="CL76" s="99">
        <v>7</v>
      </c>
      <c r="CM76" s="99">
        <v>5451.5999999999995</v>
      </c>
      <c r="CN76" s="99">
        <v>10</v>
      </c>
      <c r="CO76" s="99">
        <v>7788</v>
      </c>
      <c r="CP76" s="99">
        <v>7</v>
      </c>
      <c r="CQ76" s="99">
        <v>5451.5999999999995</v>
      </c>
      <c r="CR76" s="99">
        <v>10</v>
      </c>
      <c r="CS76" s="99">
        <v>7788</v>
      </c>
      <c r="CT76" s="99">
        <v>7</v>
      </c>
      <c r="CU76" s="99">
        <v>5451.5999999999995</v>
      </c>
    </row>
    <row r="77" spans="2:99">
      <c r="C77" s="98" t="s">
        <v>243</v>
      </c>
      <c r="D77" s="99">
        <v>9</v>
      </c>
      <c r="E77" s="99">
        <v>2505.6</v>
      </c>
      <c r="F77" s="99">
        <v>6</v>
      </c>
      <c r="G77" s="99">
        <v>1670.3999999999999</v>
      </c>
      <c r="H77" s="99">
        <v>7</v>
      </c>
      <c r="I77" s="99">
        <v>1948.7999999999997</v>
      </c>
      <c r="J77" s="99">
        <v>10</v>
      </c>
      <c r="K77" s="99">
        <v>2784</v>
      </c>
      <c r="L77" s="99">
        <v>7</v>
      </c>
      <c r="M77" s="99">
        <v>1948.7999999999997</v>
      </c>
      <c r="N77" s="99">
        <v>7</v>
      </c>
      <c r="O77" s="99">
        <v>1948.7999999999997</v>
      </c>
      <c r="P77" s="99">
        <v>10</v>
      </c>
      <c r="Q77" s="99">
        <v>2784</v>
      </c>
      <c r="R77" s="99">
        <v>7</v>
      </c>
      <c r="S77" s="99">
        <v>1948.7999999999997</v>
      </c>
      <c r="T77" s="99">
        <v>6</v>
      </c>
      <c r="U77" s="99">
        <v>1670.3999999999999</v>
      </c>
      <c r="V77" s="99">
        <v>9</v>
      </c>
      <c r="W77" s="99">
        <v>2505.6</v>
      </c>
      <c r="X77" s="99">
        <v>9</v>
      </c>
      <c r="Y77" s="99">
        <v>2505.6</v>
      </c>
      <c r="Z77" s="99">
        <v>7</v>
      </c>
      <c r="AA77" s="99">
        <v>1948.7999999999997</v>
      </c>
      <c r="AB77" s="99">
        <v>7</v>
      </c>
      <c r="AC77" s="99">
        <v>1948.7999999999997</v>
      </c>
      <c r="AD77" s="99">
        <v>7</v>
      </c>
      <c r="AE77" s="99">
        <v>1948.7999999999997</v>
      </c>
      <c r="AF77" s="99">
        <v>8</v>
      </c>
      <c r="AG77" s="99">
        <v>2227.1999999999998</v>
      </c>
      <c r="AH77" s="99">
        <v>6</v>
      </c>
      <c r="AI77" s="99">
        <v>1670.3999999999999</v>
      </c>
      <c r="AJ77" s="99">
        <v>9</v>
      </c>
      <c r="AK77" s="99">
        <v>2505.6</v>
      </c>
      <c r="AL77" s="99">
        <v>9</v>
      </c>
      <c r="AM77" s="99">
        <v>2505.6</v>
      </c>
      <c r="AN77" s="99">
        <v>5</v>
      </c>
      <c r="AO77" s="99">
        <v>1392</v>
      </c>
      <c r="AP77" s="99">
        <v>6</v>
      </c>
      <c r="AQ77" s="99">
        <v>1670.3999999999999</v>
      </c>
      <c r="AR77" s="99">
        <v>10</v>
      </c>
      <c r="AS77" s="99">
        <v>2784</v>
      </c>
      <c r="AT77" s="99">
        <v>6</v>
      </c>
      <c r="AU77" s="99">
        <v>1670.3999999999999</v>
      </c>
      <c r="AV77" s="99">
        <v>8.3443708609271532</v>
      </c>
      <c r="AW77" s="99">
        <v>2323.0728476821191</v>
      </c>
      <c r="AX77" s="99">
        <v>0</v>
      </c>
      <c r="AY77" s="99">
        <v>0</v>
      </c>
      <c r="AZ77" s="99">
        <v>9</v>
      </c>
      <c r="BA77" s="99">
        <v>2505.6</v>
      </c>
      <c r="BB77" s="99">
        <v>8</v>
      </c>
      <c r="BC77" s="99">
        <v>2227.1999999999998</v>
      </c>
      <c r="BD77" s="99">
        <v>6</v>
      </c>
      <c r="BE77" s="99">
        <v>1670.3999999999999</v>
      </c>
      <c r="BF77" s="99">
        <v>6</v>
      </c>
      <c r="BG77" s="99">
        <v>1670.3999999999999</v>
      </c>
      <c r="BH77" s="99">
        <v>6</v>
      </c>
      <c r="BI77" s="99">
        <v>1670.3999999999999</v>
      </c>
      <c r="BJ77" s="99">
        <v>7</v>
      </c>
      <c r="BK77" s="99">
        <v>1948.7999999999997</v>
      </c>
      <c r="BL77" s="99">
        <v>6</v>
      </c>
      <c r="BM77" s="99">
        <v>1670.3999999999999</v>
      </c>
      <c r="BN77" s="99">
        <v>5</v>
      </c>
      <c r="BO77" s="99">
        <v>1392</v>
      </c>
      <c r="BP77" s="99">
        <v>8</v>
      </c>
      <c r="BQ77" s="99">
        <v>2227.1999999999998</v>
      </c>
      <c r="BR77" s="99">
        <v>6</v>
      </c>
      <c r="BS77" s="99">
        <v>1670.3999999999999</v>
      </c>
      <c r="BT77" s="99">
        <v>7</v>
      </c>
      <c r="BU77" s="99">
        <v>1948.7999999999997</v>
      </c>
      <c r="BV77" s="99">
        <v>8</v>
      </c>
      <c r="BW77" s="99">
        <v>2227.1999999999998</v>
      </c>
      <c r="BX77" s="99">
        <v>6</v>
      </c>
      <c r="BY77" s="99">
        <v>1670.3999999999999</v>
      </c>
      <c r="BZ77" s="99">
        <v>8</v>
      </c>
      <c r="CA77" s="99">
        <v>2227.1999999999998</v>
      </c>
      <c r="CB77" s="99">
        <v>7</v>
      </c>
      <c r="CC77" s="99">
        <v>1948.7999999999997</v>
      </c>
      <c r="CD77" s="99">
        <v>9</v>
      </c>
      <c r="CE77" s="99">
        <v>2505.6</v>
      </c>
      <c r="CF77" s="99">
        <v>7</v>
      </c>
      <c r="CG77" s="99">
        <v>1948.7999999999997</v>
      </c>
      <c r="CH77" s="99">
        <v>11</v>
      </c>
      <c r="CI77" s="99">
        <v>3062.3999999999996</v>
      </c>
      <c r="CJ77" s="99">
        <v>11</v>
      </c>
      <c r="CK77" s="99">
        <v>3062.3999999999996</v>
      </c>
      <c r="CL77" s="99">
        <v>8</v>
      </c>
      <c r="CM77" s="99">
        <v>2227.1999999999998</v>
      </c>
      <c r="CN77" s="99">
        <v>10</v>
      </c>
      <c r="CO77" s="99">
        <v>2784</v>
      </c>
      <c r="CP77" s="99">
        <v>8</v>
      </c>
      <c r="CQ77" s="99">
        <v>2227.1999999999998</v>
      </c>
      <c r="CR77" s="99">
        <v>10</v>
      </c>
      <c r="CS77" s="99">
        <v>2784</v>
      </c>
      <c r="CT77" s="99">
        <v>8</v>
      </c>
      <c r="CU77" s="99">
        <v>2227.1999999999998</v>
      </c>
    </row>
    <row r="78" spans="2:99">
      <c r="C78" s="98" t="s">
        <v>244</v>
      </c>
      <c r="D78" s="99">
        <v>8</v>
      </c>
      <c r="E78" s="99">
        <v>4416</v>
      </c>
      <c r="F78" s="99">
        <v>6</v>
      </c>
      <c r="G78" s="99">
        <v>3312</v>
      </c>
      <c r="H78" s="99">
        <v>6</v>
      </c>
      <c r="I78" s="99">
        <v>3312</v>
      </c>
      <c r="J78" s="99">
        <v>10</v>
      </c>
      <c r="K78" s="99">
        <v>5520</v>
      </c>
      <c r="L78" s="99">
        <v>8</v>
      </c>
      <c r="M78" s="99">
        <v>4416</v>
      </c>
      <c r="N78" s="99">
        <v>8</v>
      </c>
      <c r="O78" s="99">
        <v>4416</v>
      </c>
      <c r="P78" s="99">
        <v>8</v>
      </c>
      <c r="Q78" s="99">
        <v>4416</v>
      </c>
      <c r="R78" s="99">
        <v>7</v>
      </c>
      <c r="S78" s="99">
        <v>3864</v>
      </c>
      <c r="T78" s="99">
        <v>6</v>
      </c>
      <c r="U78" s="99">
        <v>3312</v>
      </c>
      <c r="V78" s="99">
        <v>9</v>
      </c>
      <c r="W78" s="99">
        <v>4968</v>
      </c>
      <c r="X78" s="99">
        <v>9</v>
      </c>
      <c r="Y78" s="99">
        <v>4968</v>
      </c>
      <c r="Z78" s="99">
        <v>7</v>
      </c>
      <c r="AA78" s="99">
        <v>3864</v>
      </c>
      <c r="AB78" s="99">
        <v>6</v>
      </c>
      <c r="AC78" s="99">
        <v>3312</v>
      </c>
      <c r="AD78" s="99">
        <v>6</v>
      </c>
      <c r="AE78" s="99">
        <v>3312</v>
      </c>
      <c r="AF78" s="99">
        <v>8</v>
      </c>
      <c r="AG78" s="99">
        <v>4416</v>
      </c>
      <c r="AH78" s="99">
        <v>6</v>
      </c>
      <c r="AI78" s="99">
        <v>3312</v>
      </c>
      <c r="AJ78" s="99">
        <v>7</v>
      </c>
      <c r="AK78" s="99">
        <v>3864</v>
      </c>
      <c r="AL78" s="99">
        <v>8</v>
      </c>
      <c r="AM78" s="99">
        <v>4416</v>
      </c>
      <c r="AN78" s="99">
        <v>5</v>
      </c>
      <c r="AO78" s="99">
        <v>2760</v>
      </c>
      <c r="AP78" s="99">
        <v>7</v>
      </c>
      <c r="AQ78" s="99">
        <v>3864</v>
      </c>
      <c r="AR78" s="99">
        <v>9</v>
      </c>
      <c r="AS78" s="99">
        <v>4968</v>
      </c>
      <c r="AT78" s="99">
        <v>6</v>
      </c>
      <c r="AU78" s="99">
        <v>3312</v>
      </c>
      <c r="AV78" s="99">
        <v>7.4172185430463591</v>
      </c>
      <c r="AW78" s="99">
        <v>4094.3046357615904</v>
      </c>
      <c r="AX78" s="99">
        <v>0</v>
      </c>
      <c r="AY78" s="99">
        <v>0</v>
      </c>
      <c r="AZ78" s="99">
        <v>10</v>
      </c>
      <c r="BA78" s="99">
        <v>5520</v>
      </c>
      <c r="BB78" s="99">
        <v>7</v>
      </c>
      <c r="BC78" s="99">
        <v>3864</v>
      </c>
      <c r="BD78" s="99">
        <v>6</v>
      </c>
      <c r="BE78" s="99">
        <v>3312</v>
      </c>
      <c r="BF78" s="99">
        <v>6</v>
      </c>
      <c r="BG78" s="99">
        <v>3312</v>
      </c>
      <c r="BH78" s="99">
        <v>6</v>
      </c>
      <c r="BI78" s="99">
        <v>3312</v>
      </c>
      <c r="BJ78" s="99">
        <v>8</v>
      </c>
      <c r="BK78" s="99">
        <v>4416</v>
      </c>
      <c r="BL78" s="99">
        <v>6</v>
      </c>
      <c r="BM78" s="99">
        <v>3312</v>
      </c>
      <c r="BN78" s="99">
        <v>5</v>
      </c>
      <c r="BO78" s="99">
        <v>2760</v>
      </c>
      <c r="BP78" s="99">
        <v>9</v>
      </c>
      <c r="BQ78" s="99">
        <v>4968</v>
      </c>
      <c r="BR78" s="99">
        <v>6</v>
      </c>
      <c r="BS78" s="99">
        <v>3312</v>
      </c>
      <c r="BT78" s="99">
        <v>8</v>
      </c>
      <c r="BU78" s="99">
        <v>4416</v>
      </c>
      <c r="BV78" s="99">
        <v>8</v>
      </c>
      <c r="BW78" s="99">
        <v>4416</v>
      </c>
      <c r="BX78" s="99">
        <v>6</v>
      </c>
      <c r="BY78" s="99">
        <v>3312</v>
      </c>
      <c r="BZ78" s="99">
        <v>7</v>
      </c>
      <c r="CA78" s="99">
        <v>3864</v>
      </c>
      <c r="CB78" s="99">
        <v>8</v>
      </c>
      <c r="CC78" s="99">
        <v>4416</v>
      </c>
      <c r="CD78" s="99">
        <v>9</v>
      </c>
      <c r="CE78" s="99">
        <v>4968</v>
      </c>
      <c r="CF78" s="99">
        <v>8</v>
      </c>
      <c r="CG78" s="99">
        <v>4416</v>
      </c>
      <c r="CH78" s="99">
        <v>11</v>
      </c>
      <c r="CI78" s="99">
        <v>6072</v>
      </c>
      <c r="CJ78" s="99">
        <v>10</v>
      </c>
      <c r="CK78" s="99">
        <v>5520</v>
      </c>
      <c r="CL78" s="99">
        <v>8</v>
      </c>
      <c r="CM78" s="99">
        <v>4416</v>
      </c>
      <c r="CN78" s="99">
        <v>10</v>
      </c>
      <c r="CO78" s="99">
        <v>5520</v>
      </c>
      <c r="CP78" s="99">
        <v>8</v>
      </c>
      <c r="CQ78" s="99">
        <v>4416</v>
      </c>
      <c r="CR78" s="99">
        <v>10</v>
      </c>
      <c r="CS78" s="99">
        <v>5520</v>
      </c>
      <c r="CT78" s="99">
        <v>7</v>
      </c>
      <c r="CU78" s="99">
        <v>3864</v>
      </c>
    </row>
    <row r="79" spans="2:99">
      <c r="C79" s="98" t="s">
        <v>245</v>
      </c>
      <c r="D79" s="99">
        <v>8</v>
      </c>
      <c r="E79" s="99">
        <v>6057.5999999999995</v>
      </c>
      <c r="F79" s="99">
        <v>6</v>
      </c>
      <c r="G79" s="99">
        <v>4543.2</v>
      </c>
      <c r="H79" s="99">
        <v>6</v>
      </c>
      <c r="I79" s="99">
        <v>4543.2</v>
      </c>
      <c r="J79" s="99">
        <v>10</v>
      </c>
      <c r="K79" s="99">
        <v>7571.9999999999991</v>
      </c>
      <c r="L79" s="99">
        <v>8</v>
      </c>
      <c r="M79" s="99">
        <v>6057.5999999999995</v>
      </c>
      <c r="N79" s="99">
        <v>8</v>
      </c>
      <c r="O79" s="99">
        <v>6057.5999999999995</v>
      </c>
      <c r="P79" s="99">
        <v>8</v>
      </c>
      <c r="Q79" s="99">
        <v>6057.5999999999995</v>
      </c>
      <c r="R79" s="99">
        <v>7</v>
      </c>
      <c r="S79" s="99">
        <v>5300.4</v>
      </c>
      <c r="T79" s="99">
        <v>7</v>
      </c>
      <c r="U79" s="99">
        <v>5300.4</v>
      </c>
      <c r="V79" s="99">
        <v>8</v>
      </c>
      <c r="W79" s="99">
        <v>6057.5999999999995</v>
      </c>
      <c r="X79" s="99">
        <v>9</v>
      </c>
      <c r="Y79" s="99">
        <v>6814.7999999999993</v>
      </c>
      <c r="Z79" s="99">
        <v>7</v>
      </c>
      <c r="AA79" s="99">
        <v>5300.4</v>
      </c>
      <c r="AB79" s="99">
        <v>7</v>
      </c>
      <c r="AC79" s="99">
        <v>5300.4</v>
      </c>
      <c r="AD79" s="99">
        <v>6</v>
      </c>
      <c r="AE79" s="99">
        <v>4543.2</v>
      </c>
      <c r="AF79" s="99">
        <v>7</v>
      </c>
      <c r="AG79" s="99">
        <v>5300.4</v>
      </c>
      <c r="AH79" s="99">
        <v>6</v>
      </c>
      <c r="AI79" s="99">
        <v>4543.2</v>
      </c>
      <c r="AJ79" s="99">
        <v>7</v>
      </c>
      <c r="AK79" s="99">
        <v>5300.4</v>
      </c>
      <c r="AL79" s="99">
        <v>8</v>
      </c>
      <c r="AM79" s="99">
        <v>6057.5999999999995</v>
      </c>
      <c r="AN79" s="99">
        <v>4</v>
      </c>
      <c r="AO79" s="99">
        <v>3028.7999999999997</v>
      </c>
      <c r="AP79" s="99">
        <v>6</v>
      </c>
      <c r="AQ79" s="99">
        <v>4543.2</v>
      </c>
      <c r="AR79" s="99">
        <v>9</v>
      </c>
      <c r="AS79" s="99">
        <v>6814.7999999999993</v>
      </c>
      <c r="AT79" s="99">
        <v>6</v>
      </c>
      <c r="AU79" s="99">
        <v>4543.2</v>
      </c>
      <c r="AV79" s="99">
        <v>7.4172185430463591</v>
      </c>
      <c r="AW79" s="99">
        <v>5616.3178807947024</v>
      </c>
      <c r="AX79" s="99">
        <v>0</v>
      </c>
      <c r="AY79" s="99">
        <v>0</v>
      </c>
      <c r="AZ79" s="99">
        <v>8</v>
      </c>
      <c r="BA79" s="99">
        <v>6057.5999999999995</v>
      </c>
      <c r="BB79" s="99">
        <v>6</v>
      </c>
      <c r="BC79" s="99">
        <v>4543.2</v>
      </c>
      <c r="BD79" s="99">
        <v>6</v>
      </c>
      <c r="BE79" s="99">
        <v>4543.2</v>
      </c>
      <c r="BF79" s="99">
        <v>7</v>
      </c>
      <c r="BG79" s="99">
        <v>5300.4</v>
      </c>
      <c r="BH79" s="99">
        <v>6</v>
      </c>
      <c r="BI79" s="99">
        <v>4543.2</v>
      </c>
      <c r="BJ79" s="99">
        <v>8</v>
      </c>
      <c r="BK79" s="99">
        <v>6057.5999999999995</v>
      </c>
      <c r="BL79" s="99">
        <v>6</v>
      </c>
      <c r="BM79" s="99">
        <v>4543.2</v>
      </c>
      <c r="BN79" s="99">
        <v>5</v>
      </c>
      <c r="BO79" s="99">
        <v>3785.9999999999995</v>
      </c>
      <c r="BP79" s="99">
        <v>9</v>
      </c>
      <c r="BQ79" s="99">
        <v>6814.7999999999993</v>
      </c>
      <c r="BR79" s="99">
        <v>5</v>
      </c>
      <c r="BS79" s="99">
        <v>3785.9999999999995</v>
      </c>
      <c r="BT79" s="99">
        <v>6</v>
      </c>
      <c r="BU79" s="99">
        <v>4543.2</v>
      </c>
      <c r="BV79" s="99">
        <v>7</v>
      </c>
      <c r="BW79" s="99">
        <v>5300.4</v>
      </c>
      <c r="BX79" s="99">
        <v>6</v>
      </c>
      <c r="BY79" s="99">
        <v>4543.2</v>
      </c>
      <c r="BZ79" s="99">
        <v>7</v>
      </c>
      <c r="CA79" s="99">
        <v>5300.4</v>
      </c>
      <c r="CB79" s="99">
        <v>7</v>
      </c>
      <c r="CC79" s="99">
        <v>5300.4</v>
      </c>
      <c r="CD79" s="99">
        <v>8</v>
      </c>
      <c r="CE79" s="99">
        <v>6057.5999999999995</v>
      </c>
      <c r="CF79" s="99">
        <v>7</v>
      </c>
      <c r="CG79" s="99">
        <v>5300.4</v>
      </c>
      <c r="CH79" s="99">
        <v>10</v>
      </c>
      <c r="CI79" s="99">
        <v>7571.9999999999991</v>
      </c>
      <c r="CJ79" s="99">
        <v>10</v>
      </c>
      <c r="CK79" s="99">
        <v>7571.9999999999991</v>
      </c>
      <c r="CL79" s="99">
        <v>7</v>
      </c>
      <c r="CM79" s="99">
        <v>5300.4</v>
      </c>
      <c r="CN79" s="99">
        <v>10</v>
      </c>
      <c r="CO79" s="99">
        <v>7571.9999999999991</v>
      </c>
      <c r="CP79" s="99">
        <v>8</v>
      </c>
      <c r="CQ79" s="99">
        <v>6057.5999999999995</v>
      </c>
      <c r="CR79" s="99">
        <v>9</v>
      </c>
      <c r="CS79" s="99">
        <v>6814.7999999999993</v>
      </c>
      <c r="CT79" s="99">
        <v>7</v>
      </c>
      <c r="CU79" s="99">
        <v>5300.4</v>
      </c>
    </row>
    <row r="80" spans="2:99">
      <c r="C80" s="98" t="s">
        <v>246</v>
      </c>
      <c r="D80" s="99">
        <v>9</v>
      </c>
      <c r="E80" s="99">
        <v>7246.7999999999993</v>
      </c>
      <c r="F80" s="99">
        <v>6</v>
      </c>
      <c r="G80" s="99">
        <v>4831.2</v>
      </c>
      <c r="H80" s="99">
        <v>7</v>
      </c>
      <c r="I80" s="99">
        <v>5636.4</v>
      </c>
      <c r="J80" s="99">
        <v>10</v>
      </c>
      <c r="K80" s="99">
        <v>8051.9999999999991</v>
      </c>
      <c r="L80" s="99">
        <v>7</v>
      </c>
      <c r="M80" s="99">
        <v>5636.4</v>
      </c>
      <c r="N80" s="99">
        <v>7</v>
      </c>
      <c r="O80" s="99">
        <v>5636.4</v>
      </c>
      <c r="P80" s="99">
        <v>8</v>
      </c>
      <c r="Q80" s="99">
        <v>6441.5999999999995</v>
      </c>
      <c r="R80" s="99">
        <v>7</v>
      </c>
      <c r="S80" s="99">
        <v>5636.4</v>
      </c>
      <c r="T80" s="99">
        <v>6</v>
      </c>
      <c r="U80" s="99">
        <v>4831.2</v>
      </c>
      <c r="V80" s="99">
        <v>8</v>
      </c>
      <c r="W80" s="99">
        <v>6441.5999999999995</v>
      </c>
      <c r="X80" s="99">
        <v>9</v>
      </c>
      <c r="Y80" s="99">
        <v>7246.7999999999993</v>
      </c>
      <c r="Z80" s="99">
        <v>7</v>
      </c>
      <c r="AA80" s="99">
        <v>5636.4</v>
      </c>
      <c r="AB80" s="99">
        <v>6</v>
      </c>
      <c r="AC80" s="99">
        <v>4831.2</v>
      </c>
      <c r="AD80" s="99">
        <v>7</v>
      </c>
      <c r="AE80" s="99">
        <v>5636.4</v>
      </c>
      <c r="AF80" s="99">
        <v>7</v>
      </c>
      <c r="AG80" s="99">
        <v>5636.4</v>
      </c>
      <c r="AH80" s="99">
        <v>6</v>
      </c>
      <c r="AI80" s="99">
        <v>4831.2</v>
      </c>
      <c r="AJ80" s="99">
        <v>8</v>
      </c>
      <c r="AK80" s="99">
        <v>6441.5999999999995</v>
      </c>
      <c r="AL80" s="99">
        <v>8</v>
      </c>
      <c r="AM80" s="99">
        <v>6441.5999999999995</v>
      </c>
      <c r="AN80" s="99">
        <v>5</v>
      </c>
      <c r="AO80" s="99">
        <v>4025.9999999999995</v>
      </c>
      <c r="AP80" s="99">
        <v>6</v>
      </c>
      <c r="AQ80" s="99">
        <v>4831.2</v>
      </c>
      <c r="AR80" s="99">
        <v>9</v>
      </c>
      <c r="AS80" s="99">
        <v>7246.7999999999993</v>
      </c>
      <c r="AT80" s="99">
        <v>6</v>
      </c>
      <c r="AU80" s="99">
        <v>4831.2</v>
      </c>
      <c r="AV80" s="99">
        <v>8.3443708609271532</v>
      </c>
      <c r="AW80" s="99">
        <v>6718.8874172185433</v>
      </c>
      <c r="AX80" s="99">
        <v>0</v>
      </c>
      <c r="AY80" s="99">
        <v>0</v>
      </c>
      <c r="AZ80" s="99">
        <v>9</v>
      </c>
      <c r="BA80" s="99">
        <v>7246.7999999999993</v>
      </c>
      <c r="BB80" s="99">
        <v>7</v>
      </c>
      <c r="BC80" s="99">
        <v>5636.4</v>
      </c>
      <c r="BD80" s="99">
        <v>6</v>
      </c>
      <c r="BE80" s="99">
        <v>4831.2</v>
      </c>
      <c r="BF80" s="99">
        <v>6</v>
      </c>
      <c r="BG80" s="99">
        <v>4831.2</v>
      </c>
      <c r="BH80" s="99">
        <v>6</v>
      </c>
      <c r="BI80" s="99">
        <v>4831.2</v>
      </c>
      <c r="BJ80" s="99">
        <v>8</v>
      </c>
      <c r="BK80" s="99">
        <v>6441.5999999999995</v>
      </c>
      <c r="BL80" s="99">
        <v>5</v>
      </c>
      <c r="BM80" s="99">
        <v>4025.9999999999995</v>
      </c>
      <c r="BN80" s="99">
        <v>5</v>
      </c>
      <c r="BO80" s="99">
        <v>4025.9999999999995</v>
      </c>
      <c r="BP80" s="99">
        <v>8</v>
      </c>
      <c r="BQ80" s="99">
        <v>6441.5999999999995</v>
      </c>
      <c r="BR80" s="99">
        <v>5</v>
      </c>
      <c r="BS80" s="99">
        <v>4025.9999999999995</v>
      </c>
      <c r="BT80" s="99">
        <v>7</v>
      </c>
      <c r="BU80" s="99">
        <v>5636.4</v>
      </c>
      <c r="BV80" s="99">
        <v>7</v>
      </c>
      <c r="BW80" s="99">
        <v>5636.4</v>
      </c>
      <c r="BX80" s="99">
        <v>6</v>
      </c>
      <c r="BY80" s="99">
        <v>4831.2</v>
      </c>
      <c r="BZ80" s="99">
        <v>7</v>
      </c>
      <c r="CA80" s="99">
        <v>5636.4</v>
      </c>
      <c r="CB80" s="99">
        <v>8</v>
      </c>
      <c r="CC80" s="99">
        <v>6441.5999999999995</v>
      </c>
      <c r="CD80" s="99">
        <v>8</v>
      </c>
      <c r="CE80" s="99">
        <v>6441.5999999999995</v>
      </c>
      <c r="CF80" s="99">
        <v>7</v>
      </c>
      <c r="CG80" s="99">
        <v>5636.4</v>
      </c>
      <c r="CH80" s="99">
        <v>11</v>
      </c>
      <c r="CI80" s="99">
        <v>8857.1999999999989</v>
      </c>
      <c r="CJ80" s="99">
        <v>9</v>
      </c>
      <c r="CK80" s="99">
        <v>7246.7999999999993</v>
      </c>
      <c r="CL80" s="99">
        <v>8</v>
      </c>
      <c r="CM80" s="99">
        <v>6441.5999999999995</v>
      </c>
      <c r="CN80" s="99">
        <v>9</v>
      </c>
      <c r="CO80" s="99">
        <v>7246.7999999999993</v>
      </c>
      <c r="CP80" s="99">
        <v>8</v>
      </c>
      <c r="CQ80" s="99">
        <v>6441.5999999999995</v>
      </c>
      <c r="CR80" s="99">
        <v>9</v>
      </c>
      <c r="CS80" s="99">
        <v>7246.7999999999993</v>
      </c>
      <c r="CT80" s="99">
        <v>7</v>
      </c>
      <c r="CU80" s="99">
        <v>5636.4</v>
      </c>
    </row>
    <row r="81" spans="2:99">
      <c r="C81" s="98" t="s">
        <v>247</v>
      </c>
      <c r="D81" s="99">
        <v>8</v>
      </c>
      <c r="E81" s="99">
        <v>6028.8</v>
      </c>
      <c r="F81" s="99">
        <v>6</v>
      </c>
      <c r="G81" s="99">
        <v>4521.6000000000004</v>
      </c>
      <c r="H81" s="99">
        <v>6</v>
      </c>
      <c r="I81" s="99">
        <v>4521.6000000000004</v>
      </c>
      <c r="J81" s="99">
        <v>10</v>
      </c>
      <c r="K81" s="99">
        <v>7536</v>
      </c>
      <c r="L81" s="99">
        <v>8</v>
      </c>
      <c r="M81" s="99">
        <v>6028.8</v>
      </c>
      <c r="N81" s="99">
        <v>8</v>
      </c>
      <c r="O81" s="99">
        <v>6028.8</v>
      </c>
      <c r="P81" s="99">
        <v>9</v>
      </c>
      <c r="Q81" s="99">
        <v>6782.4000000000005</v>
      </c>
      <c r="R81" s="99">
        <v>8</v>
      </c>
      <c r="S81" s="99">
        <v>6028.8</v>
      </c>
      <c r="T81" s="99">
        <v>6</v>
      </c>
      <c r="U81" s="99">
        <v>4521.6000000000004</v>
      </c>
      <c r="V81" s="99">
        <v>8</v>
      </c>
      <c r="W81" s="99">
        <v>6028.8</v>
      </c>
      <c r="X81" s="99">
        <v>8</v>
      </c>
      <c r="Y81" s="99">
        <v>6028.8</v>
      </c>
      <c r="Z81" s="99">
        <v>7</v>
      </c>
      <c r="AA81" s="99">
        <v>5275.2</v>
      </c>
      <c r="AB81" s="99">
        <v>7</v>
      </c>
      <c r="AC81" s="99">
        <v>5275.2</v>
      </c>
      <c r="AD81" s="99">
        <v>7</v>
      </c>
      <c r="AE81" s="99">
        <v>5275.2</v>
      </c>
      <c r="AF81" s="99">
        <v>7</v>
      </c>
      <c r="AG81" s="99">
        <v>5275.2</v>
      </c>
      <c r="AH81" s="99">
        <v>6</v>
      </c>
      <c r="AI81" s="99">
        <v>4521.6000000000004</v>
      </c>
      <c r="AJ81" s="99">
        <v>7</v>
      </c>
      <c r="AK81" s="99">
        <v>5275.2</v>
      </c>
      <c r="AL81" s="99">
        <v>9</v>
      </c>
      <c r="AM81" s="99">
        <v>6782.4000000000005</v>
      </c>
      <c r="AN81" s="99">
        <v>5</v>
      </c>
      <c r="AO81" s="99">
        <v>3768</v>
      </c>
      <c r="AP81" s="99">
        <v>7</v>
      </c>
      <c r="AQ81" s="99">
        <v>5275.2</v>
      </c>
      <c r="AR81" s="99">
        <v>9</v>
      </c>
      <c r="AS81" s="99">
        <v>6782.4000000000005</v>
      </c>
      <c r="AT81" s="99">
        <v>6</v>
      </c>
      <c r="AU81" s="99">
        <v>4521.6000000000004</v>
      </c>
      <c r="AV81" s="99">
        <v>8.3443708609271532</v>
      </c>
      <c r="AW81" s="99">
        <v>6288.3178807947024</v>
      </c>
      <c r="AX81" s="99">
        <v>0</v>
      </c>
      <c r="AY81" s="99">
        <v>0</v>
      </c>
      <c r="AZ81" s="99">
        <v>9</v>
      </c>
      <c r="BA81" s="99">
        <v>6782.4000000000005</v>
      </c>
      <c r="BB81" s="99">
        <v>7</v>
      </c>
      <c r="BC81" s="99">
        <v>5275.2</v>
      </c>
      <c r="BD81" s="99">
        <v>6</v>
      </c>
      <c r="BE81" s="99">
        <v>4521.6000000000004</v>
      </c>
      <c r="BF81" s="99">
        <v>6</v>
      </c>
      <c r="BG81" s="99">
        <v>4521.6000000000004</v>
      </c>
      <c r="BH81" s="99">
        <v>6</v>
      </c>
      <c r="BI81" s="99">
        <v>4521.6000000000004</v>
      </c>
      <c r="BJ81" s="99">
        <v>7</v>
      </c>
      <c r="BK81" s="99">
        <v>5275.2</v>
      </c>
      <c r="BL81" s="99">
        <v>6</v>
      </c>
      <c r="BM81" s="99">
        <v>4521.6000000000004</v>
      </c>
      <c r="BN81" s="99">
        <v>5</v>
      </c>
      <c r="BO81" s="99">
        <v>3768</v>
      </c>
      <c r="BP81" s="99">
        <v>8</v>
      </c>
      <c r="BQ81" s="99">
        <v>6028.8</v>
      </c>
      <c r="BR81" s="99">
        <v>5</v>
      </c>
      <c r="BS81" s="99">
        <v>3768</v>
      </c>
      <c r="BT81" s="99">
        <v>8</v>
      </c>
      <c r="BU81" s="99">
        <v>6028.8</v>
      </c>
      <c r="BV81" s="99">
        <v>7</v>
      </c>
      <c r="BW81" s="99">
        <v>5275.2</v>
      </c>
      <c r="BX81" s="99">
        <v>6</v>
      </c>
      <c r="BY81" s="99">
        <v>4521.6000000000004</v>
      </c>
      <c r="BZ81" s="99">
        <v>7</v>
      </c>
      <c r="CA81" s="99">
        <v>5275.2</v>
      </c>
      <c r="CB81" s="99">
        <v>7</v>
      </c>
      <c r="CC81" s="99">
        <v>5275.2</v>
      </c>
      <c r="CD81" s="99">
        <v>9</v>
      </c>
      <c r="CE81" s="99">
        <v>6782.4000000000005</v>
      </c>
      <c r="CF81" s="99">
        <v>7</v>
      </c>
      <c r="CG81" s="99">
        <v>5275.2</v>
      </c>
      <c r="CH81" s="99">
        <v>11</v>
      </c>
      <c r="CI81" s="99">
        <v>8289.6</v>
      </c>
      <c r="CJ81" s="99">
        <v>11</v>
      </c>
      <c r="CK81" s="99">
        <v>8289.6</v>
      </c>
      <c r="CL81" s="99">
        <v>8</v>
      </c>
      <c r="CM81" s="99">
        <v>6028.8</v>
      </c>
      <c r="CN81" s="99">
        <v>9</v>
      </c>
      <c r="CO81" s="99">
        <v>6782.4000000000005</v>
      </c>
      <c r="CP81" s="99">
        <v>8</v>
      </c>
      <c r="CQ81" s="99">
        <v>6028.8</v>
      </c>
      <c r="CR81" s="99">
        <v>9</v>
      </c>
      <c r="CS81" s="99">
        <v>6782.4000000000005</v>
      </c>
      <c r="CT81" s="99">
        <v>7</v>
      </c>
      <c r="CU81" s="99">
        <v>5275.2</v>
      </c>
    </row>
    <row r="82" spans="2:99">
      <c r="C82" s="98" t="s">
        <v>248</v>
      </c>
      <c r="D82" s="99">
        <v>9</v>
      </c>
      <c r="E82" s="99">
        <v>4579.1999999999989</v>
      </c>
      <c r="F82" s="99">
        <v>6</v>
      </c>
      <c r="G82" s="99">
        <v>3052.7999999999993</v>
      </c>
      <c r="H82" s="99">
        <v>6</v>
      </c>
      <c r="I82" s="99">
        <v>3052.7999999999993</v>
      </c>
      <c r="J82" s="99">
        <v>9</v>
      </c>
      <c r="K82" s="99">
        <v>4579.1999999999989</v>
      </c>
      <c r="L82" s="99">
        <v>8</v>
      </c>
      <c r="M82" s="99">
        <v>4070.3999999999992</v>
      </c>
      <c r="N82" s="99">
        <v>7</v>
      </c>
      <c r="O82" s="99">
        <v>3561.5999999999995</v>
      </c>
      <c r="P82" s="99">
        <v>8</v>
      </c>
      <c r="Q82" s="99">
        <v>4070.3999999999992</v>
      </c>
      <c r="R82" s="99">
        <v>8</v>
      </c>
      <c r="S82" s="99">
        <v>4070.3999999999992</v>
      </c>
      <c r="T82" s="99">
        <v>6</v>
      </c>
      <c r="U82" s="99">
        <v>3052.7999999999993</v>
      </c>
      <c r="V82" s="99">
        <v>8</v>
      </c>
      <c r="W82" s="99">
        <v>4070.3999999999992</v>
      </c>
      <c r="X82" s="99">
        <v>8</v>
      </c>
      <c r="Y82" s="99">
        <v>4070.3999999999992</v>
      </c>
      <c r="Z82" s="99">
        <v>8</v>
      </c>
      <c r="AA82" s="99">
        <v>4070.3999999999992</v>
      </c>
      <c r="AB82" s="99">
        <v>7</v>
      </c>
      <c r="AC82" s="99">
        <v>3561.5999999999995</v>
      </c>
      <c r="AD82" s="99">
        <v>6</v>
      </c>
      <c r="AE82" s="99">
        <v>3052.7999999999993</v>
      </c>
      <c r="AF82" s="99">
        <v>7</v>
      </c>
      <c r="AG82" s="99">
        <v>3561.5999999999995</v>
      </c>
      <c r="AH82" s="99">
        <v>6</v>
      </c>
      <c r="AI82" s="99">
        <v>3052.7999999999993</v>
      </c>
      <c r="AJ82" s="99">
        <v>8</v>
      </c>
      <c r="AK82" s="99">
        <v>4070.3999999999992</v>
      </c>
      <c r="AL82" s="99">
        <v>8</v>
      </c>
      <c r="AM82" s="99">
        <v>4070.3999999999992</v>
      </c>
      <c r="AN82" s="99">
        <v>6</v>
      </c>
      <c r="AO82" s="99">
        <v>3052.7999999999993</v>
      </c>
      <c r="AP82" s="99">
        <v>7</v>
      </c>
      <c r="AQ82" s="99">
        <v>3561.5999999999995</v>
      </c>
      <c r="AR82" s="99">
        <v>9</v>
      </c>
      <c r="AS82" s="99">
        <v>4579.1999999999989</v>
      </c>
      <c r="AT82" s="99">
        <v>6</v>
      </c>
      <c r="AU82" s="99">
        <v>3052.7999999999993</v>
      </c>
      <c r="AV82" s="99">
        <v>8.3443708609271532</v>
      </c>
      <c r="AW82" s="99">
        <v>4245.6158940397345</v>
      </c>
      <c r="AX82" s="99">
        <v>0</v>
      </c>
      <c r="AY82" s="99">
        <v>0</v>
      </c>
      <c r="AZ82" s="99">
        <v>8</v>
      </c>
      <c r="BA82" s="99">
        <v>4070.3999999999992</v>
      </c>
      <c r="BB82" s="99">
        <v>7</v>
      </c>
      <c r="BC82" s="99">
        <v>3561.5999999999995</v>
      </c>
      <c r="BD82" s="99">
        <v>7</v>
      </c>
      <c r="BE82" s="99">
        <v>3561.5999999999995</v>
      </c>
      <c r="BF82" s="99">
        <v>6</v>
      </c>
      <c r="BG82" s="99">
        <v>3052.7999999999993</v>
      </c>
      <c r="BH82" s="99">
        <v>6</v>
      </c>
      <c r="BI82" s="99">
        <v>3052.7999999999993</v>
      </c>
      <c r="BJ82" s="99">
        <v>7</v>
      </c>
      <c r="BK82" s="99">
        <v>3561.5999999999995</v>
      </c>
      <c r="BL82" s="99">
        <v>6</v>
      </c>
      <c r="BM82" s="99">
        <v>3052.7999999999993</v>
      </c>
      <c r="BN82" s="99">
        <v>5</v>
      </c>
      <c r="BO82" s="99">
        <v>2543.9999999999995</v>
      </c>
      <c r="BP82" s="99">
        <v>8</v>
      </c>
      <c r="BQ82" s="99">
        <v>4070.3999999999992</v>
      </c>
      <c r="BR82" s="99">
        <v>6</v>
      </c>
      <c r="BS82" s="99">
        <v>3052.7999999999993</v>
      </c>
      <c r="BT82" s="99">
        <v>7</v>
      </c>
      <c r="BU82" s="99">
        <v>3561.5999999999995</v>
      </c>
      <c r="BV82" s="99">
        <v>7</v>
      </c>
      <c r="BW82" s="99">
        <v>3561.5999999999995</v>
      </c>
      <c r="BX82" s="99">
        <v>6</v>
      </c>
      <c r="BY82" s="99">
        <v>3052.7999999999993</v>
      </c>
      <c r="BZ82" s="99">
        <v>7</v>
      </c>
      <c r="CA82" s="99">
        <v>3561.5999999999995</v>
      </c>
      <c r="CB82" s="99">
        <v>8</v>
      </c>
      <c r="CC82" s="99">
        <v>4070.3999999999992</v>
      </c>
      <c r="CD82" s="99">
        <v>9</v>
      </c>
      <c r="CE82" s="99">
        <v>4579.1999999999989</v>
      </c>
      <c r="CF82" s="99">
        <v>7</v>
      </c>
      <c r="CG82" s="99">
        <v>3561.5999999999995</v>
      </c>
      <c r="CH82" s="99">
        <v>10</v>
      </c>
      <c r="CI82" s="99">
        <v>5087.9999999999991</v>
      </c>
      <c r="CJ82" s="99">
        <v>11</v>
      </c>
      <c r="CK82" s="99">
        <v>5596.7999999999993</v>
      </c>
      <c r="CL82" s="99">
        <v>7</v>
      </c>
      <c r="CM82" s="99">
        <v>3561.5999999999995</v>
      </c>
      <c r="CN82" s="99">
        <v>9</v>
      </c>
      <c r="CO82" s="99">
        <v>4579.1999999999989</v>
      </c>
      <c r="CP82" s="99">
        <v>8</v>
      </c>
      <c r="CQ82" s="99">
        <v>4070.3999999999992</v>
      </c>
      <c r="CR82" s="99">
        <v>11</v>
      </c>
      <c r="CS82" s="99">
        <v>5596.7999999999993</v>
      </c>
      <c r="CT82" s="99">
        <v>7</v>
      </c>
      <c r="CU82" s="99">
        <v>3561.5999999999995</v>
      </c>
    </row>
    <row r="83" spans="2:99">
      <c r="C83" s="98" t="s">
        <v>249</v>
      </c>
      <c r="D83" s="99">
        <v>8</v>
      </c>
      <c r="E83" s="99">
        <v>6883.2</v>
      </c>
      <c r="F83" s="99">
        <v>6</v>
      </c>
      <c r="G83" s="99">
        <v>5162.3999999999996</v>
      </c>
      <c r="H83" s="99">
        <v>5</v>
      </c>
      <c r="I83" s="99">
        <v>4302</v>
      </c>
      <c r="J83" s="99">
        <v>10</v>
      </c>
      <c r="K83" s="99">
        <v>8604</v>
      </c>
      <c r="L83" s="99">
        <v>8</v>
      </c>
      <c r="M83" s="99">
        <v>6883.2</v>
      </c>
      <c r="N83" s="99">
        <v>7</v>
      </c>
      <c r="O83" s="99">
        <v>6022.8</v>
      </c>
      <c r="P83" s="99">
        <v>8</v>
      </c>
      <c r="Q83" s="99">
        <v>6883.2</v>
      </c>
      <c r="R83" s="99">
        <v>7</v>
      </c>
      <c r="S83" s="99">
        <v>6022.8</v>
      </c>
      <c r="T83" s="99">
        <v>6</v>
      </c>
      <c r="U83" s="99">
        <v>5162.3999999999996</v>
      </c>
      <c r="V83" s="99">
        <v>7</v>
      </c>
      <c r="W83" s="99">
        <v>6022.8</v>
      </c>
      <c r="X83" s="99">
        <v>9</v>
      </c>
      <c r="Y83" s="99">
        <v>7743.5999999999995</v>
      </c>
      <c r="Z83" s="99">
        <v>8</v>
      </c>
      <c r="AA83" s="99">
        <v>6883.2</v>
      </c>
      <c r="AB83" s="99">
        <v>7</v>
      </c>
      <c r="AC83" s="99">
        <v>6022.8</v>
      </c>
      <c r="AD83" s="99">
        <v>7</v>
      </c>
      <c r="AE83" s="99">
        <v>6022.8</v>
      </c>
      <c r="AF83" s="99">
        <v>7</v>
      </c>
      <c r="AG83" s="99">
        <v>6022.8</v>
      </c>
      <c r="AH83" s="99">
        <v>6</v>
      </c>
      <c r="AI83" s="99">
        <v>5162.3999999999996</v>
      </c>
      <c r="AJ83" s="99">
        <v>8</v>
      </c>
      <c r="AK83" s="99">
        <v>6883.2</v>
      </c>
      <c r="AL83" s="99">
        <v>8</v>
      </c>
      <c r="AM83" s="99">
        <v>6883.2</v>
      </c>
      <c r="AN83" s="99">
        <v>5</v>
      </c>
      <c r="AO83" s="99">
        <v>4302</v>
      </c>
      <c r="AP83" s="99">
        <v>6</v>
      </c>
      <c r="AQ83" s="99">
        <v>5162.3999999999996</v>
      </c>
      <c r="AR83" s="99">
        <v>9</v>
      </c>
      <c r="AS83" s="99">
        <v>7743.5999999999995</v>
      </c>
      <c r="AT83" s="99">
        <v>6</v>
      </c>
      <c r="AU83" s="99">
        <v>5162.3999999999996</v>
      </c>
      <c r="AV83" s="99">
        <v>8.3443708609271532</v>
      </c>
      <c r="AW83" s="99">
        <v>7179.4966887417222</v>
      </c>
      <c r="AX83" s="99">
        <v>0</v>
      </c>
      <c r="AY83" s="99">
        <v>0</v>
      </c>
      <c r="AZ83" s="99">
        <v>9</v>
      </c>
      <c r="BA83" s="99">
        <v>7743.5999999999995</v>
      </c>
      <c r="BB83" s="99">
        <v>7</v>
      </c>
      <c r="BC83" s="99">
        <v>6022.8</v>
      </c>
      <c r="BD83" s="99">
        <v>6</v>
      </c>
      <c r="BE83" s="99">
        <v>5162.3999999999996</v>
      </c>
      <c r="BF83" s="99">
        <v>7</v>
      </c>
      <c r="BG83" s="99">
        <v>6022.8</v>
      </c>
      <c r="BH83" s="99">
        <v>5</v>
      </c>
      <c r="BI83" s="99">
        <v>4302</v>
      </c>
      <c r="BJ83" s="99">
        <v>8</v>
      </c>
      <c r="BK83" s="99">
        <v>6883.2</v>
      </c>
      <c r="BL83" s="99">
        <v>6</v>
      </c>
      <c r="BM83" s="99">
        <v>5162.3999999999996</v>
      </c>
      <c r="BN83" s="99">
        <v>5</v>
      </c>
      <c r="BO83" s="99">
        <v>4302</v>
      </c>
      <c r="BP83" s="99">
        <v>8</v>
      </c>
      <c r="BQ83" s="99">
        <v>6883.2</v>
      </c>
      <c r="BR83" s="99">
        <v>6</v>
      </c>
      <c r="BS83" s="99">
        <v>5162.3999999999996</v>
      </c>
      <c r="BT83" s="99">
        <v>7</v>
      </c>
      <c r="BU83" s="99">
        <v>6022.8</v>
      </c>
      <c r="BV83" s="99">
        <v>6</v>
      </c>
      <c r="BW83" s="99">
        <v>5162.3999999999996</v>
      </c>
      <c r="BX83" s="99">
        <v>5</v>
      </c>
      <c r="BY83" s="99">
        <v>4302</v>
      </c>
      <c r="BZ83" s="99">
        <v>7</v>
      </c>
      <c r="CA83" s="99">
        <v>6022.8</v>
      </c>
      <c r="CB83" s="99">
        <v>7</v>
      </c>
      <c r="CC83" s="99">
        <v>6022.8</v>
      </c>
      <c r="CD83" s="99">
        <v>8</v>
      </c>
      <c r="CE83" s="99">
        <v>6883.2</v>
      </c>
      <c r="CF83" s="99">
        <v>7</v>
      </c>
      <c r="CG83" s="99">
        <v>6022.8</v>
      </c>
      <c r="CH83" s="99">
        <v>10</v>
      </c>
      <c r="CI83" s="99">
        <v>8604</v>
      </c>
      <c r="CJ83" s="99">
        <v>10</v>
      </c>
      <c r="CK83" s="99">
        <v>8604</v>
      </c>
      <c r="CL83" s="99">
        <v>7</v>
      </c>
      <c r="CM83" s="99">
        <v>6022.8</v>
      </c>
      <c r="CN83" s="99">
        <v>9</v>
      </c>
      <c r="CO83" s="99">
        <v>7743.5999999999995</v>
      </c>
      <c r="CP83" s="99">
        <v>7</v>
      </c>
      <c r="CQ83" s="99">
        <v>6022.8</v>
      </c>
      <c r="CR83" s="99">
        <v>10</v>
      </c>
      <c r="CS83" s="99">
        <v>8604</v>
      </c>
      <c r="CT83" s="99">
        <v>7</v>
      </c>
      <c r="CU83" s="99">
        <v>6022.8</v>
      </c>
    </row>
    <row r="84" spans="2:99">
      <c r="C84" s="98" t="s">
        <v>250</v>
      </c>
      <c r="D84" s="99">
        <v>9</v>
      </c>
      <c r="E84" s="99">
        <v>7030.7999999999993</v>
      </c>
      <c r="F84" s="99">
        <v>6</v>
      </c>
      <c r="G84" s="99">
        <v>4687.2</v>
      </c>
      <c r="H84" s="99">
        <v>6</v>
      </c>
      <c r="I84" s="99">
        <v>4687.2</v>
      </c>
      <c r="J84" s="99">
        <v>10</v>
      </c>
      <c r="K84" s="99">
        <v>7811.9999999999991</v>
      </c>
      <c r="L84" s="99">
        <v>6</v>
      </c>
      <c r="M84" s="99">
        <v>4687.2</v>
      </c>
      <c r="N84" s="99">
        <v>7</v>
      </c>
      <c r="O84" s="99">
        <v>5468.4</v>
      </c>
      <c r="P84" s="99">
        <v>8</v>
      </c>
      <c r="Q84" s="99">
        <v>6249.5999999999995</v>
      </c>
      <c r="R84" s="99">
        <v>8</v>
      </c>
      <c r="S84" s="99">
        <v>6249.5999999999995</v>
      </c>
      <c r="T84" s="99">
        <v>6</v>
      </c>
      <c r="U84" s="99">
        <v>4687.2</v>
      </c>
      <c r="V84" s="99">
        <v>9</v>
      </c>
      <c r="W84" s="99">
        <v>7030.7999999999993</v>
      </c>
      <c r="X84" s="99">
        <v>9</v>
      </c>
      <c r="Y84" s="99">
        <v>7030.7999999999993</v>
      </c>
      <c r="Z84" s="99">
        <v>7</v>
      </c>
      <c r="AA84" s="99">
        <v>5468.4</v>
      </c>
      <c r="AB84" s="99">
        <v>6</v>
      </c>
      <c r="AC84" s="99">
        <v>4687.2</v>
      </c>
      <c r="AD84" s="99">
        <v>6</v>
      </c>
      <c r="AE84" s="99">
        <v>4687.2</v>
      </c>
      <c r="AF84" s="99">
        <v>8</v>
      </c>
      <c r="AG84" s="99">
        <v>6249.5999999999995</v>
      </c>
      <c r="AH84" s="99">
        <v>5</v>
      </c>
      <c r="AI84" s="99">
        <v>3905.9999999999995</v>
      </c>
      <c r="AJ84" s="99">
        <v>8</v>
      </c>
      <c r="AK84" s="99">
        <v>6249.5999999999995</v>
      </c>
      <c r="AL84" s="99">
        <v>9</v>
      </c>
      <c r="AM84" s="99">
        <v>7030.7999999999993</v>
      </c>
      <c r="AN84" s="99">
        <v>5</v>
      </c>
      <c r="AO84" s="99">
        <v>3905.9999999999995</v>
      </c>
      <c r="AP84" s="99">
        <v>6</v>
      </c>
      <c r="AQ84" s="99">
        <v>4687.2</v>
      </c>
      <c r="AR84" s="99">
        <v>8</v>
      </c>
      <c r="AS84" s="99">
        <v>6249.5999999999995</v>
      </c>
      <c r="AT84" s="99">
        <v>6</v>
      </c>
      <c r="AU84" s="99">
        <v>4687.2</v>
      </c>
      <c r="AV84" s="99">
        <v>7.4172185430463591</v>
      </c>
      <c r="AW84" s="99">
        <v>5794.3311258278154</v>
      </c>
      <c r="AX84" s="99">
        <v>0</v>
      </c>
      <c r="AY84" s="99">
        <v>0</v>
      </c>
      <c r="AZ84" s="99">
        <v>9</v>
      </c>
      <c r="BA84" s="99">
        <v>7030.7999999999993</v>
      </c>
      <c r="BB84" s="99">
        <v>7</v>
      </c>
      <c r="BC84" s="99">
        <v>5468.4</v>
      </c>
      <c r="BD84" s="99">
        <v>5</v>
      </c>
      <c r="BE84" s="99">
        <v>3905.9999999999995</v>
      </c>
      <c r="BF84" s="99">
        <v>7</v>
      </c>
      <c r="BG84" s="99">
        <v>5468.4</v>
      </c>
      <c r="BH84" s="99">
        <v>6</v>
      </c>
      <c r="BI84" s="99">
        <v>4687.2</v>
      </c>
      <c r="BJ84" s="99">
        <v>7</v>
      </c>
      <c r="BK84" s="99">
        <v>5468.4</v>
      </c>
      <c r="BL84" s="99">
        <v>6</v>
      </c>
      <c r="BM84" s="99">
        <v>4687.2</v>
      </c>
      <c r="BN84" s="99">
        <v>5</v>
      </c>
      <c r="BO84" s="99">
        <v>3905.9999999999995</v>
      </c>
      <c r="BP84" s="99">
        <v>8</v>
      </c>
      <c r="BQ84" s="99">
        <v>6249.5999999999995</v>
      </c>
      <c r="BR84" s="99">
        <v>6</v>
      </c>
      <c r="BS84" s="99">
        <v>4687.2</v>
      </c>
      <c r="BT84" s="99">
        <v>7</v>
      </c>
      <c r="BU84" s="99">
        <v>5468.4</v>
      </c>
      <c r="BV84" s="99">
        <v>8</v>
      </c>
      <c r="BW84" s="99">
        <v>6249.5999999999995</v>
      </c>
      <c r="BX84" s="99">
        <v>7</v>
      </c>
      <c r="BY84" s="99">
        <v>5468.4</v>
      </c>
      <c r="BZ84" s="99">
        <v>7</v>
      </c>
      <c r="CA84" s="99">
        <v>5468.4</v>
      </c>
      <c r="CB84" s="99">
        <v>7</v>
      </c>
      <c r="CC84" s="99">
        <v>5468.4</v>
      </c>
      <c r="CD84" s="99">
        <v>9</v>
      </c>
      <c r="CE84" s="99">
        <v>7030.7999999999993</v>
      </c>
      <c r="CF84" s="99">
        <v>8</v>
      </c>
      <c r="CG84" s="99">
        <v>6249.5999999999995</v>
      </c>
      <c r="CH84" s="99">
        <v>10</v>
      </c>
      <c r="CI84" s="99">
        <v>7811.9999999999991</v>
      </c>
      <c r="CJ84" s="99">
        <v>10</v>
      </c>
      <c r="CK84" s="99">
        <v>7811.9999999999991</v>
      </c>
      <c r="CL84" s="99">
        <v>7</v>
      </c>
      <c r="CM84" s="99">
        <v>5468.4</v>
      </c>
      <c r="CN84" s="99">
        <v>8</v>
      </c>
      <c r="CO84" s="99">
        <v>6249.5999999999995</v>
      </c>
      <c r="CP84" s="99">
        <v>8</v>
      </c>
      <c r="CQ84" s="99">
        <v>6249.5999999999995</v>
      </c>
      <c r="CR84" s="99">
        <v>9</v>
      </c>
      <c r="CS84" s="99">
        <v>7030.7999999999993</v>
      </c>
      <c r="CT84" s="99">
        <v>8</v>
      </c>
      <c r="CU84" s="99">
        <v>6249.5999999999995</v>
      </c>
    </row>
    <row r="85" spans="2:99">
      <c r="C85" s="98" t="s">
        <v>251</v>
      </c>
      <c r="D85" s="99">
        <v>9</v>
      </c>
      <c r="E85" s="99">
        <v>1350</v>
      </c>
      <c r="F85" s="99">
        <v>7</v>
      </c>
      <c r="G85" s="99">
        <v>1050</v>
      </c>
      <c r="H85" s="99">
        <v>7</v>
      </c>
      <c r="I85" s="99">
        <v>1050</v>
      </c>
      <c r="J85" s="99">
        <v>10</v>
      </c>
      <c r="K85" s="99">
        <v>1500</v>
      </c>
      <c r="L85" s="99">
        <v>8</v>
      </c>
      <c r="M85" s="99">
        <v>1200</v>
      </c>
      <c r="N85" s="99">
        <v>8</v>
      </c>
      <c r="O85" s="99">
        <v>1200</v>
      </c>
      <c r="P85" s="99">
        <v>9</v>
      </c>
      <c r="Q85" s="99">
        <v>1350</v>
      </c>
      <c r="R85" s="99">
        <v>8</v>
      </c>
      <c r="S85" s="99">
        <v>1200</v>
      </c>
      <c r="T85" s="99">
        <v>7</v>
      </c>
      <c r="U85" s="99">
        <v>1050</v>
      </c>
      <c r="V85" s="99">
        <v>10</v>
      </c>
      <c r="W85" s="99">
        <v>1500</v>
      </c>
      <c r="X85" s="99">
        <v>10</v>
      </c>
      <c r="Y85" s="99">
        <v>1500</v>
      </c>
      <c r="Z85" s="99">
        <v>8</v>
      </c>
      <c r="AA85" s="99">
        <v>1200</v>
      </c>
      <c r="AB85" s="99">
        <v>7</v>
      </c>
      <c r="AC85" s="99">
        <v>1050</v>
      </c>
      <c r="AD85" s="99">
        <v>7</v>
      </c>
      <c r="AE85" s="99">
        <v>1050</v>
      </c>
      <c r="AF85" s="99">
        <v>8</v>
      </c>
      <c r="AG85" s="99">
        <v>1200</v>
      </c>
      <c r="AH85" s="99">
        <v>6</v>
      </c>
      <c r="AI85" s="99">
        <v>900</v>
      </c>
      <c r="AJ85" s="99">
        <v>8</v>
      </c>
      <c r="AK85" s="99">
        <v>1200</v>
      </c>
      <c r="AL85" s="99">
        <v>10</v>
      </c>
      <c r="AM85" s="99">
        <v>1500</v>
      </c>
      <c r="AN85" s="99">
        <v>5</v>
      </c>
      <c r="AO85" s="99">
        <v>750</v>
      </c>
      <c r="AP85" s="99">
        <v>7</v>
      </c>
      <c r="AQ85" s="99">
        <v>1050</v>
      </c>
      <c r="AR85" s="99">
        <v>10</v>
      </c>
      <c r="AS85" s="99">
        <v>1500</v>
      </c>
      <c r="AT85" s="99">
        <v>7</v>
      </c>
      <c r="AU85" s="99">
        <v>1050</v>
      </c>
      <c r="AV85" s="99">
        <v>7.4172185430463591</v>
      </c>
      <c r="AW85" s="99">
        <v>1112.5827814569539</v>
      </c>
      <c r="AX85" s="99">
        <v>0</v>
      </c>
      <c r="AY85" s="99">
        <v>0</v>
      </c>
      <c r="AZ85" s="99">
        <v>9</v>
      </c>
      <c r="BA85" s="99">
        <v>1350</v>
      </c>
      <c r="BB85" s="99">
        <v>8</v>
      </c>
      <c r="BC85" s="99">
        <v>1200</v>
      </c>
      <c r="BD85" s="99">
        <v>6</v>
      </c>
      <c r="BE85" s="99">
        <v>900</v>
      </c>
      <c r="BF85" s="99">
        <v>6</v>
      </c>
      <c r="BG85" s="99">
        <v>900</v>
      </c>
      <c r="BH85" s="99">
        <v>6</v>
      </c>
      <c r="BI85" s="99">
        <v>900</v>
      </c>
      <c r="BJ85" s="99">
        <v>8</v>
      </c>
      <c r="BK85" s="99">
        <v>1200</v>
      </c>
      <c r="BL85" s="99">
        <v>7</v>
      </c>
      <c r="BM85" s="99">
        <v>1050</v>
      </c>
      <c r="BN85" s="99">
        <v>6</v>
      </c>
      <c r="BO85" s="99">
        <v>900</v>
      </c>
      <c r="BP85" s="99">
        <v>8</v>
      </c>
      <c r="BQ85" s="99">
        <v>1200</v>
      </c>
      <c r="BR85" s="99">
        <v>6</v>
      </c>
      <c r="BS85" s="99">
        <v>900</v>
      </c>
      <c r="BT85" s="99">
        <v>8</v>
      </c>
      <c r="BU85" s="99">
        <v>1200</v>
      </c>
      <c r="BV85" s="99">
        <v>7</v>
      </c>
      <c r="BW85" s="99">
        <v>1050</v>
      </c>
      <c r="BX85" s="99">
        <v>6</v>
      </c>
      <c r="BY85" s="99">
        <v>900</v>
      </c>
      <c r="BZ85" s="99">
        <v>7</v>
      </c>
      <c r="CA85" s="99">
        <v>1050</v>
      </c>
      <c r="CB85" s="99">
        <v>8</v>
      </c>
      <c r="CC85" s="99">
        <v>1200</v>
      </c>
      <c r="CD85" s="99">
        <v>10</v>
      </c>
      <c r="CE85" s="99">
        <v>1500</v>
      </c>
      <c r="CF85" s="99">
        <v>8</v>
      </c>
      <c r="CG85" s="99">
        <v>1200</v>
      </c>
      <c r="CH85" s="99">
        <v>10</v>
      </c>
      <c r="CI85" s="99">
        <v>1500</v>
      </c>
      <c r="CJ85" s="99">
        <v>10</v>
      </c>
      <c r="CK85" s="99">
        <v>1500</v>
      </c>
      <c r="CL85" s="99">
        <v>8</v>
      </c>
      <c r="CM85" s="99">
        <v>1200</v>
      </c>
      <c r="CN85" s="99">
        <v>9</v>
      </c>
      <c r="CO85" s="99">
        <v>1350</v>
      </c>
      <c r="CP85" s="99">
        <v>8</v>
      </c>
      <c r="CQ85" s="99">
        <v>1200</v>
      </c>
      <c r="CR85" s="99">
        <v>11</v>
      </c>
      <c r="CS85" s="99">
        <v>1650</v>
      </c>
      <c r="CT85" s="99">
        <v>7</v>
      </c>
      <c r="CU85" s="99">
        <v>1050</v>
      </c>
    </row>
    <row r="86" spans="2:99">
      <c r="C86" s="98" t="s">
        <v>252</v>
      </c>
      <c r="D86" s="99">
        <v>8</v>
      </c>
      <c r="E86" s="99">
        <v>4320</v>
      </c>
      <c r="F86" s="99">
        <v>6</v>
      </c>
      <c r="G86" s="99">
        <v>3240</v>
      </c>
      <c r="H86" s="99">
        <v>6</v>
      </c>
      <c r="I86" s="99">
        <v>3240</v>
      </c>
      <c r="J86" s="99">
        <v>10</v>
      </c>
      <c r="K86" s="99">
        <v>5400</v>
      </c>
      <c r="L86" s="99">
        <v>7</v>
      </c>
      <c r="M86" s="99">
        <v>3780</v>
      </c>
      <c r="N86" s="99">
        <v>8</v>
      </c>
      <c r="O86" s="99">
        <v>4320</v>
      </c>
      <c r="P86" s="99">
        <v>8</v>
      </c>
      <c r="Q86" s="99">
        <v>4320</v>
      </c>
      <c r="R86" s="99">
        <v>8</v>
      </c>
      <c r="S86" s="99">
        <v>4320</v>
      </c>
      <c r="T86" s="99">
        <v>7</v>
      </c>
      <c r="U86" s="99">
        <v>3780</v>
      </c>
      <c r="V86" s="99">
        <v>9</v>
      </c>
      <c r="W86" s="99">
        <v>4860</v>
      </c>
      <c r="X86" s="99">
        <v>10</v>
      </c>
      <c r="Y86" s="99">
        <v>5400</v>
      </c>
      <c r="Z86" s="99">
        <v>7</v>
      </c>
      <c r="AA86" s="99">
        <v>3780</v>
      </c>
      <c r="AB86" s="99">
        <v>7</v>
      </c>
      <c r="AC86" s="99">
        <v>3780</v>
      </c>
      <c r="AD86" s="99">
        <v>7</v>
      </c>
      <c r="AE86" s="99">
        <v>3780</v>
      </c>
      <c r="AF86" s="99">
        <v>8</v>
      </c>
      <c r="AG86" s="99">
        <v>4320</v>
      </c>
      <c r="AH86" s="99">
        <v>6</v>
      </c>
      <c r="AI86" s="99">
        <v>3240</v>
      </c>
      <c r="AJ86" s="99">
        <v>8</v>
      </c>
      <c r="AK86" s="99">
        <v>4320</v>
      </c>
      <c r="AL86" s="99">
        <v>9</v>
      </c>
      <c r="AM86" s="99">
        <v>4860</v>
      </c>
      <c r="AN86" s="99">
        <v>5</v>
      </c>
      <c r="AO86" s="99">
        <v>2700</v>
      </c>
      <c r="AP86" s="99">
        <v>7</v>
      </c>
      <c r="AQ86" s="99">
        <v>3780</v>
      </c>
      <c r="AR86" s="99">
        <v>10</v>
      </c>
      <c r="AS86" s="99">
        <v>5400</v>
      </c>
      <c r="AT86" s="99">
        <v>6</v>
      </c>
      <c r="AU86" s="99">
        <v>3240</v>
      </c>
      <c r="AV86" s="99">
        <v>8.3443708609271532</v>
      </c>
      <c r="AW86" s="99">
        <v>4505.9602649006629</v>
      </c>
      <c r="AX86" s="99">
        <v>0</v>
      </c>
      <c r="AY86" s="99">
        <v>0</v>
      </c>
      <c r="AZ86" s="99">
        <v>8</v>
      </c>
      <c r="BA86" s="99">
        <v>4320</v>
      </c>
      <c r="BB86" s="99">
        <v>7</v>
      </c>
      <c r="BC86" s="99">
        <v>3780</v>
      </c>
      <c r="BD86" s="99">
        <v>6</v>
      </c>
      <c r="BE86" s="99">
        <v>3240</v>
      </c>
      <c r="BF86" s="99">
        <v>6</v>
      </c>
      <c r="BG86" s="99">
        <v>3240</v>
      </c>
      <c r="BH86" s="99">
        <v>6</v>
      </c>
      <c r="BI86" s="99">
        <v>3240</v>
      </c>
      <c r="BJ86" s="99">
        <v>7</v>
      </c>
      <c r="BK86" s="99">
        <v>3780</v>
      </c>
      <c r="BL86" s="99">
        <v>5</v>
      </c>
      <c r="BM86" s="99">
        <v>2700</v>
      </c>
      <c r="BN86" s="99">
        <v>5</v>
      </c>
      <c r="BO86" s="99">
        <v>2700</v>
      </c>
      <c r="BP86" s="99">
        <v>8</v>
      </c>
      <c r="BQ86" s="99">
        <v>4320</v>
      </c>
      <c r="BR86" s="99">
        <v>6</v>
      </c>
      <c r="BS86" s="99">
        <v>3240</v>
      </c>
      <c r="BT86" s="99">
        <v>8</v>
      </c>
      <c r="BU86" s="99">
        <v>4320</v>
      </c>
      <c r="BV86" s="99">
        <v>7</v>
      </c>
      <c r="BW86" s="99">
        <v>3780</v>
      </c>
      <c r="BX86" s="99">
        <v>6</v>
      </c>
      <c r="BY86" s="99">
        <v>3240</v>
      </c>
      <c r="BZ86" s="99">
        <v>7</v>
      </c>
      <c r="CA86" s="99">
        <v>3780</v>
      </c>
      <c r="CB86" s="99">
        <v>8</v>
      </c>
      <c r="CC86" s="99">
        <v>4320</v>
      </c>
      <c r="CD86" s="99">
        <v>8</v>
      </c>
      <c r="CE86" s="99">
        <v>4320</v>
      </c>
      <c r="CF86" s="99">
        <v>7</v>
      </c>
      <c r="CG86" s="99">
        <v>3780</v>
      </c>
      <c r="CH86" s="99">
        <v>9</v>
      </c>
      <c r="CI86" s="99">
        <v>4860</v>
      </c>
      <c r="CJ86" s="99">
        <v>11</v>
      </c>
      <c r="CK86" s="99">
        <v>5940</v>
      </c>
      <c r="CL86" s="99">
        <v>8</v>
      </c>
      <c r="CM86" s="99">
        <v>4320</v>
      </c>
      <c r="CN86" s="99">
        <v>10</v>
      </c>
      <c r="CO86" s="99">
        <v>5400</v>
      </c>
      <c r="CP86" s="99">
        <v>8</v>
      </c>
      <c r="CQ86" s="99">
        <v>4320</v>
      </c>
      <c r="CR86" s="99">
        <v>10</v>
      </c>
      <c r="CS86" s="99">
        <v>5400</v>
      </c>
      <c r="CT86" s="99">
        <v>8</v>
      </c>
      <c r="CU86" s="99">
        <v>4320</v>
      </c>
    </row>
    <row r="87" spans="2:99">
      <c r="B87" s="98" t="s">
        <v>131</v>
      </c>
      <c r="C87" s="98" t="s">
        <v>253</v>
      </c>
      <c r="D87" s="99">
        <v>9</v>
      </c>
      <c r="E87" s="99">
        <v>9666</v>
      </c>
      <c r="F87" s="99">
        <v>9</v>
      </c>
      <c r="G87" s="99">
        <v>9666</v>
      </c>
      <c r="H87" s="99">
        <v>11</v>
      </c>
      <c r="I87" s="99">
        <v>11814</v>
      </c>
      <c r="J87" s="99">
        <v>7</v>
      </c>
      <c r="K87" s="99">
        <v>7518</v>
      </c>
      <c r="L87" s="99">
        <v>9</v>
      </c>
      <c r="M87" s="99">
        <v>9666</v>
      </c>
      <c r="N87" s="99">
        <v>6</v>
      </c>
      <c r="O87" s="99">
        <v>6444</v>
      </c>
      <c r="P87" s="99">
        <v>8</v>
      </c>
      <c r="Q87" s="99">
        <v>8592</v>
      </c>
      <c r="R87" s="99">
        <v>6</v>
      </c>
      <c r="S87" s="99">
        <v>6444</v>
      </c>
      <c r="T87" s="99">
        <v>10</v>
      </c>
      <c r="U87" s="99">
        <v>10740</v>
      </c>
      <c r="V87" s="99">
        <v>9</v>
      </c>
      <c r="W87" s="99">
        <v>9666</v>
      </c>
      <c r="X87" s="99">
        <v>10</v>
      </c>
      <c r="Y87" s="99">
        <v>10740</v>
      </c>
      <c r="Z87" s="99">
        <v>10</v>
      </c>
      <c r="AA87" s="99">
        <v>10740</v>
      </c>
      <c r="AB87" s="99">
        <v>9</v>
      </c>
      <c r="AC87" s="99">
        <v>9666</v>
      </c>
      <c r="AD87" s="99">
        <v>9</v>
      </c>
      <c r="AE87" s="99">
        <v>9666</v>
      </c>
      <c r="AF87" s="99">
        <v>8</v>
      </c>
      <c r="AG87" s="99">
        <v>8592</v>
      </c>
      <c r="AH87" s="99">
        <v>11</v>
      </c>
      <c r="AI87" s="99">
        <v>11814</v>
      </c>
      <c r="AJ87" s="99">
        <v>11</v>
      </c>
      <c r="AK87" s="99">
        <v>11814</v>
      </c>
      <c r="AL87" s="99">
        <v>8</v>
      </c>
      <c r="AM87" s="99">
        <v>8592</v>
      </c>
      <c r="AN87" s="99">
        <v>10</v>
      </c>
      <c r="AO87" s="99">
        <v>10740</v>
      </c>
      <c r="AP87" s="99">
        <v>9</v>
      </c>
      <c r="AQ87" s="99">
        <v>9666</v>
      </c>
      <c r="AR87" s="99">
        <v>12</v>
      </c>
      <c r="AS87" s="99">
        <v>12888</v>
      </c>
      <c r="AT87" s="99">
        <v>10</v>
      </c>
      <c r="AU87" s="99">
        <v>10740</v>
      </c>
      <c r="AV87" s="99">
        <v>10</v>
      </c>
      <c r="AW87" s="99">
        <v>10740</v>
      </c>
      <c r="AX87" s="99">
        <v>9</v>
      </c>
      <c r="AY87" s="99">
        <v>9666</v>
      </c>
      <c r="AZ87" s="99">
        <v>8</v>
      </c>
      <c r="BA87" s="99">
        <v>8592</v>
      </c>
      <c r="BB87" s="99">
        <v>12</v>
      </c>
      <c r="BC87" s="99">
        <v>12888</v>
      </c>
      <c r="BD87" s="99">
        <v>12</v>
      </c>
      <c r="BE87" s="99">
        <v>12888</v>
      </c>
      <c r="BF87" s="99">
        <v>12</v>
      </c>
      <c r="BG87" s="99">
        <v>12888</v>
      </c>
      <c r="BH87" s="99">
        <v>11</v>
      </c>
      <c r="BI87" s="99">
        <v>11814</v>
      </c>
      <c r="BJ87" s="99">
        <v>6</v>
      </c>
      <c r="BK87" s="99">
        <v>6444</v>
      </c>
      <c r="BL87" s="99">
        <v>10</v>
      </c>
      <c r="BM87" s="99">
        <v>10740</v>
      </c>
      <c r="BN87" s="99">
        <v>9</v>
      </c>
      <c r="BO87" s="99">
        <v>9666</v>
      </c>
      <c r="BP87" s="99">
        <v>9</v>
      </c>
      <c r="BQ87" s="99">
        <v>9666</v>
      </c>
      <c r="BR87" s="99">
        <v>11</v>
      </c>
      <c r="BS87" s="99">
        <v>11814</v>
      </c>
      <c r="BT87" s="99">
        <v>11</v>
      </c>
      <c r="BU87" s="99">
        <v>11814</v>
      </c>
      <c r="BV87" s="99">
        <v>9</v>
      </c>
      <c r="BW87" s="99">
        <v>9666</v>
      </c>
      <c r="BX87" s="99">
        <v>8</v>
      </c>
      <c r="BY87" s="99">
        <v>8592</v>
      </c>
      <c r="BZ87" s="99">
        <v>8</v>
      </c>
      <c r="CA87" s="99">
        <v>8592</v>
      </c>
      <c r="CB87" s="99">
        <v>13</v>
      </c>
      <c r="CC87" s="99">
        <v>13962</v>
      </c>
      <c r="CD87" s="99">
        <v>10</v>
      </c>
      <c r="CE87" s="99">
        <v>10740</v>
      </c>
      <c r="CF87" s="99">
        <v>8</v>
      </c>
      <c r="CG87" s="99">
        <v>8592</v>
      </c>
      <c r="CH87" s="99">
        <v>9</v>
      </c>
      <c r="CI87" s="99">
        <v>9666</v>
      </c>
      <c r="CJ87" s="99">
        <v>7</v>
      </c>
      <c r="CK87" s="99">
        <v>7518</v>
      </c>
      <c r="CL87" s="99">
        <v>7</v>
      </c>
      <c r="CM87" s="99">
        <v>7518</v>
      </c>
      <c r="CN87" s="99">
        <v>10</v>
      </c>
      <c r="CO87" s="99">
        <v>10740</v>
      </c>
      <c r="CP87" s="99">
        <v>8</v>
      </c>
      <c r="CQ87" s="99">
        <v>8592</v>
      </c>
      <c r="CR87" s="99">
        <v>9</v>
      </c>
      <c r="CS87" s="99">
        <v>9666</v>
      </c>
      <c r="CT87" s="99">
        <v>8</v>
      </c>
      <c r="CU87" s="99">
        <v>8592</v>
      </c>
    </row>
    <row r="88" spans="2:99">
      <c r="C88" s="98" t="s">
        <v>254</v>
      </c>
      <c r="D88" s="99">
        <v>9</v>
      </c>
      <c r="E88" s="99">
        <v>8931.6</v>
      </c>
      <c r="F88" s="99">
        <v>10</v>
      </c>
      <c r="G88" s="99">
        <v>9924</v>
      </c>
      <c r="H88" s="99">
        <v>11</v>
      </c>
      <c r="I88" s="99">
        <v>10916.4</v>
      </c>
      <c r="J88" s="99">
        <v>7</v>
      </c>
      <c r="K88" s="99">
        <v>6946.8</v>
      </c>
      <c r="L88" s="99">
        <v>8</v>
      </c>
      <c r="M88" s="99">
        <v>7939.2</v>
      </c>
      <c r="N88" s="99">
        <v>6</v>
      </c>
      <c r="O88" s="99">
        <v>5954.4</v>
      </c>
      <c r="P88" s="99">
        <v>9</v>
      </c>
      <c r="Q88" s="99">
        <v>8931.6</v>
      </c>
      <c r="R88" s="99">
        <v>6</v>
      </c>
      <c r="S88" s="99">
        <v>5954.4</v>
      </c>
      <c r="T88" s="99">
        <v>11</v>
      </c>
      <c r="U88" s="99">
        <v>10916.4</v>
      </c>
      <c r="V88" s="99">
        <v>9</v>
      </c>
      <c r="W88" s="99">
        <v>8931.6</v>
      </c>
      <c r="X88" s="99">
        <v>10</v>
      </c>
      <c r="Y88" s="99">
        <v>9924</v>
      </c>
      <c r="Z88" s="99">
        <v>11</v>
      </c>
      <c r="AA88" s="99">
        <v>10916.4</v>
      </c>
      <c r="AB88" s="99">
        <v>11</v>
      </c>
      <c r="AC88" s="99">
        <v>10916.4</v>
      </c>
      <c r="AD88" s="99">
        <v>9</v>
      </c>
      <c r="AE88" s="99">
        <v>8931.6</v>
      </c>
      <c r="AF88" s="99">
        <v>8</v>
      </c>
      <c r="AG88" s="99">
        <v>7939.2</v>
      </c>
      <c r="AH88" s="99">
        <v>9</v>
      </c>
      <c r="AI88" s="99">
        <v>8931.6</v>
      </c>
      <c r="AJ88" s="99">
        <v>11</v>
      </c>
      <c r="AK88" s="99">
        <v>10916.4</v>
      </c>
      <c r="AL88" s="99">
        <v>7</v>
      </c>
      <c r="AM88" s="99">
        <v>6946.8</v>
      </c>
      <c r="AN88" s="99">
        <v>10</v>
      </c>
      <c r="AO88" s="99">
        <v>9924</v>
      </c>
      <c r="AP88" s="99">
        <v>9</v>
      </c>
      <c r="AQ88" s="99">
        <v>8931.6</v>
      </c>
      <c r="AR88" s="99">
        <v>11</v>
      </c>
      <c r="AS88" s="99">
        <v>10916.4</v>
      </c>
      <c r="AT88" s="99">
        <v>12</v>
      </c>
      <c r="AU88" s="99">
        <v>11908.8</v>
      </c>
      <c r="AV88" s="99">
        <v>9</v>
      </c>
      <c r="AW88" s="99">
        <v>8931.6</v>
      </c>
      <c r="AX88" s="99">
        <v>10</v>
      </c>
      <c r="AY88" s="99">
        <v>9924</v>
      </c>
      <c r="AZ88" s="99">
        <v>8</v>
      </c>
      <c r="BA88" s="99">
        <v>7939.2</v>
      </c>
      <c r="BB88" s="99">
        <v>11</v>
      </c>
      <c r="BC88" s="99">
        <v>10916.4</v>
      </c>
      <c r="BD88" s="99">
        <v>12</v>
      </c>
      <c r="BE88" s="99">
        <v>11908.8</v>
      </c>
      <c r="BF88" s="99">
        <v>12</v>
      </c>
      <c r="BG88" s="99">
        <v>11908.8</v>
      </c>
      <c r="BH88" s="99">
        <v>11</v>
      </c>
      <c r="BI88" s="99">
        <v>10916.4</v>
      </c>
      <c r="BJ88" s="99">
        <v>6</v>
      </c>
      <c r="BK88" s="99">
        <v>5954.4</v>
      </c>
      <c r="BL88" s="99">
        <v>9</v>
      </c>
      <c r="BM88" s="99">
        <v>8931.6</v>
      </c>
      <c r="BN88" s="99">
        <v>9</v>
      </c>
      <c r="BO88" s="99">
        <v>8931.6</v>
      </c>
      <c r="BP88" s="99">
        <v>11</v>
      </c>
      <c r="BQ88" s="99">
        <v>10916.4</v>
      </c>
      <c r="BR88" s="99">
        <v>11</v>
      </c>
      <c r="BS88" s="99">
        <v>10916.4</v>
      </c>
      <c r="BT88" s="99">
        <v>13</v>
      </c>
      <c r="BU88" s="99">
        <v>12901.199999999999</v>
      </c>
      <c r="BV88" s="99">
        <v>9</v>
      </c>
      <c r="BW88" s="99">
        <v>8931.6</v>
      </c>
      <c r="BX88" s="99">
        <v>9</v>
      </c>
      <c r="BY88" s="99">
        <v>8931.6</v>
      </c>
      <c r="BZ88" s="99">
        <v>9</v>
      </c>
      <c r="CA88" s="99">
        <v>8931.6</v>
      </c>
      <c r="CB88" s="99">
        <v>13</v>
      </c>
      <c r="CC88" s="99">
        <v>12901.199999999999</v>
      </c>
      <c r="CD88" s="99">
        <v>11</v>
      </c>
      <c r="CE88" s="99">
        <v>10916.4</v>
      </c>
      <c r="CF88" s="99">
        <v>8</v>
      </c>
      <c r="CG88" s="99">
        <v>7939.2</v>
      </c>
      <c r="CH88" s="99">
        <v>10</v>
      </c>
      <c r="CI88" s="99">
        <v>9924</v>
      </c>
      <c r="CJ88" s="99">
        <v>7</v>
      </c>
      <c r="CK88" s="99">
        <v>6946.8</v>
      </c>
      <c r="CL88" s="99">
        <v>8</v>
      </c>
      <c r="CM88" s="99">
        <v>7939.2</v>
      </c>
      <c r="CN88" s="99">
        <v>11</v>
      </c>
      <c r="CO88" s="99">
        <v>10916.4</v>
      </c>
      <c r="CP88" s="99">
        <v>8</v>
      </c>
      <c r="CQ88" s="99">
        <v>7939.2</v>
      </c>
      <c r="CR88" s="99">
        <v>9</v>
      </c>
      <c r="CS88" s="99">
        <v>8931.6</v>
      </c>
      <c r="CT88" s="99">
        <v>10</v>
      </c>
      <c r="CU88" s="99">
        <v>9924</v>
      </c>
    </row>
    <row r="89" spans="2:99">
      <c r="C89" s="98" t="s">
        <v>255</v>
      </c>
      <c r="D89" s="99">
        <v>9</v>
      </c>
      <c r="E89" s="99">
        <v>9558</v>
      </c>
      <c r="F89" s="99">
        <v>9</v>
      </c>
      <c r="G89" s="99">
        <v>9558</v>
      </c>
      <c r="H89" s="99">
        <v>11</v>
      </c>
      <c r="I89" s="99">
        <v>11682</v>
      </c>
      <c r="J89" s="99">
        <v>7</v>
      </c>
      <c r="K89" s="99">
        <v>7434</v>
      </c>
      <c r="L89" s="99">
        <v>9</v>
      </c>
      <c r="M89" s="99">
        <v>9558</v>
      </c>
      <c r="N89" s="99">
        <v>6</v>
      </c>
      <c r="O89" s="99">
        <v>6372</v>
      </c>
      <c r="P89" s="99">
        <v>8</v>
      </c>
      <c r="Q89" s="99">
        <v>8496</v>
      </c>
      <c r="R89" s="99">
        <v>6</v>
      </c>
      <c r="S89" s="99">
        <v>6372</v>
      </c>
      <c r="T89" s="99">
        <v>10</v>
      </c>
      <c r="U89" s="99">
        <v>10620</v>
      </c>
      <c r="V89" s="99">
        <v>9</v>
      </c>
      <c r="W89" s="99">
        <v>9558</v>
      </c>
      <c r="X89" s="99">
        <v>11</v>
      </c>
      <c r="Y89" s="99">
        <v>11682</v>
      </c>
      <c r="Z89" s="99">
        <v>10</v>
      </c>
      <c r="AA89" s="99">
        <v>10620</v>
      </c>
      <c r="AB89" s="99">
        <v>10</v>
      </c>
      <c r="AC89" s="99">
        <v>10620</v>
      </c>
      <c r="AD89" s="99">
        <v>9</v>
      </c>
      <c r="AE89" s="99">
        <v>9558</v>
      </c>
      <c r="AF89" s="99">
        <v>8</v>
      </c>
      <c r="AG89" s="99">
        <v>8496</v>
      </c>
      <c r="AH89" s="99">
        <v>9</v>
      </c>
      <c r="AI89" s="99">
        <v>9558</v>
      </c>
      <c r="AJ89" s="99">
        <v>12</v>
      </c>
      <c r="AK89" s="99">
        <v>12744</v>
      </c>
      <c r="AL89" s="99">
        <v>8</v>
      </c>
      <c r="AM89" s="99">
        <v>8496</v>
      </c>
      <c r="AN89" s="99">
        <v>10</v>
      </c>
      <c r="AO89" s="99">
        <v>10620</v>
      </c>
      <c r="AP89" s="99">
        <v>9</v>
      </c>
      <c r="AQ89" s="99">
        <v>9558</v>
      </c>
      <c r="AR89" s="99">
        <v>10</v>
      </c>
      <c r="AS89" s="99">
        <v>10620</v>
      </c>
      <c r="AT89" s="99">
        <v>10</v>
      </c>
      <c r="AU89" s="99">
        <v>10620</v>
      </c>
      <c r="AV89" s="99">
        <v>8</v>
      </c>
      <c r="AW89" s="99">
        <v>8496</v>
      </c>
      <c r="AX89" s="99">
        <v>9</v>
      </c>
      <c r="AY89" s="99">
        <v>9558</v>
      </c>
      <c r="AZ89" s="99">
        <v>8</v>
      </c>
      <c r="BA89" s="99">
        <v>8496</v>
      </c>
      <c r="BB89" s="99">
        <v>13</v>
      </c>
      <c r="BC89" s="99">
        <v>13806</v>
      </c>
      <c r="BD89" s="99">
        <v>13</v>
      </c>
      <c r="BE89" s="99">
        <v>13806</v>
      </c>
      <c r="BF89" s="99">
        <v>11</v>
      </c>
      <c r="BG89" s="99">
        <v>11682</v>
      </c>
      <c r="BH89" s="99">
        <v>11</v>
      </c>
      <c r="BI89" s="99">
        <v>11682</v>
      </c>
      <c r="BJ89" s="99">
        <v>7</v>
      </c>
      <c r="BK89" s="99">
        <v>7434</v>
      </c>
      <c r="BL89" s="99">
        <v>9</v>
      </c>
      <c r="BM89" s="99">
        <v>9558</v>
      </c>
      <c r="BN89" s="99">
        <v>9</v>
      </c>
      <c r="BO89" s="99">
        <v>9558</v>
      </c>
      <c r="BP89" s="99">
        <v>9</v>
      </c>
      <c r="BQ89" s="99">
        <v>9558</v>
      </c>
      <c r="BR89" s="99">
        <v>11</v>
      </c>
      <c r="BS89" s="99">
        <v>11682</v>
      </c>
      <c r="BT89" s="99">
        <v>13</v>
      </c>
      <c r="BU89" s="99">
        <v>13806</v>
      </c>
      <c r="BV89" s="99">
        <v>8</v>
      </c>
      <c r="BW89" s="99">
        <v>8496</v>
      </c>
      <c r="BX89" s="99">
        <v>9</v>
      </c>
      <c r="BY89" s="99">
        <v>9558</v>
      </c>
      <c r="BZ89" s="99">
        <v>8</v>
      </c>
      <c r="CA89" s="99">
        <v>8496</v>
      </c>
      <c r="CB89" s="99">
        <v>13</v>
      </c>
      <c r="CC89" s="99">
        <v>13806</v>
      </c>
      <c r="CD89" s="99">
        <v>11</v>
      </c>
      <c r="CE89" s="99">
        <v>11682</v>
      </c>
      <c r="CF89" s="99">
        <v>8</v>
      </c>
      <c r="CG89" s="99">
        <v>8496</v>
      </c>
      <c r="CH89" s="99">
        <v>11</v>
      </c>
      <c r="CI89" s="99">
        <v>11682</v>
      </c>
      <c r="CJ89" s="99">
        <v>8</v>
      </c>
      <c r="CK89" s="99">
        <v>8496</v>
      </c>
      <c r="CL89" s="99">
        <v>9</v>
      </c>
      <c r="CM89" s="99">
        <v>9558</v>
      </c>
      <c r="CN89" s="99">
        <v>12</v>
      </c>
      <c r="CO89" s="99">
        <v>12744</v>
      </c>
      <c r="CP89" s="99">
        <v>7</v>
      </c>
      <c r="CQ89" s="99">
        <v>7434</v>
      </c>
      <c r="CR89" s="99">
        <v>9</v>
      </c>
      <c r="CS89" s="99">
        <v>9558</v>
      </c>
      <c r="CT89" s="99">
        <v>9</v>
      </c>
      <c r="CU89" s="99">
        <v>9558</v>
      </c>
    </row>
    <row r="90" spans="2:99">
      <c r="C90" s="98" t="s">
        <v>256</v>
      </c>
      <c r="D90" s="99">
        <v>9</v>
      </c>
      <c r="E90" s="99">
        <v>9979.1999999999989</v>
      </c>
      <c r="F90" s="99">
        <v>10</v>
      </c>
      <c r="G90" s="99">
        <v>11088</v>
      </c>
      <c r="H90" s="99">
        <v>10</v>
      </c>
      <c r="I90" s="99">
        <v>11088</v>
      </c>
      <c r="J90" s="99">
        <v>7</v>
      </c>
      <c r="K90" s="99">
        <v>7761.5999999999995</v>
      </c>
      <c r="L90" s="99">
        <v>9</v>
      </c>
      <c r="M90" s="99">
        <v>9979.1999999999989</v>
      </c>
      <c r="N90" s="99">
        <v>7</v>
      </c>
      <c r="O90" s="99">
        <v>7761.5999999999995</v>
      </c>
      <c r="P90" s="99">
        <v>8</v>
      </c>
      <c r="Q90" s="99">
        <v>8870.4</v>
      </c>
      <c r="R90" s="99">
        <v>6</v>
      </c>
      <c r="S90" s="99">
        <v>6652.7999999999993</v>
      </c>
      <c r="T90" s="99">
        <v>9</v>
      </c>
      <c r="U90" s="99">
        <v>9979.1999999999989</v>
      </c>
      <c r="V90" s="99">
        <v>9</v>
      </c>
      <c r="W90" s="99">
        <v>9979.1999999999989</v>
      </c>
      <c r="X90" s="99">
        <v>10</v>
      </c>
      <c r="Y90" s="99">
        <v>11088</v>
      </c>
      <c r="Z90" s="99">
        <v>12</v>
      </c>
      <c r="AA90" s="99">
        <v>13305.599999999999</v>
      </c>
      <c r="AB90" s="99">
        <v>9</v>
      </c>
      <c r="AC90" s="99">
        <v>9979.1999999999989</v>
      </c>
      <c r="AD90" s="99">
        <v>8</v>
      </c>
      <c r="AE90" s="99">
        <v>8870.4</v>
      </c>
      <c r="AF90" s="99">
        <v>9</v>
      </c>
      <c r="AG90" s="99">
        <v>9979.1999999999989</v>
      </c>
      <c r="AH90" s="99">
        <v>11</v>
      </c>
      <c r="AI90" s="99">
        <v>12196.8</v>
      </c>
      <c r="AJ90" s="99">
        <v>12</v>
      </c>
      <c r="AK90" s="99">
        <v>13305.599999999999</v>
      </c>
      <c r="AL90" s="99">
        <v>8</v>
      </c>
      <c r="AM90" s="99">
        <v>8870.4</v>
      </c>
      <c r="AN90" s="99">
        <v>11</v>
      </c>
      <c r="AO90" s="99">
        <v>12196.8</v>
      </c>
      <c r="AP90" s="99">
        <v>10</v>
      </c>
      <c r="AQ90" s="99">
        <v>11088</v>
      </c>
      <c r="AR90" s="99">
        <v>11</v>
      </c>
      <c r="AS90" s="99">
        <v>12196.8</v>
      </c>
      <c r="AT90" s="99">
        <v>11</v>
      </c>
      <c r="AU90" s="99">
        <v>12196.8</v>
      </c>
      <c r="AV90" s="99">
        <v>9</v>
      </c>
      <c r="AW90" s="99">
        <v>9979.1999999999989</v>
      </c>
      <c r="AX90" s="99">
        <v>10</v>
      </c>
      <c r="AY90" s="99">
        <v>11088</v>
      </c>
      <c r="AZ90" s="99">
        <v>9</v>
      </c>
      <c r="BA90" s="99">
        <v>9979.1999999999989</v>
      </c>
      <c r="BB90" s="99">
        <v>12</v>
      </c>
      <c r="BC90" s="99">
        <v>13305.599999999999</v>
      </c>
      <c r="BD90" s="99">
        <v>12</v>
      </c>
      <c r="BE90" s="99">
        <v>13305.599999999999</v>
      </c>
      <c r="BF90" s="99">
        <v>10</v>
      </c>
      <c r="BG90" s="99">
        <v>11088</v>
      </c>
      <c r="BH90" s="99">
        <v>11</v>
      </c>
      <c r="BI90" s="99">
        <v>12196.8</v>
      </c>
      <c r="BJ90" s="99">
        <v>7</v>
      </c>
      <c r="BK90" s="99">
        <v>7761.5999999999995</v>
      </c>
      <c r="BL90" s="99">
        <v>9</v>
      </c>
      <c r="BM90" s="99">
        <v>9979.1999999999989</v>
      </c>
      <c r="BN90" s="99">
        <v>9</v>
      </c>
      <c r="BO90" s="99">
        <v>9979.1999999999989</v>
      </c>
      <c r="BP90" s="99">
        <v>10</v>
      </c>
      <c r="BQ90" s="99">
        <v>11088</v>
      </c>
      <c r="BR90" s="99">
        <v>11</v>
      </c>
      <c r="BS90" s="99">
        <v>12196.8</v>
      </c>
      <c r="BT90" s="99">
        <v>13</v>
      </c>
      <c r="BU90" s="99">
        <v>14414.4</v>
      </c>
      <c r="BV90" s="99">
        <v>9</v>
      </c>
      <c r="BW90" s="99">
        <v>9979.1999999999989</v>
      </c>
      <c r="BX90" s="99">
        <v>9</v>
      </c>
      <c r="BY90" s="99">
        <v>9979.1999999999989</v>
      </c>
      <c r="BZ90" s="99">
        <v>10</v>
      </c>
      <c r="CA90" s="99">
        <v>11088</v>
      </c>
      <c r="CB90" s="99">
        <v>11</v>
      </c>
      <c r="CC90" s="99">
        <v>12196.8</v>
      </c>
      <c r="CD90" s="99">
        <v>10</v>
      </c>
      <c r="CE90" s="99">
        <v>11088</v>
      </c>
      <c r="CF90" s="99">
        <v>8</v>
      </c>
      <c r="CG90" s="99">
        <v>8870.4</v>
      </c>
      <c r="CH90" s="99">
        <v>10</v>
      </c>
      <c r="CI90" s="99">
        <v>11088</v>
      </c>
      <c r="CJ90" s="99">
        <v>7</v>
      </c>
      <c r="CK90" s="99">
        <v>7761.5999999999995</v>
      </c>
      <c r="CL90" s="99">
        <v>8</v>
      </c>
      <c r="CM90" s="99">
        <v>8870.4</v>
      </c>
      <c r="CN90" s="99">
        <v>10</v>
      </c>
      <c r="CO90" s="99">
        <v>11088</v>
      </c>
      <c r="CP90" s="99">
        <v>8</v>
      </c>
      <c r="CQ90" s="99">
        <v>8870.4</v>
      </c>
      <c r="CR90" s="99">
        <v>9</v>
      </c>
      <c r="CS90" s="99">
        <v>9979.1999999999989</v>
      </c>
      <c r="CT90" s="99">
        <v>10</v>
      </c>
      <c r="CU90" s="99">
        <v>11088</v>
      </c>
    </row>
    <row r="91" spans="2:99">
      <c r="C91" s="98" t="s">
        <v>257</v>
      </c>
      <c r="D91" s="99">
        <v>10</v>
      </c>
      <c r="E91" s="99">
        <v>11363.999999999998</v>
      </c>
      <c r="F91" s="99">
        <v>10</v>
      </c>
      <c r="G91" s="99">
        <v>11363.999999999998</v>
      </c>
      <c r="H91" s="99">
        <v>10</v>
      </c>
      <c r="I91" s="99">
        <v>11363.999999999998</v>
      </c>
      <c r="J91" s="99">
        <v>6</v>
      </c>
      <c r="K91" s="99">
        <v>6818.4</v>
      </c>
      <c r="L91" s="99">
        <v>8</v>
      </c>
      <c r="M91" s="99">
        <v>9091.1999999999989</v>
      </c>
      <c r="N91" s="99">
        <v>6</v>
      </c>
      <c r="O91" s="99">
        <v>6818.4</v>
      </c>
      <c r="P91" s="99">
        <v>8</v>
      </c>
      <c r="Q91" s="99">
        <v>9091.1999999999989</v>
      </c>
      <c r="R91" s="99">
        <v>6</v>
      </c>
      <c r="S91" s="99">
        <v>6818.4</v>
      </c>
      <c r="T91" s="99">
        <v>10</v>
      </c>
      <c r="U91" s="99">
        <v>11363.999999999998</v>
      </c>
      <c r="V91" s="99">
        <v>10</v>
      </c>
      <c r="W91" s="99">
        <v>11363.999999999998</v>
      </c>
      <c r="X91" s="99">
        <v>9</v>
      </c>
      <c r="Y91" s="99">
        <v>10227.599999999999</v>
      </c>
      <c r="Z91" s="99">
        <v>10</v>
      </c>
      <c r="AA91" s="99">
        <v>11363.999999999998</v>
      </c>
      <c r="AB91" s="99">
        <v>11</v>
      </c>
      <c r="AC91" s="99">
        <v>12500.399999999998</v>
      </c>
      <c r="AD91" s="99">
        <v>8</v>
      </c>
      <c r="AE91" s="99">
        <v>9091.1999999999989</v>
      </c>
      <c r="AF91" s="99">
        <v>8</v>
      </c>
      <c r="AG91" s="99">
        <v>9091.1999999999989</v>
      </c>
      <c r="AH91" s="99">
        <v>10</v>
      </c>
      <c r="AI91" s="99">
        <v>11363.999999999998</v>
      </c>
      <c r="AJ91" s="99">
        <v>11</v>
      </c>
      <c r="AK91" s="99">
        <v>12500.399999999998</v>
      </c>
      <c r="AL91" s="99">
        <v>7</v>
      </c>
      <c r="AM91" s="99">
        <v>7954.7999999999993</v>
      </c>
      <c r="AN91" s="99">
        <v>9</v>
      </c>
      <c r="AO91" s="99">
        <v>10227.599999999999</v>
      </c>
      <c r="AP91" s="99">
        <v>8</v>
      </c>
      <c r="AQ91" s="99">
        <v>9091.1999999999989</v>
      </c>
      <c r="AR91" s="99">
        <v>12</v>
      </c>
      <c r="AS91" s="99">
        <v>13636.8</v>
      </c>
      <c r="AT91" s="99">
        <v>10</v>
      </c>
      <c r="AU91" s="99">
        <v>11363.999999999998</v>
      </c>
      <c r="AV91" s="99">
        <v>9</v>
      </c>
      <c r="AW91" s="99">
        <v>10227.599999999999</v>
      </c>
      <c r="AX91" s="99">
        <v>10</v>
      </c>
      <c r="AY91" s="99">
        <v>11363.999999999998</v>
      </c>
      <c r="AZ91" s="99">
        <v>8</v>
      </c>
      <c r="BA91" s="99">
        <v>9091.1999999999989</v>
      </c>
      <c r="BB91" s="99">
        <v>12</v>
      </c>
      <c r="BC91" s="99">
        <v>13636.8</v>
      </c>
      <c r="BD91" s="99">
        <v>13</v>
      </c>
      <c r="BE91" s="99">
        <v>14773.199999999999</v>
      </c>
      <c r="BF91" s="99">
        <v>13</v>
      </c>
      <c r="BG91" s="99">
        <v>14773.199999999999</v>
      </c>
      <c r="BH91" s="99">
        <v>10</v>
      </c>
      <c r="BI91" s="99">
        <v>11363.999999999998</v>
      </c>
      <c r="BJ91" s="99">
        <v>6</v>
      </c>
      <c r="BK91" s="99">
        <v>6818.4</v>
      </c>
      <c r="BL91" s="99">
        <v>9</v>
      </c>
      <c r="BM91" s="99">
        <v>10227.599999999999</v>
      </c>
      <c r="BN91" s="99">
        <v>9</v>
      </c>
      <c r="BO91" s="99">
        <v>10227.599999999999</v>
      </c>
      <c r="BP91" s="99">
        <v>10</v>
      </c>
      <c r="BQ91" s="99">
        <v>11363.999999999998</v>
      </c>
      <c r="BR91" s="99">
        <v>11</v>
      </c>
      <c r="BS91" s="99">
        <v>12500.399999999998</v>
      </c>
      <c r="BT91" s="99">
        <v>13</v>
      </c>
      <c r="BU91" s="99">
        <v>14773.199999999999</v>
      </c>
      <c r="BV91" s="99">
        <v>8</v>
      </c>
      <c r="BW91" s="99">
        <v>9091.1999999999989</v>
      </c>
      <c r="BX91" s="99">
        <v>9</v>
      </c>
      <c r="BY91" s="99">
        <v>10227.599999999999</v>
      </c>
      <c r="BZ91" s="99">
        <v>10</v>
      </c>
      <c r="CA91" s="99">
        <v>11363.999999999998</v>
      </c>
      <c r="CB91" s="99">
        <v>12</v>
      </c>
      <c r="CC91" s="99">
        <v>13636.8</v>
      </c>
      <c r="CD91" s="99">
        <v>11</v>
      </c>
      <c r="CE91" s="99">
        <v>12500.399999999998</v>
      </c>
      <c r="CF91" s="99">
        <v>8</v>
      </c>
      <c r="CG91" s="99">
        <v>9091.1999999999989</v>
      </c>
      <c r="CH91" s="99">
        <v>10</v>
      </c>
      <c r="CI91" s="99">
        <v>11363.999999999998</v>
      </c>
      <c r="CJ91" s="99">
        <v>7</v>
      </c>
      <c r="CK91" s="99">
        <v>7954.7999999999993</v>
      </c>
      <c r="CL91" s="99">
        <v>7</v>
      </c>
      <c r="CM91" s="99">
        <v>7954.7999999999993</v>
      </c>
      <c r="CN91" s="99">
        <v>12</v>
      </c>
      <c r="CO91" s="99">
        <v>13636.8</v>
      </c>
      <c r="CP91" s="99">
        <v>8</v>
      </c>
      <c r="CQ91" s="99">
        <v>9091.1999999999989</v>
      </c>
      <c r="CR91" s="99">
        <v>8</v>
      </c>
      <c r="CS91" s="99">
        <v>9091.1999999999989</v>
      </c>
      <c r="CT91" s="99">
        <v>9</v>
      </c>
      <c r="CU91" s="99">
        <v>10227.599999999999</v>
      </c>
    </row>
    <row r="92" spans="2:99">
      <c r="C92" s="98" t="s">
        <v>258</v>
      </c>
      <c r="D92" s="99">
        <v>10</v>
      </c>
      <c r="E92" s="99">
        <v>7848</v>
      </c>
      <c r="F92" s="99">
        <v>9</v>
      </c>
      <c r="G92" s="99">
        <v>7063.2</v>
      </c>
      <c r="H92" s="99">
        <v>12</v>
      </c>
      <c r="I92" s="99">
        <v>9417.5999999999985</v>
      </c>
      <c r="J92" s="99">
        <v>7</v>
      </c>
      <c r="K92" s="99">
        <v>5493.5999999999995</v>
      </c>
      <c r="L92" s="99">
        <v>9</v>
      </c>
      <c r="M92" s="99">
        <v>7063.2</v>
      </c>
      <c r="N92" s="99">
        <v>6</v>
      </c>
      <c r="O92" s="99">
        <v>4708.7999999999993</v>
      </c>
      <c r="P92" s="99">
        <v>8</v>
      </c>
      <c r="Q92" s="99">
        <v>6278.4</v>
      </c>
      <c r="R92" s="99">
        <v>6</v>
      </c>
      <c r="S92" s="99">
        <v>4708.7999999999993</v>
      </c>
      <c r="T92" s="99">
        <v>11</v>
      </c>
      <c r="U92" s="99">
        <v>8632.7999999999993</v>
      </c>
      <c r="V92" s="99">
        <v>9</v>
      </c>
      <c r="W92" s="99">
        <v>7063.2</v>
      </c>
      <c r="X92" s="99">
        <v>11</v>
      </c>
      <c r="Y92" s="99">
        <v>8632.7999999999993</v>
      </c>
      <c r="Z92" s="99">
        <v>12</v>
      </c>
      <c r="AA92" s="99">
        <v>9417.5999999999985</v>
      </c>
      <c r="AB92" s="99">
        <v>10</v>
      </c>
      <c r="AC92" s="99">
        <v>7848</v>
      </c>
      <c r="AD92" s="99">
        <v>9</v>
      </c>
      <c r="AE92" s="99">
        <v>7063.2</v>
      </c>
      <c r="AF92" s="99">
        <v>8</v>
      </c>
      <c r="AG92" s="99">
        <v>6278.4</v>
      </c>
      <c r="AH92" s="99">
        <v>10</v>
      </c>
      <c r="AI92" s="99">
        <v>7848</v>
      </c>
      <c r="AJ92" s="99">
        <v>12</v>
      </c>
      <c r="AK92" s="99">
        <v>9417.5999999999985</v>
      </c>
      <c r="AL92" s="99">
        <v>8</v>
      </c>
      <c r="AM92" s="99">
        <v>6278.4</v>
      </c>
      <c r="AN92" s="99">
        <v>10</v>
      </c>
      <c r="AO92" s="99">
        <v>7848</v>
      </c>
      <c r="AP92" s="99">
        <v>10</v>
      </c>
      <c r="AQ92" s="99">
        <v>7848</v>
      </c>
      <c r="AR92" s="99">
        <v>12</v>
      </c>
      <c r="AS92" s="99">
        <v>9417.5999999999985</v>
      </c>
      <c r="AT92" s="99">
        <v>10</v>
      </c>
      <c r="AU92" s="99">
        <v>7848</v>
      </c>
      <c r="AV92" s="99">
        <v>9</v>
      </c>
      <c r="AW92" s="99">
        <v>7063.2</v>
      </c>
      <c r="AX92" s="99">
        <v>10</v>
      </c>
      <c r="AY92" s="99">
        <v>7848</v>
      </c>
      <c r="AZ92" s="99">
        <v>9</v>
      </c>
      <c r="BA92" s="99">
        <v>7063.2</v>
      </c>
      <c r="BB92" s="99">
        <v>13</v>
      </c>
      <c r="BC92" s="99">
        <v>10202.4</v>
      </c>
      <c r="BD92" s="99">
        <v>12</v>
      </c>
      <c r="BE92" s="99">
        <v>9417.5999999999985</v>
      </c>
      <c r="BF92" s="99">
        <v>11</v>
      </c>
      <c r="BG92" s="99">
        <v>8632.7999999999993</v>
      </c>
      <c r="BH92" s="99">
        <v>10</v>
      </c>
      <c r="BI92" s="99">
        <v>7848</v>
      </c>
      <c r="BJ92" s="99">
        <v>7</v>
      </c>
      <c r="BK92" s="99">
        <v>5493.5999999999995</v>
      </c>
      <c r="BL92" s="99">
        <v>10</v>
      </c>
      <c r="BM92" s="99">
        <v>7848</v>
      </c>
      <c r="BN92" s="99">
        <v>9</v>
      </c>
      <c r="BO92" s="99">
        <v>7063.2</v>
      </c>
      <c r="BP92" s="99">
        <v>10</v>
      </c>
      <c r="BQ92" s="99">
        <v>7848</v>
      </c>
      <c r="BR92" s="99">
        <v>12</v>
      </c>
      <c r="BS92" s="99">
        <v>9417.5999999999985</v>
      </c>
      <c r="BT92" s="99">
        <v>12</v>
      </c>
      <c r="BU92" s="99">
        <v>9417.5999999999985</v>
      </c>
      <c r="BV92" s="99">
        <v>9</v>
      </c>
      <c r="BW92" s="99">
        <v>7063.2</v>
      </c>
      <c r="BX92" s="99">
        <v>9</v>
      </c>
      <c r="BY92" s="99">
        <v>7063.2</v>
      </c>
      <c r="BZ92" s="99">
        <v>9</v>
      </c>
      <c r="CA92" s="99">
        <v>7063.2</v>
      </c>
      <c r="CB92" s="99">
        <v>11</v>
      </c>
      <c r="CC92" s="99">
        <v>8632.7999999999993</v>
      </c>
      <c r="CD92" s="99">
        <v>10</v>
      </c>
      <c r="CE92" s="99">
        <v>7848</v>
      </c>
      <c r="CF92" s="99">
        <v>7</v>
      </c>
      <c r="CG92" s="99">
        <v>5493.5999999999995</v>
      </c>
      <c r="CH92" s="99">
        <v>10</v>
      </c>
      <c r="CI92" s="99">
        <v>7848</v>
      </c>
      <c r="CJ92" s="99">
        <v>8</v>
      </c>
      <c r="CK92" s="99">
        <v>6278.4</v>
      </c>
      <c r="CL92" s="99">
        <v>7</v>
      </c>
      <c r="CM92" s="99">
        <v>5493.5999999999995</v>
      </c>
      <c r="CN92" s="99">
        <v>10</v>
      </c>
      <c r="CO92" s="99">
        <v>7848</v>
      </c>
      <c r="CP92" s="99">
        <v>8</v>
      </c>
      <c r="CQ92" s="99">
        <v>6278.4</v>
      </c>
      <c r="CR92" s="99">
        <v>9</v>
      </c>
      <c r="CS92" s="99">
        <v>7063.2</v>
      </c>
      <c r="CT92" s="99">
        <v>9</v>
      </c>
      <c r="CU92" s="99">
        <v>7063.2</v>
      </c>
    </row>
    <row r="93" spans="2:99">
      <c r="C93" s="98" t="s">
        <v>259</v>
      </c>
      <c r="D93" s="99">
        <v>11</v>
      </c>
      <c r="E93" s="99">
        <v>7629.6</v>
      </c>
      <c r="F93" s="99">
        <v>11</v>
      </c>
      <c r="G93" s="99">
        <v>7629.6</v>
      </c>
      <c r="H93" s="99">
        <v>11</v>
      </c>
      <c r="I93" s="99">
        <v>7629.6</v>
      </c>
      <c r="J93" s="99">
        <v>7</v>
      </c>
      <c r="K93" s="99">
        <v>4855.2</v>
      </c>
      <c r="L93" s="99">
        <v>9</v>
      </c>
      <c r="M93" s="99">
        <v>6242.4000000000005</v>
      </c>
      <c r="N93" s="99">
        <v>6</v>
      </c>
      <c r="O93" s="99">
        <v>4161.6000000000004</v>
      </c>
      <c r="P93" s="99">
        <v>8</v>
      </c>
      <c r="Q93" s="99">
        <v>5548.8</v>
      </c>
      <c r="R93" s="99">
        <v>7</v>
      </c>
      <c r="S93" s="99">
        <v>4855.2</v>
      </c>
      <c r="T93" s="99">
        <v>11</v>
      </c>
      <c r="U93" s="99">
        <v>7629.6</v>
      </c>
      <c r="V93" s="99">
        <v>9</v>
      </c>
      <c r="W93" s="99">
        <v>6242.4000000000005</v>
      </c>
      <c r="X93" s="99">
        <v>10</v>
      </c>
      <c r="Y93" s="99">
        <v>6936</v>
      </c>
      <c r="Z93" s="99">
        <v>12</v>
      </c>
      <c r="AA93" s="99">
        <v>8323.2000000000007</v>
      </c>
      <c r="AB93" s="99">
        <v>11</v>
      </c>
      <c r="AC93" s="99">
        <v>7629.6</v>
      </c>
      <c r="AD93" s="99">
        <v>9</v>
      </c>
      <c r="AE93" s="99">
        <v>6242.4000000000005</v>
      </c>
      <c r="AF93" s="99">
        <v>9</v>
      </c>
      <c r="AG93" s="99">
        <v>6242.4000000000005</v>
      </c>
      <c r="AH93" s="99">
        <v>11</v>
      </c>
      <c r="AI93" s="99">
        <v>7629.6</v>
      </c>
      <c r="AJ93" s="99">
        <v>11</v>
      </c>
      <c r="AK93" s="99">
        <v>7629.6</v>
      </c>
      <c r="AL93" s="99">
        <v>8</v>
      </c>
      <c r="AM93" s="99">
        <v>5548.8</v>
      </c>
      <c r="AN93" s="99">
        <v>9</v>
      </c>
      <c r="AO93" s="99">
        <v>6242.4000000000005</v>
      </c>
      <c r="AP93" s="99">
        <v>8</v>
      </c>
      <c r="AQ93" s="99">
        <v>5548.8</v>
      </c>
      <c r="AR93" s="99">
        <v>11</v>
      </c>
      <c r="AS93" s="99">
        <v>7629.6</v>
      </c>
      <c r="AT93" s="99">
        <v>11</v>
      </c>
      <c r="AU93" s="99">
        <v>7629.6</v>
      </c>
      <c r="AV93" s="99">
        <v>9</v>
      </c>
      <c r="AW93" s="99">
        <v>6242.4000000000005</v>
      </c>
      <c r="AX93" s="99">
        <v>10</v>
      </c>
      <c r="AY93" s="99">
        <v>6936</v>
      </c>
      <c r="AZ93" s="99">
        <v>8</v>
      </c>
      <c r="BA93" s="99">
        <v>5548.8</v>
      </c>
      <c r="BB93" s="99">
        <v>12</v>
      </c>
      <c r="BC93" s="99">
        <v>8323.2000000000007</v>
      </c>
      <c r="BD93" s="99">
        <v>13</v>
      </c>
      <c r="BE93" s="99">
        <v>9016.8000000000011</v>
      </c>
      <c r="BF93" s="99">
        <v>13</v>
      </c>
      <c r="BG93" s="99">
        <v>9016.8000000000011</v>
      </c>
      <c r="BH93" s="99">
        <v>11</v>
      </c>
      <c r="BI93" s="99">
        <v>7629.6</v>
      </c>
      <c r="BJ93" s="99">
        <v>7</v>
      </c>
      <c r="BK93" s="99">
        <v>4855.2</v>
      </c>
      <c r="BL93" s="99">
        <v>9</v>
      </c>
      <c r="BM93" s="99">
        <v>6242.4000000000005</v>
      </c>
      <c r="BN93" s="99">
        <v>9</v>
      </c>
      <c r="BO93" s="99">
        <v>6242.4000000000005</v>
      </c>
      <c r="BP93" s="99">
        <v>9</v>
      </c>
      <c r="BQ93" s="99">
        <v>6242.4000000000005</v>
      </c>
      <c r="BR93" s="99">
        <v>11</v>
      </c>
      <c r="BS93" s="99">
        <v>7629.6</v>
      </c>
      <c r="BT93" s="99">
        <v>14</v>
      </c>
      <c r="BU93" s="99">
        <v>9710.4</v>
      </c>
      <c r="BV93" s="99">
        <v>8</v>
      </c>
      <c r="BW93" s="99">
        <v>5548.8</v>
      </c>
      <c r="BX93" s="99">
        <v>9</v>
      </c>
      <c r="BY93" s="99">
        <v>6242.4000000000005</v>
      </c>
      <c r="BZ93" s="99">
        <v>9</v>
      </c>
      <c r="CA93" s="99">
        <v>6242.4000000000005</v>
      </c>
      <c r="CB93" s="99">
        <v>12</v>
      </c>
      <c r="CC93" s="99">
        <v>8323.2000000000007</v>
      </c>
      <c r="CD93" s="99">
        <v>10</v>
      </c>
      <c r="CE93" s="99">
        <v>6936</v>
      </c>
      <c r="CF93" s="99">
        <v>7</v>
      </c>
      <c r="CG93" s="99">
        <v>4855.2</v>
      </c>
      <c r="CH93" s="99">
        <v>11</v>
      </c>
      <c r="CI93" s="99">
        <v>7629.6</v>
      </c>
      <c r="CJ93" s="99">
        <v>8</v>
      </c>
      <c r="CK93" s="99">
        <v>5548.8</v>
      </c>
      <c r="CL93" s="99">
        <v>8</v>
      </c>
      <c r="CM93" s="99">
        <v>5548.8</v>
      </c>
      <c r="CN93" s="99">
        <v>12</v>
      </c>
      <c r="CO93" s="99">
        <v>8323.2000000000007</v>
      </c>
      <c r="CP93" s="99">
        <v>8</v>
      </c>
      <c r="CQ93" s="99">
        <v>5548.8</v>
      </c>
      <c r="CR93" s="99">
        <v>8</v>
      </c>
      <c r="CS93" s="99">
        <v>5548.8</v>
      </c>
      <c r="CT93" s="99">
        <v>10</v>
      </c>
      <c r="CU93" s="99">
        <v>6936</v>
      </c>
    </row>
    <row r="94" spans="2:99">
      <c r="C94" s="98" t="s">
        <v>260</v>
      </c>
      <c r="D94" s="99">
        <v>10</v>
      </c>
      <c r="E94" s="99">
        <v>11928</v>
      </c>
      <c r="F94" s="99">
        <v>10</v>
      </c>
      <c r="G94" s="99">
        <v>11928</v>
      </c>
      <c r="H94" s="99">
        <v>10</v>
      </c>
      <c r="I94" s="99">
        <v>11928</v>
      </c>
      <c r="J94" s="99">
        <v>7</v>
      </c>
      <c r="K94" s="99">
        <v>8349.6</v>
      </c>
      <c r="L94" s="99">
        <v>8</v>
      </c>
      <c r="M94" s="99">
        <v>9542.4</v>
      </c>
      <c r="N94" s="99">
        <v>7</v>
      </c>
      <c r="O94" s="99">
        <v>8349.6</v>
      </c>
      <c r="P94" s="99">
        <v>7</v>
      </c>
      <c r="Q94" s="99">
        <v>8349.6</v>
      </c>
      <c r="R94" s="99">
        <v>6</v>
      </c>
      <c r="S94" s="99">
        <v>7156.7999999999993</v>
      </c>
      <c r="T94" s="99">
        <v>9</v>
      </c>
      <c r="U94" s="99">
        <v>10735.199999999999</v>
      </c>
      <c r="V94" s="99">
        <v>9</v>
      </c>
      <c r="W94" s="99">
        <v>10735.199999999999</v>
      </c>
      <c r="X94" s="99">
        <v>9</v>
      </c>
      <c r="Y94" s="99">
        <v>10735.199999999999</v>
      </c>
      <c r="Z94" s="99">
        <v>10</v>
      </c>
      <c r="AA94" s="99">
        <v>11928</v>
      </c>
      <c r="AB94" s="99">
        <v>10</v>
      </c>
      <c r="AC94" s="99">
        <v>11928</v>
      </c>
      <c r="AD94" s="99">
        <v>8</v>
      </c>
      <c r="AE94" s="99">
        <v>9542.4</v>
      </c>
      <c r="AF94" s="99">
        <v>8</v>
      </c>
      <c r="AG94" s="99">
        <v>9542.4</v>
      </c>
      <c r="AH94" s="99">
        <v>9</v>
      </c>
      <c r="AI94" s="99">
        <v>10735.199999999999</v>
      </c>
      <c r="AJ94" s="99">
        <v>10</v>
      </c>
      <c r="AK94" s="99">
        <v>11928</v>
      </c>
      <c r="AL94" s="99">
        <v>8</v>
      </c>
      <c r="AM94" s="99">
        <v>9542.4</v>
      </c>
      <c r="AN94" s="99">
        <v>10</v>
      </c>
      <c r="AO94" s="99">
        <v>11928</v>
      </c>
      <c r="AP94" s="99">
        <v>9</v>
      </c>
      <c r="AQ94" s="99">
        <v>10735.199999999999</v>
      </c>
      <c r="AR94" s="99">
        <v>12</v>
      </c>
      <c r="AS94" s="99">
        <v>14313.599999999999</v>
      </c>
      <c r="AT94" s="99">
        <v>11</v>
      </c>
      <c r="AU94" s="99">
        <v>13120.8</v>
      </c>
      <c r="AV94" s="99">
        <v>8</v>
      </c>
      <c r="AW94" s="99">
        <v>9542.4</v>
      </c>
      <c r="AX94" s="99">
        <v>10</v>
      </c>
      <c r="AY94" s="99">
        <v>11928</v>
      </c>
      <c r="AZ94" s="99">
        <v>8</v>
      </c>
      <c r="BA94" s="99">
        <v>9542.4</v>
      </c>
      <c r="BB94" s="99">
        <v>13</v>
      </c>
      <c r="BC94" s="99">
        <v>15506.4</v>
      </c>
      <c r="BD94" s="99">
        <v>13</v>
      </c>
      <c r="BE94" s="99">
        <v>15506.4</v>
      </c>
      <c r="BF94" s="99">
        <v>12</v>
      </c>
      <c r="BG94" s="99">
        <v>14313.599999999999</v>
      </c>
      <c r="BH94" s="99">
        <v>10</v>
      </c>
      <c r="BI94" s="99">
        <v>11928</v>
      </c>
      <c r="BJ94" s="99">
        <v>6</v>
      </c>
      <c r="BK94" s="99">
        <v>7156.7999999999993</v>
      </c>
      <c r="BL94" s="99">
        <v>8</v>
      </c>
      <c r="BM94" s="99">
        <v>9542.4</v>
      </c>
      <c r="BN94" s="99">
        <v>9</v>
      </c>
      <c r="BO94" s="99">
        <v>10735.199999999999</v>
      </c>
      <c r="BP94" s="99">
        <v>9</v>
      </c>
      <c r="BQ94" s="99">
        <v>10735.199999999999</v>
      </c>
      <c r="BR94" s="99">
        <v>12</v>
      </c>
      <c r="BS94" s="99">
        <v>14313.599999999999</v>
      </c>
      <c r="BT94" s="99">
        <v>12</v>
      </c>
      <c r="BU94" s="99">
        <v>14313.599999999999</v>
      </c>
      <c r="BV94" s="99">
        <v>9</v>
      </c>
      <c r="BW94" s="99">
        <v>10735.199999999999</v>
      </c>
      <c r="BX94" s="99">
        <v>8</v>
      </c>
      <c r="BY94" s="99">
        <v>9542.4</v>
      </c>
      <c r="BZ94" s="99">
        <v>8</v>
      </c>
      <c r="CA94" s="99">
        <v>9542.4</v>
      </c>
      <c r="CB94" s="99">
        <v>13</v>
      </c>
      <c r="CC94" s="99">
        <v>15506.4</v>
      </c>
      <c r="CD94" s="99">
        <v>10</v>
      </c>
      <c r="CE94" s="99">
        <v>11928</v>
      </c>
      <c r="CF94" s="99">
        <v>7</v>
      </c>
      <c r="CG94" s="99">
        <v>8349.6</v>
      </c>
      <c r="CH94" s="99">
        <v>10</v>
      </c>
      <c r="CI94" s="99">
        <v>11928</v>
      </c>
      <c r="CJ94" s="99">
        <v>7</v>
      </c>
      <c r="CK94" s="99">
        <v>8349.6</v>
      </c>
      <c r="CL94" s="99">
        <v>8</v>
      </c>
      <c r="CM94" s="99">
        <v>9542.4</v>
      </c>
      <c r="CN94" s="99">
        <v>10</v>
      </c>
      <c r="CO94" s="99">
        <v>11928</v>
      </c>
      <c r="CP94" s="99">
        <v>7</v>
      </c>
      <c r="CQ94" s="99">
        <v>8349.6</v>
      </c>
      <c r="CR94" s="99">
        <v>8</v>
      </c>
      <c r="CS94" s="99">
        <v>9542.4</v>
      </c>
      <c r="CT94" s="99">
        <v>9</v>
      </c>
      <c r="CU94" s="99">
        <v>10735.199999999999</v>
      </c>
    </row>
    <row r="95" spans="2:99">
      <c r="B95" s="98" t="s">
        <v>132</v>
      </c>
      <c r="C95" s="98" t="s">
        <v>261</v>
      </c>
      <c r="D95" s="99">
        <v>7</v>
      </c>
      <c r="E95" s="99">
        <v>2301.6</v>
      </c>
      <c r="F95" s="99">
        <v>7</v>
      </c>
      <c r="G95" s="99">
        <v>2301.6</v>
      </c>
      <c r="H95" s="99">
        <v>10</v>
      </c>
      <c r="I95" s="99">
        <v>3288</v>
      </c>
      <c r="J95" s="99">
        <v>10</v>
      </c>
      <c r="K95" s="99">
        <v>3288</v>
      </c>
      <c r="L95" s="99">
        <v>9</v>
      </c>
      <c r="M95" s="99">
        <v>2959.2000000000003</v>
      </c>
      <c r="N95" s="99">
        <v>6</v>
      </c>
      <c r="O95" s="99">
        <v>1972.8000000000002</v>
      </c>
      <c r="P95" s="99">
        <v>9</v>
      </c>
      <c r="Q95" s="99">
        <v>2959.2000000000003</v>
      </c>
      <c r="R95" s="99">
        <v>10</v>
      </c>
      <c r="S95" s="99">
        <v>3288</v>
      </c>
      <c r="T95" s="99">
        <v>11</v>
      </c>
      <c r="U95" s="99">
        <v>3616.8</v>
      </c>
      <c r="V95" s="99">
        <v>11</v>
      </c>
      <c r="W95" s="99">
        <v>3616.8</v>
      </c>
      <c r="X95" s="99">
        <v>8</v>
      </c>
      <c r="Y95" s="99">
        <v>2630.4</v>
      </c>
      <c r="Z95" s="99">
        <v>7</v>
      </c>
      <c r="AA95" s="99">
        <v>2301.6</v>
      </c>
      <c r="AB95" s="99">
        <v>6</v>
      </c>
      <c r="AC95" s="99">
        <v>1972.8000000000002</v>
      </c>
      <c r="AD95" s="99">
        <v>11</v>
      </c>
      <c r="AE95" s="99">
        <v>3616.8</v>
      </c>
      <c r="AF95" s="99">
        <v>9</v>
      </c>
      <c r="AG95" s="99">
        <v>2959.2000000000003</v>
      </c>
      <c r="AH95" s="99">
        <v>7</v>
      </c>
      <c r="AI95" s="99">
        <v>2301.6</v>
      </c>
      <c r="AJ95" s="99">
        <v>10</v>
      </c>
      <c r="AK95" s="99">
        <v>3288</v>
      </c>
      <c r="AL95" s="99">
        <v>11</v>
      </c>
      <c r="AM95" s="99">
        <v>3616.8</v>
      </c>
      <c r="AN95" s="99">
        <v>8</v>
      </c>
      <c r="AO95" s="99">
        <v>2630.4</v>
      </c>
      <c r="AP95" s="99">
        <v>11</v>
      </c>
      <c r="AQ95" s="99">
        <v>3616.8</v>
      </c>
      <c r="AR95" s="99">
        <v>7</v>
      </c>
      <c r="AS95" s="99">
        <v>2301.6</v>
      </c>
      <c r="AT95" s="99">
        <v>10</v>
      </c>
      <c r="AU95" s="99">
        <v>3288</v>
      </c>
      <c r="AV95" s="99">
        <v>6</v>
      </c>
      <c r="AW95" s="99">
        <v>1972.8000000000002</v>
      </c>
      <c r="AX95" s="99">
        <v>9</v>
      </c>
      <c r="AY95" s="99">
        <v>2959.2000000000003</v>
      </c>
      <c r="AZ95" s="99">
        <v>10</v>
      </c>
      <c r="BA95" s="99">
        <v>3288</v>
      </c>
      <c r="BB95" s="99">
        <v>9</v>
      </c>
      <c r="BC95" s="99">
        <v>2959.2000000000003</v>
      </c>
      <c r="BD95" s="99">
        <v>9</v>
      </c>
      <c r="BE95" s="99">
        <v>2959.2000000000003</v>
      </c>
      <c r="BF95" s="99">
        <v>9</v>
      </c>
      <c r="BG95" s="99">
        <v>2959.2000000000003</v>
      </c>
      <c r="BH95" s="99">
        <v>10</v>
      </c>
      <c r="BI95" s="99">
        <v>3288</v>
      </c>
      <c r="BJ95" s="99">
        <v>11</v>
      </c>
      <c r="BK95" s="99">
        <v>3616.8</v>
      </c>
      <c r="BL95" s="99">
        <v>9</v>
      </c>
      <c r="BM95" s="99">
        <v>2959.2000000000003</v>
      </c>
      <c r="BN95" s="99">
        <v>7</v>
      </c>
      <c r="BO95" s="99">
        <v>2301.6</v>
      </c>
      <c r="BP95" s="99">
        <v>8</v>
      </c>
      <c r="BQ95" s="99">
        <v>2630.4</v>
      </c>
      <c r="BR95" s="99">
        <v>10</v>
      </c>
      <c r="BS95" s="99">
        <v>3288</v>
      </c>
      <c r="BT95" s="99">
        <v>7</v>
      </c>
      <c r="BU95" s="99">
        <v>2301.6</v>
      </c>
      <c r="BV95" s="99">
        <v>12</v>
      </c>
      <c r="BW95" s="99">
        <v>3945.6000000000004</v>
      </c>
      <c r="BX95" s="99">
        <v>6</v>
      </c>
      <c r="BY95" s="99">
        <v>1972.8000000000002</v>
      </c>
      <c r="BZ95" s="99">
        <v>8</v>
      </c>
      <c r="CA95" s="99">
        <v>2630.4</v>
      </c>
      <c r="CB95" s="99">
        <v>8</v>
      </c>
      <c r="CC95" s="99">
        <v>2630.4</v>
      </c>
      <c r="CD95" s="99">
        <v>9</v>
      </c>
      <c r="CE95" s="99">
        <v>2959.2000000000003</v>
      </c>
      <c r="CF95" s="99">
        <v>6</v>
      </c>
      <c r="CG95" s="99">
        <v>1972.8000000000002</v>
      </c>
      <c r="CH95" s="99">
        <v>8</v>
      </c>
      <c r="CI95" s="99">
        <v>2630.4</v>
      </c>
      <c r="CJ95" s="99">
        <v>7</v>
      </c>
      <c r="CK95" s="99">
        <v>2301.6</v>
      </c>
      <c r="CL95" s="99">
        <v>8</v>
      </c>
      <c r="CM95" s="99">
        <v>2630.4</v>
      </c>
      <c r="CN95" s="99">
        <v>10</v>
      </c>
      <c r="CO95" s="99">
        <v>3288</v>
      </c>
      <c r="CP95" s="99">
        <v>8</v>
      </c>
      <c r="CQ95" s="99">
        <v>2630.4</v>
      </c>
      <c r="CR95" s="99">
        <v>6</v>
      </c>
      <c r="CS95" s="99">
        <v>1972.8000000000002</v>
      </c>
      <c r="CT95" s="99">
        <v>9</v>
      </c>
      <c r="CU95" s="99">
        <v>2959.2000000000003</v>
      </c>
    </row>
    <row r="96" spans="2:99">
      <c r="C96" s="98" t="s">
        <v>262</v>
      </c>
      <c r="D96" s="99">
        <v>6</v>
      </c>
      <c r="E96" s="99">
        <v>4168.7999999999993</v>
      </c>
      <c r="F96" s="99">
        <v>7</v>
      </c>
      <c r="G96" s="99">
        <v>4863.5999999999995</v>
      </c>
      <c r="H96" s="99">
        <v>11</v>
      </c>
      <c r="I96" s="99">
        <v>7642.7999999999993</v>
      </c>
      <c r="J96" s="99">
        <v>10</v>
      </c>
      <c r="K96" s="99">
        <v>6948</v>
      </c>
      <c r="L96" s="99">
        <v>10</v>
      </c>
      <c r="M96" s="99">
        <v>6948</v>
      </c>
      <c r="N96" s="99">
        <v>6</v>
      </c>
      <c r="O96" s="99">
        <v>4168.7999999999993</v>
      </c>
      <c r="P96" s="99">
        <v>8</v>
      </c>
      <c r="Q96" s="99">
        <v>5558.4</v>
      </c>
      <c r="R96" s="99">
        <v>12</v>
      </c>
      <c r="S96" s="99">
        <v>8337.5999999999985</v>
      </c>
      <c r="T96" s="99">
        <v>10</v>
      </c>
      <c r="U96" s="99">
        <v>6948</v>
      </c>
      <c r="V96" s="99">
        <v>10</v>
      </c>
      <c r="W96" s="99">
        <v>6948</v>
      </c>
      <c r="X96" s="99">
        <v>8</v>
      </c>
      <c r="Y96" s="99">
        <v>5558.4</v>
      </c>
      <c r="Z96" s="99">
        <v>7</v>
      </c>
      <c r="AA96" s="99">
        <v>4863.5999999999995</v>
      </c>
      <c r="AB96" s="99">
        <v>7</v>
      </c>
      <c r="AC96" s="99">
        <v>4863.5999999999995</v>
      </c>
      <c r="AD96" s="99">
        <v>10</v>
      </c>
      <c r="AE96" s="99">
        <v>6948</v>
      </c>
      <c r="AF96" s="99">
        <v>9</v>
      </c>
      <c r="AG96" s="99">
        <v>6253.2</v>
      </c>
      <c r="AH96" s="99">
        <v>8</v>
      </c>
      <c r="AI96" s="99">
        <v>5558.4</v>
      </c>
      <c r="AJ96" s="99">
        <v>10</v>
      </c>
      <c r="AK96" s="99">
        <v>6948</v>
      </c>
      <c r="AL96" s="99">
        <v>12</v>
      </c>
      <c r="AM96" s="99">
        <v>8337.5999999999985</v>
      </c>
      <c r="AN96" s="99">
        <v>6</v>
      </c>
      <c r="AO96" s="99">
        <v>4168.7999999999993</v>
      </c>
      <c r="AP96" s="99">
        <v>10</v>
      </c>
      <c r="AQ96" s="99">
        <v>6948</v>
      </c>
      <c r="AR96" s="99">
        <v>6</v>
      </c>
      <c r="AS96" s="99">
        <v>4168.7999999999993</v>
      </c>
      <c r="AT96" s="99">
        <v>9</v>
      </c>
      <c r="AU96" s="99">
        <v>6253.2</v>
      </c>
      <c r="AV96" s="99">
        <v>6</v>
      </c>
      <c r="AW96" s="99">
        <v>4168.7999999999993</v>
      </c>
      <c r="AX96" s="99">
        <v>9</v>
      </c>
      <c r="AY96" s="99">
        <v>6253.2</v>
      </c>
      <c r="AZ96" s="99">
        <v>9</v>
      </c>
      <c r="BA96" s="99">
        <v>6253.2</v>
      </c>
      <c r="BB96" s="99">
        <v>8</v>
      </c>
      <c r="BC96" s="99">
        <v>5558.4</v>
      </c>
      <c r="BD96" s="99">
        <v>8</v>
      </c>
      <c r="BE96" s="99">
        <v>5558.4</v>
      </c>
      <c r="BF96" s="99">
        <v>8</v>
      </c>
      <c r="BG96" s="99">
        <v>5558.4</v>
      </c>
      <c r="BH96" s="99">
        <v>10</v>
      </c>
      <c r="BI96" s="99">
        <v>6948</v>
      </c>
      <c r="BJ96" s="99">
        <v>11</v>
      </c>
      <c r="BK96" s="99">
        <v>7642.7999999999993</v>
      </c>
      <c r="BL96" s="99">
        <v>9</v>
      </c>
      <c r="BM96" s="99">
        <v>6253.2</v>
      </c>
      <c r="BN96" s="99">
        <v>7</v>
      </c>
      <c r="BO96" s="99">
        <v>4863.5999999999995</v>
      </c>
      <c r="BP96" s="99">
        <v>8</v>
      </c>
      <c r="BQ96" s="99">
        <v>5558.4</v>
      </c>
      <c r="BR96" s="99">
        <v>10</v>
      </c>
      <c r="BS96" s="99">
        <v>6948</v>
      </c>
      <c r="BT96" s="99">
        <v>7</v>
      </c>
      <c r="BU96" s="99">
        <v>4863.5999999999995</v>
      </c>
      <c r="BV96" s="99">
        <v>10</v>
      </c>
      <c r="BW96" s="99">
        <v>6948</v>
      </c>
      <c r="BX96" s="99">
        <v>6</v>
      </c>
      <c r="BY96" s="99">
        <v>4168.7999999999993</v>
      </c>
      <c r="BZ96" s="99">
        <v>7</v>
      </c>
      <c r="CA96" s="99">
        <v>4863.5999999999995</v>
      </c>
      <c r="CB96" s="99">
        <v>8</v>
      </c>
      <c r="CC96" s="99">
        <v>5558.4</v>
      </c>
      <c r="CD96" s="99">
        <v>11</v>
      </c>
      <c r="CE96" s="99">
        <v>7642.7999999999993</v>
      </c>
      <c r="CF96" s="99">
        <v>6</v>
      </c>
      <c r="CG96" s="99">
        <v>4168.7999999999993</v>
      </c>
      <c r="CH96" s="99">
        <v>7</v>
      </c>
      <c r="CI96" s="99">
        <v>4863.5999999999995</v>
      </c>
      <c r="CJ96" s="99">
        <v>8</v>
      </c>
      <c r="CK96" s="99">
        <v>5558.4</v>
      </c>
      <c r="CL96" s="99">
        <v>7</v>
      </c>
      <c r="CM96" s="99">
        <v>4863.5999999999995</v>
      </c>
      <c r="CN96" s="99">
        <v>10</v>
      </c>
      <c r="CO96" s="99">
        <v>6948</v>
      </c>
      <c r="CP96" s="99">
        <v>7</v>
      </c>
      <c r="CQ96" s="99">
        <v>4863.5999999999995</v>
      </c>
      <c r="CR96" s="99">
        <v>7</v>
      </c>
      <c r="CS96" s="99">
        <v>4863.5999999999995</v>
      </c>
      <c r="CT96" s="99">
        <v>10</v>
      </c>
      <c r="CU96" s="99">
        <v>6948</v>
      </c>
    </row>
    <row r="97" spans="2:99">
      <c r="C97" s="98" t="s">
        <v>263</v>
      </c>
      <c r="D97" s="99">
        <v>6</v>
      </c>
      <c r="E97" s="99">
        <v>2354.3999999999996</v>
      </c>
      <c r="F97" s="99">
        <v>7</v>
      </c>
      <c r="G97" s="99">
        <v>2746.7999999999997</v>
      </c>
      <c r="H97" s="99">
        <v>11</v>
      </c>
      <c r="I97" s="99">
        <v>4316.3999999999996</v>
      </c>
      <c r="J97" s="99">
        <v>9</v>
      </c>
      <c r="K97" s="99">
        <v>3531.6</v>
      </c>
      <c r="L97" s="99">
        <v>10</v>
      </c>
      <c r="M97" s="99">
        <v>3924</v>
      </c>
      <c r="N97" s="99">
        <v>7</v>
      </c>
      <c r="O97" s="99">
        <v>2746.7999999999997</v>
      </c>
      <c r="P97" s="99">
        <v>8</v>
      </c>
      <c r="Q97" s="99">
        <v>3139.2</v>
      </c>
      <c r="R97" s="99">
        <v>10</v>
      </c>
      <c r="S97" s="99">
        <v>3924</v>
      </c>
      <c r="T97" s="99">
        <v>10</v>
      </c>
      <c r="U97" s="99">
        <v>3924</v>
      </c>
      <c r="V97" s="99">
        <v>11</v>
      </c>
      <c r="W97" s="99">
        <v>4316.3999999999996</v>
      </c>
      <c r="X97" s="99">
        <v>9</v>
      </c>
      <c r="Y97" s="99">
        <v>3531.6</v>
      </c>
      <c r="Z97" s="99">
        <v>7</v>
      </c>
      <c r="AA97" s="99">
        <v>2746.7999999999997</v>
      </c>
      <c r="AB97" s="99">
        <v>6</v>
      </c>
      <c r="AC97" s="99">
        <v>2354.3999999999996</v>
      </c>
      <c r="AD97" s="99">
        <v>11</v>
      </c>
      <c r="AE97" s="99">
        <v>4316.3999999999996</v>
      </c>
      <c r="AF97" s="99">
        <v>11</v>
      </c>
      <c r="AG97" s="99">
        <v>4316.3999999999996</v>
      </c>
      <c r="AH97" s="99">
        <v>7</v>
      </c>
      <c r="AI97" s="99">
        <v>2746.7999999999997</v>
      </c>
      <c r="AJ97" s="99">
        <v>11</v>
      </c>
      <c r="AK97" s="99">
        <v>4316.3999999999996</v>
      </c>
      <c r="AL97" s="99">
        <v>11</v>
      </c>
      <c r="AM97" s="99">
        <v>4316.3999999999996</v>
      </c>
      <c r="AN97" s="99">
        <v>8</v>
      </c>
      <c r="AO97" s="99">
        <v>3139.2</v>
      </c>
      <c r="AP97" s="99">
        <v>9</v>
      </c>
      <c r="AQ97" s="99">
        <v>3531.6</v>
      </c>
      <c r="AR97" s="99">
        <v>7</v>
      </c>
      <c r="AS97" s="99">
        <v>2746.7999999999997</v>
      </c>
      <c r="AT97" s="99">
        <v>11</v>
      </c>
      <c r="AU97" s="99">
        <v>4316.3999999999996</v>
      </c>
      <c r="AV97" s="99">
        <v>6</v>
      </c>
      <c r="AW97" s="99">
        <v>2354.3999999999996</v>
      </c>
      <c r="AX97" s="99">
        <v>10</v>
      </c>
      <c r="AY97" s="99">
        <v>3924</v>
      </c>
      <c r="AZ97" s="99">
        <v>10</v>
      </c>
      <c r="BA97" s="99">
        <v>3924</v>
      </c>
      <c r="BB97" s="99">
        <v>8</v>
      </c>
      <c r="BC97" s="99">
        <v>3139.2</v>
      </c>
      <c r="BD97" s="99">
        <v>9</v>
      </c>
      <c r="BE97" s="99">
        <v>3531.6</v>
      </c>
      <c r="BF97" s="99">
        <v>9</v>
      </c>
      <c r="BG97" s="99">
        <v>3531.6</v>
      </c>
      <c r="BH97" s="99">
        <v>11</v>
      </c>
      <c r="BI97" s="99">
        <v>4316.3999999999996</v>
      </c>
      <c r="BJ97" s="99">
        <v>13</v>
      </c>
      <c r="BK97" s="99">
        <v>5101.2</v>
      </c>
      <c r="BL97" s="99">
        <v>9</v>
      </c>
      <c r="BM97" s="99">
        <v>3531.6</v>
      </c>
      <c r="BN97" s="99">
        <v>7</v>
      </c>
      <c r="BO97" s="99">
        <v>2746.7999999999997</v>
      </c>
      <c r="BP97" s="99">
        <v>9</v>
      </c>
      <c r="BQ97" s="99">
        <v>3531.6</v>
      </c>
      <c r="BR97" s="99">
        <v>11</v>
      </c>
      <c r="BS97" s="99">
        <v>4316.3999999999996</v>
      </c>
      <c r="BT97" s="99">
        <v>7</v>
      </c>
      <c r="BU97" s="99">
        <v>2746.7999999999997</v>
      </c>
      <c r="BV97" s="99">
        <v>11</v>
      </c>
      <c r="BW97" s="99">
        <v>4316.3999999999996</v>
      </c>
      <c r="BX97" s="99">
        <v>6</v>
      </c>
      <c r="BY97" s="99">
        <v>2354.3999999999996</v>
      </c>
      <c r="BZ97" s="99">
        <v>8</v>
      </c>
      <c r="CA97" s="99">
        <v>3139.2</v>
      </c>
      <c r="CB97" s="99">
        <v>9</v>
      </c>
      <c r="CC97" s="99">
        <v>3531.6</v>
      </c>
      <c r="CD97" s="99">
        <v>11</v>
      </c>
      <c r="CE97" s="99">
        <v>4316.3999999999996</v>
      </c>
      <c r="CF97" s="99">
        <v>6</v>
      </c>
      <c r="CG97" s="99">
        <v>2354.3999999999996</v>
      </c>
      <c r="CH97" s="99">
        <v>7</v>
      </c>
      <c r="CI97" s="99">
        <v>2746.7999999999997</v>
      </c>
      <c r="CJ97" s="99">
        <v>8</v>
      </c>
      <c r="CK97" s="99">
        <v>3139.2</v>
      </c>
      <c r="CL97" s="99">
        <v>7</v>
      </c>
      <c r="CM97" s="99">
        <v>2746.7999999999997</v>
      </c>
      <c r="CN97" s="99">
        <v>9</v>
      </c>
      <c r="CO97" s="99">
        <v>3531.6</v>
      </c>
      <c r="CP97" s="99">
        <v>8</v>
      </c>
      <c r="CQ97" s="99">
        <v>3139.2</v>
      </c>
      <c r="CR97" s="99">
        <v>7</v>
      </c>
      <c r="CS97" s="99">
        <v>2746.7999999999997</v>
      </c>
      <c r="CT97" s="99">
        <v>9</v>
      </c>
      <c r="CU97" s="99">
        <v>3531.6</v>
      </c>
    </row>
    <row r="98" spans="2:99">
      <c r="C98" s="98" t="s">
        <v>264</v>
      </c>
      <c r="D98" s="99">
        <v>7</v>
      </c>
      <c r="E98" s="99">
        <v>3679.2000000000003</v>
      </c>
      <c r="F98" s="99">
        <v>7</v>
      </c>
      <c r="G98" s="99">
        <v>3679.2000000000003</v>
      </c>
      <c r="H98" s="99">
        <v>12</v>
      </c>
      <c r="I98" s="99">
        <v>6307.2000000000007</v>
      </c>
      <c r="J98" s="99">
        <v>9</v>
      </c>
      <c r="K98" s="99">
        <v>4730.4000000000005</v>
      </c>
      <c r="L98" s="99">
        <v>9</v>
      </c>
      <c r="M98" s="99">
        <v>4730.4000000000005</v>
      </c>
      <c r="N98" s="99">
        <v>6</v>
      </c>
      <c r="O98" s="99">
        <v>3153.6000000000004</v>
      </c>
      <c r="P98" s="99">
        <v>8</v>
      </c>
      <c r="Q98" s="99">
        <v>4204.8</v>
      </c>
      <c r="R98" s="99">
        <v>11</v>
      </c>
      <c r="S98" s="99">
        <v>5781.6</v>
      </c>
      <c r="T98" s="99">
        <v>11</v>
      </c>
      <c r="U98" s="99">
        <v>5781.6</v>
      </c>
      <c r="V98" s="99">
        <v>10</v>
      </c>
      <c r="W98" s="99">
        <v>5256</v>
      </c>
      <c r="X98" s="99">
        <v>8</v>
      </c>
      <c r="Y98" s="99">
        <v>4204.8</v>
      </c>
      <c r="Z98" s="99">
        <v>8</v>
      </c>
      <c r="AA98" s="99">
        <v>4204.8</v>
      </c>
      <c r="AB98" s="99">
        <v>6</v>
      </c>
      <c r="AC98" s="99">
        <v>3153.6000000000004</v>
      </c>
      <c r="AD98" s="99">
        <v>10</v>
      </c>
      <c r="AE98" s="99">
        <v>5256</v>
      </c>
      <c r="AF98" s="99">
        <v>9</v>
      </c>
      <c r="AG98" s="99">
        <v>4730.4000000000005</v>
      </c>
      <c r="AH98" s="99">
        <v>7</v>
      </c>
      <c r="AI98" s="99">
        <v>3679.2000000000003</v>
      </c>
      <c r="AJ98" s="99">
        <v>11</v>
      </c>
      <c r="AK98" s="99">
        <v>5781.6</v>
      </c>
      <c r="AL98" s="99">
        <v>10</v>
      </c>
      <c r="AM98" s="99">
        <v>5256</v>
      </c>
      <c r="AN98" s="99">
        <v>7</v>
      </c>
      <c r="AO98" s="99">
        <v>3679.2000000000003</v>
      </c>
      <c r="AP98" s="99">
        <v>10</v>
      </c>
      <c r="AQ98" s="99">
        <v>5256</v>
      </c>
      <c r="AR98" s="99">
        <v>6</v>
      </c>
      <c r="AS98" s="99">
        <v>3153.6000000000004</v>
      </c>
      <c r="AT98" s="99">
        <v>9</v>
      </c>
      <c r="AU98" s="99">
        <v>4730.4000000000005</v>
      </c>
      <c r="AV98" s="99">
        <v>7</v>
      </c>
      <c r="AW98" s="99">
        <v>3679.2000000000003</v>
      </c>
      <c r="AX98" s="99">
        <v>11</v>
      </c>
      <c r="AY98" s="99">
        <v>5781.6</v>
      </c>
      <c r="AZ98" s="99">
        <v>10</v>
      </c>
      <c r="BA98" s="99">
        <v>5256</v>
      </c>
      <c r="BB98" s="99">
        <v>9</v>
      </c>
      <c r="BC98" s="99">
        <v>4730.4000000000005</v>
      </c>
      <c r="BD98" s="99">
        <v>8</v>
      </c>
      <c r="BE98" s="99">
        <v>4204.8</v>
      </c>
      <c r="BF98" s="99">
        <v>9</v>
      </c>
      <c r="BG98" s="99">
        <v>4730.4000000000005</v>
      </c>
      <c r="BH98" s="99">
        <v>10</v>
      </c>
      <c r="BI98" s="99">
        <v>5256</v>
      </c>
      <c r="BJ98" s="99">
        <v>12</v>
      </c>
      <c r="BK98" s="99">
        <v>6307.2000000000007</v>
      </c>
      <c r="BL98" s="99">
        <v>9</v>
      </c>
      <c r="BM98" s="99">
        <v>4730.4000000000005</v>
      </c>
      <c r="BN98" s="99">
        <v>7</v>
      </c>
      <c r="BO98" s="99">
        <v>3679.2000000000003</v>
      </c>
      <c r="BP98" s="99">
        <v>9</v>
      </c>
      <c r="BQ98" s="99">
        <v>4730.4000000000005</v>
      </c>
      <c r="BR98" s="99">
        <v>11</v>
      </c>
      <c r="BS98" s="99">
        <v>5781.6</v>
      </c>
      <c r="BT98" s="99">
        <v>6</v>
      </c>
      <c r="BU98" s="99">
        <v>3153.6000000000004</v>
      </c>
      <c r="BV98" s="99">
        <v>12</v>
      </c>
      <c r="BW98" s="99">
        <v>6307.2000000000007</v>
      </c>
      <c r="BX98" s="99">
        <v>6</v>
      </c>
      <c r="BY98" s="99">
        <v>3153.6000000000004</v>
      </c>
      <c r="BZ98" s="99">
        <v>7</v>
      </c>
      <c r="CA98" s="99">
        <v>3679.2000000000003</v>
      </c>
      <c r="CB98" s="99">
        <v>8</v>
      </c>
      <c r="CC98" s="99">
        <v>4204.8</v>
      </c>
      <c r="CD98" s="99">
        <v>10</v>
      </c>
      <c r="CE98" s="99">
        <v>5256</v>
      </c>
      <c r="CF98" s="99">
        <v>6</v>
      </c>
      <c r="CG98" s="99">
        <v>3153.6000000000004</v>
      </c>
      <c r="CH98" s="99">
        <v>7</v>
      </c>
      <c r="CI98" s="99">
        <v>3679.2000000000003</v>
      </c>
      <c r="CJ98" s="99">
        <v>7</v>
      </c>
      <c r="CK98" s="99">
        <v>3679.2000000000003</v>
      </c>
      <c r="CL98" s="99">
        <v>6</v>
      </c>
      <c r="CM98" s="99">
        <v>3153.6000000000004</v>
      </c>
      <c r="CN98" s="99">
        <v>11</v>
      </c>
      <c r="CO98" s="99">
        <v>5781.6</v>
      </c>
      <c r="CP98" s="99">
        <v>8</v>
      </c>
      <c r="CQ98" s="99">
        <v>4204.8</v>
      </c>
      <c r="CR98" s="99">
        <v>7</v>
      </c>
      <c r="CS98" s="99">
        <v>3679.2000000000003</v>
      </c>
      <c r="CT98" s="99">
        <v>9</v>
      </c>
      <c r="CU98" s="99">
        <v>4730.4000000000005</v>
      </c>
    </row>
    <row r="99" spans="2:99">
      <c r="C99" s="98" t="s">
        <v>265</v>
      </c>
      <c r="D99" s="99">
        <v>5</v>
      </c>
      <c r="E99" s="99">
        <v>21042</v>
      </c>
      <c r="F99" s="99">
        <v>5</v>
      </c>
      <c r="G99" s="99">
        <v>21042</v>
      </c>
      <c r="H99" s="99">
        <v>8</v>
      </c>
      <c r="I99" s="99">
        <v>33667.199999999997</v>
      </c>
      <c r="J99" s="99">
        <v>6</v>
      </c>
      <c r="K99" s="99">
        <v>25250.399999999998</v>
      </c>
      <c r="L99" s="99">
        <v>6</v>
      </c>
      <c r="M99" s="99">
        <v>25250.399999999998</v>
      </c>
      <c r="N99" s="99">
        <v>5</v>
      </c>
      <c r="O99" s="99">
        <v>21042</v>
      </c>
      <c r="P99" s="99">
        <v>6</v>
      </c>
      <c r="Q99" s="99">
        <v>25250.399999999998</v>
      </c>
      <c r="R99" s="99">
        <v>8</v>
      </c>
      <c r="S99" s="99">
        <v>33667.199999999997</v>
      </c>
      <c r="T99" s="99">
        <v>8</v>
      </c>
      <c r="U99" s="99">
        <v>33667.199999999997</v>
      </c>
      <c r="V99" s="99">
        <v>7</v>
      </c>
      <c r="W99" s="99">
        <v>29458.799999999996</v>
      </c>
      <c r="X99" s="99">
        <v>6</v>
      </c>
      <c r="Y99" s="99">
        <v>25250.399999999998</v>
      </c>
      <c r="Z99" s="99">
        <v>6</v>
      </c>
      <c r="AA99" s="99">
        <v>25250.399999999998</v>
      </c>
      <c r="AB99" s="99">
        <v>4</v>
      </c>
      <c r="AC99" s="99">
        <v>16833.599999999999</v>
      </c>
      <c r="AD99" s="99">
        <v>8</v>
      </c>
      <c r="AE99" s="99">
        <v>33667.199999999997</v>
      </c>
      <c r="AF99" s="99">
        <v>7</v>
      </c>
      <c r="AG99" s="99">
        <v>29458.799999999996</v>
      </c>
      <c r="AH99" s="99">
        <v>5</v>
      </c>
      <c r="AI99" s="99">
        <v>21042</v>
      </c>
      <c r="AJ99" s="99">
        <v>9</v>
      </c>
      <c r="AK99" s="99">
        <v>37875.599999999999</v>
      </c>
      <c r="AL99" s="99">
        <v>8</v>
      </c>
      <c r="AM99" s="99">
        <v>33667.199999999997</v>
      </c>
      <c r="AN99" s="99">
        <v>5</v>
      </c>
      <c r="AO99" s="99">
        <v>21042</v>
      </c>
      <c r="AP99" s="99">
        <v>7</v>
      </c>
      <c r="AQ99" s="99">
        <v>29458.799999999996</v>
      </c>
      <c r="AR99" s="99">
        <v>5</v>
      </c>
      <c r="AS99" s="99">
        <v>21042</v>
      </c>
      <c r="AT99" s="99">
        <v>7</v>
      </c>
      <c r="AU99" s="99">
        <v>29458.799999999996</v>
      </c>
      <c r="AV99" s="99">
        <v>4</v>
      </c>
      <c r="AW99" s="99">
        <v>16833.599999999999</v>
      </c>
      <c r="AX99" s="99">
        <v>7</v>
      </c>
      <c r="AY99" s="99">
        <v>29458.799999999996</v>
      </c>
      <c r="AZ99" s="99">
        <v>7</v>
      </c>
      <c r="BA99" s="99">
        <v>29458.799999999996</v>
      </c>
      <c r="BB99" s="99">
        <v>7</v>
      </c>
      <c r="BC99" s="99">
        <v>29458.799999999996</v>
      </c>
      <c r="BD99" s="99">
        <v>7</v>
      </c>
      <c r="BE99" s="99">
        <v>29458.799999999996</v>
      </c>
      <c r="BF99" s="99">
        <v>6</v>
      </c>
      <c r="BG99" s="99">
        <v>25250.399999999998</v>
      </c>
      <c r="BH99" s="99">
        <v>8</v>
      </c>
      <c r="BI99" s="99">
        <v>33667.199999999997</v>
      </c>
      <c r="BJ99" s="99">
        <v>9</v>
      </c>
      <c r="BK99" s="99">
        <v>37875.599999999999</v>
      </c>
      <c r="BL99" s="99">
        <v>6</v>
      </c>
      <c r="BM99" s="99">
        <v>25250.399999999998</v>
      </c>
      <c r="BN99" s="99">
        <v>5</v>
      </c>
      <c r="BO99" s="99">
        <v>21042</v>
      </c>
      <c r="BP99" s="99">
        <v>6</v>
      </c>
      <c r="BQ99" s="99">
        <v>25250.399999999998</v>
      </c>
      <c r="BR99" s="99">
        <v>9</v>
      </c>
      <c r="BS99" s="99">
        <v>37875.599999999999</v>
      </c>
      <c r="BT99" s="99">
        <v>5</v>
      </c>
      <c r="BU99" s="99">
        <v>21042</v>
      </c>
      <c r="BV99" s="99">
        <v>7</v>
      </c>
      <c r="BW99" s="99">
        <v>29458.799999999996</v>
      </c>
      <c r="BX99" s="99">
        <v>5</v>
      </c>
      <c r="BY99" s="99">
        <v>21042</v>
      </c>
      <c r="BZ99" s="99">
        <v>5</v>
      </c>
      <c r="CA99" s="99">
        <v>21042</v>
      </c>
      <c r="CB99" s="99">
        <v>6</v>
      </c>
      <c r="CC99" s="99">
        <v>25250.399999999998</v>
      </c>
      <c r="CD99" s="99">
        <v>8</v>
      </c>
      <c r="CE99" s="99">
        <v>33667.199999999997</v>
      </c>
      <c r="CF99" s="99">
        <v>5</v>
      </c>
      <c r="CG99" s="99">
        <v>21042</v>
      </c>
      <c r="CH99" s="99">
        <v>6</v>
      </c>
      <c r="CI99" s="99">
        <v>25250.399999999998</v>
      </c>
      <c r="CJ99" s="99">
        <v>6</v>
      </c>
      <c r="CK99" s="99">
        <v>25250.399999999998</v>
      </c>
      <c r="CL99" s="99">
        <v>5</v>
      </c>
      <c r="CM99" s="99">
        <v>21042</v>
      </c>
      <c r="CN99" s="99">
        <v>8</v>
      </c>
      <c r="CO99" s="99">
        <v>33667.199999999997</v>
      </c>
      <c r="CP99" s="99">
        <v>6</v>
      </c>
      <c r="CQ99" s="99">
        <v>25250.399999999998</v>
      </c>
      <c r="CR99" s="99">
        <v>5</v>
      </c>
      <c r="CS99" s="99">
        <v>21042</v>
      </c>
      <c r="CT99" s="99">
        <v>7</v>
      </c>
      <c r="CU99" s="99">
        <v>29458.799999999996</v>
      </c>
    </row>
    <row r="100" spans="2:99">
      <c r="C100" s="98" t="s">
        <v>266</v>
      </c>
      <c r="D100" s="99">
        <v>6</v>
      </c>
      <c r="E100" s="99">
        <v>1944</v>
      </c>
      <c r="F100" s="99">
        <v>6</v>
      </c>
      <c r="G100" s="99">
        <v>1944</v>
      </c>
      <c r="H100" s="99">
        <v>10</v>
      </c>
      <c r="I100" s="99">
        <v>3240</v>
      </c>
      <c r="J100" s="99">
        <v>11</v>
      </c>
      <c r="K100" s="99">
        <v>3564</v>
      </c>
      <c r="L100" s="99">
        <v>8</v>
      </c>
      <c r="M100" s="99">
        <v>2592</v>
      </c>
      <c r="N100" s="99">
        <v>6</v>
      </c>
      <c r="O100" s="99">
        <v>1944</v>
      </c>
      <c r="P100" s="99">
        <v>9</v>
      </c>
      <c r="Q100" s="99">
        <v>2916</v>
      </c>
      <c r="R100" s="99">
        <v>11</v>
      </c>
      <c r="S100" s="99">
        <v>3564</v>
      </c>
      <c r="T100" s="99">
        <v>11</v>
      </c>
      <c r="U100" s="99">
        <v>3564</v>
      </c>
      <c r="V100" s="99">
        <v>10</v>
      </c>
      <c r="W100" s="99">
        <v>3240</v>
      </c>
      <c r="X100" s="99">
        <v>8</v>
      </c>
      <c r="Y100" s="99">
        <v>2592</v>
      </c>
      <c r="Z100" s="99">
        <v>8</v>
      </c>
      <c r="AA100" s="99">
        <v>2592</v>
      </c>
      <c r="AB100" s="99">
        <v>6</v>
      </c>
      <c r="AC100" s="99">
        <v>1944</v>
      </c>
      <c r="AD100" s="99">
        <v>11</v>
      </c>
      <c r="AE100" s="99">
        <v>3564</v>
      </c>
      <c r="AF100" s="99">
        <v>10</v>
      </c>
      <c r="AG100" s="99">
        <v>3240</v>
      </c>
      <c r="AH100" s="99">
        <v>8</v>
      </c>
      <c r="AI100" s="99">
        <v>2592</v>
      </c>
      <c r="AJ100" s="99">
        <v>12</v>
      </c>
      <c r="AK100" s="99">
        <v>3888</v>
      </c>
      <c r="AL100" s="99">
        <v>11</v>
      </c>
      <c r="AM100" s="99">
        <v>3564</v>
      </c>
      <c r="AN100" s="99">
        <v>8</v>
      </c>
      <c r="AO100" s="99">
        <v>2592</v>
      </c>
      <c r="AP100" s="99">
        <v>10</v>
      </c>
      <c r="AQ100" s="99">
        <v>3240</v>
      </c>
      <c r="AR100" s="99">
        <v>6</v>
      </c>
      <c r="AS100" s="99">
        <v>1944</v>
      </c>
      <c r="AT100" s="99">
        <v>10</v>
      </c>
      <c r="AU100" s="99">
        <v>3240</v>
      </c>
      <c r="AV100" s="99">
        <v>6</v>
      </c>
      <c r="AW100" s="99">
        <v>1944</v>
      </c>
      <c r="AX100" s="99">
        <v>10</v>
      </c>
      <c r="AY100" s="99">
        <v>3240</v>
      </c>
      <c r="AZ100" s="99">
        <v>9</v>
      </c>
      <c r="BA100" s="99">
        <v>2916</v>
      </c>
      <c r="BB100" s="99">
        <v>9</v>
      </c>
      <c r="BC100" s="99">
        <v>2916</v>
      </c>
      <c r="BD100" s="99">
        <v>10</v>
      </c>
      <c r="BE100" s="99">
        <v>3240</v>
      </c>
      <c r="BF100" s="99">
        <v>9</v>
      </c>
      <c r="BG100" s="99">
        <v>2916</v>
      </c>
      <c r="BH100" s="99">
        <v>10</v>
      </c>
      <c r="BI100" s="99">
        <v>3240</v>
      </c>
      <c r="BJ100" s="99">
        <v>13</v>
      </c>
      <c r="BK100" s="99">
        <v>4212</v>
      </c>
      <c r="BL100" s="99">
        <v>8</v>
      </c>
      <c r="BM100" s="99">
        <v>2592</v>
      </c>
      <c r="BN100" s="99">
        <v>7</v>
      </c>
      <c r="BO100" s="99">
        <v>2268</v>
      </c>
      <c r="BP100" s="99">
        <v>8</v>
      </c>
      <c r="BQ100" s="99">
        <v>2592</v>
      </c>
      <c r="BR100" s="99">
        <v>12</v>
      </c>
      <c r="BS100" s="99">
        <v>3888</v>
      </c>
      <c r="BT100" s="99">
        <v>7</v>
      </c>
      <c r="BU100" s="99">
        <v>2268</v>
      </c>
      <c r="BV100" s="99">
        <v>11</v>
      </c>
      <c r="BW100" s="99">
        <v>3564</v>
      </c>
      <c r="BX100" s="99">
        <v>6</v>
      </c>
      <c r="BY100" s="99">
        <v>1944</v>
      </c>
      <c r="BZ100" s="99">
        <v>7</v>
      </c>
      <c r="CA100" s="99">
        <v>2268</v>
      </c>
      <c r="CB100" s="99">
        <v>9</v>
      </c>
      <c r="CC100" s="99">
        <v>2916</v>
      </c>
      <c r="CD100" s="99">
        <v>10</v>
      </c>
      <c r="CE100" s="99">
        <v>3240</v>
      </c>
      <c r="CF100" s="99">
        <v>6</v>
      </c>
      <c r="CG100" s="99">
        <v>1944</v>
      </c>
      <c r="CH100" s="99">
        <v>8</v>
      </c>
      <c r="CI100" s="99">
        <v>2592</v>
      </c>
      <c r="CJ100" s="99">
        <v>8</v>
      </c>
      <c r="CK100" s="99">
        <v>2592</v>
      </c>
      <c r="CL100" s="99">
        <v>8</v>
      </c>
      <c r="CM100" s="99">
        <v>2592</v>
      </c>
      <c r="CN100" s="99">
        <v>10</v>
      </c>
      <c r="CO100" s="99">
        <v>3240</v>
      </c>
      <c r="CP100" s="99">
        <v>8</v>
      </c>
      <c r="CQ100" s="99">
        <v>2592</v>
      </c>
      <c r="CR100" s="99">
        <v>7</v>
      </c>
      <c r="CS100" s="99">
        <v>2268</v>
      </c>
      <c r="CT100" s="99">
        <v>9</v>
      </c>
      <c r="CU100" s="99">
        <v>2916</v>
      </c>
    </row>
    <row r="101" spans="2:99">
      <c r="C101" s="98" t="s">
        <v>267</v>
      </c>
      <c r="D101" s="99">
        <v>6</v>
      </c>
      <c r="E101" s="99">
        <v>4341.6000000000004</v>
      </c>
      <c r="F101" s="99">
        <v>7</v>
      </c>
      <c r="G101" s="99">
        <v>5065.2</v>
      </c>
      <c r="H101" s="99">
        <v>10</v>
      </c>
      <c r="I101" s="99">
        <v>7236</v>
      </c>
      <c r="J101" s="99">
        <v>9</v>
      </c>
      <c r="K101" s="99">
        <v>6512.4000000000005</v>
      </c>
      <c r="L101" s="99">
        <v>9</v>
      </c>
      <c r="M101" s="99">
        <v>6512.4000000000005</v>
      </c>
      <c r="N101" s="99">
        <v>6</v>
      </c>
      <c r="O101" s="99">
        <v>4341.6000000000004</v>
      </c>
      <c r="P101" s="99">
        <v>9</v>
      </c>
      <c r="Q101" s="99">
        <v>6512.4000000000005</v>
      </c>
      <c r="R101" s="99">
        <v>10</v>
      </c>
      <c r="S101" s="99">
        <v>7236</v>
      </c>
      <c r="T101" s="99">
        <v>11</v>
      </c>
      <c r="U101" s="99">
        <v>7959.6</v>
      </c>
      <c r="V101" s="99">
        <v>10</v>
      </c>
      <c r="W101" s="99">
        <v>7236</v>
      </c>
      <c r="X101" s="99">
        <v>8</v>
      </c>
      <c r="Y101" s="99">
        <v>5788.8</v>
      </c>
      <c r="Z101" s="99">
        <v>8</v>
      </c>
      <c r="AA101" s="99">
        <v>5788.8</v>
      </c>
      <c r="AB101" s="99">
        <v>5</v>
      </c>
      <c r="AC101" s="99">
        <v>3618</v>
      </c>
      <c r="AD101" s="99">
        <v>10</v>
      </c>
      <c r="AE101" s="99">
        <v>7236</v>
      </c>
      <c r="AF101" s="99">
        <v>9</v>
      </c>
      <c r="AG101" s="99">
        <v>6512.4000000000005</v>
      </c>
      <c r="AH101" s="99">
        <v>7</v>
      </c>
      <c r="AI101" s="99">
        <v>5065.2</v>
      </c>
      <c r="AJ101" s="99">
        <v>10</v>
      </c>
      <c r="AK101" s="99">
        <v>7236</v>
      </c>
      <c r="AL101" s="99">
        <v>11</v>
      </c>
      <c r="AM101" s="99">
        <v>7959.6</v>
      </c>
      <c r="AN101" s="99">
        <v>7</v>
      </c>
      <c r="AO101" s="99">
        <v>5065.2</v>
      </c>
      <c r="AP101" s="99">
        <v>10</v>
      </c>
      <c r="AQ101" s="99">
        <v>7236</v>
      </c>
      <c r="AR101" s="99">
        <v>6</v>
      </c>
      <c r="AS101" s="99">
        <v>4341.6000000000004</v>
      </c>
      <c r="AT101" s="99">
        <v>9</v>
      </c>
      <c r="AU101" s="99">
        <v>6512.4000000000005</v>
      </c>
      <c r="AV101" s="99">
        <v>6</v>
      </c>
      <c r="AW101" s="99">
        <v>4341.6000000000004</v>
      </c>
      <c r="AX101" s="99">
        <v>9</v>
      </c>
      <c r="AY101" s="99">
        <v>6512.4000000000005</v>
      </c>
      <c r="AZ101" s="99">
        <v>10</v>
      </c>
      <c r="BA101" s="99">
        <v>7236</v>
      </c>
      <c r="BB101" s="99">
        <v>8</v>
      </c>
      <c r="BC101" s="99">
        <v>5788.8</v>
      </c>
      <c r="BD101" s="99">
        <v>9</v>
      </c>
      <c r="BE101" s="99">
        <v>6512.4000000000005</v>
      </c>
      <c r="BF101" s="99">
        <v>9</v>
      </c>
      <c r="BG101" s="99">
        <v>6512.4000000000005</v>
      </c>
      <c r="BH101" s="99">
        <v>9</v>
      </c>
      <c r="BI101" s="99">
        <v>6512.4000000000005</v>
      </c>
      <c r="BJ101" s="99">
        <v>12</v>
      </c>
      <c r="BK101" s="99">
        <v>8683.2000000000007</v>
      </c>
      <c r="BL101" s="99">
        <v>9</v>
      </c>
      <c r="BM101" s="99">
        <v>6512.4000000000005</v>
      </c>
      <c r="BN101" s="99">
        <v>7</v>
      </c>
      <c r="BO101" s="99">
        <v>5065.2</v>
      </c>
      <c r="BP101" s="99">
        <v>8</v>
      </c>
      <c r="BQ101" s="99">
        <v>5788.8</v>
      </c>
      <c r="BR101" s="99">
        <v>10</v>
      </c>
      <c r="BS101" s="99">
        <v>7236</v>
      </c>
      <c r="BT101" s="99">
        <v>6</v>
      </c>
      <c r="BU101" s="99">
        <v>4341.6000000000004</v>
      </c>
      <c r="BV101" s="99">
        <v>10</v>
      </c>
      <c r="BW101" s="99">
        <v>7236</v>
      </c>
      <c r="BX101" s="99">
        <v>6</v>
      </c>
      <c r="BY101" s="99">
        <v>4341.6000000000004</v>
      </c>
      <c r="BZ101" s="99">
        <v>8</v>
      </c>
      <c r="CA101" s="99">
        <v>5788.8</v>
      </c>
      <c r="CB101" s="99">
        <v>8</v>
      </c>
      <c r="CC101" s="99">
        <v>5788.8</v>
      </c>
      <c r="CD101" s="99">
        <v>10</v>
      </c>
      <c r="CE101" s="99">
        <v>7236</v>
      </c>
      <c r="CF101" s="99">
        <v>5</v>
      </c>
      <c r="CG101" s="99">
        <v>3618</v>
      </c>
      <c r="CH101" s="99">
        <v>7</v>
      </c>
      <c r="CI101" s="99">
        <v>5065.2</v>
      </c>
      <c r="CJ101" s="99">
        <v>7</v>
      </c>
      <c r="CK101" s="99">
        <v>5065.2</v>
      </c>
      <c r="CL101" s="99">
        <v>7</v>
      </c>
      <c r="CM101" s="99">
        <v>5065.2</v>
      </c>
      <c r="CN101" s="99">
        <v>10</v>
      </c>
      <c r="CO101" s="99">
        <v>7236</v>
      </c>
      <c r="CP101" s="99">
        <v>8</v>
      </c>
      <c r="CQ101" s="99">
        <v>5788.8</v>
      </c>
      <c r="CR101" s="99">
        <v>6</v>
      </c>
      <c r="CS101" s="99">
        <v>4341.6000000000004</v>
      </c>
      <c r="CT101" s="99">
        <v>8</v>
      </c>
      <c r="CU101" s="99">
        <v>5788.8</v>
      </c>
    </row>
    <row r="102" spans="2:99">
      <c r="C102" s="98" t="s">
        <v>268</v>
      </c>
      <c r="D102" s="99">
        <v>7</v>
      </c>
      <c r="E102" s="99">
        <v>3721.2000000000003</v>
      </c>
      <c r="F102" s="99">
        <v>7</v>
      </c>
      <c r="G102" s="99">
        <v>3721.2000000000003</v>
      </c>
      <c r="H102" s="99">
        <v>10</v>
      </c>
      <c r="I102" s="99">
        <v>5316</v>
      </c>
      <c r="J102" s="99">
        <v>10</v>
      </c>
      <c r="K102" s="99">
        <v>5316</v>
      </c>
      <c r="L102" s="99">
        <v>10</v>
      </c>
      <c r="M102" s="99">
        <v>5316</v>
      </c>
      <c r="N102" s="99">
        <v>6</v>
      </c>
      <c r="O102" s="99">
        <v>3189.6000000000004</v>
      </c>
      <c r="P102" s="99">
        <v>9</v>
      </c>
      <c r="Q102" s="99">
        <v>4784.4000000000005</v>
      </c>
      <c r="R102" s="99">
        <v>10</v>
      </c>
      <c r="S102" s="99">
        <v>5316</v>
      </c>
      <c r="T102" s="99">
        <v>9</v>
      </c>
      <c r="U102" s="99">
        <v>4784.4000000000005</v>
      </c>
      <c r="V102" s="99">
        <v>11</v>
      </c>
      <c r="W102" s="99">
        <v>5847.6</v>
      </c>
      <c r="X102" s="99">
        <v>7</v>
      </c>
      <c r="Y102" s="99">
        <v>3721.2000000000003</v>
      </c>
      <c r="Z102" s="99">
        <v>8</v>
      </c>
      <c r="AA102" s="99">
        <v>4252.8</v>
      </c>
      <c r="AB102" s="99">
        <v>6</v>
      </c>
      <c r="AC102" s="99">
        <v>3189.6000000000004</v>
      </c>
      <c r="AD102" s="99">
        <v>11</v>
      </c>
      <c r="AE102" s="99">
        <v>5847.6</v>
      </c>
      <c r="AF102" s="99">
        <v>10</v>
      </c>
      <c r="AG102" s="99">
        <v>5316</v>
      </c>
      <c r="AH102" s="99">
        <v>8</v>
      </c>
      <c r="AI102" s="99">
        <v>4252.8</v>
      </c>
      <c r="AJ102" s="99">
        <v>11</v>
      </c>
      <c r="AK102" s="99">
        <v>5847.6</v>
      </c>
      <c r="AL102" s="99">
        <v>10</v>
      </c>
      <c r="AM102" s="99">
        <v>5316</v>
      </c>
      <c r="AN102" s="99">
        <v>7</v>
      </c>
      <c r="AO102" s="99">
        <v>3721.2000000000003</v>
      </c>
      <c r="AP102" s="99">
        <v>10</v>
      </c>
      <c r="AQ102" s="99">
        <v>5316</v>
      </c>
      <c r="AR102" s="99">
        <v>6</v>
      </c>
      <c r="AS102" s="99">
        <v>3189.6000000000004</v>
      </c>
      <c r="AT102" s="99">
        <v>10</v>
      </c>
      <c r="AU102" s="99">
        <v>5316</v>
      </c>
      <c r="AV102" s="99">
        <v>7</v>
      </c>
      <c r="AW102" s="99">
        <v>3721.2000000000003</v>
      </c>
      <c r="AX102" s="99">
        <v>10</v>
      </c>
      <c r="AY102" s="99">
        <v>5316</v>
      </c>
      <c r="AZ102" s="99">
        <v>10</v>
      </c>
      <c r="BA102" s="99">
        <v>5316</v>
      </c>
      <c r="BB102" s="99">
        <v>9</v>
      </c>
      <c r="BC102" s="99">
        <v>4784.4000000000005</v>
      </c>
      <c r="BD102" s="99">
        <v>8</v>
      </c>
      <c r="BE102" s="99">
        <v>4252.8</v>
      </c>
      <c r="BF102" s="99">
        <v>9</v>
      </c>
      <c r="BG102" s="99">
        <v>4784.4000000000005</v>
      </c>
      <c r="BH102" s="99">
        <v>12</v>
      </c>
      <c r="BI102" s="99">
        <v>6379.2000000000007</v>
      </c>
      <c r="BJ102" s="99">
        <v>13</v>
      </c>
      <c r="BK102" s="99">
        <v>6910.8</v>
      </c>
      <c r="BL102" s="99">
        <v>8</v>
      </c>
      <c r="BM102" s="99">
        <v>4252.8</v>
      </c>
      <c r="BN102" s="99">
        <v>8</v>
      </c>
      <c r="BO102" s="99">
        <v>4252.8</v>
      </c>
      <c r="BP102" s="99">
        <v>9</v>
      </c>
      <c r="BQ102" s="99">
        <v>4784.4000000000005</v>
      </c>
      <c r="BR102" s="99">
        <v>12</v>
      </c>
      <c r="BS102" s="99">
        <v>6379.2000000000007</v>
      </c>
      <c r="BT102" s="99">
        <v>7</v>
      </c>
      <c r="BU102" s="99">
        <v>3721.2000000000003</v>
      </c>
      <c r="BV102" s="99">
        <v>11</v>
      </c>
      <c r="BW102" s="99">
        <v>5847.6</v>
      </c>
      <c r="BX102" s="99">
        <v>6</v>
      </c>
      <c r="BY102" s="99">
        <v>3189.6000000000004</v>
      </c>
      <c r="BZ102" s="99">
        <v>7</v>
      </c>
      <c r="CA102" s="99">
        <v>3721.2000000000003</v>
      </c>
      <c r="CB102" s="99">
        <v>7</v>
      </c>
      <c r="CC102" s="99">
        <v>3721.2000000000003</v>
      </c>
      <c r="CD102" s="99">
        <v>11</v>
      </c>
      <c r="CE102" s="99">
        <v>5847.6</v>
      </c>
      <c r="CF102" s="99">
        <v>6</v>
      </c>
      <c r="CG102" s="99">
        <v>3189.6000000000004</v>
      </c>
      <c r="CH102" s="99">
        <v>7</v>
      </c>
      <c r="CI102" s="99">
        <v>3721.2000000000003</v>
      </c>
      <c r="CJ102" s="99">
        <v>7</v>
      </c>
      <c r="CK102" s="99">
        <v>3721.2000000000003</v>
      </c>
      <c r="CL102" s="99">
        <v>7</v>
      </c>
      <c r="CM102" s="99">
        <v>3721.2000000000003</v>
      </c>
      <c r="CN102" s="99">
        <v>10</v>
      </c>
      <c r="CO102" s="99">
        <v>5316</v>
      </c>
      <c r="CP102" s="99">
        <v>9</v>
      </c>
      <c r="CQ102" s="99">
        <v>4784.4000000000005</v>
      </c>
      <c r="CR102" s="99">
        <v>7</v>
      </c>
      <c r="CS102" s="99">
        <v>3721.2000000000003</v>
      </c>
      <c r="CT102" s="99">
        <v>9</v>
      </c>
      <c r="CU102" s="99">
        <v>4784.4000000000005</v>
      </c>
    </row>
    <row r="103" spans="2:99">
      <c r="C103" s="98" t="s">
        <v>269</v>
      </c>
      <c r="D103" s="99">
        <v>7</v>
      </c>
      <c r="E103" s="99">
        <v>4124.3999999999996</v>
      </c>
      <c r="F103" s="99">
        <v>7</v>
      </c>
      <c r="G103" s="99">
        <v>4124.3999999999996</v>
      </c>
      <c r="H103" s="99">
        <v>11</v>
      </c>
      <c r="I103" s="99">
        <v>6481.1999999999989</v>
      </c>
      <c r="J103" s="99">
        <v>9</v>
      </c>
      <c r="K103" s="99">
        <v>5302.7999999999993</v>
      </c>
      <c r="L103" s="99">
        <v>9</v>
      </c>
      <c r="M103" s="99">
        <v>5302.7999999999993</v>
      </c>
      <c r="N103" s="99">
        <v>6</v>
      </c>
      <c r="O103" s="99">
        <v>3535.2</v>
      </c>
      <c r="P103" s="99">
        <v>9</v>
      </c>
      <c r="Q103" s="99">
        <v>5302.7999999999993</v>
      </c>
      <c r="R103" s="99">
        <v>12</v>
      </c>
      <c r="S103" s="99">
        <v>7070.4</v>
      </c>
      <c r="T103" s="99">
        <v>10</v>
      </c>
      <c r="U103" s="99">
        <v>5891.9999999999991</v>
      </c>
      <c r="V103" s="99">
        <v>9</v>
      </c>
      <c r="W103" s="99">
        <v>5302.7999999999993</v>
      </c>
      <c r="X103" s="99">
        <v>8</v>
      </c>
      <c r="Y103" s="99">
        <v>4713.5999999999995</v>
      </c>
      <c r="Z103" s="99">
        <v>7</v>
      </c>
      <c r="AA103" s="99">
        <v>4124.3999999999996</v>
      </c>
      <c r="AB103" s="99">
        <v>6</v>
      </c>
      <c r="AC103" s="99">
        <v>3535.2</v>
      </c>
      <c r="AD103" s="99">
        <v>11</v>
      </c>
      <c r="AE103" s="99">
        <v>6481.1999999999989</v>
      </c>
      <c r="AF103" s="99">
        <v>10</v>
      </c>
      <c r="AG103" s="99">
        <v>5891.9999999999991</v>
      </c>
      <c r="AH103" s="99">
        <v>7</v>
      </c>
      <c r="AI103" s="99">
        <v>4124.3999999999996</v>
      </c>
      <c r="AJ103" s="99">
        <v>11</v>
      </c>
      <c r="AK103" s="99">
        <v>6481.1999999999989</v>
      </c>
      <c r="AL103" s="99">
        <v>11</v>
      </c>
      <c r="AM103" s="99">
        <v>6481.1999999999989</v>
      </c>
      <c r="AN103" s="99">
        <v>8</v>
      </c>
      <c r="AO103" s="99">
        <v>4713.5999999999995</v>
      </c>
      <c r="AP103" s="99">
        <v>10</v>
      </c>
      <c r="AQ103" s="99">
        <v>5891.9999999999991</v>
      </c>
      <c r="AR103" s="99">
        <v>7</v>
      </c>
      <c r="AS103" s="99">
        <v>4124.3999999999996</v>
      </c>
      <c r="AT103" s="99">
        <v>10</v>
      </c>
      <c r="AU103" s="99">
        <v>5891.9999999999991</v>
      </c>
      <c r="AV103" s="99">
        <v>6</v>
      </c>
      <c r="AW103" s="99">
        <v>3535.2</v>
      </c>
      <c r="AX103" s="99">
        <v>9</v>
      </c>
      <c r="AY103" s="99">
        <v>5302.7999999999993</v>
      </c>
      <c r="AZ103" s="99">
        <v>10</v>
      </c>
      <c r="BA103" s="99">
        <v>5891.9999999999991</v>
      </c>
      <c r="BB103" s="99">
        <v>9</v>
      </c>
      <c r="BC103" s="99">
        <v>5302.7999999999993</v>
      </c>
      <c r="BD103" s="99">
        <v>9</v>
      </c>
      <c r="BE103" s="99">
        <v>5302.7999999999993</v>
      </c>
      <c r="BF103" s="99">
        <v>9</v>
      </c>
      <c r="BG103" s="99">
        <v>5302.7999999999993</v>
      </c>
      <c r="BH103" s="99">
        <v>11</v>
      </c>
      <c r="BI103" s="99">
        <v>6481.1999999999989</v>
      </c>
      <c r="BJ103" s="99">
        <v>10</v>
      </c>
      <c r="BK103" s="99">
        <v>5891.9999999999991</v>
      </c>
      <c r="BL103" s="99">
        <v>9</v>
      </c>
      <c r="BM103" s="99">
        <v>5302.7999999999993</v>
      </c>
      <c r="BN103" s="99">
        <v>7</v>
      </c>
      <c r="BO103" s="99">
        <v>4124.3999999999996</v>
      </c>
      <c r="BP103" s="99">
        <v>8</v>
      </c>
      <c r="BQ103" s="99">
        <v>4713.5999999999995</v>
      </c>
      <c r="BR103" s="99">
        <v>12</v>
      </c>
      <c r="BS103" s="99">
        <v>7070.4</v>
      </c>
      <c r="BT103" s="99">
        <v>7</v>
      </c>
      <c r="BU103" s="99">
        <v>4124.3999999999996</v>
      </c>
      <c r="BV103" s="99">
        <v>10</v>
      </c>
      <c r="BW103" s="99">
        <v>5891.9999999999991</v>
      </c>
      <c r="BX103" s="99">
        <v>6</v>
      </c>
      <c r="BY103" s="99">
        <v>3535.2</v>
      </c>
      <c r="BZ103" s="99">
        <v>7</v>
      </c>
      <c r="CA103" s="99">
        <v>4124.3999999999996</v>
      </c>
      <c r="CB103" s="99">
        <v>9</v>
      </c>
      <c r="CC103" s="99">
        <v>5302.7999999999993</v>
      </c>
      <c r="CD103" s="99">
        <v>9</v>
      </c>
      <c r="CE103" s="99">
        <v>5302.7999999999993</v>
      </c>
      <c r="CF103" s="99">
        <v>6</v>
      </c>
      <c r="CG103" s="99">
        <v>3535.2</v>
      </c>
      <c r="CH103" s="99">
        <v>7</v>
      </c>
      <c r="CI103" s="99">
        <v>4124.3999999999996</v>
      </c>
      <c r="CJ103" s="99">
        <v>7</v>
      </c>
      <c r="CK103" s="99">
        <v>4124.3999999999996</v>
      </c>
      <c r="CL103" s="99">
        <v>7</v>
      </c>
      <c r="CM103" s="99">
        <v>4124.3999999999996</v>
      </c>
      <c r="CN103" s="99">
        <v>10</v>
      </c>
      <c r="CO103" s="99">
        <v>5891.9999999999991</v>
      </c>
      <c r="CP103" s="99">
        <v>9</v>
      </c>
      <c r="CQ103" s="99">
        <v>5302.7999999999993</v>
      </c>
      <c r="CR103" s="99">
        <v>6</v>
      </c>
      <c r="CS103" s="99">
        <v>3535.2</v>
      </c>
      <c r="CT103" s="99">
        <v>9</v>
      </c>
      <c r="CU103" s="99">
        <v>5302.7999999999993</v>
      </c>
    </row>
    <row r="104" spans="2:99">
      <c r="C104" s="98" t="s">
        <v>270</v>
      </c>
      <c r="D104" s="99">
        <v>6</v>
      </c>
      <c r="E104" s="99">
        <v>3794.3999999999996</v>
      </c>
      <c r="F104" s="99">
        <v>7</v>
      </c>
      <c r="G104" s="99">
        <v>4426.8</v>
      </c>
      <c r="H104" s="99">
        <v>10</v>
      </c>
      <c r="I104" s="99">
        <v>6324</v>
      </c>
      <c r="J104" s="99">
        <v>9</v>
      </c>
      <c r="K104" s="99">
        <v>5691.5999999999995</v>
      </c>
      <c r="L104" s="99">
        <v>9</v>
      </c>
      <c r="M104" s="99">
        <v>5691.5999999999995</v>
      </c>
      <c r="N104" s="99">
        <v>6</v>
      </c>
      <c r="O104" s="99">
        <v>3794.3999999999996</v>
      </c>
      <c r="P104" s="99">
        <v>8</v>
      </c>
      <c r="Q104" s="99">
        <v>5059.2</v>
      </c>
      <c r="R104" s="99">
        <v>12</v>
      </c>
      <c r="S104" s="99">
        <v>7588.7999999999993</v>
      </c>
      <c r="T104" s="99">
        <v>11</v>
      </c>
      <c r="U104" s="99">
        <v>6956.4</v>
      </c>
      <c r="V104" s="99">
        <v>11</v>
      </c>
      <c r="W104" s="99">
        <v>6956.4</v>
      </c>
      <c r="X104" s="99">
        <v>8</v>
      </c>
      <c r="Y104" s="99">
        <v>5059.2</v>
      </c>
      <c r="Z104" s="99">
        <v>8</v>
      </c>
      <c r="AA104" s="99">
        <v>5059.2</v>
      </c>
      <c r="AB104" s="99">
        <v>6</v>
      </c>
      <c r="AC104" s="99">
        <v>3794.3999999999996</v>
      </c>
      <c r="AD104" s="99">
        <v>11</v>
      </c>
      <c r="AE104" s="99">
        <v>6956.4</v>
      </c>
      <c r="AF104" s="99">
        <v>10</v>
      </c>
      <c r="AG104" s="99">
        <v>6324</v>
      </c>
      <c r="AH104" s="99">
        <v>7</v>
      </c>
      <c r="AI104" s="99">
        <v>4426.8</v>
      </c>
      <c r="AJ104" s="99">
        <v>11</v>
      </c>
      <c r="AK104" s="99">
        <v>6956.4</v>
      </c>
      <c r="AL104" s="99">
        <v>11</v>
      </c>
      <c r="AM104" s="99">
        <v>6956.4</v>
      </c>
      <c r="AN104" s="99">
        <v>8</v>
      </c>
      <c r="AO104" s="99">
        <v>5059.2</v>
      </c>
      <c r="AP104" s="99">
        <v>10</v>
      </c>
      <c r="AQ104" s="99">
        <v>6324</v>
      </c>
      <c r="AR104" s="99">
        <v>6</v>
      </c>
      <c r="AS104" s="99">
        <v>3794.3999999999996</v>
      </c>
      <c r="AT104" s="99">
        <v>11</v>
      </c>
      <c r="AU104" s="99">
        <v>6956.4</v>
      </c>
      <c r="AV104" s="99">
        <v>6</v>
      </c>
      <c r="AW104" s="99">
        <v>3794.3999999999996</v>
      </c>
      <c r="AX104" s="99">
        <v>10</v>
      </c>
      <c r="AY104" s="99">
        <v>6324</v>
      </c>
      <c r="AZ104" s="99">
        <v>10</v>
      </c>
      <c r="BA104" s="99">
        <v>6324</v>
      </c>
      <c r="BB104" s="99">
        <v>9</v>
      </c>
      <c r="BC104" s="99">
        <v>5691.5999999999995</v>
      </c>
      <c r="BD104" s="99">
        <v>9</v>
      </c>
      <c r="BE104" s="99">
        <v>5691.5999999999995</v>
      </c>
      <c r="BF104" s="99">
        <v>9</v>
      </c>
      <c r="BG104" s="99">
        <v>5691.5999999999995</v>
      </c>
      <c r="BH104" s="99">
        <v>10</v>
      </c>
      <c r="BI104" s="99">
        <v>6324</v>
      </c>
      <c r="BJ104" s="99">
        <v>12</v>
      </c>
      <c r="BK104" s="99">
        <v>7588.7999999999993</v>
      </c>
      <c r="BL104" s="99">
        <v>8</v>
      </c>
      <c r="BM104" s="99">
        <v>5059.2</v>
      </c>
      <c r="BN104" s="99">
        <v>8</v>
      </c>
      <c r="BO104" s="99">
        <v>5059.2</v>
      </c>
      <c r="BP104" s="99">
        <v>8</v>
      </c>
      <c r="BQ104" s="99">
        <v>5059.2</v>
      </c>
      <c r="BR104" s="99">
        <v>11</v>
      </c>
      <c r="BS104" s="99">
        <v>6956.4</v>
      </c>
      <c r="BT104" s="99">
        <v>7</v>
      </c>
      <c r="BU104" s="99">
        <v>4426.8</v>
      </c>
      <c r="BV104" s="99">
        <v>12</v>
      </c>
      <c r="BW104" s="99">
        <v>7588.7999999999993</v>
      </c>
      <c r="BX104" s="99">
        <v>6</v>
      </c>
      <c r="BY104" s="99">
        <v>3794.3999999999996</v>
      </c>
      <c r="BZ104" s="99">
        <v>8</v>
      </c>
      <c r="CA104" s="99">
        <v>5059.2</v>
      </c>
      <c r="CB104" s="99">
        <v>8</v>
      </c>
      <c r="CC104" s="99">
        <v>5059.2</v>
      </c>
      <c r="CD104" s="99">
        <v>9</v>
      </c>
      <c r="CE104" s="99">
        <v>5691.5999999999995</v>
      </c>
      <c r="CF104" s="99">
        <v>6</v>
      </c>
      <c r="CG104" s="99">
        <v>3794.3999999999996</v>
      </c>
      <c r="CH104" s="99">
        <v>8</v>
      </c>
      <c r="CI104" s="99">
        <v>5059.2</v>
      </c>
      <c r="CJ104" s="99">
        <v>8</v>
      </c>
      <c r="CK104" s="99">
        <v>5059.2</v>
      </c>
      <c r="CL104" s="99">
        <v>6</v>
      </c>
      <c r="CM104" s="99">
        <v>3794.3999999999996</v>
      </c>
      <c r="CN104" s="99">
        <v>10</v>
      </c>
      <c r="CO104" s="99">
        <v>6324</v>
      </c>
      <c r="CP104" s="99">
        <v>8</v>
      </c>
      <c r="CQ104" s="99">
        <v>5059.2</v>
      </c>
      <c r="CR104" s="99">
        <v>6</v>
      </c>
      <c r="CS104" s="99">
        <v>3794.3999999999996</v>
      </c>
      <c r="CT104" s="99">
        <v>8</v>
      </c>
      <c r="CU104" s="99">
        <v>5059.2</v>
      </c>
    </row>
    <row r="105" spans="2:99">
      <c r="C105" s="98" t="s">
        <v>271</v>
      </c>
      <c r="D105" s="99">
        <v>7</v>
      </c>
      <c r="E105" s="99">
        <v>3897.5999999999995</v>
      </c>
      <c r="F105" s="99">
        <v>7</v>
      </c>
      <c r="G105" s="99">
        <v>3897.5999999999995</v>
      </c>
      <c r="H105" s="99">
        <v>10</v>
      </c>
      <c r="I105" s="99">
        <v>5568</v>
      </c>
      <c r="J105" s="99">
        <v>10</v>
      </c>
      <c r="K105" s="99">
        <v>5568</v>
      </c>
      <c r="L105" s="99">
        <v>8</v>
      </c>
      <c r="M105" s="99">
        <v>4454.3999999999996</v>
      </c>
      <c r="N105" s="99">
        <v>6</v>
      </c>
      <c r="O105" s="99">
        <v>3340.7999999999997</v>
      </c>
      <c r="P105" s="99">
        <v>9</v>
      </c>
      <c r="Q105" s="99">
        <v>5011.2</v>
      </c>
      <c r="R105" s="99">
        <v>10</v>
      </c>
      <c r="S105" s="99">
        <v>5568</v>
      </c>
      <c r="T105" s="99">
        <v>10</v>
      </c>
      <c r="U105" s="99">
        <v>5568</v>
      </c>
      <c r="V105" s="99">
        <v>11</v>
      </c>
      <c r="W105" s="99">
        <v>6124.7999999999993</v>
      </c>
      <c r="X105" s="99">
        <v>8</v>
      </c>
      <c r="Y105" s="99">
        <v>4454.3999999999996</v>
      </c>
      <c r="Z105" s="99">
        <v>7</v>
      </c>
      <c r="AA105" s="99">
        <v>3897.5999999999995</v>
      </c>
      <c r="AB105" s="99">
        <v>6</v>
      </c>
      <c r="AC105" s="99">
        <v>3340.7999999999997</v>
      </c>
      <c r="AD105" s="99">
        <v>11</v>
      </c>
      <c r="AE105" s="99">
        <v>6124.7999999999993</v>
      </c>
      <c r="AF105" s="99">
        <v>10</v>
      </c>
      <c r="AG105" s="99">
        <v>5568</v>
      </c>
      <c r="AH105" s="99">
        <v>7</v>
      </c>
      <c r="AI105" s="99">
        <v>3897.5999999999995</v>
      </c>
      <c r="AJ105" s="99">
        <v>10</v>
      </c>
      <c r="AK105" s="99">
        <v>5568</v>
      </c>
      <c r="AL105" s="99">
        <v>10</v>
      </c>
      <c r="AM105" s="99">
        <v>5568</v>
      </c>
      <c r="AN105" s="99">
        <v>7</v>
      </c>
      <c r="AO105" s="99">
        <v>3897.5999999999995</v>
      </c>
      <c r="AP105" s="99">
        <v>9</v>
      </c>
      <c r="AQ105" s="99">
        <v>5011.2</v>
      </c>
      <c r="AR105" s="99">
        <v>6</v>
      </c>
      <c r="AS105" s="99">
        <v>3340.7999999999997</v>
      </c>
      <c r="AT105" s="99">
        <v>10</v>
      </c>
      <c r="AU105" s="99">
        <v>5568</v>
      </c>
      <c r="AV105" s="99">
        <v>6</v>
      </c>
      <c r="AW105" s="99">
        <v>3340.7999999999997</v>
      </c>
      <c r="AX105" s="99">
        <v>10</v>
      </c>
      <c r="AY105" s="99">
        <v>5568</v>
      </c>
      <c r="AZ105" s="99">
        <v>9</v>
      </c>
      <c r="BA105" s="99">
        <v>5011.2</v>
      </c>
      <c r="BB105" s="99">
        <v>9</v>
      </c>
      <c r="BC105" s="99">
        <v>5011.2</v>
      </c>
      <c r="BD105" s="99">
        <v>9</v>
      </c>
      <c r="BE105" s="99">
        <v>5011.2</v>
      </c>
      <c r="BF105" s="99">
        <v>9</v>
      </c>
      <c r="BG105" s="99">
        <v>5011.2</v>
      </c>
      <c r="BH105" s="99">
        <v>10</v>
      </c>
      <c r="BI105" s="99">
        <v>5568</v>
      </c>
      <c r="BJ105" s="99">
        <v>11</v>
      </c>
      <c r="BK105" s="99">
        <v>6124.7999999999993</v>
      </c>
      <c r="BL105" s="99">
        <v>9</v>
      </c>
      <c r="BM105" s="99">
        <v>5011.2</v>
      </c>
      <c r="BN105" s="99">
        <v>8</v>
      </c>
      <c r="BO105" s="99">
        <v>4454.3999999999996</v>
      </c>
      <c r="BP105" s="99">
        <v>8</v>
      </c>
      <c r="BQ105" s="99">
        <v>4454.3999999999996</v>
      </c>
      <c r="BR105" s="99">
        <v>11</v>
      </c>
      <c r="BS105" s="99">
        <v>6124.7999999999993</v>
      </c>
      <c r="BT105" s="99">
        <v>6</v>
      </c>
      <c r="BU105" s="99">
        <v>3340.7999999999997</v>
      </c>
      <c r="BV105" s="99">
        <v>12</v>
      </c>
      <c r="BW105" s="99">
        <v>6681.5999999999995</v>
      </c>
      <c r="BX105" s="99">
        <v>6</v>
      </c>
      <c r="BY105" s="99">
        <v>3340.7999999999997</v>
      </c>
      <c r="BZ105" s="99">
        <v>7</v>
      </c>
      <c r="CA105" s="99">
        <v>3897.5999999999995</v>
      </c>
      <c r="CB105" s="99">
        <v>8</v>
      </c>
      <c r="CC105" s="99">
        <v>4454.3999999999996</v>
      </c>
      <c r="CD105" s="99">
        <v>10</v>
      </c>
      <c r="CE105" s="99">
        <v>5568</v>
      </c>
      <c r="CF105" s="99">
        <v>6</v>
      </c>
      <c r="CG105" s="99">
        <v>3340.7999999999997</v>
      </c>
      <c r="CH105" s="99">
        <v>7</v>
      </c>
      <c r="CI105" s="99">
        <v>3897.5999999999995</v>
      </c>
      <c r="CJ105" s="99">
        <v>8</v>
      </c>
      <c r="CK105" s="99">
        <v>4454.3999999999996</v>
      </c>
      <c r="CL105" s="99">
        <v>6</v>
      </c>
      <c r="CM105" s="99">
        <v>3340.7999999999997</v>
      </c>
      <c r="CN105" s="99">
        <v>10</v>
      </c>
      <c r="CO105" s="99">
        <v>5568</v>
      </c>
      <c r="CP105" s="99">
        <v>8</v>
      </c>
      <c r="CQ105" s="99">
        <v>4454.3999999999996</v>
      </c>
      <c r="CR105" s="99">
        <v>6</v>
      </c>
      <c r="CS105" s="99">
        <v>3340.7999999999997</v>
      </c>
      <c r="CT105" s="99">
        <v>9</v>
      </c>
      <c r="CU105" s="99">
        <v>5011.2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851</v>
      </c>
      <c r="E109" s="99">
        <f>SUM(L$6:L$19)+SUM(N$6:N$19)+SUM(P$6:P$19)+SUM(R$6:R$19)</f>
        <v>667</v>
      </c>
      <c r="F109" s="99">
        <f>SUM(T$6:T$19)+SUM(V$6:V$19)+SUM(X$6:X$19)+SUM(Z$6:Z$19)</f>
        <v>786</v>
      </c>
      <c r="G109" s="99">
        <f>SUM(AB$6:AB$19)+SUM(AD$6:AD$19)+SUM(AF$6:AF$19)+SUM(AH$6:AH$19)</f>
        <v>779</v>
      </c>
      <c r="H109" s="99">
        <f>SUM(AJ$6:AJ$19)+SUM(AL$6:AL$19)+SUM(AN$6:AN$19)+SUM(AP$6:AP$19)</f>
        <v>922</v>
      </c>
      <c r="I109" s="99">
        <f>SUM(AR$6:AR$19)+SUM(AT$6:AT$19)+SUM(AV$6:AV$19)+SUM(AX$6:AX$19)</f>
        <v>831</v>
      </c>
      <c r="J109" s="99">
        <f>SUM(AZ$6:AZ$19)+SUM(BB$6:BB$19)+SUM(BD$6:BD$19)+SUM(BF$6:BF$19)</f>
        <v>891</v>
      </c>
      <c r="K109" s="99">
        <f>SUM(BH$6:BH$19)+SUM(BJ$6:BJ$19)+SUM(BL$6:BL$19)+SUM(BN$6:BN$19)</f>
        <v>792</v>
      </c>
      <c r="L109" s="99">
        <f>SUM(BP$6:BP$19)+SUM(BR$6:BR$19)+SUM(BT$6:BT$19)+SUM(BV$6:BV$19)</f>
        <v>814</v>
      </c>
      <c r="M109" s="99">
        <f>SUM(BX$6:BX$19)+SUM(BZ$6:BZ$19)+SUM(CB$6:CB$19)+SUM(CD$6:CD$19)</f>
        <v>959</v>
      </c>
      <c r="N109" s="99">
        <f>SUM(CF$6:CF$19)+SUM(CH$6:CH$19)+SUM(CJ$6:CJ$19)+SUM(CL$6:CL$19)</f>
        <v>853.31337957694643</v>
      </c>
      <c r="O109" s="99">
        <f>SUM(CN$6:CN$19)+SUM(CP$6:CP$19)+SUM(CR$6:CR$19)+SUM(CT$6:CT$19)</f>
        <v>820.35529363087164</v>
      </c>
    </row>
    <row r="110" spans="2:99">
      <c r="C110" s="98" t="s">
        <v>127</v>
      </c>
      <c r="D110" s="99">
        <f>SUM(D$20:D$36)+SUM(F$20:F$36)+SUM(H$20:H$36)+SUM(J$20:J$36)</f>
        <v>852</v>
      </c>
      <c r="E110" s="99">
        <f>SUM(L$20:L$36)+SUM(N$20:N$36)+SUM(P$20:P$36)+SUM(R$20:R$36)</f>
        <v>976</v>
      </c>
      <c r="F110" s="99">
        <f>SUM(T$20:T$36)+SUM(V$20:V$36)+SUM(X$20:X$36)+SUM(Z$20:Z$36)</f>
        <v>755</v>
      </c>
      <c r="G110" s="99">
        <f>SUM(AB$20:AB$36)+SUM(AD$20:AD$36)+SUM(AF$20:AF$36)+SUM(AH$20:AH$36)</f>
        <v>952</v>
      </c>
      <c r="H110" s="99">
        <f>SUM(AJ$20:AJ$36)+SUM(AL$20:AL$36)+SUM(AN$20:AN$36)+SUM(AP$20:AP$36)</f>
        <v>987</v>
      </c>
      <c r="I110" s="99">
        <f>SUM(AR$20:AR$36)+SUM(AT$20:AT$36)+SUM(AV$20:AV$36)+SUM(AX$20:AX$36)</f>
        <v>833</v>
      </c>
      <c r="J110" s="99">
        <f>SUM(AZ$20:AZ$36)+SUM(BB$20:BB$36)+SUM(BD$20:BD$36)+SUM(BF$20:BF$36)</f>
        <v>1003</v>
      </c>
      <c r="K110" s="99">
        <f>SUM(BH$20:BH$36)+SUM(BJ$20:BJ$36)+SUM(BL$20:BL$36)+SUM(BN$20:BN$36)</f>
        <v>1001</v>
      </c>
      <c r="L110" s="99">
        <f>SUM(BP$20:BP$36)+SUM(BR$20:BR$36)+SUM(BT$20:BT$36)+SUM(BV$20:BV$36)</f>
        <v>966</v>
      </c>
      <c r="M110" s="99">
        <f>SUM(BX$20:BX$36)+SUM(BZ$20:BZ$36)+SUM(CB$20:CB$36)+SUM(CD$20:CD$36)</f>
        <v>1046</v>
      </c>
      <c r="N110" s="99">
        <f>SUM(CF$20:CF$36)+SUM(CH$20:CH$36)+SUM(CJ$20:CJ$36)+SUM(CL$20:CL$36)</f>
        <v>934.85674940965907</v>
      </c>
      <c r="O110" s="99">
        <f>SUM(CN$20:CN$36)+SUM(CP$20:CP$36)+SUM(CR$20:CR$36)+SUM(CT$20:CT$36)</f>
        <v>1008.8345376948726</v>
      </c>
    </row>
    <row r="111" spans="2:99">
      <c r="C111" s="98" t="s">
        <v>128</v>
      </c>
      <c r="D111" s="99">
        <f>SUM(D$37:D$48)+SUM(F$37:F$48)+SUM(H$37:H$48)+SUM(J$37:J$48)</f>
        <v>404</v>
      </c>
      <c r="E111" s="99">
        <f>SUM(L$37:L$48)+SUM(N$37:N$48)+SUM(P$37:P$48)+SUM(R$37:R$48)</f>
        <v>349</v>
      </c>
      <c r="F111" s="99">
        <f>SUM(T$37:T$48)+SUM(V$37:V$48)+SUM(X$37:X$48)+SUM(Z$37:Z$48)</f>
        <v>418</v>
      </c>
      <c r="G111" s="99">
        <f>SUM(AB$37:AB$48)+SUM(AD$37:AD$48)+SUM(AF$37:AF$48)+SUM(AH$37:AH$48)</f>
        <v>379</v>
      </c>
      <c r="H111" s="99">
        <f>SUM(AJ$37:AJ$48)+SUM(AL$37:AL$48)+SUM(AN$37:AN$48)+SUM(AP$37:AP$48)</f>
        <v>453</v>
      </c>
      <c r="I111" s="99">
        <f>SUM(AR$37:AR$48)+SUM(AT$37:AT$48)+SUM(AV$37:AV$48)+SUM(AX$37:AX$48)</f>
        <v>442</v>
      </c>
      <c r="J111" s="99">
        <f>SUM(AZ$37:AZ$48)+SUM(BB$37:BB$48)+SUM(BD$37:BD$48)+SUM(BF$37:BF$48)</f>
        <v>416</v>
      </c>
      <c r="K111" s="99">
        <f>SUM(BH$37:BH$48)+SUM(BJ$37:BJ$48)+SUM(BL$37:BL$48)+SUM(BN$37:BN$48)</f>
        <v>424</v>
      </c>
      <c r="L111" s="99">
        <f>SUM(BP$37:BP$48)+SUM(BR$37:BR$48)+SUM(BT$37:BT$48)+SUM(BV$37:BV$48)</f>
        <v>421</v>
      </c>
      <c r="M111" s="99">
        <f>SUM(BX$37:BX$48)+SUM(BZ$37:BZ$48)+SUM(CB$37:CB$48)+SUM(CD$37:CD$48)</f>
        <v>460</v>
      </c>
      <c r="N111" s="99">
        <f>SUM(CF$37:CF$48)+SUM(CH$37:CH$48)+SUM(CJ$37:CJ$48)+SUM(CL$37:CL$48)</f>
        <v>540.03357908475505</v>
      </c>
      <c r="O111" s="99">
        <f>SUM(CN$37:CN$48)+SUM(CP$37:CP$48)+SUM(CR$37:CR$48)+SUM(CT$37:CT$48)</f>
        <v>476.92981776003467</v>
      </c>
    </row>
    <row r="112" spans="2:99">
      <c r="C112" s="98" t="s">
        <v>129</v>
      </c>
      <c r="D112" s="99">
        <f>SUM(D$49:D$70)+SUM(F$49:F$70)+SUM(H$49:H$70)+SUM(J$49:J$70)</f>
        <v>808</v>
      </c>
      <c r="E112" s="99">
        <f>SUM(L$49:L$70)+SUM(N$49:N$70)+SUM(P$49:P$70)+SUM(R$49:R$70)</f>
        <v>735</v>
      </c>
      <c r="F112" s="99">
        <f>SUM(T$49:T$70)+SUM(V$49:V$70)+SUM(X$49:X$70)+SUM(Z$49:Z$70)</f>
        <v>779</v>
      </c>
      <c r="G112" s="99">
        <f>SUM(AB$49:AB$70)+SUM(AD$49:AD$70)+SUM(AF$49:AF$70)+SUM(AH$49:AH$70)</f>
        <v>778</v>
      </c>
      <c r="H112" s="99">
        <f>SUM(AJ$49:AJ$70)+SUM(AL$49:AL$70)+SUM(AN$49:AN$70)+SUM(AP$49:AP$70)</f>
        <v>750</v>
      </c>
      <c r="I112" s="99">
        <f>SUM(AR$49:AR$70)+SUM(AT$49:AT$70)+SUM(AV$49:AV$70)+SUM(AX$49:AX$70)</f>
        <v>743.05298013245033</v>
      </c>
      <c r="J112" s="99">
        <f>SUM(AZ$49:AZ$70)+SUM(BB$49:BB$70)+SUM(BD$49:BD$70)+SUM(BF$49:BF$70)</f>
        <v>867</v>
      </c>
      <c r="K112" s="99">
        <f>SUM(BH$49:BH$70)+SUM(BJ$49:BJ$70)+SUM(BL$49:BL$70)+SUM(BN$49:BN$70)</f>
        <v>727</v>
      </c>
      <c r="L112" s="99">
        <f>SUM(BP$49:BP$70)+SUM(BR$49:BR$70)+SUM(BT$49:BT$70)+SUM(BV$49:BV$70)</f>
        <v>794</v>
      </c>
      <c r="M112" s="99">
        <f>SUM(BX$49:BX$70)+SUM(BZ$49:BZ$70)+SUM(CB$49:CB$70)+SUM(CD$49:CD$70)</f>
        <v>786</v>
      </c>
      <c r="N112" s="99">
        <f>SUM(CF$49:CF$70)+SUM(CH$49:CH$70)+SUM(CJ$49:CJ$70)+SUM(CL$49:CL$70)</f>
        <v>750.67403772155831</v>
      </c>
      <c r="O112" s="99">
        <f>SUM(CN$49:CN$70)+SUM(CP$49:CP$70)+SUM(CR$49:CR$70)+SUM(CT$49:CT$70)</f>
        <v>702.91490039440509</v>
      </c>
    </row>
    <row r="113" spans="2:15">
      <c r="C113" s="98" t="s">
        <v>130</v>
      </c>
      <c r="D113" s="99">
        <f>SUM(D$71:D$86)+SUM(F$71:F$86)+SUM(H$71:H$86)+SUM(J$71:J$86)</f>
        <v>490</v>
      </c>
      <c r="E113" s="99">
        <f>SUM(L$71:L$86)+SUM(N$71:N$86)+SUM(P$71:P$86)+SUM(R$71:R$86)</f>
        <v>497</v>
      </c>
      <c r="F113" s="99">
        <f>SUM(T$71:T$86)+SUM(V$71:V$86)+SUM(X$71:X$86)+SUM(Z$71:Z$86)</f>
        <v>501</v>
      </c>
      <c r="G113" s="99">
        <f>SUM(AB$71:AB$86)+SUM(AD$71:AD$86)+SUM(AF$71:AF$86)+SUM(AH$71:AH$86)</f>
        <v>431</v>
      </c>
      <c r="H113" s="99">
        <f>SUM(AJ$71:AJ$86)+SUM(AL$71:AL$86)+SUM(AN$71:AN$86)+SUM(AP$71:AP$86)</f>
        <v>447</v>
      </c>
      <c r="I113" s="99">
        <f>SUM(AR$71:AR$86)+SUM(AT$71:AT$86)+SUM(AV$71:AV$86)+SUM(AX$71:AX$86)</f>
        <v>372.94701986754973</v>
      </c>
      <c r="J113" s="99">
        <f>SUM(AZ$71:AZ$86)+SUM(BB$71:BB$86)+SUM(BD$71:BD$86)+SUM(BF$71:BF$86)</f>
        <v>453</v>
      </c>
      <c r="K113" s="99">
        <f>SUM(BH$71:BH$86)+SUM(BJ$71:BJ$86)+SUM(BL$71:BL$86)+SUM(BN$71:BN$86)</f>
        <v>391</v>
      </c>
      <c r="L113" s="99">
        <f>SUM(BP$71:BP$86)+SUM(BR$71:BR$86)+SUM(BT$71:BT$86)+SUM(BV$71:BV$86)</f>
        <v>460</v>
      </c>
      <c r="M113" s="99">
        <f>SUM(BX$71:BX$86)+SUM(BZ$71:BZ$86)+SUM(CB$71:CB$86)+SUM(CD$71:CD$86)</f>
        <v>468</v>
      </c>
      <c r="N113" s="99">
        <f>SUM(CF$71:CF$86)+SUM(CH$71:CH$86)+SUM(CJ$71:CJ$86)+SUM(CL$71:CL$86)</f>
        <v>570</v>
      </c>
      <c r="O113" s="99">
        <f>SUM(CN$71:CN$86)+SUM(CP$71:CP$86)+SUM(CR$71:CR$86)+SUM(CT$71:CT$86)</f>
        <v>549</v>
      </c>
    </row>
    <row r="114" spans="2:15">
      <c r="C114" s="98" t="s">
        <v>131</v>
      </c>
      <c r="D114" s="99">
        <f>SUM(D$87:D$94)+SUM(F$87:F$94)+SUM(H$87:H$94)+SUM(J$87:J$94)</f>
        <v>296</v>
      </c>
      <c r="E114" s="99">
        <f>SUM(L$87:L$94)+SUM(N$87:N$94)+SUM(P$87:P$94)+SUM(R$87:R$94)</f>
        <v>232</v>
      </c>
      <c r="F114" s="99">
        <f>SUM(T$87:T$94)+SUM(V$87:V$94)+SUM(X$87:X$94)+SUM(Z$87:Z$94)</f>
        <v>321</v>
      </c>
      <c r="G114" s="99">
        <f>SUM(AB$87:AB$94)+SUM(AD$87:AD$94)+SUM(AF$87:AF$94)+SUM(AH$87:AH$94)</f>
        <v>296</v>
      </c>
      <c r="H114" s="99">
        <f>SUM(AJ$87:AJ$94)+SUM(AL$87:AL$94)+SUM(AN$87:AN$94)+SUM(AP$87:AP$94)</f>
        <v>303</v>
      </c>
      <c r="I114" s="99">
        <f>SUM(AR$87:AR$94)+SUM(AT$87:AT$94)+SUM(AV$87:AV$94)+SUM(AX$87:AX$94)</f>
        <v>325</v>
      </c>
      <c r="J114" s="99">
        <f>SUM(AZ$87:AZ$94)+SUM(BB$87:BB$94)+SUM(BD$87:BD$94)+SUM(BF$87:BF$94)</f>
        <v>358</v>
      </c>
      <c r="K114" s="99">
        <f>SUM(BH$87:BH$94)+SUM(BJ$87:BJ$94)+SUM(BL$87:BL$94)+SUM(BN$87:BN$94)</f>
        <v>282</v>
      </c>
      <c r="L114" s="99">
        <f>SUM(BP$87:BP$94)+SUM(BR$87:BR$94)+SUM(BT$87:BT$94)+SUM(BV$87:BV$94)</f>
        <v>337</v>
      </c>
      <c r="M114" s="99">
        <f>SUM(BX$87:BX$94)+SUM(BZ$87:BZ$94)+SUM(CB$87:CB$94)+SUM(CD$87:CD$94)</f>
        <v>322</v>
      </c>
      <c r="N114" s="99">
        <f>SUM(CF$87:CF$94)+SUM(CH$87:CH$94)+SUM(CJ$87:CJ$94)+SUM(CL$87:CL$94)</f>
        <v>263</v>
      </c>
      <c r="O114" s="99">
        <f>SUM(CN$87:CN$94)+SUM(CP$87:CP$94)+SUM(CR$87:CR$94)+SUM(CT$87:CT$94)</f>
        <v>292</v>
      </c>
    </row>
    <row r="115" spans="2:15">
      <c r="C115" s="98" t="s">
        <v>132</v>
      </c>
      <c r="D115" s="99">
        <f>SUM(D$95:D$105)+SUM(F$95:F$105)+SUM(H$95:H$105)+SUM(J$95:J$105)</f>
        <v>359</v>
      </c>
      <c r="E115" s="99">
        <f>SUM(L$95:L$105)+SUM(N$95:N$105)+SUM(P$95:P$105)+SUM(R$95:R$105)</f>
        <v>371</v>
      </c>
      <c r="F115" s="99">
        <f>SUM(T$95:T$105)+SUM(V$95:V$105)+SUM(X$95:X$105)+SUM(Z$95:Z$105)</f>
        <v>390</v>
      </c>
      <c r="G115" s="99">
        <f>SUM(AB$95:AB$105)+SUM(AD$95:AD$105)+SUM(AF$95:AF$105)+SUM(AH$95:AH$105)</f>
        <v>361</v>
      </c>
      <c r="H115" s="99">
        <f>SUM(AJ$95:AJ$105)+SUM(AL$95:AL$105)+SUM(AN$95:AN$105)+SUM(AP$95:AP$105)</f>
        <v>417</v>
      </c>
      <c r="I115" s="99">
        <f>SUM(AR$95:AR$105)+SUM(AT$95:AT$105)+SUM(AV$95:AV$105)+SUM(AX$95:AX$105)</f>
        <v>344</v>
      </c>
      <c r="J115" s="99">
        <f>SUM(AZ$95:AZ$105)+SUM(BB$95:BB$105)+SUM(BD$95:BD$105)+SUM(BF$95:BF$105)</f>
        <v>388</v>
      </c>
      <c r="K115" s="99">
        <f>SUM(BH$95:BH$105)+SUM(BJ$95:BJ$105)+SUM(BL$95:BL$105)+SUM(BN$95:BN$105)</f>
        <v>409</v>
      </c>
      <c r="L115" s="99">
        <f>SUM(BP$95:BP$105)+SUM(BR$95:BR$105)+SUM(BT$95:BT$105)+SUM(BV$95:BV$105)</f>
        <v>398</v>
      </c>
      <c r="M115" s="99">
        <f>SUM(BX$95:BX$105)+SUM(BZ$95:BZ$105)+SUM(CB$95:CB$105)+SUM(CD$95:CD$105)</f>
        <v>340</v>
      </c>
      <c r="N115" s="99">
        <f>SUM(CF$95:CF$105)+SUM(CH$95:CH$105)+SUM(CJ$95:CJ$105)+SUM(CL$95:CL$105)</f>
        <v>298</v>
      </c>
      <c r="O115" s="99">
        <f>SUM(CN$95:CN$105)+SUM(CP$95:CP$105)+SUM(CR$95:CR$105)+SUM(CT$95:CT$105)</f>
        <v>361</v>
      </c>
    </row>
    <row r="116" spans="2:15">
      <c r="C116" s="98" t="s">
        <v>278</v>
      </c>
      <c r="D116" s="99">
        <f t="shared" ref="D116:O116" si="0">SUM(D$109:D$115)</f>
        <v>4060</v>
      </c>
      <c r="E116" s="99">
        <f t="shared" si="0"/>
        <v>3827</v>
      </c>
      <c r="F116" s="99">
        <f t="shared" si="0"/>
        <v>3950</v>
      </c>
      <c r="G116" s="99">
        <f t="shared" si="0"/>
        <v>3976</v>
      </c>
      <c r="H116" s="99">
        <f t="shared" si="0"/>
        <v>4279</v>
      </c>
      <c r="I116" s="99">
        <f t="shared" si="0"/>
        <v>3891</v>
      </c>
      <c r="J116" s="99">
        <f t="shared" si="0"/>
        <v>4376</v>
      </c>
      <c r="K116" s="99">
        <f t="shared" si="0"/>
        <v>4026</v>
      </c>
      <c r="L116" s="99">
        <f t="shared" si="0"/>
        <v>4190</v>
      </c>
      <c r="M116" s="99">
        <f t="shared" si="0"/>
        <v>4381</v>
      </c>
      <c r="N116" s="99">
        <f t="shared" si="0"/>
        <v>4209.8777457929191</v>
      </c>
      <c r="O116" s="99">
        <f t="shared" si="0"/>
        <v>4211.0345494801841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D109*pricing!D6*2000</f>
        <v>3404000</v>
      </c>
      <c r="E120" s="99">
        <f>E109*pricing!E6*2000</f>
        <v>2668000</v>
      </c>
      <c r="F120" s="99">
        <f>F109*pricing!F6*2000</f>
        <v>3144000</v>
      </c>
      <c r="G120" s="99">
        <f>G109*pricing!G6*2000</f>
        <v>3116000</v>
      </c>
      <c r="H120" s="99">
        <f>H109*pricing!H6*2000</f>
        <v>3688000</v>
      </c>
      <c r="I120" s="99">
        <f>I109*pricing!I6*2000</f>
        <v>3324000</v>
      </c>
      <c r="J120" s="99">
        <f>J109*pricing!J6*2000</f>
        <v>3564000</v>
      </c>
      <c r="K120" s="99">
        <f>K109*pricing!K6*2000</f>
        <v>3168000</v>
      </c>
      <c r="L120" s="99">
        <f>L109*pricing!L6*2000</f>
        <v>3256000</v>
      </c>
      <c r="M120" s="99">
        <f>M109*pricing!M6*2000</f>
        <v>3836000</v>
      </c>
      <c r="N120" s="99">
        <f>N109*pricing!N6*2000</f>
        <v>3413253.5183077855</v>
      </c>
      <c r="O120" s="99">
        <f>O109*pricing!O6*2000</f>
        <v>3281421.1745234868</v>
      </c>
    </row>
    <row r="121" spans="2:15">
      <c r="C121" s="98" t="s">
        <v>127</v>
      </c>
      <c r="D121" s="99">
        <f>D110*pricing!D7*2000</f>
        <v>4260000</v>
      </c>
      <c r="E121" s="99">
        <f>E110*pricing!E7*2000</f>
        <v>4880000</v>
      </c>
      <c r="F121" s="99">
        <f>F110*pricing!F7*2000</f>
        <v>3775000</v>
      </c>
      <c r="G121" s="99">
        <f>G110*pricing!G7*2000</f>
        <v>4760000</v>
      </c>
      <c r="H121" s="99">
        <f>H110*pricing!H7*2000</f>
        <v>4935000</v>
      </c>
      <c r="I121" s="99">
        <f>I110*pricing!I7*2000</f>
        <v>4165000</v>
      </c>
      <c r="J121" s="99">
        <f>J110*pricing!J7*2000</f>
        <v>5015000</v>
      </c>
      <c r="K121" s="99">
        <f>K110*pricing!K7*2000</f>
        <v>5005000</v>
      </c>
      <c r="L121" s="99">
        <f>L110*pricing!L7*2000</f>
        <v>4830000</v>
      </c>
      <c r="M121" s="99">
        <f>M110*pricing!M7*2000</f>
        <v>5230000</v>
      </c>
      <c r="N121" s="99">
        <f>N110*pricing!N7*2000</f>
        <v>4674283.7470482951</v>
      </c>
      <c r="O121" s="99">
        <f>O110*pricing!O7*2000</f>
        <v>5044172.6884743627</v>
      </c>
    </row>
    <row r="122" spans="2:15">
      <c r="C122" s="98" t="s">
        <v>128</v>
      </c>
      <c r="D122" s="99">
        <f>D111*pricing!D8*2000</f>
        <v>2181600.0000000005</v>
      </c>
      <c r="E122" s="99">
        <f>E111*pricing!E8*2000</f>
        <v>1884600.0000000002</v>
      </c>
      <c r="F122" s="99">
        <f>F111*pricing!F8*2000</f>
        <v>2257200.0000000005</v>
      </c>
      <c r="G122" s="99">
        <f>G111*pricing!G8*2000</f>
        <v>2046600.0000000002</v>
      </c>
      <c r="H122" s="99">
        <f>H111*pricing!H8*2000</f>
        <v>2446200.0000000005</v>
      </c>
      <c r="I122" s="99">
        <f>I111*pricing!I8*2000</f>
        <v>2386800</v>
      </c>
      <c r="J122" s="99">
        <f>J111*pricing!J8*2000</f>
        <v>2246400</v>
      </c>
      <c r="K122" s="99">
        <f>K111*pricing!K8*2000</f>
        <v>2289600.0000000005</v>
      </c>
      <c r="L122" s="99">
        <f>L111*pricing!L8*2000</f>
        <v>2273400</v>
      </c>
      <c r="M122" s="99">
        <f>M111*pricing!M8*2000</f>
        <v>2484000</v>
      </c>
      <c r="N122" s="99">
        <f>N111*pricing!N8*2000</f>
        <v>2916181.3270576778</v>
      </c>
      <c r="O122" s="99">
        <f>O111*pricing!O8*2000</f>
        <v>2575421.0159041872</v>
      </c>
    </row>
    <row r="123" spans="2:15">
      <c r="C123" s="98" t="s">
        <v>129</v>
      </c>
      <c r="D123" s="99">
        <f>D112*pricing!D9*2000</f>
        <v>4363200.0000000009</v>
      </c>
      <c r="E123" s="99">
        <f>E112*pricing!E9*2000</f>
        <v>3969000.0000000005</v>
      </c>
      <c r="F123" s="99">
        <f>F112*pricing!F9*2000</f>
        <v>4206600</v>
      </c>
      <c r="G123" s="99">
        <f>G112*pricing!G9*2000</f>
        <v>4201200.0000000009</v>
      </c>
      <c r="H123" s="99">
        <f>H112*pricing!H9*2000</f>
        <v>4050000.0000000005</v>
      </c>
      <c r="I123" s="99">
        <f>I112*pricing!I9*2000</f>
        <v>4012486.0927152322</v>
      </c>
      <c r="J123" s="99">
        <f>J112*pricing!J9*2000</f>
        <v>4681800</v>
      </c>
      <c r="K123" s="99">
        <f>K112*pricing!K9*2000</f>
        <v>3925800</v>
      </c>
      <c r="L123" s="99">
        <f>L112*pricing!L9*2000</f>
        <v>4287600</v>
      </c>
      <c r="M123" s="99">
        <f>M112*pricing!M9*2000</f>
        <v>4244400.0000000009</v>
      </c>
      <c r="N123" s="99">
        <f>N112*pricing!N9*2000</f>
        <v>4053639.8036964149</v>
      </c>
      <c r="O123" s="99">
        <f>O112*pricing!O9*2000</f>
        <v>3795740.462129788</v>
      </c>
    </row>
    <row r="124" spans="2:15">
      <c r="C124" s="98" t="s">
        <v>130</v>
      </c>
      <c r="D124" s="99">
        <f>D113*pricing!D10*2000</f>
        <v>2450000</v>
      </c>
      <c r="E124" s="99">
        <f>E113*pricing!E10*2000</f>
        <v>2485000</v>
      </c>
      <c r="F124" s="99">
        <f>F113*pricing!F10*2000</f>
        <v>2505000</v>
      </c>
      <c r="G124" s="99">
        <f>G113*pricing!G10*2000</f>
        <v>2155000</v>
      </c>
      <c r="H124" s="99">
        <f>H113*pricing!H10*2000</f>
        <v>2235000</v>
      </c>
      <c r="I124" s="99">
        <f>I113*pricing!I10*2000</f>
        <v>1864735.0993377485</v>
      </c>
      <c r="J124" s="99">
        <f>J113*pricing!J10*2000</f>
        <v>2265000</v>
      </c>
      <c r="K124" s="99">
        <f>K113*pricing!K10*2000</f>
        <v>1955000</v>
      </c>
      <c r="L124" s="99">
        <f>L113*pricing!L10*2000</f>
        <v>2300000</v>
      </c>
      <c r="M124" s="99">
        <f>M113*pricing!M10*2000</f>
        <v>2340000</v>
      </c>
      <c r="N124" s="99">
        <f>N113*pricing!N10*2000</f>
        <v>2850000</v>
      </c>
      <c r="O124" s="99">
        <f>O113*pricing!O10*2000</f>
        <v>2745000</v>
      </c>
    </row>
    <row r="125" spans="2:15">
      <c r="C125" s="98" t="s">
        <v>131</v>
      </c>
      <c r="D125" s="99">
        <f>D114*pricing!D11*2000</f>
        <v>1539200</v>
      </c>
      <c r="E125" s="99">
        <f>E114*pricing!E11*2000</f>
        <v>1206400</v>
      </c>
      <c r="F125" s="99">
        <f>F114*pricing!F11*2000</f>
        <v>1669200</v>
      </c>
      <c r="G125" s="99">
        <f>G114*pricing!G11*2000</f>
        <v>1539200</v>
      </c>
      <c r="H125" s="99">
        <f>H114*pricing!H11*2000</f>
        <v>1575600.0000000002</v>
      </c>
      <c r="I125" s="99">
        <f>I114*pricing!I11*2000</f>
        <v>1690000</v>
      </c>
      <c r="J125" s="99">
        <f>J114*pricing!J11*2000</f>
        <v>1861600.0000000002</v>
      </c>
      <c r="K125" s="99">
        <f>K114*pricing!K11*2000</f>
        <v>1466400</v>
      </c>
      <c r="L125" s="99">
        <f>L114*pricing!L11*2000</f>
        <v>1752400</v>
      </c>
      <c r="M125" s="99">
        <f>M114*pricing!M11*2000</f>
        <v>1674400</v>
      </c>
      <c r="N125" s="99">
        <f>N114*pricing!N11*2000</f>
        <v>1367600.0000000002</v>
      </c>
      <c r="O125" s="99">
        <f>O114*pricing!O11*2000</f>
        <v>1518400</v>
      </c>
    </row>
    <row r="126" spans="2:15">
      <c r="C126" s="98" t="s">
        <v>132</v>
      </c>
      <c r="D126" s="99">
        <f>D115*pricing!D12*2000</f>
        <v>1938600.0000000002</v>
      </c>
      <c r="E126" s="99">
        <f>E115*pricing!E12*2000</f>
        <v>2003400</v>
      </c>
      <c r="F126" s="99">
        <f>F115*pricing!F12*2000</f>
        <v>2106000</v>
      </c>
      <c r="G126" s="99">
        <f>G115*pricing!G12*2000</f>
        <v>1949400</v>
      </c>
      <c r="H126" s="99">
        <f>H115*pricing!H12*2000</f>
        <v>2251800</v>
      </c>
      <c r="I126" s="99">
        <f>I115*pricing!I12*2000</f>
        <v>1857600.0000000002</v>
      </c>
      <c r="J126" s="99">
        <f>J115*pricing!J12*2000</f>
        <v>2095200.0000000002</v>
      </c>
      <c r="K126" s="99">
        <f>K115*pricing!K12*2000</f>
        <v>2208600.0000000005</v>
      </c>
      <c r="L126" s="99">
        <f>L115*pricing!L12*2000</f>
        <v>2149200.0000000005</v>
      </c>
      <c r="M126" s="99">
        <f>M115*pricing!M12*2000</f>
        <v>1836000.0000000002</v>
      </c>
      <c r="N126" s="99">
        <f>N115*pricing!N12*2000</f>
        <v>1609200</v>
      </c>
      <c r="O126" s="99">
        <f>O115*pricing!O12*2000</f>
        <v>1949400</v>
      </c>
    </row>
    <row r="127" spans="2:15">
      <c r="C127" s="98" t="s">
        <v>278</v>
      </c>
      <c r="D127" s="99">
        <f t="shared" ref="D127:O127" si="1">SUM(D$120:D$126)</f>
        <v>20136600</v>
      </c>
      <c r="E127" s="99">
        <f t="shared" si="1"/>
        <v>19096400</v>
      </c>
      <c r="F127" s="99">
        <f t="shared" si="1"/>
        <v>19663000</v>
      </c>
      <c r="G127" s="99">
        <f t="shared" si="1"/>
        <v>19767400</v>
      </c>
      <c r="H127" s="99">
        <f t="shared" si="1"/>
        <v>21181600</v>
      </c>
      <c r="I127" s="99">
        <f t="shared" si="1"/>
        <v>19300621.192052983</v>
      </c>
      <c r="J127" s="99">
        <f t="shared" si="1"/>
        <v>21729000</v>
      </c>
      <c r="K127" s="99">
        <f t="shared" si="1"/>
        <v>20018400</v>
      </c>
      <c r="L127" s="99">
        <f t="shared" si="1"/>
        <v>20848600</v>
      </c>
      <c r="M127" s="99">
        <f t="shared" si="1"/>
        <v>21644800</v>
      </c>
      <c r="N127" s="99">
        <f t="shared" si="1"/>
        <v>20884158.396110173</v>
      </c>
      <c r="O127" s="99">
        <f t="shared" si="1"/>
        <v>20909555.341031827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428299.2</v>
      </c>
      <c r="E131" s="105">
        <f>SUM(M$6:M$19)+SUM(O$6:O$19)+SUM(Q$6:Q$19)+SUM(S$6:S$19)</f>
        <v>337153.2</v>
      </c>
      <c r="F131" s="105">
        <f>SUM(U$6:U$19)+SUM(W$6:W$19)+SUM(Y$6:Y$19)+SUM(AA$6:AA$19)</f>
        <v>397107.6</v>
      </c>
      <c r="G131" s="105">
        <f>SUM(AC$6:AC$19)+SUM(AE$6:AE$19)+SUM(AG$6:AG$19)+SUM(AI$6:AI$19)</f>
        <v>390403.19999999995</v>
      </c>
      <c r="H131" s="105">
        <f>SUM(AK$6:AK$19)+SUM(AM$6:AM$19)+SUM(AO$6:AO$19)+SUM(AQ$6:AQ$19)</f>
        <v>464726.39999999997</v>
      </c>
      <c r="I131" s="105">
        <f>SUM(AS$6:AS$19)+SUM(AU$6:AU$19)+SUM(AW$6:AW$19)+SUM(AY$6:AY$19)</f>
        <v>417219.6</v>
      </c>
      <c r="J131" s="105">
        <f>SUM(BA$6:BA$19)+SUM(BC$6:BC$19)+SUM(BE$6:BE$19)+SUM(BG$6:BG$19)</f>
        <v>449196</v>
      </c>
      <c r="K131" s="105">
        <f>SUM(BI$6:BI$19)+SUM(BK$6:BK$19)+SUM(BM$6:BM$19)+SUM(BO$6:BO$19)</f>
        <v>399605.99999999994</v>
      </c>
      <c r="L131" s="105">
        <f>SUM(BQ$6:BQ$19)+SUM(BS$6:BS$19)+SUM(BU$6:BU$19)+SUM(BW$6:BW$19)</f>
        <v>410497.19999999995</v>
      </c>
      <c r="M131" s="105">
        <f>SUM(BY$6:BY$19)+SUM(CA$6:CA$19)+SUM(CC$6:CC$19)+SUM(CE$6:CE$19)</f>
        <v>485194.8</v>
      </c>
      <c r="N131" s="105">
        <f>SUM(CG$6:CG$19)+SUM(CI$6:CI$19)+SUM(CK$6:CK$19)+SUM(CM$6:CM$19)</f>
        <v>429372.15371554083</v>
      </c>
      <c r="O131" s="105">
        <f>SUM(CO$6:CO$19)+SUM(CQ$6:CQ$19)+SUM(CS$6:CS$19)+SUM(CU$6:CU$19)</f>
        <v>411498.55825874826</v>
      </c>
    </row>
    <row r="132" spans="2:15">
      <c r="C132" s="104" t="s">
        <v>127</v>
      </c>
      <c r="D132" s="105">
        <f>SUM(E$20:E$36)+SUM(G$20:G$36)+SUM(I$20:I$36)+SUM(K$20:K$36)</f>
        <v>362372.39999999991</v>
      </c>
      <c r="E132" s="105">
        <f>SUM(M$20:M$36)+SUM(O$20:O$36)+SUM(Q$20:Q$36)+SUM(S$20:S$36)</f>
        <v>414880.79999999993</v>
      </c>
      <c r="F132" s="105">
        <f>SUM(U$20:U$36)+SUM(W$20:W$36)+SUM(Y$20:Y$36)+SUM(AA$20:AA$36)</f>
        <v>322844.40000000002</v>
      </c>
      <c r="G132" s="105">
        <f>SUM(AC$20:AC$36)+SUM(AE$20:AE$36)+SUM(AG$20:AG$36)+SUM(AI$20:AI$36)</f>
        <v>407022</v>
      </c>
      <c r="H132" s="105">
        <f>SUM(AK$20:AK$36)+SUM(AM$20:AM$36)+SUM(AO$20:AO$36)+SUM(AQ$20:AQ$36)</f>
        <v>421425.6</v>
      </c>
      <c r="I132" s="105">
        <f>SUM(AS$20:AS$36)+SUM(AU$20:AU$36)+SUM(AW$20:AW$36)+SUM(AY$20:AY$36)</f>
        <v>354252</v>
      </c>
      <c r="J132" s="105">
        <f>SUM(BA$20:BA$36)+SUM(BC$20:BC$36)+SUM(BE$20:BE$36)+SUM(BG$20:BG$36)</f>
        <v>427117.2</v>
      </c>
      <c r="K132" s="105">
        <f>SUM(BI$20:BI$36)+SUM(BK$20:BK$36)+SUM(BM$20:BM$36)+SUM(BO$20:BO$36)</f>
        <v>428012.4</v>
      </c>
      <c r="L132" s="105">
        <f>SUM(BQ$20:BQ$36)+SUM(BS$20:BS$36)+SUM(BU$20:BU$36)+SUM(BW$20:BW$36)</f>
        <v>411992.39999999997</v>
      </c>
      <c r="M132" s="105">
        <f>SUM(BY$20:BY$36)+SUM(CA$20:CA$36)+SUM(CC$20:CC$36)+SUM(CE$20:CE$36)</f>
        <v>444799.2</v>
      </c>
      <c r="N132" s="105">
        <f>SUM(CG$20:CG$36)+SUM(CI$20:CI$36)+SUM(CK$20:CK$36)+SUM(CM$20:CM$36)</f>
        <v>400906.8272033286</v>
      </c>
      <c r="O132" s="105">
        <f>SUM(CO$20:CO$36)+SUM(CQ$20:CQ$36)+SUM(CS$20:CS$36)+SUM(CU$20:CU$36)</f>
        <v>431364.1073038131</v>
      </c>
    </row>
    <row r="133" spans="2:15">
      <c r="C133" s="104" t="s">
        <v>128</v>
      </c>
      <c r="D133" s="105">
        <f>SUM(E$37:E$48)+SUM(G$37:G$48)+SUM(I$37:I$48)+SUM(K$37:K$48)</f>
        <v>424225.2</v>
      </c>
      <c r="E133" s="105">
        <f>SUM(M$37:M$48)+SUM(O$37:O$48)+SUM(Q$37:Q$48)+SUM(S$37:S$48)</f>
        <v>365288.40000000008</v>
      </c>
      <c r="F133" s="105">
        <f>SUM(U$37:U$48)+SUM(W$37:W$48)+SUM(Y$37:Y$48)+SUM(AA$37:AA$48)</f>
        <v>439194</v>
      </c>
      <c r="G133" s="105">
        <f>SUM(AC$37:AC$48)+SUM(AE$37:AE$48)+SUM(AG$37:AG$48)+SUM(AI$37:AI$48)</f>
        <v>397872</v>
      </c>
      <c r="H133" s="105">
        <f>SUM(AK$37:AK$48)+SUM(AM$37:AM$48)+SUM(AO$37:AO$48)+SUM(AQ$37:AQ$48)</f>
        <v>475191.6</v>
      </c>
      <c r="I133" s="105">
        <f>SUM(AS$37:AS$48)+SUM(AU$37:AU$48)+SUM(AW$37:AW$48)+SUM(AY$37:AY$48)</f>
        <v>462972</v>
      </c>
      <c r="J133" s="105">
        <f>SUM(BA$37:BA$48)+SUM(BC$37:BC$48)+SUM(BE$37:BE$48)+SUM(BG$37:BG$48)</f>
        <v>436840.8</v>
      </c>
      <c r="K133" s="105">
        <f>SUM(BI$37:BI$48)+SUM(BK$37:BK$48)+SUM(BM$37:BM$48)+SUM(BO$37:BO$48)</f>
        <v>445912.8</v>
      </c>
      <c r="L133" s="105">
        <f>SUM(BQ$37:BQ$48)+SUM(BS$37:BS$48)+SUM(BU$37:BU$48)+SUM(BW$37:BW$48)</f>
        <v>442513.20000000007</v>
      </c>
      <c r="M133" s="105">
        <f>SUM(BY$37:BY$48)+SUM(CA$37:CA$48)+SUM(CC$37:CC$48)+SUM(CE$37:CE$48)</f>
        <v>482465.99999999994</v>
      </c>
      <c r="N133" s="105">
        <f>SUM(CG$37:CG$48)+SUM(CI$37:CI$48)+SUM(CK$37:CK$48)+SUM(CM$37:CM$48)</f>
        <v>567169.09328568552</v>
      </c>
      <c r="O133" s="105">
        <f>SUM(CO$37:CO$48)+SUM(CQ$37:CQ$48)+SUM(CS$37:CS$48)+SUM(CU$37:CU$48)</f>
        <v>500063.84251295554</v>
      </c>
    </row>
    <row r="134" spans="2:15">
      <c r="C134" s="104" t="s">
        <v>129</v>
      </c>
      <c r="D134" s="105">
        <f>SUM(E$49:E$70)+SUM(G$49:G$70)+SUM(I$49:I$70)+SUM(K$49:K$70)</f>
        <v>678600</v>
      </c>
      <c r="E134" s="105">
        <f>SUM(M$49:M$70)+SUM(O$49:O$70)+SUM(Q$49:Q$70)+SUM(S$49:S$70)</f>
        <v>614655.6</v>
      </c>
      <c r="F134" s="105">
        <f>SUM(U$49:U$70)+SUM(W$49:W$70)+SUM(Y$49:Y$70)+SUM(AA$49:AA$70)</f>
        <v>653434.79999999981</v>
      </c>
      <c r="G134" s="105">
        <f>SUM(AC$49:AC$70)+SUM(AE$49:AE$70)+SUM(AG$49:AG$70)+SUM(AI$49:AI$70)</f>
        <v>652732.80000000005</v>
      </c>
      <c r="H134" s="105">
        <f>SUM(AK$49:AK$70)+SUM(AM$49:AM$70)+SUM(AO$49:AO$70)+SUM(AQ$49:AQ$70)</f>
        <v>628265.99999999988</v>
      </c>
      <c r="I134" s="105">
        <f>SUM(AS$49:AS$70)+SUM(AU$49:AU$70)+SUM(AW$49:AW$70)+SUM(AY$49:AY$70)</f>
        <v>621767.88874172186</v>
      </c>
      <c r="J134" s="105">
        <f>SUM(BA$49:BA$70)+SUM(BC$49:BC$70)+SUM(BE$49:BE$70)+SUM(BG$49:BG$70)</f>
        <v>728592</v>
      </c>
      <c r="K134" s="105">
        <f>SUM(BI$49:BI$70)+SUM(BK$49:BK$70)+SUM(BM$49:BM$70)+SUM(BO$49:BO$70)</f>
        <v>609854.39999999991</v>
      </c>
      <c r="L134" s="105">
        <f>SUM(BQ$49:BQ$70)+SUM(BS$49:BS$70)+SUM(BU$49:BU$70)+SUM(BW$49:BW$70)</f>
        <v>663865.19999999995</v>
      </c>
      <c r="M134" s="105">
        <f>SUM(BY$49:BY$70)+SUM(CA$49:CA$70)+SUM(CC$49:CC$70)+SUM(CE$49:CE$70)</f>
        <v>659918.39999999991</v>
      </c>
      <c r="N134" s="105">
        <f>SUM(CG$49:CG$70)+SUM(CI$49:CI$70)+SUM(CK$49:CK$70)+SUM(CM$49:CM$70)</f>
        <v>630311.35094092402</v>
      </c>
      <c r="O134" s="105">
        <f>SUM(CO$49:CO$70)+SUM(CQ$49:CQ$70)+SUM(CS$49:CS$70)+SUM(CU$49:CU$70)</f>
        <v>590550.81530284858</v>
      </c>
    </row>
    <row r="135" spans="2:15">
      <c r="C135" s="104" t="s">
        <v>130</v>
      </c>
      <c r="D135" s="105">
        <f>SUM(E$71:E$86)+SUM(G$71:G$86)+SUM(I$71:I$86)+SUM(K$71:K$86)</f>
        <v>274671.59999999998</v>
      </c>
      <c r="E135" s="105">
        <f>SUM(M$71:M$86)+SUM(O$71:O$86)+SUM(Q$71:Q$86)+SUM(S$71:S$86)</f>
        <v>277549.2</v>
      </c>
      <c r="F135" s="105">
        <f>SUM(U$71:U$86)+SUM(W$71:W$86)+SUM(Y$71:Y$86)+SUM(AA$71:AA$86)</f>
        <v>278626.8</v>
      </c>
      <c r="G135" s="105">
        <f>SUM(AC$71:AC$86)+SUM(AE$71:AE$86)+SUM(AG$71:AG$86)+SUM(AI$71:AI$86)</f>
        <v>239461.19999999998</v>
      </c>
      <c r="H135" s="105">
        <f>SUM(AK$71:AK$86)+SUM(AM$71:AM$86)+SUM(AO$71:AO$86)+SUM(AQ$71:AQ$86)</f>
        <v>248546.39999999997</v>
      </c>
      <c r="I135" s="105">
        <f>SUM(AS$71:AS$86)+SUM(AU$71:AU$86)+SUM(AW$71:AW$86)+SUM(AY$71:AY$86)</f>
        <v>208650.64370860931</v>
      </c>
      <c r="J135" s="105">
        <f>SUM(BA$71:BA$86)+SUM(BC$71:BC$86)+SUM(BE$71:BE$86)+SUM(BG$71:BG$86)</f>
        <v>253448.40000000002</v>
      </c>
      <c r="K135" s="105">
        <f>SUM(BI$71:BI$86)+SUM(BK$71:BK$86)+SUM(BM$71:BM$86)+SUM(BO$71:BO$86)</f>
        <v>218710.8</v>
      </c>
      <c r="L135" s="105">
        <f>SUM(BQ$71:BQ$86)+SUM(BS$71:BS$86)+SUM(BU$71:BU$86)+SUM(BW$71:BW$86)</f>
        <v>256632</v>
      </c>
      <c r="M135" s="105">
        <f>SUM(BY$71:BY$86)+SUM(CA$71:CA$86)+SUM(CC$71:CC$86)+SUM(CE$71:CE$86)</f>
        <v>261134.4</v>
      </c>
      <c r="N135" s="105">
        <f>SUM(CG$71:CG$86)+SUM(CI$71:CI$86)+SUM(CK$71:CK$86)+SUM(CM$71:CM$86)</f>
        <v>318494.39999999997</v>
      </c>
      <c r="O135" s="105">
        <f>SUM(CO$71:CO$86)+SUM(CQ$71:CQ$86)+SUM(CS$71:CS$86)+SUM(CU$71:CU$86)</f>
        <v>305709.60000000003</v>
      </c>
    </row>
    <row r="136" spans="2:15">
      <c r="C136" s="104" t="s">
        <v>131</v>
      </c>
      <c r="D136" s="105">
        <f>SUM(E$87:E$94)+SUM(G$87:G$94)+SUM(I$87:I$94)+SUM(K$87:K$94)</f>
        <v>296142</v>
      </c>
      <c r="E136" s="105">
        <f>SUM(M$87:M$94)+SUM(O$87:O$94)+SUM(Q$87:Q$94)+SUM(S$87:S$94)</f>
        <v>232772.4</v>
      </c>
      <c r="F136" s="105">
        <f>SUM(U$87:U$94)+SUM(W$87:W$94)+SUM(Y$87:Y$94)+SUM(AA$87:AA$94)</f>
        <v>320737.19999999995</v>
      </c>
      <c r="G136" s="105">
        <f>SUM(AC$87:AC$94)+SUM(AE$87:AE$94)+SUM(AG$87:AG$94)+SUM(AI$87:AI$94)</f>
        <v>296290.8</v>
      </c>
      <c r="H136" s="105">
        <f>SUM(AK$87:AK$94)+SUM(AM$87:AM$94)+SUM(AO$87:AO$94)+SUM(AQ$87:AQ$94)</f>
        <v>304678.8</v>
      </c>
      <c r="I136" s="105">
        <f>SUM(AS$87:AS$94)+SUM(AU$87:AU$94)+SUM(AW$87:AW$94)+SUM(AY$87:AY$94)</f>
        <v>326581.20000000007</v>
      </c>
      <c r="J136" s="105">
        <f>SUM(BA$87:BA$94)+SUM(BC$87:BC$94)+SUM(BE$87:BE$94)+SUM(BG$87:BG$94)</f>
        <v>359762.4</v>
      </c>
      <c r="K136" s="105">
        <f>SUM(BI$87:BI$94)+SUM(BK$87:BK$94)+SUM(BM$87:BM$94)+SUM(BO$87:BO$94)</f>
        <v>282769.2</v>
      </c>
      <c r="L136" s="105">
        <f>SUM(BQ$87:BQ$94)+SUM(BS$87:BS$94)+SUM(BU$87:BU$94)+SUM(BW$87:BW$94)</f>
        <v>338550</v>
      </c>
      <c r="M136" s="105">
        <f>SUM(BY$87:BY$94)+SUM(CA$87:CA$94)+SUM(CC$87:CC$94)+SUM(CE$87:CE$94)</f>
        <v>324060</v>
      </c>
      <c r="N136" s="105">
        <f>SUM(CG$87:CG$94)+SUM(CI$87:CI$94)+SUM(CK$87:CK$94)+SUM(CM$87:CM$94)</f>
        <v>264096</v>
      </c>
      <c r="O136" s="105">
        <f>SUM(CO$87:CO$94)+SUM(CQ$87:CQ$94)+SUM(CS$87:CS$94)+SUM(CU$87:CU$94)</f>
        <v>292832.40000000002</v>
      </c>
    </row>
    <row r="137" spans="2:15">
      <c r="C137" s="104" t="s">
        <v>132</v>
      </c>
      <c r="D137" s="105">
        <f>SUM(E$95:E$105)+SUM(G$95:G$105)+SUM(I$95:I$105)+SUM(K$95:K$105)</f>
        <v>278271.59999999998</v>
      </c>
      <c r="E137" s="105">
        <f>SUM(M$95:M$105)+SUM(O$95:O$105)+SUM(Q$95:Q$105)+SUM(S$95:S$105)</f>
        <v>288950.39999999997</v>
      </c>
      <c r="F137" s="105">
        <f>SUM(U$95:U$105)+SUM(W$95:W$105)+SUM(Y$95:Y$105)+SUM(AA$95:AA$105)</f>
        <v>305552.39999999997</v>
      </c>
      <c r="G137" s="105">
        <f>SUM(AC$95:AC$105)+SUM(AE$95:AE$105)+SUM(AG$95:AG$105)+SUM(AI$95:AI$105)</f>
        <v>278871.59999999998</v>
      </c>
      <c r="H137" s="105">
        <f>SUM(AK$95:AK$105)+SUM(AM$95:AM$105)+SUM(AO$95:AO$105)+SUM(AQ$95:AQ$105)</f>
        <v>326764.79999999999</v>
      </c>
      <c r="I137" s="105">
        <f>SUM(AS$95:AS$105)+SUM(AU$95:AU$105)+SUM(AW$95:AW$105)+SUM(AY$95:AY$105)</f>
        <v>266005.2</v>
      </c>
      <c r="J137" s="105">
        <f>SUM(BA$95:BA$105)+SUM(BC$95:BC$105)+SUM(BE$95:BE$105)+SUM(BG$95:BG$105)</f>
        <v>304188</v>
      </c>
      <c r="K137" s="105">
        <f>SUM(BI$95:BI$105)+SUM(BK$95:BK$105)+SUM(BM$95:BM$105)+SUM(BO$95:BO$105)</f>
        <v>319248</v>
      </c>
      <c r="L137" s="105">
        <f>SUM(BQ$95:BQ$105)+SUM(BS$95:BS$105)+SUM(BU$95:BU$105)+SUM(BW$95:BW$105)</f>
        <v>309074.40000000002</v>
      </c>
      <c r="M137" s="105">
        <f>SUM(BY$95:BY$105)+SUM(CA$95:CA$105)+SUM(CC$95:CC$105)+SUM(CE$95:CE$105)</f>
        <v>268196.40000000002</v>
      </c>
      <c r="N137" s="105">
        <f>SUM(CG$95:CG$105)+SUM(CI$95:CI$105)+SUM(CK$95:CK$105)+SUM(CM$95:CM$105)</f>
        <v>237763.19999999998</v>
      </c>
      <c r="O137" s="105">
        <f>SUM(CO$95:CO$105)+SUM(CQ$95:CQ$105)+SUM(CS$95:CS$105)+SUM(CU$95:CU$105)</f>
        <v>286658.39999999997</v>
      </c>
    </row>
    <row r="138" spans="2:15">
      <c r="C138" s="104" t="s">
        <v>278</v>
      </c>
      <c r="D138" s="99">
        <f t="shared" ref="D138:O138" si="2">SUM(D$131:D$137)</f>
        <v>2742582</v>
      </c>
      <c r="E138" s="99">
        <f t="shared" si="2"/>
        <v>2531250</v>
      </c>
      <c r="F138" s="99">
        <f t="shared" si="2"/>
        <v>2717497.1999999997</v>
      </c>
      <c r="G138" s="99">
        <f t="shared" si="2"/>
        <v>2662653.6</v>
      </c>
      <c r="H138" s="99">
        <f t="shared" si="2"/>
        <v>2869599.5999999996</v>
      </c>
      <c r="I138" s="99">
        <f t="shared" si="2"/>
        <v>2657448.5324503314</v>
      </c>
      <c r="J138" s="99">
        <f t="shared" si="2"/>
        <v>2959144.8</v>
      </c>
      <c r="K138" s="99">
        <f t="shared" si="2"/>
        <v>2704113.6</v>
      </c>
      <c r="L138" s="99">
        <f t="shared" si="2"/>
        <v>2833124.4</v>
      </c>
      <c r="M138" s="99">
        <f t="shared" si="2"/>
        <v>2925769.1999999997</v>
      </c>
      <c r="N138" s="99">
        <f t="shared" si="2"/>
        <v>2848113.025145479</v>
      </c>
      <c r="O138" s="99">
        <f t="shared" si="2"/>
        <v>2818677.7233783654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282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11</v>
      </c>
      <c r="E6" s="99">
        <v>6362.4</v>
      </c>
      <c r="F6" s="99">
        <v>7</v>
      </c>
      <c r="G6" s="99">
        <v>4048.7999999999997</v>
      </c>
      <c r="H6" s="99">
        <v>7</v>
      </c>
      <c r="I6" s="99">
        <v>4048.7999999999997</v>
      </c>
      <c r="J6" s="99">
        <v>7</v>
      </c>
      <c r="K6" s="99">
        <v>4048.7999999999997</v>
      </c>
      <c r="L6" s="99">
        <v>11</v>
      </c>
      <c r="M6" s="99">
        <v>6362.4</v>
      </c>
      <c r="N6" s="99">
        <v>11</v>
      </c>
      <c r="O6" s="99">
        <v>6362.4</v>
      </c>
      <c r="P6" s="99">
        <v>11</v>
      </c>
      <c r="Q6" s="99">
        <v>6362.4</v>
      </c>
      <c r="R6" s="99">
        <v>8</v>
      </c>
      <c r="S6" s="99">
        <v>4627.2</v>
      </c>
      <c r="T6" s="99">
        <v>6</v>
      </c>
      <c r="U6" s="99">
        <v>3470.3999999999996</v>
      </c>
      <c r="V6" s="99">
        <v>7</v>
      </c>
      <c r="W6" s="99">
        <v>4048.7999999999997</v>
      </c>
      <c r="X6" s="99">
        <v>7</v>
      </c>
      <c r="Y6" s="99">
        <v>4048.7999999999997</v>
      </c>
      <c r="Z6" s="99">
        <v>7</v>
      </c>
      <c r="AA6" s="99">
        <v>4048.7999999999997</v>
      </c>
      <c r="AB6" s="99">
        <v>7</v>
      </c>
      <c r="AC6" s="99">
        <v>4048.7999999999997</v>
      </c>
      <c r="AD6" s="99">
        <v>9</v>
      </c>
      <c r="AE6" s="99">
        <v>5205.5999999999995</v>
      </c>
      <c r="AF6" s="99">
        <v>7</v>
      </c>
      <c r="AG6" s="99">
        <v>4048.7999999999997</v>
      </c>
      <c r="AH6" s="99">
        <v>6</v>
      </c>
      <c r="AI6" s="99">
        <v>3470.3999999999996</v>
      </c>
      <c r="AJ6" s="99">
        <v>11</v>
      </c>
      <c r="AK6" s="99">
        <v>6362.4</v>
      </c>
      <c r="AL6" s="99">
        <v>6</v>
      </c>
      <c r="AM6" s="99">
        <v>3470.3999999999996</v>
      </c>
      <c r="AN6" s="99">
        <v>8</v>
      </c>
      <c r="AO6" s="99">
        <v>4627.2</v>
      </c>
      <c r="AP6" s="99">
        <v>13</v>
      </c>
      <c r="AQ6" s="99">
        <v>7519.2</v>
      </c>
      <c r="AR6" s="99">
        <v>10</v>
      </c>
      <c r="AS6" s="99">
        <v>5784</v>
      </c>
      <c r="AT6" s="99">
        <v>14</v>
      </c>
      <c r="AU6" s="99">
        <v>8097.5999999999995</v>
      </c>
      <c r="AV6" s="99">
        <v>13</v>
      </c>
      <c r="AW6" s="99">
        <v>7519.2</v>
      </c>
      <c r="AX6" s="99">
        <v>9</v>
      </c>
      <c r="AY6" s="99">
        <v>5205.5999999999995</v>
      </c>
      <c r="AZ6" s="99">
        <v>12</v>
      </c>
      <c r="BA6" s="99">
        <v>6940.7999999999993</v>
      </c>
      <c r="BB6" s="99">
        <v>10</v>
      </c>
      <c r="BC6" s="99">
        <v>5784</v>
      </c>
      <c r="BD6" s="99">
        <v>11</v>
      </c>
      <c r="BE6" s="99">
        <v>6362.4</v>
      </c>
      <c r="BF6" s="99">
        <v>12</v>
      </c>
      <c r="BG6" s="99">
        <v>6940.7999999999993</v>
      </c>
      <c r="BH6" s="99">
        <v>8</v>
      </c>
      <c r="BI6" s="99">
        <v>4627.2</v>
      </c>
      <c r="BJ6" s="99">
        <v>9</v>
      </c>
      <c r="BK6" s="99">
        <v>5205.5999999999995</v>
      </c>
      <c r="BL6" s="99">
        <v>10</v>
      </c>
      <c r="BM6" s="99">
        <v>5784</v>
      </c>
      <c r="BN6" s="99">
        <v>13</v>
      </c>
      <c r="BO6" s="99">
        <v>7519.2</v>
      </c>
      <c r="BP6" s="99">
        <v>9</v>
      </c>
      <c r="BQ6" s="99">
        <v>5205.5999999999995</v>
      </c>
      <c r="BR6" s="99">
        <v>10</v>
      </c>
      <c r="BS6" s="99">
        <v>5784</v>
      </c>
      <c r="BT6" s="99">
        <v>8.7688603645669367</v>
      </c>
      <c r="BU6" s="99">
        <v>5071.9088348655159</v>
      </c>
      <c r="BV6" s="99">
        <v>8</v>
      </c>
      <c r="BW6" s="99">
        <v>4627.2</v>
      </c>
      <c r="BX6" s="99">
        <v>10</v>
      </c>
      <c r="BY6" s="99">
        <v>5784</v>
      </c>
      <c r="BZ6" s="99">
        <v>7.6635601995734781</v>
      </c>
      <c r="CA6" s="99">
        <v>4432.6032194332993</v>
      </c>
      <c r="CB6" s="99">
        <v>10.813186962762762</v>
      </c>
      <c r="CC6" s="99">
        <v>6254.3473392619817</v>
      </c>
      <c r="CD6" s="99">
        <v>13</v>
      </c>
      <c r="CE6" s="99">
        <v>7519.2</v>
      </c>
      <c r="CF6" s="99">
        <v>11</v>
      </c>
      <c r="CG6" s="99">
        <v>6362.4</v>
      </c>
      <c r="CH6" s="99">
        <v>9</v>
      </c>
      <c r="CI6" s="99">
        <v>5205.5999999999995</v>
      </c>
      <c r="CJ6" s="99">
        <v>8</v>
      </c>
      <c r="CK6" s="99">
        <v>4627.2</v>
      </c>
      <c r="CL6" s="99">
        <v>6.5545108340274556</v>
      </c>
      <c r="CM6" s="99">
        <v>3791.12906640148</v>
      </c>
      <c r="CN6" s="99">
        <v>10</v>
      </c>
      <c r="CO6" s="99">
        <v>5784</v>
      </c>
      <c r="CP6" s="99">
        <v>8</v>
      </c>
      <c r="CQ6" s="99">
        <v>4627.2</v>
      </c>
      <c r="CR6" s="99">
        <v>11.146859179222382</v>
      </c>
      <c r="CS6" s="99">
        <v>6447.3433492622253</v>
      </c>
      <c r="CT6" s="99">
        <v>12</v>
      </c>
      <c r="CU6" s="99">
        <v>6940.7999999999993</v>
      </c>
    </row>
    <row r="7" spans="1:99">
      <c r="C7" s="98" t="s">
        <v>173</v>
      </c>
      <c r="D7" s="99">
        <v>13</v>
      </c>
      <c r="E7" s="99">
        <v>10249.199999999999</v>
      </c>
      <c r="F7" s="99">
        <v>7</v>
      </c>
      <c r="G7" s="99">
        <v>5518.8</v>
      </c>
      <c r="H7" s="99">
        <v>6</v>
      </c>
      <c r="I7" s="99">
        <v>4730.3999999999996</v>
      </c>
      <c r="J7" s="99">
        <v>6</v>
      </c>
      <c r="K7" s="99">
        <v>4730.3999999999996</v>
      </c>
      <c r="L7" s="99">
        <v>10</v>
      </c>
      <c r="M7" s="99">
        <v>7884</v>
      </c>
      <c r="N7" s="99">
        <v>11</v>
      </c>
      <c r="O7" s="99">
        <v>8672.4</v>
      </c>
      <c r="P7" s="99">
        <v>10</v>
      </c>
      <c r="Q7" s="99">
        <v>7884</v>
      </c>
      <c r="R7" s="99">
        <v>8</v>
      </c>
      <c r="S7" s="99">
        <v>6307.2</v>
      </c>
      <c r="T7" s="99">
        <v>6</v>
      </c>
      <c r="U7" s="99">
        <v>4730.3999999999996</v>
      </c>
      <c r="V7" s="99">
        <v>9</v>
      </c>
      <c r="W7" s="99">
        <v>7095.5999999999995</v>
      </c>
      <c r="X7" s="99">
        <v>7</v>
      </c>
      <c r="Y7" s="99">
        <v>5518.8</v>
      </c>
      <c r="Z7" s="99">
        <v>7</v>
      </c>
      <c r="AA7" s="99">
        <v>5518.8</v>
      </c>
      <c r="AB7" s="99">
        <v>7</v>
      </c>
      <c r="AC7" s="99">
        <v>5518.8</v>
      </c>
      <c r="AD7" s="99">
        <v>9</v>
      </c>
      <c r="AE7" s="99">
        <v>7095.5999999999995</v>
      </c>
      <c r="AF7" s="99">
        <v>7</v>
      </c>
      <c r="AG7" s="99">
        <v>5518.8</v>
      </c>
      <c r="AH7" s="99">
        <v>7</v>
      </c>
      <c r="AI7" s="99">
        <v>5518.8</v>
      </c>
      <c r="AJ7" s="99">
        <v>11</v>
      </c>
      <c r="AK7" s="99">
        <v>8672.4</v>
      </c>
      <c r="AL7" s="99">
        <v>6</v>
      </c>
      <c r="AM7" s="99">
        <v>4730.3999999999996</v>
      </c>
      <c r="AN7" s="99">
        <v>9</v>
      </c>
      <c r="AO7" s="99">
        <v>7095.5999999999995</v>
      </c>
      <c r="AP7" s="99">
        <v>11</v>
      </c>
      <c r="AQ7" s="99">
        <v>8672.4</v>
      </c>
      <c r="AR7" s="99">
        <v>9</v>
      </c>
      <c r="AS7" s="99">
        <v>7095.5999999999995</v>
      </c>
      <c r="AT7" s="99">
        <v>13</v>
      </c>
      <c r="AU7" s="99">
        <v>10249.199999999999</v>
      </c>
      <c r="AV7" s="99">
        <v>12</v>
      </c>
      <c r="AW7" s="99">
        <v>9460.7999999999993</v>
      </c>
      <c r="AX7" s="99">
        <v>8</v>
      </c>
      <c r="AY7" s="99">
        <v>6307.2</v>
      </c>
      <c r="AZ7" s="99">
        <v>12</v>
      </c>
      <c r="BA7" s="99">
        <v>9460.7999999999993</v>
      </c>
      <c r="BB7" s="99">
        <v>9</v>
      </c>
      <c r="BC7" s="99">
        <v>7095.5999999999995</v>
      </c>
      <c r="BD7" s="99">
        <v>11</v>
      </c>
      <c r="BE7" s="99">
        <v>8672.4</v>
      </c>
      <c r="BF7" s="99">
        <v>12</v>
      </c>
      <c r="BG7" s="99">
        <v>9460.7999999999993</v>
      </c>
      <c r="BH7" s="99">
        <v>9</v>
      </c>
      <c r="BI7" s="99">
        <v>7095.5999999999995</v>
      </c>
      <c r="BJ7" s="99">
        <v>8</v>
      </c>
      <c r="BK7" s="99">
        <v>6307.2</v>
      </c>
      <c r="BL7" s="99">
        <v>10</v>
      </c>
      <c r="BM7" s="99">
        <v>7884</v>
      </c>
      <c r="BN7" s="99">
        <v>13</v>
      </c>
      <c r="BO7" s="99">
        <v>10249.199999999999</v>
      </c>
      <c r="BP7" s="99">
        <v>7</v>
      </c>
      <c r="BQ7" s="99">
        <v>5518.8</v>
      </c>
      <c r="BR7" s="99">
        <v>12</v>
      </c>
      <c r="BS7" s="99">
        <v>9460.7999999999993</v>
      </c>
      <c r="BT7" s="99">
        <v>8.7688603645669367</v>
      </c>
      <c r="BU7" s="99">
        <v>6913.3695114245729</v>
      </c>
      <c r="BV7" s="99">
        <v>9</v>
      </c>
      <c r="BW7" s="99">
        <v>7095.5999999999995</v>
      </c>
      <c r="BX7" s="99">
        <v>11</v>
      </c>
      <c r="BY7" s="99">
        <v>8672.4</v>
      </c>
      <c r="BZ7" s="99">
        <v>7.6635601995734781</v>
      </c>
      <c r="CA7" s="99">
        <v>6041.9508613437301</v>
      </c>
      <c r="CB7" s="99">
        <v>11.644970575282976</v>
      </c>
      <c r="CC7" s="99">
        <v>9180.8948015530987</v>
      </c>
      <c r="CD7" s="99">
        <v>12</v>
      </c>
      <c r="CE7" s="99">
        <v>9460.7999999999993</v>
      </c>
      <c r="CF7" s="99">
        <v>10</v>
      </c>
      <c r="CG7" s="99">
        <v>7884</v>
      </c>
      <c r="CH7" s="99">
        <v>8</v>
      </c>
      <c r="CI7" s="99">
        <v>6307.2</v>
      </c>
      <c r="CJ7" s="99">
        <v>9</v>
      </c>
      <c r="CK7" s="99">
        <v>7095.5999999999995</v>
      </c>
      <c r="CL7" s="99">
        <v>7.3738246882808864</v>
      </c>
      <c r="CM7" s="99">
        <v>5813.5233842406506</v>
      </c>
      <c r="CN7" s="99">
        <v>9</v>
      </c>
      <c r="CO7" s="99">
        <v>7095.5999999999995</v>
      </c>
      <c r="CP7" s="99">
        <v>9</v>
      </c>
      <c r="CQ7" s="99">
        <v>7095.5999999999995</v>
      </c>
      <c r="CR7" s="99">
        <v>11.146859179222382</v>
      </c>
      <c r="CS7" s="99">
        <v>8788.1837768989262</v>
      </c>
      <c r="CT7" s="99">
        <v>13</v>
      </c>
      <c r="CU7" s="99">
        <v>10249.199999999999</v>
      </c>
    </row>
    <row r="8" spans="1:99">
      <c r="C8" s="98" t="s">
        <v>174</v>
      </c>
      <c r="D8" s="99">
        <v>11</v>
      </c>
      <c r="E8" s="99">
        <v>3405.5999999999995</v>
      </c>
      <c r="F8" s="99">
        <v>7</v>
      </c>
      <c r="G8" s="99">
        <v>2167.1999999999998</v>
      </c>
      <c r="H8" s="99">
        <v>7</v>
      </c>
      <c r="I8" s="99">
        <v>2167.1999999999998</v>
      </c>
      <c r="J8" s="99">
        <v>6</v>
      </c>
      <c r="K8" s="99">
        <v>1857.6</v>
      </c>
      <c r="L8" s="99">
        <v>9</v>
      </c>
      <c r="M8" s="99">
        <v>2786.3999999999996</v>
      </c>
      <c r="N8" s="99">
        <v>11</v>
      </c>
      <c r="O8" s="99">
        <v>3405.5999999999995</v>
      </c>
      <c r="P8" s="99">
        <v>10</v>
      </c>
      <c r="Q8" s="99">
        <v>3095.9999999999995</v>
      </c>
      <c r="R8" s="99">
        <v>8</v>
      </c>
      <c r="S8" s="99">
        <v>2476.7999999999997</v>
      </c>
      <c r="T8" s="99">
        <v>6</v>
      </c>
      <c r="U8" s="99">
        <v>1857.6</v>
      </c>
      <c r="V8" s="99">
        <v>8</v>
      </c>
      <c r="W8" s="99">
        <v>2476.7999999999997</v>
      </c>
      <c r="X8" s="99">
        <v>8</v>
      </c>
      <c r="Y8" s="99">
        <v>2476.7999999999997</v>
      </c>
      <c r="Z8" s="99">
        <v>6</v>
      </c>
      <c r="AA8" s="99">
        <v>1857.6</v>
      </c>
      <c r="AB8" s="99">
        <v>8</v>
      </c>
      <c r="AC8" s="99">
        <v>2476.7999999999997</v>
      </c>
      <c r="AD8" s="99">
        <v>9</v>
      </c>
      <c r="AE8" s="99">
        <v>2786.3999999999996</v>
      </c>
      <c r="AF8" s="99">
        <v>7</v>
      </c>
      <c r="AG8" s="99">
        <v>2167.1999999999998</v>
      </c>
      <c r="AH8" s="99">
        <v>7</v>
      </c>
      <c r="AI8" s="99">
        <v>2167.1999999999998</v>
      </c>
      <c r="AJ8" s="99">
        <v>10</v>
      </c>
      <c r="AK8" s="99">
        <v>3095.9999999999995</v>
      </c>
      <c r="AL8" s="99">
        <v>7</v>
      </c>
      <c r="AM8" s="99">
        <v>2167.1999999999998</v>
      </c>
      <c r="AN8" s="99">
        <v>9</v>
      </c>
      <c r="AO8" s="99">
        <v>2786.3999999999996</v>
      </c>
      <c r="AP8" s="99">
        <v>12</v>
      </c>
      <c r="AQ8" s="99">
        <v>3715.2</v>
      </c>
      <c r="AR8" s="99">
        <v>10</v>
      </c>
      <c r="AS8" s="99">
        <v>3095.9999999999995</v>
      </c>
      <c r="AT8" s="99">
        <v>13</v>
      </c>
      <c r="AU8" s="99">
        <v>4024.7999999999997</v>
      </c>
      <c r="AV8" s="99">
        <v>14</v>
      </c>
      <c r="AW8" s="99">
        <v>4334.3999999999996</v>
      </c>
      <c r="AX8" s="99">
        <v>9</v>
      </c>
      <c r="AY8" s="99">
        <v>2786.3999999999996</v>
      </c>
      <c r="AZ8" s="99">
        <v>12</v>
      </c>
      <c r="BA8" s="99">
        <v>3715.2</v>
      </c>
      <c r="BB8" s="99">
        <v>10</v>
      </c>
      <c r="BC8" s="99">
        <v>3095.9999999999995</v>
      </c>
      <c r="BD8" s="99">
        <v>12</v>
      </c>
      <c r="BE8" s="99">
        <v>3715.2</v>
      </c>
      <c r="BF8" s="99">
        <v>12</v>
      </c>
      <c r="BG8" s="99">
        <v>3715.2</v>
      </c>
      <c r="BH8" s="99">
        <v>9</v>
      </c>
      <c r="BI8" s="99">
        <v>2786.3999999999996</v>
      </c>
      <c r="BJ8" s="99">
        <v>9</v>
      </c>
      <c r="BK8" s="99">
        <v>2786.3999999999996</v>
      </c>
      <c r="BL8" s="99">
        <v>10</v>
      </c>
      <c r="BM8" s="99">
        <v>3095.9999999999995</v>
      </c>
      <c r="BN8" s="99">
        <v>14</v>
      </c>
      <c r="BO8" s="99">
        <v>4334.3999999999996</v>
      </c>
      <c r="BP8" s="99">
        <v>9</v>
      </c>
      <c r="BQ8" s="99">
        <v>2786.3999999999996</v>
      </c>
      <c r="BR8" s="99">
        <v>12</v>
      </c>
      <c r="BS8" s="99">
        <v>3715.2</v>
      </c>
      <c r="BT8" s="99">
        <v>9.6457464010236311</v>
      </c>
      <c r="BU8" s="99">
        <v>2986.323085756916</v>
      </c>
      <c r="BV8" s="99">
        <v>8</v>
      </c>
      <c r="BW8" s="99">
        <v>2476.7999999999997</v>
      </c>
      <c r="BX8" s="99">
        <v>11</v>
      </c>
      <c r="BY8" s="99">
        <v>3405.5999999999995</v>
      </c>
      <c r="BZ8" s="99">
        <v>7.6635601995734781</v>
      </c>
      <c r="CA8" s="99">
        <v>2372.6382377879486</v>
      </c>
      <c r="CB8" s="99">
        <v>10.813186962762762</v>
      </c>
      <c r="CC8" s="99">
        <v>3347.7626836713507</v>
      </c>
      <c r="CD8" s="99">
        <v>13</v>
      </c>
      <c r="CE8" s="99">
        <v>4024.7999999999997</v>
      </c>
      <c r="CF8" s="99">
        <v>10</v>
      </c>
      <c r="CG8" s="99">
        <v>3095.9999999999995</v>
      </c>
      <c r="CH8" s="99">
        <v>9</v>
      </c>
      <c r="CI8" s="99">
        <v>2786.3999999999996</v>
      </c>
      <c r="CJ8" s="99">
        <v>9</v>
      </c>
      <c r="CK8" s="99">
        <v>2786.3999999999996</v>
      </c>
      <c r="CL8" s="99">
        <v>7.3738246882808864</v>
      </c>
      <c r="CM8" s="99">
        <v>2282.9361234917624</v>
      </c>
      <c r="CN8" s="99">
        <v>11</v>
      </c>
      <c r="CO8" s="99">
        <v>3405.5999999999995</v>
      </c>
      <c r="CP8" s="99">
        <v>8</v>
      </c>
      <c r="CQ8" s="99">
        <v>2476.7999999999997</v>
      </c>
      <c r="CR8" s="99">
        <v>9.5544507250477544</v>
      </c>
      <c r="CS8" s="99">
        <v>2958.0579444747846</v>
      </c>
      <c r="CT8" s="99">
        <v>14</v>
      </c>
      <c r="CU8" s="99">
        <v>4334.3999999999996</v>
      </c>
    </row>
    <row r="9" spans="1:99">
      <c r="C9" s="98" t="s">
        <v>175</v>
      </c>
      <c r="D9" s="99">
        <v>11</v>
      </c>
      <c r="E9" s="99">
        <v>7722</v>
      </c>
      <c r="F9" s="99">
        <v>6</v>
      </c>
      <c r="G9" s="99">
        <v>4212</v>
      </c>
      <c r="H9" s="99">
        <v>6</v>
      </c>
      <c r="I9" s="99">
        <v>4212</v>
      </c>
      <c r="J9" s="99">
        <v>6</v>
      </c>
      <c r="K9" s="99">
        <v>4212</v>
      </c>
      <c r="L9" s="99">
        <v>9</v>
      </c>
      <c r="M9" s="99">
        <v>6318</v>
      </c>
      <c r="N9" s="99">
        <v>10</v>
      </c>
      <c r="O9" s="99">
        <v>7020</v>
      </c>
      <c r="P9" s="99">
        <v>10</v>
      </c>
      <c r="Q9" s="99">
        <v>7020</v>
      </c>
      <c r="R9" s="99">
        <v>7</v>
      </c>
      <c r="S9" s="99">
        <v>4914</v>
      </c>
      <c r="T9" s="99">
        <v>7</v>
      </c>
      <c r="U9" s="99">
        <v>4914</v>
      </c>
      <c r="V9" s="99">
        <v>8</v>
      </c>
      <c r="W9" s="99">
        <v>5616</v>
      </c>
      <c r="X9" s="99">
        <v>8</v>
      </c>
      <c r="Y9" s="99">
        <v>5616</v>
      </c>
      <c r="Z9" s="99">
        <v>7</v>
      </c>
      <c r="AA9" s="99">
        <v>4914</v>
      </c>
      <c r="AB9" s="99">
        <v>7</v>
      </c>
      <c r="AC9" s="99">
        <v>4914</v>
      </c>
      <c r="AD9" s="99">
        <v>9</v>
      </c>
      <c r="AE9" s="99">
        <v>6318</v>
      </c>
      <c r="AF9" s="99">
        <v>8</v>
      </c>
      <c r="AG9" s="99">
        <v>5616</v>
      </c>
      <c r="AH9" s="99">
        <v>7</v>
      </c>
      <c r="AI9" s="99">
        <v>4914</v>
      </c>
      <c r="AJ9" s="99">
        <v>11</v>
      </c>
      <c r="AK9" s="99">
        <v>7722</v>
      </c>
      <c r="AL9" s="99">
        <v>6</v>
      </c>
      <c r="AM9" s="99">
        <v>4212</v>
      </c>
      <c r="AN9" s="99">
        <v>7</v>
      </c>
      <c r="AO9" s="99">
        <v>4914</v>
      </c>
      <c r="AP9" s="99">
        <v>12</v>
      </c>
      <c r="AQ9" s="99">
        <v>8424</v>
      </c>
      <c r="AR9" s="99">
        <v>8</v>
      </c>
      <c r="AS9" s="99">
        <v>5616</v>
      </c>
      <c r="AT9" s="99">
        <v>12</v>
      </c>
      <c r="AU9" s="99">
        <v>8424</v>
      </c>
      <c r="AV9" s="99">
        <v>13</v>
      </c>
      <c r="AW9" s="99">
        <v>9126</v>
      </c>
      <c r="AX9" s="99">
        <v>8</v>
      </c>
      <c r="AY9" s="99">
        <v>5616</v>
      </c>
      <c r="AZ9" s="99">
        <v>11</v>
      </c>
      <c r="BA9" s="99">
        <v>7722</v>
      </c>
      <c r="BB9" s="99">
        <v>10</v>
      </c>
      <c r="BC9" s="99">
        <v>7020</v>
      </c>
      <c r="BD9" s="99">
        <v>12</v>
      </c>
      <c r="BE9" s="99">
        <v>8424</v>
      </c>
      <c r="BF9" s="99">
        <v>13</v>
      </c>
      <c r="BG9" s="99">
        <v>9126</v>
      </c>
      <c r="BH9" s="99">
        <v>8</v>
      </c>
      <c r="BI9" s="99">
        <v>5616</v>
      </c>
      <c r="BJ9" s="99">
        <v>9</v>
      </c>
      <c r="BK9" s="99">
        <v>6318</v>
      </c>
      <c r="BL9" s="99">
        <v>10</v>
      </c>
      <c r="BM9" s="99">
        <v>7020</v>
      </c>
      <c r="BN9" s="99">
        <v>14</v>
      </c>
      <c r="BO9" s="99">
        <v>9828</v>
      </c>
      <c r="BP9" s="99">
        <v>7</v>
      </c>
      <c r="BQ9" s="99">
        <v>4914</v>
      </c>
      <c r="BR9" s="99">
        <v>11</v>
      </c>
      <c r="BS9" s="99">
        <v>7722</v>
      </c>
      <c r="BT9" s="99">
        <v>8.7688603645669367</v>
      </c>
      <c r="BU9" s="99">
        <v>6155.7399759259897</v>
      </c>
      <c r="BV9" s="99">
        <v>8</v>
      </c>
      <c r="BW9" s="99">
        <v>5616</v>
      </c>
      <c r="BX9" s="99">
        <v>10</v>
      </c>
      <c r="BY9" s="99">
        <v>7020</v>
      </c>
      <c r="BZ9" s="99">
        <v>6.966872908703162</v>
      </c>
      <c r="CA9" s="99">
        <v>4890.7447819096196</v>
      </c>
      <c r="CB9" s="99">
        <v>9.9814033502425499</v>
      </c>
      <c r="CC9" s="99">
        <v>7006.9451518702699</v>
      </c>
      <c r="CD9" s="99">
        <v>11</v>
      </c>
      <c r="CE9" s="99">
        <v>7722</v>
      </c>
      <c r="CF9" s="99">
        <v>10</v>
      </c>
      <c r="CG9" s="99">
        <v>7020</v>
      </c>
      <c r="CH9" s="99">
        <v>9</v>
      </c>
      <c r="CI9" s="99">
        <v>6318</v>
      </c>
      <c r="CJ9" s="99">
        <v>9</v>
      </c>
      <c r="CK9" s="99">
        <v>6318</v>
      </c>
      <c r="CL9" s="99">
        <v>6.5545108340274556</v>
      </c>
      <c r="CM9" s="99">
        <v>4601.2666054872734</v>
      </c>
      <c r="CN9" s="99">
        <v>10</v>
      </c>
      <c r="CO9" s="99">
        <v>7020</v>
      </c>
      <c r="CP9" s="99">
        <v>8</v>
      </c>
      <c r="CQ9" s="99">
        <v>5616</v>
      </c>
      <c r="CR9" s="99">
        <v>9.5544507250477544</v>
      </c>
      <c r="CS9" s="99">
        <v>6707.224408983524</v>
      </c>
      <c r="CT9" s="99">
        <v>11</v>
      </c>
      <c r="CU9" s="99">
        <v>7722</v>
      </c>
    </row>
    <row r="10" spans="1:99">
      <c r="C10" s="98" t="s">
        <v>176</v>
      </c>
      <c r="D10" s="99">
        <v>12</v>
      </c>
      <c r="E10" s="99">
        <v>6537.5999999999995</v>
      </c>
      <c r="F10" s="99">
        <v>7</v>
      </c>
      <c r="G10" s="99">
        <v>3813.5999999999995</v>
      </c>
      <c r="H10" s="99">
        <v>6</v>
      </c>
      <c r="I10" s="99">
        <v>3268.7999999999997</v>
      </c>
      <c r="J10" s="99">
        <v>6</v>
      </c>
      <c r="K10" s="99">
        <v>3268.7999999999997</v>
      </c>
      <c r="L10" s="99">
        <v>11</v>
      </c>
      <c r="M10" s="99">
        <v>5992.7999999999993</v>
      </c>
      <c r="N10" s="99">
        <v>10</v>
      </c>
      <c r="O10" s="99">
        <v>5448</v>
      </c>
      <c r="P10" s="99">
        <v>11</v>
      </c>
      <c r="Q10" s="99">
        <v>5992.7999999999993</v>
      </c>
      <c r="R10" s="99">
        <v>8</v>
      </c>
      <c r="S10" s="99">
        <v>4358.3999999999996</v>
      </c>
      <c r="T10" s="99">
        <v>6</v>
      </c>
      <c r="U10" s="99">
        <v>3268.7999999999997</v>
      </c>
      <c r="V10" s="99">
        <v>8</v>
      </c>
      <c r="W10" s="99">
        <v>4358.3999999999996</v>
      </c>
      <c r="X10" s="99">
        <v>7</v>
      </c>
      <c r="Y10" s="99">
        <v>3813.5999999999995</v>
      </c>
      <c r="Z10" s="99">
        <v>6</v>
      </c>
      <c r="AA10" s="99">
        <v>3268.7999999999997</v>
      </c>
      <c r="AB10" s="99">
        <v>8</v>
      </c>
      <c r="AC10" s="99">
        <v>4358.3999999999996</v>
      </c>
      <c r="AD10" s="99">
        <v>9</v>
      </c>
      <c r="AE10" s="99">
        <v>4903.2</v>
      </c>
      <c r="AF10" s="99">
        <v>8</v>
      </c>
      <c r="AG10" s="99">
        <v>4358.3999999999996</v>
      </c>
      <c r="AH10" s="99">
        <v>7</v>
      </c>
      <c r="AI10" s="99">
        <v>3813.5999999999995</v>
      </c>
      <c r="AJ10" s="99">
        <v>11</v>
      </c>
      <c r="AK10" s="99">
        <v>5992.7999999999993</v>
      </c>
      <c r="AL10" s="99">
        <v>7</v>
      </c>
      <c r="AM10" s="99">
        <v>3813.5999999999995</v>
      </c>
      <c r="AN10" s="99">
        <v>7</v>
      </c>
      <c r="AO10" s="99">
        <v>3813.5999999999995</v>
      </c>
      <c r="AP10" s="99">
        <v>13</v>
      </c>
      <c r="AQ10" s="99">
        <v>7082.4</v>
      </c>
      <c r="AR10" s="99">
        <v>10</v>
      </c>
      <c r="AS10" s="99">
        <v>5448</v>
      </c>
      <c r="AT10" s="99">
        <v>12</v>
      </c>
      <c r="AU10" s="99">
        <v>6537.5999999999995</v>
      </c>
      <c r="AV10" s="99">
        <v>13</v>
      </c>
      <c r="AW10" s="99">
        <v>7082.4</v>
      </c>
      <c r="AX10" s="99">
        <v>8</v>
      </c>
      <c r="AY10" s="99">
        <v>4358.3999999999996</v>
      </c>
      <c r="AZ10" s="99">
        <v>11</v>
      </c>
      <c r="BA10" s="99">
        <v>5992.7999999999993</v>
      </c>
      <c r="BB10" s="99">
        <v>9</v>
      </c>
      <c r="BC10" s="99">
        <v>4903.2</v>
      </c>
      <c r="BD10" s="99">
        <v>12</v>
      </c>
      <c r="BE10" s="99">
        <v>6537.5999999999995</v>
      </c>
      <c r="BF10" s="99">
        <v>12</v>
      </c>
      <c r="BG10" s="99">
        <v>6537.5999999999995</v>
      </c>
      <c r="BH10" s="99">
        <v>9</v>
      </c>
      <c r="BI10" s="99">
        <v>4903.2</v>
      </c>
      <c r="BJ10" s="99">
        <v>8</v>
      </c>
      <c r="BK10" s="99">
        <v>4358.3999999999996</v>
      </c>
      <c r="BL10" s="99">
        <v>9</v>
      </c>
      <c r="BM10" s="99">
        <v>4903.2</v>
      </c>
      <c r="BN10" s="99">
        <v>13</v>
      </c>
      <c r="BO10" s="99">
        <v>7082.4</v>
      </c>
      <c r="BP10" s="99">
        <v>8</v>
      </c>
      <c r="BQ10" s="99">
        <v>4358.3999999999996</v>
      </c>
      <c r="BR10" s="99">
        <v>10</v>
      </c>
      <c r="BS10" s="99">
        <v>5448</v>
      </c>
      <c r="BT10" s="99">
        <v>8.7688603645669367</v>
      </c>
      <c r="BU10" s="99">
        <v>4777.2751266160667</v>
      </c>
      <c r="BV10" s="99">
        <v>8</v>
      </c>
      <c r="BW10" s="99">
        <v>4358.3999999999996</v>
      </c>
      <c r="BX10" s="99">
        <v>11</v>
      </c>
      <c r="BY10" s="99">
        <v>5992.7999999999993</v>
      </c>
      <c r="BZ10" s="99">
        <v>7.6635601995734781</v>
      </c>
      <c r="CA10" s="99">
        <v>4175.1075967276302</v>
      </c>
      <c r="CB10" s="99">
        <v>10.813186962762762</v>
      </c>
      <c r="CC10" s="99">
        <v>5891.0242573131518</v>
      </c>
      <c r="CD10" s="99">
        <v>12</v>
      </c>
      <c r="CE10" s="99">
        <v>6537.5999999999995</v>
      </c>
      <c r="CF10" s="99">
        <v>10</v>
      </c>
      <c r="CG10" s="99">
        <v>5448</v>
      </c>
      <c r="CH10" s="99">
        <v>10</v>
      </c>
      <c r="CI10" s="99">
        <v>5448</v>
      </c>
      <c r="CJ10" s="99">
        <v>9</v>
      </c>
      <c r="CK10" s="99">
        <v>4903.2</v>
      </c>
      <c r="CL10" s="99">
        <v>7.3738246882808864</v>
      </c>
      <c r="CM10" s="99">
        <v>4017.2596901754264</v>
      </c>
      <c r="CN10" s="99">
        <v>11</v>
      </c>
      <c r="CO10" s="99">
        <v>5992.7999999999993</v>
      </c>
      <c r="CP10" s="99">
        <v>8</v>
      </c>
      <c r="CQ10" s="99">
        <v>4358.3999999999996</v>
      </c>
      <c r="CR10" s="99">
        <v>10.350654952135068</v>
      </c>
      <c r="CS10" s="99">
        <v>5639.0368179231846</v>
      </c>
      <c r="CT10" s="99">
        <v>13</v>
      </c>
      <c r="CU10" s="99">
        <v>7082.4</v>
      </c>
    </row>
    <row r="11" spans="1:99">
      <c r="C11" s="98" t="s">
        <v>177</v>
      </c>
      <c r="D11" s="99">
        <v>12</v>
      </c>
      <c r="E11" s="99">
        <v>6393.5999999999995</v>
      </c>
      <c r="F11" s="99">
        <v>7</v>
      </c>
      <c r="G11" s="99">
        <v>3729.5999999999995</v>
      </c>
      <c r="H11" s="99">
        <v>7</v>
      </c>
      <c r="I11" s="99">
        <v>3729.5999999999995</v>
      </c>
      <c r="J11" s="99">
        <v>6</v>
      </c>
      <c r="K11" s="99">
        <v>3196.7999999999997</v>
      </c>
      <c r="L11" s="99">
        <v>10</v>
      </c>
      <c r="M11" s="99">
        <v>5328</v>
      </c>
      <c r="N11" s="99">
        <v>11</v>
      </c>
      <c r="O11" s="99">
        <v>5860.7999999999993</v>
      </c>
      <c r="P11" s="99">
        <v>10</v>
      </c>
      <c r="Q11" s="99">
        <v>5328</v>
      </c>
      <c r="R11" s="99">
        <v>7</v>
      </c>
      <c r="S11" s="99">
        <v>3729.5999999999995</v>
      </c>
      <c r="T11" s="99">
        <v>6</v>
      </c>
      <c r="U11" s="99">
        <v>3196.7999999999997</v>
      </c>
      <c r="V11" s="99">
        <v>8</v>
      </c>
      <c r="W11" s="99">
        <v>4262.3999999999996</v>
      </c>
      <c r="X11" s="99">
        <v>7</v>
      </c>
      <c r="Y11" s="99">
        <v>3729.5999999999995</v>
      </c>
      <c r="Z11" s="99">
        <v>6</v>
      </c>
      <c r="AA11" s="99">
        <v>3196.7999999999997</v>
      </c>
      <c r="AB11" s="99">
        <v>8</v>
      </c>
      <c r="AC11" s="99">
        <v>4262.3999999999996</v>
      </c>
      <c r="AD11" s="99">
        <v>9</v>
      </c>
      <c r="AE11" s="99">
        <v>4795.2</v>
      </c>
      <c r="AF11" s="99">
        <v>8</v>
      </c>
      <c r="AG11" s="99">
        <v>4262.3999999999996</v>
      </c>
      <c r="AH11" s="99">
        <v>6</v>
      </c>
      <c r="AI11" s="99">
        <v>3196.7999999999997</v>
      </c>
      <c r="AJ11" s="99">
        <v>11</v>
      </c>
      <c r="AK11" s="99">
        <v>5860.7999999999993</v>
      </c>
      <c r="AL11" s="99">
        <v>6</v>
      </c>
      <c r="AM11" s="99">
        <v>3196.7999999999997</v>
      </c>
      <c r="AN11" s="99">
        <v>9</v>
      </c>
      <c r="AO11" s="99">
        <v>4795.2</v>
      </c>
      <c r="AP11" s="99">
        <v>11</v>
      </c>
      <c r="AQ11" s="99">
        <v>5860.7999999999993</v>
      </c>
      <c r="AR11" s="99">
        <v>9</v>
      </c>
      <c r="AS11" s="99">
        <v>4795.2</v>
      </c>
      <c r="AT11" s="99">
        <v>14</v>
      </c>
      <c r="AU11" s="99">
        <v>7459.1999999999989</v>
      </c>
      <c r="AV11" s="99">
        <v>14</v>
      </c>
      <c r="AW11" s="99">
        <v>7459.1999999999989</v>
      </c>
      <c r="AX11" s="99">
        <v>8</v>
      </c>
      <c r="AY11" s="99">
        <v>4262.3999999999996</v>
      </c>
      <c r="AZ11" s="99">
        <v>11</v>
      </c>
      <c r="BA11" s="99">
        <v>5860.7999999999993</v>
      </c>
      <c r="BB11" s="99">
        <v>10</v>
      </c>
      <c r="BC11" s="99">
        <v>5328</v>
      </c>
      <c r="BD11" s="99">
        <v>13</v>
      </c>
      <c r="BE11" s="99">
        <v>6926.4</v>
      </c>
      <c r="BF11" s="99">
        <v>12</v>
      </c>
      <c r="BG11" s="99">
        <v>6393.5999999999995</v>
      </c>
      <c r="BH11" s="99">
        <v>8</v>
      </c>
      <c r="BI11" s="99">
        <v>4262.3999999999996</v>
      </c>
      <c r="BJ11" s="99">
        <v>8</v>
      </c>
      <c r="BK11" s="99">
        <v>4262.3999999999996</v>
      </c>
      <c r="BL11" s="99">
        <v>9</v>
      </c>
      <c r="BM11" s="99">
        <v>4795.2</v>
      </c>
      <c r="BN11" s="99">
        <v>12</v>
      </c>
      <c r="BO11" s="99">
        <v>6393.5999999999995</v>
      </c>
      <c r="BP11" s="99">
        <v>8</v>
      </c>
      <c r="BQ11" s="99">
        <v>4262.3999999999996</v>
      </c>
      <c r="BR11" s="99">
        <v>12</v>
      </c>
      <c r="BS11" s="99">
        <v>6393.5999999999995</v>
      </c>
      <c r="BT11" s="99">
        <v>8.7688603645669367</v>
      </c>
      <c r="BU11" s="99">
        <v>4672.0488022412637</v>
      </c>
      <c r="BV11" s="99">
        <v>8</v>
      </c>
      <c r="BW11" s="99">
        <v>4262.3999999999996</v>
      </c>
      <c r="BX11" s="99">
        <v>10</v>
      </c>
      <c r="BY11" s="99">
        <v>5328</v>
      </c>
      <c r="BZ11" s="99">
        <v>7.6635601995734781</v>
      </c>
      <c r="CA11" s="99">
        <v>4083.1448743327487</v>
      </c>
      <c r="CB11" s="99">
        <v>9.9814033502425499</v>
      </c>
      <c r="CC11" s="99">
        <v>5318.0917050092303</v>
      </c>
      <c r="CD11" s="99">
        <v>11</v>
      </c>
      <c r="CE11" s="99">
        <v>5860.7999999999993</v>
      </c>
      <c r="CF11" s="99">
        <v>10</v>
      </c>
      <c r="CG11" s="99">
        <v>5328</v>
      </c>
      <c r="CH11" s="99">
        <v>9</v>
      </c>
      <c r="CI11" s="99">
        <v>4795.2</v>
      </c>
      <c r="CJ11" s="99">
        <v>9</v>
      </c>
      <c r="CK11" s="99">
        <v>4795.2</v>
      </c>
      <c r="CL11" s="99">
        <v>7.3738246882808864</v>
      </c>
      <c r="CM11" s="99">
        <v>3928.7737939160561</v>
      </c>
      <c r="CN11" s="99">
        <v>11</v>
      </c>
      <c r="CO11" s="99">
        <v>5860.7999999999993</v>
      </c>
      <c r="CP11" s="99">
        <v>8</v>
      </c>
      <c r="CQ11" s="99">
        <v>4262.3999999999996</v>
      </c>
      <c r="CR11" s="99">
        <v>10.350654952135068</v>
      </c>
      <c r="CS11" s="99">
        <v>5514.8289584975637</v>
      </c>
      <c r="CT11" s="99">
        <v>13</v>
      </c>
      <c r="CU11" s="99">
        <v>6926.4</v>
      </c>
    </row>
    <row r="12" spans="1:99">
      <c r="C12" s="98" t="s">
        <v>178</v>
      </c>
      <c r="D12" s="99">
        <v>11</v>
      </c>
      <c r="E12" s="99">
        <v>6190.7999999999993</v>
      </c>
      <c r="F12" s="99">
        <v>7</v>
      </c>
      <c r="G12" s="99">
        <v>3939.5999999999995</v>
      </c>
      <c r="H12" s="99">
        <v>6</v>
      </c>
      <c r="I12" s="99">
        <v>3376.7999999999997</v>
      </c>
      <c r="J12" s="99">
        <v>6</v>
      </c>
      <c r="K12" s="99">
        <v>3376.7999999999997</v>
      </c>
      <c r="L12" s="99">
        <v>9</v>
      </c>
      <c r="M12" s="99">
        <v>5065.2</v>
      </c>
      <c r="N12" s="99">
        <v>11</v>
      </c>
      <c r="O12" s="99">
        <v>6190.7999999999993</v>
      </c>
      <c r="P12" s="99">
        <v>11</v>
      </c>
      <c r="Q12" s="99">
        <v>6190.7999999999993</v>
      </c>
      <c r="R12" s="99">
        <v>7</v>
      </c>
      <c r="S12" s="99">
        <v>3939.5999999999995</v>
      </c>
      <c r="T12" s="99">
        <v>6</v>
      </c>
      <c r="U12" s="99">
        <v>3376.7999999999997</v>
      </c>
      <c r="V12" s="99">
        <v>8</v>
      </c>
      <c r="W12" s="99">
        <v>4502.3999999999996</v>
      </c>
      <c r="X12" s="99">
        <v>7</v>
      </c>
      <c r="Y12" s="99">
        <v>3939.5999999999995</v>
      </c>
      <c r="Z12" s="99">
        <v>7</v>
      </c>
      <c r="AA12" s="99">
        <v>3939.5999999999995</v>
      </c>
      <c r="AB12" s="99">
        <v>8</v>
      </c>
      <c r="AC12" s="99">
        <v>4502.3999999999996</v>
      </c>
      <c r="AD12" s="99">
        <v>8</v>
      </c>
      <c r="AE12" s="99">
        <v>4502.3999999999996</v>
      </c>
      <c r="AF12" s="99">
        <v>7</v>
      </c>
      <c r="AG12" s="99">
        <v>3939.5999999999995</v>
      </c>
      <c r="AH12" s="99">
        <v>7</v>
      </c>
      <c r="AI12" s="99">
        <v>3939.5999999999995</v>
      </c>
      <c r="AJ12" s="99">
        <v>11</v>
      </c>
      <c r="AK12" s="99">
        <v>6190.7999999999993</v>
      </c>
      <c r="AL12" s="99">
        <v>7</v>
      </c>
      <c r="AM12" s="99">
        <v>3939.5999999999995</v>
      </c>
      <c r="AN12" s="99">
        <v>8</v>
      </c>
      <c r="AO12" s="99">
        <v>4502.3999999999996</v>
      </c>
      <c r="AP12" s="99">
        <v>13</v>
      </c>
      <c r="AQ12" s="99">
        <v>7316.4</v>
      </c>
      <c r="AR12" s="99">
        <v>9</v>
      </c>
      <c r="AS12" s="99">
        <v>5065.2</v>
      </c>
      <c r="AT12" s="99">
        <v>13</v>
      </c>
      <c r="AU12" s="99">
        <v>7316.4</v>
      </c>
      <c r="AV12" s="99">
        <v>13</v>
      </c>
      <c r="AW12" s="99">
        <v>7316.4</v>
      </c>
      <c r="AX12" s="99">
        <v>9</v>
      </c>
      <c r="AY12" s="99">
        <v>5065.2</v>
      </c>
      <c r="AZ12" s="99">
        <v>13</v>
      </c>
      <c r="BA12" s="99">
        <v>7316.4</v>
      </c>
      <c r="BB12" s="99">
        <v>10</v>
      </c>
      <c r="BC12" s="99">
        <v>5628</v>
      </c>
      <c r="BD12" s="99">
        <v>13</v>
      </c>
      <c r="BE12" s="99">
        <v>7316.4</v>
      </c>
      <c r="BF12" s="99">
        <v>12</v>
      </c>
      <c r="BG12" s="99">
        <v>6753.5999999999995</v>
      </c>
      <c r="BH12" s="99">
        <v>9</v>
      </c>
      <c r="BI12" s="99">
        <v>5065.2</v>
      </c>
      <c r="BJ12" s="99">
        <v>9</v>
      </c>
      <c r="BK12" s="99">
        <v>5065.2</v>
      </c>
      <c r="BL12" s="99">
        <v>9</v>
      </c>
      <c r="BM12" s="99">
        <v>5065.2</v>
      </c>
      <c r="BN12" s="99">
        <v>13</v>
      </c>
      <c r="BO12" s="99">
        <v>7316.4</v>
      </c>
      <c r="BP12" s="99">
        <v>8</v>
      </c>
      <c r="BQ12" s="99">
        <v>4502.3999999999996</v>
      </c>
      <c r="BR12" s="99">
        <v>11</v>
      </c>
      <c r="BS12" s="99">
        <v>6190.7999999999993</v>
      </c>
      <c r="BT12" s="99">
        <v>8.7688603645669367</v>
      </c>
      <c r="BU12" s="99">
        <v>4935.1146131782716</v>
      </c>
      <c r="BV12" s="99">
        <v>8</v>
      </c>
      <c r="BW12" s="99">
        <v>4502.3999999999996</v>
      </c>
      <c r="BX12" s="99">
        <v>12</v>
      </c>
      <c r="BY12" s="99">
        <v>6753.5999999999995</v>
      </c>
      <c r="BZ12" s="99">
        <v>6.966872908703162</v>
      </c>
      <c r="CA12" s="99">
        <v>3920.9560730181393</v>
      </c>
      <c r="CB12" s="99">
        <v>11.644970575282976</v>
      </c>
      <c r="CC12" s="99">
        <v>6553.789439769258</v>
      </c>
      <c r="CD12" s="99">
        <v>12</v>
      </c>
      <c r="CE12" s="99">
        <v>6753.5999999999995</v>
      </c>
      <c r="CF12" s="99">
        <v>12</v>
      </c>
      <c r="CG12" s="99">
        <v>6753.5999999999995</v>
      </c>
      <c r="CH12" s="99">
        <v>9</v>
      </c>
      <c r="CI12" s="99">
        <v>5065.2</v>
      </c>
      <c r="CJ12" s="99">
        <v>9</v>
      </c>
      <c r="CK12" s="99">
        <v>5065.2</v>
      </c>
      <c r="CL12" s="99">
        <v>5.7351969797740239</v>
      </c>
      <c r="CM12" s="99">
        <v>3227.7688602168205</v>
      </c>
      <c r="CN12" s="99">
        <v>10</v>
      </c>
      <c r="CO12" s="99">
        <v>5628</v>
      </c>
      <c r="CP12" s="99">
        <v>8</v>
      </c>
      <c r="CQ12" s="99">
        <v>4502.3999999999996</v>
      </c>
      <c r="CR12" s="99">
        <v>10.350654952135068</v>
      </c>
      <c r="CS12" s="99">
        <v>5825.3486070616154</v>
      </c>
      <c r="CT12" s="99">
        <v>13</v>
      </c>
      <c r="CU12" s="99">
        <v>7316.4</v>
      </c>
    </row>
    <row r="13" spans="1:99">
      <c r="C13" s="98" t="s">
        <v>179</v>
      </c>
      <c r="D13" s="99">
        <v>12</v>
      </c>
      <c r="E13" s="99">
        <v>1022.4000000000001</v>
      </c>
      <c r="F13" s="99">
        <v>8</v>
      </c>
      <c r="G13" s="99">
        <v>681.6</v>
      </c>
      <c r="H13" s="99">
        <v>6</v>
      </c>
      <c r="I13" s="99">
        <v>511.20000000000005</v>
      </c>
      <c r="J13" s="99">
        <v>6</v>
      </c>
      <c r="K13" s="99">
        <v>511.20000000000005</v>
      </c>
      <c r="L13" s="99">
        <v>10</v>
      </c>
      <c r="M13" s="99">
        <v>852</v>
      </c>
      <c r="N13" s="99">
        <v>11</v>
      </c>
      <c r="O13" s="99">
        <v>937.2</v>
      </c>
      <c r="P13" s="99">
        <v>9</v>
      </c>
      <c r="Q13" s="99">
        <v>766.80000000000007</v>
      </c>
      <c r="R13" s="99">
        <v>7</v>
      </c>
      <c r="S13" s="99">
        <v>596.4</v>
      </c>
      <c r="T13" s="99">
        <v>7</v>
      </c>
      <c r="U13" s="99">
        <v>596.4</v>
      </c>
      <c r="V13" s="99">
        <v>8</v>
      </c>
      <c r="W13" s="99">
        <v>681.6</v>
      </c>
      <c r="X13" s="99">
        <v>7</v>
      </c>
      <c r="Y13" s="99">
        <v>596.4</v>
      </c>
      <c r="Z13" s="99">
        <v>8</v>
      </c>
      <c r="AA13" s="99">
        <v>681.6</v>
      </c>
      <c r="AB13" s="99">
        <v>7</v>
      </c>
      <c r="AC13" s="99">
        <v>596.4</v>
      </c>
      <c r="AD13" s="99">
        <v>8</v>
      </c>
      <c r="AE13" s="99">
        <v>681.6</v>
      </c>
      <c r="AF13" s="99">
        <v>7</v>
      </c>
      <c r="AG13" s="99">
        <v>596.4</v>
      </c>
      <c r="AH13" s="99">
        <v>7</v>
      </c>
      <c r="AI13" s="99">
        <v>596.4</v>
      </c>
      <c r="AJ13" s="99">
        <v>12</v>
      </c>
      <c r="AK13" s="99">
        <v>1022.4000000000001</v>
      </c>
      <c r="AL13" s="99">
        <v>6</v>
      </c>
      <c r="AM13" s="99">
        <v>511.20000000000005</v>
      </c>
      <c r="AN13" s="99">
        <v>8</v>
      </c>
      <c r="AO13" s="99">
        <v>681.6</v>
      </c>
      <c r="AP13" s="99">
        <v>13</v>
      </c>
      <c r="AQ13" s="99">
        <v>1107.6000000000001</v>
      </c>
      <c r="AR13" s="99">
        <v>9</v>
      </c>
      <c r="AS13" s="99">
        <v>766.80000000000007</v>
      </c>
      <c r="AT13" s="99">
        <v>13</v>
      </c>
      <c r="AU13" s="99">
        <v>1107.6000000000001</v>
      </c>
      <c r="AV13" s="99">
        <v>13</v>
      </c>
      <c r="AW13" s="99">
        <v>1107.6000000000001</v>
      </c>
      <c r="AX13" s="99">
        <v>8</v>
      </c>
      <c r="AY13" s="99">
        <v>681.6</v>
      </c>
      <c r="AZ13" s="99">
        <v>12</v>
      </c>
      <c r="BA13" s="99">
        <v>1022.4000000000001</v>
      </c>
      <c r="BB13" s="99">
        <v>11</v>
      </c>
      <c r="BC13" s="99">
        <v>937.2</v>
      </c>
      <c r="BD13" s="99">
        <v>12</v>
      </c>
      <c r="BE13" s="99">
        <v>1022.4000000000001</v>
      </c>
      <c r="BF13" s="99">
        <v>12</v>
      </c>
      <c r="BG13" s="99">
        <v>1022.4000000000001</v>
      </c>
      <c r="BH13" s="99">
        <v>8</v>
      </c>
      <c r="BI13" s="99">
        <v>681.6</v>
      </c>
      <c r="BJ13" s="99">
        <v>8</v>
      </c>
      <c r="BK13" s="99">
        <v>681.6</v>
      </c>
      <c r="BL13" s="99">
        <v>10</v>
      </c>
      <c r="BM13" s="99">
        <v>852</v>
      </c>
      <c r="BN13" s="99">
        <v>14</v>
      </c>
      <c r="BO13" s="99">
        <v>1192.8</v>
      </c>
      <c r="BP13" s="99">
        <v>9</v>
      </c>
      <c r="BQ13" s="99">
        <v>766.80000000000007</v>
      </c>
      <c r="BR13" s="99">
        <v>10</v>
      </c>
      <c r="BS13" s="99">
        <v>852</v>
      </c>
      <c r="BT13" s="99">
        <v>8.7688603645669367</v>
      </c>
      <c r="BU13" s="99">
        <v>747.10690306110303</v>
      </c>
      <c r="BV13" s="99">
        <v>8</v>
      </c>
      <c r="BW13" s="99">
        <v>681.6</v>
      </c>
      <c r="BX13" s="99">
        <v>11</v>
      </c>
      <c r="BY13" s="99">
        <v>937.2</v>
      </c>
      <c r="BZ13" s="99">
        <v>7.6635601995734781</v>
      </c>
      <c r="CA13" s="99">
        <v>652.9353290036604</v>
      </c>
      <c r="CB13" s="99">
        <v>11.644970575282976</v>
      </c>
      <c r="CC13" s="99">
        <v>992.15149301410952</v>
      </c>
      <c r="CD13" s="99">
        <v>11</v>
      </c>
      <c r="CE13" s="99">
        <v>937.2</v>
      </c>
      <c r="CF13" s="99">
        <v>10</v>
      </c>
      <c r="CG13" s="99">
        <v>852</v>
      </c>
      <c r="CH13" s="99">
        <v>9</v>
      </c>
      <c r="CI13" s="99">
        <v>766.80000000000007</v>
      </c>
      <c r="CJ13" s="99">
        <v>9</v>
      </c>
      <c r="CK13" s="99">
        <v>766.80000000000007</v>
      </c>
      <c r="CL13" s="99">
        <v>7.3738246882808864</v>
      </c>
      <c r="CM13" s="99">
        <v>628.2498634415316</v>
      </c>
      <c r="CN13" s="99">
        <v>10</v>
      </c>
      <c r="CO13" s="99">
        <v>852</v>
      </c>
      <c r="CP13" s="99">
        <v>9</v>
      </c>
      <c r="CQ13" s="99">
        <v>766.80000000000007</v>
      </c>
      <c r="CR13" s="99">
        <v>10.350654952135068</v>
      </c>
      <c r="CS13" s="99">
        <v>881.87580192190785</v>
      </c>
      <c r="CT13" s="99">
        <v>14</v>
      </c>
      <c r="CU13" s="99">
        <v>1192.8</v>
      </c>
    </row>
    <row r="14" spans="1:99">
      <c r="C14" s="98" t="s">
        <v>180</v>
      </c>
      <c r="D14" s="99">
        <v>12</v>
      </c>
      <c r="E14" s="99">
        <v>5860.7999999999993</v>
      </c>
      <c r="F14" s="99">
        <v>7</v>
      </c>
      <c r="G14" s="99">
        <v>3418.7999999999997</v>
      </c>
      <c r="H14" s="99">
        <v>6</v>
      </c>
      <c r="I14" s="99">
        <v>2930.3999999999996</v>
      </c>
      <c r="J14" s="99">
        <v>6</v>
      </c>
      <c r="K14" s="99">
        <v>2930.3999999999996</v>
      </c>
      <c r="L14" s="99">
        <v>11</v>
      </c>
      <c r="M14" s="99">
        <v>5372.4</v>
      </c>
      <c r="N14" s="99">
        <v>11</v>
      </c>
      <c r="O14" s="99">
        <v>5372.4</v>
      </c>
      <c r="P14" s="99">
        <v>10</v>
      </c>
      <c r="Q14" s="99">
        <v>4884</v>
      </c>
      <c r="R14" s="99">
        <v>7</v>
      </c>
      <c r="S14" s="99">
        <v>3418.7999999999997</v>
      </c>
      <c r="T14" s="99">
        <v>6</v>
      </c>
      <c r="U14" s="99">
        <v>2930.3999999999996</v>
      </c>
      <c r="V14" s="99">
        <v>8</v>
      </c>
      <c r="W14" s="99">
        <v>3907.2</v>
      </c>
      <c r="X14" s="99">
        <v>7</v>
      </c>
      <c r="Y14" s="99">
        <v>3418.7999999999997</v>
      </c>
      <c r="Z14" s="99">
        <v>7</v>
      </c>
      <c r="AA14" s="99">
        <v>3418.7999999999997</v>
      </c>
      <c r="AB14" s="99">
        <v>7</v>
      </c>
      <c r="AC14" s="99">
        <v>3418.7999999999997</v>
      </c>
      <c r="AD14" s="99">
        <v>8</v>
      </c>
      <c r="AE14" s="99">
        <v>3907.2</v>
      </c>
      <c r="AF14" s="99">
        <v>7</v>
      </c>
      <c r="AG14" s="99">
        <v>3418.7999999999997</v>
      </c>
      <c r="AH14" s="99">
        <v>7</v>
      </c>
      <c r="AI14" s="99">
        <v>3418.7999999999997</v>
      </c>
      <c r="AJ14" s="99">
        <v>12</v>
      </c>
      <c r="AK14" s="99">
        <v>5860.7999999999993</v>
      </c>
      <c r="AL14" s="99">
        <v>7</v>
      </c>
      <c r="AM14" s="99">
        <v>3418.7999999999997</v>
      </c>
      <c r="AN14" s="99">
        <v>8</v>
      </c>
      <c r="AO14" s="99">
        <v>3907.2</v>
      </c>
      <c r="AP14" s="99">
        <v>11</v>
      </c>
      <c r="AQ14" s="99">
        <v>5372.4</v>
      </c>
      <c r="AR14" s="99">
        <v>9</v>
      </c>
      <c r="AS14" s="99">
        <v>4395.5999999999995</v>
      </c>
      <c r="AT14" s="99">
        <v>14</v>
      </c>
      <c r="AU14" s="99">
        <v>6837.5999999999995</v>
      </c>
      <c r="AV14" s="99">
        <v>13</v>
      </c>
      <c r="AW14" s="99">
        <v>6349.2</v>
      </c>
      <c r="AX14" s="99">
        <v>8</v>
      </c>
      <c r="AY14" s="99">
        <v>3907.2</v>
      </c>
      <c r="AZ14" s="99">
        <v>13</v>
      </c>
      <c r="BA14" s="99">
        <v>6349.2</v>
      </c>
      <c r="BB14" s="99">
        <v>9</v>
      </c>
      <c r="BC14" s="99">
        <v>4395.5999999999995</v>
      </c>
      <c r="BD14" s="99">
        <v>11</v>
      </c>
      <c r="BE14" s="99">
        <v>5372.4</v>
      </c>
      <c r="BF14" s="99">
        <v>11</v>
      </c>
      <c r="BG14" s="99">
        <v>5372.4</v>
      </c>
      <c r="BH14" s="99">
        <v>8</v>
      </c>
      <c r="BI14" s="99">
        <v>3907.2</v>
      </c>
      <c r="BJ14" s="99">
        <v>8</v>
      </c>
      <c r="BK14" s="99">
        <v>3907.2</v>
      </c>
      <c r="BL14" s="99">
        <v>9</v>
      </c>
      <c r="BM14" s="99">
        <v>4395.5999999999995</v>
      </c>
      <c r="BN14" s="99">
        <v>14</v>
      </c>
      <c r="BO14" s="99">
        <v>6837.5999999999995</v>
      </c>
      <c r="BP14" s="99">
        <v>8</v>
      </c>
      <c r="BQ14" s="99">
        <v>3907.2</v>
      </c>
      <c r="BR14" s="99">
        <v>11</v>
      </c>
      <c r="BS14" s="99">
        <v>5372.4</v>
      </c>
      <c r="BT14" s="99">
        <v>8.7688603645669367</v>
      </c>
      <c r="BU14" s="99">
        <v>4282.7114020544914</v>
      </c>
      <c r="BV14" s="99">
        <v>9</v>
      </c>
      <c r="BW14" s="99">
        <v>4395.5999999999995</v>
      </c>
      <c r="BX14" s="99">
        <v>11</v>
      </c>
      <c r="BY14" s="99">
        <v>5372.4</v>
      </c>
      <c r="BZ14" s="99">
        <v>7.6635601995734781</v>
      </c>
      <c r="CA14" s="99">
        <v>3742.8828014716864</v>
      </c>
      <c r="CB14" s="99">
        <v>10.813186962762762</v>
      </c>
      <c r="CC14" s="99">
        <v>5281.1605126133327</v>
      </c>
      <c r="CD14" s="99">
        <v>13</v>
      </c>
      <c r="CE14" s="99">
        <v>6349.2</v>
      </c>
      <c r="CF14" s="99">
        <v>11</v>
      </c>
      <c r="CG14" s="99">
        <v>5372.4</v>
      </c>
      <c r="CH14" s="99">
        <v>9</v>
      </c>
      <c r="CI14" s="99">
        <v>4395.5999999999995</v>
      </c>
      <c r="CJ14" s="99">
        <v>9</v>
      </c>
      <c r="CK14" s="99">
        <v>4395.5999999999995</v>
      </c>
      <c r="CL14" s="99">
        <v>7.3738246882808864</v>
      </c>
      <c r="CM14" s="99">
        <v>3601.3759777563846</v>
      </c>
      <c r="CN14" s="99">
        <v>11</v>
      </c>
      <c r="CO14" s="99">
        <v>5372.4</v>
      </c>
      <c r="CP14" s="99">
        <v>9</v>
      </c>
      <c r="CQ14" s="99">
        <v>4395.5999999999995</v>
      </c>
      <c r="CR14" s="99">
        <v>9.5544507250477544</v>
      </c>
      <c r="CS14" s="99">
        <v>4666.3937341133233</v>
      </c>
      <c r="CT14" s="99">
        <v>13</v>
      </c>
      <c r="CU14" s="99">
        <v>6349.2</v>
      </c>
    </row>
    <row r="15" spans="1:99">
      <c r="C15" s="98" t="s">
        <v>181</v>
      </c>
      <c r="D15" s="99">
        <v>11</v>
      </c>
      <c r="E15" s="99">
        <v>8395.1999999999989</v>
      </c>
      <c r="F15" s="99">
        <v>7</v>
      </c>
      <c r="G15" s="99">
        <v>5342.4</v>
      </c>
      <c r="H15" s="99">
        <v>6</v>
      </c>
      <c r="I15" s="99">
        <v>4579.2</v>
      </c>
      <c r="J15" s="99">
        <v>6</v>
      </c>
      <c r="K15" s="99">
        <v>4579.2</v>
      </c>
      <c r="L15" s="99">
        <v>10</v>
      </c>
      <c r="M15" s="99">
        <v>7631.9999999999991</v>
      </c>
      <c r="N15" s="99">
        <v>9</v>
      </c>
      <c r="O15" s="99">
        <v>6868.7999999999993</v>
      </c>
      <c r="P15" s="99">
        <v>10</v>
      </c>
      <c r="Q15" s="99">
        <v>7631.9999999999991</v>
      </c>
      <c r="R15" s="99">
        <v>7</v>
      </c>
      <c r="S15" s="99">
        <v>5342.4</v>
      </c>
      <c r="T15" s="99">
        <v>6</v>
      </c>
      <c r="U15" s="99">
        <v>4579.2</v>
      </c>
      <c r="V15" s="99">
        <v>8</v>
      </c>
      <c r="W15" s="99">
        <v>6105.5999999999995</v>
      </c>
      <c r="X15" s="99">
        <v>7</v>
      </c>
      <c r="Y15" s="99">
        <v>5342.4</v>
      </c>
      <c r="Z15" s="99">
        <v>7</v>
      </c>
      <c r="AA15" s="99">
        <v>5342.4</v>
      </c>
      <c r="AB15" s="99">
        <v>7</v>
      </c>
      <c r="AC15" s="99">
        <v>5342.4</v>
      </c>
      <c r="AD15" s="99">
        <v>9</v>
      </c>
      <c r="AE15" s="99">
        <v>6868.7999999999993</v>
      </c>
      <c r="AF15" s="99">
        <v>8</v>
      </c>
      <c r="AG15" s="99">
        <v>6105.5999999999995</v>
      </c>
      <c r="AH15" s="99">
        <v>6</v>
      </c>
      <c r="AI15" s="99">
        <v>4579.2</v>
      </c>
      <c r="AJ15" s="99">
        <v>10</v>
      </c>
      <c r="AK15" s="99">
        <v>7631.9999999999991</v>
      </c>
      <c r="AL15" s="99">
        <v>7</v>
      </c>
      <c r="AM15" s="99">
        <v>5342.4</v>
      </c>
      <c r="AN15" s="99">
        <v>9</v>
      </c>
      <c r="AO15" s="99">
        <v>6868.7999999999993</v>
      </c>
      <c r="AP15" s="99">
        <v>12</v>
      </c>
      <c r="AQ15" s="99">
        <v>9158.4</v>
      </c>
      <c r="AR15" s="99">
        <v>8</v>
      </c>
      <c r="AS15" s="99">
        <v>6105.5999999999995</v>
      </c>
      <c r="AT15" s="99">
        <v>14</v>
      </c>
      <c r="AU15" s="99">
        <v>10684.8</v>
      </c>
      <c r="AV15" s="99">
        <v>12</v>
      </c>
      <c r="AW15" s="99">
        <v>9158.4</v>
      </c>
      <c r="AX15" s="99">
        <v>8</v>
      </c>
      <c r="AY15" s="99">
        <v>6105.5999999999995</v>
      </c>
      <c r="AZ15" s="99">
        <v>11</v>
      </c>
      <c r="BA15" s="99">
        <v>8395.1999999999989</v>
      </c>
      <c r="BB15" s="99">
        <v>10</v>
      </c>
      <c r="BC15" s="99">
        <v>7631.9999999999991</v>
      </c>
      <c r="BD15" s="99">
        <v>12</v>
      </c>
      <c r="BE15" s="99">
        <v>9158.4</v>
      </c>
      <c r="BF15" s="99">
        <v>11</v>
      </c>
      <c r="BG15" s="99">
        <v>8395.1999999999989</v>
      </c>
      <c r="BH15" s="99">
        <v>9</v>
      </c>
      <c r="BI15" s="99">
        <v>6868.7999999999993</v>
      </c>
      <c r="BJ15" s="99">
        <v>8</v>
      </c>
      <c r="BK15" s="99">
        <v>6105.5999999999995</v>
      </c>
      <c r="BL15" s="99">
        <v>11</v>
      </c>
      <c r="BM15" s="99">
        <v>8395.1999999999989</v>
      </c>
      <c r="BN15" s="99">
        <v>12</v>
      </c>
      <c r="BO15" s="99">
        <v>9158.4</v>
      </c>
      <c r="BP15" s="99">
        <v>8</v>
      </c>
      <c r="BQ15" s="99">
        <v>6105.5999999999995</v>
      </c>
      <c r="BR15" s="99">
        <v>11</v>
      </c>
      <c r="BS15" s="99">
        <v>8395.1999999999989</v>
      </c>
      <c r="BT15" s="99">
        <v>7.8919743281102424</v>
      </c>
      <c r="BU15" s="99">
        <v>6023.1548072137366</v>
      </c>
      <c r="BV15" s="99">
        <v>8</v>
      </c>
      <c r="BW15" s="99">
        <v>6105.5999999999995</v>
      </c>
      <c r="BX15" s="99">
        <v>11</v>
      </c>
      <c r="BY15" s="99">
        <v>8395.1999999999989</v>
      </c>
      <c r="BZ15" s="99">
        <v>6.966872908703162</v>
      </c>
      <c r="CA15" s="99">
        <v>5317.1174039222524</v>
      </c>
      <c r="CB15" s="99">
        <v>9.9814033502425499</v>
      </c>
      <c r="CC15" s="99">
        <v>7617.8070369051138</v>
      </c>
      <c r="CD15" s="99">
        <v>12</v>
      </c>
      <c r="CE15" s="99">
        <v>9158.4</v>
      </c>
      <c r="CF15" s="99">
        <v>11</v>
      </c>
      <c r="CG15" s="99">
        <v>8395.1999999999989</v>
      </c>
      <c r="CH15" s="99">
        <v>9</v>
      </c>
      <c r="CI15" s="99">
        <v>6868.7999999999993</v>
      </c>
      <c r="CJ15" s="99">
        <v>10</v>
      </c>
      <c r="CK15" s="99">
        <v>7631.9999999999991</v>
      </c>
      <c r="CL15" s="99">
        <v>6.5545108340274556</v>
      </c>
      <c r="CM15" s="99">
        <v>5002.402668529754</v>
      </c>
      <c r="CN15" s="99">
        <v>10</v>
      </c>
      <c r="CO15" s="99">
        <v>7631.9999999999991</v>
      </c>
      <c r="CP15" s="99">
        <v>9</v>
      </c>
      <c r="CQ15" s="99">
        <v>6868.7999999999993</v>
      </c>
      <c r="CR15" s="99">
        <v>11.146859179222382</v>
      </c>
      <c r="CS15" s="99">
        <v>8507.2829255825218</v>
      </c>
      <c r="CT15" s="99">
        <v>12</v>
      </c>
      <c r="CU15" s="99">
        <v>9158.4</v>
      </c>
    </row>
    <row r="16" spans="1:99">
      <c r="C16" s="98" t="s">
        <v>182</v>
      </c>
      <c r="D16" s="99">
        <v>11</v>
      </c>
      <c r="E16" s="99">
        <v>3748.8</v>
      </c>
      <c r="F16" s="99">
        <v>7</v>
      </c>
      <c r="G16" s="99">
        <v>2385.6</v>
      </c>
      <c r="H16" s="99">
        <v>6</v>
      </c>
      <c r="I16" s="99">
        <v>2044.8000000000002</v>
      </c>
      <c r="J16" s="99">
        <v>6</v>
      </c>
      <c r="K16" s="99">
        <v>2044.8000000000002</v>
      </c>
      <c r="L16" s="99">
        <v>10</v>
      </c>
      <c r="M16" s="99">
        <v>3408</v>
      </c>
      <c r="N16" s="99">
        <v>10</v>
      </c>
      <c r="O16" s="99">
        <v>3408</v>
      </c>
      <c r="P16" s="99">
        <v>10</v>
      </c>
      <c r="Q16" s="99">
        <v>3408</v>
      </c>
      <c r="R16" s="99">
        <v>7</v>
      </c>
      <c r="S16" s="99">
        <v>2385.6</v>
      </c>
      <c r="T16" s="99">
        <v>6</v>
      </c>
      <c r="U16" s="99">
        <v>2044.8000000000002</v>
      </c>
      <c r="V16" s="99">
        <v>9</v>
      </c>
      <c r="W16" s="99">
        <v>3067.2000000000003</v>
      </c>
      <c r="X16" s="99">
        <v>7</v>
      </c>
      <c r="Y16" s="99">
        <v>2385.6</v>
      </c>
      <c r="Z16" s="99">
        <v>7</v>
      </c>
      <c r="AA16" s="99">
        <v>2385.6</v>
      </c>
      <c r="AB16" s="99">
        <v>7</v>
      </c>
      <c r="AC16" s="99">
        <v>2385.6</v>
      </c>
      <c r="AD16" s="99">
        <v>9</v>
      </c>
      <c r="AE16" s="99">
        <v>3067.2000000000003</v>
      </c>
      <c r="AF16" s="99">
        <v>8</v>
      </c>
      <c r="AG16" s="99">
        <v>2726.4</v>
      </c>
      <c r="AH16" s="99">
        <v>6</v>
      </c>
      <c r="AI16" s="99">
        <v>2044.8000000000002</v>
      </c>
      <c r="AJ16" s="99">
        <v>11</v>
      </c>
      <c r="AK16" s="99">
        <v>3748.8</v>
      </c>
      <c r="AL16" s="99">
        <v>6</v>
      </c>
      <c r="AM16" s="99">
        <v>2044.8000000000002</v>
      </c>
      <c r="AN16" s="99">
        <v>9</v>
      </c>
      <c r="AO16" s="99">
        <v>3067.2000000000003</v>
      </c>
      <c r="AP16" s="99">
        <v>12</v>
      </c>
      <c r="AQ16" s="99">
        <v>4089.6000000000004</v>
      </c>
      <c r="AR16" s="99">
        <v>9</v>
      </c>
      <c r="AS16" s="99">
        <v>3067.2000000000003</v>
      </c>
      <c r="AT16" s="99">
        <v>12</v>
      </c>
      <c r="AU16" s="99">
        <v>4089.6000000000004</v>
      </c>
      <c r="AV16" s="99">
        <v>11</v>
      </c>
      <c r="AW16" s="99">
        <v>3748.8</v>
      </c>
      <c r="AX16" s="99">
        <v>8</v>
      </c>
      <c r="AY16" s="99">
        <v>2726.4</v>
      </c>
      <c r="AZ16" s="99">
        <v>13</v>
      </c>
      <c r="BA16" s="99">
        <v>4430.4000000000005</v>
      </c>
      <c r="BB16" s="99">
        <v>11</v>
      </c>
      <c r="BC16" s="99">
        <v>3748.8</v>
      </c>
      <c r="BD16" s="99">
        <v>13</v>
      </c>
      <c r="BE16" s="99">
        <v>4430.4000000000005</v>
      </c>
      <c r="BF16" s="99">
        <v>13</v>
      </c>
      <c r="BG16" s="99">
        <v>4430.4000000000005</v>
      </c>
      <c r="BH16" s="99">
        <v>9</v>
      </c>
      <c r="BI16" s="99">
        <v>3067.2000000000003</v>
      </c>
      <c r="BJ16" s="99">
        <v>8</v>
      </c>
      <c r="BK16" s="99">
        <v>2726.4</v>
      </c>
      <c r="BL16" s="99">
        <v>10</v>
      </c>
      <c r="BM16" s="99">
        <v>3408</v>
      </c>
      <c r="BN16" s="99">
        <v>14</v>
      </c>
      <c r="BO16" s="99">
        <v>4771.2</v>
      </c>
      <c r="BP16" s="99">
        <v>8</v>
      </c>
      <c r="BQ16" s="99">
        <v>2726.4</v>
      </c>
      <c r="BR16" s="99">
        <v>11</v>
      </c>
      <c r="BS16" s="99">
        <v>3748.8</v>
      </c>
      <c r="BT16" s="99">
        <v>8.7688603645669367</v>
      </c>
      <c r="BU16" s="99">
        <v>2988.4276122444121</v>
      </c>
      <c r="BV16" s="99">
        <v>8</v>
      </c>
      <c r="BW16" s="99">
        <v>2726.4</v>
      </c>
      <c r="BX16" s="99">
        <v>10</v>
      </c>
      <c r="BY16" s="99">
        <v>3408</v>
      </c>
      <c r="BZ16" s="99">
        <v>7.6635601995734781</v>
      </c>
      <c r="CA16" s="99">
        <v>2611.7413160146416</v>
      </c>
      <c r="CB16" s="99">
        <v>10.813186962762762</v>
      </c>
      <c r="CC16" s="99">
        <v>3685.1341169095494</v>
      </c>
      <c r="CD16" s="99">
        <v>12</v>
      </c>
      <c r="CE16" s="99">
        <v>4089.6000000000004</v>
      </c>
      <c r="CF16" s="99">
        <v>10</v>
      </c>
      <c r="CG16" s="99">
        <v>3408</v>
      </c>
      <c r="CH16" s="99">
        <v>10</v>
      </c>
      <c r="CI16" s="99">
        <v>3408</v>
      </c>
      <c r="CJ16" s="99">
        <v>9</v>
      </c>
      <c r="CK16" s="99">
        <v>3067.2000000000003</v>
      </c>
      <c r="CL16" s="99">
        <v>6.5545108340274556</v>
      </c>
      <c r="CM16" s="99">
        <v>2233.7772922365571</v>
      </c>
      <c r="CN16" s="99">
        <v>10</v>
      </c>
      <c r="CO16" s="99">
        <v>3408</v>
      </c>
      <c r="CP16" s="99">
        <v>8</v>
      </c>
      <c r="CQ16" s="99">
        <v>2726.4</v>
      </c>
      <c r="CR16" s="99">
        <v>10.350654952135068</v>
      </c>
      <c r="CS16" s="99">
        <v>3527.5032076876314</v>
      </c>
      <c r="CT16" s="99">
        <v>12</v>
      </c>
      <c r="CU16" s="99">
        <v>4089.6000000000004</v>
      </c>
    </row>
    <row r="17" spans="2:99">
      <c r="C17" s="98" t="s">
        <v>183</v>
      </c>
      <c r="D17" s="99">
        <v>12</v>
      </c>
      <c r="E17" s="99">
        <v>5068.7999999999993</v>
      </c>
      <c r="F17" s="99">
        <v>6</v>
      </c>
      <c r="G17" s="99">
        <v>2534.3999999999996</v>
      </c>
      <c r="H17" s="99">
        <v>6</v>
      </c>
      <c r="I17" s="99">
        <v>2534.3999999999996</v>
      </c>
      <c r="J17" s="99">
        <v>6</v>
      </c>
      <c r="K17" s="99">
        <v>2534.3999999999996</v>
      </c>
      <c r="L17" s="99">
        <v>10</v>
      </c>
      <c r="M17" s="99">
        <v>4224</v>
      </c>
      <c r="N17" s="99">
        <v>10</v>
      </c>
      <c r="O17" s="99">
        <v>4224</v>
      </c>
      <c r="P17" s="99">
        <v>11</v>
      </c>
      <c r="Q17" s="99">
        <v>4646.3999999999996</v>
      </c>
      <c r="R17" s="99">
        <v>7</v>
      </c>
      <c r="S17" s="99">
        <v>2956.7999999999997</v>
      </c>
      <c r="T17" s="99">
        <v>7</v>
      </c>
      <c r="U17" s="99">
        <v>2956.7999999999997</v>
      </c>
      <c r="V17" s="99">
        <v>8</v>
      </c>
      <c r="W17" s="99">
        <v>3379.2</v>
      </c>
      <c r="X17" s="99">
        <v>8</v>
      </c>
      <c r="Y17" s="99">
        <v>3379.2</v>
      </c>
      <c r="Z17" s="99">
        <v>7</v>
      </c>
      <c r="AA17" s="99">
        <v>2956.7999999999997</v>
      </c>
      <c r="AB17" s="99">
        <v>8</v>
      </c>
      <c r="AC17" s="99">
        <v>3379.2</v>
      </c>
      <c r="AD17" s="99">
        <v>10</v>
      </c>
      <c r="AE17" s="99">
        <v>4224</v>
      </c>
      <c r="AF17" s="99">
        <v>7</v>
      </c>
      <c r="AG17" s="99">
        <v>2956.7999999999997</v>
      </c>
      <c r="AH17" s="99">
        <v>7</v>
      </c>
      <c r="AI17" s="99">
        <v>2956.7999999999997</v>
      </c>
      <c r="AJ17" s="99">
        <v>10</v>
      </c>
      <c r="AK17" s="99">
        <v>4224</v>
      </c>
      <c r="AL17" s="99">
        <v>7</v>
      </c>
      <c r="AM17" s="99">
        <v>2956.7999999999997</v>
      </c>
      <c r="AN17" s="99">
        <v>8</v>
      </c>
      <c r="AO17" s="99">
        <v>3379.2</v>
      </c>
      <c r="AP17" s="99">
        <v>12</v>
      </c>
      <c r="AQ17" s="99">
        <v>5068.7999999999993</v>
      </c>
      <c r="AR17" s="99">
        <v>8</v>
      </c>
      <c r="AS17" s="99">
        <v>3379.2</v>
      </c>
      <c r="AT17" s="99">
        <v>13</v>
      </c>
      <c r="AU17" s="99">
        <v>5491.2</v>
      </c>
      <c r="AV17" s="99">
        <v>13</v>
      </c>
      <c r="AW17" s="99">
        <v>5491.2</v>
      </c>
      <c r="AX17" s="99">
        <v>8</v>
      </c>
      <c r="AY17" s="99">
        <v>3379.2</v>
      </c>
      <c r="AZ17" s="99">
        <v>12</v>
      </c>
      <c r="BA17" s="99">
        <v>5068.7999999999993</v>
      </c>
      <c r="BB17" s="99">
        <v>9</v>
      </c>
      <c r="BC17" s="99">
        <v>3801.6</v>
      </c>
      <c r="BD17" s="99">
        <v>11</v>
      </c>
      <c r="BE17" s="99">
        <v>4646.3999999999996</v>
      </c>
      <c r="BF17" s="99">
        <v>13</v>
      </c>
      <c r="BG17" s="99">
        <v>5491.2</v>
      </c>
      <c r="BH17" s="99">
        <v>9</v>
      </c>
      <c r="BI17" s="99">
        <v>3801.6</v>
      </c>
      <c r="BJ17" s="99">
        <v>8</v>
      </c>
      <c r="BK17" s="99">
        <v>3379.2</v>
      </c>
      <c r="BL17" s="99">
        <v>9</v>
      </c>
      <c r="BM17" s="99">
        <v>3801.6</v>
      </c>
      <c r="BN17" s="99">
        <v>13</v>
      </c>
      <c r="BO17" s="99">
        <v>5491.2</v>
      </c>
      <c r="BP17" s="99">
        <v>8</v>
      </c>
      <c r="BQ17" s="99">
        <v>3379.2</v>
      </c>
      <c r="BR17" s="99">
        <v>12</v>
      </c>
      <c r="BS17" s="99">
        <v>5068.7999999999993</v>
      </c>
      <c r="BT17" s="99">
        <v>8.7688603645669367</v>
      </c>
      <c r="BU17" s="99">
        <v>3703.9666179930737</v>
      </c>
      <c r="BV17" s="99">
        <v>9</v>
      </c>
      <c r="BW17" s="99">
        <v>3801.6</v>
      </c>
      <c r="BX17" s="99">
        <v>12</v>
      </c>
      <c r="BY17" s="99">
        <v>5068.7999999999993</v>
      </c>
      <c r="BZ17" s="99">
        <v>8.3602474904437951</v>
      </c>
      <c r="CA17" s="99">
        <v>3531.3685399634587</v>
      </c>
      <c r="CB17" s="99">
        <v>10.813186962762762</v>
      </c>
      <c r="CC17" s="99">
        <v>4567.4901730709907</v>
      </c>
      <c r="CD17" s="99">
        <v>13</v>
      </c>
      <c r="CE17" s="99">
        <v>5491.2</v>
      </c>
      <c r="CF17" s="99">
        <v>10</v>
      </c>
      <c r="CG17" s="99">
        <v>4224</v>
      </c>
      <c r="CH17" s="99">
        <v>10</v>
      </c>
      <c r="CI17" s="99">
        <v>4224</v>
      </c>
      <c r="CJ17" s="99">
        <v>9</v>
      </c>
      <c r="CK17" s="99">
        <v>3801.6</v>
      </c>
      <c r="CL17" s="99">
        <v>6.5545108340274556</v>
      </c>
      <c r="CM17" s="99">
        <v>2768.625376293197</v>
      </c>
      <c r="CN17" s="99">
        <v>11</v>
      </c>
      <c r="CO17" s="99">
        <v>4646.3999999999996</v>
      </c>
      <c r="CP17" s="99">
        <v>9</v>
      </c>
      <c r="CQ17" s="99">
        <v>3801.6</v>
      </c>
      <c r="CR17" s="99">
        <v>10.350654952135068</v>
      </c>
      <c r="CS17" s="99">
        <v>4372.1166517818529</v>
      </c>
      <c r="CT17" s="99">
        <v>13</v>
      </c>
      <c r="CU17" s="99">
        <v>5491.2</v>
      </c>
    </row>
    <row r="18" spans="2:99">
      <c r="C18" s="98" t="s">
        <v>184</v>
      </c>
      <c r="D18" s="99">
        <v>12</v>
      </c>
      <c r="E18" s="99">
        <v>7833.5999999999995</v>
      </c>
      <c r="F18" s="99">
        <v>7</v>
      </c>
      <c r="G18" s="99">
        <v>4569.5999999999995</v>
      </c>
      <c r="H18" s="99">
        <v>6</v>
      </c>
      <c r="I18" s="99">
        <v>3916.7999999999997</v>
      </c>
      <c r="J18" s="99">
        <v>6</v>
      </c>
      <c r="K18" s="99">
        <v>3916.7999999999997</v>
      </c>
      <c r="L18" s="99">
        <v>10</v>
      </c>
      <c r="M18" s="99">
        <v>6528</v>
      </c>
      <c r="N18" s="99">
        <v>10</v>
      </c>
      <c r="O18" s="99">
        <v>6528</v>
      </c>
      <c r="P18" s="99">
        <v>10</v>
      </c>
      <c r="Q18" s="99">
        <v>6528</v>
      </c>
      <c r="R18" s="99">
        <v>7</v>
      </c>
      <c r="S18" s="99">
        <v>4569.5999999999995</v>
      </c>
      <c r="T18" s="99">
        <v>7</v>
      </c>
      <c r="U18" s="99">
        <v>4569.5999999999995</v>
      </c>
      <c r="V18" s="99">
        <v>7</v>
      </c>
      <c r="W18" s="99">
        <v>4569.5999999999995</v>
      </c>
      <c r="X18" s="99">
        <v>7</v>
      </c>
      <c r="Y18" s="99">
        <v>4569.5999999999995</v>
      </c>
      <c r="Z18" s="99">
        <v>7</v>
      </c>
      <c r="AA18" s="99">
        <v>4569.5999999999995</v>
      </c>
      <c r="AB18" s="99">
        <v>7</v>
      </c>
      <c r="AC18" s="99">
        <v>4569.5999999999995</v>
      </c>
      <c r="AD18" s="99">
        <v>8</v>
      </c>
      <c r="AE18" s="99">
        <v>5222.3999999999996</v>
      </c>
      <c r="AF18" s="99">
        <v>8</v>
      </c>
      <c r="AG18" s="99">
        <v>5222.3999999999996</v>
      </c>
      <c r="AH18" s="99">
        <v>6</v>
      </c>
      <c r="AI18" s="99">
        <v>3916.7999999999997</v>
      </c>
      <c r="AJ18" s="99">
        <v>10</v>
      </c>
      <c r="AK18" s="99">
        <v>6528</v>
      </c>
      <c r="AL18" s="99">
        <v>7</v>
      </c>
      <c r="AM18" s="99">
        <v>4569.5999999999995</v>
      </c>
      <c r="AN18" s="99">
        <v>8</v>
      </c>
      <c r="AO18" s="99">
        <v>5222.3999999999996</v>
      </c>
      <c r="AP18" s="99">
        <v>11</v>
      </c>
      <c r="AQ18" s="99">
        <v>7180.7999999999993</v>
      </c>
      <c r="AR18" s="99">
        <v>8</v>
      </c>
      <c r="AS18" s="99">
        <v>5222.3999999999996</v>
      </c>
      <c r="AT18" s="99">
        <v>14</v>
      </c>
      <c r="AU18" s="99">
        <v>9139.1999999999989</v>
      </c>
      <c r="AV18" s="99">
        <v>12</v>
      </c>
      <c r="AW18" s="99">
        <v>7833.5999999999995</v>
      </c>
      <c r="AX18" s="99">
        <v>8</v>
      </c>
      <c r="AY18" s="99">
        <v>5222.3999999999996</v>
      </c>
      <c r="AZ18" s="99">
        <v>12</v>
      </c>
      <c r="BA18" s="99">
        <v>7833.5999999999995</v>
      </c>
      <c r="BB18" s="99">
        <v>11</v>
      </c>
      <c r="BC18" s="99">
        <v>7180.7999999999993</v>
      </c>
      <c r="BD18" s="99">
        <v>12</v>
      </c>
      <c r="BE18" s="99">
        <v>7833.5999999999995</v>
      </c>
      <c r="BF18" s="99">
        <v>12</v>
      </c>
      <c r="BG18" s="99">
        <v>7833.5999999999995</v>
      </c>
      <c r="BH18" s="99">
        <v>8</v>
      </c>
      <c r="BI18" s="99">
        <v>5222.3999999999996</v>
      </c>
      <c r="BJ18" s="99">
        <v>8</v>
      </c>
      <c r="BK18" s="99">
        <v>5222.3999999999996</v>
      </c>
      <c r="BL18" s="99">
        <v>11</v>
      </c>
      <c r="BM18" s="99">
        <v>7180.7999999999993</v>
      </c>
      <c r="BN18" s="99">
        <v>13</v>
      </c>
      <c r="BO18" s="99">
        <v>8486.4</v>
      </c>
      <c r="BP18" s="99">
        <v>8</v>
      </c>
      <c r="BQ18" s="99">
        <v>5222.3999999999996</v>
      </c>
      <c r="BR18" s="99">
        <v>11</v>
      </c>
      <c r="BS18" s="99">
        <v>7180.7999999999993</v>
      </c>
      <c r="BT18" s="99">
        <v>8.7688603645669367</v>
      </c>
      <c r="BU18" s="99">
        <v>5724.3120459892962</v>
      </c>
      <c r="BV18" s="99">
        <v>9</v>
      </c>
      <c r="BW18" s="99">
        <v>5875.2</v>
      </c>
      <c r="BX18" s="99">
        <v>12</v>
      </c>
      <c r="BY18" s="99">
        <v>7833.5999999999995</v>
      </c>
      <c r="BZ18" s="99">
        <v>8.3602474904437951</v>
      </c>
      <c r="CA18" s="99">
        <v>5457.5695617617093</v>
      </c>
      <c r="CB18" s="99">
        <v>9.9814033502425499</v>
      </c>
      <c r="CC18" s="99">
        <v>6515.8601070383365</v>
      </c>
      <c r="CD18" s="99">
        <v>11</v>
      </c>
      <c r="CE18" s="99">
        <v>7180.7999999999993</v>
      </c>
      <c r="CF18" s="99">
        <v>11</v>
      </c>
      <c r="CG18" s="99">
        <v>7180.7999999999993</v>
      </c>
      <c r="CH18" s="99">
        <v>9</v>
      </c>
      <c r="CI18" s="99">
        <v>5875.2</v>
      </c>
      <c r="CJ18" s="99">
        <v>9</v>
      </c>
      <c r="CK18" s="99">
        <v>5875.2</v>
      </c>
      <c r="CL18" s="99">
        <v>5.7351969797740239</v>
      </c>
      <c r="CM18" s="99">
        <v>3743.9365883964824</v>
      </c>
      <c r="CN18" s="99">
        <v>9</v>
      </c>
      <c r="CO18" s="99">
        <v>5875.2</v>
      </c>
      <c r="CP18" s="99">
        <v>9</v>
      </c>
      <c r="CQ18" s="99">
        <v>5875.2</v>
      </c>
      <c r="CR18" s="99">
        <v>10.350654952135068</v>
      </c>
      <c r="CS18" s="99">
        <v>6756.9075527537716</v>
      </c>
      <c r="CT18" s="99">
        <v>13</v>
      </c>
      <c r="CU18" s="99">
        <v>8486.4</v>
      </c>
    </row>
    <row r="19" spans="2:99">
      <c r="C19" s="98" t="s">
        <v>185</v>
      </c>
      <c r="D19" s="99">
        <v>13</v>
      </c>
      <c r="E19" s="99">
        <v>4290</v>
      </c>
      <c r="F19" s="99">
        <v>7</v>
      </c>
      <c r="G19" s="99">
        <v>2310</v>
      </c>
      <c r="H19" s="99">
        <v>6</v>
      </c>
      <c r="I19" s="99">
        <v>1980</v>
      </c>
      <c r="J19" s="99">
        <v>7</v>
      </c>
      <c r="K19" s="99">
        <v>2310</v>
      </c>
      <c r="L19" s="99">
        <v>10</v>
      </c>
      <c r="M19" s="99">
        <v>3300</v>
      </c>
      <c r="N19" s="99">
        <v>11</v>
      </c>
      <c r="O19" s="99">
        <v>3630</v>
      </c>
      <c r="P19" s="99">
        <v>10</v>
      </c>
      <c r="Q19" s="99">
        <v>3300</v>
      </c>
      <c r="R19" s="99">
        <v>7</v>
      </c>
      <c r="S19" s="99">
        <v>2310</v>
      </c>
      <c r="T19" s="99">
        <v>7</v>
      </c>
      <c r="U19" s="99">
        <v>2310</v>
      </c>
      <c r="V19" s="99">
        <v>9</v>
      </c>
      <c r="W19" s="99">
        <v>2970</v>
      </c>
      <c r="X19" s="99">
        <v>7</v>
      </c>
      <c r="Y19" s="99">
        <v>2310</v>
      </c>
      <c r="Z19" s="99">
        <v>7</v>
      </c>
      <c r="AA19" s="99">
        <v>2310</v>
      </c>
      <c r="AB19" s="99">
        <v>8</v>
      </c>
      <c r="AC19" s="99">
        <v>2640</v>
      </c>
      <c r="AD19" s="99">
        <v>9</v>
      </c>
      <c r="AE19" s="99">
        <v>2970</v>
      </c>
      <c r="AF19" s="99">
        <v>7</v>
      </c>
      <c r="AG19" s="99">
        <v>2310</v>
      </c>
      <c r="AH19" s="99">
        <v>6</v>
      </c>
      <c r="AI19" s="99">
        <v>1980</v>
      </c>
      <c r="AJ19" s="99">
        <v>10</v>
      </c>
      <c r="AK19" s="99">
        <v>3300</v>
      </c>
      <c r="AL19" s="99">
        <v>6</v>
      </c>
      <c r="AM19" s="99">
        <v>1980</v>
      </c>
      <c r="AN19" s="99">
        <v>7</v>
      </c>
      <c r="AO19" s="99">
        <v>2310</v>
      </c>
      <c r="AP19" s="99">
        <v>13</v>
      </c>
      <c r="AQ19" s="99">
        <v>4290</v>
      </c>
      <c r="AR19" s="99">
        <v>9</v>
      </c>
      <c r="AS19" s="99">
        <v>2970</v>
      </c>
      <c r="AT19" s="99">
        <v>14</v>
      </c>
      <c r="AU19" s="99">
        <v>4620</v>
      </c>
      <c r="AV19" s="99">
        <v>12</v>
      </c>
      <c r="AW19" s="99">
        <v>3960</v>
      </c>
      <c r="AX19" s="99">
        <v>9</v>
      </c>
      <c r="AY19" s="99">
        <v>2970</v>
      </c>
      <c r="AZ19" s="99">
        <v>13</v>
      </c>
      <c r="BA19" s="99">
        <v>4290</v>
      </c>
      <c r="BB19" s="99">
        <v>11</v>
      </c>
      <c r="BC19" s="99">
        <v>3630</v>
      </c>
      <c r="BD19" s="99">
        <v>13</v>
      </c>
      <c r="BE19" s="99">
        <v>4290</v>
      </c>
      <c r="BF19" s="99">
        <v>12</v>
      </c>
      <c r="BG19" s="99">
        <v>3960</v>
      </c>
      <c r="BH19" s="99">
        <v>9</v>
      </c>
      <c r="BI19" s="99">
        <v>2970</v>
      </c>
      <c r="BJ19" s="99">
        <v>9</v>
      </c>
      <c r="BK19" s="99">
        <v>2970</v>
      </c>
      <c r="BL19" s="99">
        <v>9</v>
      </c>
      <c r="BM19" s="99">
        <v>2970</v>
      </c>
      <c r="BN19" s="99">
        <v>14</v>
      </c>
      <c r="BO19" s="99">
        <v>4620</v>
      </c>
      <c r="BP19" s="99">
        <v>8</v>
      </c>
      <c r="BQ19" s="99">
        <v>2640</v>
      </c>
      <c r="BR19" s="99">
        <v>10</v>
      </c>
      <c r="BS19" s="99">
        <v>3300</v>
      </c>
      <c r="BT19" s="99">
        <v>9.6457464010236311</v>
      </c>
      <c r="BU19" s="99">
        <v>3183.0963123377983</v>
      </c>
      <c r="BV19" s="99">
        <v>8</v>
      </c>
      <c r="BW19" s="99">
        <v>2640</v>
      </c>
      <c r="BX19" s="99">
        <v>12</v>
      </c>
      <c r="BY19" s="99">
        <v>3960</v>
      </c>
      <c r="BZ19" s="99">
        <v>8.3602474904437951</v>
      </c>
      <c r="CA19" s="99">
        <v>2758.8816718464523</v>
      </c>
      <c r="CB19" s="99">
        <v>9.9814033502425499</v>
      </c>
      <c r="CC19" s="99">
        <v>3293.8631055800415</v>
      </c>
      <c r="CD19" s="99">
        <v>12</v>
      </c>
      <c r="CE19" s="99">
        <v>3960</v>
      </c>
      <c r="CF19" s="99">
        <v>11</v>
      </c>
      <c r="CG19" s="99">
        <v>3630</v>
      </c>
      <c r="CH19" s="99">
        <v>9</v>
      </c>
      <c r="CI19" s="99">
        <v>2970</v>
      </c>
      <c r="CJ19" s="99">
        <v>8</v>
      </c>
      <c r="CK19" s="99">
        <v>2640</v>
      </c>
      <c r="CL19" s="99">
        <v>6.5545108340274556</v>
      </c>
      <c r="CM19" s="99">
        <v>2162.9885752290602</v>
      </c>
      <c r="CN19" s="99">
        <v>11</v>
      </c>
      <c r="CO19" s="99">
        <v>3630</v>
      </c>
      <c r="CP19" s="99">
        <v>8</v>
      </c>
      <c r="CQ19" s="99">
        <v>2640</v>
      </c>
      <c r="CR19" s="99">
        <v>10.350654952135068</v>
      </c>
      <c r="CS19" s="99">
        <v>3415.7161342045724</v>
      </c>
      <c r="CT19" s="99">
        <v>13</v>
      </c>
      <c r="CU19" s="99">
        <v>4290</v>
      </c>
    </row>
    <row r="20" spans="2:99">
      <c r="B20" s="98" t="s">
        <v>127</v>
      </c>
      <c r="C20" s="98" t="s">
        <v>186</v>
      </c>
      <c r="D20" s="99">
        <v>18</v>
      </c>
      <c r="E20" s="99">
        <v>5162.4000000000005</v>
      </c>
      <c r="F20" s="99">
        <v>17</v>
      </c>
      <c r="G20" s="99">
        <v>4875.6000000000004</v>
      </c>
      <c r="H20" s="99">
        <v>25</v>
      </c>
      <c r="I20" s="99">
        <v>7170</v>
      </c>
      <c r="J20" s="99">
        <v>20</v>
      </c>
      <c r="K20" s="99">
        <v>5736</v>
      </c>
      <c r="L20" s="99">
        <v>19</v>
      </c>
      <c r="M20" s="99">
        <v>5449.2</v>
      </c>
      <c r="N20" s="99">
        <v>23</v>
      </c>
      <c r="O20" s="99">
        <v>6596.4000000000005</v>
      </c>
      <c r="P20" s="99">
        <v>14</v>
      </c>
      <c r="Q20" s="99">
        <v>4015.2000000000003</v>
      </c>
      <c r="R20" s="99">
        <v>21</v>
      </c>
      <c r="S20" s="99">
        <v>6022.8</v>
      </c>
      <c r="T20" s="99">
        <v>23</v>
      </c>
      <c r="U20" s="99">
        <v>6596.4000000000005</v>
      </c>
      <c r="V20" s="99">
        <v>18</v>
      </c>
      <c r="W20" s="99">
        <v>5162.4000000000005</v>
      </c>
      <c r="X20" s="99">
        <v>13</v>
      </c>
      <c r="Y20" s="99">
        <v>3728.4</v>
      </c>
      <c r="Z20" s="99">
        <v>13</v>
      </c>
      <c r="AA20" s="99">
        <v>3728.4</v>
      </c>
      <c r="AB20" s="99">
        <v>16</v>
      </c>
      <c r="AC20" s="99">
        <v>4588.8</v>
      </c>
      <c r="AD20" s="99">
        <v>23</v>
      </c>
      <c r="AE20" s="99">
        <v>6596.4000000000005</v>
      </c>
      <c r="AF20" s="99">
        <v>22</v>
      </c>
      <c r="AG20" s="99">
        <v>6309.6</v>
      </c>
      <c r="AH20" s="99">
        <v>20</v>
      </c>
      <c r="AI20" s="99">
        <v>5736</v>
      </c>
      <c r="AJ20" s="99">
        <v>19</v>
      </c>
      <c r="AK20" s="99">
        <v>5449.2</v>
      </c>
      <c r="AL20" s="99">
        <v>21</v>
      </c>
      <c r="AM20" s="99">
        <v>6022.8</v>
      </c>
      <c r="AN20" s="99">
        <v>18</v>
      </c>
      <c r="AO20" s="99">
        <v>5162.4000000000005</v>
      </c>
      <c r="AP20" s="99">
        <v>21</v>
      </c>
      <c r="AQ20" s="99">
        <v>6022.8</v>
      </c>
      <c r="AR20" s="99">
        <v>20</v>
      </c>
      <c r="AS20" s="99">
        <v>5736</v>
      </c>
      <c r="AT20" s="99">
        <v>17</v>
      </c>
      <c r="AU20" s="99">
        <v>4875.6000000000004</v>
      </c>
      <c r="AV20" s="99">
        <v>19</v>
      </c>
      <c r="AW20" s="99">
        <v>5449.2</v>
      </c>
      <c r="AX20" s="99">
        <v>25</v>
      </c>
      <c r="AY20" s="99">
        <v>7170</v>
      </c>
      <c r="AZ20" s="99">
        <v>24</v>
      </c>
      <c r="BA20" s="99">
        <v>6883.2000000000007</v>
      </c>
      <c r="BB20" s="99">
        <v>16</v>
      </c>
      <c r="BC20" s="99">
        <v>4588.8</v>
      </c>
      <c r="BD20" s="99">
        <v>21</v>
      </c>
      <c r="BE20" s="99">
        <v>6022.8</v>
      </c>
      <c r="BF20" s="99">
        <v>18</v>
      </c>
      <c r="BG20" s="99">
        <v>5162.4000000000005</v>
      </c>
      <c r="BH20" s="99">
        <v>19</v>
      </c>
      <c r="BI20" s="99">
        <v>5449.2</v>
      </c>
      <c r="BJ20" s="99">
        <v>17</v>
      </c>
      <c r="BK20" s="99">
        <v>4875.6000000000004</v>
      </c>
      <c r="BL20" s="99">
        <v>20</v>
      </c>
      <c r="BM20" s="99">
        <v>5736</v>
      </c>
      <c r="BN20" s="99">
        <v>22</v>
      </c>
      <c r="BO20" s="99">
        <v>6309.6</v>
      </c>
      <c r="BP20" s="99">
        <v>19</v>
      </c>
      <c r="BQ20" s="99">
        <v>5449.2</v>
      </c>
      <c r="BR20" s="99">
        <v>22</v>
      </c>
      <c r="BS20" s="99">
        <v>6309.6</v>
      </c>
      <c r="BT20" s="99">
        <v>11.399518473937018</v>
      </c>
      <c r="BU20" s="99">
        <v>3269.3818983251367</v>
      </c>
      <c r="BV20" s="99">
        <v>19</v>
      </c>
      <c r="BW20" s="99">
        <v>5449.2</v>
      </c>
      <c r="BX20" s="99">
        <v>16</v>
      </c>
      <c r="BY20" s="99">
        <v>4588.8</v>
      </c>
      <c r="BZ20" s="99">
        <v>16.72049498088759</v>
      </c>
      <c r="CA20" s="99">
        <v>4795.4379605185613</v>
      </c>
      <c r="CB20" s="99">
        <v>14.972105025363824</v>
      </c>
      <c r="CC20" s="99">
        <v>4293.9997212743447</v>
      </c>
      <c r="CD20" s="99">
        <v>15</v>
      </c>
      <c r="CE20" s="99">
        <v>4302</v>
      </c>
      <c r="CF20" s="99">
        <v>14</v>
      </c>
      <c r="CG20" s="99">
        <v>4015.2000000000003</v>
      </c>
      <c r="CH20" s="99">
        <v>15</v>
      </c>
      <c r="CI20" s="99">
        <v>4302</v>
      </c>
      <c r="CJ20" s="99">
        <v>27</v>
      </c>
      <c r="CK20" s="99">
        <v>7743.6</v>
      </c>
      <c r="CL20" s="99">
        <v>14.747649376561773</v>
      </c>
      <c r="CM20" s="99">
        <v>4229.625841197917</v>
      </c>
      <c r="CN20" s="99">
        <v>21</v>
      </c>
      <c r="CO20" s="99">
        <v>6022.8</v>
      </c>
      <c r="CP20" s="99">
        <v>15</v>
      </c>
      <c r="CQ20" s="99">
        <v>4302</v>
      </c>
      <c r="CR20" s="99">
        <v>19.108901450095509</v>
      </c>
      <c r="CS20" s="99">
        <v>5480.432935887392</v>
      </c>
      <c r="CT20" s="99">
        <v>24</v>
      </c>
      <c r="CU20" s="99">
        <v>6883.2000000000007</v>
      </c>
    </row>
    <row r="21" spans="2:99">
      <c r="C21" s="98" t="s">
        <v>187</v>
      </c>
      <c r="D21" s="99">
        <v>17</v>
      </c>
      <c r="E21" s="99">
        <v>1060.8</v>
      </c>
      <c r="F21" s="99">
        <v>20</v>
      </c>
      <c r="G21" s="99">
        <v>1248</v>
      </c>
      <c r="H21" s="99">
        <v>23</v>
      </c>
      <c r="I21" s="99">
        <v>1435.2</v>
      </c>
      <c r="J21" s="99">
        <v>20</v>
      </c>
      <c r="K21" s="99">
        <v>1248</v>
      </c>
      <c r="L21" s="99">
        <v>19</v>
      </c>
      <c r="M21" s="99">
        <v>1185.5999999999999</v>
      </c>
      <c r="N21" s="99">
        <v>22</v>
      </c>
      <c r="O21" s="99">
        <v>1372.8</v>
      </c>
      <c r="P21" s="99">
        <v>16</v>
      </c>
      <c r="Q21" s="99">
        <v>998.4</v>
      </c>
      <c r="R21" s="99">
        <v>20</v>
      </c>
      <c r="S21" s="99">
        <v>1248</v>
      </c>
      <c r="T21" s="99">
        <v>24</v>
      </c>
      <c r="U21" s="99">
        <v>1497.6</v>
      </c>
      <c r="V21" s="99">
        <v>15</v>
      </c>
      <c r="W21" s="99">
        <v>936</v>
      </c>
      <c r="X21" s="99">
        <v>14</v>
      </c>
      <c r="Y21" s="99">
        <v>873.6</v>
      </c>
      <c r="Z21" s="99">
        <v>14</v>
      </c>
      <c r="AA21" s="99">
        <v>873.6</v>
      </c>
      <c r="AB21" s="99">
        <v>17</v>
      </c>
      <c r="AC21" s="99">
        <v>1060.8</v>
      </c>
      <c r="AD21" s="99">
        <v>26</v>
      </c>
      <c r="AE21" s="99">
        <v>1622.3999999999999</v>
      </c>
      <c r="AF21" s="99">
        <v>23</v>
      </c>
      <c r="AG21" s="99">
        <v>1435.2</v>
      </c>
      <c r="AH21" s="99">
        <v>23</v>
      </c>
      <c r="AI21" s="99">
        <v>1435.2</v>
      </c>
      <c r="AJ21" s="99">
        <v>19</v>
      </c>
      <c r="AK21" s="99">
        <v>1185.5999999999999</v>
      </c>
      <c r="AL21" s="99">
        <v>22</v>
      </c>
      <c r="AM21" s="99">
        <v>1372.8</v>
      </c>
      <c r="AN21" s="99">
        <v>16</v>
      </c>
      <c r="AO21" s="99">
        <v>998.4</v>
      </c>
      <c r="AP21" s="99">
        <v>22</v>
      </c>
      <c r="AQ21" s="99">
        <v>1372.8</v>
      </c>
      <c r="AR21" s="99">
        <v>20</v>
      </c>
      <c r="AS21" s="99">
        <v>1248</v>
      </c>
      <c r="AT21" s="99">
        <v>18</v>
      </c>
      <c r="AU21" s="99">
        <v>1123.2</v>
      </c>
      <c r="AV21" s="99">
        <v>17</v>
      </c>
      <c r="AW21" s="99">
        <v>1060.8</v>
      </c>
      <c r="AX21" s="99">
        <v>25</v>
      </c>
      <c r="AY21" s="99">
        <v>1560</v>
      </c>
      <c r="AZ21" s="99">
        <v>23</v>
      </c>
      <c r="BA21" s="99">
        <v>1435.2</v>
      </c>
      <c r="BB21" s="99">
        <v>14</v>
      </c>
      <c r="BC21" s="99">
        <v>873.6</v>
      </c>
      <c r="BD21" s="99">
        <v>21</v>
      </c>
      <c r="BE21" s="99">
        <v>1310.3999999999999</v>
      </c>
      <c r="BF21" s="99">
        <v>19</v>
      </c>
      <c r="BG21" s="99">
        <v>1185.5999999999999</v>
      </c>
      <c r="BH21" s="99">
        <v>21</v>
      </c>
      <c r="BI21" s="99">
        <v>1310.3999999999999</v>
      </c>
      <c r="BJ21" s="99">
        <v>17</v>
      </c>
      <c r="BK21" s="99">
        <v>1060.8</v>
      </c>
      <c r="BL21" s="99">
        <v>22</v>
      </c>
      <c r="BM21" s="99">
        <v>1372.8</v>
      </c>
      <c r="BN21" s="99">
        <v>24</v>
      </c>
      <c r="BO21" s="99">
        <v>1497.6</v>
      </c>
      <c r="BP21" s="99">
        <v>18</v>
      </c>
      <c r="BQ21" s="99">
        <v>1123.2</v>
      </c>
      <c r="BR21" s="99">
        <v>23</v>
      </c>
      <c r="BS21" s="99">
        <v>1435.2</v>
      </c>
      <c r="BT21" s="99">
        <v>12.276404510393711</v>
      </c>
      <c r="BU21" s="99">
        <v>766.04764144856756</v>
      </c>
      <c r="BV21" s="99">
        <v>17</v>
      </c>
      <c r="BW21" s="99">
        <v>1060.8</v>
      </c>
      <c r="BX21" s="99">
        <v>16</v>
      </c>
      <c r="BY21" s="99">
        <v>998.4</v>
      </c>
      <c r="BZ21" s="99">
        <v>14.630433108276641</v>
      </c>
      <c r="CA21" s="99">
        <v>912.93902595646239</v>
      </c>
      <c r="CB21" s="99">
        <v>14.140321412843612</v>
      </c>
      <c r="CC21" s="99">
        <v>882.35605616144142</v>
      </c>
      <c r="CD21" s="99">
        <v>16</v>
      </c>
      <c r="CE21" s="99">
        <v>998.4</v>
      </c>
      <c r="CF21" s="99">
        <v>14</v>
      </c>
      <c r="CG21" s="99">
        <v>873.6</v>
      </c>
      <c r="CH21" s="99">
        <v>15</v>
      </c>
      <c r="CI21" s="99">
        <v>936</v>
      </c>
      <c r="CJ21" s="99">
        <v>24</v>
      </c>
      <c r="CK21" s="99">
        <v>1497.6</v>
      </c>
      <c r="CL21" s="99">
        <v>14.747649376561773</v>
      </c>
      <c r="CM21" s="99">
        <v>920.25332109745466</v>
      </c>
      <c r="CN21" s="99">
        <v>24</v>
      </c>
      <c r="CO21" s="99">
        <v>1497.6</v>
      </c>
      <c r="CP21" s="99">
        <v>14</v>
      </c>
      <c r="CQ21" s="99">
        <v>873.6</v>
      </c>
      <c r="CR21" s="99">
        <v>17.516492995920885</v>
      </c>
      <c r="CS21" s="99">
        <v>1093.0291629454632</v>
      </c>
      <c r="CT21" s="99">
        <v>26</v>
      </c>
      <c r="CU21" s="99">
        <v>1622.3999999999999</v>
      </c>
    </row>
    <row r="22" spans="2:99">
      <c r="C22" s="98" t="s">
        <v>188</v>
      </c>
      <c r="D22" s="99">
        <v>17</v>
      </c>
      <c r="E22" s="99">
        <v>3182.3999999999996</v>
      </c>
      <c r="F22" s="99">
        <v>19</v>
      </c>
      <c r="G22" s="99">
        <v>3556.7999999999997</v>
      </c>
      <c r="H22" s="99">
        <v>25</v>
      </c>
      <c r="I22" s="99">
        <v>4680</v>
      </c>
      <c r="J22" s="99">
        <v>21</v>
      </c>
      <c r="K22" s="99">
        <v>3931.2</v>
      </c>
      <c r="L22" s="99">
        <v>17</v>
      </c>
      <c r="M22" s="99">
        <v>3182.3999999999996</v>
      </c>
      <c r="N22" s="99">
        <v>24</v>
      </c>
      <c r="O22" s="99">
        <v>4492.7999999999993</v>
      </c>
      <c r="P22" s="99">
        <v>15</v>
      </c>
      <c r="Q22" s="99">
        <v>2808</v>
      </c>
      <c r="R22" s="99">
        <v>23</v>
      </c>
      <c r="S22" s="99">
        <v>4305.5999999999995</v>
      </c>
      <c r="T22" s="99">
        <v>24</v>
      </c>
      <c r="U22" s="99">
        <v>4492.7999999999993</v>
      </c>
      <c r="V22" s="99">
        <v>16</v>
      </c>
      <c r="W22" s="99">
        <v>2995.2</v>
      </c>
      <c r="X22" s="99">
        <v>14</v>
      </c>
      <c r="Y22" s="99">
        <v>2620.7999999999997</v>
      </c>
      <c r="Z22" s="99">
        <v>13</v>
      </c>
      <c r="AA22" s="99">
        <v>2433.6</v>
      </c>
      <c r="AB22" s="99">
        <v>15</v>
      </c>
      <c r="AC22" s="99">
        <v>2808</v>
      </c>
      <c r="AD22" s="99">
        <v>26</v>
      </c>
      <c r="AE22" s="99">
        <v>4867.2</v>
      </c>
      <c r="AF22" s="99">
        <v>20</v>
      </c>
      <c r="AG22" s="99">
        <v>3744</v>
      </c>
      <c r="AH22" s="99">
        <v>20</v>
      </c>
      <c r="AI22" s="99">
        <v>3744</v>
      </c>
      <c r="AJ22" s="99">
        <v>18</v>
      </c>
      <c r="AK22" s="99">
        <v>3369.6</v>
      </c>
      <c r="AL22" s="99">
        <v>20</v>
      </c>
      <c r="AM22" s="99">
        <v>3744</v>
      </c>
      <c r="AN22" s="99">
        <v>17</v>
      </c>
      <c r="AO22" s="99">
        <v>3182.3999999999996</v>
      </c>
      <c r="AP22" s="99">
        <v>21</v>
      </c>
      <c r="AQ22" s="99">
        <v>3931.2</v>
      </c>
      <c r="AR22" s="99">
        <v>20</v>
      </c>
      <c r="AS22" s="99">
        <v>3744</v>
      </c>
      <c r="AT22" s="99">
        <v>18</v>
      </c>
      <c r="AU22" s="99">
        <v>3369.6</v>
      </c>
      <c r="AV22" s="99">
        <v>20</v>
      </c>
      <c r="AW22" s="99">
        <v>3744</v>
      </c>
      <c r="AX22" s="99">
        <v>25</v>
      </c>
      <c r="AY22" s="99">
        <v>4680</v>
      </c>
      <c r="AZ22" s="99">
        <v>24</v>
      </c>
      <c r="BA22" s="99">
        <v>4492.7999999999993</v>
      </c>
      <c r="BB22" s="99">
        <v>14</v>
      </c>
      <c r="BC22" s="99">
        <v>2620.7999999999997</v>
      </c>
      <c r="BD22" s="99">
        <v>20</v>
      </c>
      <c r="BE22" s="99">
        <v>3744</v>
      </c>
      <c r="BF22" s="99">
        <v>18</v>
      </c>
      <c r="BG22" s="99">
        <v>3369.6</v>
      </c>
      <c r="BH22" s="99">
        <v>20</v>
      </c>
      <c r="BI22" s="99">
        <v>3744</v>
      </c>
      <c r="BJ22" s="99">
        <v>16</v>
      </c>
      <c r="BK22" s="99">
        <v>2995.2</v>
      </c>
      <c r="BL22" s="99">
        <v>20</v>
      </c>
      <c r="BM22" s="99">
        <v>3744</v>
      </c>
      <c r="BN22" s="99">
        <v>24</v>
      </c>
      <c r="BO22" s="99">
        <v>4492.7999999999993</v>
      </c>
      <c r="BP22" s="99">
        <v>17</v>
      </c>
      <c r="BQ22" s="99">
        <v>3182.3999999999996</v>
      </c>
      <c r="BR22" s="99">
        <v>23</v>
      </c>
      <c r="BS22" s="99">
        <v>4305.5999999999995</v>
      </c>
      <c r="BT22" s="99">
        <v>12.276404510393711</v>
      </c>
      <c r="BU22" s="99">
        <v>2298.1429243457023</v>
      </c>
      <c r="BV22" s="99">
        <v>18</v>
      </c>
      <c r="BW22" s="99">
        <v>3369.6</v>
      </c>
      <c r="BX22" s="99">
        <v>16</v>
      </c>
      <c r="BY22" s="99">
        <v>2995.2</v>
      </c>
      <c r="BZ22" s="99">
        <v>16.023807690017275</v>
      </c>
      <c r="CA22" s="99">
        <v>2999.6567995712335</v>
      </c>
      <c r="CB22" s="99">
        <v>16.635672250404252</v>
      </c>
      <c r="CC22" s="99">
        <v>3114.1978452756757</v>
      </c>
      <c r="CD22" s="99">
        <v>17</v>
      </c>
      <c r="CE22" s="99">
        <v>3182.3999999999996</v>
      </c>
      <c r="CF22" s="99">
        <v>12</v>
      </c>
      <c r="CG22" s="99">
        <v>2246.3999999999996</v>
      </c>
      <c r="CH22" s="99">
        <v>15</v>
      </c>
      <c r="CI22" s="99">
        <v>2808</v>
      </c>
      <c r="CJ22" s="99">
        <v>28</v>
      </c>
      <c r="CK22" s="99">
        <v>5241.5999999999995</v>
      </c>
      <c r="CL22" s="99">
        <v>16.386277085068638</v>
      </c>
      <c r="CM22" s="99">
        <v>3067.5110703248488</v>
      </c>
      <c r="CN22" s="99">
        <v>21</v>
      </c>
      <c r="CO22" s="99">
        <v>3931.2</v>
      </c>
      <c r="CP22" s="99">
        <v>16</v>
      </c>
      <c r="CQ22" s="99">
        <v>2995.2</v>
      </c>
      <c r="CR22" s="99">
        <v>18.3126972230082</v>
      </c>
      <c r="CS22" s="99">
        <v>3428.1369201471348</v>
      </c>
      <c r="CT22" s="99">
        <v>22</v>
      </c>
      <c r="CU22" s="99">
        <v>4118.3999999999996</v>
      </c>
    </row>
    <row r="23" spans="2:99">
      <c r="C23" s="98" t="s">
        <v>189</v>
      </c>
      <c r="D23" s="99">
        <v>18</v>
      </c>
      <c r="E23" s="99">
        <v>5292</v>
      </c>
      <c r="F23" s="99">
        <v>19</v>
      </c>
      <c r="G23" s="99">
        <v>5586</v>
      </c>
      <c r="H23" s="99">
        <v>21</v>
      </c>
      <c r="I23" s="99">
        <v>6174</v>
      </c>
      <c r="J23" s="99">
        <v>21</v>
      </c>
      <c r="K23" s="99">
        <v>6174</v>
      </c>
      <c r="L23" s="99">
        <v>20</v>
      </c>
      <c r="M23" s="99">
        <v>5880</v>
      </c>
      <c r="N23" s="99">
        <v>22</v>
      </c>
      <c r="O23" s="99">
        <v>6468</v>
      </c>
      <c r="P23" s="99">
        <v>17</v>
      </c>
      <c r="Q23" s="99">
        <v>4998</v>
      </c>
      <c r="R23" s="99">
        <v>22</v>
      </c>
      <c r="S23" s="99">
        <v>6468</v>
      </c>
      <c r="T23" s="99">
        <v>25</v>
      </c>
      <c r="U23" s="99">
        <v>7350</v>
      </c>
      <c r="V23" s="99">
        <v>17</v>
      </c>
      <c r="W23" s="99">
        <v>4998</v>
      </c>
      <c r="X23" s="99">
        <v>15</v>
      </c>
      <c r="Y23" s="99">
        <v>4410</v>
      </c>
      <c r="Z23" s="99">
        <v>15</v>
      </c>
      <c r="AA23" s="99">
        <v>4410</v>
      </c>
      <c r="AB23" s="99">
        <v>15</v>
      </c>
      <c r="AC23" s="99">
        <v>4410</v>
      </c>
      <c r="AD23" s="99">
        <v>26</v>
      </c>
      <c r="AE23" s="99">
        <v>7644</v>
      </c>
      <c r="AF23" s="99">
        <v>23</v>
      </c>
      <c r="AG23" s="99">
        <v>6762</v>
      </c>
      <c r="AH23" s="99">
        <v>21</v>
      </c>
      <c r="AI23" s="99">
        <v>6174</v>
      </c>
      <c r="AJ23" s="99">
        <v>19</v>
      </c>
      <c r="AK23" s="99">
        <v>5586</v>
      </c>
      <c r="AL23" s="99">
        <v>20</v>
      </c>
      <c r="AM23" s="99">
        <v>5880</v>
      </c>
      <c r="AN23" s="99">
        <v>16</v>
      </c>
      <c r="AO23" s="99">
        <v>4704</v>
      </c>
      <c r="AP23" s="99">
        <v>21</v>
      </c>
      <c r="AQ23" s="99">
        <v>6174</v>
      </c>
      <c r="AR23" s="99">
        <v>20</v>
      </c>
      <c r="AS23" s="99">
        <v>5880</v>
      </c>
      <c r="AT23" s="99">
        <v>19</v>
      </c>
      <c r="AU23" s="99">
        <v>5586</v>
      </c>
      <c r="AV23" s="99">
        <v>17</v>
      </c>
      <c r="AW23" s="99">
        <v>4998</v>
      </c>
      <c r="AX23" s="99">
        <v>22</v>
      </c>
      <c r="AY23" s="99">
        <v>6468</v>
      </c>
      <c r="AZ23" s="99">
        <v>22</v>
      </c>
      <c r="BA23" s="99">
        <v>6468</v>
      </c>
      <c r="BB23" s="99">
        <v>14</v>
      </c>
      <c r="BC23" s="99">
        <v>4116</v>
      </c>
      <c r="BD23" s="99">
        <v>22</v>
      </c>
      <c r="BE23" s="99">
        <v>6468</v>
      </c>
      <c r="BF23" s="99">
        <v>16</v>
      </c>
      <c r="BG23" s="99">
        <v>4704</v>
      </c>
      <c r="BH23" s="99">
        <v>20</v>
      </c>
      <c r="BI23" s="99">
        <v>5880</v>
      </c>
      <c r="BJ23" s="99">
        <v>16</v>
      </c>
      <c r="BK23" s="99">
        <v>4704</v>
      </c>
      <c r="BL23" s="99">
        <v>19</v>
      </c>
      <c r="BM23" s="99">
        <v>5586</v>
      </c>
      <c r="BN23" s="99">
        <v>22</v>
      </c>
      <c r="BO23" s="99">
        <v>6468</v>
      </c>
      <c r="BP23" s="99">
        <v>20</v>
      </c>
      <c r="BQ23" s="99">
        <v>5880</v>
      </c>
      <c r="BR23" s="99">
        <v>23</v>
      </c>
      <c r="BS23" s="99">
        <v>6762</v>
      </c>
      <c r="BT23" s="99">
        <v>11.399518473937018</v>
      </c>
      <c r="BU23" s="99">
        <v>3351.4584313374835</v>
      </c>
      <c r="BV23" s="99">
        <v>17</v>
      </c>
      <c r="BW23" s="99">
        <v>4998</v>
      </c>
      <c r="BX23" s="99">
        <v>14</v>
      </c>
      <c r="BY23" s="99">
        <v>4116</v>
      </c>
      <c r="BZ23" s="99">
        <v>16.72049498088759</v>
      </c>
      <c r="CA23" s="99">
        <v>4915.8255243809517</v>
      </c>
      <c r="CB23" s="99">
        <v>16.635672250404252</v>
      </c>
      <c r="CC23" s="99">
        <v>4890.8876416188496</v>
      </c>
      <c r="CD23" s="99">
        <v>16</v>
      </c>
      <c r="CE23" s="99">
        <v>4704</v>
      </c>
      <c r="CF23" s="99">
        <v>14</v>
      </c>
      <c r="CG23" s="99">
        <v>4116</v>
      </c>
      <c r="CH23" s="99">
        <v>13</v>
      </c>
      <c r="CI23" s="99">
        <v>3822</v>
      </c>
      <c r="CJ23" s="99">
        <v>26</v>
      </c>
      <c r="CK23" s="99">
        <v>7644</v>
      </c>
      <c r="CL23" s="99">
        <v>14.747649376561773</v>
      </c>
      <c r="CM23" s="99">
        <v>4335.8089167091612</v>
      </c>
      <c r="CN23" s="99">
        <v>21</v>
      </c>
      <c r="CO23" s="99">
        <v>6174</v>
      </c>
      <c r="CP23" s="99">
        <v>14</v>
      </c>
      <c r="CQ23" s="99">
        <v>4116</v>
      </c>
      <c r="CR23" s="99">
        <v>15.924084541746259</v>
      </c>
      <c r="CS23" s="99">
        <v>4681.6808552734001</v>
      </c>
      <c r="CT23" s="99">
        <v>25</v>
      </c>
      <c r="CU23" s="99">
        <v>7350</v>
      </c>
    </row>
    <row r="24" spans="2:99">
      <c r="C24" s="98" t="s">
        <v>190</v>
      </c>
      <c r="D24" s="99">
        <v>19</v>
      </c>
      <c r="E24" s="99">
        <v>6976.8</v>
      </c>
      <c r="F24" s="99">
        <v>17</v>
      </c>
      <c r="G24" s="99">
        <v>6242.4</v>
      </c>
      <c r="H24" s="99">
        <v>24</v>
      </c>
      <c r="I24" s="99">
        <v>8812.7999999999993</v>
      </c>
      <c r="J24" s="99">
        <v>21</v>
      </c>
      <c r="K24" s="99">
        <v>7711.2</v>
      </c>
      <c r="L24" s="99">
        <v>18</v>
      </c>
      <c r="M24" s="99">
        <v>6609.5999999999995</v>
      </c>
      <c r="N24" s="99">
        <v>21</v>
      </c>
      <c r="O24" s="99">
        <v>7711.2</v>
      </c>
      <c r="P24" s="99">
        <v>16</v>
      </c>
      <c r="Q24" s="99">
        <v>5875.2</v>
      </c>
      <c r="R24" s="99">
        <v>23</v>
      </c>
      <c r="S24" s="99">
        <v>8445.6</v>
      </c>
      <c r="T24" s="99">
        <v>24</v>
      </c>
      <c r="U24" s="99">
        <v>8812.7999999999993</v>
      </c>
      <c r="V24" s="99">
        <v>17</v>
      </c>
      <c r="W24" s="99">
        <v>6242.4</v>
      </c>
      <c r="X24" s="99">
        <v>15</v>
      </c>
      <c r="Y24" s="99">
        <v>5508</v>
      </c>
      <c r="Z24" s="99">
        <v>14</v>
      </c>
      <c r="AA24" s="99">
        <v>5140.8</v>
      </c>
      <c r="AB24" s="99">
        <v>15</v>
      </c>
      <c r="AC24" s="99">
        <v>5508</v>
      </c>
      <c r="AD24" s="99">
        <v>23</v>
      </c>
      <c r="AE24" s="99">
        <v>8445.6</v>
      </c>
      <c r="AF24" s="99">
        <v>20</v>
      </c>
      <c r="AG24" s="99">
        <v>7344</v>
      </c>
      <c r="AH24" s="99">
        <v>19</v>
      </c>
      <c r="AI24" s="99">
        <v>6976.8</v>
      </c>
      <c r="AJ24" s="99">
        <v>20</v>
      </c>
      <c r="AK24" s="99">
        <v>7344</v>
      </c>
      <c r="AL24" s="99">
        <v>20</v>
      </c>
      <c r="AM24" s="99">
        <v>7344</v>
      </c>
      <c r="AN24" s="99">
        <v>17</v>
      </c>
      <c r="AO24" s="99">
        <v>6242.4</v>
      </c>
      <c r="AP24" s="99">
        <v>19</v>
      </c>
      <c r="AQ24" s="99">
        <v>6976.8</v>
      </c>
      <c r="AR24" s="99">
        <v>17</v>
      </c>
      <c r="AS24" s="99">
        <v>6242.4</v>
      </c>
      <c r="AT24" s="99">
        <v>17</v>
      </c>
      <c r="AU24" s="99">
        <v>6242.4</v>
      </c>
      <c r="AV24" s="99">
        <v>18</v>
      </c>
      <c r="AW24" s="99">
        <v>6609.5999999999995</v>
      </c>
      <c r="AX24" s="99">
        <v>22</v>
      </c>
      <c r="AY24" s="99">
        <v>8078.4</v>
      </c>
      <c r="AZ24" s="99">
        <v>22</v>
      </c>
      <c r="BA24" s="99">
        <v>8078.4</v>
      </c>
      <c r="BB24" s="99">
        <v>14</v>
      </c>
      <c r="BC24" s="99">
        <v>5140.8</v>
      </c>
      <c r="BD24" s="99">
        <v>22</v>
      </c>
      <c r="BE24" s="99">
        <v>8078.4</v>
      </c>
      <c r="BF24" s="99">
        <v>18</v>
      </c>
      <c r="BG24" s="99">
        <v>6609.5999999999995</v>
      </c>
      <c r="BH24" s="99">
        <v>17</v>
      </c>
      <c r="BI24" s="99">
        <v>6242.4</v>
      </c>
      <c r="BJ24" s="99">
        <v>15</v>
      </c>
      <c r="BK24" s="99">
        <v>5508</v>
      </c>
      <c r="BL24" s="99">
        <v>20</v>
      </c>
      <c r="BM24" s="99">
        <v>7344</v>
      </c>
      <c r="BN24" s="99">
        <v>24</v>
      </c>
      <c r="BO24" s="99">
        <v>8812.7999999999993</v>
      </c>
      <c r="BP24" s="99">
        <v>17</v>
      </c>
      <c r="BQ24" s="99">
        <v>6242.4</v>
      </c>
      <c r="BR24" s="99">
        <v>22</v>
      </c>
      <c r="BS24" s="99">
        <v>8078.4</v>
      </c>
      <c r="BT24" s="99">
        <v>12.276404510393711</v>
      </c>
      <c r="BU24" s="99">
        <v>4507.8957362165702</v>
      </c>
      <c r="BV24" s="99">
        <v>17</v>
      </c>
      <c r="BW24" s="99">
        <v>6242.4</v>
      </c>
      <c r="BX24" s="99">
        <v>16</v>
      </c>
      <c r="BY24" s="99">
        <v>5875.2</v>
      </c>
      <c r="BZ24" s="99">
        <v>13.933745817406324</v>
      </c>
      <c r="CA24" s="99">
        <v>5116.471464151602</v>
      </c>
      <c r="CB24" s="99">
        <v>16.635672250404252</v>
      </c>
      <c r="CC24" s="99">
        <v>6108.6188503484409</v>
      </c>
      <c r="CD24" s="99">
        <v>14</v>
      </c>
      <c r="CE24" s="99">
        <v>5140.8</v>
      </c>
      <c r="CF24" s="99">
        <v>13</v>
      </c>
      <c r="CG24" s="99">
        <v>4773.5999999999995</v>
      </c>
      <c r="CH24" s="99">
        <v>14</v>
      </c>
      <c r="CI24" s="99">
        <v>5140.8</v>
      </c>
      <c r="CJ24" s="99">
        <v>28</v>
      </c>
      <c r="CK24" s="99">
        <v>10281.6</v>
      </c>
      <c r="CL24" s="99">
        <v>13.928335522308343</v>
      </c>
      <c r="CM24" s="99">
        <v>5114.4848037916236</v>
      </c>
      <c r="CN24" s="99">
        <v>22</v>
      </c>
      <c r="CO24" s="99">
        <v>8078.4</v>
      </c>
      <c r="CP24" s="99">
        <v>14</v>
      </c>
      <c r="CQ24" s="99">
        <v>5140.8</v>
      </c>
      <c r="CR24" s="99">
        <v>17.516492995920885</v>
      </c>
      <c r="CS24" s="99">
        <v>6432.0562281021485</v>
      </c>
      <c r="CT24" s="99">
        <v>22</v>
      </c>
      <c r="CU24" s="99">
        <v>8078.4</v>
      </c>
    </row>
    <row r="25" spans="2:99">
      <c r="C25" s="98" t="s">
        <v>191</v>
      </c>
      <c r="D25" s="99">
        <v>18</v>
      </c>
      <c r="E25" s="99">
        <v>9547.1999999999989</v>
      </c>
      <c r="F25" s="99">
        <v>18</v>
      </c>
      <c r="G25" s="99">
        <v>9547.1999999999989</v>
      </c>
      <c r="H25" s="99">
        <v>23</v>
      </c>
      <c r="I25" s="99">
        <v>12199.199999999999</v>
      </c>
      <c r="J25" s="99">
        <v>20</v>
      </c>
      <c r="K25" s="99">
        <v>10608</v>
      </c>
      <c r="L25" s="99">
        <v>18</v>
      </c>
      <c r="M25" s="99">
        <v>9547.1999999999989</v>
      </c>
      <c r="N25" s="99">
        <v>23</v>
      </c>
      <c r="O25" s="99">
        <v>12199.199999999999</v>
      </c>
      <c r="P25" s="99">
        <v>14</v>
      </c>
      <c r="Q25" s="99">
        <v>7425.5999999999995</v>
      </c>
      <c r="R25" s="99">
        <v>23</v>
      </c>
      <c r="S25" s="99">
        <v>12199.199999999999</v>
      </c>
      <c r="T25" s="99">
        <v>20</v>
      </c>
      <c r="U25" s="99">
        <v>10608</v>
      </c>
      <c r="V25" s="99">
        <v>18</v>
      </c>
      <c r="W25" s="99">
        <v>9547.1999999999989</v>
      </c>
      <c r="X25" s="99">
        <v>13</v>
      </c>
      <c r="Y25" s="99">
        <v>6895.2</v>
      </c>
      <c r="Z25" s="99">
        <v>13</v>
      </c>
      <c r="AA25" s="99">
        <v>6895.2</v>
      </c>
      <c r="AB25" s="99">
        <v>15</v>
      </c>
      <c r="AC25" s="99">
        <v>7956</v>
      </c>
      <c r="AD25" s="99">
        <v>21</v>
      </c>
      <c r="AE25" s="99">
        <v>11138.4</v>
      </c>
      <c r="AF25" s="99">
        <v>19</v>
      </c>
      <c r="AG25" s="99">
        <v>10077.6</v>
      </c>
      <c r="AH25" s="99">
        <v>22</v>
      </c>
      <c r="AI25" s="99">
        <v>11668.8</v>
      </c>
      <c r="AJ25" s="99">
        <v>19</v>
      </c>
      <c r="AK25" s="99">
        <v>10077.6</v>
      </c>
      <c r="AL25" s="99">
        <v>22</v>
      </c>
      <c r="AM25" s="99">
        <v>11668.8</v>
      </c>
      <c r="AN25" s="99">
        <v>17</v>
      </c>
      <c r="AO25" s="99">
        <v>9016.7999999999993</v>
      </c>
      <c r="AP25" s="99">
        <v>22</v>
      </c>
      <c r="AQ25" s="99">
        <v>11668.8</v>
      </c>
      <c r="AR25" s="99">
        <v>19</v>
      </c>
      <c r="AS25" s="99">
        <v>10077.6</v>
      </c>
      <c r="AT25" s="99">
        <v>19</v>
      </c>
      <c r="AU25" s="99">
        <v>10077.6</v>
      </c>
      <c r="AV25" s="99">
        <v>17</v>
      </c>
      <c r="AW25" s="99">
        <v>9016.7999999999993</v>
      </c>
      <c r="AX25" s="99">
        <v>23</v>
      </c>
      <c r="AY25" s="99">
        <v>12199.199999999999</v>
      </c>
      <c r="AZ25" s="99">
        <v>23</v>
      </c>
      <c r="BA25" s="99">
        <v>12199.199999999999</v>
      </c>
      <c r="BB25" s="99">
        <v>14</v>
      </c>
      <c r="BC25" s="99">
        <v>7425.5999999999995</v>
      </c>
      <c r="BD25" s="99">
        <v>21</v>
      </c>
      <c r="BE25" s="99">
        <v>11138.4</v>
      </c>
      <c r="BF25" s="99">
        <v>18</v>
      </c>
      <c r="BG25" s="99">
        <v>9547.1999999999989</v>
      </c>
      <c r="BH25" s="99">
        <v>17</v>
      </c>
      <c r="BI25" s="99">
        <v>9016.7999999999993</v>
      </c>
      <c r="BJ25" s="99">
        <v>15</v>
      </c>
      <c r="BK25" s="99">
        <v>7956</v>
      </c>
      <c r="BL25" s="99">
        <v>21</v>
      </c>
      <c r="BM25" s="99">
        <v>11138.4</v>
      </c>
      <c r="BN25" s="99">
        <v>26</v>
      </c>
      <c r="BO25" s="99">
        <v>13790.4</v>
      </c>
      <c r="BP25" s="99">
        <v>17</v>
      </c>
      <c r="BQ25" s="99">
        <v>9016.7999999999993</v>
      </c>
      <c r="BR25" s="99">
        <v>21</v>
      </c>
      <c r="BS25" s="99">
        <v>11138.4</v>
      </c>
      <c r="BT25" s="99">
        <v>10.522632437480324</v>
      </c>
      <c r="BU25" s="99">
        <v>5581.2042448395632</v>
      </c>
      <c r="BV25" s="99">
        <v>16</v>
      </c>
      <c r="BW25" s="99">
        <v>8486.4</v>
      </c>
      <c r="BX25" s="99">
        <v>14</v>
      </c>
      <c r="BY25" s="99">
        <v>7425.5999999999995</v>
      </c>
      <c r="BZ25" s="99">
        <v>16.023807690017275</v>
      </c>
      <c r="CA25" s="99">
        <v>8499.0275987851619</v>
      </c>
      <c r="CB25" s="99">
        <v>16.635672250404252</v>
      </c>
      <c r="CC25" s="99">
        <v>8823.5605616144148</v>
      </c>
      <c r="CD25" s="99">
        <v>14</v>
      </c>
      <c r="CE25" s="99">
        <v>7425.5999999999995</v>
      </c>
      <c r="CF25" s="99">
        <v>12</v>
      </c>
      <c r="CG25" s="99">
        <v>6364.7999999999993</v>
      </c>
      <c r="CH25" s="99">
        <v>14</v>
      </c>
      <c r="CI25" s="99">
        <v>7425.5999999999995</v>
      </c>
      <c r="CJ25" s="99">
        <v>26</v>
      </c>
      <c r="CK25" s="99">
        <v>13790.4</v>
      </c>
      <c r="CL25" s="99">
        <v>15.566963230815206</v>
      </c>
      <c r="CM25" s="99">
        <v>8256.7172976243855</v>
      </c>
      <c r="CN25" s="99">
        <v>24</v>
      </c>
      <c r="CO25" s="99">
        <v>12729.599999999999</v>
      </c>
      <c r="CP25" s="99">
        <v>16</v>
      </c>
      <c r="CQ25" s="99">
        <v>8486.4</v>
      </c>
      <c r="CR25" s="99">
        <v>17.516492995920885</v>
      </c>
      <c r="CS25" s="99">
        <v>9290.7478850364369</v>
      </c>
      <c r="CT25" s="99">
        <v>24</v>
      </c>
      <c r="CU25" s="99">
        <v>12729.599999999999</v>
      </c>
    </row>
    <row r="26" spans="2:99">
      <c r="C26" s="98" t="s">
        <v>192</v>
      </c>
      <c r="D26" s="99">
        <v>18</v>
      </c>
      <c r="E26" s="99">
        <v>8748</v>
      </c>
      <c r="F26" s="99">
        <v>19</v>
      </c>
      <c r="G26" s="99">
        <v>9234</v>
      </c>
      <c r="H26" s="99">
        <v>25</v>
      </c>
      <c r="I26" s="99">
        <v>12150</v>
      </c>
      <c r="J26" s="99">
        <v>18</v>
      </c>
      <c r="K26" s="99">
        <v>8748</v>
      </c>
      <c r="L26" s="99">
        <v>18</v>
      </c>
      <c r="M26" s="99">
        <v>8748</v>
      </c>
      <c r="N26" s="99">
        <v>25</v>
      </c>
      <c r="O26" s="99">
        <v>12150</v>
      </c>
      <c r="P26" s="99">
        <v>16</v>
      </c>
      <c r="Q26" s="99">
        <v>7776</v>
      </c>
      <c r="R26" s="99">
        <v>23</v>
      </c>
      <c r="S26" s="99">
        <v>11178</v>
      </c>
      <c r="T26" s="99">
        <v>24</v>
      </c>
      <c r="U26" s="99">
        <v>11664</v>
      </c>
      <c r="V26" s="99">
        <v>18</v>
      </c>
      <c r="W26" s="99">
        <v>8748</v>
      </c>
      <c r="X26" s="99">
        <v>14</v>
      </c>
      <c r="Y26" s="99">
        <v>6804</v>
      </c>
      <c r="Z26" s="99">
        <v>14</v>
      </c>
      <c r="AA26" s="99">
        <v>6804</v>
      </c>
      <c r="AB26" s="99">
        <v>16</v>
      </c>
      <c r="AC26" s="99">
        <v>7776</v>
      </c>
      <c r="AD26" s="99">
        <v>24</v>
      </c>
      <c r="AE26" s="99">
        <v>11664</v>
      </c>
      <c r="AF26" s="99">
        <v>19</v>
      </c>
      <c r="AG26" s="99">
        <v>9234</v>
      </c>
      <c r="AH26" s="99">
        <v>23</v>
      </c>
      <c r="AI26" s="99">
        <v>11178</v>
      </c>
      <c r="AJ26" s="99">
        <v>19</v>
      </c>
      <c r="AK26" s="99">
        <v>9234</v>
      </c>
      <c r="AL26" s="99">
        <v>22</v>
      </c>
      <c r="AM26" s="99">
        <v>10692</v>
      </c>
      <c r="AN26" s="99">
        <v>16</v>
      </c>
      <c r="AO26" s="99">
        <v>7776</v>
      </c>
      <c r="AP26" s="99">
        <v>22</v>
      </c>
      <c r="AQ26" s="99">
        <v>10692</v>
      </c>
      <c r="AR26" s="99">
        <v>18</v>
      </c>
      <c r="AS26" s="99">
        <v>8748</v>
      </c>
      <c r="AT26" s="99">
        <v>18</v>
      </c>
      <c r="AU26" s="99">
        <v>8748</v>
      </c>
      <c r="AV26" s="99">
        <v>20</v>
      </c>
      <c r="AW26" s="99">
        <v>9720</v>
      </c>
      <c r="AX26" s="99">
        <v>22</v>
      </c>
      <c r="AY26" s="99">
        <v>10692</v>
      </c>
      <c r="AZ26" s="99">
        <v>22</v>
      </c>
      <c r="BA26" s="99">
        <v>10692</v>
      </c>
      <c r="BB26" s="99">
        <v>15</v>
      </c>
      <c r="BC26" s="99">
        <v>7290</v>
      </c>
      <c r="BD26" s="99">
        <v>21</v>
      </c>
      <c r="BE26" s="99">
        <v>10206</v>
      </c>
      <c r="BF26" s="99">
        <v>16</v>
      </c>
      <c r="BG26" s="99">
        <v>7776</v>
      </c>
      <c r="BH26" s="99">
        <v>19</v>
      </c>
      <c r="BI26" s="99">
        <v>9234</v>
      </c>
      <c r="BJ26" s="99">
        <v>14</v>
      </c>
      <c r="BK26" s="99">
        <v>6804</v>
      </c>
      <c r="BL26" s="99">
        <v>20</v>
      </c>
      <c r="BM26" s="99">
        <v>9720</v>
      </c>
      <c r="BN26" s="99">
        <v>22</v>
      </c>
      <c r="BO26" s="99">
        <v>10692</v>
      </c>
      <c r="BP26" s="99">
        <v>18</v>
      </c>
      <c r="BQ26" s="99">
        <v>8748</v>
      </c>
      <c r="BR26" s="99">
        <v>22</v>
      </c>
      <c r="BS26" s="99">
        <v>10692</v>
      </c>
      <c r="BT26" s="99">
        <v>12.276404510393711</v>
      </c>
      <c r="BU26" s="99">
        <v>5966.3325920513435</v>
      </c>
      <c r="BV26" s="99">
        <v>19</v>
      </c>
      <c r="BW26" s="99">
        <v>9234</v>
      </c>
      <c r="BX26" s="99">
        <v>15</v>
      </c>
      <c r="BY26" s="99">
        <v>7290</v>
      </c>
      <c r="BZ26" s="99">
        <v>14.630433108276641</v>
      </c>
      <c r="CA26" s="99">
        <v>7110.3904906224479</v>
      </c>
      <c r="CB26" s="99">
        <v>15.803888637884036</v>
      </c>
      <c r="CC26" s="99">
        <v>7680.6898780116417</v>
      </c>
      <c r="CD26" s="99">
        <v>14</v>
      </c>
      <c r="CE26" s="99">
        <v>6804</v>
      </c>
      <c r="CF26" s="99">
        <v>14</v>
      </c>
      <c r="CG26" s="99">
        <v>6804</v>
      </c>
      <c r="CH26" s="99">
        <v>14</v>
      </c>
      <c r="CI26" s="99">
        <v>6804</v>
      </c>
      <c r="CJ26" s="99">
        <v>25</v>
      </c>
      <c r="CK26" s="99">
        <v>12150</v>
      </c>
      <c r="CL26" s="99">
        <v>13.928335522308343</v>
      </c>
      <c r="CM26" s="99">
        <v>6769.1710638418544</v>
      </c>
      <c r="CN26" s="99">
        <v>22</v>
      </c>
      <c r="CO26" s="99">
        <v>10692</v>
      </c>
      <c r="CP26" s="99">
        <v>16</v>
      </c>
      <c r="CQ26" s="99">
        <v>7776</v>
      </c>
      <c r="CR26" s="99">
        <v>18.3126972230082</v>
      </c>
      <c r="CS26" s="99">
        <v>8899.9708503819857</v>
      </c>
      <c r="CT26" s="99">
        <v>22</v>
      </c>
      <c r="CU26" s="99">
        <v>10692</v>
      </c>
    </row>
    <row r="27" spans="2:99">
      <c r="C27" s="98" t="s">
        <v>193</v>
      </c>
      <c r="D27" s="99">
        <v>20</v>
      </c>
      <c r="E27" s="99">
        <v>8544</v>
      </c>
      <c r="F27" s="99">
        <v>17</v>
      </c>
      <c r="G27" s="99">
        <v>7262.4</v>
      </c>
      <c r="H27" s="99">
        <v>21</v>
      </c>
      <c r="I27" s="99">
        <v>8971.1999999999989</v>
      </c>
      <c r="J27" s="99">
        <v>21</v>
      </c>
      <c r="K27" s="99">
        <v>8971.1999999999989</v>
      </c>
      <c r="L27" s="99">
        <v>18</v>
      </c>
      <c r="M27" s="99">
        <v>7689.5999999999995</v>
      </c>
      <c r="N27" s="99">
        <v>20</v>
      </c>
      <c r="O27" s="99">
        <v>8544</v>
      </c>
      <c r="P27" s="99">
        <v>16</v>
      </c>
      <c r="Q27" s="99">
        <v>6835.2</v>
      </c>
      <c r="R27" s="99">
        <v>23</v>
      </c>
      <c r="S27" s="99">
        <v>9825.6</v>
      </c>
      <c r="T27" s="99">
        <v>24</v>
      </c>
      <c r="U27" s="99">
        <v>10252.799999999999</v>
      </c>
      <c r="V27" s="99">
        <v>17</v>
      </c>
      <c r="W27" s="99">
        <v>7262.4</v>
      </c>
      <c r="X27" s="99">
        <v>15</v>
      </c>
      <c r="Y27" s="99">
        <v>6408</v>
      </c>
      <c r="Z27" s="99">
        <v>14</v>
      </c>
      <c r="AA27" s="99">
        <v>5980.8</v>
      </c>
      <c r="AB27" s="99">
        <v>15</v>
      </c>
      <c r="AC27" s="99">
        <v>6408</v>
      </c>
      <c r="AD27" s="99">
        <v>24</v>
      </c>
      <c r="AE27" s="99">
        <v>10252.799999999999</v>
      </c>
      <c r="AF27" s="99">
        <v>20</v>
      </c>
      <c r="AG27" s="99">
        <v>8544</v>
      </c>
      <c r="AH27" s="99">
        <v>20</v>
      </c>
      <c r="AI27" s="99">
        <v>8544</v>
      </c>
      <c r="AJ27" s="99">
        <v>18</v>
      </c>
      <c r="AK27" s="99">
        <v>7689.5999999999995</v>
      </c>
      <c r="AL27" s="99">
        <v>21</v>
      </c>
      <c r="AM27" s="99">
        <v>8971.1999999999989</v>
      </c>
      <c r="AN27" s="99">
        <v>16</v>
      </c>
      <c r="AO27" s="99">
        <v>6835.2</v>
      </c>
      <c r="AP27" s="99">
        <v>19</v>
      </c>
      <c r="AQ27" s="99">
        <v>8116.8</v>
      </c>
      <c r="AR27" s="99">
        <v>20</v>
      </c>
      <c r="AS27" s="99">
        <v>8544</v>
      </c>
      <c r="AT27" s="99">
        <v>18</v>
      </c>
      <c r="AU27" s="99">
        <v>7689.5999999999995</v>
      </c>
      <c r="AV27" s="99">
        <v>19</v>
      </c>
      <c r="AW27" s="99">
        <v>8116.8</v>
      </c>
      <c r="AX27" s="99">
        <v>24</v>
      </c>
      <c r="AY27" s="99">
        <v>10252.799999999999</v>
      </c>
      <c r="AZ27" s="99">
        <v>23</v>
      </c>
      <c r="BA27" s="99">
        <v>9825.6</v>
      </c>
      <c r="BB27" s="99">
        <v>15</v>
      </c>
      <c r="BC27" s="99">
        <v>6408</v>
      </c>
      <c r="BD27" s="99">
        <v>21</v>
      </c>
      <c r="BE27" s="99">
        <v>8971.1999999999989</v>
      </c>
      <c r="BF27" s="99">
        <v>18</v>
      </c>
      <c r="BG27" s="99">
        <v>7689.5999999999995</v>
      </c>
      <c r="BH27" s="99">
        <v>18</v>
      </c>
      <c r="BI27" s="99">
        <v>7689.5999999999995</v>
      </c>
      <c r="BJ27" s="99">
        <v>17</v>
      </c>
      <c r="BK27" s="99">
        <v>7262.4</v>
      </c>
      <c r="BL27" s="99">
        <v>21</v>
      </c>
      <c r="BM27" s="99">
        <v>8971.1999999999989</v>
      </c>
      <c r="BN27" s="99">
        <v>26</v>
      </c>
      <c r="BO27" s="99">
        <v>11107.199999999999</v>
      </c>
      <c r="BP27" s="99">
        <v>17</v>
      </c>
      <c r="BQ27" s="99">
        <v>7262.4</v>
      </c>
      <c r="BR27" s="99">
        <v>21</v>
      </c>
      <c r="BS27" s="99">
        <v>8971.1999999999989</v>
      </c>
      <c r="BT27" s="99">
        <v>13.153290546850405</v>
      </c>
      <c r="BU27" s="99">
        <v>5619.0857216144932</v>
      </c>
      <c r="BV27" s="99">
        <v>19</v>
      </c>
      <c r="BW27" s="99">
        <v>8116.8</v>
      </c>
      <c r="BX27" s="99">
        <v>16</v>
      </c>
      <c r="BY27" s="99">
        <v>6835.2</v>
      </c>
      <c r="BZ27" s="99">
        <v>14.630433108276641</v>
      </c>
      <c r="CA27" s="99">
        <v>6250.1210238557805</v>
      </c>
      <c r="CB27" s="99">
        <v>14.972105025363824</v>
      </c>
      <c r="CC27" s="99">
        <v>6396.0832668354251</v>
      </c>
      <c r="CD27" s="99">
        <v>14</v>
      </c>
      <c r="CE27" s="99">
        <v>5980.8</v>
      </c>
      <c r="CF27" s="99">
        <v>14</v>
      </c>
      <c r="CG27" s="99">
        <v>5980.8</v>
      </c>
      <c r="CH27" s="99">
        <v>13</v>
      </c>
      <c r="CI27" s="99">
        <v>5553.5999999999995</v>
      </c>
      <c r="CJ27" s="99">
        <v>25</v>
      </c>
      <c r="CK27" s="99">
        <v>10680</v>
      </c>
      <c r="CL27" s="99">
        <v>14.747649376561773</v>
      </c>
      <c r="CM27" s="99">
        <v>6300.1958136671892</v>
      </c>
      <c r="CN27" s="99">
        <v>25</v>
      </c>
      <c r="CO27" s="99">
        <v>10680</v>
      </c>
      <c r="CP27" s="99">
        <v>15</v>
      </c>
      <c r="CQ27" s="99">
        <v>6408</v>
      </c>
      <c r="CR27" s="99">
        <v>17.516492995920885</v>
      </c>
      <c r="CS27" s="99">
        <v>7483.045807857402</v>
      </c>
      <c r="CT27" s="99">
        <v>23</v>
      </c>
      <c r="CU27" s="99">
        <v>9825.6</v>
      </c>
    </row>
    <row r="28" spans="2:99">
      <c r="C28" s="98" t="s">
        <v>194</v>
      </c>
      <c r="D28" s="99">
        <v>17</v>
      </c>
      <c r="E28" s="99">
        <v>12546</v>
      </c>
      <c r="F28" s="99">
        <v>18</v>
      </c>
      <c r="G28" s="99">
        <v>13284</v>
      </c>
      <c r="H28" s="99">
        <v>23</v>
      </c>
      <c r="I28" s="99">
        <v>16974</v>
      </c>
      <c r="J28" s="99">
        <v>22</v>
      </c>
      <c r="K28" s="99">
        <v>16236</v>
      </c>
      <c r="L28" s="99">
        <v>17</v>
      </c>
      <c r="M28" s="99">
        <v>12546</v>
      </c>
      <c r="N28" s="99">
        <v>22</v>
      </c>
      <c r="O28" s="99">
        <v>16236</v>
      </c>
      <c r="P28" s="99">
        <v>16</v>
      </c>
      <c r="Q28" s="99">
        <v>11808</v>
      </c>
      <c r="R28" s="99">
        <v>20</v>
      </c>
      <c r="S28" s="99">
        <v>14760</v>
      </c>
      <c r="T28" s="99">
        <v>21</v>
      </c>
      <c r="U28" s="99">
        <v>15498</v>
      </c>
      <c r="V28" s="99">
        <v>15</v>
      </c>
      <c r="W28" s="99">
        <v>11070</v>
      </c>
      <c r="X28" s="99">
        <v>13</v>
      </c>
      <c r="Y28" s="99">
        <v>9594</v>
      </c>
      <c r="Z28" s="99">
        <v>14</v>
      </c>
      <c r="AA28" s="99">
        <v>10332</v>
      </c>
      <c r="AB28" s="99">
        <v>14</v>
      </c>
      <c r="AC28" s="99">
        <v>10332</v>
      </c>
      <c r="AD28" s="99">
        <v>22</v>
      </c>
      <c r="AE28" s="99">
        <v>16236</v>
      </c>
      <c r="AF28" s="99">
        <v>22</v>
      </c>
      <c r="AG28" s="99">
        <v>16236</v>
      </c>
      <c r="AH28" s="99">
        <v>22</v>
      </c>
      <c r="AI28" s="99">
        <v>16236</v>
      </c>
      <c r="AJ28" s="99">
        <v>18</v>
      </c>
      <c r="AK28" s="99">
        <v>13284</v>
      </c>
      <c r="AL28" s="99">
        <v>19</v>
      </c>
      <c r="AM28" s="99">
        <v>14022</v>
      </c>
      <c r="AN28" s="99">
        <v>18</v>
      </c>
      <c r="AO28" s="99">
        <v>13284</v>
      </c>
      <c r="AP28" s="99">
        <v>20</v>
      </c>
      <c r="AQ28" s="99">
        <v>14760</v>
      </c>
      <c r="AR28" s="99">
        <v>17</v>
      </c>
      <c r="AS28" s="99">
        <v>12546</v>
      </c>
      <c r="AT28" s="99">
        <v>17</v>
      </c>
      <c r="AU28" s="99">
        <v>12546</v>
      </c>
      <c r="AV28" s="99">
        <v>19</v>
      </c>
      <c r="AW28" s="99">
        <v>14022</v>
      </c>
      <c r="AX28" s="99">
        <v>24</v>
      </c>
      <c r="AY28" s="99">
        <v>17712</v>
      </c>
      <c r="AZ28" s="99">
        <v>21</v>
      </c>
      <c r="BA28" s="99">
        <v>15498</v>
      </c>
      <c r="BB28" s="99">
        <v>15</v>
      </c>
      <c r="BC28" s="99">
        <v>11070</v>
      </c>
      <c r="BD28" s="99">
        <v>22</v>
      </c>
      <c r="BE28" s="99">
        <v>16236</v>
      </c>
      <c r="BF28" s="99">
        <v>16</v>
      </c>
      <c r="BG28" s="99">
        <v>11808</v>
      </c>
      <c r="BH28" s="99">
        <v>17</v>
      </c>
      <c r="BI28" s="99">
        <v>12546</v>
      </c>
      <c r="BJ28" s="99">
        <v>17</v>
      </c>
      <c r="BK28" s="99">
        <v>12546</v>
      </c>
      <c r="BL28" s="99">
        <v>20</v>
      </c>
      <c r="BM28" s="99">
        <v>14760</v>
      </c>
      <c r="BN28" s="99">
        <v>25</v>
      </c>
      <c r="BO28" s="99">
        <v>18450</v>
      </c>
      <c r="BP28" s="99">
        <v>18</v>
      </c>
      <c r="BQ28" s="99">
        <v>13284</v>
      </c>
      <c r="BR28" s="99">
        <v>22</v>
      </c>
      <c r="BS28" s="99">
        <v>16236</v>
      </c>
      <c r="BT28" s="99">
        <v>13.153290546850405</v>
      </c>
      <c r="BU28" s="99">
        <v>9707.1284235755993</v>
      </c>
      <c r="BV28" s="99">
        <v>16</v>
      </c>
      <c r="BW28" s="99">
        <v>11808</v>
      </c>
      <c r="BX28" s="99">
        <v>14</v>
      </c>
      <c r="BY28" s="99">
        <v>10332</v>
      </c>
      <c r="BZ28" s="99">
        <v>14.630433108276641</v>
      </c>
      <c r="CA28" s="99">
        <v>10797.259633908161</v>
      </c>
      <c r="CB28" s="99">
        <v>16.635672250404252</v>
      </c>
      <c r="CC28" s="99">
        <v>12277.126120798337</v>
      </c>
      <c r="CD28" s="99">
        <v>14</v>
      </c>
      <c r="CE28" s="99">
        <v>10332</v>
      </c>
      <c r="CF28" s="99">
        <v>12</v>
      </c>
      <c r="CG28" s="99">
        <v>8856</v>
      </c>
      <c r="CH28" s="99">
        <v>14</v>
      </c>
      <c r="CI28" s="99">
        <v>10332</v>
      </c>
      <c r="CJ28" s="99">
        <v>26</v>
      </c>
      <c r="CK28" s="99">
        <v>19188</v>
      </c>
      <c r="CL28" s="99">
        <v>13.109021668054911</v>
      </c>
      <c r="CM28" s="99">
        <v>9674.4579910245247</v>
      </c>
      <c r="CN28" s="99">
        <v>21</v>
      </c>
      <c r="CO28" s="99">
        <v>15498</v>
      </c>
      <c r="CP28" s="99">
        <v>15</v>
      </c>
      <c r="CQ28" s="99">
        <v>11070</v>
      </c>
      <c r="CR28" s="99">
        <v>18.3126972230082</v>
      </c>
      <c r="CS28" s="99">
        <v>13514.770550580051</v>
      </c>
      <c r="CT28" s="99">
        <v>22</v>
      </c>
      <c r="CU28" s="99">
        <v>16236</v>
      </c>
    </row>
    <row r="29" spans="2:99">
      <c r="C29" s="98" t="s">
        <v>195</v>
      </c>
      <c r="D29" s="99">
        <v>20</v>
      </c>
      <c r="E29" s="99">
        <v>6768</v>
      </c>
      <c r="F29" s="99">
        <v>19</v>
      </c>
      <c r="G29" s="99">
        <v>6429.5999999999995</v>
      </c>
      <c r="H29" s="99">
        <v>22</v>
      </c>
      <c r="I29" s="99">
        <v>7444.7999999999993</v>
      </c>
      <c r="J29" s="99">
        <v>19</v>
      </c>
      <c r="K29" s="99">
        <v>6429.5999999999995</v>
      </c>
      <c r="L29" s="99">
        <v>19</v>
      </c>
      <c r="M29" s="99">
        <v>6429.5999999999995</v>
      </c>
      <c r="N29" s="99">
        <v>23</v>
      </c>
      <c r="O29" s="99">
        <v>7783.2</v>
      </c>
      <c r="P29" s="99">
        <v>15</v>
      </c>
      <c r="Q29" s="99">
        <v>5076</v>
      </c>
      <c r="R29" s="99">
        <v>21</v>
      </c>
      <c r="S29" s="99">
        <v>7106.4</v>
      </c>
      <c r="T29" s="99">
        <v>21</v>
      </c>
      <c r="U29" s="99">
        <v>7106.4</v>
      </c>
      <c r="V29" s="99">
        <v>15</v>
      </c>
      <c r="W29" s="99">
        <v>5076</v>
      </c>
      <c r="X29" s="99">
        <v>16</v>
      </c>
      <c r="Y29" s="99">
        <v>5414.4</v>
      </c>
      <c r="Z29" s="99">
        <v>14</v>
      </c>
      <c r="AA29" s="99">
        <v>4737.5999999999995</v>
      </c>
      <c r="AB29" s="99">
        <v>17</v>
      </c>
      <c r="AC29" s="99">
        <v>5752.7999999999993</v>
      </c>
      <c r="AD29" s="99">
        <v>21</v>
      </c>
      <c r="AE29" s="99">
        <v>7106.4</v>
      </c>
      <c r="AF29" s="99">
        <v>23</v>
      </c>
      <c r="AG29" s="99">
        <v>7783.2</v>
      </c>
      <c r="AH29" s="99">
        <v>20</v>
      </c>
      <c r="AI29" s="99">
        <v>6768</v>
      </c>
      <c r="AJ29" s="99">
        <v>17</v>
      </c>
      <c r="AK29" s="99">
        <v>5752.7999999999993</v>
      </c>
      <c r="AL29" s="99">
        <v>20</v>
      </c>
      <c r="AM29" s="99">
        <v>6768</v>
      </c>
      <c r="AN29" s="99">
        <v>18</v>
      </c>
      <c r="AO29" s="99">
        <v>6091.2</v>
      </c>
      <c r="AP29" s="99">
        <v>23</v>
      </c>
      <c r="AQ29" s="99">
        <v>7783.2</v>
      </c>
      <c r="AR29" s="99">
        <v>17</v>
      </c>
      <c r="AS29" s="99">
        <v>5752.7999999999993</v>
      </c>
      <c r="AT29" s="99">
        <v>20</v>
      </c>
      <c r="AU29" s="99">
        <v>6768</v>
      </c>
      <c r="AV29" s="99">
        <v>20</v>
      </c>
      <c r="AW29" s="99">
        <v>6768</v>
      </c>
      <c r="AX29" s="99">
        <v>23</v>
      </c>
      <c r="AY29" s="99">
        <v>7783.2</v>
      </c>
      <c r="AZ29" s="99">
        <v>25</v>
      </c>
      <c r="BA29" s="99">
        <v>8460</v>
      </c>
      <c r="BB29" s="99">
        <v>17</v>
      </c>
      <c r="BC29" s="99">
        <v>5752.7999999999993</v>
      </c>
      <c r="BD29" s="99">
        <v>20</v>
      </c>
      <c r="BE29" s="99">
        <v>6768</v>
      </c>
      <c r="BF29" s="99">
        <v>17</v>
      </c>
      <c r="BG29" s="99">
        <v>5752.7999999999993</v>
      </c>
      <c r="BH29" s="99">
        <v>20</v>
      </c>
      <c r="BI29" s="99">
        <v>6768</v>
      </c>
      <c r="BJ29" s="99">
        <v>15</v>
      </c>
      <c r="BK29" s="99">
        <v>5076</v>
      </c>
      <c r="BL29" s="99">
        <v>21</v>
      </c>
      <c r="BM29" s="99">
        <v>7106.4</v>
      </c>
      <c r="BN29" s="99">
        <v>23</v>
      </c>
      <c r="BO29" s="99">
        <v>7783.2</v>
      </c>
      <c r="BP29" s="99">
        <v>17</v>
      </c>
      <c r="BQ29" s="99">
        <v>5752.7999999999993</v>
      </c>
      <c r="BR29" s="99">
        <v>21</v>
      </c>
      <c r="BS29" s="99">
        <v>7106.4</v>
      </c>
      <c r="BT29" s="99">
        <v>12.276404510393711</v>
      </c>
      <c r="BU29" s="99">
        <v>4154.3352863172313</v>
      </c>
      <c r="BV29" s="99">
        <v>16</v>
      </c>
      <c r="BW29" s="99">
        <v>5414.4</v>
      </c>
      <c r="BX29" s="99">
        <v>17</v>
      </c>
      <c r="BY29" s="99">
        <v>5752.7999999999993</v>
      </c>
      <c r="BZ29" s="99">
        <v>15.327120399146956</v>
      </c>
      <c r="CA29" s="99">
        <v>5186.6975430713301</v>
      </c>
      <c r="CB29" s="99">
        <v>17.46745586292446</v>
      </c>
      <c r="CC29" s="99">
        <v>5910.9870640136369</v>
      </c>
      <c r="CD29" s="99">
        <v>15</v>
      </c>
      <c r="CE29" s="99">
        <v>5076</v>
      </c>
      <c r="CF29" s="99">
        <v>14</v>
      </c>
      <c r="CG29" s="99">
        <v>4737.5999999999995</v>
      </c>
      <c r="CH29" s="99">
        <v>14</v>
      </c>
      <c r="CI29" s="99">
        <v>4737.5999999999995</v>
      </c>
      <c r="CJ29" s="99">
        <v>28</v>
      </c>
      <c r="CK29" s="99">
        <v>9475.1999999999989</v>
      </c>
      <c r="CL29" s="99">
        <v>16.386277085068638</v>
      </c>
      <c r="CM29" s="99">
        <v>5545.1161655872265</v>
      </c>
      <c r="CN29" s="99">
        <v>22</v>
      </c>
      <c r="CO29" s="99">
        <v>7444.7999999999993</v>
      </c>
      <c r="CP29" s="99">
        <v>15</v>
      </c>
      <c r="CQ29" s="99">
        <v>5076</v>
      </c>
      <c r="CR29" s="99">
        <v>16.720288768833573</v>
      </c>
      <c r="CS29" s="99">
        <v>5658.1457193732804</v>
      </c>
      <c r="CT29" s="99">
        <v>23</v>
      </c>
      <c r="CU29" s="99">
        <v>7783.2</v>
      </c>
    </row>
    <row r="30" spans="2:99">
      <c r="C30" s="98" t="s">
        <v>196</v>
      </c>
      <c r="D30" s="99">
        <v>20</v>
      </c>
      <c r="E30" s="99">
        <v>2784</v>
      </c>
      <c r="F30" s="99">
        <v>18</v>
      </c>
      <c r="G30" s="99">
        <v>2505.6</v>
      </c>
      <c r="H30" s="99">
        <v>24</v>
      </c>
      <c r="I30" s="99">
        <v>3340.7999999999997</v>
      </c>
      <c r="J30" s="99">
        <v>21</v>
      </c>
      <c r="K30" s="99">
        <v>2923.2</v>
      </c>
      <c r="L30" s="99">
        <v>19</v>
      </c>
      <c r="M30" s="99">
        <v>2644.7999999999997</v>
      </c>
      <c r="N30" s="99">
        <v>22</v>
      </c>
      <c r="O30" s="99">
        <v>3062.3999999999996</v>
      </c>
      <c r="P30" s="99">
        <v>15</v>
      </c>
      <c r="Q30" s="99">
        <v>2088</v>
      </c>
      <c r="R30" s="99">
        <v>23</v>
      </c>
      <c r="S30" s="99">
        <v>3201.6</v>
      </c>
      <c r="T30" s="99">
        <v>23</v>
      </c>
      <c r="U30" s="99">
        <v>3201.6</v>
      </c>
      <c r="V30" s="99">
        <v>16</v>
      </c>
      <c r="W30" s="99">
        <v>2227.1999999999998</v>
      </c>
      <c r="X30" s="99">
        <v>14</v>
      </c>
      <c r="Y30" s="99">
        <v>1948.7999999999997</v>
      </c>
      <c r="Z30" s="99">
        <v>15</v>
      </c>
      <c r="AA30" s="99">
        <v>2088</v>
      </c>
      <c r="AB30" s="99">
        <v>15</v>
      </c>
      <c r="AC30" s="99">
        <v>2088</v>
      </c>
      <c r="AD30" s="99">
        <v>26</v>
      </c>
      <c r="AE30" s="99">
        <v>3619.2</v>
      </c>
      <c r="AF30" s="99">
        <v>21</v>
      </c>
      <c r="AG30" s="99">
        <v>2923.2</v>
      </c>
      <c r="AH30" s="99">
        <v>23</v>
      </c>
      <c r="AI30" s="99">
        <v>3201.6</v>
      </c>
      <c r="AJ30" s="99">
        <v>18</v>
      </c>
      <c r="AK30" s="99">
        <v>2505.6</v>
      </c>
      <c r="AL30" s="99">
        <v>21</v>
      </c>
      <c r="AM30" s="99">
        <v>2923.2</v>
      </c>
      <c r="AN30" s="99">
        <v>18</v>
      </c>
      <c r="AO30" s="99">
        <v>2505.6</v>
      </c>
      <c r="AP30" s="99">
        <v>22</v>
      </c>
      <c r="AQ30" s="99">
        <v>3062.3999999999996</v>
      </c>
      <c r="AR30" s="99">
        <v>21</v>
      </c>
      <c r="AS30" s="99">
        <v>2923.2</v>
      </c>
      <c r="AT30" s="99">
        <v>17</v>
      </c>
      <c r="AU30" s="99">
        <v>2366.3999999999996</v>
      </c>
      <c r="AV30" s="99">
        <v>18</v>
      </c>
      <c r="AW30" s="99">
        <v>2505.6</v>
      </c>
      <c r="AX30" s="99">
        <v>24</v>
      </c>
      <c r="AY30" s="99">
        <v>3340.7999999999997</v>
      </c>
      <c r="AZ30" s="99">
        <v>24</v>
      </c>
      <c r="BA30" s="99">
        <v>3340.7999999999997</v>
      </c>
      <c r="BB30" s="99">
        <v>17</v>
      </c>
      <c r="BC30" s="99">
        <v>2366.3999999999996</v>
      </c>
      <c r="BD30" s="99">
        <v>21</v>
      </c>
      <c r="BE30" s="99">
        <v>2923.2</v>
      </c>
      <c r="BF30" s="99">
        <v>17</v>
      </c>
      <c r="BG30" s="99">
        <v>2366.3999999999996</v>
      </c>
      <c r="BH30" s="99">
        <v>19</v>
      </c>
      <c r="BI30" s="99">
        <v>2644.7999999999997</v>
      </c>
      <c r="BJ30" s="99">
        <v>17</v>
      </c>
      <c r="BK30" s="99">
        <v>2366.3999999999996</v>
      </c>
      <c r="BL30" s="99">
        <v>18</v>
      </c>
      <c r="BM30" s="99">
        <v>2505.6</v>
      </c>
      <c r="BN30" s="99">
        <v>25</v>
      </c>
      <c r="BO30" s="99">
        <v>3479.9999999999995</v>
      </c>
      <c r="BP30" s="99">
        <v>18</v>
      </c>
      <c r="BQ30" s="99">
        <v>2505.6</v>
      </c>
      <c r="BR30" s="99">
        <v>23</v>
      </c>
      <c r="BS30" s="99">
        <v>3201.6</v>
      </c>
      <c r="BT30" s="99">
        <v>11.399518473937018</v>
      </c>
      <c r="BU30" s="99">
        <v>1586.8129715720329</v>
      </c>
      <c r="BV30" s="99">
        <v>19</v>
      </c>
      <c r="BW30" s="99">
        <v>2644.7999999999997</v>
      </c>
      <c r="BX30" s="99">
        <v>16</v>
      </c>
      <c r="BY30" s="99">
        <v>2227.1999999999998</v>
      </c>
      <c r="BZ30" s="99">
        <v>16.023807690017275</v>
      </c>
      <c r="CA30" s="99">
        <v>2230.5140304504043</v>
      </c>
      <c r="CB30" s="99">
        <v>14.972105025363824</v>
      </c>
      <c r="CC30" s="99">
        <v>2084.117019530644</v>
      </c>
      <c r="CD30" s="99">
        <v>14</v>
      </c>
      <c r="CE30" s="99">
        <v>1948.7999999999997</v>
      </c>
      <c r="CF30" s="99">
        <v>13</v>
      </c>
      <c r="CG30" s="99">
        <v>1809.6</v>
      </c>
      <c r="CH30" s="99">
        <v>16</v>
      </c>
      <c r="CI30" s="99">
        <v>2227.1999999999998</v>
      </c>
      <c r="CJ30" s="99">
        <v>28</v>
      </c>
      <c r="CK30" s="99">
        <v>3897.5999999999995</v>
      </c>
      <c r="CL30" s="99">
        <v>14.747649376561773</v>
      </c>
      <c r="CM30" s="99">
        <v>2052.8727932173988</v>
      </c>
      <c r="CN30" s="99">
        <v>24</v>
      </c>
      <c r="CO30" s="99">
        <v>3340.7999999999997</v>
      </c>
      <c r="CP30" s="99">
        <v>16</v>
      </c>
      <c r="CQ30" s="99">
        <v>2227.1999999999998</v>
      </c>
      <c r="CR30" s="99">
        <v>18.3126972230082</v>
      </c>
      <c r="CS30" s="99">
        <v>2549.1274534427412</v>
      </c>
      <c r="CT30" s="99">
        <v>27</v>
      </c>
      <c r="CU30" s="99">
        <v>3758.3999999999996</v>
      </c>
    </row>
    <row r="31" spans="2:99">
      <c r="C31" s="98" t="s">
        <v>197</v>
      </c>
      <c r="D31" s="99">
        <v>19</v>
      </c>
      <c r="E31" s="99">
        <v>6475.2</v>
      </c>
      <c r="F31" s="99">
        <v>20</v>
      </c>
      <c r="G31" s="99">
        <v>6816</v>
      </c>
      <c r="H31" s="99">
        <v>24</v>
      </c>
      <c r="I31" s="99">
        <v>8179.2000000000007</v>
      </c>
      <c r="J31" s="99">
        <v>22</v>
      </c>
      <c r="K31" s="99">
        <v>7497.6</v>
      </c>
      <c r="L31" s="99">
        <v>17</v>
      </c>
      <c r="M31" s="99">
        <v>5793.6</v>
      </c>
      <c r="N31" s="99">
        <v>24</v>
      </c>
      <c r="O31" s="99">
        <v>8179.2000000000007</v>
      </c>
      <c r="P31" s="99">
        <v>15</v>
      </c>
      <c r="Q31" s="99">
        <v>5112</v>
      </c>
      <c r="R31" s="99">
        <v>20</v>
      </c>
      <c r="S31" s="99">
        <v>6816</v>
      </c>
      <c r="T31" s="99">
        <v>23</v>
      </c>
      <c r="U31" s="99">
        <v>7838.4000000000005</v>
      </c>
      <c r="V31" s="99">
        <v>15</v>
      </c>
      <c r="W31" s="99">
        <v>5112</v>
      </c>
      <c r="X31" s="99">
        <v>15</v>
      </c>
      <c r="Y31" s="99">
        <v>5112</v>
      </c>
      <c r="Z31" s="99">
        <v>13</v>
      </c>
      <c r="AA31" s="99">
        <v>4430.4000000000005</v>
      </c>
      <c r="AB31" s="99">
        <v>14</v>
      </c>
      <c r="AC31" s="99">
        <v>4771.2</v>
      </c>
      <c r="AD31" s="99">
        <v>25</v>
      </c>
      <c r="AE31" s="99">
        <v>8520</v>
      </c>
      <c r="AF31" s="99">
        <v>22</v>
      </c>
      <c r="AG31" s="99">
        <v>7497.6</v>
      </c>
      <c r="AH31" s="99">
        <v>20</v>
      </c>
      <c r="AI31" s="99">
        <v>6816</v>
      </c>
      <c r="AJ31" s="99">
        <v>18</v>
      </c>
      <c r="AK31" s="99">
        <v>6134.4000000000005</v>
      </c>
      <c r="AL31" s="99">
        <v>21</v>
      </c>
      <c r="AM31" s="99">
        <v>7156.8</v>
      </c>
      <c r="AN31" s="99">
        <v>16</v>
      </c>
      <c r="AO31" s="99">
        <v>5452.8</v>
      </c>
      <c r="AP31" s="99">
        <v>22</v>
      </c>
      <c r="AQ31" s="99">
        <v>7497.6</v>
      </c>
      <c r="AR31" s="99">
        <v>18</v>
      </c>
      <c r="AS31" s="99">
        <v>6134.4000000000005</v>
      </c>
      <c r="AT31" s="99">
        <v>19</v>
      </c>
      <c r="AU31" s="99">
        <v>6475.2</v>
      </c>
      <c r="AV31" s="99">
        <v>18</v>
      </c>
      <c r="AW31" s="99">
        <v>6134.4000000000005</v>
      </c>
      <c r="AX31" s="99">
        <v>21</v>
      </c>
      <c r="AY31" s="99">
        <v>7156.8</v>
      </c>
      <c r="AZ31" s="99">
        <v>25</v>
      </c>
      <c r="BA31" s="99">
        <v>8520</v>
      </c>
      <c r="BB31" s="99">
        <v>14</v>
      </c>
      <c r="BC31" s="99">
        <v>4771.2</v>
      </c>
      <c r="BD31" s="99">
        <v>22</v>
      </c>
      <c r="BE31" s="99">
        <v>7497.6</v>
      </c>
      <c r="BF31" s="99">
        <v>19</v>
      </c>
      <c r="BG31" s="99">
        <v>6475.2</v>
      </c>
      <c r="BH31" s="99">
        <v>17</v>
      </c>
      <c r="BI31" s="99">
        <v>5793.6</v>
      </c>
      <c r="BJ31" s="99">
        <v>17</v>
      </c>
      <c r="BK31" s="99">
        <v>5793.6</v>
      </c>
      <c r="BL31" s="99">
        <v>20</v>
      </c>
      <c r="BM31" s="99">
        <v>6816</v>
      </c>
      <c r="BN31" s="99">
        <v>26</v>
      </c>
      <c r="BO31" s="99">
        <v>8860.8000000000011</v>
      </c>
      <c r="BP31" s="99">
        <v>19</v>
      </c>
      <c r="BQ31" s="99">
        <v>6475.2</v>
      </c>
      <c r="BR31" s="99">
        <v>22</v>
      </c>
      <c r="BS31" s="99">
        <v>7497.6</v>
      </c>
      <c r="BT31" s="99">
        <v>11.399518473937018</v>
      </c>
      <c r="BU31" s="99">
        <v>3884.9558959177357</v>
      </c>
      <c r="BV31" s="99">
        <v>19</v>
      </c>
      <c r="BW31" s="99">
        <v>6475.2</v>
      </c>
      <c r="BX31" s="99">
        <v>16</v>
      </c>
      <c r="BY31" s="99">
        <v>5452.8</v>
      </c>
      <c r="BZ31" s="99">
        <v>15.327120399146956</v>
      </c>
      <c r="CA31" s="99">
        <v>5223.4826320292832</v>
      </c>
      <c r="CB31" s="99">
        <v>16.635672250404252</v>
      </c>
      <c r="CC31" s="99">
        <v>5669.4371029377689</v>
      </c>
      <c r="CD31" s="99">
        <v>16</v>
      </c>
      <c r="CE31" s="99">
        <v>5452.8</v>
      </c>
      <c r="CF31" s="99">
        <v>12</v>
      </c>
      <c r="CG31" s="99">
        <v>4089.6000000000004</v>
      </c>
      <c r="CH31" s="99">
        <v>14</v>
      </c>
      <c r="CI31" s="99">
        <v>4771.2</v>
      </c>
      <c r="CJ31" s="99">
        <v>25</v>
      </c>
      <c r="CK31" s="99">
        <v>8520</v>
      </c>
      <c r="CL31" s="99">
        <v>14.747649376561773</v>
      </c>
      <c r="CM31" s="99">
        <v>5025.9989075322528</v>
      </c>
      <c r="CN31" s="99">
        <v>24</v>
      </c>
      <c r="CO31" s="99">
        <v>8179.2000000000007</v>
      </c>
      <c r="CP31" s="99">
        <v>14</v>
      </c>
      <c r="CQ31" s="99">
        <v>4771.2</v>
      </c>
      <c r="CR31" s="99">
        <v>17.516492995920885</v>
      </c>
      <c r="CS31" s="99">
        <v>5969.6208130098375</v>
      </c>
      <c r="CT31" s="99">
        <v>23</v>
      </c>
      <c r="CU31" s="99">
        <v>7838.4000000000005</v>
      </c>
    </row>
    <row r="32" spans="2:99">
      <c r="C32" s="98" t="s">
        <v>198</v>
      </c>
      <c r="D32" s="99">
        <v>17</v>
      </c>
      <c r="E32" s="99">
        <v>14280</v>
      </c>
      <c r="F32" s="99">
        <v>17</v>
      </c>
      <c r="G32" s="99">
        <v>14280</v>
      </c>
      <c r="H32" s="99">
        <v>23</v>
      </c>
      <c r="I32" s="99">
        <v>19320</v>
      </c>
      <c r="J32" s="99">
        <v>18</v>
      </c>
      <c r="K32" s="99">
        <v>15120</v>
      </c>
      <c r="L32" s="99">
        <v>16</v>
      </c>
      <c r="M32" s="99">
        <v>13440</v>
      </c>
      <c r="N32" s="99">
        <v>20</v>
      </c>
      <c r="O32" s="99">
        <v>16800</v>
      </c>
      <c r="P32" s="99">
        <v>16</v>
      </c>
      <c r="Q32" s="99">
        <v>13440</v>
      </c>
      <c r="R32" s="99">
        <v>21</v>
      </c>
      <c r="S32" s="99">
        <v>17640</v>
      </c>
      <c r="T32" s="99">
        <v>24</v>
      </c>
      <c r="U32" s="99">
        <v>20160</v>
      </c>
      <c r="V32" s="99">
        <v>18</v>
      </c>
      <c r="W32" s="99">
        <v>15120</v>
      </c>
      <c r="X32" s="99">
        <v>13</v>
      </c>
      <c r="Y32" s="99">
        <v>10920</v>
      </c>
      <c r="Z32" s="99">
        <v>13</v>
      </c>
      <c r="AA32" s="99">
        <v>10920</v>
      </c>
      <c r="AB32" s="99">
        <v>14</v>
      </c>
      <c r="AC32" s="99">
        <v>11760</v>
      </c>
      <c r="AD32" s="99">
        <v>21</v>
      </c>
      <c r="AE32" s="99">
        <v>17640</v>
      </c>
      <c r="AF32" s="99">
        <v>22</v>
      </c>
      <c r="AG32" s="99">
        <v>18480</v>
      </c>
      <c r="AH32" s="99">
        <v>19</v>
      </c>
      <c r="AI32" s="99">
        <v>15960</v>
      </c>
      <c r="AJ32" s="99">
        <v>17</v>
      </c>
      <c r="AK32" s="99">
        <v>14280</v>
      </c>
      <c r="AL32" s="99">
        <v>18</v>
      </c>
      <c r="AM32" s="99">
        <v>15120</v>
      </c>
      <c r="AN32" s="99">
        <v>18</v>
      </c>
      <c r="AO32" s="99">
        <v>15120</v>
      </c>
      <c r="AP32" s="99">
        <v>20</v>
      </c>
      <c r="AQ32" s="99">
        <v>16800</v>
      </c>
      <c r="AR32" s="99">
        <v>17</v>
      </c>
      <c r="AS32" s="99">
        <v>14280</v>
      </c>
      <c r="AT32" s="99">
        <v>17</v>
      </c>
      <c r="AU32" s="99">
        <v>14280</v>
      </c>
      <c r="AV32" s="99">
        <v>19</v>
      </c>
      <c r="AW32" s="99">
        <v>15960</v>
      </c>
      <c r="AX32" s="99">
        <v>25</v>
      </c>
      <c r="AY32" s="99">
        <v>21000</v>
      </c>
      <c r="AZ32" s="99">
        <v>22</v>
      </c>
      <c r="BA32" s="99">
        <v>18480</v>
      </c>
      <c r="BB32" s="99">
        <v>14</v>
      </c>
      <c r="BC32" s="99">
        <v>11760</v>
      </c>
      <c r="BD32" s="99">
        <v>19</v>
      </c>
      <c r="BE32" s="99">
        <v>15960</v>
      </c>
      <c r="BF32" s="99">
        <v>18</v>
      </c>
      <c r="BG32" s="99">
        <v>15120</v>
      </c>
      <c r="BH32" s="99">
        <v>19</v>
      </c>
      <c r="BI32" s="99">
        <v>15960</v>
      </c>
      <c r="BJ32" s="99">
        <v>17</v>
      </c>
      <c r="BK32" s="99">
        <v>14280</v>
      </c>
      <c r="BL32" s="99">
        <v>20</v>
      </c>
      <c r="BM32" s="99">
        <v>16800</v>
      </c>
      <c r="BN32" s="99">
        <v>23</v>
      </c>
      <c r="BO32" s="99">
        <v>19320</v>
      </c>
      <c r="BP32" s="99">
        <v>19</v>
      </c>
      <c r="BQ32" s="99">
        <v>15960</v>
      </c>
      <c r="BR32" s="99">
        <v>20</v>
      </c>
      <c r="BS32" s="99">
        <v>16800</v>
      </c>
      <c r="BT32" s="99">
        <v>12.276404510393711</v>
      </c>
      <c r="BU32" s="99">
        <v>10312.179788730717</v>
      </c>
      <c r="BV32" s="99">
        <v>18</v>
      </c>
      <c r="BW32" s="99">
        <v>15120</v>
      </c>
      <c r="BX32" s="99">
        <v>15</v>
      </c>
      <c r="BY32" s="99">
        <v>12600</v>
      </c>
      <c r="BZ32" s="99">
        <v>15.327120399146956</v>
      </c>
      <c r="CA32" s="99">
        <v>12874.781135283443</v>
      </c>
      <c r="CB32" s="99">
        <v>14.972105025363824</v>
      </c>
      <c r="CC32" s="99">
        <v>12576.568221305612</v>
      </c>
      <c r="CD32" s="99">
        <v>16</v>
      </c>
      <c r="CE32" s="99">
        <v>13440</v>
      </c>
      <c r="CF32" s="99">
        <v>13</v>
      </c>
      <c r="CG32" s="99">
        <v>10920</v>
      </c>
      <c r="CH32" s="99">
        <v>14</v>
      </c>
      <c r="CI32" s="99">
        <v>11760</v>
      </c>
      <c r="CJ32" s="99">
        <v>25</v>
      </c>
      <c r="CK32" s="99">
        <v>21000</v>
      </c>
      <c r="CL32" s="99">
        <v>14.747649376561773</v>
      </c>
      <c r="CM32" s="99">
        <v>12388.02547631189</v>
      </c>
      <c r="CN32" s="99">
        <v>24</v>
      </c>
      <c r="CO32" s="99">
        <v>20160</v>
      </c>
      <c r="CP32" s="99">
        <v>15</v>
      </c>
      <c r="CQ32" s="99">
        <v>12600</v>
      </c>
      <c r="CR32" s="99">
        <v>17.516492995920885</v>
      </c>
      <c r="CS32" s="99">
        <v>14713.854116573544</v>
      </c>
      <c r="CT32" s="99">
        <v>24</v>
      </c>
      <c r="CU32" s="99">
        <v>20160</v>
      </c>
    </row>
    <row r="33" spans="2:99">
      <c r="C33" s="98" t="s">
        <v>199</v>
      </c>
      <c r="D33" s="99">
        <v>17</v>
      </c>
      <c r="E33" s="99">
        <v>8058</v>
      </c>
      <c r="F33" s="99">
        <v>16</v>
      </c>
      <c r="G33" s="99">
        <v>7584</v>
      </c>
      <c r="H33" s="99">
        <v>25</v>
      </c>
      <c r="I33" s="99">
        <v>11850</v>
      </c>
      <c r="J33" s="99">
        <v>20</v>
      </c>
      <c r="K33" s="99">
        <v>9480</v>
      </c>
      <c r="L33" s="99">
        <v>19</v>
      </c>
      <c r="M33" s="99">
        <v>9006</v>
      </c>
      <c r="N33" s="99">
        <v>23</v>
      </c>
      <c r="O33" s="99">
        <v>10902</v>
      </c>
      <c r="P33" s="99">
        <v>14</v>
      </c>
      <c r="Q33" s="99">
        <v>6636</v>
      </c>
      <c r="R33" s="99">
        <v>19</v>
      </c>
      <c r="S33" s="99">
        <v>9006</v>
      </c>
      <c r="T33" s="99">
        <v>21</v>
      </c>
      <c r="U33" s="99">
        <v>9954</v>
      </c>
      <c r="V33" s="99">
        <v>16</v>
      </c>
      <c r="W33" s="99">
        <v>7584</v>
      </c>
      <c r="X33" s="99">
        <v>13</v>
      </c>
      <c r="Y33" s="99">
        <v>6162</v>
      </c>
      <c r="Z33" s="99">
        <v>14</v>
      </c>
      <c r="AA33" s="99">
        <v>6636</v>
      </c>
      <c r="AB33" s="99">
        <v>16</v>
      </c>
      <c r="AC33" s="99">
        <v>7584</v>
      </c>
      <c r="AD33" s="99">
        <v>24</v>
      </c>
      <c r="AE33" s="99">
        <v>11376</v>
      </c>
      <c r="AF33" s="99">
        <v>22</v>
      </c>
      <c r="AG33" s="99">
        <v>10428</v>
      </c>
      <c r="AH33" s="99">
        <v>20</v>
      </c>
      <c r="AI33" s="99">
        <v>9480</v>
      </c>
      <c r="AJ33" s="99">
        <v>18</v>
      </c>
      <c r="AK33" s="99">
        <v>8532</v>
      </c>
      <c r="AL33" s="99">
        <v>22</v>
      </c>
      <c r="AM33" s="99">
        <v>10428</v>
      </c>
      <c r="AN33" s="99">
        <v>17</v>
      </c>
      <c r="AO33" s="99">
        <v>8058</v>
      </c>
      <c r="AP33" s="99">
        <v>20</v>
      </c>
      <c r="AQ33" s="99">
        <v>9480</v>
      </c>
      <c r="AR33" s="99">
        <v>17</v>
      </c>
      <c r="AS33" s="99">
        <v>8058</v>
      </c>
      <c r="AT33" s="99">
        <v>17</v>
      </c>
      <c r="AU33" s="99">
        <v>8058</v>
      </c>
      <c r="AV33" s="99">
        <v>20</v>
      </c>
      <c r="AW33" s="99">
        <v>9480</v>
      </c>
      <c r="AX33" s="99">
        <v>25</v>
      </c>
      <c r="AY33" s="99">
        <v>11850</v>
      </c>
      <c r="AZ33" s="99">
        <v>24</v>
      </c>
      <c r="BA33" s="99">
        <v>11376</v>
      </c>
      <c r="BB33" s="99">
        <v>14</v>
      </c>
      <c r="BC33" s="99">
        <v>6636</v>
      </c>
      <c r="BD33" s="99">
        <v>21</v>
      </c>
      <c r="BE33" s="99">
        <v>9954</v>
      </c>
      <c r="BF33" s="99">
        <v>16</v>
      </c>
      <c r="BG33" s="99">
        <v>7584</v>
      </c>
      <c r="BH33" s="99">
        <v>20</v>
      </c>
      <c r="BI33" s="99">
        <v>9480</v>
      </c>
      <c r="BJ33" s="99">
        <v>17</v>
      </c>
      <c r="BK33" s="99">
        <v>8058</v>
      </c>
      <c r="BL33" s="99">
        <v>19</v>
      </c>
      <c r="BM33" s="99">
        <v>9006</v>
      </c>
      <c r="BN33" s="99">
        <v>22</v>
      </c>
      <c r="BO33" s="99">
        <v>10428</v>
      </c>
      <c r="BP33" s="99">
        <v>18</v>
      </c>
      <c r="BQ33" s="99">
        <v>8532</v>
      </c>
      <c r="BR33" s="99">
        <v>22</v>
      </c>
      <c r="BS33" s="99">
        <v>10428</v>
      </c>
      <c r="BT33" s="99">
        <v>13.153290546850405</v>
      </c>
      <c r="BU33" s="99">
        <v>6234.6597192070922</v>
      </c>
      <c r="BV33" s="99">
        <v>16</v>
      </c>
      <c r="BW33" s="99">
        <v>7584</v>
      </c>
      <c r="BX33" s="99">
        <v>16</v>
      </c>
      <c r="BY33" s="99">
        <v>7584</v>
      </c>
      <c r="BZ33" s="99">
        <v>15.327120399146956</v>
      </c>
      <c r="CA33" s="99">
        <v>7265.0550691956569</v>
      </c>
      <c r="CB33" s="99">
        <v>16.635672250404252</v>
      </c>
      <c r="CC33" s="99">
        <v>7885.3086466916156</v>
      </c>
      <c r="CD33" s="99">
        <v>16</v>
      </c>
      <c r="CE33" s="99">
        <v>7584</v>
      </c>
      <c r="CF33" s="99">
        <v>13</v>
      </c>
      <c r="CG33" s="99">
        <v>6162</v>
      </c>
      <c r="CH33" s="99">
        <v>15</v>
      </c>
      <c r="CI33" s="99">
        <v>7110</v>
      </c>
      <c r="CJ33" s="99">
        <v>25</v>
      </c>
      <c r="CK33" s="99">
        <v>11850</v>
      </c>
      <c r="CL33" s="99">
        <v>15.566963230815206</v>
      </c>
      <c r="CM33" s="99">
        <v>7378.740571406408</v>
      </c>
      <c r="CN33" s="99">
        <v>22</v>
      </c>
      <c r="CO33" s="99">
        <v>10428</v>
      </c>
      <c r="CP33" s="99">
        <v>14</v>
      </c>
      <c r="CQ33" s="99">
        <v>6636</v>
      </c>
      <c r="CR33" s="99">
        <v>16.720288768833573</v>
      </c>
      <c r="CS33" s="99">
        <v>7925.4168764271135</v>
      </c>
      <c r="CT33" s="99">
        <v>22</v>
      </c>
      <c r="CU33" s="99">
        <v>10428</v>
      </c>
    </row>
    <row r="34" spans="2:99">
      <c r="C34" s="98" t="s">
        <v>200</v>
      </c>
      <c r="D34" s="99">
        <v>16</v>
      </c>
      <c r="E34" s="99">
        <v>8774.4</v>
      </c>
      <c r="F34" s="99">
        <v>19</v>
      </c>
      <c r="G34" s="99">
        <v>10419.6</v>
      </c>
      <c r="H34" s="99">
        <v>22</v>
      </c>
      <c r="I34" s="99">
        <v>12064.8</v>
      </c>
      <c r="J34" s="99">
        <v>19</v>
      </c>
      <c r="K34" s="99">
        <v>10419.6</v>
      </c>
      <c r="L34" s="99">
        <v>17</v>
      </c>
      <c r="M34" s="99">
        <v>9322.7999999999993</v>
      </c>
      <c r="N34" s="99">
        <v>21</v>
      </c>
      <c r="O34" s="99">
        <v>11516.4</v>
      </c>
      <c r="P34" s="99">
        <v>16</v>
      </c>
      <c r="Q34" s="99">
        <v>8774.4</v>
      </c>
      <c r="R34" s="99">
        <v>21</v>
      </c>
      <c r="S34" s="99">
        <v>11516.4</v>
      </c>
      <c r="T34" s="99">
        <v>22</v>
      </c>
      <c r="U34" s="99">
        <v>12064.8</v>
      </c>
      <c r="V34" s="99">
        <v>17</v>
      </c>
      <c r="W34" s="99">
        <v>9322.7999999999993</v>
      </c>
      <c r="X34" s="99">
        <v>14</v>
      </c>
      <c r="Y34" s="99">
        <v>7677.5999999999995</v>
      </c>
      <c r="Z34" s="99">
        <v>13</v>
      </c>
      <c r="AA34" s="99">
        <v>7129.2</v>
      </c>
      <c r="AB34" s="99">
        <v>14</v>
      </c>
      <c r="AC34" s="99">
        <v>7677.5999999999995</v>
      </c>
      <c r="AD34" s="99">
        <v>23</v>
      </c>
      <c r="AE34" s="99">
        <v>12613.199999999999</v>
      </c>
      <c r="AF34" s="99">
        <v>21</v>
      </c>
      <c r="AG34" s="99">
        <v>11516.4</v>
      </c>
      <c r="AH34" s="99">
        <v>22</v>
      </c>
      <c r="AI34" s="99">
        <v>12064.8</v>
      </c>
      <c r="AJ34" s="99">
        <v>19</v>
      </c>
      <c r="AK34" s="99">
        <v>10419.6</v>
      </c>
      <c r="AL34" s="99">
        <v>21</v>
      </c>
      <c r="AM34" s="99">
        <v>11516.4</v>
      </c>
      <c r="AN34" s="99">
        <v>17</v>
      </c>
      <c r="AO34" s="99">
        <v>9322.7999999999993</v>
      </c>
      <c r="AP34" s="99">
        <v>22</v>
      </c>
      <c r="AQ34" s="99">
        <v>12064.8</v>
      </c>
      <c r="AR34" s="99">
        <v>19</v>
      </c>
      <c r="AS34" s="99">
        <v>10419.6</v>
      </c>
      <c r="AT34" s="99">
        <v>18</v>
      </c>
      <c r="AU34" s="99">
        <v>9871.1999999999989</v>
      </c>
      <c r="AV34" s="99">
        <v>17</v>
      </c>
      <c r="AW34" s="99">
        <v>9322.7999999999993</v>
      </c>
      <c r="AX34" s="99">
        <v>24</v>
      </c>
      <c r="AY34" s="99">
        <v>13161.599999999999</v>
      </c>
      <c r="AZ34" s="99">
        <v>25</v>
      </c>
      <c r="BA34" s="99">
        <v>13710</v>
      </c>
      <c r="BB34" s="99">
        <v>15</v>
      </c>
      <c r="BC34" s="99">
        <v>8226</v>
      </c>
      <c r="BD34" s="99">
        <v>23</v>
      </c>
      <c r="BE34" s="99">
        <v>12613.199999999999</v>
      </c>
      <c r="BF34" s="99">
        <v>18</v>
      </c>
      <c r="BG34" s="99">
        <v>9871.1999999999989</v>
      </c>
      <c r="BH34" s="99">
        <v>20</v>
      </c>
      <c r="BI34" s="99">
        <v>10968</v>
      </c>
      <c r="BJ34" s="99">
        <v>17</v>
      </c>
      <c r="BK34" s="99">
        <v>9322.7999999999993</v>
      </c>
      <c r="BL34" s="99">
        <v>21</v>
      </c>
      <c r="BM34" s="99">
        <v>11516.4</v>
      </c>
      <c r="BN34" s="99">
        <v>25</v>
      </c>
      <c r="BO34" s="99">
        <v>13710</v>
      </c>
      <c r="BP34" s="99">
        <v>17</v>
      </c>
      <c r="BQ34" s="99">
        <v>9322.7999999999993</v>
      </c>
      <c r="BR34" s="99">
        <v>22</v>
      </c>
      <c r="BS34" s="99">
        <v>12064.8</v>
      </c>
      <c r="BT34" s="99">
        <v>11.399518473937018</v>
      </c>
      <c r="BU34" s="99">
        <v>6251.4959311070606</v>
      </c>
      <c r="BV34" s="99">
        <v>19</v>
      </c>
      <c r="BW34" s="99">
        <v>10419.6</v>
      </c>
      <c r="BX34" s="99">
        <v>16</v>
      </c>
      <c r="BY34" s="99">
        <v>8774.4</v>
      </c>
      <c r="BZ34" s="99">
        <v>15.327120399146956</v>
      </c>
      <c r="CA34" s="99">
        <v>8405.39282689219</v>
      </c>
      <c r="CB34" s="99">
        <v>14.972105025363824</v>
      </c>
      <c r="CC34" s="99">
        <v>8210.7023959095204</v>
      </c>
      <c r="CD34" s="99">
        <v>17</v>
      </c>
      <c r="CE34" s="99">
        <v>9322.7999999999993</v>
      </c>
      <c r="CF34" s="99">
        <v>14</v>
      </c>
      <c r="CG34" s="99">
        <v>7677.5999999999995</v>
      </c>
      <c r="CH34" s="99">
        <v>15</v>
      </c>
      <c r="CI34" s="99">
        <v>8226</v>
      </c>
      <c r="CJ34" s="99">
        <v>23</v>
      </c>
      <c r="CK34" s="99">
        <v>12613.199999999999</v>
      </c>
      <c r="CL34" s="99">
        <v>16.386277085068638</v>
      </c>
      <c r="CM34" s="99">
        <v>8986.2343534516403</v>
      </c>
      <c r="CN34" s="99">
        <v>24</v>
      </c>
      <c r="CO34" s="99">
        <v>13161.599999999999</v>
      </c>
      <c r="CP34" s="99">
        <v>14</v>
      </c>
      <c r="CQ34" s="99">
        <v>7677.5999999999995</v>
      </c>
      <c r="CR34" s="99">
        <v>18.3126972230082</v>
      </c>
      <c r="CS34" s="99">
        <v>10042.683157097697</v>
      </c>
      <c r="CT34" s="99">
        <v>24</v>
      </c>
      <c r="CU34" s="99">
        <v>13161.599999999999</v>
      </c>
    </row>
    <row r="35" spans="2:99">
      <c r="C35" s="98" t="s">
        <v>201</v>
      </c>
      <c r="D35" s="99">
        <v>17</v>
      </c>
      <c r="E35" s="99">
        <v>8547.5999999999985</v>
      </c>
      <c r="F35" s="99">
        <v>18</v>
      </c>
      <c r="G35" s="99">
        <v>9050.3999999999978</v>
      </c>
      <c r="H35" s="99">
        <v>21</v>
      </c>
      <c r="I35" s="99">
        <v>10558.799999999997</v>
      </c>
      <c r="J35" s="99">
        <v>20</v>
      </c>
      <c r="K35" s="99">
        <v>10055.999999999998</v>
      </c>
      <c r="L35" s="99">
        <v>19</v>
      </c>
      <c r="M35" s="99">
        <v>9553.1999999999989</v>
      </c>
      <c r="N35" s="99">
        <v>22</v>
      </c>
      <c r="O35" s="99">
        <v>11061.599999999999</v>
      </c>
      <c r="P35" s="99">
        <v>16</v>
      </c>
      <c r="Q35" s="99">
        <v>8044.7999999999984</v>
      </c>
      <c r="R35" s="99">
        <v>19</v>
      </c>
      <c r="S35" s="99">
        <v>9553.1999999999989</v>
      </c>
      <c r="T35" s="99">
        <v>21</v>
      </c>
      <c r="U35" s="99">
        <v>10558.799999999997</v>
      </c>
      <c r="V35" s="99">
        <v>15</v>
      </c>
      <c r="W35" s="99">
        <v>7541.9999999999982</v>
      </c>
      <c r="X35" s="99">
        <v>16</v>
      </c>
      <c r="Y35" s="99">
        <v>8044.7999999999984</v>
      </c>
      <c r="Z35" s="99">
        <v>13</v>
      </c>
      <c r="AA35" s="99">
        <v>6536.3999999999987</v>
      </c>
      <c r="AB35" s="99">
        <v>15</v>
      </c>
      <c r="AC35" s="99">
        <v>7541.9999999999982</v>
      </c>
      <c r="AD35" s="99">
        <v>23</v>
      </c>
      <c r="AE35" s="99">
        <v>11564.399999999998</v>
      </c>
      <c r="AF35" s="99">
        <v>22</v>
      </c>
      <c r="AG35" s="99">
        <v>11061.599999999999</v>
      </c>
      <c r="AH35" s="99">
        <v>21</v>
      </c>
      <c r="AI35" s="99">
        <v>10558.799999999997</v>
      </c>
      <c r="AJ35" s="99">
        <v>19</v>
      </c>
      <c r="AK35" s="99">
        <v>9553.1999999999989</v>
      </c>
      <c r="AL35" s="99">
        <v>22</v>
      </c>
      <c r="AM35" s="99">
        <v>11061.599999999999</v>
      </c>
      <c r="AN35" s="99">
        <v>18</v>
      </c>
      <c r="AO35" s="99">
        <v>9050.3999999999978</v>
      </c>
      <c r="AP35" s="99">
        <v>19</v>
      </c>
      <c r="AQ35" s="99">
        <v>9553.1999999999989</v>
      </c>
      <c r="AR35" s="99">
        <v>20</v>
      </c>
      <c r="AS35" s="99">
        <v>10055.999999999998</v>
      </c>
      <c r="AT35" s="99">
        <v>18</v>
      </c>
      <c r="AU35" s="99">
        <v>9050.3999999999978</v>
      </c>
      <c r="AV35" s="99">
        <v>18</v>
      </c>
      <c r="AW35" s="99">
        <v>9050.3999999999978</v>
      </c>
      <c r="AX35" s="99">
        <v>24</v>
      </c>
      <c r="AY35" s="99">
        <v>12067.199999999997</v>
      </c>
      <c r="AZ35" s="99">
        <v>23</v>
      </c>
      <c r="BA35" s="99">
        <v>11564.399999999998</v>
      </c>
      <c r="BB35" s="99">
        <v>16</v>
      </c>
      <c r="BC35" s="99">
        <v>8044.7999999999984</v>
      </c>
      <c r="BD35" s="99">
        <v>21</v>
      </c>
      <c r="BE35" s="99">
        <v>10558.799999999997</v>
      </c>
      <c r="BF35" s="99">
        <v>18</v>
      </c>
      <c r="BG35" s="99">
        <v>9050.3999999999978</v>
      </c>
      <c r="BH35" s="99">
        <v>17</v>
      </c>
      <c r="BI35" s="99">
        <v>8547.5999999999985</v>
      </c>
      <c r="BJ35" s="99">
        <v>17</v>
      </c>
      <c r="BK35" s="99">
        <v>8547.5999999999985</v>
      </c>
      <c r="BL35" s="99">
        <v>21</v>
      </c>
      <c r="BM35" s="99">
        <v>10558.799999999997</v>
      </c>
      <c r="BN35" s="99">
        <v>21</v>
      </c>
      <c r="BO35" s="99">
        <v>10558.799999999997</v>
      </c>
      <c r="BP35" s="99">
        <v>20</v>
      </c>
      <c r="BQ35" s="99">
        <v>10055.999999999998</v>
      </c>
      <c r="BR35" s="99">
        <v>20</v>
      </c>
      <c r="BS35" s="99">
        <v>10055.999999999998</v>
      </c>
      <c r="BT35" s="99">
        <v>12.276404510393711</v>
      </c>
      <c r="BU35" s="99">
        <v>6172.5761878259564</v>
      </c>
      <c r="BV35" s="99">
        <v>18</v>
      </c>
      <c r="BW35" s="99">
        <v>9050.3999999999978</v>
      </c>
      <c r="BX35" s="99">
        <v>16</v>
      </c>
      <c r="BY35" s="99">
        <v>8044.7999999999984</v>
      </c>
      <c r="BZ35" s="99">
        <v>16.72049498088759</v>
      </c>
      <c r="CA35" s="99">
        <v>8407.0648763902791</v>
      </c>
      <c r="CB35" s="99">
        <v>16.635672250404252</v>
      </c>
      <c r="CC35" s="99">
        <v>8364.416007503256</v>
      </c>
      <c r="CD35" s="99">
        <v>17</v>
      </c>
      <c r="CE35" s="99">
        <v>8547.5999999999985</v>
      </c>
      <c r="CF35" s="99">
        <v>13</v>
      </c>
      <c r="CG35" s="99">
        <v>6536.3999999999987</v>
      </c>
      <c r="CH35" s="99">
        <v>14</v>
      </c>
      <c r="CI35" s="99">
        <v>7039.1999999999989</v>
      </c>
      <c r="CJ35" s="99">
        <v>27</v>
      </c>
      <c r="CK35" s="99">
        <v>13575.599999999997</v>
      </c>
      <c r="CL35" s="99">
        <v>13.928335522308343</v>
      </c>
      <c r="CM35" s="99">
        <v>7003.1671006166334</v>
      </c>
      <c r="CN35" s="99">
        <v>23</v>
      </c>
      <c r="CO35" s="99">
        <v>11564.399999999998</v>
      </c>
      <c r="CP35" s="99">
        <v>14</v>
      </c>
      <c r="CQ35" s="99">
        <v>7039.1999999999989</v>
      </c>
      <c r="CR35" s="99">
        <v>15.924084541746259</v>
      </c>
      <c r="CS35" s="99">
        <v>8006.6297075900175</v>
      </c>
      <c r="CT35" s="99">
        <v>22</v>
      </c>
      <c r="CU35" s="99">
        <v>11061.599999999999</v>
      </c>
    </row>
    <row r="36" spans="2:99">
      <c r="C36" s="98" t="s">
        <v>202</v>
      </c>
      <c r="D36" s="99">
        <v>19</v>
      </c>
      <c r="E36" s="99">
        <v>14455.199999999999</v>
      </c>
      <c r="F36" s="99">
        <v>18</v>
      </c>
      <c r="G36" s="99">
        <v>13694.4</v>
      </c>
      <c r="H36" s="99">
        <v>24</v>
      </c>
      <c r="I36" s="99">
        <v>18259.199999999997</v>
      </c>
      <c r="J36" s="99">
        <v>20</v>
      </c>
      <c r="K36" s="99">
        <v>15216</v>
      </c>
      <c r="L36" s="99">
        <v>19</v>
      </c>
      <c r="M36" s="99">
        <v>14455.199999999999</v>
      </c>
      <c r="N36" s="99">
        <v>21</v>
      </c>
      <c r="O36" s="99">
        <v>15976.8</v>
      </c>
      <c r="P36" s="99">
        <v>17</v>
      </c>
      <c r="Q36" s="99">
        <v>12933.599999999999</v>
      </c>
      <c r="R36" s="99">
        <v>22</v>
      </c>
      <c r="S36" s="99">
        <v>16737.599999999999</v>
      </c>
      <c r="T36" s="99">
        <v>23</v>
      </c>
      <c r="U36" s="99">
        <v>17498.399999999998</v>
      </c>
      <c r="V36" s="99">
        <v>18</v>
      </c>
      <c r="W36" s="99">
        <v>13694.4</v>
      </c>
      <c r="X36" s="99">
        <v>13</v>
      </c>
      <c r="Y36" s="99">
        <v>9890.4</v>
      </c>
      <c r="Z36" s="99">
        <v>13</v>
      </c>
      <c r="AA36" s="99">
        <v>9890.4</v>
      </c>
      <c r="AB36" s="99">
        <v>14</v>
      </c>
      <c r="AC36" s="99">
        <v>10651.199999999999</v>
      </c>
      <c r="AD36" s="99">
        <v>23</v>
      </c>
      <c r="AE36" s="99">
        <v>17498.399999999998</v>
      </c>
      <c r="AF36" s="99">
        <v>21</v>
      </c>
      <c r="AG36" s="99">
        <v>15976.8</v>
      </c>
      <c r="AH36" s="99">
        <v>20</v>
      </c>
      <c r="AI36" s="99">
        <v>15216</v>
      </c>
      <c r="AJ36" s="99">
        <v>20</v>
      </c>
      <c r="AK36" s="99">
        <v>15216</v>
      </c>
      <c r="AL36" s="99">
        <v>19</v>
      </c>
      <c r="AM36" s="99">
        <v>14455.199999999999</v>
      </c>
      <c r="AN36" s="99">
        <v>17</v>
      </c>
      <c r="AO36" s="99">
        <v>12933.599999999999</v>
      </c>
      <c r="AP36" s="99">
        <v>22</v>
      </c>
      <c r="AQ36" s="99">
        <v>16737.599999999999</v>
      </c>
      <c r="AR36" s="99">
        <v>19</v>
      </c>
      <c r="AS36" s="99">
        <v>14455.199999999999</v>
      </c>
      <c r="AT36" s="99">
        <v>18</v>
      </c>
      <c r="AU36" s="99">
        <v>13694.4</v>
      </c>
      <c r="AV36" s="99">
        <v>16</v>
      </c>
      <c r="AW36" s="99">
        <v>12172.8</v>
      </c>
      <c r="AX36" s="99">
        <v>22</v>
      </c>
      <c r="AY36" s="99">
        <v>16737.599999999999</v>
      </c>
      <c r="AZ36" s="99">
        <v>23</v>
      </c>
      <c r="BA36" s="99">
        <v>17498.399999999998</v>
      </c>
      <c r="BB36" s="99">
        <v>15</v>
      </c>
      <c r="BC36" s="99">
        <v>11412</v>
      </c>
      <c r="BD36" s="99">
        <v>21</v>
      </c>
      <c r="BE36" s="99">
        <v>15976.8</v>
      </c>
      <c r="BF36" s="99">
        <v>16</v>
      </c>
      <c r="BG36" s="99">
        <v>12172.8</v>
      </c>
      <c r="BH36" s="99">
        <v>17</v>
      </c>
      <c r="BI36" s="99">
        <v>12933.599999999999</v>
      </c>
      <c r="BJ36" s="99">
        <v>14</v>
      </c>
      <c r="BK36" s="99">
        <v>10651.199999999999</v>
      </c>
      <c r="BL36" s="99">
        <v>21</v>
      </c>
      <c r="BM36" s="99">
        <v>15976.8</v>
      </c>
      <c r="BN36" s="99">
        <v>25</v>
      </c>
      <c r="BO36" s="99">
        <v>19020</v>
      </c>
      <c r="BP36" s="99">
        <v>17</v>
      </c>
      <c r="BQ36" s="99">
        <v>12933.599999999999</v>
      </c>
      <c r="BR36" s="99">
        <v>23</v>
      </c>
      <c r="BS36" s="99">
        <v>17498.399999999998</v>
      </c>
      <c r="BT36" s="99">
        <v>11.399518473937018</v>
      </c>
      <c r="BU36" s="99">
        <v>8672.7536549712822</v>
      </c>
      <c r="BV36" s="99">
        <v>16</v>
      </c>
      <c r="BW36" s="99">
        <v>12172.8</v>
      </c>
      <c r="BX36" s="99">
        <v>15</v>
      </c>
      <c r="BY36" s="99">
        <v>11412</v>
      </c>
      <c r="BZ36" s="99">
        <v>15.327120399146956</v>
      </c>
      <c r="CA36" s="99">
        <v>11660.873199671003</v>
      </c>
      <c r="CB36" s="99">
        <v>14.972105025363824</v>
      </c>
      <c r="CC36" s="99">
        <v>11390.777503296797</v>
      </c>
      <c r="CD36" s="99">
        <v>14</v>
      </c>
      <c r="CE36" s="99">
        <v>10651.199999999999</v>
      </c>
      <c r="CF36" s="99">
        <v>13</v>
      </c>
      <c r="CG36" s="99">
        <v>9890.4</v>
      </c>
      <c r="CH36" s="99">
        <v>15</v>
      </c>
      <c r="CI36" s="99">
        <v>11412</v>
      </c>
      <c r="CJ36" s="99">
        <v>23</v>
      </c>
      <c r="CK36" s="99">
        <v>17498.399999999998</v>
      </c>
      <c r="CL36" s="99">
        <v>15.566963230815206</v>
      </c>
      <c r="CM36" s="99">
        <v>11843.345626004208</v>
      </c>
      <c r="CN36" s="99">
        <v>22</v>
      </c>
      <c r="CO36" s="99">
        <v>16737.599999999999</v>
      </c>
      <c r="CP36" s="99">
        <v>16</v>
      </c>
      <c r="CQ36" s="99">
        <v>12172.8</v>
      </c>
      <c r="CR36" s="99">
        <v>17.516492995920885</v>
      </c>
      <c r="CS36" s="99">
        <v>13326.547871296609</v>
      </c>
      <c r="CT36" s="99">
        <v>25</v>
      </c>
      <c r="CU36" s="99">
        <v>19020</v>
      </c>
    </row>
    <row r="37" spans="2:99">
      <c r="B37" s="98" t="s">
        <v>128</v>
      </c>
      <c r="C37" s="98" t="s">
        <v>203</v>
      </c>
      <c r="D37" s="99">
        <v>15</v>
      </c>
      <c r="E37" s="99">
        <v>12906</v>
      </c>
      <c r="F37" s="99">
        <v>12</v>
      </c>
      <c r="G37" s="99">
        <v>10324.799999999999</v>
      </c>
      <c r="H37" s="99">
        <v>11</v>
      </c>
      <c r="I37" s="99">
        <v>9464.4</v>
      </c>
      <c r="J37" s="99">
        <v>9</v>
      </c>
      <c r="K37" s="99">
        <v>7743.5999999999995</v>
      </c>
      <c r="L37" s="99">
        <v>14</v>
      </c>
      <c r="M37" s="99">
        <v>12045.6</v>
      </c>
      <c r="N37" s="99">
        <v>14</v>
      </c>
      <c r="O37" s="99">
        <v>12045.6</v>
      </c>
      <c r="P37" s="99">
        <v>16</v>
      </c>
      <c r="Q37" s="99">
        <v>13766.4</v>
      </c>
      <c r="R37" s="99">
        <v>15</v>
      </c>
      <c r="S37" s="99">
        <v>12906</v>
      </c>
      <c r="T37" s="99">
        <v>12</v>
      </c>
      <c r="U37" s="99">
        <v>10324.799999999999</v>
      </c>
      <c r="V37" s="99">
        <v>12</v>
      </c>
      <c r="W37" s="99">
        <v>10324.799999999999</v>
      </c>
      <c r="X37" s="99">
        <v>14</v>
      </c>
      <c r="Y37" s="99">
        <v>12045.6</v>
      </c>
      <c r="Z37" s="99">
        <v>16</v>
      </c>
      <c r="AA37" s="99">
        <v>13766.4</v>
      </c>
      <c r="AB37" s="99">
        <v>16</v>
      </c>
      <c r="AC37" s="99">
        <v>13766.4</v>
      </c>
      <c r="AD37" s="99">
        <v>14</v>
      </c>
      <c r="AE37" s="99">
        <v>12045.6</v>
      </c>
      <c r="AF37" s="99">
        <v>9</v>
      </c>
      <c r="AG37" s="99">
        <v>7743.5999999999995</v>
      </c>
      <c r="AH37" s="99">
        <v>9</v>
      </c>
      <c r="AI37" s="99">
        <v>7743.5999999999995</v>
      </c>
      <c r="AJ37" s="99">
        <v>14</v>
      </c>
      <c r="AK37" s="99">
        <v>12045.6</v>
      </c>
      <c r="AL37" s="99">
        <v>18</v>
      </c>
      <c r="AM37" s="99">
        <v>15487.199999999999</v>
      </c>
      <c r="AN37" s="99">
        <v>17</v>
      </c>
      <c r="AO37" s="99">
        <v>14626.8</v>
      </c>
      <c r="AP37" s="99">
        <v>15</v>
      </c>
      <c r="AQ37" s="99">
        <v>12906</v>
      </c>
      <c r="AR37" s="99">
        <v>15</v>
      </c>
      <c r="AS37" s="99">
        <v>12906</v>
      </c>
      <c r="AT37" s="99">
        <v>12</v>
      </c>
      <c r="AU37" s="99">
        <v>10324.799999999999</v>
      </c>
      <c r="AV37" s="99">
        <v>12</v>
      </c>
      <c r="AW37" s="99">
        <v>10324.799999999999</v>
      </c>
      <c r="AX37" s="99">
        <v>10</v>
      </c>
      <c r="AY37" s="99">
        <v>8604</v>
      </c>
      <c r="AZ37" s="99">
        <v>11</v>
      </c>
      <c r="BA37" s="99">
        <v>9464.4</v>
      </c>
      <c r="BB37" s="99">
        <v>17</v>
      </c>
      <c r="BC37" s="99">
        <v>14626.8</v>
      </c>
      <c r="BD37" s="99">
        <v>16</v>
      </c>
      <c r="BE37" s="99">
        <v>13766.4</v>
      </c>
      <c r="BF37" s="99">
        <v>10</v>
      </c>
      <c r="BG37" s="99">
        <v>8604</v>
      </c>
      <c r="BH37" s="99">
        <v>13</v>
      </c>
      <c r="BI37" s="99">
        <v>11185.199999999999</v>
      </c>
      <c r="BJ37" s="99">
        <v>8</v>
      </c>
      <c r="BK37" s="99">
        <v>6883.2</v>
      </c>
      <c r="BL37" s="99">
        <v>14</v>
      </c>
      <c r="BM37" s="99">
        <v>12045.6</v>
      </c>
      <c r="BN37" s="99">
        <v>11</v>
      </c>
      <c r="BO37" s="99">
        <v>9464.4</v>
      </c>
      <c r="BP37" s="99">
        <v>11</v>
      </c>
      <c r="BQ37" s="99">
        <v>9464.4</v>
      </c>
      <c r="BR37" s="99">
        <v>16</v>
      </c>
      <c r="BS37" s="99">
        <v>13766.4</v>
      </c>
      <c r="BT37" s="99">
        <v>7.0150882916535489</v>
      </c>
      <c r="BU37" s="99">
        <v>6035.781966138713</v>
      </c>
      <c r="BV37" s="99">
        <v>10</v>
      </c>
      <c r="BW37" s="99">
        <v>8604</v>
      </c>
      <c r="BX37" s="99">
        <v>11</v>
      </c>
      <c r="BY37" s="99">
        <v>9464.4</v>
      </c>
      <c r="BZ37" s="99">
        <v>10.450309363054744</v>
      </c>
      <c r="CA37" s="99">
        <v>8991.4461759723017</v>
      </c>
      <c r="CB37" s="99">
        <v>13.308537800323398</v>
      </c>
      <c r="CC37" s="99">
        <v>11450.665923398252</v>
      </c>
      <c r="CD37" s="99">
        <v>16</v>
      </c>
      <c r="CE37" s="99">
        <v>13766.4</v>
      </c>
      <c r="CF37" s="99">
        <v>14</v>
      </c>
      <c r="CG37" s="99">
        <v>12045.6</v>
      </c>
      <c r="CH37" s="99">
        <v>15</v>
      </c>
      <c r="CI37" s="99">
        <v>12906</v>
      </c>
      <c r="CJ37" s="99">
        <v>12</v>
      </c>
      <c r="CK37" s="99">
        <v>10324.799999999999</v>
      </c>
      <c r="CL37" s="99">
        <v>9.8317662510411825</v>
      </c>
      <c r="CM37" s="99">
        <v>8459.251682395834</v>
      </c>
      <c r="CN37" s="99">
        <v>13</v>
      </c>
      <c r="CO37" s="99">
        <v>11185.199999999999</v>
      </c>
      <c r="CP37" s="99">
        <v>8</v>
      </c>
      <c r="CQ37" s="99">
        <v>6883.2</v>
      </c>
      <c r="CR37" s="99">
        <v>12.739267633397006</v>
      </c>
      <c r="CS37" s="99">
        <v>10960.865871774784</v>
      </c>
      <c r="CT37" s="99">
        <v>18</v>
      </c>
      <c r="CU37" s="99">
        <v>15487.199999999999</v>
      </c>
    </row>
    <row r="38" spans="2:99">
      <c r="C38" s="98" t="s">
        <v>204</v>
      </c>
      <c r="D38" s="99">
        <v>15</v>
      </c>
      <c r="E38" s="99">
        <v>18630</v>
      </c>
      <c r="F38" s="99">
        <v>11</v>
      </c>
      <c r="G38" s="99">
        <v>13662</v>
      </c>
      <c r="H38" s="99">
        <v>11</v>
      </c>
      <c r="I38" s="99">
        <v>13662</v>
      </c>
      <c r="J38" s="99">
        <v>8</v>
      </c>
      <c r="K38" s="99">
        <v>9936</v>
      </c>
      <c r="L38" s="99">
        <v>15</v>
      </c>
      <c r="M38" s="99">
        <v>18630</v>
      </c>
      <c r="N38" s="99">
        <v>13</v>
      </c>
      <c r="O38" s="99">
        <v>16146</v>
      </c>
      <c r="P38" s="99">
        <v>15</v>
      </c>
      <c r="Q38" s="99">
        <v>18630</v>
      </c>
      <c r="R38" s="99">
        <v>16</v>
      </c>
      <c r="S38" s="99">
        <v>19872</v>
      </c>
      <c r="T38" s="99">
        <v>11</v>
      </c>
      <c r="U38" s="99">
        <v>13662</v>
      </c>
      <c r="V38" s="99">
        <v>11</v>
      </c>
      <c r="W38" s="99">
        <v>13662</v>
      </c>
      <c r="X38" s="99">
        <v>13</v>
      </c>
      <c r="Y38" s="99">
        <v>16146</v>
      </c>
      <c r="Z38" s="99">
        <v>17</v>
      </c>
      <c r="AA38" s="99">
        <v>21114</v>
      </c>
      <c r="AB38" s="99">
        <v>15</v>
      </c>
      <c r="AC38" s="99">
        <v>18630</v>
      </c>
      <c r="AD38" s="99">
        <v>12</v>
      </c>
      <c r="AE38" s="99">
        <v>14904</v>
      </c>
      <c r="AF38" s="99">
        <v>9</v>
      </c>
      <c r="AG38" s="99">
        <v>11178</v>
      </c>
      <c r="AH38" s="99">
        <v>10</v>
      </c>
      <c r="AI38" s="99">
        <v>12420</v>
      </c>
      <c r="AJ38" s="99">
        <v>17</v>
      </c>
      <c r="AK38" s="99">
        <v>21114</v>
      </c>
      <c r="AL38" s="99">
        <v>17</v>
      </c>
      <c r="AM38" s="99">
        <v>21114</v>
      </c>
      <c r="AN38" s="99">
        <v>17</v>
      </c>
      <c r="AO38" s="99">
        <v>21114</v>
      </c>
      <c r="AP38" s="99">
        <v>15</v>
      </c>
      <c r="AQ38" s="99">
        <v>18630</v>
      </c>
      <c r="AR38" s="99">
        <v>15</v>
      </c>
      <c r="AS38" s="99">
        <v>18630</v>
      </c>
      <c r="AT38" s="99">
        <v>11</v>
      </c>
      <c r="AU38" s="99">
        <v>13662</v>
      </c>
      <c r="AV38" s="99">
        <v>11</v>
      </c>
      <c r="AW38" s="99">
        <v>13662</v>
      </c>
      <c r="AX38" s="99">
        <v>11</v>
      </c>
      <c r="AY38" s="99">
        <v>13662</v>
      </c>
      <c r="AZ38" s="99">
        <v>9</v>
      </c>
      <c r="BA38" s="99">
        <v>11178</v>
      </c>
      <c r="BB38" s="99">
        <v>15</v>
      </c>
      <c r="BC38" s="99">
        <v>18630</v>
      </c>
      <c r="BD38" s="99">
        <v>15</v>
      </c>
      <c r="BE38" s="99">
        <v>18630</v>
      </c>
      <c r="BF38" s="99">
        <v>10</v>
      </c>
      <c r="BG38" s="99">
        <v>12420</v>
      </c>
      <c r="BH38" s="99">
        <v>13</v>
      </c>
      <c r="BI38" s="99">
        <v>16146</v>
      </c>
      <c r="BJ38" s="99">
        <v>9</v>
      </c>
      <c r="BK38" s="99">
        <v>11178</v>
      </c>
      <c r="BL38" s="99">
        <v>13</v>
      </c>
      <c r="BM38" s="99">
        <v>16146</v>
      </c>
      <c r="BN38" s="99">
        <v>11</v>
      </c>
      <c r="BO38" s="99">
        <v>13662</v>
      </c>
      <c r="BP38" s="99">
        <v>9</v>
      </c>
      <c r="BQ38" s="99">
        <v>11178</v>
      </c>
      <c r="BR38" s="99">
        <v>16</v>
      </c>
      <c r="BS38" s="99">
        <v>19872</v>
      </c>
      <c r="BT38" s="99">
        <v>7.0150882916535489</v>
      </c>
      <c r="BU38" s="99">
        <v>8712.7396582337078</v>
      </c>
      <c r="BV38" s="99">
        <v>10</v>
      </c>
      <c r="BW38" s="99">
        <v>12420</v>
      </c>
      <c r="BX38" s="99">
        <v>10</v>
      </c>
      <c r="BY38" s="99">
        <v>12420</v>
      </c>
      <c r="BZ38" s="99">
        <v>9.7536220721844273</v>
      </c>
      <c r="CA38" s="99">
        <v>12113.998613653059</v>
      </c>
      <c r="CB38" s="99">
        <v>12.476754187803186</v>
      </c>
      <c r="CC38" s="99">
        <v>15496.128701251557</v>
      </c>
      <c r="CD38" s="99">
        <v>14</v>
      </c>
      <c r="CE38" s="99">
        <v>17388</v>
      </c>
      <c r="CF38" s="99">
        <v>15</v>
      </c>
      <c r="CG38" s="99">
        <v>18630</v>
      </c>
      <c r="CH38" s="99">
        <v>17</v>
      </c>
      <c r="CI38" s="99">
        <v>21114</v>
      </c>
      <c r="CJ38" s="99">
        <v>13</v>
      </c>
      <c r="CK38" s="99">
        <v>16146</v>
      </c>
      <c r="CL38" s="99">
        <v>9.8317662510411825</v>
      </c>
      <c r="CM38" s="99">
        <v>12211.053683793149</v>
      </c>
      <c r="CN38" s="99">
        <v>11</v>
      </c>
      <c r="CO38" s="99">
        <v>13662</v>
      </c>
      <c r="CP38" s="99">
        <v>8</v>
      </c>
      <c r="CQ38" s="99">
        <v>9936</v>
      </c>
      <c r="CR38" s="99">
        <v>13.535471860484321</v>
      </c>
      <c r="CS38" s="99">
        <v>16811.056050721527</v>
      </c>
      <c r="CT38" s="99">
        <v>16</v>
      </c>
      <c r="CU38" s="99">
        <v>19872</v>
      </c>
    </row>
    <row r="39" spans="2:99">
      <c r="C39" s="98" t="s">
        <v>205</v>
      </c>
      <c r="D39" s="99">
        <v>16</v>
      </c>
      <c r="E39" s="99">
        <v>22771.200000000001</v>
      </c>
      <c r="F39" s="99">
        <v>10</v>
      </c>
      <c r="G39" s="99">
        <v>14232</v>
      </c>
      <c r="H39" s="99">
        <v>10</v>
      </c>
      <c r="I39" s="99">
        <v>14232</v>
      </c>
      <c r="J39" s="99">
        <v>9</v>
      </c>
      <c r="K39" s="99">
        <v>12808.800000000001</v>
      </c>
      <c r="L39" s="99">
        <v>15</v>
      </c>
      <c r="M39" s="99">
        <v>21348</v>
      </c>
      <c r="N39" s="99">
        <v>15</v>
      </c>
      <c r="O39" s="99">
        <v>21348</v>
      </c>
      <c r="P39" s="99">
        <v>15</v>
      </c>
      <c r="Q39" s="99">
        <v>21348</v>
      </c>
      <c r="R39" s="99">
        <v>15</v>
      </c>
      <c r="S39" s="99">
        <v>21348</v>
      </c>
      <c r="T39" s="99">
        <v>11</v>
      </c>
      <c r="U39" s="99">
        <v>15655.2</v>
      </c>
      <c r="V39" s="99">
        <v>10</v>
      </c>
      <c r="W39" s="99">
        <v>14232</v>
      </c>
      <c r="X39" s="99">
        <v>12</v>
      </c>
      <c r="Y39" s="99">
        <v>17078.400000000001</v>
      </c>
      <c r="Z39" s="99">
        <v>15</v>
      </c>
      <c r="AA39" s="99">
        <v>21348</v>
      </c>
      <c r="AB39" s="99">
        <v>15</v>
      </c>
      <c r="AC39" s="99">
        <v>21348</v>
      </c>
      <c r="AD39" s="99">
        <v>14</v>
      </c>
      <c r="AE39" s="99">
        <v>19924.8</v>
      </c>
      <c r="AF39" s="99">
        <v>10</v>
      </c>
      <c r="AG39" s="99">
        <v>14232</v>
      </c>
      <c r="AH39" s="99">
        <v>9</v>
      </c>
      <c r="AI39" s="99">
        <v>12808.800000000001</v>
      </c>
      <c r="AJ39" s="99">
        <v>15</v>
      </c>
      <c r="AK39" s="99">
        <v>21348</v>
      </c>
      <c r="AL39" s="99">
        <v>15</v>
      </c>
      <c r="AM39" s="99">
        <v>21348</v>
      </c>
      <c r="AN39" s="99">
        <v>15</v>
      </c>
      <c r="AO39" s="99">
        <v>21348</v>
      </c>
      <c r="AP39" s="99">
        <v>15</v>
      </c>
      <c r="AQ39" s="99">
        <v>21348</v>
      </c>
      <c r="AR39" s="99">
        <v>14</v>
      </c>
      <c r="AS39" s="99">
        <v>19924.8</v>
      </c>
      <c r="AT39" s="99">
        <v>11</v>
      </c>
      <c r="AU39" s="99">
        <v>15655.2</v>
      </c>
      <c r="AV39" s="99">
        <v>12</v>
      </c>
      <c r="AW39" s="99">
        <v>17078.400000000001</v>
      </c>
      <c r="AX39" s="99">
        <v>10</v>
      </c>
      <c r="AY39" s="99">
        <v>14232</v>
      </c>
      <c r="AZ39" s="99">
        <v>11</v>
      </c>
      <c r="BA39" s="99">
        <v>15655.2</v>
      </c>
      <c r="BB39" s="99">
        <v>16</v>
      </c>
      <c r="BC39" s="99">
        <v>22771.200000000001</v>
      </c>
      <c r="BD39" s="99">
        <v>17</v>
      </c>
      <c r="BE39" s="99">
        <v>24194.400000000001</v>
      </c>
      <c r="BF39" s="99">
        <v>10</v>
      </c>
      <c r="BG39" s="99">
        <v>14232</v>
      </c>
      <c r="BH39" s="99">
        <v>12</v>
      </c>
      <c r="BI39" s="99">
        <v>17078.400000000001</v>
      </c>
      <c r="BJ39" s="99">
        <v>9</v>
      </c>
      <c r="BK39" s="99">
        <v>12808.800000000001</v>
      </c>
      <c r="BL39" s="99">
        <v>14</v>
      </c>
      <c r="BM39" s="99">
        <v>19924.8</v>
      </c>
      <c r="BN39" s="99">
        <v>11</v>
      </c>
      <c r="BO39" s="99">
        <v>15655.2</v>
      </c>
      <c r="BP39" s="99">
        <v>11</v>
      </c>
      <c r="BQ39" s="99">
        <v>15655.2</v>
      </c>
      <c r="BR39" s="99">
        <v>16</v>
      </c>
      <c r="BS39" s="99">
        <v>22771.200000000001</v>
      </c>
      <c r="BT39" s="99">
        <v>7.8919743281102424</v>
      </c>
      <c r="BU39" s="99">
        <v>11231.857863766498</v>
      </c>
      <c r="BV39" s="99">
        <v>9</v>
      </c>
      <c r="BW39" s="99">
        <v>12808.800000000001</v>
      </c>
      <c r="BX39" s="99">
        <v>10</v>
      </c>
      <c r="BY39" s="99">
        <v>14232</v>
      </c>
      <c r="BZ39" s="99">
        <v>11.14699665392506</v>
      </c>
      <c r="CA39" s="99">
        <v>15864.405637866144</v>
      </c>
      <c r="CB39" s="99">
        <v>13.308537800323398</v>
      </c>
      <c r="CC39" s="99">
        <v>18940.710997420261</v>
      </c>
      <c r="CD39" s="99">
        <v>13</v>
      </c>
      <c r="CE39" s="99">
        <v>18501.600000000002</v>
      </c>
      <c r="CF39" s="99">
        <v>14</v>
      </c>
      <c r="CG39" s="99">
        <v>19924.8</v>
      </c>
      <c r="CH39" s="99">
        <v>16</v>
      </c>
      <c r="CI39" s="99">
        <v>22771.200000000001</v>
      </c>
      <c r="CJ39" s="99">
        <v>12</v>
      </c>
      <c r="CK39" s="99">
        <v>17078.400000000001</v>
      </c>
      <c r="CL39" s="99">
        <v>11.470393959548048</v>
      </c>
      <c r="CM39" s="99">
        <v>16324.664683228782</v>
      </c>
      <c r="CN39" s="99">
        <v>12</v>
      </c>
      <c r="CO39" s="99">
        <v>17078.400000000001</v>
      </c>
      <c r="CP39" s="99">
        <v>8</v>
      </c>
      <c r="CQ39" s="99">
        <v>11385.6</v>
      </c>
      <c r="CR39" s="99">
        <v>12.739267633397006</v>
      </c>
      <c r="CS39" s="99">
        <v>18130.525695850618</v>
      </c>
      <c r="CT39" s="99">
        <v>17</v>
      </c>
      <c r="CU39" s="99">
        <v>24194.400000000001</v>
      </c>
    </row>
    <row r="40" spans="2:99">
      <c r="C40" s="98" t="s">
        <v>206</v>
      </c>
      <c r="D40" s="99">
        <v>14</v>
      </c>
      <c r="E40" s="99">
        <v>10147.199999999999</v>
      </c>
      <c r="F40" s="99">
        <v>12</v>
      </c>
      <c r="G40" s="99">
        <v>8697.5999999999985</v>
      </c>
      <c r="H40" s="99">
        <v>10</v>
      </c>
      <c r="I40" s="99">
        <v>7248</v>
      </c>
      <c r="J40" s="99">
        <v>9</v>
      </c>
      <c r="K40" s="99">
        <v>6523.2</v>
      </c>
      <c r="L40" s="99">
        <v>16</v>
      </c>
      <c r="M40" s="99">
        <v>11596.8</v>
      </c>
      <c r="N40" s="99">
        <v>14</v>
      </c>
      <c r="O40" s="99">
        <v>10147.199999999999</v>
      </c>
      <c r="P40" s="99">
        <v>15</v>
      </c>
      <c r="Q40" s="99">
        <v>10872</v>
      </c>
      <c r="R40" s="99">
        <v>16</v>
      </c>
      <c r="S40" s="99">
        <v>11596.8</v>
      </c>
      <c r="T40" s="99">
        <v>13</v>
      </c>
      <c r="U40" s="99">
        <v>9422.4</v>
      </c>
      <c r="V40" s="99">
        <v>12</v>
      </c>
      <c r="W40" s="99">
        <v>8697.5999999999985</v>
      </c>
      <c r="X40" s="99">
        <v>14</v>
      </c>
      <c r="Y40" s="99">
        <v>10147.199999999999</v>
      </c>
      <c r="Z40" s="99">
        <v>17</v>
      </c>
      <c r="AA40" s="99">
        <v>12321.599999999999</v>
      </c>
      <c r="AB40" s="99">
        <v>14</v>
      </c>
      <c r="AC40" s="99">
        <v>10147.199999999999</v>
      </c>
      <c r="AD40" s="99">
        <v>13</v>
      </c>
      <c r="AE40" s="99">
        <v>9422.4</v>
      </c>
      <c r="AF40" s="99">
        <v>10</v>
      </c>
      <c r="AG40" s="99">
        <v>7248</v>
      </c>
      <c r="AH40" s="99">
        <v>9</v>
      </c>
      <c r="AI40" s="99">
        <v>6523.2</v>
      </c>
      <c r="AJ40" s="99">
        <v>15</v>
      </c>
      <c r="AK40" s="99">
        <v>10872</v>
      </c>
      <c r="AL40" s="99">
        <v>18</v>
      </c>
      <c r="AM40" s="99">
        <v>13046.4</v>
      </c>
      <c r="AN40" s="99">
        <v>15</v>
      </c>
      <c r="AO40" s="99">
        <v>10872</v>
      </c>
      <c r="AP40" s="99">
        <v>15</v>
      </c>
      <c r="AQ40" s="99">
        <v>10872</v>
      </c>
      <c r="AR40" s="99">
        <v>14</v>
      </c>
      <c r="AS40" s="99">
        <v>10147.199999999999</v>
      </c>
      <c r="AT40" s="99">
        <v>13</v>
      </c>
      <c r="AU40" s="99">
        <v>9422.4</v>
      </c>
      <c r="AV40" s="99">
        <v>13</v>
      </c>
      <c r="AW40" s="99">
        <v>9422.4</v>
      </c>
      <c r="AX40" s="99">
        <v>11</v>
      </c>
      <c r="AY40" s="99">
        <v>7972.7999999999993</v>
      </c>
      <c r="AZ40" s="99">
        <v>11</v>
      </c>
      <c r="BA40" s="99">
        <v>7972.7999999999993</v>
      </c>
      <c r="BB40" s="99">
        <v>17</v>
      </c>
      <c r="BC40" s="99">
        <v>12321.599999999999</v>
      </c>
      <c r="BD40" s="99">
        <v>15</v>
      </c>
      <c r="BE40" s="99">
        <v>10872</v>
      </c>
      <c r="BF40" s="99">
        <v>10</v>
      </c>
      <c r="BG40" s="99">
        <v>7248</v>
      </c>
      <c r="BH40" s="99">
        <v>12</v>
      </c>
      <c r="BI40" s="99">
        <v>8697.5999999999985</v>
      </c>
      <c r="BJ40" s="99">
        <v>8</v>
      </c>
      <c r="BK40" s="99">
        <v>5798.4</v>
      </c>
      <c r="BL40" s="99">
        <v>13</v>
      </c>
      <c r="BM40" s="99">
        <v>9422.4</v>
      </c>
      <c r="BN40" s="99">
        <v>13</v>
      </c>
      <c r="BO40" s="99">
        <v>9422.4</v>
      </c>
      <c r="BP40" s="99">
        <v>11</v>
      </c>
      <c r="BQ40" s="99">
        <v>7972.7999999999993</v>
      </c>
      <c r="BR40" s="99">
        <v>16</v>
      </c>
      <c r="BS40" s="99">
        <v>11596.8</v>
      </c>
      <c r="BT40" s="99">
        <v>7.0150882916535489</v>
      </c>
      <c r="BU40" s="99">
        <v>5084.5359937904923</v>
      </c>
      <c r="BV40" s="99">
        <v>9</v>
      </c>
      <c r="BW40" s="99">
        <v>6523.2</v>
      </c>
      <c r="BX40" s="99">
        <v>9</v>
      </c>
      <c r="BY40" s="99">
        <v>6523.2</v>
      </c>
      <c r="BZ40" s="99">
        <v>11.14699665392506</v>
      </c>
      <c r="CA40" s="99">
        <v>8079.3431747648829</v>
      </c>
      <c r="CB40" s="99">
        <v>12.476754187803186</v>
      </c>
      <c r="CC40" s="99">
        <v>9043.151435319749</v>
      </c>
      <c r="CD40" s="99">
        <v>14</v>
      </c>
      <c r="CE40" s="99">
        <v>10147.199999999999</v>
      </c>
      <c r="CF40" s="99">
        <v>14</v>
      </c>
      <c r="CG40" s="99">
        <v>10147.199999999999</v>
      </c>
      <c r="CH40" s="99">
        <v>18</v>
      </c>
      <c r="CI40" s="99">
        <v>13046.4</v>
      </c>
      <c r="CJ40" s="99">
        <v>13</v>
      </c>
      <c r="CK40" s="99">
        <v>9422.4</v>
      </c>
      <c r="CL40" s="99">
        <v>11.470393959548048</v>
      </c>
      <c r="CM40" s="99">
        <v>8313.7415418804248</v>
      </c>
      <c r="CN40" s="99">
        <v>11</v>
      </c>
      <c r="CO40" s="99">
        <v>7972.7999999999993</v>
      </c>
      <c r="CP40" s="99">
        <v>8</v>
      </c>
      <c r="CQ40" s="99">
        <v>5798.4</v>
      </c>
      <c r="CR40" s="99">
        <v>14.331676087571635</v>
      </c>
      <c r="CS40" s="99">
        <v>10387.598828271921</v>
      </c>
      <c r="CT40" s="99">
        <v>18</v>
      </c>
      <c r="CU40" s="99">
        <v>13046.4</v>
      </c>
    </row>
    <row r="41" spans="2:99">
      <c r="C41" s="98" t="s">
        <v>207</v>
      </c>
      <c r="D41" s="99">
        <v>16</v>
      </c>
      <c r="E41" s="99">
        <v>10560</v>
      </c>
      <c r="F41" s="99">
        <v>12</v>
      </c>
      <c r="G41" s="99">
        <v>7920</v>
      </c>
      <c r="H41" s="99">
        <v>11</v>
      </c>
      <c r="I41" s="99">
        <v>7260</v>
      </c>
      <c r="J41" s="99">
        <v>9</v>
      </c>
      <c r="K41" s="99">
        <v>5940</v>
      </c>
      <c r="L41" s="99">
        <v>14</v>
      </c>
      <c r="M41" s="99">
        <v>9240</v>
      </c>
      <c r="N41" s="99">
        <v>14</v>
      </c>
      <c r="O41" s="99">
        <v>9240</v>
      </c>
      <c r="P41" s="99">
        <v>15</v>
      </c>
      <c r="Q41" s="99">
        <v>9900</v>
      </c>
      <c r="R41" s="99">
        <v>17</v>
      </c>
      <c r="S41" s="99">
        <v>11220</v>
      </c>
      <c r="T41" s="99">
        <v>11</v>
      </c>
      <c r="U41" s="99">
        <v>7260</v>
      </c>
      <c r="V41" s="99">
        <v>11</v>
      </c>
      <c r="W41" s="99">
        <v>7260</v>
      </c>
      <c r="X41" s="99">
        <v>15</v>
      </c>
      <c r="Y41" s="99">
        <v>9900</v>
      </c>
      <c r="Z41" s="99">
        <v>17</v>
      </c>
      <c r="AA41" s="99">
        <v>11220</v>
      </c>
      <c r="AB41" s="99">
        <v>13</v>
      </c>
      <c r="AC41" s="99">
        <v>8580</v>
      </c>
      <c r="AD41" s="99">
        <v>13</v>
      </c>
      <c r="AE41" s="99">
        <v>8580</v>
      </c>
      <c r="AF41" s="99">
        <v>10</v>
      </c>
      <c r="AG41" s="99">
        <v>6600</v>
      </c>
      <c r="AH41" s="99">
        <v>10</v>
      </c>
      <c r="AI41" s="99">
        <v>6600</v>
      </c>
      <c r="AJ41" s="99">
        <v>17</v>
      </c>
      <c r="AK41" s="99">
        <v>11220</v>
      </c>
      <c r="AL41" s="99">
        <v>15</v>
      </c>
      <c r="AM41" s="99">
        <v>9900</v>
      </c>
      <c r="AN41" s="99">
        <v>16</v>
      </c>
      <c r="AO41" s="99">
        <v>10560</v>
      </c>
      <c r="AP41" s="99">
        <v>18</v>
      </c>
      <c r="AQ41" s="99">
        <v>11880</v>
      </c>
      <c r="AR41" s="99">
        <v>16</v>
      </c>
      <c r="AS41" s="99">
        <v>10560</v>
      </c>
      <c r="AT41" s="99">
        <v>12</v>
      </c>
      <c r="AU41" s="99">
        <v>7920</v>
      </c>
      <c r="AV41" s="99">
        <v>13</v>
      </c>
      <c r="AW41" s="99">
        <v>8580</v>
      </c>
      <c r="AX41" s="99">
        <v>10</v>
      </c>
      <c r="AY41" s="99">
        <v>6600</v>
      </c>
      <c r="AZ41" s="99">
        <v>11</v>
      </c>
      <c r="BA41" s="99">
        <v>7260</v>
      </c>
      <c r="BB41" s="99">
        <v>18</v>
      </c>
      <c r="BC41" s="99">
        <v>11880</v>
      </c>
      <c r="BD41" s="99">
        <v>15</v>
      </c>
      <c r="BE41" s="99">
        <v>9900</v>
      </c>
      <c r="BF41" s="99">
        <v>11</v>
      </c>
      <c r="BG41" s="99">
        <v>7260</v>
      </c>
      <c r="BH41" s="99">
        <v>12</v>
      </c>
      <c r="BI41" s="99">
        <v>7920</v>
      </c>
      <c r="BJ41" s="99">
        <v>9</v>
      </c>
      <c r="BK41" s="99">
        <v>5940</v>
      </c>
      <c r="BL41" s="99">
        <v>13</v>
      </c>
      <c r="BM41" s="99">
        <v>8580</v>
      </c>
      <c r="BN41" s="99">
        <v>11</v>
      </c>
      <c r="BO41" s="99">
        <v>7260</v>
      </c>
      <c r="BP41" s="99">
        <v>11</v>
      </c>
      <c r="BQ41" s="99">
        <v>7260</v>
      </c>
      <c r="BR41" s="99">
        <v>17</v>
      </c>
      <c r="BS41" s="99">
        <v>11220</v>
      </c>
      <c r="BT41" s="99">
        <v>7.8919743281102424</v>
      </c>
      <c r="BU41" s="99">
        <v>5208.7030565527602</v>
      </c>
      <c r="BV41" s="99">
        <v>9</v>
      </c>
      <c r="BW41" s="99">
        <v>5940</v>
      </c>
      <c r="BX41" s="99">
        <v>10</v>
      </c>
      <c r="BY41" s="99">
        <v>6600</v>
      </c>
      <c r="BZ41" s="99">
        <v>11.14699665392506</v>
      </c>
      <c r="CA41" s="99">
        <v>7357.0177915905397</v>
      </c>
      <c r="CB41" s="99">
        <v>13.308537800323398</v>
      </c>
      <c r="CC41" s="99">
        <v>8783.6349482134428</v>
      </c>
      <c r="CD41" s="99">
        <v>16</v>
      </c>
      <c r="CE41" s="99">
        <v>10560</v>
      </c>
      <c r="CF41" s="99">
        <v>15</v>
      </c>
      <c r="CG41" s="99">
        <v>9900</v>
      </c>
      <c r="CH41" s="99">
        <v>16</v>
      </c>
      <c r="CI41" s="99">
        <v>10560</v>
      </c>
      <c r="CJ41" s="99">
        <v>12</v>
      </c>
      <c r="CK41" s="99">
        <v>7920</v>
      </c>
      <c r="CL41" s="99">
        <v>10.651080105294614</v>
      </c>
      <c r="CM41" s="99">
        <v>7029.7128694944458</v>
      </c>
      <c r="CN41" s="99">
        <v>12</v>
      </c>
      <c r="CO41" s="99">
        <v>7920</v>
      </c>
      <c r="CP41" s="99">
        <v>10</v>
      </c>
      <c r="CQ41" s="99">
        <v>6600</v>
      </c>
      <c r="CR41" s="99">
        <v>13.535471860484321</v>
      </c>
      <c r="CS41" s="99">
        <v>8933.4114279196529</v>
      </c>
      <c r="CT41" s="99">
        <v>18</v>
      </c>
      <c r="CU41" s="99">
        <v>11880</v>
      </c>
    </row>
    <row r="42" spans="2:99">
      <c r="C42" s="98" t="s">
        <v>208</v>
      </c>
      <c r="D42" s="99">
        <v>14</v>
      </c>
      <c r="E42" s="99">
        <v>11844</v>
      </c>
      <c r="F42" s="99">
        <v>12</v>
      </c>
      <c r="G42" s="99">
        <v>10152</v>
      </c>
      <c r="H42" s="99">
        <v>11</v>
      </c>
      <c r="I42" s="99">
        <v>9306</v>
      </c>
      <c r="J42" s="99">
        <v>8</v>
      </c>
      <c r="K42" s="99">
        <v>6768</v>
      </c>
      <c r="L42" s="99">
        <v>14</v>
      </c>
      <c r="M42" s="99">
        <v>11844</v>
      </c>
      <c r="N42" s="99">
        <v>14</v>
      </c>
      <c r="O42" s="99">
        <v>11844</v>
      </c>
      <c r="P42" s="99">
        <v>16</v>
      </c>
      <c r="Q42" s="99">
        <v>13536</v>
      </c>
      <c r="R42" s="99">
        <v>16</v>
      </c>
      <c r="S42" s="99">
        <v>13536</v>
      </c>
      <c r="T42" s="99">
        <v>13</v>
      </c>
      <c r="U42" s="99">
        <v>10998</v>
      </c>
      <c r="V42" s="99">
        <v>12</v>
      </c>
      <c r="W42" s="99">
        <v>10152</v>
      </c>
      <c r="X42" s="99">
        <v>14</v>
      </c>
      <c r="Y42" s="99">
        <v>11844</v>
      </c>
      <c r="Z42" s="99">
        <v>16</v>
      </c>
      <c r="AA42" s="99">
        <v>13536</v>
      </c>
      <c r="AB42" s="99">
        <v>15</v>
      </c>
      <c r="AC42" s="99">
        <v>12690</v>
      </c>
      <c r="AD42" s="99">
        <v>12</v>
      </c>
      <c r="AE42" s="99">
        <v>10152</v>
      </c>
      <c r="AF42" s="99">
        <v>10</v>
      </c>
      <c r="AG42" s="99">
        <v>8460</v>
      </c>
      <c r="AH42" s="99">
        <v>9</v>
      </c>
      <c r="AI42" s="99">
        <v>7614</v>
      </c>
      <c r="AJ42" s="99">
        <v>17</v>
      </c>
      <c r="AK42" s="99">
        <v>14382</v>
      </c>
      <c r="AL42" s="99">
        <v>17</v>
      </c>
      <c r="AM42" s="99">
        <v>14382</v>
      </c>
      <c r="AN42" s="99">
        <v>17</v>
      </c>
      <c r="AO42" s="99">
        <v>14382</v>
      </c>
      <c r="AP42" s="99">
        <v>17</v>
      </c>
      <c r="AQ42" s="99">
        <v>14382</v>
      </c>
      <c r="AR42" s="99">
        <v>14</v>
      </c>
      <c r="AS42" s="99">
        <v>11844</v>
      </c>
      <c r="AT42" s="99">
        <v>13</v>
      </c>
      <c r="AU42" s="99">
        <v>10998</v>
      </c>
      <c r="AV42" s="99">
        <v>11</v>
      </c>
      <c r="AW42" s="99">
        <v>9306</v>
      </c>
      <c r="AX42" s="99">
        <v>10</v>
      </c>
      <c r="AY42" s="99">
        <v>8460</v>
      </c>
      <c r="AZ42" s="99">
        <v>10</v>
      </c>
      <c r="BA42" s="99">
        <v>8460</v>
      </c>
      <c r="BB42" s="99">
        <v>18</v>
      </c>
      <c r="BC42" s="99">
        <v>15228</v>
      </c>
      <c r="BD42" s="99">
        <v>16</v>
      </c>
      <c r="BE42" s="99">
        <v>13536</v>
      </c>
      <c r="BF42" s="99">
        <v>10</v>
      </c>
      <c r="BG42" s="99">
        <v>8460</v>
      </c>
      <c r="BH42" s="99">
        <v>14</v>
      </c>
      <c r="BI42" s="99">
        <v>11844</v>
      </c>
      <c r="BJ42" s="99">
        <v>10</v>
      </c>
      <c r="BK42" s="99">
        <v>8460</v>
      </c>
      <c r="BL42" s="99">
        <v>13</v>
      </c>
      <c r="BM42" s="99">
        <v>10998</v>
      </c>
      <c r="BN42" s="99">
        <v>12</v>
      </c>
      <c r="BO42" s="99">
        <v>10152</v>
      </c>
      <c r="BP42" s="99">
        <v>10</v>
      </c>
      <c r="BQ42" s="99">
        <v>8460</v>
      </c>
      <c r="BR42" s="99">
        <v>18</v>
      </c>
      <c r="BS42" s="99">
        <v>15228</v>
      </c>
      <c r="BT42" s="99">
        <v>7.8919743281102424</v>
      </c>
      <c r="BU42" s="99">
        <v>6676.6102815812646</v>
      </c>
      <c r="BV42" s="99">
        <v>9</v>
      </c>
      <c r="BW42" s="99">
        <v>7614</v>
      </c>
      <c r="BX42" s="99">
        <v>11</v>
      </c>
      <c r="BY42" s="99">
        <v>9306</v>
      </c>
      <c r="BZ42" s="99">
        <v>10.450309363054744</v>
      </c>
      <c r="CA42" s="99">
        <v>8840.9617211443128</v>
      </c>
      <c r="CB42" s="99">
        <v>14.140321412843612</v>
      </c>
      <c r="CC42" s="99">
        <v>11962.711915265696</v>
      </c>
      <c r="CD42" s="99">
        <v>14</v>
      </c>
      <c r="CE42" s="99">
        <v>11844</v>
      </c>
      <c r="CF42" s="99">
        <v>14</v>
      </c>
      <c r="CG42" s="99">
        <v>11844</v>
      </c>
      <c r="CH42" s="99">
        <v>15</v>
      </c>
      <c r="CI42" s="99">
        <v>12690</v>
      </c>
      <c r="CJ42" s="99">
        <v>13</v>
      </c>
      <c r="CK42" s="99">
        <v>10998</v>
      </c>
      <c r="CL42" s="99">
        <v>10.651080105294614</v>
      </c>
      <c r="CM42" s="99">
        <v>9010.8137690792428</v>
      </c>
      <c r="CN42" s="99">
        <v>12</v>
      </c>
      <c r="CO42" s="99">
        <v>10152</v>
      </c>
      <c r="CP42" s="99">
        <v>8</v>
      </c>
      <c r="CQ42" s="99">
        <v>6768</v>
      </c>
      <c r="CR42" s="99">
        <v>11.943063406309696</v>
      </c>
      <c r="CS42" s="99">
        <v>10103.831641738003</v>
      </c>
      <c r="CT42" s="99">
        <v>17</v>
      </c>
      <c r="CU42" s="99">
        <v>14382</v>
      </c>
    </row>
    <row r="43" spans="2:99">
      <c r="C43" s="98" t="s">
        <v>209</v>
      </c>
      <c r="D43" s="99">
        <v>13</v>
      </c>
      <c r="E43" s="99">
        <v>13291.199999999999</v>
      </c>
      <c r="F43" s="99">
        <v>11</v>
      </c>
      <c r="G43" s="99">
        <v>11246.4</v>
      </c>
      <c r="H43" s="99">
        <v>11</v>
      </c>
      <c r="I43" s="99">
        <v>11246.4</v>
      </c>
      <c r="J43" s="99">
        <v>10</v>
      </c>
      <c r="K43" s="99">
        <v>10224</v>
      </c>
      <c r="L43" s="99">
        <v>15</v>
      </c>
      <c r="M43" s="99">
        <v>15336</v>
      </c>
      <c r="N43" s="99">
        <v>14</v>
      </c>
      <c r="O43" s="99">
        <v>14313.6</v>
      </c>
      <c r="P43" s="99">
        <v>15</v>
      </c>
      <c r="Q43" s="99">
        <v>15336</v>
      </c>
      <c r="R43" s="99">
        <v>14</v>
      </c>
      <c r="S43" s="99">
        <v>14313.6</v>
      </c>
      <c r="T43" s="99">
        <v>13</v>
      </c>
      <c r="U43" s="99">
        <v>13291.199999999999</v>
      </c>
      <c r="V43" s="99">
        <v>12</v>
      </c>
      <c r="W43" s="99">
        <v>12268.8</v>
      </c>
      <c r="X43" s="99">
        <v>13</v>
      </c>
      <c r="Y43" s="99">
        <v>13291.199999999999</v>
      </c>
      <c r="Z43" s="99">
        <v>15</v>
      </c>
      <c r="AA43" s="99">
        <v>15336</v>
      </c>
      <c r="AB43" s="99">
        <v>14</v>
      </c>
      <c r="AC43" s="99">
        <v>14313.6</v>
      </c>
      <c r="AD43" s="99">
        <v>13</v>
      </c>
      <c r="AE43" s="99">
        <v>13291.199999999999</v>
      </c>
      <c r="AF43" s="99">
        <v>9</v>
      </c>
      <c r="AG43" s="99">
        <v>9201.6</v>
      </c>
      <c r="AH43" s="99">
        <v>9</v>
      </c>
      <c r="AI43" s="99">
        <v>9201.6</v>
      </c>
      <c r="AJ43" s="99">
        <v>15</v>
      </c>
      <c r="AK43" s="99">
        <v>15336</v>
      </c>
      <c r="AL43" s="99">
        <v>15</v>
      </c>
      <c r="AM43" s="99">
        <v>15336</v>
      </c>
      <c r="AN43" s="99">
        <v>14</v>
      </c>
      <c r="AO43" s="99">
        <v>14313.6</v>
      </c>
      <c r="AP43" s="99">
        <v>14</v>
      </c>
      <c r="AQ43" s="99">
        <v>14313.6</v>
      </c>
      <c r="AR43" s="99">
        <v>14</v>
      </c>
      <c r="AS43" s="99">
        <v>14313.6</v>
      </c>
      <c r="AT43" s="99">
        <v>12</v>
      </c>
      <c r="AU43" s="99">
        <v>12268.8</v>
      </c>
      <c r="AV43" s="99">
        <v>12</v>
      </c>
      <c r="AW43" s="99">
        <v>12268.8</v>
      </c>
      <c r="AX43" s="99">
        <v>10</v>
      </c>
      <c r="AY43" s="99">
        <v>10224</v>
      </c>
      <c r="AZ43" s="99">
        <v>11</v>
      </c>
      <c r="BA43" s="99">
        <v>11246.4</v>
      </c>
      <c r="BB43" s="99">
        <v>17</v>
      </c>
      <c r="BC43" s="99">
        <v>17380.8</v>
      </c>
      <c r="BD43" s="99">
        <v>16</v>
      </c>
      <c r="BE43" s="99">
        <v>16358.4</v>
      </c>
      <c r="BF43" s="99">
        <v>11</v>
      </c>
      <c r="BG43" s="99">
        <v>11246.4</v>
      </c>
      <c r="BH43" s="99">
        <v>13</v>
      </c>
      <c r="BI43" s="99">
        <v>13291.199999999999</v>
      </c>
      <c r="BJ43" s="99">
        <v>8</v>
      </c>
      <c r="BK43" s="99">
        <v>8179.2</v>
      </c>
      <c r="BL43" s="99">
        <v>14</v>
      </c>
      <c r="BM43" s="99">
        <v>14313.6</v>
      </c>
      <c r="BN43" s="99">
        <v>11</v>
      </c>
      <c r="BO43" s="99">
        <v>11246.4</v>
      </c>
      <c r="BP43" s="99">
        <v>9</v>
      </c>
      <c r="BQ43" s="99">
        <v>9201.6</v>
      </c>
      <c r="BR43" s="99">
        <v>16</v>
      </c>
      <c r="BS43" s="99">
        <v>16358.4</v>
      </c>
      <c r="BT43" s="99">
        <v>7.8919743281102424</v>
      </c>
      <c r="BU43" s="99">
        <v>8068.7545530599118</v>
      </c>
      <c r="BV43" s="99">
        <v>10</v>
      </c>
      <c r="BW43" s="99">
        <v>10224</v>
      </c>
      <c r="BX43" s="99">
        <v>10</v>
      </c>
      <c r="BY43" s="99">
        <v>10224</v>
      </c>
      <c r="BZ43" s="99">
        <v>9.0569347813141103</v>
      </c>
      <c r="CA43" s="99">
        <v>9259.8101204155464</v>
      </c>
      <c r="CB43" s="99">
        <v>12.476754187803186</v>
      </c>
      <c r="CC43" s="99">
        <v>12756.233481609977</v>
      </c>
      <c r="CD43" s="99">
        <v>14</v>
      </c>
      <c r="CE43" s="99">
        <v>14313.6</v>
      </c>
      <c r="CF43" s="99">
        <v>14</v>
      </c>
      <c r="CG43" s="99">
        <v>14313.6</v>
      </c>
      <c r="CH43" s="99">
        <v>17</v>
      </c>
      <c r="CI43" s="99">
        <v>17380.8</v>
      </c>
      <c r="CJ43" s="99">
        <v>12</v>
      </c>
      <c r="CK43" s="99">
        <v>12268.8</v>
      </c>
      <c r="CL43" s="99">
        <v>11.470393959548048</v>
      </c>
      <c r="CM43" s="99">
        <v>11727.330784241924</v>
      </c>
      <c r="CN43" s="99">
        <v>12</v>
      </c>
      <c r="CO43" s="99">
        <v>12268.8</v>
      </c>
      <c r="CP43" s="99">
        <v>8</v>
      </c>
      <c r="CQ43" s="99">
        <v>8179.2</v>
      </c>
      <c r="CR43" s="99">
        <v>13.535471860484321</v>
      </c>
      <c r="CS43" s="99">
        <v>13838.66643015917</v>
      </c>
      <c r="CT43" s="99">
        <v>15</v>
      </c>
      <c r="CU43" s="99">
        <v>15336</v>
      </c>
    </row>
    <row r="44" spans="2:99">
      <c r="C44" s="98" t="s">
        <v>210</v>
      </c>
      <c r="D44" s="99">
        <v>15</v>
      </c>
      <c r="E44" s="99">
        <v>15336</v>
      </c>
      <c r="F44" s="99">
        <v>12</v>
      </c>
      <c r="G44" s="99">
        <v>12268.8</v>
      </c>
      <c r="H44" s="99">
        <v>10</v>
      </c>
      <c r="I44" s="99">
        <v>10224</v>
      </c>
      <c r="J44" s="99">
        <v>9</v>
      </c>
      <c r="K44" s="99">
        <v>9201.6</v>
      </c>
      <c r="L44" s="99">
        <v>13</v>
      </c>
      <c r="M44" s="99">
        <v>13291.199999999999</v>
      </c>
      <c r="N44" s="99">
        <v>14</v>
      </c>
      <c r="O44" s="99">
        <v>14313.6</v>
      </c>
      <c r="P44" s="99">
        <v>16</v>
      </c>
      <c r="Q44" s="99">
        <v>16358.4</v>
      </c>
      <c r="R44" s="99">
        <v>16</v>
      </c>
      <c r="S44" s="99">
        <v>16358.4</v>
      </c>
      <c r="T44" s="99">
        <v>11</v>
      </c>
      <c r="U44" s="99">
        <v>11246.4</v>
      </c>
      <c r="V44" s="99">
        <v>11</v>
      </c>
      <c r="W44" s="99">
        <v>11246.4</v>
      </c>
      <c r="X44" s="99">
        <v>13</v>
      </c>
      <c r="Y44" s="99">
        <v>13291.199999999999</v>
      </c>
      <c r="Z44" s="99">
        <v>15</v>
      </c>
      <c r="AA44" s="99">
        <v>15336</v>
      </c>
      <c r="AB44" s="99">
        <v>13</v>
      </c>
      <c r="AC44" s="99">
        <v>13291.199999999999</v>
      </c>
      <c r="AD44" s="99">
        <v>13</v>
      </c>
      <c r="AE44" s="99">
        <v>13291.199999999999</v>
      </c>
      <c r="AF44" s="99">
        <v>9</v>
      </c>
      <c r="AG44" s="99">
        <v>9201.6</v>
      </c>
      <c r="AH44" s="99">
        <v>10</v>
      </c>
      <c r="AI44" s="99">
        <v>10224</v>
      </c>
      <c r="AJ44" s="99">
        <v>14</v>
      </c>
      <c r="AK44" s="99">
        <v>14313.6</v>
      </c>
      <c r="AL44" s="99">
        <v>15</v>
      </c>
      <c r="AM44" s="99">
        <v>15336</v>
      </c>
      <c r="AN44" s="99">
        <v>15</v>
      </c>
      <c r="AO44" s="99">
        <v>15336</v>
      </c>
      <c r="AP44" s="99">
        <v>16</v>
      </c>
      <c r="AQ44" s="99">
        <v>16358.4</v>
      </c>
      <c r="AR44" s="99">
        <v>15</v>
      </c>
      <c r="AS44" s="99">
        <v>15336</v>
      </c>
      <c r="AT44" s="99">
        <v>11</v>
      </c>
      <c r="AU44" s="99">
        <v>11246.4</v>
      </c>
      <c r="AV44" s="99">
        <v>12</v>
      </c>
      <c r="AW44" s="99">
        <v>12268.8</v>
      </c>
      <c r="AX44" s="99">
        <v>11</v>
      </c>
      <c r="AY44" s="99">
        <v>11246.4</v>
      </c>
      <c r="AZ44" s="99">
        <v>10</v>
      </c>
      <c r="BA44" s="99">
        <v>10224</v>
      </c>
      <c r="BB44" s="99">
        <v>16</v>
      </c>
      <c r="BC44" s="99">
        <v>16358.4</v>
      </c>
      <c r="BD44" s="99">
        <v>15</v>
      </c>
      <c r="BE44" s="99">
        <v>15336</v>
      </c>
      <c r="BF44" s="99">
        <v>11</v>
      </c>
      <c r="BG44" s="99">
        <v>11246.4</v>
      </c>
      <c r="BH44" s="99">
        <v>12</v>
      </c>
      <c r="BI44" s="99">
        <v>12268.8</v>
      </c>
      <c r="BJ44" s="99">
        <v>9</v>
      </c>
      <c r="BK44" s="99">
        <v>9201.6</v>
      </c>
      <c r="BL44" s="99">
        <v>15</v>
      </c>
      <c r="BM44" s="99">
        <v>15336</v>
      </c>
      <c r="BN44" s="99">
        <v>11</v>
      </c>
      <c r="BO44" s="99">
        <v>11246.4</v>
      </c>
      <c r="BP44" s="99">
        <v>10</v>
      </c>
      <c r="BQ44" s="99">
        <v>10224</v>
      </c>
      <c r="BR44" s="99">
        <v>16</v>
      </c>
      <c r="BS44" s="99">
        <v>16358.4</v>
      </c>
      <c r="BT44" s="99">
        <v>7.8919743281102424</v>
      </c>
      <c r="BU44" s="99">
        <v>8068.7545530599118</v>
      </c>
      <c r="BV44" s="99">
        <v>10</v>
      </c>
      <c r="BW44" s="99">
        <v>10224</v>
      </c>
      <c r="BX44" s="99">
        <v>9</v>
      </c>
      <c r="BY44" s="99">
        <v>9201.6</v>
      </c>
      <c r="BZ44" s="99">
        <v>10.450309363054744</v>
      </c>
      <c r="CA44" s="99">
        <v>10684.396292787171</v>
      </c>
      <c r="CB44" s="99">
        <v>11.644970575282976</v>
      </c>
      <c r="CC44" s="99">
        <v>11905.817916169313</v>
      </c>
      <c r="CD44" s="99">
        <v>14</v>
      </c>
      <c r="CE44" s="99">
        <v>14313.6</v>
      </c>
      <c r="CF44" s="99">
        <v>15</v>
      </c>
      <c r="CG44" s="99">
        <v>15336</v>
      </c>
      <c r="CH44" s="99">
        <v>16</v>
      </c>
      <c r="CI44" s="99">
        <v>16358.4</v>
      </c>
      <c r="CJ44" s="99">
        <v>13</v>
      </c>
      <c r="CK44" s="99">
        <v>13291.199999999999</v>
      </c>
      <c r="CL44" s="99">
        <v>11.470393959548048</v>
      </c>
      <c r="CM44" s="99">
        <v>11727.330784241924</v>
      </c>
      <c r="CN44" s="99">
        <v>12</v>
      </c>
      <c r="CO44" s="99">
        <v>12268.8</v>
      </c>
      <c r="CP44" s="99">
        <v>9</v>
      </c>
      <c r="CQ44" s="99">
        <v>9201.6</v>
      </c>
      <c r="CR44" s="99">
        <v>14.331676087571635</v>
      </c>
      <c r="CS44" s="99">
        <v>14652.705631933239</v>
      </c>
      <c r="CT44" s="99">
        <v>16</v>
      </c>
      <c r="CU44" s="99">
        <v>16358.4</v>
      </c>
    </row>
    <row r="45" spans="2:99">
      <c r="C45" s="98" t="s">
        <v>211</v>
      </c>
      <c r="D45" s="99">
        <v>15</v>
      </c>
      <c r="E45" s="99">
        <v>18738</v>
      </c>
      <c r="F45" s="99">
        <v>11</v>
      </c>
      <c r="G45" s="99">
        <v>13741.2</v>
      </c>
      <c r="H45" s="99">
        <v>11</v>
      </c>
      <c r="I45" s="99">
        <v>13741.2</v>
      </c>
      <c r="J45" s="99">
        <v>9</v>
      </c>
      <c r="K45" s="99">
        <v>11242.800000000001</v>
      </c>
      <c r="L45" s="99">
        <v>13</v>
      </c>
      <c r="M45" s="99">
        <v>16239.6</v>
      </c>
      <c r="N45" s="99">
        <v>13</v>
      </c>
      <c r="O45" s="99">
        <v>16239.6</v>
      </c>
      <c r="P45" s="99">
        <v>16</v>
      </c>
      <c r="Q45" s="99">
        <v>19987.2</v>
      </c>
      <c r="R45" s="99">
        <v>14</v>
      </c>
      <c r="S45" s="99">
        <v>17488.8</v>
      </c>
      <c r="T45" s="99">
        <v>11</v>
      </c>
      <c r="U45" s="99">
        <v>13741.2</v>
      </c>
      <c r="V45" s="99">
        <v>10</v>
      </c>
      <c r="W45" s="99">
        <v>12492</v>
      </c>
      <c r="X45" s="99">
        <v>13</v>
      </c>
      <c r="Y45" s="99">
        <v>16239.6</v>
      </c>
      <c r="Z45" s="99">
        <v>17</v>
      </c>
      <c r="AA45" s="99">
        <v>21236.400000000001</v>
      </c>
      <c r="AB45" s="99">
        <v>14</v>
      </c>
      <c r="AC45" s="99">
        <v>17488.8</v>
      </c>
      <c r="AD45" s="99">
        <v>13</v>
      </c>
      <c r="AE45" s="99">
        <v>16239.6</v>
      </c>
      <c r="AF45" s="99">
        <v>9</v>
      </c>
      <c r="AG45" s="99">
        <v>11242.800000000001</v>
      </c>
      <c r="AH45" s="99">
        <v>10</v>
      </c>
      <c r="AI45" s="99">
        <v>12492</v>
      </c>
      <c r="AJ45" s="99">
        <v>16</v>
      </c>
      <c r="AK45" s="99">
        <v>19987.2</v>
      </c>
      <c r="AL45" s="99">
        <v>18</v>
      </c>
      <c r="AM45" s="99">
        <v>22485.600000000002</v>
      </c>
      <c r="AN45" s="99">
        <v>16</v>
      </c>
      <c r="AO45" s="99">
        <v>19987.2</v>
      </c>
      <c r="AP45" s="99">
        <v>15</v>
      </c>
      <c r="AQ45" s="99">
        <v>18738</v>
      </c>
      <c r="AR45" s="99">
        <v>15</v>
      </c>
      <c r="AS45" s="99">
        <v>18738</v>
      </c>
      <c r="AT45" s="99">
        <v>13</v>
      </c>
      <c r="AU45" s="99">
        <v>16239.6</v>
      </c>
      <c r="AV45" s="99">
        <v>13</v>
      </c>
      <c r="AW45" s="99">
        <v>16239.6</v>
      </c>
      <c r="AX45" s="99">
        <v>11</v>
      </c>
      <c r="AY45" s="99">
        <v>13741.2</v>
      </c>
      <c r="AZ45" s="99">
        <v>9</v>
      </c>
      <c r="BA45" s="99">
        <v>11242.800000000001</v>
      </c>
      <c r="BB45" s="99">
        <v>17</v>
      </c>
      <c r="BC45" s="99">
        <v>21236.400000000001</v>
      </c>
      <c r="BD45" s="99">
        <v>16</v>
      </c>
      <c r="BE45" s="99">
        <v>19987.2</v>
      </c>
      <c r="BF45" s="99">
        <v>10</v>
      </c>
      <c r="BG45" s="99">
        <v>12492</v>
      </c>
      <c r="BH45" s="99">
        <v>13</v>
      </c>
      <c r="BI45" s="99">
        <v>16239.6</v>
      </c>
      <c r="BJ45" s="99">
        <v>9</v>
      </c>
      <c r="BK45" s="99">
        <v>11242.800000000001</v>
      </c>
      <c r="BL45" s="99">
        <v>14</v>
      </c>
      <c r="BM45" s="99">
        <v>17488.8</v>
      </c>
      <c r="BN45" s="99">
        <v>10</v>
      </c>
      <c r="BO45" s="99">
        <v>12492</v>
      </c>
      <c r="BP45" s="99">
        <v>10</v>
      </c>
      <c r="BQ45" s="99">
        <v>12492</v>
      </c>
      <c r="BR45" s="99">
        <v>17</v>
      </c>
      <c r="BS45" s="99">
        <v>21236.400000000001</v>
      </c>
      <c r="BT45" s="99">
        <v>7.0150882916535489</v>
      </c>
      <c r="BU45" s="99">
        <v>8763.2482939336132</v>
      </c>
      <c r="BV45" s="99">
        <v>9</v>
      </c>
      <c r="BW45" s="99">
        <v>11242.800000000001</v>
      </c>
      <c r="BX45" s="99">
        <v>10</v>
      </c>
      <c r="BY45" s="99">
        <v>12492</v>
      </c>
      <c r="BZ45" s="99">
        <v>9.0569347813141103</v>
      </c>
      <c r="CA45" s="99">
        <v>11313.922928817587</v>
      </c>
      <c r="CB45" s="99">
        <v>13.308537800323398</v>
      </c>
      <c r="CC45" s="99">
        <v>16625.025420163991</v>
      </c>
      <c r="CD45" s="99">
        <v>14</v>
      </c>
      <c r="CE45" s="99">
        <v>17488.8</v>
      </c>
      <c r="CF45" s="99">
        <v>13</v>
      </c>
      <c r="CG45" s="99">
        <v>16239.6</v>
      </c>
      <c r="CH45" s="99">
        <v>16</v>
      </c>
      <c r="CI45" s="99">
        <v>19987.2</v>
      </c>
      <c r="CJ45" s="99">
        <v>13</v>
      </c>
      <c r="CK45" s="99">
        <v>16239.6</v>
      </c>
      <c r="CL45" s="99">
        <v>9.8317662510411825</v>
      </c>
      <c r="CM45" s="99">
        <v>12281.842400800646</v>
      </c>
      <c r="CN45" s="99">
        <v>12</v>
      </c>
      <c r="CO45" s="99">
        <v>14990.400000000001</v>
      </c>
      <c r="CP45" s="99">
        <v>8</v>
      </c>
      <c r="CQ45" s="99">
        <v>9993.6</v>
      </c>
      <c r="CR45" s="99">
        <v>13.535471860484321</v>
      </c>
      <c r="CS45" s="99">
        <v>16908.511448117017</v>
      </c>
      <c r="CT45" s="99">
        <v>17</v>
      </c>
      <c r="CU45" s="99">
        <v>21236.400000000001</v>
      </c>
    </row>
    <row r="46" spans="2:99">
      <c r="C46" s="98" t="s">
        <v>212</v>
      </c>
      <c r="D46" s="99">
        <v>14</v>
      </c>
      <c r="E46" s="99">
        <v>16968</v>
      </c>
      <c r="F46" s="99">
        <v>11</v>
      </c>
      <c r="G46" s="99">
        <v>13332</v>
      </c>
      <c r="H46" s="99">
        <v>10</v>
      </c>
      <c r="I46" s="99">
        <v>12120</v>
      </c>
      <c r="J46" s="99">
        <v>9</v>
      </c>
      <c r="K46" s="99">
        <v>10908</v>
      </c>
      <c r="L46" s="99">
        <v>15</v>
      </c>
      <c r="M46" s="99">
        <v>18180</v>
      </c>
      <c r="N46" s="99">
        <v>14</v>
      </c>
      <c r="O46" s="99">
        <v>16968</v>
      </c>
      <c r="P46" s="99">
        <v>15</v>
      </c>
      <c r="Q46" s="99">
        <v>18180</v>
      </c>
      <c r="R46" s="99">
        <v>14</v>
      </c>
      <c r="S46" s="99">
        <v>16968</v>
      </c>
      <c r="T46" s="99">
        <v>11</v>
      </c>
      <c r="U46" s="99">
        <v>13332</v>
      </c>
      <c r="V46" s="99">
        <v>10</v>
      </c>
      <c r="W46" s="99">
        <v>12120</v>
      </c>
      <c r="X46" s="99">
        <v>13</v>
      </c>
      <c r="Y46" s="99">
        <v>15756</v>
      </c>
      <c r="Z46" s="99">
        <v>16</v>
      </c>
      <c r="AA46" s="99">
        <v>19392</v>
      </c>
      <c r="AB46" s="99">
        <v>16</v>
      </c>
      <c r="AC46" s="99">
        <v>19392</v>
      </c>
      <c r="AD46" s="99">
        <v>13</v>
      </c>
      <c r="AE46" s="99">
        <v>15756</v>
      </c>
      <c r="AF46" s="99">
        <v>9</v>
      </c>
      <c r="AG46" s="99">
        <v>10908</v>
      </c>
      <c r="AH46" s="99">
        <v>9</v>
      </c>
      <c r="AI46" s="99">
        <v>10908</v>
      </c>
      <c r="AJ46" s="99">
        <v>16</v>
      </c>
      <c r="AK46" s="99">
        <v>19392</v>
      </c>
      <c r="AL46" s="99">
        <v>15</v>
      </c>
      <c r="AM46" s="99">
        <v>18180</v>
      </c>
      <c r="AN46" s="99">
        <v>15</v>
      </c>
      <c r="AO46" s="99">
        <v>18180</v>
      </c>
      <c r="AP46" s="99">
        <v>15</v>
      </c>
      <c r="AQ46" s="99">
        <v>18180</v>
      </c>
      <c r="AR46" s="99">
        <v>14</v>
      </c>
      <c r="AS46" s="99">
        <v>16968</v>
      </c>
      <c r="AT46" s="99">
        <v>11</v>
      </c>
      <c r="AU46" s="99">
        <v>13332</v>
      </c>
      <c r="AV46" s="99">
        <v>13</v>
      </c>
      <c r="AW46" s="99">
        <v>15756</v>
      </c>
      <c r="AX46" s="99">
        <v>10</v>
      </c>
      <c r="AY46" s="99">
        <v>12120</v>
      </c>
      <c r="AZ46" s="99">
        <v>10</v>
      </c>
      <c r="BA46" s="99">
        <v>12120</v>
      </c>
      <c r="BB46" s="99">
        <v>18</v>
      </c>
      <c r="BC46" s="99">
        <v>21816</v>
      </c>
      <c r="BD46" s="99">
        <v>17</v>
      </c>
      <c r="BE46" s="99">
        <v>20604</v>
      </c>
      <c r="BF46" s="99">
        <v>10</v>
      </c>
      <c r="BG46" s="99">
        <v>12120</v>
      </c>
      <c r="BH46" s="99">
        <v>12</v>
      </c>
      <c r="BI46" s="99">
        <v>14544</v>
      </c>
      <c r="BJ46" s="99">
        <v>9</v>
      </c>
      <c r="BK46" s="99">
        <v>10908</v>
      </c>
      <c r="BL46" s="99">
        <v>15</v>
      </c>
      <c r="BM46" s="99">
        <v>18180</v>
      </c>
      <c r="BN46" s="99">
        <v>12</v>
      </c>
      <c r="BO46" s="99">
        <v>14544</v>
      </c>
      <c r="BP46" s="99">
        <v>11</v>
      </c>
      <c r="BQ46" s="99">
        <v>13332</v>
      </c>
      <c r="BR46" s="99">
        <v>16</v>
      </c>
      <c r="BS46" s="99">
        <v>19392</v>
      </c>
      <c r="BT46" s="99">
        <v>7.0150882916535489</v>
      </c>
      <c r="BU46" s="99">
        <v>8502.2870094841019</v>
      </c>
      <c r="BV46" s="99">
        <v>9</v>
      </c>
      <c r="BW46" s="99">
        <v>10908</v>
      </c>
      <c r="BX46" s="99">
        <v>9</v>
      </c>
      <c r="BY46" s="99">
        <v>10908</v>
      </c>
      <c r="BZ46" s="99">
        <v>9.7536220721844273</v>
      </c>
      <c r="CA46" s="99">
        <v>11821.389951487527</v>
      </c>
      <c r="CB46" s="99">
        <v>14.140321412843612</v>
      </c>
      <c r="CC46" s="99">
        <v>17138.069552366458</v>
      </c>
      <c r="CD46" s="99">
        <v>16</v>
      </c>
      <c r="CE46" s="99">
        <v>19392</v>
      </c>
      <c r="CF46" s="99">
        <v>14</v>
      </c>
      <c r="CG46" s="99">
        <v>16968</v>
      </c>
      <c r="CH46" s="99">
        <v>17</v>
      </c>
      <c r="CI46" s="99">
        <v>20604</v>
      </c>
      <c r="CJ46" s="99">
        <v>12</v>
      </c>
      <c r="CK46" s="99">
        <v>14544</v>
      </c>
      <c r="CL46" s="99">
        <v>9.8317662510411825</v>
      </c>
      <c r="CM46" s="99">
        <v>11916.100696261914</v>
      </c>
      <c r="CN46" s="99">
        <v>13</v>
      </c>
      <c r="CO46" s="99">
        <v>15756</v>
      </c>
      <c r="CP46" s="99">
        <v>8</v>
      </c>
      <c r="CQ46" s="99">
        <v>9696</v>
      </c>
      <c r="CR46" s="99">
        <v>11.943063406309696</v>
      </c>
      <c r="CS46" s="99">
        <v>14474.992848447351</v>
      </c>
      <c r="CT46" s="99">
        <v>16</v>
      </c>
      <c r="CU46" s="99">
        <v>19392</v>
      </c>
    </row>
    <row r="47" spans="2:99">
      <c r="C47" s="98" t="s">
        <v>213</v>
      </c>
      <c r="D47" s="99">
        <v>14</v>
      </c>
      <c r="E47" s="99">
        <v>21386.399999999998</v>
      </c>
      <c r="F47" s="99">
        <v>11</v>
      </c>
      <c r="G47" s="99">
        <v>16803.599999999999</v>
      </c>
      <c r="H47" s="99">
        <v>10</v>
      </c>
      <c r="I47" s="99">
        <v>15276</v>
      </c>
      <c r="J47" s="99">
        <v>8</v>
      </c>
      <c r="K47" s="99">
        <v>12220.8</v>
      </c>
      <c r="L47" s="99">
        <v>14</v>
      </c>
      <c r="M47" s="99">
        <v>21386.399999999998</v>
      </c>
      <c r="N47" s="99">
        <v>14</v>
      </c>
      <c r="O47" s="99">
        <v>21386.399999999998</v>
      </c>
      <c r="P47" s="99">
        <v>16</v>
      </c>
      <c r="Q47" s="99">
        <v>24441.599999999999</v>
      </c>
      <c r="R47" s="99">
        <v>13</v>
      </c>
      <c r="S47" s="99">
        <v>19858.8</v>
      </c>
      <c r="T47" s="99">
        <v>11</v>
      </c>
      <c r="U47" s="99">
        <v>16803.599999999999</v>
      </c>
      <c r="V47" s="99">
        <v>10</v>
      </c>
      <c r="W47" s="99">
        <v>15276</v>
      </c>
      <c r="X47" s="99">
        <v>13</v>
      </c>
      <c r="Y47" s="99">
        <v>19858.8</v>
      </c>
      <c r="Z47" s="99">
        <v>16</v>
      </c>
      <c r="AA47" s="99">
        <v>24441.599999999999</v>
      </c>
      <c r="AB47" s="99">
        <v>14</v>
      </c>
      <c r="AC47" s="99">
        <v>21386.399999999998</v>
      </c>
      <c r="AD47" s="99">
        <v>12</v>
      </c>
      <c r="AE47" s="99">
        <v>18331.199999999997</v>
      </c>
      <c r="AF47" s="99">
        <v>9</v>
      </c>
      <c r="AG47" s="99">
        <v>13748.4</v>
      </c>
      <c r="AH47" s="99">
        <v>10</v>
      </c>
      <c r="AI47" s="99">
        <v>15276</v>
      </c>
      <c r="AJ47" s="99">
        <v>15</v>
      </c>
      <c r="AK47" s="99">
        <v>22914</v>
      </c>
      <c r="AL47" s="99">
        <v>16</v>
      </c>
      <c r="AM47" s="99">
        <v>24441.599999999999</v>
      </c>
      <c r="AN47" s="99">
        <v>16</v>
      </c>
      <c r="AO47" s="99">
        <v>24441.599999999999</v>
      </c>
      <c r="AP47" s="99">
        <v>16</v>
      </c>
      <c r="AQ47" s="99">
        <v>24441.599999999999</v>
      </c>
      <c r="AR47" s="99">
        <v>15</v>
      </c>
      <c r="AS47" s="99">
        <v>22914</v>
      </c>
      <c r="AT47" s="99">
        <v>11</v>
      </c>
      <c r="AU47" s="99">
        <v>16803.599999999999</v>
      </c>
      <c r="AV47" s="99">
        <v>11</v>
      </c>
      <c r="AW47" s="99">
        <v>16803.599999999999</v>
      </c>
      <c r="AX47" s="99">
        <v>9</v>
      </c>
      <c r="AY47" s="99">
        <v>13748.4</v>
      </c>
      <c r="AZ47" s="99">
        <v>9</v>
      </c>
      <c r="BA47" s="99">
        <v>13748.4</v>
      </c>
      <c r="BB47" s="99">
        <v>15</v>
      </c>
      <c r="BC47" s="99">
        <v>22914</v>
      </c>
      <c r="BD47" s="99">
        <v>16</v>
      </c>
      <c r="BE47" s="99">
        <v>24441.599999999999</v>
      </c>
      <c r="BF47" s="99">
        <v>10</v>
      </c>
      <c r="BG47" s="99">
        <v>15276</v>
      </c>
      <c r="BH47" s="99">
        <v>12</v>
      </c>
      <c r="BI47" s="99">
        <v>18331.199999999997</v>
      </c>
      <c r="BJ47" s="99">
        <v>9</v>
      </c>
      <c r="BK47" s="99">
        <v>13748.4</v>
      </c>
      <c r="BL47" s="99">
        <v>14</v>
      </c>
      <c r="BM47" s="99">
        <v>21386.399999999998</v>
      </c>
      <c r="BN47" s="99">
        <v>11</v>
      </c>
      <c r="BO47" s="99">
        <v>16803.599999999999</v>
      </c>
      <c r="BP47" s="99">
        <v>9</v>
      </c>
      <c r="BQ47" s="99">
        <v>13748.4</v>
      </c>
      <c r="BR47" s="99">
        <v>16</v>
      </c>
      <c r="BS47" s="99">
        <v>24441.599999999999</v>
      </c>
      <c r="BT47" s="99">
        <v>6.1382022551968554</v>
      </c>
      <c r="BU47" s="99">
        <v>9376.7177650387148</v>
      </c>
      <c r="BV47" s="99">
        <v>9</v>
      </c>
      <c r="BW47" s="99">
        <v>13748.4</v>
      </c>
      <c r="BX47" s="99">
        <v>10</v>
      </c>
      <c r="BY47" s="99">
        <v>15276</v>
      </c>
      <c r="BZ47" s="99">
        <v>9.7536220721844273</v>
      </c>
      <c r="CA47" s="99">
        <v>14899.63307746893</v>
      </c>
      <c r="CB47" s="99">
        <v>13.308537800323398</v>
      </c>
      <c r="CC47" s="99">
        <v>20330.122343774023</v>
      </c>
      <c r="CD47" s="99">
        <v>13</v>
      </c>
      <c r="CE47" s="99">
        <v>19858.8</v>
      </c>
      <c r="CF47" s="99">
        <v>15</v>
      </c>
      <c r="CG47" s="99">
        <v>22914</v>
      </c>
      <c r="CH47" s="99">
        <v>17</v>
      </c>
      <c r="CI47" s="99">
        <v>25969.199999999997</v>
      </c>
      <c r="CJ47" s="99">
        <v>11</v>
      </c>
      <c r="CK47" s="99">
        <v>16803.599999999999</v>
      </c>
      <c r="CL47" s="99">
        <v>10.651080105294614</v>
      </c>
      <c r="CM47" s="99">
        <v>16270.589968848051</v>
      </c>
      <c r="CN47" s="99">
        <v>11</v>
      </c>
      <c r="CO47" s="99">
        <v>16803.599999999999</v>
      </c>
      <c r="CP47" s="99">
        <v>9</v>
      </c>
      <c r="CQ47" s="99">
        <v>13748.4</v>
      </c>
      <c r="CR47" s="99">
        <v>12.739267633397006</v>
      </c>
      <c r="CS47" s="99">
        <v>19460.505236777266</v>
      </c>
      <c r="CT47" s="99">
        <v>17</v>
      </c>
      <c r="CU47" s="99">
        <v>25969.199999999997</v>
      </c>
    </row>
    <row r="48" spans="2:99">
      <c r="C48" s="98" t="s">
        <v>214</v>
      </c>
      <c r="D48" s="99">
        <v>14</v>
      </c>
      <c r="E48" s="99">
        <v>12146.4</v>
      </c>
      <c r="F48" s="99">
        <v>11</v>
      </c>
      <c r="G48" s="99">
        <v>9543.6</v>
      </c>
      <c r="H48" s="99">
        <v>12</v>
      </c>
      <c r="I48" s="99">
        <v>10411.200000000001</v>
      </c>
      <c r="J48" s="99">
        <v>9</v>
      </c>
      <c r="K48" s="99">
        <v>7808.4000000000005</v>
      </c>
      <c r="L48" s="99">
        <v>15</v>
      </c>
      <c r="M48" s="99">
        <v>13014</v>
      </c>
      <c r="N48" s="99">
        <v>15</v>
      </c>
      <c r="O48" s="99">
        <v>13014</v>
      </c>
      <c r="P48" s="99">
        <v>14</v>
      </c>
      <c r="Q48" s="99">
        <v>12146.4</v>
      </c>
      <c r="R48" s="99">
        <v>16</v>
      </c>
      <c r="S48" s="99">
        <v>13881.6</v>
      </c>
      <c r="T48" s="99">
        <v>13</v>
      </c>
      <c r="U48" s="99">
        <v>11278.800000000001</v>
      </c>
      <c r="V48" s="99">
        <v>11</v>
      </c>
      <c r="W48" s="99">
        <v>9543.6</v>
      </c>
      <c r="X48" s="99">
        <v>13</v>
      </c>
      <c r="Y48" s="99">
        <v>11278.800000000001</v>
      </c>
      <c r="Z48" s="99">
        <v>17</v>
      </c>
      <c r="AA48" s="99">
        <v>14749.2</v>
      </c>
      <c r="AB48" s="99">
        <v>16</v>
      </c>
      <c r="AC48" s="99">
        <v>13881.6</v>
      </c>
      <c r="AD48" s="99">
        <v>12</v>
      </c>
      <c r="AE48" s="99">
        <v>10411.200000000001</v>
      </c>
      <c r="AF48" s="99">
        <v>9</v>
      </c>
      <c r="AG48" s="99">
        <v>7808.4000000000005</v>
      </c>
      <c r="AH48" s="99">
        <v>10</v>
      </c>
      <c r="AI48" s="99">
        <v>8676</v>
      </c>
      <c r="AJ48" s="99">
        <v>15</v>
      </c>
      <c r="AK48" s="99">
        <v>13014</v>
      </c>
      <c r="AL48" s="99">
        <v>17</v>
      </c>
      <c r="AM48" s="99">
        <v>14749.2</v>
      </c>
      <c r="AN48" s="99">
        <v>14</v>
      </c>
      <c r="AO48" s="99">
        <v>12146.4</v>
      </c>
      <c r="AP48" s="99">
        <v>16</v>
      </c>
      <c r="AQ48" s="99">
        <v>13881.6</v>
      </c>
      <c r="AR48" s="99">
        <v>14</v>
      </c>
      <c r="AS48" s="99">
        <v>12146.4</v>
      </c>
      <c r="AT48" s="99">
        <v>12</v>
      </c>
      <c r="AU48" s="99">
        <v>10411.200000000001</v>
      </c>
      <c r="AV48" s="99">
        <v>13</v>
      </c>
      <c r="AW48" s="99">
        <v>11278.800000000001</v>
      </c>
      <c r="AX48" s="99">
        <v>10</v>
      </c>
      <c r="AY48" s="99">
        <v>8676</v>
      </c>
      <c r="AZ48" s="99">
        <v>11</v>
      </c>
      <c r="BA48" s="99">
        <v>9543.6</v>
      </c>
      <c r="BB48" s="99">
        <v>17</v>
      </c>
      <c r="BC48" s="99">
        <v>14749.2</v>
      </c>
      <c r="BD48" s="99">
        <v>16</v>
      </c>
      <c r="BE48" s="99">
        <v>13881.6</v>
      </c>
      <c r="BF48" s="99">
        <v>10</v>
      </c>
      <c r="BG48" s="99">
        <v>8676</v>
      </c>
      <c r="BH48" s="99">
        <v>13</v>
      </c>
      <c r="BI48" s="99">
        <v>11278.800000000001</v>
      </c>
      <c r="BJ48" s="99">
        <v>9</v>
      </c>
      <c r="BK48" s="99">
        <v>7808.4000000000005</v>
      </c>
      <c r="BL48" s="99">
        <v>13</v>
      </c>
      <c r="BM48" s="99">
        <v>11278.800000000001</v>
      </c>
      <c r="BN48" s="99">
        <v>10</v>
      </c>
      <c r="BO48" s="99">
        <v>8676</v>
      </c>
      <c r="BP48" s="99">
        <v>11</v>
      </c>
      <c r="BQ48" s="99">
        <v>9543.6</v>
      </c>
      <c r="BR48" s="99">
        <v>15</v>
      </c>
      <c r="BS48" s="99">
        <v>13014</v>
      </c>
      <c r="BT48" s="99">
        <v>7.0150882916535489</v>
      </c>
      <c r="BU48" s="99">
        <v>6086.2906018386193</v>
      </c>
      <c r="BV48" s="99">
        <v>10</v>
      </c>
      <c r="BW48" s="99">
        <v>8676</v>
      </c>
      <c r="BX48" s="99">
        <v>9</v>
      </c>
      <c r="BY48" s="99">
        <v>7808.4000000000005</v>
      </c>
      <c r="BZ48" s="99">
        <v>11.14699665392506</v>
      </c>
      <c r="CA48" s="99">
        <v>9671.1342969453817</v>
      </c>
      <c r="CB48" s="99">
        <v>14.140321412843612</v>
      </c>
      <c r="CC48" s="99">
        <v>12268.142857783118</v>
      </c>
      <c r="CD48" s="99">
        <v>13</v>
      </c>
      <c r="CE48" s="99">
        <v>11278.800000000001</v>
      </c>
      <c r="CF48" s="99">
        <v>13</v>
      </c>
      <c r="CG48" s="99">
        <v>11278.800000000001</v>
      </c>
      <c r="CH48" s="99">
        <v>16</v>
      </c>
      <c r="CI48" s="99">
        <v>13881.6</v>
      </c>
      <c r="CJ48" s="99">
        <v>13</v>
      </c>
      <c r="CK48" s="99">
        <v>11278.800000000001</v>
      </c>
      <c r="CL48" s="99">
        <v>11.470393959548048</v>
      </c>
      <c r="CM48" s="99">
        <v>9951.7137993038868</v>
      </c>
      <c r="CN48" s="99">
        <v>11</v>
      </c>
      <c r="CO48" s="99">
        <v>9543.6</v>
      </c>
      <c r="CP48" s="99">
        <v>8</v>
      </c>
      <c r="CQ48" s="99">
        <v>6940.8</v>
      </c>
      <c r="CR48" s="99">
        <v>12.739267633397006</v>
      </c>
      <c r="CS48" s="99">
        <v>11052.588598735243</v>
      </c>
      <c r="CT48" s="99">
        <v>16</v>
      </c>
      <c r="CU48" s="99">
        <v>13881.6</v>
      </c>
    </row>
    <row r="49" spans="2:99">
      <c r="B49" s="98" t="s">
        <v>129</v>
      </c>
      <c r="C49" s="98" t="s">
        <v>215</v>
      </c>
      <c r="D49" s="99">
        <v>1.0376624707386444</v>
      </c>
      <c r="E49" s="99">
        <v>1022.3050661717124</v>
      </c>
      <c r="F49" s="99">
        <v>7.0902961352611049</v>
      </c>
      <c r="G49" s="99">
        <v>6985.3597524592396</v>
      </c>
      <c r="H49" s="99">
        <v>6.7379052528975014E-16</v>
      </c>
      <c r="I49" s="99">
        <v>6.6381842551546175E-13</v>
      </c>
      <c r="J49" s="99">
        <v>0</v>
      </c>
      <c r="K49" s="99">
        <v>0</v>
      </c>
      <c r="L49" s="99">
        <v>12</v>
      </c>
      <c r="M49" s="99">
        <v>11822.4</v>
      </c>
      <c r="N49" s="99">
        <v>12</v>
      </c>
      <c r="O49" s="99">
        <v>11822.4</v>
      </c>
      <c r="P49" s="99">
        <v>11</v>
      </c>
      <c r="Q49" s="99">
        <v>10837.199999999999</v>
      </c>
      <c r="R49" s="99">
        <v>10</v>
      </c>
      <c r="S49" s="99">
        <v>9852</v>
      </c>
      <c r="T49" s="99">
        <v>8</v>
      </c>
      <c r="U49" s="99">
        <v>7881.5999999999995</v>
      </c>
      <c r="V49" s="99">
        <v>8</v>
      </c>
      <c r="W49" s="99">
        <v>7881.5999999999995</v>
      </c>
      <c r="X49" s="99">
        <v>7.236654078769706</v>
      </c>
      <c r="Y49" s="99">
        <v>7129.5515984039139</v>
      </c>
      <c r="Z49" s="99">
        <v>4.7038809705408982</v>
      </c>
      <c r="AA49" s="99">
        <v>4634.2635321768921</v>
      </c>
      <c r="AB49" s="99">
        <v>0</v>
      </c>
      <c r="AC49" s="99">
        <v>0</v>
      </c>
      <c r="AD49" s="99">
        <v>8</v>
      </c>
      <c r="AE49" s="99">
        <v>7881.5999999999995</v>
      </c>
      <c r="AF49" s="99">
        <v>7.395983309987348</v>
      </c>
      <c r="AG49" s="99">
        <v>7286.522756999535</v>
      </c>
      <c r="AH49" s="99">
        <v>7.8923176506665955</v>
      </c>
      <c r="AI49" s="99">
        <v>7775.5113494367297</v>
      </c>
      <c r="AJ49" s="99">
        <v>10.127171955706839</v>
      </c>
      <c r="AK49" s="99">
        <v>9977.2898107623769</v>
      </c>
      <c r="AL49" s="99">
        <v>6.2633886777552661</v>
      </c>
      <c r="AM49" s="99">
        <v>6170.6905253244877</v>
      </c>
      <c r="AN49" s="99">
        <v>8.7972899605281647</v>
      </c>
      <c r="AO49" s="99">
        <v>8667.0900691123479</v>
      </c>
      <c r="AP49" s="99">
        <v>4.9476954373714692</v>
      </c>
      <c r="AQ49" s="99">
        <v>4874.4695448983712</v>
      </c>
      <c r="AR49" s="99">
        <v>0</v>
      </c>
      <c r="AS49" s="99">
        <v>0</v>
      </c>
      <c r="AT49" s="99">
        <v>7</v>
      </c>
      <c r="AU49" s="99">
        <v>6896.4</v>
      </c>
      <c r="AV49" s="99">
        <v>9.1159181912138862</v>
      </c>
      <c r="AW49" s="99">
        <v>8981.0026019839206</v>
      </c>
      <c r="AX49" s="99">
        <v>9</v>
      </c>
      <c r="AY49" s="99">
        <v>8866.7999999999993</v>
      </c>
      <c r="AZ49" s="99">
        <v>5.9597871747763289</v>
      </c>
      <c r="BA49" s="99">
        <v>5871.582324589639</v>
      </c>
      <c r="BB49" s="99">
        <v>9</v>
      </c>
      <c r="BC49" s="99">
        <v>8866.7999999999993</v>
      </c>
      <c r="BD49" s="99">
        <v>7.8981404630091214</v>
      </c>
      <c r="BE49" s="99">
        <v>7781.2479841565855</v>
      </c>
      <c r="BF49" s="99">
        <v>7.4933653298636695</v>
      </c>
      <c r="BG49" s="99">
        <v>7382.4635229816868</v>
      </c>
      <c r="BH49" s="99">
        <v>4.5721012596965105</v>
      </c>
      <c r="BI49" s="99">
        <v>4504.4341610530018</v>
      </c>
      <c r="BJ49" s="99">
        <v>6.2800362086373553</v>
      </c>
      <c r="BK49" s="99">
        <v>6187.0916727495223</v>
      </c>
      <c r="BL49" s="99">
        <v>6.3507951797218576</v>
      </c>
      <c r="BM49" s="99">
        <v>6256.8034110619737</v>
      </c>
      <c r="BN49" s="99">
        <v>5.8965225470411813</v>
      </c>
      <c r="BO49" s="99">
        <v>5809.2540133449711</v>
      </c>
      <c r="BP49" s="99">
        <v>5</v>
      </c>
      <c r="BQ49" s="99">
        <v>4926</v>
      </c>
      <c r="BR49" s="99">
        <v>3.9398108304530681</v>
      </c>
      <c r="BS49" s="99">
        <v>3881.5016301623623</v>
      </c>
      <c r="BT49" s="99">
        <v>1.3859822369521415</v>
      </c>
      <c r="BU49" s="99">
        <v>1365.4696998452498</v>
      </c>
      <c r="BV49" s="99">
        <v>4.45268070440593</v>
      </c>
      <c r="BW49" s="99">
        <v>4386.7810299807215</v>
      </c>
      <c r="BX49" s="99">
        <v>8</v>
      </c>
      <c r="BY49" s="99">
        <v>7881.5999999999995</v>
      </c>
      <c r="BZ49" s="99">
        <v>11</v>
      </c>
      <c r="CA49" s="99">
        <v>10837.199999999999</v>
      </c>
      <c r="CB49" s="99">
        <v>8.366429872981449</v>
      </c>
      <c r="CC49" s="99">
        <v>8242.6067108613224</v>
      </c>
      <c r="CD49" s="99">
        <v>0</v>
      </c>
      <c r="CE49" s="99">
        <v>0</v>
      </c>
      <c r="CF49" s="99">
        <v>8.9345526407633553</v>
      </c>
      <c r="CG49" s="99">
        <v>8802.3212616800574</v>
      </c>
      <c r="CH49" s="99">
        <v>7</v>
      </c>
      <c r="CI49" s="99">
        <v>6896.4</v>
      </c>
      <c r="CJ49" s="99">
        <v>11</v>
      </c>
      <c r="CK49" s="99">
        <v>10837.199999999999</v>
      </c>
      <c r="CL49" s="99">
        <v>6.8929739661239262</v>
      </c>
      <c r="CM49" s="99">
        <v>6790.9579514252919</v>
      </c>
      <c r="CN49" s="99">
        <v>5.1070707680158325</v>
      </c>
      <c r="CO49" s="99">
        <v>5031.4861206491978</v>
      </c>
      <c r="CP49" s="99">
        <v>0</v>
      </c>
      <c r="CQ49" s="99">
        <v>0</v>
      </c>
      <c r="CR49" s="99">
        <v>11</v>
      </c>
      <c r="CS49" s="99">
        <v>10837.199999999999</v>
      </c>
      <c r="CT49" s="99">
        <v>3.6180953183853757</v>
      </c>
      <c r="CU49" s="99">
        <v>3564.5475076732719</v>
      </c>
    </row>
    <row r="50" spans="2:99">
      <c r="C50" s="98" t="s">
        <v>216</v>
      </c>
      <c r="D50" s="99">
        <v>8</v>
      </c>
      <c r="E50" s="99">
        <v>2256</v>
      </c>
      <c r="F50" s="99">
        <v>11</v>
      </c>
      <c r="G50" s="99">
        <v>3102</v>
      </c>
      <c r="H50" s="99">
        <v>10</v>
      </c>
      <c r="I50" s="99">
        <v>2820</v>
      </c>
      <c r="J50" s="99">
        <v>11</v>
      </c>
      <c r="K50" s="99">
        <v>3102</v>
      </c>
      <c r="L50" s="99">
        <v>10</v>
      </c>
      <c r="M50" s="99">
        <v>2820</v>
      </c>
      <c r="N50" s="99">
        <v>11</v>
      </c>
      <c r="O50" s="99">
        <v>3102</v>
      </c>
      <c r="P50" s="99">
        <v>12</v>
      </c>
      <c r="Q50" s="99">
        <v>3384</v>
      </c>
      <c r="R50" s="99">
        <v>12</v>
      </c>
      <c r="S50" s="99">
        <v>3384</v>
      </c>
      <c r="T50" s="99">
        <v>8</v>
      </c>
      <c r="U50" s="99">
        <v>2256</v>
      </c>
      <c r="V50" s="99">
        <v>9</v>
      </c>
      <c r="W50" s="99">
        <v>2538</v>
      </c>
      <c r="X50" s="99">
        <v>8</v>
      </c>
      <c r="Y50" s="99">
        <v>2256</v>
      </c>
      <c r="Z50" s="99">
        <v>8</v>
      </c>
      <c r="AA50" s="99">
        <v>2256</v>
      </c>
      <c r="AB50" s="99">
        <v>7</v>
      </c>
      <c r="AC50" s="99">
        <v>1974</v>
      </c>
      <c r="AD50" s="99">
        <v>7</v>
      </c>
      <c r="AE50" s="99">
        <v>1974</v>
      </c>
      <c r="AF50" s="99">
        <v>9</v>
      </c>
      <c r="AG50" s="99">
        <v>2538</v>
      </c>
      <c r="AH50" s="99">
        <v>12</v>
      </c>
      <c r="AI50" s="99">
        <v>3384</v>
      </c>
      <c r="AJ50" s="99">
        <v>12</v>
      </c>
      <c r="AK50" s="99">
        <v>3384</v>
      </c>
      <c r="AL50" s="99">
        <v>8</v>
      </c>
      <c r="AM50" s="99">
        <v>2256</v>
      </c>
      <c r="AN50" s="99">
        <v>8</v>
      </c>
      <c r="AO50" s="99">
        <v>2256</v>
      </c>
      <c r="AP50" s="99">
        <v>6</v>
      </c>
      <c r="AQ50" s="99">
        <v>1692</v>
      </c>
      <c r="AR50" s="99">
        <v>10</v>
      </c>
      <c r="AS50" s="99">
        <v>2820</v>
      </c>
      <c r="AT50" s="99">
        <v>7</v>
      </c>
      <c r="AU50" s="99">
        <v>1974</v>
      </c>
      <c r="AV50" s="99">
        <v>12</v>
      </c>
      <c r="AW50" s="99">
        <v>3384</v>
      </c>
      <c r="AX50" s="99">
        <v>11</v>
      </c>
      <c r="AY50" s="99">
        <v>3102</v>
      </c>
      <c r="AZ50" s="99">
        <v>11</v>
      </c>
      <c r="BA50" s="99">
        <v>3102</v>
      </c>
      <c r="BB50" s="99">
        <v>9</v>
      </c>
      <c r="BC50" s="99">
        <v>2538</v>
      </c>
      <c r="BD50" s="99">
        <v>10</v>
      </c>
      <c r="BE50" s="99">
        <v>2820</v>
      </c>
      <c r="BF50" s="99">
        <v>8</v>
      </c>
      <c r="BG50" s="99">
        <v>2256</v>
      </c>
      <c r="BH50" s="99">
        <v>6</v>
      </c>
      <c r="BI50" s="99">
        <v>1692</v>
      </c>
      <c r="BJ50" s="99">
        <v>11</v>
      </c>
      <c r="BK50" s="99">
        <v>3102</v>
      </c>
      <c r="BL50" s="99">
        <v>7</v>
      </c>
      <c r="BM50" s="99">
        <v>1974</v>
      </c>
      <c r="BN50" s="99">
        <v>12</v>
      </c>
      <c r="BO50" s="99">
        <v>3384</v>
      </c>
      <c r="BP50" s="99">
        <v>7</v>
      </c>
      <c r="BQ50" s="99">
        <v>1974</v>
      </c>
      <c r="BR50" s="99">
        <v>7</v>
      </c>
      <c r="BS50" s="99">
        <v>1974</v>
      </c>
      <c r="BT50" s="99">
        <v>11.399518473937018</v>
      </c>
      <c r="BU50" s="99">
        <v>3214.6642096502392</v>
      </c>
      <c r="BV50" s="99">
        <v>7</v>
      </c>
      <c r="BW50" s="99">
        <v>1974</v>
      </c>
      <c r="BX50" s="99">
        <v>8</v>
      </c>
      <c r="BY50" s="99">
        <v>2256</v>
      </c>
      <c r="BZ50" s="99">
        <v>7.6635601995734781</v>
      </c>
      <c r="CA50" s="99">
        <v>2161.1239762797209</v>
      </c>
      <c r="CB50" s="99">
        <v>9.1496197377223361</v>
      </c>
      <c r="CC50" s="99">
        <v>2580.1927660376987</v>
      </c>
      <c r="CD50" s="99">
        <v>12</v>
      </c>
      <c r="CE50" s="99">
        <v>3384</v>
      </c>
      <c r="CF50" s="99">
        <v>11</v>
      </c>
      <c r="CG50" s="99">
        <v>3102</v>
      </c>
      <c r="CH50" s="99">
        <v>7</v>
      </c>
      <c r="CI50" s="99">
        <v>1974</v>
      </c>
      <c r="CJ50" s="99">
        <v>10</v>
      </c>
      <c r="CK50" s="99">
        <v>2820</v>
      </c>
      <c r="CL50" s="99">
        <v>7.3738246882808864</v>
      </c>
      <c r="CM50" s="99">
        <v>2079.4185620952098</v>
      </c>
      <c r="CN50" s="99">
        <v>7</v>
      </c>
      <c r="CO50" s="99">
        <v>1974</v>
      </c>
      <c r="CP50" s="99">
        <v>12</v>
      </c>
      <c r="CQ50" s="99">
        <v>3384</v>
      </c>
      <c r="CR50" s="99">
        <v>8.7582464979604424</v>
      </c>
      <c r="CS50" s="99">
        <v>2469.8255124248449</v>
      </c>
      <c r="CT50" s="99">
        <v>8</v>
      </c>
      <c r="CU50" s="99">
        <v>2256</v>
      </c>
    </row>
    <row r="51" spans="2:99">
      <c r="C51" s="98" t="s">
        <v>217</v>
      </c>
      <c r="D51" s="99">
        <v>9</v>
      </c>
      <c r="E51" s="99">
        <v>7689.5999999999995</v>
      </c>
      <c r="F51" s="99">
        <v>10</v>
      </c>
      <c r="G51" s="99">
        <v>8544</v>
      </c>
      <c r="H51" s="99">
        <v>10</v>
      </c>
      <c r="I51" s="99">
        <v>8544</v>
      </c>
      <c r="J51" s="99">
        <v>11</v>
      </c>
      <c r="K51" s="99">
        <v>9398.4</v>
      </c>
      <c r="L51" s="99">
        <v>11</v>
      </c>
      <c r="M51" s="99">
        <v>9398.4</v>
      </c>
      <c r="N51" s="99">
        <v>12</v>
      </c>
      <c r="O51" s="99">
        <v>10252.799999999999</v>
      </c>
      <c r="P51" s="99">
        <v>11</v>
      </c>
      <c r="Q51" s="99">
        <v>9398.4</v>
      </c>
      <c r="R51" s="99">
        <v>12</v>
      </c>
      <c r="S51" s="99">
        <v>10252.799999999999</v>
      </c>
      <c r="T51" s="99">
        <v>9</v>
      </c>
      <c r="U51" s="99">
        <v>7689.5999999999995</v>
      </c>
      <c r="V51" s="99">
        <v>8</v>
      </c>
      <c r="W51" s="99">
        <v>6835.2</v>
      </c>
      <c r="X51" s="99">
        <v>8</v>
      </c>
      <c r="Y51" s="99">
        <v>6835.2</v>
      </c>
      <c r="Z51" s="99">
        <v>8</v>
      </c>
      <c r="AA51" s="99">
        <v>6835.2</v>
      </c>
      <c r="AB51" s="99">
        <v>7</v>
      </c>
      <c r="AC51" s="99">
        <v>5980.8</v>
      </c>
      <c r="AD51" s="99">
        <v>8</v>
      </c>
      <c r="AE51" s="99">
        <v>6835.2</v>
      </c>
      <c r="AF51" s="99">
        <v>8</v>
      </c>
      <c r="AG51" s="99">
        <v>6835.2</v>
      </c>
      <c r="AH51" s="99">
        <v>10</v>
      </c>
      <c r="AI51" s="99">
        <v>8544</v>
      </c>
      <c r="AJ51" s="99">
        <v>11</v>
      </c>
      <c r="AK51" s="99">
        <v>9398.4</v>
      </c>
      <c r="AL51" s="99">
        <v>7</v>
      </c>
      <c r="AM51" s="99">
        <v>5980.8</v>
      </c>
      <c r="AN51" s="99">
        <v>8</v>
      </c>
      <c r="AO51" s="99">
        <v>6835.2</v>
      </c>
      <c r="AP51" s="99">
        <v>7</v>
      </c>
      <c r="AQ51" s="99">
        <v>5980.8</v>
      </c>
      <c r="AR51" s="99">
        <v>11</v>
      </c>
      <c r="AS51" s="99">
        <v>9398.4</v>
      </c>
      <c r="AT51" s="99">
        <v>7</v>
      </c>
      <c r="AU51" s="99">
        <v>5980.8</v>
      </c>
      <c r="AV51" s="99">
        <v>13</v>
      </c>
      <c r="AW51" s="99">
        <v>11107.199999999999</v>
      </c>
      <c r="AX51" s="99">
        <v>11</v>
      </c>
      <c r="AY51" s="99">
        <v>9398.4</v>
      </c>
      <c r="AZ51" s="99">
        <v>11</v>
      </c>
      <c r="BA51" s="99">
        <v>9398.4</v>
      </c>
      <c r="BB51" s="99">
        <v>9</v>
      </c>
      <c r="BC51" s="99">
        <v>7689.5999999999995</v>
      </c>
      <c r="BD51" s="99">
        <v>8</v>
      </c>
      <c r="BE51" s="99">
        <v>6835.2</v>
      </c>
      <c r="BF51" s="99">
        <v>7</v>
      </c>
      <c r="BG51" s="99">
        <v>5980.8</v>
      </c>
      <c r="BH51" s="99">
        <v>6</v>
      </c>
      <c r="BI51" s="99">
        <v>5126.3999999999996</v>
      </c>
      <c r="BJ51" s="99">
        <v>10</v>
      </c>
      <c r="BK51" s="99">
        <v>8544</v>
      </c>
      <c r="BL51" s="99">
        <v>7</v>
      </c>
      <c r="BM51" s="99">
        <v>5980.8</v>
      </c>
      <c r="BN51" s="99">
        <v>10</v>
      </c>
      <c r="BO51" s="99">
        <v>8544</v>
      </c>
      <c r="BP51" s="99">
        <v>6</v>
      </c>
      <c r="BQ51" s="99">
        <v>5126.3999999999996</v>
      </c>
      <c r="BR51" s="99">
        <v>7</v>
      </c>
      <c r="BS51" s="99">
        <v>5980.8</v>
      </c>
      <c r="BT51" s="99">
        <v>10.522632437480324</v>
      </c>
      <c r="BU51" s="99">
        <v>8990.5371545831877</v>
      </c>
      <c r="BV51" s="99">
        <v>7</v>
      </c>
      <c r="BW51" s="99">
        <v>5980.8</v>
      </c>
      <c r="BX51" s="99">
        <v>7</v>
      </c>
      <c r="BY51" s="99">
        <v>5980.8</v>
      </c>
      <c r="BZ51" s="99">
        <v>8.3602474904437951</v>
      </c>
      <c r="CA51" s="99">
        <v>7142.9954558351783</v>
      </c>
      <c r="CB51" s="99">
        <v>8.3178361252021258</v>
      </c>
      <c r="CC51" s="99">
        <v>7106.7591853726963</v>
      </c>
      <c r="CD51" s="99">
        <v>10</v>
      </c>
      <c r="CE51" s="99">
        <v>8544</v>
      </c>
      <c r="CF51" s="99">
        <v>10</v>
      </c>
      <c r="CG51" s="99">
        <v>8544</v>
      </c>
      <c r="CH51" s="99">
        <v>7</v>
      </c>
      <c r="CI51" s="99">
        <v>5980.8</v>
      </c>
      <c r="CJ51" s="99">
        <v>10</v>
      </c>
      <c r="CK51" s="99">
        <v>8544</v>
      </c>
      <c r="CL51" s="99">
        <v>6.5545108340274556</v>
      </c>
      <c r="CM51" s="99">
        <v>5600.1740565930577</v>
      </c>
      <c r="CN51" s="99">
        <v>7</v>
      </c>
      <c r="CO51" s="99">
        <v>5980.8</v>
      </c>
      <c r="CP51" s="99">
        <v>11</v>
      </c>
      <c r="CQ51" s="99">
        <v>9398.4</v>
      </c>
      <c r="CR51" s="99">
        <v>7.9620422708731295</v>
      </c>
      <c r="CS51" s="99">
        <v>6802.7689162340021</v>
      </c>
      <c r="CT51" s="99">
        <v>8</v>
      </c>
      <c r="CU51" s="99">
        <v>6835.2</v>
      </c>
    </row>
    <row r="52" spans="2:99">
      <c r="C52" s="98" t="s">
        <v>218</v>
      </c>
      <c r="D52" s="99">
        <v>10</v>
      </c>
      <c r="E52" s="99">
        <v>5400</v>
      </c>
      <c r="F52" s="99">
        <v>11</v>
      </c>
      <c r="G52" s="99">
        <v>5940</v>
      </c>
      <c r="H52" s="99">
        <v>9</v>
      </c>
      <c r="I52" s="99">
        <v>4860</v>
      </c>
      <c r="J52" s="99">
        <v>11</v>
      </c>
      <c r="K52" s="99">
        <v>5940</v>
      </c>
      <c r="L52" s="99">
        <v>11</v>
      </c>
      <c r="M52" s="99">
        <v>5940</v>
      </c>
      <c r="N52" s="99">
        <v>11</v>
      </c>
      <c r="O52" s="99">
        <v>5940</v>
      </c>
      <c r="P52" s="99">
        <v>11</v>
      </c>
      <c r="Q52" s="99">
        <v>5940</v>
      </c>
      <c r="R52" s="99">
        <v>11</v>
      </c>
      <c r="S52" s="99">
        <v>5940</v>
      </c>
      <c r="T52" s="99">
        <v>8</v>
      </c>
      <c r="U52" s="99">
        <v>4320</v>
      </c>
      <c r="V52" s="99">
        <v>9</v>
      </c>
      <c r="W52" s="99">
        <v>4860</v>
      </c>
      <c r="X52" s="99">
        <v>8</v>
      </c>
      <c r="Y52" s="99">
        <v>4320</v>
      </c>
      <c r="Z52" s="99">
        <v>7</v>
      </c>
      <c r="AA52" s="99">
        <v>3780</v>
      </c>
      <c r="AB52" s="99">
        <v>8</v>
      </c>
      <c r="AC52" s="99">
        <v>4320</v>
      </c>
      <c r="AD52" s="99">
        <v>8</v>
      </c>
      <c r="AE52" s="99">
        <v>4320</v>
      </c>
      <c r="AF52" s="99">
        <v>8</v>
      </c>
      <c r="AG52" s="99">
        <v>4320</v>
      </c>
      <c r="AH52" s="99">
        <v>10</v>
      </c>
      <c r="AI52" s="99">
        <v>5400</v>
      </c>
      <c r="AJ52" s="99">
        <v>12</v>
      </c>
      <c r="AK52" s="99">
        <v>6480</v>
      </c>
      <c r="AL52" s="99">
        <v>8</v>
      </c>
      <c r="AM52" s="99">
        <v>4320</v>
      </c>
      <c r="AN52" s="99">
        <v>8</v>
      </c>
      <c r="AO52" s="99">
        <v>4320</v>
      </c>
      <c r="AP52" s="99">
        <v>7</v>
      </c>
      <c r="AQ52" s="99">
        <v>3780</v>
      </c>
      <c r="AR52" s="99">
        <v>9</v>
      </c>
      <c r="AS52" s="99">
        <v>4860</v>
      </c>
      <c r="AT52" s="99">
        <v>7</v>
      </c>
      <c r="AU52" s="99">
        <v>3780</v>
      </c>
      <c r="AV52" s="99">
        <v>13</v>
      </c>
      <c r="AW52" s="99">
        <v>7020</v>
      </c>
      <c r="AX52" s="99">
        <v>9</v>
      </c>
      <c r="AY52" s="99">
        <v>4860</v>
      </c>
      <c r="AZ52" s="99">
        <v>12</v>
      </c>
      <c r="BA52" s="99">
        <v>6480</v>
      </c>
      <c r="BB52" s="99">
        <v>9</v>
      </c>
      <c r="BC52" s="99">
        <v>4860</v>
      </c>
      <c r="BD52" s="99">
        <v>10</v>
      </c>
      <c r="BE52" s="99">
        <v>5400</v>
      </c>
      <c r="BF52" s="99">
        <v>8</v>
      </c>
      <c r="BG52" s="99">
        <v>4320</v>
      </c>
      <c r="BH52" s="99">
        <v>6</v>
      </c>
      <c r="BI52" s="99">
        <v>3240</v>
      </c>
      <c r="BJ52" s="99">
        <v>10</v>
      </c>
      <c r="BK52" s="99">
        <v>5400</v>
      </c>
      <c r="BL52" s="99">
        <v>7</v>
      </c>
      <c r="BM52" s="99">
        <v>3780</v>
      </c>
      <c r="BN52" s="99">
        <v>11</v>
      </c>
      <c r="BO52" s="99">
        <v>5940</v>
      </c>
      <c r="BP52" s="99">
        <v>6</v>
      </c>
      <c r="BQ52" s="99">
        <v>3240</v>
      </c>
      <c r="BR52" s="99">
        <v>7</v>
      </c>
      <c r="BS52" s="99">
        <v>3780</v>
      </c>
      <c r="BT52" s="99">
        <v>9.6457464010236311</v>
      </c>
      <c r="BU52" s="99">
        <v>5208.7030565527612</v>
      </c>
      <c r="BV52" s="99">
        <v>6</v>
      </c>
      <c r="BW52" s="99">
        <v>3240</v>
      </c>
      <c r="BX52" s="99">
        <v>7</v>
      </c>
      <c r="BY52" s="99">
        <v>3780</v>
      </c>
      <c r="BZ52" s="99">
        <v>7.6635601995734781</v>
      </c>
      <c r="CA52" s="99">
        <v>4138.3225077696779</v>
      </c>
      <c r="CB52" s="99">
        <v>9.1496197377223361</v>
      </c>
      <c r="CC52" s="99">
        <v>4940.7946583700614</v>
      </c>
      <c r="CD52" s="99">
        <v>10</v>
      </c>
      <c r="CE52" s="99">
        <v>5400</v>
      </c>
      <c r="CF52" s="99">
        <v>13</v>
      </c>
      <c r="CG52" s="99">
        <v>7020</v>
      </c>
      <c r="CH52" s="99">
        <v>7</v>
      </c>
      <c r="CI52" s="99">
        <v>3780</v>
      </c>
      <c r="CJ52" s="99">
        <v>10</v>
      </c>
      <c r="CK52" s="99">
        <v>5400</v>
      </c>
      <c r="CL52" s="99">
        <v>5.7351969797740239</v>
      </c>
      <c r="CM52" s="99">
        <v>3097.006369077973</v>
      </c>
      <c r="CN52" s="99">
        <v>7</v>
      </c>
      <c r="CO52" s="99">
        <v>3780</v>
      </c>
      <c r="CP52" s="99">
        <v>11</v>
      </c>
      <c r="CQ52" s="99">
        <v>5940</v>
      </c>
      <c r="CR52" s="99">
        <v>8.7582464979604424</v>
      </c>
      <c r="CS52" s="99">
        <v>4729.4531088986387</v>
      </c>
      <c r="CT52" s="99">
        <v>10</v>
      </c>
      <c r="CU52" s="99">
        <v>5400</v>
      </c>
    </row>
    <row r="53" spans="2:99">
      <c r="C53" s="98" t="s">
        <v>219</v>
      </c>
      <c r="D53" s="99">
        <v>9</v>
      </c>
      <c r="E53" s="99">
        <v>3661.2000000000003</v>
      </c>
      <c r="F53" s="99">
        <v>12</v>
      </c>
      <c r="G53" s="99">
        <v>4881.6000000000004</v>
      </c>
      <c r="H53" s="99">
        <v>11</v>
      </c>
      <c r="I53" s="99">
        <v>4474.8</v>
      </c>
      <c r="J53" s="99">
        <v>11</v>
      </c>
      <c r="K53" s="99">
        <v>4474.8</v>
      </c>
      <c r="L53" s="99">
        <v>10</v>
      </c>
      <c r="M53" s="99">
        <v>4068</v>
      </c>
      <c r="N53" s="99">
        <v>11</v>
      </c>
      <c r="O53" s="99">
        <v>4474.8</v>
      </c>
      <c r="P53" s="99">
        <v>12</v>
      </c>
      <c r="Q53" s="99">
        <v>4881.6000000000004</v>
      </c>
      <c r="R53" s="99">
        <v>11</v>
      </c>
      <c r="S53" s="99">
        <v>4474.8</v>
      </c>
      <c r="T53" s="99">
        <v>9</v>
      </c>
      <c r="U53" s="99">
        <v>3661.2000000000003</v>
      </c>
      <c r="V53" s="99">
        <v>8</v>
      </c>
      <c r="W53" s="99">
        <v>3254.4</v>
      </c>
      <c r="X53" s="99">
        <v>8</v>
      </c>
      <c r="Y53" s="99">
        <v>3254.4</v>
      </c>
      <c r="Z53" s="99">
        <v>8</v>
      </c>
      <c r="AA53" s="99">
        <v>3254.4</v>
      </c>
      <c r="AB53" s="99">
        <v>7</v>
      </c>
      <c r="AC53" s="99">
        <v>2847.6</v>
      </c>
      <c r="AD53" s="99">
        <v>7</v>
      </c>
      <c r="AE53" s="99">
        <v>2847.6</v>
      </c>
      <c r="AF53" s="99">
        <v>8</v>
      </c>
      <c r="AG53" s="99">
        <v>3254.4</v>
      </c>
      <c r="AH53" s="99">
        <v>10</v>
      </c>
      <c r="AI53" s="99">
        <v>4068</v>
      </c>
      <c r="AJ53" s="99">
        <v>11</v>
      </c>
      <c r="AK53" s="99">
        <v>4474.8</v>
      </c>
      <c r="AL53" s="99">
        <v>8</v>
      </c>
      <c r="AM53" s="99">
        <v>3254.4</v>
      </c>
      <c r="AN53" s="99">
        <v>8</v>
      </c>
      <c r="AO53" s="99">
        <v>3254.4</v>
      </c>
      <c r="AP53" s="99">
        <v>6</v>
      </c>
      <c r="AQ53" s="99">
        <v>2440.8000000000002</v>
      </c>
      <c r="AR53" s="99">
        <v>10</v>
      </c>
      <c r="AS53" s="99">
        <v>4068</v>
      </c>
      <c r="AT53" s="99">
        <v>6</v>
      </c>
      <c r="AU53" s="99">
        <v>2440.8000000000002</v>
      </c>
      <c r="AV53" s="99">
        <v>13</v>
      </c>
      <c r="AW53" s="99">
        <v>5288.4000000000005</v>
      </c>
      <c r="AX53" s="99">
        <v>10</v>
      </c>
      <c r="AY53" s="99">
        <v>4068</v>
      </c>
      <c r="AZ53" s="99">
        <v>11</v>
      </c>
      <c r="BA53" s="99">
        <v>4474.8</v>
      </c>
      <c r="BB53" s="99">
        <v>8</v>
      </c>
      <c r="BC53" s="99">
        <v>3254.4</v>
      </c>
      <c r="BD53" s="99">
        <v>9</v>
      </c>
      <c r="BE53" s="99">
        <v>3661.2000000000003</v>
      </c>
      <c r="BF53" s="99">
        <v>7</v>
      </c>
      <c r="BG53" s="99">
        <v>2847.6</v>
      </c>
      <c r="BH53" s="99">
        <v>6</v>
      </c>
      <c r="BI53" s="99">
        <v>2440.8000000000002</v>
      </c>
      <c r="BJ53" s="99">
        <v>11</v>
      </c>
      <c r="BK53" s="99">
        <v>4474.8</v>
      </c>
      <c r="BL53" s="99">
        <v>7</v>
      </c>
      <c r="BM53" s="99">
        <v>2847.6</v>
      </c>
      <c r="BN53" s="99">
        <v>11</v>
      </c>
      <c r="BO53" s="99">
        <v>4474.8</v>
      </c>
      <c r="BP53" s="99">
        <v>7</v>
      </c>
      <c r="BQ53" s="99">
        <v>2847.6</v>
      </c>
      <c r="BR53" s="99">
        <v>7</v>
      </c>
      <c r="BS53" s="99">
        <v>2847.6</v>
      </c>
      <c r="BT53" s="99">
        <v>10.522632437480324</v>
      </c>
      <c r="BU53" s="99">
        <v>4280.6068755669958</v>
      </c>
      <c r="BV53" s="99">
        <v>7</v>
      </c>
      <c r="BW53" s="99">
        <v>2847.6</v>
      </c>
      <c r="BX53" s="99">
        <v>8</v>
      </c>
      <c r="BY53" s="99">
        <v>3254.4</v>
      </c>
      <c r="BZ53" s="99">
        <v>7.6635601995734781</v>
      </c>
      <c r="CA53" s="99">
        <v>3117.5362891864911</v>
      </c>
      <c r="CB53" s="99">
        <v>8.3178361252021258</v>
      </c>
      <c r="CC53" s="99">
        <v>3383.6957357322249</v>
      </c>
      <c r="CD53" s="99">
        <v>10</v>
      </c>
      <c r="CE53" s="99">
        <v>4068</v>
      </c>
      <c r="CF53" s="99">
        <v>13</v>
      </c>
      <c r="CG53" s="99">
        <v>5288.4000000000005</v>
      </c>
      <c r="CH53" s="99">
        <v>7</v>
      </c>
      <c r="CI53" s="99">
        <v>2847.6</v>
      </c>
      <c r="CJ53" s="99">
        <v>9</v>
      </c>
      <c r="CK53" s="99">
        <v>3661.2000000000003</v>
      </c>
      <c r="CL53" s="99">
        <v>6.5545108340274556</v>
      </c>
      <c r="CM53" s="99">
        <v>2666.3750072823691</v>
      </c>
      <c r="CN53" s="99">
        <v>7</v>
      </c>
      <c r="CO53" s="99">
        <v>2847.6</v>
      </c>
      <c r="CP53" s="99">
        <v>10</v>
      </c>
      <c r="CQ53" s="99">
        <v>4068</v>
      </c>
      <c r="CR53" s="99">
        <v>8.7582464979604424</v>
      </c>
      <c r="CS53" s="99">
        <v>3562.8546753703081</v>
      </c>
      <c r="CT53" s="99">
        <v>10</v>
      </c>
      <c r="CU53" s="99">
        <v>4068</v>
      </c>
    </row>
    <row r="54" spans="2:99">
      <c r="C54" s="98" t="s">
        <v>220</v>
      </c>
      <c r="D54" s="99">
        <v>8</v>
      </c>
      <c r="E54" s="99">
        <v>2678.4</v>
      </c>
      <c r="F54" s="99">
        <v>10</v>
      </c>
      <c r="G54" s="99">
        <v>3348</v>
      </c>
      <c r="H54" s="99">
        <v>11</v>
      </c>
      <c r="I54" s="99">
        <v>3682.8</v>
      </c>
      <c r="J54" s="99">
        <v>11</v>
      </c>
      <c r="K54" s="99">
        <v>3682.8</v>
      </c>
      <c r="L54" s="99">
        <v>11</v>
      </c>
      <c r="M54" s="99">
        <v>3682.8</v>
      </c>
      <c r="N54" s="99">
        <v>11</v>
      </c>
      <c r="O54" s="99">
        <v>3682.8</v>
      </c>
      <c r="P54" s="99">
        <v>10</v>
      </c>
      <c r="Q54" s="99">
        <v>3348</v>
      </c>
      <c r="R54" s="99">
        <v>11</v>
      </c>
      <c r="S54" s="99">
        <v>3682.8</v>
      </c>
      <c r="T54" s="99">
        <v>8</v>
      </c>
      <c r="U54" s="99">
        <v>2678.4</v>
      </c>
      <c r="V54" s="99">
        <v>8</v>
      </c>
      <c r="W54" s="99">
        <v>2678.4</v>
      </c>
      <c r="X54" s="99">
        <v>8</v>
      </c>
      <c r="Y54" s="99">
        <v>2678.4</v>
      </c>
      <c r="Z54" s="99">
        <v>8</v>
      </c>
      <c r="AA54" s="99">
        <v>2678.4</v>
      </c>
      <c r="AB54" s="99">
        <v>7</v>
      </c>
      <c r="AC54" s="99">
        <v>2343.6</v>
      </c>
      <c r="AD54" s="99">
        <v>8</v>
      </c>
      <c r="AE54" s="99">
        <v>2678.4</v>
      </c>
      <c r="AF54" s="99">
        <v>8</v>
      </c>
      <c r="AG54" s="99">
        <v>2678.4</v>
      </c>
      <c r="AH54" s="99">
        <v>11</v>
      </c>
      <c r="AI54" s="99">
        <v>3682.8</v>
      </c>
      <c r="AJ54" s="99">
        <v>13</v>
      </c>
      <c r="AK54" s="99">
        <v>4352.4000000000005</v>
      </c>
      <c r="AL54" s="99">
        <v>8</v>
      </c>
      <c r="AM54" s="99">
        <v>2678.4</v>
      </c>
      <c r="AN54" s="99">
        <v>8</v>
      </c>
      <c r="AO54" s="99">
        <v>2678.4</v>
      </c>
      <c r="AP54" s="99">
        <v>7</v>
      </c>
      <c r="AQ54" s="99">
        <v>2343.6</v>
      </c>
      <c r="AR54" s="99">
        <v>10</v>
      </c>
      <c r="AS54" s="99">
        <v>3348</v>
      </c>
      <c r="AT54" s="99">
        <v>6</v>
      </c>
      <c r="AU54" s="99">
        <v>2008.8000000000002</v>
      </c>
      <c r="AV54" s="99">
        <v>12</v>
      </c>
      <c r="AW54" s="99">
        <v>4017.6000000000004</v>
      </c>
      <c r="AX54" s="99">
        <v>11</v>
      </c>
      <c r="AY54" s="99">
        <v>3682.8</v>
      </c>
      <c r="AZ54" s="99">
        <v>11</v>
      </c>
      <c r="BA54" s="99">
        <v>3682.8</v>
      </c>
      <c r="BB54" s="99">
        <v>9</v>
      </c>
      <c r="BC54" s="99">
        <v>3013.2000000000003</v>
      </c>
      <c r="BD54" s="99">
        <v>9</v>
      </c>
      <c r="BE54" s="99">
        <v>3013.2000000000003</v>
      </c>
      <c r="BF54" s="99">
        <v>8</v>
      </c>
      <c r="BG54" s="99">
        <v>2678.4</v>
      </c>
      <c r="BH54" s="99">
        <v>7</v>
      </c>
      <c r="BI54" s="99">
        <v>2343.6</v>
      </c>
      <c r="BJ54" s="99">
        <v>11</v>
      </c>
      <c r="BK54" s="99">
        <v>3682.8</v>
      </c>
      <c r="BL54" s="99">
        <v>7</v>
      </c>
      <c r="BM54" s="99">
        <v>2343.6</v>
      </c>
      <c r="BN54" s="99">
        <v>11</v>
      </c>
      <c r="BO54" s="99">
        <v>3682.8</v>
      </c>
      <c r="BP54" s="99">
        <v>6</v>
      </c>
      <c r="BQ54" s="99">
        <v>2008.8000000000002</v>
      </c>
      <c r="BR54" s="99">
        <v>7</v>
      </c>
      <c r="BS54" s="99">
        <v>2343.6</v>
      </c>
      <c r="BT54" s="99">
        <v>9.6457464010236311</v>
      </c>
      <c r="BU54" s="99">
        <v>3229.3958950627116</v>
      </c>
      <c r="BV54" s="99">
        <v>7</v>
      </c>
      <c r="BW54" s="99">
        <v>2343.6</v>
      </c>
      <c r="BX54" s="99">
        <v>7</v>
      </c>
      <c r="BY54" s="99">
        <v>2343.6</v>
      </c>
      <c r="BZ54" s="99">
        <v>8.3602474904437951</v>
      </c>
      <c r="CA54" s="99">
        <v>2799.0108598005827</v>
      </c>
      <c r="CB54" s="99">
        <v>9.1496197377223361</v>
      </c>
      <c r="CC54" s="99">
        <v>3063.2926881894382</v>
      </c>
      <c r="CD54" s="99">
        <v>10</v>
      </c>
      <c r="CE54" s="99">
        <v>3348</v>
      </c>
      <c r="CF54" s="99">
        <v>11</v>
      </c>
      <c r="CG54" s="99">
        <v>3682.8</v>
      </c>
      <c r="CH54" s="99">
        <v>7</v>
      </c>
      <c r="CI54" s="99">
        <v>2343.6</v>
      </c>
      <c r="CJ54" s="99">
        <v>9</v>
      </c>
      <c r="CK54" s="99">
        <v>3013.2000000000003</v>
      </c>
      <c r="CL54" s="99">
        <v>6.5545108340274556</v>
      </c>
      <c r="CM54" s="99">
        <v>2194.4502272323921</v>
      </c>
      <c r="CN54" s="99">
        <v>6</v>
      </c>
      <c r="CO54" s="99">
        <v>2008.8000000000002</v>
      </c>
      <c r="CP54" s="99">
        <v>11</v>
      </c>
      <c r="CQ54" s="99">
        <v>3682.8</v>
      </c>
      <c r="CR54" s="99">
        <v>7.9620422708731295</v>
      </c>
      <c r="CS54" s="99">
        <v>2665.6917522883236</v>
      </c>
      <c r="CT54" s="99">
        <v>9</v>
      </c>
      <c r="CU54" s="99">
        <v>3013.2000000000003</v>
      </c>
    </row>
    <row r="55" spans="2:99">
      <c r="C55" s="98" t="s">
        <v>221</v>
      </c>
      <c r="D55" s="99">
        <v>8</v>
      </c>
      <c r="E55" s="99">
        <v>5308.8</v>
      </c>
      <c r="F55" s="99">
        <v>10</v>
      </c>
      <c r="G55" s="99">
        <v>6636</v>
      </c>
      <c r="H55" s="99">
        <v>10</v>
      </c>
      <c r="I55" s="99">
        <v>6636</v>
      </c>
      <c r="J55" s="99">
        <v>10</v>
      </c>
      <c r="K55" s="99">
        <v>6636</v>
      </c>
      <c r="L55" s="99">
        <v>11</v>
      </c>
      <c r="M55" s="99">
        <v>7299.6</v>
      </c>
      <c r="N55" s="99">
        <v>12</v>
      </c>
      <c r="O55" s="99">
        <v>7963.2000000000007</v>
      </c>
      <c r="P55" s="99">
        <v>10</v>
      </c>
      <c r="Q55" s="99">
        <v>6636</v>
      </c>
      <c r="R55" s="99">
        <v>11</v>
      </c>
      <c r="S55" s="99">
        <v>7299.6</v>
      </c>
      <c r="T55" s="99">
        <v>9</v>
      </c>
      <c r="U55" s="99">
        <v>5972.4000000000005</v>
      </c>
      <c r="V55" s="99">
        <v>8</v>
      </c>
      <c r="W55" s="99">
        <v>5308.8</v>
      </c>
      <c r="X55" s="99">
        <v>9</v>
      </c>
      <c r="Y55" s="99">
        <v>5972.4000000000005</v>
      </c>
      <c r="Z55" s="99">
        <v>8</v>
      </c>
      <c r="AA55" s="99">
        <v>5308.8</v>
      </c>
      <c r="AB55" s="99">
        <v>7</v>
      </c>
      <c r="AC55" s="99">
        <v>4645.2</v>
      </c>
      <c r="AD55" s="99">
        <v>7</v>
      </c>
      <c r="AE55" s="99">
        <v>4645.2</v>
      </c>
      <c r="AF55" s="99">
        <v>9</v>
      </c>
      <c r="AG55" s="99">
        <v>5972.4000000000005</v>
      </c>
      <c r="AH55" s="99">
        <v>10</v>
      </c>
      <c r="AI55" s="99">
        <v>6636</v>
      </c>
      <c r="AJ55" s="99">
        <v>13</v>
      </c>
      <c r="AK55" s="99">
        <v>8626.8000000000011</v>
      </c>
      <c r="AL55" s="99">
        <v>8</v>
      </c>
      <c r="AM55" s="99">
        <v>5308.8</v>
      </c>
      <c r="AN55" s="99">
        <v>9</v>
      </c>
      <c r="AO55" s="99">
        <v>5972.4000000000005</v>
      </c>
      <c r="AP55" s="99">
        <v>6</v>
      </c>
      <c r="AQ55" s="99">
        <v>3981.6000000000004</v>
      </c>
      <c r="AR55" s="99">
        <v>9</v>
      </c>
      <c r="AS55" s="99">
        <v>5972.4000000000005</v>
      </c>
      <c r="AT55" s="99">
        <v>7</v>
      </c>
      <c r="AU55" s="99">
        <v>4645.2</v>
      </c>
      <c r="AV55" s="99">
        <v>13</v>
      </c>
      <c r="AW55" s="99">
        <v>8626.8000000000011</v>
      </c>
      <c r="AX55" s="99">
        <v>10</v>
      </c>
      <c r="AY55" s="99">
        <v>6636</v>
      </c>
      <c r="AZ55" s="99">
        <v>10</v>
      </c>
      <c r="BA55" s="99">
        <v>6636</v>
      </c>
      <c r="BB55" s="99">
        <v>9</v>
      </c>
      <c r="BC55" s="99">
        <v>5972.4000000000005</v>
      </c>
      <c r="BD55" s="99">
        <v>9</v>
      </c>
      <c r="BE55" s="99">
        <v>5972.4000000000005</v>
      </c>
      <c r="BF55" s="99">
        <v>7</v>
      </c>
      <c r="BG55" s="99">
        <v>4645.2</v>
      </c>
      <c r="BH55" s="99">
        <v>7</v>
      </c>
      <c r="BI55" s="99">
        <v>4645.2</v>
      </c>
      <c r="BJ55" s="99">
        <v>12</v>
      </c>
      <c r="BK55" s="99">
        <v>7963.2000000000007</v>
      </c>
      <c r="BL55" s="99">
        <v>7</v>
      </c>
      <c r="BM55" s="99">
        <v>4645.2</v>
      </c>
      <c r="BN55" s="99">
        <v>12</v>
      </c>
      <c r="BO55" s="99">
        <v>7963.2000000000007</v>
      </c>
      <c r="BP55" s="99">
        <v>6</v>
      </c>
      <c r="BQ55" s="99">
        <v>3981.6000000000004</v>
      </c>
      <c r="BR55" s="99">
        <v>8</v>
      </c>
      <c r="BS55" s="99">
        <v>5308.8</v>
      </c>
      <c r="BT55" s="99">
        <v>10.522632437480324</v>
      </c>
      <c r="BU55" s="99">
        <v>6982.8188855119433</v>
      </c>
      <c r="BV55" s="99">
        <v>7</v>
      </c>
      <c r="BW55" s="99">
        <v>4645.2</v>
      </c>
      <c r="BX55" s="99">
        <v>7</v>
      </c>
      <c r="BY55" s="99">
        <v>4645.2</v>
      </c>
      <c r="BZ55" s="99">
        <v>7.6635601995734781</v>
      </c>
      <c r="CA55" s="99">
        <v>5085.5385484369599</v>
      </c>
      <c r="CB55" s="99">
        <v>9.1496197377223361</v>
      </c>
      <c r="CC55" s="99">
        <v>6071.6876579525424</v>
      </c>
      <c r="CD55" s="99">
        <v>10</v>
      </c>
      <c r="CE55" s="99">
        <v>6636</v>
      </c>
      <c r="CF55" s="99">
        <v>12</v>
      </c>
      <c r="CG55" s="99">
        <v>7963.2000000000007</v>
      </c>
      <c r="CH55" s="99">
        <v>8</v>
      </c>
      <c r="CI55" s="99">
        <v>5308.8</v>
      </c>
      <c r="CJ55" s="99">
        <v>10</v>
      </c>
      <c r="CK55" s="99">
        <v>6636</v>
      </c>
      <c r="CL55" s="99">
        <v>7.3738246882808864</v>
      </c>
      <c r="CM55" s="99">
        <v>4893.2700631431962</v>
      </c>
      <c r="CN55" s="99">
        <v>7</v>
      </c>
      <c r="CO55" s="99">
        <v>4645.2</v>
      </c>
      <c r="CP55" s="99">
        <v>12</v>
      </c>
      <c r="CQ55" s="99">
        <v>7963.2000000000007</v>
      </c>
      <c r="CR55" s="99">
        <v>7.9620422708731295</v>
      </c>
      <c r="CS55" s="99">
        <v>5283.6112509514087</v>
      </c>
      <c r="CT55" s="99">
        <v>9</v>
      </c>
      <c r="CU55" s="99">
        <v>5972.4000000000005</v>
      </c>
    </row>
    <row r="56" spans="2:99">
      <c r="C56" s="98" t="s">
        <v>222</v>
      </c>
      <c r="D56" s="99">
        <v>3.8728874540651077</v>
      </c>
      <c r="E56" s="99">
        <v>3801.6263249103094</v>
      </c>
      <c r="F56" s="99">
        <v>7.9855002260475167</v>
      </c>
      <c r="G56" s="99">
        <v>7838.5670218882415</v>
      </c>
      <c r="H56" s="99">
        <v>8.1454794101689707</v>
      </c>
      <c r="I56" s="99">
        <v>7995.6025890218607</v>
      </c>
      <c r="J56" s="99">
        <v>11</v>
      </c>
      <c r="K56" s="99">
        <v>10797.599999999999</v>
      </c>
      <c r="L56" s="99">
        <v>11</v>
      </c>
      <c r="M56" s="99">
        <v>10797.599999999999</v>
      </c>
      <c r="N56" s="99">
        <v>10.799127844250892</v>
      </c>
      <c r="O56" s="99">
        <v>10600.423891916675</v>
      </c>
      <c r="P56" s="99">
        <v>5.370825283266865</v>
      </c>
      <c r="Q56" s="99">
        <v>5272.0020980547542</v>
      </c>
      <c r="R56" s="99">
        <v>12</v>
      </c>
      <c r="S56" s="99">
        <v>11779.199999999999</v>
      </c>
      <c r="T56" s="99">
        <v>9</v>
      </c>
      <c r="U56" s="99">
        <v>8834.4</v>
      </c>
      <c r="V56" s="99">
        <v>7.7454545454545469</v>
      </c>
      <c r="W56" s="99">
        <v>7602.9381818181828</v>
      </c>
      <c r="X56" s="99">
        <v>8</v>
      </c>
      <c r="Y56" s="99">
        <v>7852.7999999999993</v>
      </c>
      <c r="Z56" s="99">
        <v>8</v>
      </c>
      <c r="AA56" s="99">
        <v>7852.7999999999993</v>
      </c>
      <c r="AB56" s="99">
        <v>7</v>
      </c>
      <c r="AC56" s="99">
        <v>6871.1999999999989</v>
      </c>
      <c r="AD56" s="99">
        <v>7</v>
      </c>
      <c r="AE56" s="99">
        <v>6871.1999999999989</v>
      </c>
      <c r="AF56" s="99">
        <v>8</v>
      </c>
      <c r="AG56" s="99">
        <v>7852.7999999999993</v>
      </c>
      <c r="AH56" s="99">
        <v>10</v>
      </c>
      <c r="AI56" s="99">
        <v>9816</v>
      </c>
      <c r="AJ56" s="99">
        <v>12</v>
      </c>
      <c r="AK56" s="99">
        <v>11779.199999999999</v>
      </c>
      <c r="AL56" s="99">
        <v>7</v>
      </c>
      <c r="AM56" s="99">
        <v>6871.1999999999989</v>
      </c>
      <c r="AN56" s="99">
        <v>8</v>
      </c>
      <c r="AO56" s="99">
        <v>7852.7999999999993</v>
      </c>
      <c r="AP56" s="99">
        <v>7</v>
      </c>
      <c r="AQ56" s="99">
        <v>6871.1999999999989</v>
      </c>
      <c r="AR56" s="99">
        <v>9</v>
      </c>
      <c r="AS56" s="99">
        <v>8834.4</v>
      </c>
      <c r="AT56" s="99">
        <v>6</v>
      </c>
      <c r="AU56" s="99">
        <v>5889.5999999999995</v>
      </c>
      <c r="AV56" s="99">
        <v>13</v>
      </c>
      <c r="AW56" s="99">
        <v>12760.8</v>
      </c>
      <c r="AX56" s="99">
        <v>10</v>
      </c>
      <c r="AY56" s="99">
        <v>9816</v>
      </c>
      <c r="AZ56" s="99">
        <v>10</v>
      </c>
      <c r="BA56" s="99">
        <v>9816</v>
      </c>
      <c r="BB56" s="99">
        <v>6.5038706222047944</v>
      </c>
      <c r="BC56" s="99">
        <v>6384.1994027562259</v>
      </c>
      <c r="BD56" s="99">
        <v>9</v>
      </c>
      <c r="BE56" s="99">
        <v>8834.4</v>
      </c>
      <c r="BF56" s="99">
        <v>7</v>
      </c>
      <c r="BG56" s="99">
        <v>6871.1999999999989</v>
      </c>
      <c r="BH56" s="99">
        <v>7</v>
      </c>
      <c r="BI56" s="99">
        <v>6871.1999999999989</v>
      </c>
      <c r="BJ56" s="99">
        <v>10</v>
      </c>
      <c r="BK56" s="99">
        <v>9816</v>
      </c>
      <c r="BL56" s="99">
        <v>5.852283019344978</v>
      </c>
      <c r="BM56" s="99">
        <v>5744.6010117890301</v>
      </c>
      <c r="BN56" s="99">
        <v>10.137068965517241</v>
      </c>
      <c r="BO56" s="99">
        <v>9950.546896551723</v>
      </c>
      <c r="BP56" s="99">
        <v>2.3567828773103034</v>
      </c>
      <c r="BQ56" s="99">
        <v>2313.4180723677937</v>
      </c>
      <c r="BR56" s="99">
        <v>7</v>
      </c>
      <c r="BS56" s="99">
        <v>6871.1999999999989</v>
      </c>
      <c r="BT56" s="99">
        <v>12</v>
      </c>
      <c r="BU56" s="99">
        <v>11779.199999999999</v>
      </c>
      <c r="BV56" s="99">
        <v>6.4412017167382016</v>
      </c>
      <c r="BW56" s="99">
        <v>6322.6836051502178</v>
      </c>
      <c r="BX56" s="99">
        <v>2.0669539726511874</v>
      </c>
      <c r="BY56" s="99">
        <v>2028.9220195544053</v>
      </c>
      <c r="BZ56" s="99">
        <v>10.887962962962966</v>
      </c>
      <c r="CA56" s="99">
        <v>10687.624444444447</v>
      </c>
      <c r="CB56" s="99">
        <v>7.5164062500000002</v>
      </c>
      <c r="CC56" s="99">
        <v>7378.1043749999999</v>
      </c>
      <c r="CD56" s="99">
        <v>11</v>
      </c>
      <c r="CE56" s="99">
        <v>10797.599999999999</v>
      </c>
      <c r="CF56" s="99">
        <v>9.4387590215785018</v>
      </c>
      <c r="CG56" s="99">
        <v>9265.0858555814557</v>
      </c>
      <c r="CH56" s="99">
        <v>5.3450011407642277</v>
      </c>
      <c r="CI56" s="99">
        <v>5246.6531197741651</v>
      </c>
      <c r="CJ56" s="99">
        <v>7.8892988929889301</v>
      </c>
      <c r="CK56" s="99">
        <v>7744.1357933579329</v>
      </c>
      <c r="CL56" s="99">
        <v>5.7874711234233267</v>
      </c>
      <c r="CM56" s="99">
        <v>5680.9816547523369</v>
      </c>
      <c r="CN56" s="99">
        <v>5.4186286929854255</v>
      </c>
      <c r="CO56" s="99">
        <v>5318.925925034493</v>
      </c>
      <c r="CP56" s="99">
        <v>11.50493273542601</v>
      </c>
      <c r="CQ56" s="99">
        <v>11293.241973094171</v>
      </c>
      <c r="CR56" s="99">
        <v>5.8276061520184932</v>
      </c>
      <c r="CS56" s="99">
        <v>5720.3781988213523</v>
      </c>
      <c r="CT56" s="99">
        <v>9</v>
      </c>
      <c r="CU56" s="99">
        <v>8834.4</v>
      </c>
    </row>
    <row r="57" spans="2:99">
      <c r="C57" s="98" t="s">
        <v>223</v>
      </c>
      <c r="D57" s="99">
        <v>9</v>
      </c>
      <c r="E57" s="99">
        <v>12700.800000000001</v>
      </c>
      <c r="F57" s="99">
        <v>9</v>
      </c>
      <c r="G57" s="99">
        <v>12700.800000000001</v>
      </c>
      <c r="H57" s="99">
        <v>9</v>
      </c>
      <c r="I57" s="99">
        <v>12700.800000000001</v>
      </c>
      <c r="J57" s="99">
        <v>10</v>
      </c>
      <c r="K57" s="99">
        <v>14112</v>
      </c>
      <c r="L57" s="99">
        <v>11</v>
      </c>
      <c r="M57" s="99">
        <v>15523.2</v>
      </c>
      <c r="N57" s="99">
        <v>11</v>
      </c>
      <c r="O57" s="99">
        <v>15523.2</v>
      </c>
      <c r="P57" s="99">
        <v>10</v>
      </c>
      <c r="Q57" s="99">
        <v>14112</v>
      </c>
      <c r="R57" s="99">
        <v>11</v>
      </c>
      <c r="S57" s="99">
        <v>15523.2</v>
      </c>
      <c r="T57" s="99">
        <v>8</v>
      </c>
      <c r="U57" s="99">
        <v>11289.6</v>
      </c>
      <c r="V57" s="99">
        <v>9</v>
      </c>
      <c r="W57" s="99">
        <v>12700.800000000001</v>
      </c>
      <c r="X57" s="99">
        <v>9</v>
      </c>
      <c r="Y57" s="99">
        <v>12700.800000000001</v>
      </c>
      <c r="Z57" s="99">
        <v>7</v>
      </c>
      <c r="AA57" s="99">
        <v>9878.4</v>
      </c>
      <c r="AB57" s="99">
        <v>7</v>
      </c>
      <c r="AC57" s="99">
        <v>9878.4</v>
      </c>
      <c r="AD57" s="99">
        <v>7</v>
      </c>
      <c r="AE57" s="99">
        <v>9878.4</v>
      </c>
      <c r="AF57" s="99">
        <v>8</v>
      </c>
      <c r="AG57" s="99">
        <v>11289.6</v>
      </c>
      <c r="AH57" s="99">
        <v>10</v>
      </c>
      <c r="AI57" s="99">
        <v>14112</v>
      </c>
      <c r="AJ57" s="99">
        <v>11</v>
      </c>
      <c r="AK57" s="99">
        <v>15523.2</v>
      </c>
      <c r="AL57" s="99">
        <v>7</v>
      </c>
      <c r="AM57" s="99">
        <v>9878.4</v>
      </c>
      <c r="AN57" s="99">
        <v>7</v>
      </c>
      <c r="AO57" s="99">
        <v>9878.4</v>
      </c>
      <c r="AP57" s="99">
        <v>6</v>
      </c>
      <c r="AQ57" s="99">
        <v>8467.2000000000007</v>
      </c>
      <c r="AR57" s="99">
        <v>10</v>
      </c>
      <c r="AS57" s="99">
        <v>14112</v>
      </c>
      <c r="AT57" s="99">
        <v>6</v>
      </c>
      <c r="AU57" s="99">
        <v>8467.2000000000007</v>
      </c>
      <c r="AV57" s="99">
        <v>11</v>
      </c>
      <c r="AW57" s="99">
        <v>15523.2</v>
      </c>
      <c r="AX57" s="99">
        <v>10</v>
      </c>
      <c r="AY57" s="99">
        <v>14112</v>
      </c>
      <c r="AZ57" s="99">
        <v>10</v>
      </c>
      <c r="BA57" s="99">
        <v>14112</v>
      </c>
      <c r="BB57" s="99">
        <v>8</v>
      </c>
      <c r="BC57" s="99">
        <v>11289.6</v>
      </c>
      <c r="BD57" s="99">
        <v>9</v>
      </c>
      <c r="BE57" s="99">
        <v>12700.800000000001</v>
      </c>
      <c r="BF57" s="99">
        <v>7</v>
      </c>
      <c r="BG57" s="99">
        <v>9878.4</v>
      </c>
      <c r="BH57" s="99">
        <v>6</v>
      </c>
      <c r="BI57" s="99">
        <v>8467.2000000000007</v>
      </c>
      <c r="BJ57" s="99">
        <v>11</v>
      </c>
      <c r="BK57" s="99">
        <v>15523.2</v>
      </c>
      <c r="BL57" s="99">
        <v>7</v>
      </c>
      <c r="BM57" s="99">
        <v>9878.4</v>
      </c>
      <c r="BN57" s="99">
        <v>10</v>
      </c>
      <c r="BO57" s="99">
        <v>14112</v>
      </c>
      <c r="BP57" s="99">
        <v>6</v>
      </c>
      <c r="BQ57" s="99">
        <v>8467.2000000000007</v>
      </c>
      <c r="BR57" s="99">
        <v>7</v>
      </c>
      <c r="BS57" s="99">
        <v>9878.4</v>
      </c>
      <c r="BT57" s="99">
        <v>9.6457464010236311</v>
      </c>
      <c r="BU57" s="99">
        <v>13612.077321124549</v>
      </c>
      <c r="BV57" s="99">
        <v>6</v>
      </c>
      <c r="BW57" s="99">
        <v>8467.2000000000007</v>
      </c>
      <c r="BX57" s="99">
        <v>7</v>
      </c>
      <c r="BY57" s="99">
        <v>9878.4</v>
      </c>
      <c r="BZ57" s="99">
        <v>6.966872908703162</v>
      </c>
      <c r="CA57" s="99">
        <v>9831.6510487619034</v>
      </c>
      <c r="CB57" s="99">
        <v>7.486052512681912</v>
      </c>
      <c r="CC57" s="99">
        <v>10564.317305896715</v>
      </c>
      <c r="CD57" s="99">
        <v>10</v>
      </c>
      <c r="CE57" s="99">
        <v>14112</v>
      </c>
      <c r="CF57" s="99">
        <v>12</v>
      </c>
      <c r="CG57" s="99">
        <v>16934.400000000001</v>
      </c>
      <c r="CH57" s="99">
        <v>6</v>
      </c>
      <c r="CI57" s="99">
        <v>8467.2000000000007</v>
      </c>
      <c r="CJ57" s="99">
        <v>9</v>
      </c>
      <c r="CK57" s="99">
        <v>12700.800000000001</v>
      </c>
      <c r="CL57" s="99">
        <v>6.5545108340274556</v>
      </c>
      <c r="CM57" s="99">
        <v>9249.7256889795462</v>
      </c>
      <c r="CN57" s="99">
        <v>7</v>
      </c>
      <c r="CO57" s="99">
        <v>9878.4</v>
      </c>
      <c r="CP57" s="99">
        <v>10</v>
      </c>
      <c r="CQ57" s="99">
        <v>14112</v>
      </c>
      <c r="CR57" s="99">
        <v>7.9620422708731295</v>
      </c>
      <c r="CS57" s="99">
        <v>11236.034052656161</v>
      </c>
      <c r="CT57" s="99">
        <v>9</v>
      </c>
      <c r="CU57" s="99">
        <v>12700.800000000001</v>
      </c>
    </row>
    <row r="58" spans="2:99">
      <c r="C58" s="98" t="s">
        <v>224</v>
      </c>
      <c r="D58" s="99">
        <v>0.92236664065657281</v>
      </c>
      <c r="E58" s="99">
        <v>1085.8100093809176</v>
      </c>
      <c r="F58" s="99">
        <v>6.4457237593282768</v>
      </c>
      <c r="G58" s="99">
        <v>7587.9060094812476</v>
      </c>
      <c r="H58" s="99">
        <v>5.5128315705525016E-16</v>
      </c>
      <c r="I58" s="99">
        <v>6.4897053248544051E-13</v>
      </c>
      <c r="J58" s="99">
        <v>0</v>
      </c>
      <c r="K58" s="99">
        <v>0</v>
      </c>
      <c r="L58" s="99">
        <v>9</v>
      </c>
      <c r="M58" s="99">
        <v>10594.800000000001</v>
      </c>
      <c r="N58" s="99">
        <v>11</v>
      </c>
      <c r="O58" s="99">
        <v>12949.2</v>
      </c>
      <c r="P58" s="99">
        <v>10</v>
      </c>
      <c r="Q58" s="99">
        <v>11772</v>
      </c>
      <c r="R58" s="99">
        <v>11</v>
      </c>
      <c r="S58" s="99">
        <v>12949.2</v>
      </c>
      <c r="T58" s="99">
        <v>8</v>
      </c>
      <c r="U58" s="99">
        <v>9417.6</v>
      </c>
      <c r="V58" s="99">
        <v>8</v>
      </c>
      <c r="W58" s="99">
        <v>9417.6</v>
      </c>
      <c r="X58" s="99">
        <v>6.4325814033508486</v>
      </c>
      <c r="Y58" s="99">
        <v>7572.4348280246195</v>
      </c>
      <c r="Z58" s="99">
        <v>5.3758639663324557</v>
      </c>
      <c r="AA58" s="99">
        <v>6328.467061166567</v>
      </c>
      <c r="AB58" s="99">
        <v>0</v>
      </c>
      <c r="AC58" s="99">
        <v>0</v>
      </c>
      <c r="AD58" s="99">
        <v>8</v>
      </c>
      <c r="AE58" s="99">
        <v>9417.6</v>
      </c>
      <c r="AF58" s="99">
        <v>7.395983309987348</v>
      </c>
      <c r="AG58" s="99">
        <v>8706.5515525171068</v>
      </c>
      <c r="AH58" s="99">
        <v>7.8923176506665955</v>
      </c>
      <c r="AI58" s="99">
        <v>9290.8363383647174</v>
      </c>
      <c r="AJ58" s="99">
        <v>9.2832409593979364</v>
      </c>
      <c r="AK58" s="99">
        <v>10928.231257403251</v>
      </c>
      <c r="AL58" s="99">
        <v>5.4804650930358578</v>
      </c>
      <c r="AM58" s="99">
        <v>6451.6035075218124</v>
      </c>
      <c r="AN58" s="99">
        <v>6.8423366359663502</v>
      </c>
      <c r="AO58" s="99">
        <v>8054.7986878595875</v>
      </c>
      <c r="AP58" s="99">
        <v>5.7723113436000473</v>
      </c>
      <c r="AQ58" s="99">
        <v>6795.164913685976</v>
      </c>
      <c r="AR58" s="99">
        <v>0</v>
      </c>
      <c r="AS58" s="99">
        <v>0</v>
      </c>
      <c r="AT58" s="99">
        <v>7</v>
      </c>
      <c r="AU58" s="99">
        <v>8240.4</v>
      </c>
      <c r="AV58" s="99">
        <v>9.9446380267787848</v>
      </c>
      <c r="AW58" s="99">
        <v>11706.827885123987</v>
      </c>
      <c r="AX58" s="99">
        <v>10</v>
      </c>
      <c r="AY58" s="99">
        <v>11772</v>
      </c>
      <c r="AZ58" s="99">
        <v>5.4179883407057536</v>
      </c>
      <c r="BA58" s="99">
        <v>6378.0558746788138</v>
      </c>
      <c r="BB58" s="99">
        <v>8</v>
      </c>
      <c r="BC58" s="99">
        <v>9417.6</v>
      </c>
      <c r="BD58" s="99">
        <v>8.8854080208852615</v>
      </c>
      <c r="BE58" s="99">
        <v>10459.90232218613</v>
      </c>
      <c r="BF58" s="99">
        <v>6.5566946636307106</v>
      </c>
      <c r="BG58" s="99">
        <v>7718.540958026073</v>
      </c>
      <c r="BH58" s="99">
        <v>4.5721012596965105</v>
      </c>
      <c r="BI58" s="99">
        <v>5382.2776029147326</v>
      </c>
      <c r="BJ58" s="99">
        <v>6.8509485912407513</v>
      </c>
      <c r="BK58" s="99">
        <v>8064.9366816086131</v>
      </c>
      <c r="BL58" s="99">
        <v>7.2580516339678391</v>
      </c>
      <c r="BM58" s="99">
        <v>8544.17838350694</v>
      </c>
      <c r="BN58" s="99">
        <v>5.8965225470411813</v>
      </c>
      <c r="BO58" s="99">
        <v>6941.3863423768789</v>
      </c>
      <c r="BP58" s="99">
        <v>6</v>
      </c>
      <c r="BQ58" s="99">
        <v>7063.2000000000007</v>
      </c>
      <c r="BR58" s="99">
        <v>3.9398108304530681</v>
      </c>
      <c r="BS58" s="99">
        <v>4637.9453096093521</v>
      </c>
      <c r="BT58" s="99">
        <v>1.2704837172061296</v>
      </c>
      <c r="BU58" s="99">
        <v>1495.6134318950558</v>
      </c>
      <c r="BV58" s="99">
        <v>3.8165834609193685</v>
      </c>
      <c r="BW58" s="99">
        <v>4492.882050194281</v>
      </c>
      <c r="BX58" s="99">
        <v>7</v>
      </c>
      <c r="BY58" s="99">
        <v>8240.4</v>
      </c>
      <c r="BZ58" s="99">
        <v>12</v>
      </c>
      <c r="CA58" s="99">
        <v>14126.400000000001</v>
      </c>
      <c r="CB58" s="99">
        <v>7.529786885683305</v>
      </c>
      <c r="CC58" s="99">
        <v>8864.0651218263865</v>
      </c>
      <c r="CD58" s="99">
        <v>0</v>
      </c>
      <c r="CE58" s="99">
        <v>0</v>
      </c>
      <c r="CF58" s="99">
        <v>8.1900065873664083</v>
      </c>
      <c r="CG58" s="99">
        <v>9641.2757546477369</v>
      </c>
      <c r="CH58" s="99">
        <v>7</v>
      </c>
      <c r="CI58" s="99">
        <v>8240.4</v>
      </c>
      <c r="CJ58" s="99">
        <v>10</v>
      </c>
      <c r="CK58" s="99">
        <v>11772</v>
      </c>
      <c r="CL58" s="99">
        <v>6.1270879698879339</v>
      </c>
      <c r="CM58" s="99">
        <v>7212.807958152076</v>
      </c>
      <c r="CN58" s="99">
        <v>5.1070707680158325</v>
      </c>
      <c r="CO58" s="99">
        <v>6012.0437081082382</v>
      </c>
      <c r="CP58" s="99">
        <v>0</v>
      </c>
      <c r="CQ58" s="99">
        <v>0</v>
      </c>
      <c r="CR58" s="99">
        <v>9</v>
      </c>
      <c r="CS58" s="99">
        <v>10594.800000000001</v>
      </c>
      <c r="CT58" s="99">
        <v>4.5226191479817199</v>
      </c>
      <c r="CU58" s="99">
        <v>5324.0272610040811</v>
      </c>
    </row>
    <row r="59" spans="2:99">
      <c r="C59" s="98" t="s">
        <v>225</v>
      </c>
      <c r="D59" s="99">
        <v>8</v>
      </c>
      <c r="E59" s="99">
        <v>2428.7999999999997</v>
      </c>
      <c r="F59" s="99">
        <v>11</v>
      </c>
      <c r="G59" s="99">
        <v>3339.5999999999995</v>
      </c>
      <c r="H59" s="99">
        <v>10</v>
      </c>
      <c r="I59" s="99">
        <v>3035.9999999999995</v>
      </c>
      <c r="J59" s="99">
        <v>12</v>
      </c>
      <c r="K59" s="99">
        <v>3643.2</v>
      </c>
      <c r="L59" s="99">
        <v>12</v>
      </c>
      <c r="M59" s="99">
        <v>3643.2</v>
      </c>
      <c r="N59" s="99">
        <v>11</v>
      </c>
      <c r="O59" s="99">
        <v>3339.5999999999995</v>
      </c>
      <c r="P59" s="99">
        <v>12</v>
      </c>
      <c r="Q59" s="99">
        <v>3643.2</v>
      </c>
      <c r="R59" s="99">
        <v>12</v>
      </c>
      <c r="S59" s="99">
        <v>3643.2</v>
      </c>
      <c r="T59" s="99">
        <v>9</v>
      </c>
      <c r="U59" s="99">
        <v>2732.3999999999996</v>
      </c>
      <c r="V59" s="99">
        <v>10</v>
      </c>
      <c r="W59" s="99">
        <v>3035.9999999999995</v>
      </c>
      <c r="X59" s="99">
        <v>8</v>
      </c>
      <c r="Y59" s="99">
        <v>2428.7999999999997</v>
      </c>
      <c r="Z59" s="99">
        <v>8</v>
      </c>
      <c r="AA59" s="99">
        <v>2428.7999999999997</v>
      </c>
      <c r="AB59" s="99">
        <v>7</v>
      </c>
      <c r="AC59" s="99">
        <v>2125.1999999999998</v>
      </c>
      <c r="AD59" s="99">
        <v>8</v>
      </c>
      <c r="AE59" s="99">
        <v>2428.7999999999997</v>
      </c>
      <c r="AF59" s="99">
        <v>9</v>
      </c>
      <c r="AG59" s="99">
        <v>2732.3999999999996</v>
      </c>
      <c r="AH59" s="99">
        <v>11</v>
      </c>
      <c r="AI59" s="99">
        <v>3339.5999999999995</v>
      </c>
      <c r="AJ59" s="99">
        <v>13</v>
      </c>
      <c r="AK59" s="99">
        <v>3946.7999999999997</v>
      </c>
      <c r="AL59" s="99">
        <v>8</v>
      </c>
      <c r="AM59" s="99">
        <v>2428.7999999999997</v>
      </c>
      <c r="AN59" s="99">
        <v>8</v>
      </c>
      <c r="AO59" s="99">
        <v>2428.7999999999997</v>
      </c>
      <c r="AP59" s="99">
        <v>7</v>
      </c>
      <c r="AQ59" s="99">
        <v>2125.1999999999998</v>
      </c>
      <c r="AR59" s="99">
        <v>9</v>
      </c>
      <c r="AS59" s="99">
        <v>2732.3999999999996</v>
      </c>
      <c r="AT59" s="99">
        <v>7</v>
      </c>
      <c r="AU59" s="99">
        <v>2125.1999999999998</v>
      </c>
      <c r="AV59" s="99">
        <v>12</v>
      </c>
      <c r="AW59" s="99">
        <v>3643.2</v>
      </c>
      <c r="AX59" s="99">
        <v>11</v>
      </c>
      <c r="AY59" s="99">
        <v>3339.5999999999995</v>
      </c>
      <c r="AZ59" s="99">
        <v>11</v>
      </c>
      <c r="BA59" s="99">
        <v>3339.5999999999995</v>
      </c>
      <c r="BB59" s="99">
        <v>8</v>
      </c>
      <c r="BC59" s="99">
        <v>2428.7999999999997</v>
      </c>
      <c r="BD59" s="99">
        <v>10</v>
      </c>
      <c r="BE59" s="99">
        <v>3035.9999999999995</v>
      </c>
      <c r="BF59" s="99">
        <v>7</v>
      </c>
      <c r="BG59" s="99">
        <v>2125.1999999999998</v>
      </c>
      <c r="BH59" s="99">
        <v>6</v>
      </c>
      <c r="BI59" s="99">
        <v>1821.6</v>
      </c>
      <c r="BJ59" s="99">
        <v>12</v>
      </c>
      <c r="BK59" s="99">
        <v>3643.2</v>
      </c>
      <c r="BL59" s="99">
        <v>8</v>
      </c>
      <c r="BM59" s="99">
        <v>2428.7999999999997</v>
      </c>
      <c r="BN59" s="99">
        <v>11</v>
      </c>
      <c r="BO59" s="99">
        <v>3339.5999999999995</v>
      </c>
      <c r="BP59" s="99">
        <v>6</v>
      </c>
      <c r="BQ59" s="99">
        <v>1821.6</v>
      </c>
      <c r="BR59" s="99">
        <v>8</v>
      </c>
      <c r="BS59" s="99">
        <v>2428.7999999999997</v>
      </c>
      <c r="BT59" s="99">
        <v>10.522632437480324</v>
      </c>
      <c r="BU59" s="99">
        <v>3194.6712080190259</v>
      </c>
      <c r="BV59" s="99">
        <v>7</v>
      </c>
      <c r="BW59" s="99">
        <v>2125.1999999999998</v>
      </c>
      <c r="BX59" s="99">
        <v>8</v>
      </c>
      <c r="BY59" s="99">
        <v>2428.7999999999997</v>
      </c>
      <c r="BZ59" s="99">
        <v>7.6635601995734781</v>
      </c>
      <c r="CA59" s="99">
        <v>2326.6568765905076</v>
      </c>
      <c r="CB59" s="99">
        <v>8.3178361252021258</v>
      </c>
      <c r="CC59" s="99">
        <v>2525.2950476113651</v>
      </c>
      <c r="CD59" s="99">
        <v>10</v>
      </c>
      <c r="CE59" s="99">
        <v>3035.9999999999995</v>
      </c>
      <c r="CF59" s="99">
        <v>11</v>
      </c>
      <c r="CG59" s="99">
        <v>3339.5999999999995</v>
      </c>
      <c r="CH59" s="99">
        <v>8</v>
      </c>
      <c r="CI59" s="99">
        <v>2428.7999999999997</v>
      </c>
      <c r="CJ59" s="99">
        <v>10</v>
      </c>
      <c r="CK59" s="99">
        <v>3035.9999999999995</v>
      </c>
      <c r="CL59" s="99">
        <v>6.5545108340274556</v>
      </c>
      <c r="CM59" s="99">
        <v>1989.9494892107352</v>
      </c>
      <c r="CN59" s="99">
        <v>7</v>
      </c>
      <c r="CO59" s="99">
        <v>2125.1999999999998</v>
      </c>
      <c r="CP59" s="99">
        <v>11</v>
      </c>
      <c r="CQ59" s="99">
        <v>3339.5999999999995</v>
      </c>
      <c r="CR59" s="99">
        <v>7.9620422708731295</v>
      </c>
      <c r="CS59" s="99">
        <v>2417.2760334370819</v>
      </c>
      <c r="CT59" s="99">
        <v>9</v>
      </c>
      <c r="CU59" s="99">
        <v>2732.3999999999996</v>
      </c>
    </row>
    <row r="60" spans="2:99">
      <c r="C60" s="98" t="s">
        <v>226</v>
      </c>
      <c r="D60" s="99">
        <v>9</v>
      </c>
      <c r="E60" s="99">
        <v>5864.4000000000005</v>
      </c>
      <c r="F60" s="99">
        <v>11</v>
      </c>
      <c r="G60" s="99">
        <v>7167.6</v>
      </c>
      <c r="H60" s="99">
        <v>11</v>
      </c>
      <c r="I60" s="99">
        <v>7167.6</v>
      </c>
      <c r="J60" s="99">
        <v>12</v>
      </c>
      <c r="K60" s="99">
        <v>7819.2000000000007</v>
      </c>
      <c r="L60" s="99">
        <v>10</v>
      </c>
      <c r="M60" s="99">
        <v>6516</v>
      </c>
      <c r="N60" s="99">
        <v>11</v>
      </c>
      <c r="O60" s="99">
        <v>7167.6</v>
      </c>
      <c r="P60" s="99">
        <v>11</v>
      </c>
      <c r="Q60" s="99">
        <v>7167.6</v>
      </c>
      <c r="R60" s="99">
        <v>10</v>
      </c>
      <c r="S60" s="99">
        <v>6516</v>
      </c>
      <c r="T60" s="99">
        <v>9</v>
      </c>
      <c r="U60" s="99">
        <v>5864.4000000000005</v>
      </c>
      <c r="V60" s="99">
        <v>9</v>
      </c>
      <c r="W60" s="99">
        <v>5864.4000000000005</v>
      </c>
      <c r="X60" s="99">
        <v>8</v>
      </c>
      <c r="Y60" s="99">
        <v>5212.8</v>
      </c>
      <c r="Z60" s="99">
        <v>8</v>
      </c>
      <c r="AA60" s="99">
        <v>5212.8</v>
      </c>
      <c r="AB60" s="99">
        <v>7</v>
      </c>
      <c r="AC60" s="99">
        <v>4561.2</v>
      </c>
      <c r="AD60" s="99">
        <v>7</v>
      </c>
      <c r="AE60" s="99">
        <v>4561.2</v>
      </c>
      <c r="AF60" s="99">
        <v>8</v>
      </c>
      <c r="AG60" s="99">
        <v>5212.8</v>
      </c>
      <c r="AH60" s="99">
        <v>11</v>
      </c>
      <c r="AI60" s="99">
        <v>7167.6</v>
      </c>
      <c r="AJ60" s="99">
        <v>11</v>
      </c>
      <c r="AK60" s="99">
        <v>7167.6</v>
      </c>
      <c r="AL60" s="99">
        <v>7</v>
      </c>
      <c r="AM60" s="99">
        <v>4561.2</v>
      </c>
      <c r="AN60" s="99">
        <v>8</v>
      </c>
      <c r="AO60" s="99">
        <v>5212.8</v>
      </c>
      <c r="AP60" s="99">
        <v>6</v>
      </c>
      <c r="AQ60" s="99">
        <v>3909.6000000000004</v>
      </c>
      <c r="AR60" s="99">
        <v>10</v>
      </c>
      <c r="AS60" s="99">
        <v>6516</v>
      </c>
      <c r="AT60" s="99">
        <v>6</v>
      </c>
      <c r="AU60" s="99">
        <v>3909.6000000000004</v>
      </c>
      <c r="AV60" s="99">
        <v>12</v>
      </c>
      <c r="AW60" s="99">
        <v>7819.2000000000007</v>
      </c>
      <c r="AX60" s="99">
        <v>11</v>
      </c>
      <c r="AY60" s="99">
        <v>7167.6</v>
      </c>
      <c r="AZ60" s="99">
        <v>11</v>
      </c>
      <c r="BA60" s="99">
        <v>7167.6</v>
      </c>
      <c r="BB60" s="99">
        <v>9</v>
      </c>
      <c r="BC60" s="99">
        <v>5864.4000000000005</v>
      </c>
      <c r="BD60" s="99">
        <v>8</v>
      </c>
      <c r="BE60" s="99">
        <v>5212.8</v>
      </c>
      <c r="BF60" s="99">
        <v>8</v>
      </c>
      <c r="BG60" s="99">
        <v>5212.8</v>
      </c>
      <c r="BH60" s="99">
        <v>7</v>
      </c>
      <c r="BI60" s="99">
        <v>4561.2</v>
      </c>
      <c r="BJ60" s="99">
        <v>11</v>
      </c>
      <c r="BK60" s="99">
        <v>7167.6</v>
      </c>
      <c r="BL60" s="99">
        <v>7</v>
      </c>
      <c r="BM60" s="99">
        <v>4561.2</v>
      </c>
      <c r="BN60" s="99">
        <v>12</v>
      </c>
      <c r="BO60" s="99">
        <v>7819.2000000000007</v>
      </c>
      <c r="BP60" s="99">
        <v>6</v>
      </c>
      <c r="BQ60" s="99">
        <v>3909.6000000000004</v>
      </c>
      <c r="BR60" s="99">
        <v>7</v>
      </c>
      <c r="BS60" s="99">
        <v>4561.2</v>
      </c>
      <c r="BT60" s="99">
        <v>9.6457464010236311</v>
      </c>
      <c r="BU60" s="99">
        <v>6285.1683549069985</v>
      </c>
      <c r="BV60" s="99">
        <v>6</v>
      </c>
      <c r="BW60" s="99">
        <v>3909.6000000000004</v>
      </c>
      <c r="BX60" s="99">
        <v>7</v>
      </c>
      <c r="BY60" s="99">
        <v>4561.2</v>
      </c>
      <c r="BZ60" s="99">
        <v>8.3602474904437951</v>
      </c>
      <c r="CA60" s="99">
        <v>5447.5372647731774</v>
      </c>
      <c r="CB60" s="99">
        <v>9.1496197377223361</v>
      </c>
      <c r="CC60" s="99">
        <v>5961.8922210998744</v>
      </c>
      <c r="CD60" s="99">
        <v>10</v>
      </c>
      <c r="CE60" s="99">
        <v>6516</v>
      </c>
      <c r="CF60" s="99">
        <v>12</v>
      </c>
      <c r="CG60" s="99">
        <v>7819.2000000000007</v>
      </c>
      <c r="CH60" s="99">
        <v>8</v>
      </c>
      <c r="CI60" s="99">
        <v>5212.8</v>
      </c>
      <c r="CJ60" s="99">
        <v>10</v>
      </c>
      <c r="CK60" s="99">
        <v>6516</v>
      </c>
      <c r="CL60" s="99">
        <v>6.5545108340274556</v>
      </c>
      <c r="CM60" s="99">
        <v>4270.9192594522901</v>
      </c>
      <c r="CN60" s="99">
        <v>6</v>
      </c>
      <c r="CO60" s="99">
        <v>3909.6000000000004</v>
      </c>
      <c r="CP60" s="99">
        <v>11</v>
      </c>
      <c r="CQ60" s="99">
        <v>7167.6</v>
      </c>
      <c r="CR60" s="99">
        <v>8.7582464979604424</v>
      </c>
      <c r="CS60" s="99">
        <v>5706.8734180710244</v>
      </c>
      <c r="CT60" s="99">
        <v>8</v>
      </c>
      <c r="CU60" s="99">
        <v>5212.8</v>
      </c>
    </row>
    <row r="61" spans="2:99">
      <c r="C61" s="98" t="s">
        <v>227</v>
      </c>
      <c r="D61" s="99">
        <v>9</v>
      </c>
      <c r="E61" s="99">
        <v>8564.4</v>
      </c>
      <c r="F61" s="99">
        <v>11</v>
      </c>
      <c r="G61" s="99">
        <v>10467.599999999999</v>
      </c>
      <c r="H61" s="99">
        <v>10</v>
      </c>
      <c r="I61" s="99">
        <v>9516</v>
      </c>
      <c r="J61" s="99">
        <v>12</v>
      </c>
      <c r="K61" s="99">
        <v>11419.199999999999</v>
      </c>
      <c r="L61" s="99">
        <v>11</v>
      </c>
      <c r="M61" s="99">
        <v>10467.599999999999</v>
      </c>
      <c r="N61" s="99">
        <v>12</v>
      </c>
      <c r="O61" s="99">
        <v>11419.199999999999</v>
      </c>
      <c r="P61" s="99">
        <v>9</v>
      </c>
      <c r="Q61" s="99">
        <v>8564.4</v>
      </c>
      <c r="R61" s="99">
        <v>12</v>
      </c>
      <c r="S61" s="99">
        <v>11419.199999999999</v>
      </c>
      <c r="T61" s="99">
        <v>9</v>
      </c>
      <c r="U61" s="99">
        <v>8564.4</v>
      </c>
      <c r="V61" s="99">
        <v>8</v>
      </c>
      <c r="W61" s="99">
        <v>7612.7999999999993</v>
      </c>
      <c r="X61" s="99">
        <v>8</v>
      </c>
      <c r="Y61" s="99">
        <v>7612.7999999999993</v>
      </c>
      <c r="Z61" s="99">
        <v>9</v>
      </c>
      <c r="AA61" s="99">
        <v>8564.4</v>
      </c>
      <c r="AB61" s="99">
        <v>8</v>
      </c>
      <c r="AC61" s="99">
        <v>7612.7999999999993</v>
      </c>
      <c r="AD61" s="99">
        <v>8</v>
      </c>
      <c r="AE61" s="99">
        <v>7612.7999999999993</v>
      </c>
      <c r="AF61" s="99">
        <v>9</v>
      </c>
      <c r="AG61" s="99">
        <v>8564.4</v>
      </c>
      <c r="AH61" s="99">
        <v>11</v>
      </c>
      <c r="AI61" s="99">
        <v>10467.599999999999</v>
      </c>
      <c r="AJ61" s="99">
        <v>10</v>
      </c>
      <c r="AK61" s="99">
        <v>9516</v>
      </c>
      <c r="AL61" s="99">
        <v>7</v>
      </c>
      <c r="AM61" s="99">
        <v>6661.1999999999989</v>
      </c>
      <c r="AN61" s="99">
        <v>8</v>
      </c>
      <c r="AO61" s="99">
        <v>7612.7999999999993</v>
      </c>
      <c r="AP61" s="99">
        <v>6</v>
      </c>
      <c r="AQ61" s="99">
        <v>5709.5999999999995</v>
      </c>
      <c r="AR61" s="99">
        <v>10</v>
      </c>
      <c r="AS61" s="99">
        <v>9516</v>
      </c>
      <c r="AT61" s="99">
        <v>6</v>
      </c>
      <c r="AU61" s="99">
        <v>5709.5999999999995</v>
      </c>
      <c r="AV61" s="99">
        <v>11</v>
      </c>
      <c r="AW61" s="99">
        <v>10467.599999999999</v>
      </c>
      <c r="AX61" s="99">
        <v>11</v>
      </c>
      <c r="AY61" s="99">
        <v>10467.599999999999</v>
      </c>
      <c r="AZ61" s="99">
        <v>12</v>
      </c>
      <c r="BA61" s="99">
        <v>11419.199999999999</v>
      </c>
      <c r="BB61" s="99">
        <v>8</v>
      </c>
      <c r="BC61" s="99">
        <v>7612.7999999999993</v>
      </c>
      <c r="BD61" s="99">
        <v>8</v>
      </c>
      <c r="BE61" s="99">
        <v>7612.7999999999993</v>
      </c>
      <c r="BF61" s="99">
        <v>8</v>
      </c>
      <c r="BG61" s="99">
        <v>7612.7999999999993</v>
      </c>
      <c r="BH61" s="99">
        <v>6</v>
      </c>
      <c r="BI61" s="99">
        <v>5709.5999999999995</v>
      </c>
      <c r="BJ61" s="99">
        <v>11</v>
      </c>
      <c r="BK61" s="99">
        <v>10467.599999999999</v>
      </c>
      <c r="BL61" s="99">
        <v>7</v>
      </c>
      <c r="BM61" s="99">
        <v>6661.1999999999989</v>
      </c>
      <c r="BN61" s="99">
        <v>10</v>
      </c>
      <c r="BO61" s="99">
        <v>9516</v>
      </c>
      <c r="BP61" s="99">
        <v>6</v>
      </c>
      <c r="BQ61" s="99">
        <v>5709.5999999999995</v>
      </c>
      <c r="BR61" s="99">
        <v>7</v>
      </c>
      <c r="BS61" s="99">
        <v>6661.1999999999989</v>
      </c>
      <c r="BT61" s="99">
        <v>8.7688603645669367</v>
      </c>
      <c r="BU61" s="99">
        <v>8344.447522921897</v>
      </c>
      <c r="BV61" s="99">
        <v>6</v>
      </c>
      <c r="BW61" s="99">
        <v>5709.5999999999995</v>
      </c>
      <c r="BX61" s="99">
        <v>8</v>
      </c>
      <c r="BY61" s="99">
        <v>7612.7999999999993</v>
      </c>
      <c r="BZ61" s="99">
        <v>7.6635601995734781</v>
      </c>
      <c r="CA61" s="99">
        <v>7292.6438859141208</v>
      </c>
      <c r="CB61" s="99">
        <v>9.1496197377223361</v>
      </c>
      <c r="CC61" s="99">
        <v>8706.7781424165751</v>
      </c>
      <c r="CD61" s="99">
        <v>11</v>
      </c>
      <c r="CE61" s="99">
        <v>10467.599999999999</v>
      </c>
      <c r="CF61" s="99">
        <v>12</v>
      </c>
      <c r="CG61" s="99">
        <v>11419.199999999999</v>
      </c>
      <c r="CH61" s="99">
        <v>8</v>
      </c>
      <c r="CI61" s="99">
        <v>7612.7999999999993</v>
      </c>
      <c r="CJ61" s="99">
        <v>10</v>
      </c>
      <c r="CK61" s="99">
        <v>9516</v>
      </c>
      <c r="CL61" s="99">
        <v>6.5545108340274556</v>
      </c>
      <c r="CM61" s="99">
        <v>6237.2725096605263</v>
      </c>
      <c r="CN61" s="99">
        <v>7</v>
      </c>
      <c r="CO61" s="99">
        <v>6661.1999999999989</v>
      </c>
      <c r="CP61" s="99">
        <v>11</v>
      </c>
      <c r="CQ61" s="99">
        <v>10467.599999999999</v>
      </c>
      <c r="CR61" s="99">
        <v>7.9620422708731295</v>
      </c>
      <c r="CS61" s="99">
        <v>7576.6794249628692</v>
      </c>
      <c r="CT61" s="99">
        <v>8</v>
      </c>
      <c r="CU61" s="99">
        <v>7612.7999999999993</v>
      </c>
    </row>
    <row r="62" spans="2:99">
      <c r="C62" s="98" t="s">
        <v>228</v>
      </c>
      <c r="D62" s="99">
        <v>3.8728874540651077</v>
      </c>
      <c r="E62" s="99">
        <v>6464.6237383254784</v>
      </c>
      <c r="F62" s="99">
        <v>7.1869502034427644</v>
      </c>
      <c r="G62" s="99">
        <v>11996.457279586662</v>
      </c>
      <c r="H62" s="99">
        <v>8.1454794101689707</v>
      </c>
      <c r="I62" s="99">
        <v>13596.434231454046</v>
      </c>
      <c r="J62" s="99">
        <v>9</v>
      </c>
      <c r="K62" s="99">
        <v>15022.800000000001</v>
      </c>
      <c r="L62" s="99">
        <v>10</v>
      </c>
      <c r="M62" s="99">
        <v>16692</v>
      </c>
      <c r="N62" s="99">
        <v>9.8992005238966509</v>
      </c>
      <c r="O62" s="99">
        <v>16523.745514488292</v>
      </c>
      <c r="P62" s="99">
        <v>5.370825283266865</v>
      </c>
      <c r="Q62" s="99">
        <v>8964.9815628290507</v>
      </c>
      <c r="R62" s="99">
        <v>11</v>
      </c>
      <c r="S62" s="99">
        <v>18361.2</v>
      </c>
      <c r="T62" s="99">
        <v>8</v>
      </c>
      <c r="U62" s="99">
        <v>13353.6</v>
      </c>
      <c r="V62" s="99">
        <v>6.8848484848484865</v>
      </c>
      <c r="W62" s="99">
        <v>11492.189090909094</v>
      </c>
      <c r="X62" s="99">
        <v>8</v>
      </c>
      <c r="Y62" s="99">
        <v>13353.6</v>
      </c>
      <c r="Z62" s="99">
        <v>7</v>
      </c>
      <c r="AA62" s="99">
        <v>11684.4</v>
      </c>
      <c r="AB62" s="99">
        <v>7</v>
      </c>
      <c r="AC62" s="99">
        <v>11684.4</v>
      </c>
      <c r="AD62" s="99">
        <v>8</v>
      </c>
      <c r="AE62" s="99">
        <v>13353.6</v>
      </c>
      <c r="AF62" s="99">
        <v>8</v>
      </c>
      <c r="AG62" s="99">
        <v>13353.6</v>
      </c>
      <c r="AH62" s="99">
        <v>9</v>
      </c>
      <c r="AI62" s="99">
        <v>15022.800000000001</v>
      </c>
      <c r="AJ62" s="99">
        <v>10</v>
      </c>
      <c r="AK62" s="99">
        <v>16692</v>
      </c>
      <c r="AL62" s="99">
        <v>7</v>
      </c>
      <c r="AM62" s="99">
        <v>11684.4</v>
      </c>
      <c r="AN62" s="99">
        <v>8</v>
      </c>
      <c r="AO62" s="99">
        <v>13353.6</v>
      </c>
      <c r="AP62" s="99">
        <v>6</v>
      </c>
      <c r="AQ62" s="99">
        <v>10015.200000000001</v>
      </c>
      <c r="AR62" s="99">
        <v>10</v>
      </c>
      <c r="AS62" s="99">
        <v>16692</v>
      </c>
      <c r="AT62" s="99">
        <v>7</v>
      </c>
      <c r="AU62" s="99">
        <v>11684.4</v>
      </c>
      <c r="AV62" s="99">
        <v>11</v>
      </c>
      <c r="AW62" s="99">
        <v>18361.2</v>
      </c>
      <c r="AX62" s="99">
        <v>11</v>
      </c>
      <c r="AY62" s="99">
        <v>18361.2</v>
      </c>
      <c r="AZ62" s="99">
        <v>10</v>
      </c>
      <c r="BA62" s="99">
        <v>16692</v>
      </c>
      <c r="BB62" s="99">
        <v>6.5038706222047944</v>
      </c>
      <c r="BC62" s="99">
        <v>10856.260842584243</v>
      </c>
      <c r="BD62" s="99">
        <v>9</v>
      </c>
      <c r="BE62" s="99">
        <v>15022.800000000001</v>
      </c>
      <c r="BF62" s="99">
        <v>8</v>
      </c>
      <c r="BG62" s="99">
        <v>13353.6</v>
      </c>
      <c r="BH62" s="99">
        <v>6</v>
      </c>
      <c r="BI62" s="99">
        <v>10015.200000000001</v>
      </c>
      <c r="BJ62" s="99">
        <v>10</v>
      </c>
      <c r="BK62" s="99">
        <v>16692</v>
      </c>
      <c r="BL62" s="99">
        <v>5.852283019344978</v>
      </c>
      <c r="BM62" s="99">
        <v>9768.6308158906377</v>
      </c>
      <c r="BN62" s="99">
        <v>8.2939655172413804</v>
      </c>
      <c r="BO62" s="99">
        <v>13844.287241379312</v>
      </c>
      <c r="BP62" s="99">
        <v>2.3567828773103034</v>
      </c>
      <c r="BQ62" s="99">
        <v>3933.9419788063587</v>
      </c>
      <c r="BR62" s="99">
        <v>7</v>
      </c>
      <c r="BS62" s="99">
        <v>11684.4</v>
      </c>
      <c r="BT62" s="99">
        <v>11</v>
      </c>
      <c r="BU62" s="99">
        <v>18361.2</v>
      </c>
      <c r="BV62" s="99">
        <v>5.5210300429184587</v>
      </c>
      <c r="BW62" s="99">
        <v>9215.7033476394918</v>
      </c>
      <c r="BX62" s="99">
        <v>2.0669539726511874</v>
      </c>
      <c r="BY62" s="99">
        <v>3450.1595711493619</v>
      </c>
      <c r="BZ62" s="99">
        <v>9.8981481481481506</v>
      </c>
      <c r="CA62" s="99">
        <v>16521.988888888893</v>
      </c>
      <c r="CB62" s="99">
        <v>8.3515625</v>
      </c>
      <c r="CC62" s="99">
        <v>13940.428125</v>
      </c>
      <c r="CD62" s="99">
        <v>10</v>
      </c>
      <c r="CE62" s="99">
        <v>16692</v>
      </c>
      <c r="CF62" s="99">
        <v>9.4387590215785018</v>
      </c>
      <c r="CG62" s="99">
        <v>15755.176558818835</v>
      </c>
      <c r="CH62" s="99">
        <v>5.3450011407642277</v>
      </c>
      <c r="CI62" s="99">
        <v>8921.8759041636495</v>
      </c>
      <c r="CJ62" s="99">
        <v>7.1003690036900373</v>
      </c>
      <c r="CK62" s="99">
        <v>11851.935940959411</v>
      </c>
      <c r="CL62" s="99">
        <v>5.0640372329954113</v>
      </c>
      <c r="CM62" s="99">
        <v>8452.8909493159408</v>
      </c>
      <c r="CN62" s="99">
        <v>5.4186286929854255</v>
      </c>
      <c r="CO62" s="99">
        <v>9044.7750143312733</v>
      </c>
      <c r="CP62" s="99">
        <v>10.546188340807175</v>
      </c>
      <c r="CQ62" s="99">
        <v>17603.697578475338</v>
      </c>
      <c r="CR62" s="99">
        <v>4.7680413971060407</v>
      </c>
      <c r="CS62" s="99">
        <v>7958.8147000494037</v>
      </c>
      <c r="CT62" s="99">
        <v>8</v>
      </c>
      <c r="CU62" s="99">
        <v>13353.6</v>
      </c>
    </row>
    <row r="63" spans="2:99">
      <c r="C63" s="98" t="s">
        <v>229</v>
      </c>
      <c r="D63" s="99">
        <v>9</v>
      </c>
      <c r="E63" s="99">
        <v>7160.4000000000005</v>
      </c>
      <c r="F63" s="99">
        <v>10</v>
      </c>
      <c r="G63" s="99">
        <v>7956</v>
      </c>
      <c r="H63" s="99">
        <v>11</v>
      </c>
      <c r="I63" s="99">
        <v>8751.6</v>
      </c>
      <c r="J63" s="99">
        <v>11</v>
      </c>
      <c r="K63" s="99">
        <v>8751.6</v>
      </c>
      <c r="L63" s="99">
        <v>11</v>
      </c>
      <c r="M63" s="99">
        <v>8751.6</v>
      </c>
      <c r="N63" s="99">
        <v>13</v>
      </c>
      <c r="O63" s="99">
        <v>10342.800000000001</v>
      </c>
      <c r="P63" s="99">
        <v>11</v>
      </c>
      <c r="Q63" s="99">
        <v>8751.6</v>
      </c>
      <c r="R63" s="99">
        <v>12</v>
      </c>
      <c r="S63" s="99">
        <v>9547.2000000000007</v>
      </c>
      <c r="T63" s="99">
        <v>8</v>
      </c>
      <c r="U63" s="99">
        <v>6364.8</v>
      </c>
      <c r="V63" s="99">
        <v>8</v>
      </c>
      <c r="W63" s="99">
        <v>6364.8</v>
      </c>
      <c r="X63" s="99">
        <v>8</v>
      </c>
      <c r="Y63" s="99">
        <v>6364.8</v>
      </c>
      <c r="Z63" s="99">
        <v>8</v>
      </c>
      <c r="AA63" s="99">
        <v>6364.8</v>
      </c>
      <c r="AB63" s="99">
        <v>7</v>
      </c>
      <c r="AC63" s="99">
        <v>5569.2</v>
      </c>
      <c r="AD63" s="99">
        <v>7</v>
      </c>
      <c r="AE63" s="99">
        <v>5569.2</v>
      </c>
      <c r="AF63" s="99">
        <v>8</v>
      </c>
      <c r="AG63" s="99">
        <v>6364.8</v>
      </c>
      <c r="AH63" s="99">
        <v>11</v>
      </c>
      <c r="AI63" s="99">
        <v>8751.6</v>
      </c>
      <c r="AJ63" s="99">
        <v>12</v>
      </c>
      <c r="AK63" s="99">
        <v>9547.2000000000007</v>
      </c>
      <c r="AL63" s="99">
        <v>7</v>
      </c>
      <c r="AM63" s="99">
        <v>5569.2</v>
      </c>
      <c r="AN63" s="99">
        <v>9</v>
      </c>
      <c r="AO63" s="99">
        <v>7160.4000000000005</v>
      </c>
      <c r="AP63" s="99">
        <v>6</v>
      </c>
      <c r="AQ63" s="99">
        <v>4773.6000000000004</v>
      </c>
      <c r="AR63" s="99">
        <v>10</v>
      </c>
      <c r="AS63" s="99">
        <v>7956</v>
      </c>
      <c r="AT63" s="99">
        <v>7</v>
      </c>
      <c r="AU63" s="99">
        <v>5569.2</v>
      </c>
      <c r="AV63" s="99">
        <v>12</v>
      </c>
      <c r="AW63" s="99">
        <v>9547.2000000000007</v>
      </c>
      <c r="AX63" s="99">
        <v>11</v>
      </c>
      <c r="AY63" s="99">
        <v>8751.6</v>
      </c>
      <c r="AZ63" s="99">
        <v>11</v>
      </c>
      <c r="BA63" s="99">
        <v>8751.6</v>
      </c>
      <c r="BB63" s="99">
        <v>9</v>
      </c>
      <c r="BC63" s="99">
        <v>7160.4000000000005</v>
      </c>
      <c r="BD63" s="99">
        <v>9</v>
      </c>
      <c r="BE63" s="99">
        <v>7160.4000000000005</v>
      </c>
      <c r="BF63" s="99">
        <v>7</v>
      </c>
      <c r="BG63" s="99">
        <v>5569.2</v>
      </c>
      <c r="BH63" s="99">
        <v>6</v>
      </c>
      <c r="BI63" s="99">
        <v>4773.6000000000004</v>
      </c>
      <c r="BJ63" s="99">
        <v>11</v>
      </c>
      <c r="BK63" s="99">
        <v>8751.6</v>
      </c>
      <c r="BL63" s="99">
        <v>8</v>
      </c>
      <c r="BM63" s="99">
        <v>6364.8</v>
      </c>
      <c r="BN63" s="99">
        <v>12</v>
      </c>
      <c r="BO63" s="99">
        <v>9547.2000000000007</v>
      </c>
      <c r="BP63" s="99">
        <v>6</v>
      </c>
      <c r="BQ63" s="99">
        <v>4773.6000000000004</v>
      </c>
      <c r="BR63" s="99">
        <v>7</v>
      </c>
      <c r="BS63" s="99">
        <v>5569.2</v>
      </c>
      <c r="BT63" s="99">
        <v>9.6457464010236311</v>
      </c>
      <c r="BU63" s="99">
        <v>7674.1558366544014</v>
      </c>
      <c r="BV63" s="99">
        <v>7</v>
      </c>
      <c r="BW63" s="99">
        <v>5569.2</v>
      </c>
      <c r="BX63" s="99">
        <v>8</v>
      </c>
      <c r="BY63" s="99">
        <v>6364.8</v>
      </c>
      <c r="BZ63" s="99">
        <v>7.6635601995734781</v>
      </c>
      <c r="CA63" s="99">
        <v>6097.1284947806589</v>
      </c>
      <c r="CB63" s="99">
        <v>9.1496197377223361</v>
      </c>
      <c r="CC63" s="99">
        <v>7279.4374633318912</v>
      </c>
      <c r="CD63" s="99">
        <v>11</v>
      </c>
      <c r="CE63" s="99">
        <v>8751.6</v>
      </c>
      <c r="CF63" s="99">
        <v>11</v>
      </c>
      <c r="CG63" s="99">
        <v>8751.6</v>
      </c>
      <c r="CH63" s="99">
        <v>7</v>
      </c>
      <c r="CI63" s="99">
        <v>5569.2</v>
      </c>
      <c r="CJ63" s="99">
        <v>10</v>
      </c>
      <c r="CK63" s="99">
        <v>7956</v>
      </c>
      <c r="CL63" s="99">
        <v>6.5545108340274556</v>
      </c>
      <c r="CM63" s="99">
        <v>5214.7688195522442</v>
      </c>
      <c r="CN63" s="99">
        <v>6</v>
      </c>
      <c r="CO63" s="99">
        <v>4773.6000000000004</v>
      </c>
      <c r="CP63" s="99">
        <v>12</v>
      </c>
      <c r="CQ63" s="99">
        <v>9547.2000000000007</v>
      </c>
      <c r="CR63" s="99">
        <v>7.9620422708731295</v>
      </c>
      <c r="CS63" s="99">
        <v>6334.6008307066622</v>
      </c>
      <c r="CT63" s="99">
        <v>10</v>
      </c>
      <c r="CU63" s="99">
        <v>7956</v>
      </c>
    </row>
    <row r="64" spans="2:99">
      <c r="C64" s="98" t="s">
        <v>230</v>
      </c>
      <c r="D64" s="99">
        <v>9</v>
      </c>
      <c r="E64" s="99">
        <v>9082.7999999999993</v>
      </c>
      <c r="F64" s="99">
        <v>11</v>
      </c>
      <c r="G64" s="99">
        <v>11101.199999999997</v>
      </c>
      <c r="H64" s="99">
        <v>10</v>
      </c>
      <c r="I64" s="99">
        <v>10091.999999999998</v>
      </c>
      <c r="J64" s="99">
        <v>11</v>
      </c>
      <c r="K64" s="99">
        <v>11101.199999999997</v>
      </c>
      <c r="L64" s="99">
        <v>11</v>
      </c>
      <c r="M64" s="99">
        <v>11101.199999999997</v>
      </c>
      <c r="N64" s="99">
        <v>11</v>
      </c>
      <c r="O64" s="99">
        <v>11101.199999999997</v>
      </c>
      <c r="P64" s="99">
        <v>10</v>
      </c>
      <c r="Q64" s="99">
        <v>10091.999999999998</v>
      </c>
      <c r="R64" s="99">
        <v>12</v>
      </c>
      <c r="S64" s="99">
        <v>12110.399999999998</v>
      </c>
      <c r="T64" s="99">
        <v>8</v>
      </c>
      <c r="U64" s="99">
        <v>8073.5999999999985</v>
      </c>
      <c r="V64" s="99">
        <v>9</v>
      </c>
      <c r="W64" s="99">
        <v>9082.7999999999993</v>
      </c>
      <c r="X64" s="99">
        <v>8</v>
      </c>
      <c r="Y64" s="99">
        <v>8073.5999999999985</v>
      </c>
      <c r="Z64" s="99">
        <v>8</v>
      </c>
      <c r="AA64" s="99">
        <v>8073.5999999999985</v>
      </c>
      <c r="AB64" s="99">
        <v>6</v>
      </c>
      <c r="AC64" s="99">
        <v>6055.1999999999989</v>
      </c>
      <c r="AD64" s="99">
        <v>8</v>
      </c>
      <c r="AE64" s="99">
        <v>8073.5999999999985</v>
      </c>
      <c r="AF64" s="99">
        <v>7</v>
      </c>
      <c r="AG64" s="99">
        <v>7064.3999999999987</v>
      </c>
      <c r="AH64" s="99">
        <v>10</v>
      </c>
      <c r="AI64" s="99">
        <v>10091.999999999998</v>
      </c>
      <c r="AJ64" s="99">
        <v>10</v>
      </c>
      <c r="AK64" s="99">
        <v>10091.999999999998</v>
      </c>
      <c r="AL64" s="99">
        <v>7</v>
      </c>
      <c r="AM64" s="99">
        <v>7064.3999999999987</v>
      </c>
      <c r="AN64" s="99">
        <v>8</v>
      </c>
      <c r="AO64" s="99">
        <v>8073.5999999999985</v>
      </c>
      <c r="AP64" s="99">
        <v>6</v>
      </c>
      <c r="AQ64" s="99">
        <v>6055.1999999999989</v>
      </c>
      <c r="AR64" s="99">
        <v>9</v>
      </c>
      <c r="AS64" s="99">
        <v>9082.7999999999993</v>
      </c>
      <c r="AT64" s="99">
        <v>7</v>
      </c>
      <c r="AU64" s="99">
        <v>7064.3999999999987</v>
      </c>
      <c r="AV64" s="99">
        <v>12</v>
      </c>
      <c r="AW64" s="99">
        <v>12110.399999999998</v>
      </c>
      <c r="AX64" s="99">
        <v>10</v>
      </c>
      <c r="AY64" s="99">
        <v>10091.999999999998</v>
      </c>
      <c r="AZ64" s="99">
        <v>10</v>
      </c>
      <c r="BA64" s="99">
        <v>10091.999999999998</v>
      </c>
      <c r="BB64" s="99">
        <v>8</v>
      </c>
      <c r="BC64" s="99">
        <v>8073.5999999999985</v>
      </c>
      <c r="BD64" s="99">
        <v>8</v>
      </c>
      <c r="BE64" s="99">
        <v>8073.5999999999985</v>
      </c>
      <c r="BF64" s="99">
        <v>7</v>
      </c>
      <c r="BG64" s="99">
        <v>7064.3999999999987</v>
      </c>
      <c r="BH64" s="99">
        <v>7</v>
      </c>
      <c r="BI64" s="99">
        <v>7064.3999999999987</v>
      </c>
      <c r="BJ64" s="99">
        <v>11</v>
      </c>
      <c r="BK64" s="99">
        <v>11101.199999999997</v>
      </c>
      <c r="BL64" s="99">
        <v>7</v>
      </c>
      <c r="BM64" s="99">
        <v>7064.3999999999987</v>
      </c>
      <c r="BN64" s="99">
        <v>11</v>
      </c>
      <c r="BO64" s="99">
        <v>11101.199999999997</v>
      </c>
      <c r="BP64" s="99">
        <v>6</v>
      </c>
      <c r="BQ64" s="99">
        <v>6055.1999999999989</v>
      </c>
      <c r="BR64" s="99">
        <v>7</v>
      </c>
      <c r="BS64" s="99">
        <v>7064.3999999999987</v>
      </c>
      <c r="BT64" s="99">
        <v>9.6457464010236311</v>
      </c>
      <c r="BU64" s="99">
        <v>9734.4872679130476</v>
      </c>
      <c r="BV64" s="99">
        <v>7</v>
      </c>
      <c r="BW64" s="99">
        <v>7064.3999999999987</v>
      </c>
      <c r="BX64" s="99">
        <v>8</v>
      </c>
      <c r="BY64" s="99">
        <v>8073.5999999999985</v>
      </c>
      <c r="BZ64" s="99">
        <v>7.6635601995734781</v>
      </c>
      <c r="CA64" s="99">
        <v>7734.0649534095528</v>
      </c>
      <c r="CB64" s="99">
        <v>8.3178361252021258</v>
      </c>
      <c r="CC64" s="99">
        <v>8394.3602175539836</v>
      </c>
      <c r="CD64" s="99">
        <v>10</v>
      </c>
      <c r="CE64" s="99">
        <v>10091.999999999998</v>
      </c>
      <c r="CF64" s="99">
        <v>13</v>
      </c>
      <c r="CG64" s="99">
        <v>13119.599999999999</v>
      </c>
      <c r="CH64" s="99">
        <v>8</v>
      </c>
      <c r="CI64" s="99">
        <v>8073.5999999999985</v>
      </c>
      <c r="CJ64" s="99">
        <v>10</v>
      </c>
      <c r="CK64" s="99">
        <v>10091.999999999998</v>
      </c>
      <c r="CL64" s="99">
        <v>6.5545108340274556</v>
      </c>
      <c r="CM64" s="99">
        <v>6614.8123337005072</v>
      </c>
      <c r="CN64" s="99">
        <v>7</v>
      </c>
      <c r="CO64" s="99">
        <v>7064.3999999999987</v>
      </c>
      <c r="CP64" s="99">
        <v>11</v>
      </c>
      <c r="CQ64" s="99">
        <v>11101.199999999997</v>
      </c>
      <c r="CR64" s="99">
        <v>7.1658380437858176</v>
      </c>
      <c r="CS64" s="99">
        <v>7231.7637537886458</v>
      </c>
      <c r="CT64" s="99">
        <v>10</v>
      </c>
      <c r="CU64" s="99">
        <v>10091.999999999998</v>
      </c>
    </row>
    <row r="65" spans="2:99">
      <c r="C65" s="98" t="s">
        <v>231</v>
      </c>
      <c r="D65" s="99">
        <v>8</v>
      </c>
      <c r="E65" s="99">
        <v>8208</v>
      </c>
      <c r="F65" s="99">
        <v>11</v>
      </c>
      <c r="G65" s="99">
        <v>11286</v>
      </c>
      <c r="H65" s="99">
        <v>9</v>
      </c>
      <c r="I65" s="99">
        <v>9234</v>
      </c>
      <c r="J65" s="99">
        <v>10</v>
      </c>
      <c r="K65" s="99">
        <v>10260</v>
      </c>
      <c r="L65" s="99">
        <v>11</v>
      </c>
      <c r="M65" s="99">
        <v>11286</v>
      </c>
      <c r="N65" s="99">
        <v>11</v>
      </c>
      <c r="O65" s="99">
        <v>11286</v>
      </c>
      <c r="P65" s="99">
        <v>11</v>
      </c>
      <c r="Q65" s="99">
        <v>11286</v>
      </c>
      <c r="R65" s="99">
        <v>10</v>
      </c>
      <c r="S65" s="99">
        <v>10260</v>
      </c>
      <c r="T65" s="99">
        <v>8</v>
      </c>
      <c r="U65" s="99">
        <v>8208</v>
      </c>
      <c r="V65" s="99">
        <v>8</v>
      </c>
      <c r="W65" s="99">
        <v>8208</v>
      </c>
      <c r="X65" s="99">
        <v>8</v>
      </c>
      <c r="Y65" s="99">
        <v>8208</v>
      </c>
      <c r="Z65" s="99">
        <v>8</v>
      </c>
      <c r="AA65" s="99">
        <v>8208</v>
      </c>
      <c r="AB65" s="99">
        <v>7</v>
      </c>
      <c r="AC65" s="99">
        <v>7182</v>
      </c>
      <c r="AD65" s="99">
        <v>8</v>
      </c>
      <c r="AE65" s="99">
        <v>8208</v>
      </c>
      <c r="AF65" s="99">
        <v>8</v>
      </c>
      <c r="AG65" s="99">
        <v>8208</v>
      </c>
      <c r="AH65" s="99">
        <v>10</v>
      </c>
      <c r="AI65" s="99">
        <v>10260</v>
      </c>
      <c r="AJ65" s="99">
        <v>10</v>
      </c>
      <c r="AK65" s="99">
        <v>10260</v>
      </c>
      <c r="AL65" s="99">
        <v>8</v>
      </c>
      <c r="AM65" s="99">
        <v>8208</v>
      </c>
      <c r="AN65" s="99">
        <v>9</v>
      </c>
      <c r="AO65" s="99">
        <v>9234</v>
      </c>
      <c r="AP65" s="99">
        <v>7</v>
      </c>
      <c r="AQ65" s="99">
        <v>7182</v>
      </c>
      <c r="AR65" s="99">
        <v>10</v>
      </c>
      <c r="AS65" s="99">
        <v>10260</v>
      </c>
      <c r="AT65" s="99">
        <v>6</v>
      </c>
      <c r="AU65" s="99">
        <v>6156</v>
      </c>
      <c r="AV65" s="99">
        <v>12</v>
      </c>
      <c r="AW65" s="99">
        <v>12312</v>
      </c>
      <c r="AX65" s="99">
        <v>10</v>
      </c>
      <c r="AY65" s="99">
        <v>10260</v>
      </c>
      <c r="AZ65" s="99">
        <v>10</v>
      </c>
      <c r="BA65" s="99">
        <v>10260</v>
      </c>
      <c r="BB65" s="99">
        <v>9</v>
      </c>
      <c r="BC65" s="99">
        <v>9234</v>
      </c>
      <c r="BD65" s="99">
        <v>9</v>
      </c>
      <c r="BE65" s="99">
        <v>9234</v>
      </c>
      <c r="BF65" s="99">
        <v>8</v>
      </c>
      <c r="BG65" s="99">
        <v>8208</v>
      </c>
      <c r="BH65" s="99">
        <v>6</v>
      </c>
      <c r="BI65" s="99">
        <v>6156</v>
      </c>
      <c r="BJ65" s="99">
        <v>11</v>
      </c>
      <c r="BK65" s="99">
        <v>11286</v>
      </c>
      <c r="BL65" s="99">
        <v>7</v>
      </c>
      <c r="BM65" s="99">
        <v>7182</v>
      </c>
      <c r="BN65" s="99">
        <v>10</v>
      </c>
      <c r="BO65" s="99">
        <v>10260</v>
      </c>
      <c r="BP65" s="99">
        <v>6</v>
      </c>
      <c r="BQ65" s="99">
        <v>6156</v>
      </c>
      <c r="BR65" s="99">
        <v>7</v>
      </c>
      <c r="BS65" s="99">
        <v>7182</v>
      </c>
      <c r="BT65" s="99">
        <v>10.522632437480324</v>
      </c>
      <c r="BU65" s="99">
        <v>10796.220880854813</v>
      </c>
      <c r="BV65" s="99">
        <v>7</v>
      </c>
      <c r="BW65" s="99">
        <v>7182</v>
      </c>
      <c r="BX65" s="99">
        <v>7</v>
      </c>
      <c r="BY65" s="99">
        <v>7182</v>
      </c>
      <c r="BZ65" s="99">
        <v>6.966872908703162</v>
      </c>
      <c r="CA65" s="99">
        <v>7148.0116043294438</v>
      </c>
      <c r="CB65" s="99">
        <v>7.486052512681912</v>
      </c>
      <c r="CC65" s="99">
        <v>7680.6898780116417</v>
      </c>
      <c r="CD65" s="99">
        <v>11</v>
      </c>
      <c r="CE65" s="99">
        <v>11286</v>
      </c>
      <c r="CF65" s="99">
        <v>11</v>
      </c>
      <c r="CG65" s="99">
        <v>11286</v>
      </c>
      <c r="CH65" s="99">
        <v>7</v>
      </c>
      <c r="CI65" s="99">
        <v>7182</v>
      </c>
      <c r="CJ65" s="99">
        <v>10</v>
      </c>
      <c r="CK65" s="99">
        <v>10260</v>
      </c>
      <c r="CL65" s="99">
        <v>6.5545108340274556</v>
      </c>
      <c r="CM65" s="99">
        <v>6724.9281157121695</v>
      </c>
      <c r="CN65" s="99">
        <v>6</v>
      </c>
      <c r="CO65" s="99">
        <v>6156</v>
      </c>
      <c r="CP65" s="99">
        <v>11</v>
      </c>
      <c r="CQ65" s="99">
        <v>11286</v>
      </c>
      <c r="CR65" s="99">
        <v>8.7582464979604424</v>
      </c>
      <c r="CS65" s="99">
        <v>8985.960906907414</v>
      </c>
      <c r="CT65" s="99">
        <v>9</v>
      </c>
      <c r="CU65" s="99">
        <v>9234</v>
      </c>
    </row>
    <row r="66" spans="2:99">
      <c r="C66" s="98" t="s">
        <v>232</v>
      </c>
      <c r="D66" s="99">
        <v>9</v>
      </c>
      <c r="E66" s="99">
        <v>10713.599999999999</v>
      </c>
      <c r="F66" s="99">
        <v>11</v>
      </c>
      <c r="G66" s="99">
        <v>13094.399999999998</v>
      </c>
      <c r="H66" s="99">
        <v>11</v>
      </c>
      <c r="I66" s="99">
        <v>13094.399999999998</v>
      </c>
      <c r="J66" s="99">
        <v>9</v>
      </c>
      <c r="K66" s="99">
        <v>10713.599999999999</v>
      </c>
      <c r="L66" s="99">
        <v>11</v>
      </c>
      <c r="M66" s="99">
        <v>13094.399999999998</v>
      </c>
      <c r="N66" s="99">
        <v>12</v>
      </c>
      <c r="O66" s="99">
        <v>14284.8</v>
      </c>
      <c r="P66" s="99">
        <v>11</v>
      </c>
      <c r="Q66" s="99">
        <v>13094.399999999998</v>
      </c>
      <c r="R66" s="99">
        <v>11</v>
      </c>
      <c r="S66" s="99">
        <v>13094.399999999998</v>
      </c>
      <c r="T66" s="99">
        <v>8</v>
      </c>
      <c r="U66" s="99">
        <v>9523.1999999999989</v>
      </c>
      <c r="V66" s="99">
        <v>8</v>
      </c>
      <c r="W66" s="99">
        <v>9523.1999999999989</v>
      </c>
      <c r="X66" s="99">
        <v>8</v>
      </c>
      <c r="Y66" s="99">
        <v>9523.1999999999989</v>
      </c>
      <c r="Z66" s="99">
        <v>8</v>
      </c>
      <c r="AA66" s="99">
        <v>9523.1999999999989</v>
      </c>
      <c r="AB66" s="99">
        <v>7</v>
      </c>
      <c r="AC66" s="99">
        <v>8332.7999999999993</v>
      </c>
      <c r="AD66" s="99">
        <v>7</v>
      </c>
      <c r="AE66" s="99">
        <v>8332.7999999999993</v>
      </c>
      <c r="AF66" s="99">
        <v>7</v>
      </c>
      <c r="AG66" s="99">
        <v>8332.7999999999993</v>
      </c>
      <c r="AH66" s="99">
        <v>10</v>
      </c>
      <c r="AI66" s="99">
        <v>11903.999999999998</v>
      </c>
      <c r="AJ66" s="99">
        <v>12</v>
      </c>
      <c r="AK66" s="99">
        <v>14284.8</v>
      </c>
      <c r="AL66" s="99">
        <v>8</v>
      </c>
      <c r="AM66" s="99">
        <v>9523.1999999999989</v>
      </c>
      <c r="AN66" s="99">
        <v>7</v>
      </c>
      <c r="AO66" s="99">
        <v>8332.7999999999993</v>
      </c>
      <c r="AP66" s="99">
        <v>6</v>
      </c>
      <c r="AQ66" s="99">
        <v>7142.4</v>
      </c>
      <c r="AR66" s="99">
        <v>9</v>
      </c>
      <c r="AS66" s="99">
        <v>10713.599999999999</v>
      </c>
      <c r="AT66" s="99">
        <v>6</v>
      </c>
      <c r="AU66" s="99">
        <v>7142.4</v>
      </c>
      <c r="AV66" s="99">
        <v>13</v>
      </c>
      <c r="AW66" s="99">
        <v>15475.199999999999</v>
      </c>
      <c r="AX66" s="99">
        <v>10</v>
      </c>
      <c r="AY66" s="99">
        <v>11903.999999999998</v>
      </c>
      <c r="AZ66" s="99">
        <v>12</v>
      </c>
      <c r="BA66" s="99">
        <v>14284.8</v>
      </c>
      <c r="BB66" s="99">
        <v>9</v>
      </c>
      <c r="BC66" s="99">
        <v>10713.599999999999</v>
      </c>
      <c r="BD66" s="99">
        <v>9</v>
      </c>
      <c r="BE66" s="99">
        <v>10713.599999999999</v>
      </c>
      <c r="BF66" s="99">
        <v>7</v>
      </c>
      <c r="BG66" s="99">
        <v>8332.7999999999993</v>
      </c>
      <c r="BH66" s="99">
        <v>6</v>
      </c>
      <c r="BI66" s="99">
        <v>7142.4</v>
      </c>
      <c r="BJ66" s="99">
        <v>11</v>
      </c>
      <c r="BK66" s="99">
        <v>13094.399999999998</v>
      </c>
      <c r="BL66" s="99">
        <v>6</v>
      </c>
      <c r="BM66" s="99">
        <v>7142.4</v>
      </c>
      <c r="BN66" s="99">
        <v>10</v>
      </c>
      <c r="BO66" s="99">
        <v>11903.999999999998</v>
      </c>
      <c r="BP66" s="99">
        <v>6</v>
      </c>
      <c r="BQ66" s="99">
        <v>7142.4</v>
      </c>
      <c r="BR66" s="99">
        <v>7</v>
      </c>
      <c r="BS66" s="99">
        <v>8332.7999999999993</v>
      </c>
      <c r="BT66" s="99">
        <v>9.6457464010236311</v>
      </c>
      <c r="BU66" s="99">
        <v>11482.296515778529</v>
      </c>
      <c r="BV66" s="99">
        <v>7</v>
      </c>
      <c r="BW66" s="99">
        <v>8332.7999999999993</v>
      </c>
      <c r="BX66" s="99">
        <v>7</v>
      </c>
      <c r="BY66" s="99">
        <v>8332.7999999999993</v>
      </c>
      <c r="BZ66" s="99">
        <v>7.6635601995734781</v>
      </c>
      <c r="CA66" s="99">
        <v>9122.7020615722668</v>
      </c>
      <c r="CB66" s="99">
        <v>7.486052512681912</v>
      </c>
      <c r="CC66" s="99">
        <v>8911.3969110965463</v>
      </c>
      <c r="CD66" s="99">
        <v>10</v>
      </c>
      <c r="CE66" s="99">
        <v>11903.999999999998</v>
      </c>
      <c r="CF66" s="99">
        <v>11</v>
      </c>
      <c r="CG66" s="99">
        <v>13094.399999999998</v>
      </c>
      <c r="CH66" s="99">
        <v>7</v>
      </c>
      <c r="CI66" s="99">
        <v>8332.7999999999993</v>
      </c>
      <c r="CJ66" s="99">
        <v>9</v>
      </c>
      <c r="CK66" s="99">
        <v>10713.599999999999</v>
      </c>
      <c r="CL66" s="99">
        <v>6.5545108340274556</v>
      </c>
      <c r="CM66" s="99">
        <v>7802.4896968262819</v>
      </c>
      <c r="CN66" s="99">
        <v>6</v>
      </c>
      <c r="CO66" s="99">
        <v>7142.4</v>
      </c>
      <c r="CP66" s="99">
        <v>10</v>
      </c>
      <c r="CQ66" s="99">
        <v>11903.999999999998</v>
      </c>
      <c r="CR66" s="99">
        <v>8.7582464979604424</v>
      </c>
      <c r="CS66" s="99">
        <v>10425.816631172109</v>
      </c>
      <c r="CT66" s="99">
        <v>9</v>
      </c>
      <c r="CU66" s="99">
        <v>10713.599999999999</v>
      </c>
    </row>
    <row r="67" spans="2:99">
      <c r="C67" s="98" t="s">
        <v>233</v>
      </c>
      <c r="D67" s="99">
        <v>9</v>
      </c>
      <c r="E67" s="99">
        <v>10108.800000000001</v>
      </c>
      <c r="F67" s="99">
        <v>10</v>
      </c>
      <c r="G67" s="99">
        <v>11232</v>
      </c>
      <c r="H67" s="99">
        <v>10</v>
      </c>
      <c r="I67" s="99">
        <v>11232</v>
      </c>
      <c r="J67" s="99">
        <v>10</v>
      </c>
      <c r="K67" s="99">
        <v>11232</v>
      </c>
      <c r="L67" s="99">
        <v>10</v>
      </c>
      <c r="M67" s="99">
        <v>11232</v>
      </c>
      <c r="N67" s="99">
        <v>11</v>
      </c>
      <c r="O67" s="99">
        <v>12355.2</v>
      </c>
      <c r="P67" s="99">
        <v>10</v>
      </c>
      <c r="Q67" s="99">
        <v>11232</v>
      </c>
      <c r="R67" s="99">
        <v>10</v>
      </c>
      <c r="S67" s="99">
        <v>11232</v>
      </c>
      <c r="T67" s="99">
        <v>8</v>
      </c>
      <c r="U67" s="99">
        <v>8985.6</v>
      </c>
      <c r="V67" s="99">
        <v>9</v>
      </c>
      <c r="W67" s="99">
        <v>10108.800000000001</v>
      </c>
      <c r="X67" s="99">
        <v>8</v>
      </c>
      <c r="Y67" s="99">
        <v>8985.6</v>
      </c>
      <c r="Z67" s="99">
        <v>8</v>
      </c>
      <c r="AA67" s="99">
        <v>8985.6</v>
      </c>
      <c r="AB67" s="99">
        <v>7</v>
      </c>
      <c r="AC67" s="99">
        <v>7862.4000000000005</v>
      </c>
      <c r="AD67" s="99">
        <v>7</v>
      </c>
      <c r="AE67" s="99">
        <v>7862.4000000000005</v>
      </c>
      <c r="AF67" s="99">
        <v>9</v>
      </c>
      <c r="AG67" s="99">
        <v>10108.800000000001</v>
      </c>
      <c r="AH67" s="99">
        <v>11</v>
      </c>
      <c r="AI67" s="99">
        <v>12355.2</v>
      </c>
      <c r="AJ67" s="99">
        <v>12</v>
      </c>
      <c r="AK67" s="99">
        <v>13478.400000000001</v>
      </c>
      <c r="AL67" s="99">
        <v>8</v>
      </c>
      <c r="AM67" s="99">
        <v>8985.6</v>
      </c>
      <c r="AN67" s="99">
        <v>8</v>
      </c>
      <c r="AO67" s="99">
        <v>8985.6</v>
      </c>
      <c r="AP67" s="99">
        <v>6</v>
      </c>
      <c r="AQ67" s="99">
        <v>6739.2000000000007</v>
      </c>
      <c r="AR67" s="99">
        <v>10</v>
      </c>
      <c r="AS67" s="99">
        <v>11232</v>
      </c>
      <c r="AT67" s="99">
        <v>6</v>
      </c>
      <c r="AU67" s="99">
        <v>6739.2000000000007</v>
      </c>
      <c r="AV67" s="99">
        <v>11</v>
      </c>
      <c r="AW67" s="99">
        <v>12355.2</v>
      </c>
      <c r="AX67" s="99">
        <v>9</v>
      </c>
      <c r="AY67" s="99">
        <v>10108.800000000001</v>
      </c>
      <c r="AZ67" s="99">
        <v>11</v>
      </c>
      <c r="BA67" s="99">
        <v>12355.2</v>
      </c>
      <c r="BB67" s="99">
        <v>8</v>
      </c>
      <c r="BC67" s="99">
        <v>8985.6</v>
      </c>
      <c r="BD67" s="99">
        <v>8</v>
      </c>
      <c r="BE67" s="99">
        <v>8985.6</v>
      </c>
      <c r="BF67" s="99">
        <v>7</v>
      </c>
      <c r="BG67" s="99">
        <v>7862.4000000000005</v>
      </c>
      <c r="BH67" s="99">
        <v>6</v>
      </c>
      <c r="BI67" s="99">
        <v>6739.2000000000007</v>
      </c>
      <c r="BJ67" s="99">
        <v>10</v>
      </c>
      <c r="BK67" s="99">
        <v>11232</v>
      </c>
      <c r="BL67" s="99">
        <v>8</v>
      </c>
      <c r="BM67" s="99">
        <v>8985.6</v>
      </c>
      <c r="BN67" s="99">
        <v>11</v>
      </c>
      <c r="BO67" s="99">
        <v>12355.2</v>
      </c>
      <c r="BP67" s="99">
        <v>6</v>
      </c>
      <c r="BQ67" s="99">
        <v>6739.2000000000007</v>
      </c>
      <c r="BR67" s="99">
        <v>6</v>
      </c>
      <c r="BS67" s="99">
        <v>6739.2000000000007</v>
      </c>
      <c r="BT67" s="99">
        <v>10.522632437480324</v>
      </c>
      <c r="BU67" s="99">
        <v>11819.020753777901</v>
      </c>
      <c r="BV67" s="99">
        <v>7</v>
      </c>
      <c r="BW67" s="99">
        <v>7862.4000000000005</v>
      </c>
      <c r="BX67" s="99">
        <v>8</v>
      </c>
      <c r="BY67" s="99">
        <v>8985.6</v>
      </c>
      <c r="BZ67" s="99">
        <v>6.966872908703162</v>
      </c>
      <c r="CA67" s="99">
        <v>7825.191651055392</v>
      </c>
      <c r="CB67" s="99">
        <v>7.486052512681912</v>
      </c>
      <c r="CC67" s="99">
        <v>8408.3341822443235</v>
      </c>
      <c r="CD67" s="99">
        <v>10</v>
      </c>
      <c r="CE67" s="99">
        <v>11232</v>
      </c>
      <c r="CF67" s="99">
        <v>12</v>
      </c>
      <c r="CG67" s="99">
        <v>13478.400000000001</v>
      </c>
      <c r="CH67" s="99">
        <v>7</v>
      </c>
      <c r="CI67" s="99">
        <v>7862.4000000000005</v>
      </c>
      <c r="CJ67" s="99">
        <v>9</v>
      </c>
      <c r="CK67" s="99">
        <v>10108.800000000001</v>
      </c>
      <c r="CL67" s="99">
        <v>6.5545108340274556</v>
      </c>
      <c r="CM67" s="99">
        <v>7362.0265687796382</v>
      </c>
      <c r="CN67" s="99">
        <v>6</v>
      </c>
      <c r="CO67" s="99">
        <v>6739.2000000000007</v>
      </c>
      <c r="CP67" s="99">
        <v>11</v>
      </c>
      <c r="CQ67" s="99">
        <v>12355.2</v>
      </c>
      <c r="CR67" s="99">
        <v>7.9620422708731295</v>
      </c>
      <c r="CS67" s="99">
        <v>8942.9658786446998</v>
      </c>
      <c r="CT67" s="99">
        <v>8</v>
      </c>
      <c r="CU67" s="99">
        <v>8985.6</v>
      </c>
    </row>
    <row r="68" spans="2:99">
      <c r="C68" s="98" t="s">
        <v>234</v>
      </c>
      <c r="D68" s="99">
        <v>10</v>
      </c>
      <c r="E68" s="99">
        <v>10332</v>
      </c>
      <c r="F68" s="99">
        <v>11</v>
      </c>
      <c r="G68" s="99">
        <v>11365.2</v>
      </c>
      <c r="H68" s="99">
        <v>9</v>
      </c>
      <c r="I68" s="99">
        <v>9298.8000000000011</v>
      </c>
      <c r="J68" s="99">
        <v>10</v>
      </c>
      <c r="K68" s="99">
        <v>10332</v>
      </c>
      <c r="L68" s="99">
        <v>11</v>
      </c>
      <c r="M68" s="99">
        <v>11365.2</v>
      </c>
      <c r="N68" s="99">
        <v>12</v>
      </c>
      <c r="O68" s="99">
        <v>12398.400000000001</v>
      </c>
      <c r="P68" s="99">
        <v>11</v>
      </c>
      <c r="Q68" s="99">
        <v>11365.2</v>
      </c>
      <c r="R68" s="99">
        <v>11</v>
      </c>
      <c r="S68" s="99">
        <v>11365.2</v>
      </c>
      <c r="T68" s="99">
        <v>9</v>
      </c>
      <c r="U68" s="99">
        <v>9298.8000000000011</v>
      </c>
      <c r="V68" s="99">
        <v>9</v>
      </c>
      <c r="W68" s="99">
        <v>9298.8000000000011</v>
      </c>
      <c r="X68" s="99">
        <v>8</v>
      </c>
      <c r="Y68" s="99">
        <v>8265.6</v>
      </c>
      <c r="Z68" s="99">
        <v>8</v>
      </c>
      <c r="AA68" s="99">
        <v>8265.6</v>
      </c>
      <c r="AB68" s="99">
        <v>7</v>
      </c>
      <c r="AC68" s="99">
        <v>7232.4000000000005</v>
      </c>
      <c r="AD68" s="99">
        <v>8</v>
      </c>
      <c r="AE68" s="99">
        <v>8265.6</v>
      </c>
      <c r="AF68" s="99">
        <v>7</v>
      </c>
      <c r="AG68" s="99">
        <v>7232.4000000000005</v>
      </c>
      <c r="AH68" s="99">
        <v>11</v>
      </c>
      <c r="AI68" s="99">
        <v>11365.2</v>
      </c>
      <c r="AJ68" s="99">
        <v>11</v>
      </c>
      <c r="AK68" s="99">
        <v>11365.2</v>
      </c>
      <c r="AL68" s="99">
        <v>8</v>
      </c>
      <c r="AM68" s="99">
        <v>8265.6</v>
      </c>
      <c r="AN68" s="99">
        <v>8</v>
      </c>
      <c r="AO68" s="99">
        <v>8265.6</v>
      </c>
      <c r="AP68" s="99">
        <v>6</v>
      </c>
      <c r="AQ68" s="99">
        <v>6199.2000000000007</v>
      </c>
      <c r="AR68" s="99">
        <v>10</v>
      </c>
      <c r="AS68" s="99">
        <v>10332</v>
      </c>
      <c r="AT68" s="99">
        <v>6</v>
      </c>
      <c r="AU68" s="99">
        <v>6199.2000000000007</v>
      </c>
      <c r="AV68" s="99">
        <v>12</v>
      </c>
      <c r="AW68" s="99">
        <v>12398.400000000001</v>
      </c>
      <c r="AX68" s="99">
        <v>9</v>
      </c>
      <c r="AY68" s="99">
        <v>9298.8000000000011</v>
      </c>
      <c r="AZ68" s="99">
        <v>11</v>
      </c>
      <c r="BA68" s="99">
        <v>11365.2</v>
      </c>
      <c r="BB68" s="99">
        <v>8</v>
      </c>
      <c r="BC68" s="99">
        <v>8265.6</v>
      </c>
      <c r="BD68" s="99">
        <v>9</v>
      </c>
      <c r="BE68" s="99">
        <v>9298.8000000000011</v>
      </c>
      <c r="BF68" s="99">
        <v>8</v>
      </c>
      <c r="BG68" s="99">
        <v>8265.6</v>
      </c>
      <c r="BH68" s="99">
        <v>7</v>
      </c>
      <c r="BI68" s="99">
        <v>7232.4000000000005</v>
      </c>
      <c r="BJ68" s="99">
        <v>12</v>
      </c>
      <c r="BK68" s="99">
        <v>12398.400000000001</v>
      </c>
      <c r="BL68" s="99">
        <v>7</v>
      </c>
      <c r="BM68" s="99">
        <v>7232.4000000000005</v>
      </c>
      <c r="BN68" s="99">
        <v>11</v>
      </c>
      <c r="BO68" s="99">
        <v>11365.2</v>
      </c>
      <c r="BP68" s="99">
        <v>6</v>
      </c>
      <c r="BQ68" s="99">
        <v>6199.2000000000007</v>
      </c>
      <c r="BR68" s="99">
        <v>7</v>
      </c>
      <c r="BS68" s="99">
        <v>7232.4000000000005</v>
      </c>
      <c r="BT68" s="99">
        <v>10.522632437480324</v>
      </c>
      <c r="BU68" s="99">
        <v>10871.983834404671</v>
      </c>
      <c r="BV68" s="99">
        <v>7</v>
      </c>
      <c r="BW68" s="99">
        <v>7232.4000000000005</v>
      </c>
      <c r="BX68" s="99">
        <v>7</v>
      </c>
      <c r="BY68" s="99">
        <v>7232.4000000000005</v>
      </c>
      <c r="BZ68" s="99">
        <v>6.966872908703162</v>
      </c>
      <c r="CA68" s="99">
        <v>7198.1730892721071</v>
      </c>
      <c r="CB68" s="99">
        <v>7.486052512681912</v>
      </c>
      <c r="CC68" s="99">
        <v>7734.5894561029518</v>
      </c>
      <c r="CD68" s="99">
        <v>9</v>
      </c>
      <c r="CE68" s="99">
        <v>9298.8000000000011</v>
      </c>
      <c r="CF68" s="99">
        <v>10</v>
      </c>
      <c r="CG68" s="99">
        <v>10332</v>
      </c>
      <c r="CH68" s="99">
        <v>7</v>
      </c>
      <c r="CI68" s="99">
        <v>7232.4000000000005</v>
      </c>
      <c r="CJ68" s="99">
        <v>10</v>
      </c>
      <c r="CK68" s="99">
        <v>10332</v>
      </c>
      <c r="CL68" s="99">
        <v>6.5545108340274556</v>
      </c>
      <c r="CM68" s="99">
        <v>6772.1205937171671</v>
      </c>
      <c r="CN68" s="99">
        <v>6</v>
      </c>
      <c r="CO68" s="99">
        <v>6199.2000000000007</v>
      </c>
      <c r="CP68" s="99">
        <v>12</v>
      </c>
      <c r="CQ68" s="99">
        <v>12398.400000000001</v>
      </c>
      <c r="CR68" s="99">
        <v>7.9620422708731295</v>
      </c>
      <c r="CS68" s="99">
        <v>8226.3820742661173</v>
      </c>
      <c r="CT68" s="99">
        <v>8</v>
      </c>
      <c r="CU68" s="99">
        <v>8265.6</v>
      </c>
    </row>
    <row r="69" spans="2:99">
      <c r="C69" s="98" t="s">
        <v>235</v>
      </c>
      <c r="D69" s="99">
        <v>8</v>
      </c>
      <c r="E69" s="99">
        <v>6067.2</v>
      </c>
      <c r="F69" s="99">
        <v>10</v>
      </c>
      <c r="G69" s="99">
        <v>7584</v>
      </c>
      <c r="H69" s="99">
        <v>10</v>
      </c>
      <c r="I69" s="99">
        <v>7584</v>
      </c>
      <c r="J69" s="99">
        <v>11</v>
      </c>
      <c r="K69" s="99">
        <v>8342.4</v>
      </c>
      <c r="L69" s="99">
        <v>10</v>
      </c>
      <c r="M69" s="99">
        <v>7584</v>
      </c>
      <c r="N69" s="99">
        <v>12</v>
      </c>
      <c r="O69" s="99">
        <v>9100.7999999999993</v>
      </c>
      <c r="P69" s="99">
        <v>11</v>
      </c>
      <c r="Q69" s="99">
        <v>8342.4</v>
      </c>
      <c r="R69" s="99">
        <v>11</v>
      </c>
      <c r="S69" s="99">
        <v>8342.4</v>
      </c>
      <c r="T69" s="99">
        <v>9</v>
      </c>
      <c r="U69" s="99">
        <v>6825.5999999999995</v>
      </c>
      <c r="V69" s="99">
        <v>9</v>
      </c>
      <c r="W69" s="99">
        <v>6825.5999999999995</v>
      </c>
      <c r="X69" s="99">
        <v>9</v>
      </c>
      <c r="Y69" s="99">
        <v>6825.5999999999995</v>
      </c>
      <c r="Z69" s="99">
        <v>8</v>
      </c>
      <c r="AA69" s="99">
        <v>6067.2</v>
      </c>
      <c r="AB69" s="99">
        <v>7</v>
      </c>
      <c r="AC69" s="99">
        <v>5308.8</v>
      </c>
      <c r="AD69" s="99">
        <v>8</v>
      </c>
      <c r="AE69" s="99">
        <v>6067.2</v>
      </c>
      <c r="AF69" s="99">
        <v>8</v>
      </c>
      <c r="AG69" s="99">
        <v>6067.2</v>
      </c>
      <c r="AH69" s="99">
        <v>10</v>
      </c>
      <c r="AI69" s="99">
        <v>7584</v>
      </c>
      <c r="AJ69" s="99">
        <v>11</v>
      </c>
      <c r="AK69" s="99">
        <v>8342.4</v>
      </c>
      <c r="AL69" s="99">
        <v>8</v>
      </c>
      <c r="AM69" s="99">
        <v>6067.2</v>
      </c>
      <c r="AN69" s="99">
        <v>8</v>
      </c>
      <c r="AO69" s="99">
        <v>6067.2</v>
      </c>
      <c r="AP69" s="99">
        <v>6</v>
      </c>
      <c r="AQ69" s="99">
        <v>4550.3999999999996</v>
      </c>
      <c r="AR69" s="99">
        <v>9</v>
      </c>
      <c r="AS69" s="99">
        <v>6825.5999999999995</v>
      </c>
      <c r="AT69" s="99">
        <v>6</v>
      </c>
      <c r="AU69" s="99">
        <v>4550.3999999999996</v>
      </c>
      <c r="AV69" s="99">
        <v>12</v>
      </c>
      <c r="AW69" s="99">
        <v>9100.7999999999993</v>
      </c>
      <c r="AX69" s="99">
        <v>10</v>
      </c>
      <c r="AY69" s="99">
        <v>7584</v>
      </c>
      <c r="AZ69" s="99">
        <v>11</v>
      </c>
      <c r="BA69" s="99">
        <v>8342.4</v>
      </c>
      <c r="BB69" s="99">
        <v>8</v>
      </c>
      <c r="BC69" s="99">
        <v>6067.2</v>
      </c>
      <c r="BD69" s="99">
        <v>10</v>
      </c>
      <c r="BE69" s="99">
        <v>7584</v>
      </c>
      <c r="BF69" s="99">
        <v>8</v>
      </c>
      <c r="BG69" s="99">
        <v>6067.2</v>
      </c>
      <c r="BH69" s="99">
        <v>6</v>
      </c>
      <c r="BI69" s="99">
        <v>4550.3999999999996</v>
      </c>
      <c r="BJ69" s="99">
        <v>11</v>
      </c>
      <c r="BK69" s="99">
        <v>8342.4</v>
      </c>
      <c r="BL69" s="99">
        <v>7</v>
      </c>
      <c r="BM69" s="99">
        <v>5308.8</v>
      </c>
      <c r="BN69" s="99">
        <v>11</v>
      </c>
      <c r="BO69" s="99">
        <v>8342.4</v>
      </c>
      <c r="BP69" s="99">
        <v>6</v>
      </c>
      <c r="BQ69" s="99">
        <v>4550.3999999999996</v>
      </c>
      <c r="BR69" s="99">
        <v>7</v>
      </c>
      <c r="BS69" s="99">
        <v>5308.8</v>
      </c>
      <c r="BT69" s="99">
        <v>9.6457464010236311</v>
      </c>
      <c r="BU69" s="99">
        <v>7315.3340705363216</v>
      </c>
      <c r="BV69" s="99">
        <v>6</v>
      </c>
      <c r="BW69" s="99">
        <v>4550.3999999999996</v>
      </c>
      <c r="BX69" s="99">
        <v>7</v>
      </c>
      <c r="BY69" s="99">
        <v>5308.8</v>
      </c>
      <c r="BZ69" s="99">
        <v>6.966872908703162</v>
      </c>
      <c r="CA69" s="99">
        <v>5283.6764139604775</v>
      </c>
      <c r="CB69" s="99">
        <v>9.1496197377223361</v>
      </c>
      <c r="CC69" s="99">
        <v>6939.0716090886199</v>
      </c>
      <c r="CD69" s="99">
        <v>11</v>
      </c>
      <c r="CE69" s="99">
        <v>8342.4</v>
      </c>
      <c r="CF69" s="99">
        <v>11</v>
      </c>
      <c r="CG69" s="99">
        <v>8342.4</v>
      </c>
      <c r="CH69" s="99">
        <v>7</v>
      </c>
      <c r="CI69" s="99">
        <v>5308.8</v>
      </c>
      <c r="CJ69" s="99">
        <v>10</v>
      </c>
      <c r="CK69" s="99">
        <v>7584</v>
      </c>
      <c r="CL69" s="99">
        <v>6.5545108340274556</v>
      </c>
      <c r="CM69" s="99">
        <v>4970.9410165264226</v>
      </c>
      <c r="CN69" s="99">
        <v>7</v>
      </c>
      <c r="CO69" s="99">
        <v>5308.8</v>
      </c>
      <c r="CP69" s="99">
        <v>12</v>
      </c>
      <c r="CQ69" s="99">
        <v>9100.7999999999993</v>
      </c>
      <c r="CR69" s="99">
        <v>8.7582464979604424</v>
      </c>
      <c r="CS69" s="99">
        <v>6642.2541440531995</v>
      </c>
      <c r="CT69" s="99">
        <v>10</v>
      </c>
      <c r="CU69" s="99">
        <v>7584</v>
      </c>
    </row>
    <row r="70" spans="2:99">
      <c r="C70" s="98" t="s">
        <v>236</v>
      </c>
      <c r="D70" s="99">
        <v>9</v>
      </c>
      <c r="E70" s="99">
        <v>4816.7999999999993</v>
      </c>
      <c r="F70" s="99">
        <v>11</v>
      </c>
      <c r="G70" s="99">
        <v>5887.1999999999989</v>
      </c>
      <c r="H70" s="99">
        <v>11</v>
      </c>
      <c r="I70" s="99">
        <v>5887.1999999999989</v>
      </c>
      <c r="J70" s="99">
        <v>11</v>
      </c>
      <c r="K70" s="99">
        <v>5887.1999999999989</v>
      </c>
      <c r="L70" s="99">
        <v>12</v>
      </c>
      <c r="M70" s="99">
        <v>6422.4</v>
      </c>
      <c r="N70" s="99">
        <v>12</v>
      </c>
      <c r="O70" s="99">
        <v>6422.4</v>
      </c>
      <c r="P70" s="99">
        <v>11</v>
      </c>
      <c r="Q70" s="99">
        <v>5887.1999999999989</v>
      </c>
      <c r="R70" s="99">
        <v>12</v>
      </c>
      <c r="S70" s="99">
        <v>6422.4</v>
      </c>
      <c r="T70" s="99">
        <v>8</v>
      </c>
      <c r="U70" s="99">
        <v>4281.5999999999995</v>
      </c>
      <c r="V70" s="99">
        <v>8</v>
      </c>
      <c r="W70" s="99">
        <v>4281.5999999999995</v>
      </c>
      <c r="X70" s="99">
        <v>9</v>
      </c>
      <c r="Y70" s="99">
        <v>4816.7999999999993</v>
      </c>
      <c r="Z70" s="99">
        <v>8</v>
      </c>
      <c r="AA70" s="99">
        <v>4281.5999999999995</v>
      </c>
      <c r="AB70" s="99">
        <v>7</v>
      </c>
      <c r="AC70" s="99">
        <v>3746.3999999999996</v>
      </c>
      <c r="AD70" s="99">
        <v>7</v>
      </c>
      <c r="AE70" s="99">
        <v>3746.3999999999996</v>
      </c>
      <c r="AF70" s="99">
        <v>9</v>
      </c>
      <c r="AG70" s="99">
        <v>4816.7999999999993</v>
      </c>
      <c r="AH70" s="99">
        <v>10</v>
      </c>
      <c r="AI70" s="99">
        <v>5351.9999999999991</v>
      </c>
      <c r="AJ70" s="99">
        <v>11</v>
      </c>
      <c r="AK70" s="99">
        <v>5887.1999999999989</v>
      </c>
      <c r="AL70" s="99">
        <v>8</v>
      </c>
      <c r="AM70" s="99">
        <v>4281.5999999999995</v>
      </c>
      <c r="AN70" s="99">
        <v>8</v>
      </c>
      <c r="AO70" s="99">
        <v>4281.5999999999995</v>
      </c>
      <c r="AP70" s="99">
        <v>6</v>
      </c>
      <c r="AQ70" s="99">
        <v>3211.2</v>
      </c>
      <c r="AR70" s="99">
        <v>9</v>
      </c>
      <c r="AS70" s="99">
        <v>4816.7999999999993</v>
      </c>
      <c r="AT70" s="99">
        <v>6</v>
      </c>
      <c r="AU70" s="99">
        <v>3211.2</v>
      </c>
      <c r="AV70" s="99">
        <v>13</v>
      </c>
      <c r="AW70" s="99">
        <v>6957.5999999999995</v>
      </c>
      <c r="AX70" s="99">
        <v>10</v>
      </c>
      <c r="AY70" s="99">
        <v>5351.9999999999991</v>
      </c>
      <c r="AZ70" s="99">
        <v>12</v>
      </c>
      <c r="BA70" s="99">
        <v>6422.4</v>
      </c>
      <c r="BB70" s="99">
        <v>9</v>
      </c>
      <c r="BC70" s="99">
        <v>4816.7999999999993</v>
      </c>
      <c r="BD70" s="99">
        <v>10</v>
      </c>
      <c r="BE70" s="99">
        <v>5351.9999999999991</v>
      </c>
      <c r="BF70" s="99">
        <v>7</v>
      </c>
      <c r="BG70" s="99">
        <v>3746.3999999999996</v>
      </c>
      <c r="BH70" s="99">
        <v>7</v>
      </c>
      <c r="BI70" s="99">
        <v>3746.3999999999996</v>
      </c>
      <c r="BJ70" s="99">
        <v>10</v>
      </c>
      <c r="BK70" s="99">
        <v>5351.9999999999991</v>
      </c>
      <c r="BL70" s="99">
        <v>7</v>
      </c>
      <c r="BM70" s="99">
        <v>3746.3999999999996</v>
      </c>
      <c r="BN70" s="99">
        <v>11</v>
      </c>
      <c r="BO70" s="99">
        <v>5887.1999999999989</v>
      </c>
      <c r="BP70" s="99">
        <v>6</v>
      </c>
      <c r="BQ70" s="99">
        <v>3211.2</v>
      </c>
      <c r="BR70" s="99">
        <v>8</v>
      </c>
      <c r="BS70" s="99">
        <v>4281.5999999999995</v>
      </c>
      <c r="BT70" s="99">
        <v>9.6457464010236311</v>
      </c>
      <c r="BU70" s="99">
        <v>5162.4034738278469</v>
      </c>
      <c r="BV70" s="99">
        <v>6</v>
      </c>
      <c r="BW70" s="99">
        <v>3211.2</v>
      </c>
      <c r="BX70" s="99">
        <v>8</v>
      </c>
      <c r="BY70" s="99">
        <v>4281.5999999999995</v>
      </c>
      <c r="BZ70" s="99">
        <v>7.6635601995734781</v>
      </c>
      <c r="CA70" s="99">
        <v>4101.5374188117248</v>
      </c>
      <c r="CB70" s="99">
        <v>8.3178361252021258</v>
      </c>
      <c r="CC70" s="99">
        <v>4451.7058942081776</v>
      </c>
      <c r="CD70" s="99">
        <v>11</v>
      </c>
      <c r="CE70" s="99">
        <v>5887.1999999999989</v>
      </c>
      <c r="CF70" s="99">
        <v>12</v>
      </c>
      <c r="CG70" s="99">
        <v>6422.4</v>
      </c>
      <c r="CH70" s="99">
        <v>7</v>
      </c>
      <c r="CI70" s="99">
        <v>3746.3999999999996</v>
      </c>
      <c r="CJ70" s="99">
        <v>10</v>
      </c>
      <c r="CK70" s="99">
        <v>5351.9999999999991</v>
      </c>
      <c r="CL70" s="99">
        <v>6.5545108340274556</v>
      </c>
      <c r="CM70" s="99">
        <v>3507.9741983714939</v>
      </c>
      <c r="CN70" s="99">
        <v>7</v>
      </c>
      <c r="CO70" s="99">
        <v>3746.3999999999996</v>
      </c>
      <c r="CP70" s="99">
        <v>12</v>
      </c>
      <c r="CQ70" s="99">
        <v>6422.4</v>
      </c>
      <c r="CR70" s="99">
        <v>7.9620422708731295</v>
      </c>
      <c r="CS70" s="99">
        <v>4261.2850233712979</v>
      </c>
      <c r="CT70" s="99">
        <v>8</v>
      </c>
      <c r="CU70" s="99">
        <v>4281.5999999999995</v>
      </c>
    </row>
    <row r="71" spans="2:99">
      <c r="B71" s="98" t="s">
        <v>130</v>
      </c>
      <c r="C71" s="98" t="s">
        <v>237</v>
      </c>
      <c r="D71" s="99">
        <v>1.0376624707386444</v>
      </c>
      <c r="E71" s="99">
        <v>585.24163349659545</v>
      </c>
      <c r="F71" s="99">
        <v>10.313158014925243</v>
      </c>
      <c r="G71" s="99">
        <v>5816.6211204178371</v>
      </c>
      <c r="H71" s="99">
        <v>7.9629789352425022E-16</v>
      </c>
      <c r="I71" s="99">
        <v>4.4911201194767715E-13</v>
      </c>
      <c r="J71" s="99">
        <v>0</v>
      </c>
      <c r="K71" s="99">
        <v>0</v>
      </c>
      <c r="L71" s="99">
        <v>10</v>
      </c>
      <c r="M71" s="99">
        <v>5640</v>
      </c>
      <c r="N71" s="99">
        <v>11</v>
      </c>
      <c r="O71" s="99">
        <v>6204</v>
      </c>
      <c r="P71" s="99">
        <v>10</v>
      </c>
      <c r="Q71" s="99">
        <v>5640</v>
      </c>
      <c r="R71" s="99">
        <v>8</v>
      </c>
      <c r="S71" s="99">
        <v>4512</v>
      </c>
      <c r="T71" s="99">
        <v>17</v>
      </c>
      <c r="U71" s="99">
        <v>9588</v>
      </c>
      <c r="V71" s="99">
        <v>15</v>
      </c>
      <c r="W71" s="99">
        <v>8460</v>
      </c>
      <c r="X71" s="99">
        <v>12.865162806701697</v>
      </c>
      <c r="Y71" s="99">
        <v>7255.9518229797568</v>
      </c>
      <c r="Z71" s="99">
        <v>10.079744936873354</v>
      </c>
      <c r="AA71" s="99">
        <v>5684.9761443965717</v>
      </c>
      <c r="AB71" s="99">
        <v>0</v>
      </c>
      <c r="AC71" s="99">
        <v>0</v>
      </c>
      <c r="AD71" s="99">
        <v>17</v>
      </c>
      <c r="AE71" s="99">
        <v>9588</v>
      </c>
      <c r="AF71" s="99">
        <v>13.867468706226278</v>
      </c>
      <c r="AG71" s="99">
        <v>7821.2523503116208</v>
      </c>
      <c r="AH71" s="99">
        <v>10.260012945866574</v>
      </c>
      <c r="AI71" s="99">
        <v>5786.6473014687481</v>
      </c>
      <c r="AJ71" s="99">
        <v>9.2832409593979364</v>
      </c>
      <c r="AK71" s="99">
        <v>5235.7479011004361</v>
      </c>
      <c r="AL71" s="99">
        <v>8.6121594319134918</v>
      </c>
      <c r="AM71" s="99">
        <v>4857.2579195992093</v>
      </c>
      <c r="AN71" s="99">
        <v>9.7747666228090697</v>
      </c>
      <c r="AO71" s="99">
        <v>5512.968375264315</v>
      </c>
      <c r="AP71" s="99">
        <v>9.0707749685143604</v>
      </c>
      <c r="AQ71" s="99">
        <v>5115.9170822420992</v>
      </c>
      <c r="AR71" s="99">
        <v>0</v>
      </c>
      <c r="AS71" s="99">
        <v>0</v>
      </c>
      <c r="AT71" s="99">
        <v>8</v>
      </c>
      <c r="AU71" s="99">
        <v>4512</v>
      </c>
      <c r="AV71" s="99">
        <v>9.9446380267787848</v>
      </c>
      <c r="AW71" s="99">
        <v>5608.7758471032348</v>
      </c>
      <c r="AX71" s="99">
        <v>13</v>
      </c>
      <c r="AY71" s="99">
        <v>7332</v>
      </c>
      <c r="AZ71" s="99">
        <v>7.0433848429174795</v>
      </c>
      <c r="BA71" s="99">
        <v>3972.4690514054582</v>
      </c>
      <c r="BB71" s="99">
        <v>13</v>
      </c>
      <c r="BC71" s="99">
        <v>7332</v>
      </c>
      <c r="BD71" s="99">
        <v>16.783548483894382</v>
      </c>
      <c r="BE71" s="99">
        <v>9465.9213449164308</v>
      </c>
      <c r="BF71" s="99">
        <v>10.303377328562545</v>
      </c>
      <c r="BG71" s="99">
        <v>5811.1048133092754</v>
      </c>
      <c r="BH71" s="99">
        <v>11.103674487834382</v>
      </c>
      <c r="BI71" s="99">
        <v>6262.4724111385913</v>
      </c>
      <c r="BJ71" s="99">
        <v>7.4218609738441472</v>
      </c>
      <c r="BK71" s="99">
        <v>4185.9295892480986</v>
      </c>
      <c r="BL71" s="99">
        <v>12.701590359443715</v>
      </c>
      <c r="BM71" s="99">
        <v>7163.6969627262552</v>
      </c>
      <c r="BN71" s="99">
        <v>7.504665059870594</v>
      </c>
      <c r="BO71" s="99">
        <v>4232.631093767015</v>
      </c>
      <c r="BP71" s="99">
        <v>9</v>
      </c>
      <c r="BQ71" s="99">
        <v>5076</v>
      </c>
      <c r="BR71" s="99">
        <v>10.506162214541515</v>
      </c>
      <c r="BS71" s="99">
        <v>5925.4754890014146</v>
      </c>
      <c r="BT71" s="99">
        <v>1.6169792764441651</v>
      </c>
      <c r="BU71" s="99">
        <v>911.9763119145091</v>
      </c>
      <c r="BV71" s="99">
        <v>9.5414586522984219</v>
      </c>
      <c r="BW71" s="99">
        <v>5381.38267989631</v>
      </c>
      <c r="BX71" s="99">
        <v>16</v>
      </c>
      <c r="BY71" s="99">
        <v>9024</v>
      </c>
      <c r="BZ71" s="99">
        <v>9</v>
      </c>
      <c r="CA71" s="99">
        <v>5076</v>
      </c>
      <c r="CB71" s="99">
        <v>10.876358834875886</v>
      </c>
      <c r="CC71" s="99">
        <v>6134.2663828699997</v>
      </c>
      <c r="CD71" s="99">
        <v>0</v>
      </c>
      <c r="CE71" s="99">
        <v>0</v>
      </c>
      <c r="CF71" s="99">
        <v>9.6790986941603006</v>
      </c>
      <c r="CG71" s="99">
        <v>5459.0116635064096</v>
      </c>
      <c r="CH71" s="99">
        <v>13</v>
      </c>
      <c r="CI71" s="99">
        <v>7332</v>
      </c>
      <c r="CJ71" s="99">
        <v>14</v>
      </c>
      <c r="CK71" s="99">
        <v>7896</v>
      </c>
      <c r="CL71" s="99">
        <v>12.254175939775868</v>
      </c>
      <c r="CM71" s="99">
        <v>6911.3552300335896</v>
      </c>
      <c r="CN71" s="99">
        <v>10.214141536031665</v>
      </c>
      <c r="CO71" s="99">
        <v>5760.7758263218593</v>
      </c>
      <c r="CP71" s="99">
        <v>0</v>
      </c>
      <c r="CQ71" s="99">
        <v>0</v>
      </c>
      <c r="CR71" s="99">
        <v>12</v>
      </c>
      <c r="CS71" s="99">
        <v>6768</v>
      </c>
      <c r="CT71" s="99">
        <v>8.1407144663670952</v>
      </c>
      <c r="CU71" s="99">
        <v>4591.362959031042</v>
      </c>
    </row>
    <row r="72" spans="2:99">
      <c r="C72" s="98" t="s">
        <v>238</v>
      </c>
      <c r="D72" s="99">
        <v>1.0376624707386444</v>
      </c>
      <c r="E72" s="99">
        <v>77.202087822955136</v>
      </c>
      <c r="F72" s="99">
        <v>10.313158014925243</v>
      </c>
      <c r="G72" s="99">
        <v>767.29895631043803</v>
      </c>
      <c r="H72" s="99">
        <v>7.9629789352425022E-16</v>
      </c>
      <c r="I72" s="99">
        <v>5.9244563278204206E-14</v>
      </c>
      <c r="J72" s="99">
        <v>0</v>
      </c>
      <c r="K72" s="99">
        <v>0</v>
      </c>
      <c r="L72" s="99">
        <v>11</v>
      </c>
      <c r="M72" s="99">
        <v>818.39999999999986</v>
      </c>
      <c r="N72" s="99">
        <v>11</v>
      </c>
      <c r="O72" s="99">
        <v>818.39999999999986</v>
      </c>
      <c r="P72" s="99">
        <v>11</v>
      </c>
      <c r="Q72" s="99">
        <v>818.39999999999986</v>
      </c>
      <c r="R72" s="99">
        <v>10</v>
      </c>
      <c r="S72" s="99">
        <v>743.99999999999989</v>
      </c>
      <c r="T72" s="99">
        <v>17</v>
      </c>
      <c r="U72" s="99">
        <v>1264.8</v>
      </c>
      <c r="V72" s="99">
        <v>13</v>
      </c>
      <c r="W72" s="99">
        <v>967.19999999999993</v>
      </c>
      <c r="X72" s="99">
        <v>12.061090131282842</v>
      </c>
      <c r="Y72" s="99">
        <v>897.34510576744333</v>
      </c>
      <c r="Z72" s="99">
        <v>10.079744936873354</v>
      </c>
      <c r="AA72" s="99">
        <v>749.93302330337747</v>
      </c>
      <c r="AB72" s="99">
        <v>0</v>
      </c>
      <c r="AC72" s="99">
        <v>0</v>
      </c>
      <c r="AD72" s="99">
        <v>16</v>
      </c>
      <c r="AE72" s="99">
        <v>1190.3999999999999</v>
      </c>
      <c r="AF72" s="99">
        <v>15.716464533723114</v>
      </c>
      <c r="AG72" s="99">
        <v>1169.3049613089995</v>
      </c>
      <c r="AH72" s="99">
        <v>9.4707811807999143</v>
      </c>
      <c r="AI72" s="99">
        <v>704.62611985151352</v>
      </c>
      <c r="AJ72" s="99">
        <v>9.2832409593979364</v>
      </c>
      <c r="AK72" s="99">
        <v>690.67312737920633</v>
      </c>
      <c r="AL72" s="99">
        <v>10.178006601352308</v>
      </c>
      <c r="AM72" s="99">
        <v>757.24369114061165</v>
      </c>
      <c r="AN72" s="99">
        <v>9.7747666228090697</v>
      </c>
      <c r="AO72" s="99">
        <v>727.24263673699465</v>
      </c>
      <c r="AP72" s="99">
        <v>9.0707749685143604</v>
      </c>
      <c r="AQ72" s="99">
        <v>674.86565765746832</v>
      </c>
      <c r="AR72" s="99">
        <v>0</v>
      </c>
      <c r="AS72" s="99">
        <v>0</v>
      </c>
      <c r="AT72" s="99">
        <v>9</v>
      </c>
      <c r="AU72" s="99">
        <v>669.59999999999991</v>
      </c>
      <c r="AV72" s="99">
        <v>11.602077697908582</v>
      </c>
      <c r="AW72" s="99">
        <v>863.19458072439841</v>
      </c>
      <c r="AX72" s="99">
        <v>13</v>
      </c>
      <c r="AY72" s="99">
        <v>967.19999999999993</v>
      </c>
      <c r="AZ72" s="99">
        <v>8.12698251105863</v>
      </c>
      <c r="BA72" s="99">
        <v>604.64749882276203</v>
      </c>
      <c r="BB72" s="99">
        <v>14</v>
      </c>
      <c r="BC72" s="99">
        <v>1041.5999999999999</v>
      </c>
      <c r="BD72" s="99">
        <v>15.796280926018243</v>
      </c>
      <c r="BE72" s="99">
        <v>1175.2433008957571</v>
      </c>
      <c r="BF72" s="99">
        <v>10.303377328562545</v>
      </c>
      <c r="BG72" s="99">
        <v>766.57127324505325</v>
      </c>
      <c r="BH72" s="99">
        <v>9.7973598422068076</v>
      </c>
      <c r="BI72" s="99">
        <v>728.92357226018635</v>
      </c>
      <c r="BJ72" s="99">
        <v>7.4218609738441472</v>
      </c>
      <c r="BK72" s="99">
        <v>552.18645645400454</v>
      </c>
      <c r="BL72" s="99">
        <v>10.887077450951757</v>
      </c>
      <c r="BM72" s="99">
        <v>809.99856235081063</v>
      </c>
      <c r="BN72" s="99">
        <v>7.504665059870594</v>
      </c>
      <c r="BO72" s="99">
        <v>558.34708045437208</v>
      </c>
      <c r="BP72" s="99">
        <v>11</v>
      </c>
      <c r="BQ72" s="99">
        <v>818.39999999999986</v>
      </c>
      <c r="BR72" s="99">
        <v>11.819432491359207</v>
      </c>
      <c r="BS72" s="99">
        <v>879.3657773571249</v>
      </c>
      <c r="BT72" s="99">
        <v>1.7324777961901767</v>
      </c>
      <c r="BU72" s="99">
        <v>128.89634803654914</v>
      </c>
      <c r="BV72" s="99">
        <v>11.449750382758106</v>
      </c>
      <c r="BW72" s="99">
        <v>851.86142847720294</v>
      </c>
      <c r="BX72" s="99">
        <v>16</v>
      </c>
      <c r="BY72" s="99">
        <v>1190.3999999999999</v>
      </c>
      <c r="BZ72" s="99">
        <v>8</v>
      </c>
      <c r="CA72" s="99">
        <v>595.19999999999993</v>
      </c>
      <c r="CB72" s="99">
        <v>10.876358834875886</v>
      </c>
      <c r="CC72" s="99">
        <v>809.20109731476578</v>
      </c>
      <c r="CD72" s="99">
        <v>0</v>
      </c>
      <c r="CE72" s="99">
        <v>0</v>
      </c>
      <c r="CF72" s="99">
        <v>10.423644747557248</v>
      </c>
      <c r="CG72" s="99">
        <v>775.51916921825909</v>
      </c>
      <c r="CH72" s="99">
        <v>15</v>
      </c>
      <c r="CI72" s="99">
        <v>1115.9999999999998</v>
      </c>
      <c r="CJ72" s="99">
        <v>15</v>
      </c>
      <c r="CK72" s="99">
        <v>1115.9999999999998</v>
      </c>
      <c r="CL72" s="99">
        <v>12.254175939775868</v>
      </c>
      <c r="CM72" s="99">
        <v>911.71068991932441</v>
      </c>
      <c r="CN72" s="99">
        <v>9.3629630746956938</v>
      </c>
      <c r="CO72" s="99">
        <v>696.60445275735958</v>
      </c>
      <c r="CP72" s="99">
        <v>0</v>
      </c>
      <c r="CQ72" s="99">
        <v>0</v>
      </c>
      <c r="CR72" s="99">
        <v>12</v>
      </c>
      <c r="CS72" s="99">
        <v>892.8</v>
      </c>
      <c r="CT72" s="99">
        <v>7.6884525515689228</v>
      </c>
      <c r="CU72" s="99">
        <v>572.0208698367278</v>
      </c>
    </row>
    <row r="73" spans="2:99">
      <c r="C73" s="98" t="s">
        <v>239</v>
      </c>
      <c r="D73" s="99">
        <v>0.92236664065657281</v>
      </c>
      <c r="E73" s="99">
        <v>515.78742545515547</v>
      </c>
      <c r="F73" s="99">
        <v>8.3794408871267603</v>
      </c>
      <c r="G73" s="99">
        <v>4685.7833440812838</v>
      </c>
      <c r="H73" s="99">
        <v>8.5755157764150026E-16</v>
      </c>
      <c r="I73" s="99">
        <v>4.7954284221712691E-13</v>
      </c>
      <c r="J73" s="99">
        <v>0</v>
      </c>
      <c r="K73" s="99">
        <v>0</v>
      </c>
      <c r="L73" s="99">
        <v>11</v>
      </c>
      <c r="M73" s="99">
        <v>6151.1999999999989</v>
      </c>
      <c r="N73" s="99">
        <v>10</v>
      </c>
      <c r="O73" s="99">
        <v>5591.9999999999991</v>
      </c>
      <c r="P73" s="99">
        <v>12</v>
      </c>
      <c r="Q73" s="99">
        <v>6710.4</v>
      </c>
      <c r="R73" s="99">
        <v>8</v>
      </c>
      <c r="S73" s="99">
        <v>4473.5999999999995</v>
      </c>
      <c r="T73" s="99">
        <v>16</v>
      </c>
      <c r="U73" s="99">
        <v>8947.1999999999989</v>
      </c>
      <c r="V73" s="99">
        <v>14</v>
      </c>
      <c r="W73" s="99">
        <v>7828.7999999999993</v>
      </c>
      <c r="X73" s="99">
        <v>11.257017455863986</v>
      </c>
      <c r="Y73" s="99">
        <v>6294.9241613191398</v>
      </c>
      <c r="Z73" s="99">
        <v>10.751727932664911</v>
      </c>
      <c r="AA73" s="99">
        <v>6012.3662599462177</v>
      </c>
      <c r="AB73" s="99">
        <v>0</v>
      </c>
      <c r="AC73" s="99">
        <v>0</v>
      </c>
      <c r="AD73" s="99">
        <v>15</v>
      </c>
      <c r="AE73" s="99">
        <v>8387.9999999999982</v>
      </c>
      <c r="AF73" s="99">
        <v>14.791966619974696</v>
      </c>
      <c r="AG73" s="99">
        <v>8271.6677338898498</v>
      </c>
      <c r="AH73" s="99">
        <v>10.260012945866574</v>
      </c>
      <c r="AI73" s="99">
        <v>5737.3992393285871</v>
      </c>
      <c r="AJ73" s="99">
        <v>10.127171955706839</v>
      </c>
      <c r="AK73" s="99">
        <v>5663.1145576312638</v>
      </c>
      <c r="AL73" s="99">
        <v>10.178006601352308</v>
      </c>
      <c r="AM73" s="99">
        <v>5691.5412914762101</v>
      </c>
      <c r="AN73" s="99">
        <v>9.7747666228090697</v>
      </c>
      <c r="AO73" s="99">
        <v>5466.049495474831</v>
      </c>
      <c r="AP73" s="99">
        <v>9.8953908747429384</v>
      </c>
      <c r="AQ73" s="99">
        <v>5533.5025771562505</v>
      </c>
      <c r="AR73" s="99">
        <v>0</v>
      </c>
      <c r="AS73" s="99">
        <v>0</v>
      </c>
      <c r="AT73" s="99">
        <v>9</v>
      </c>
      <c r="AU73" s="99">
        <v>5032.7999999999993</v>
      </c>
      <c r="AV73" s="99">
        <v>9.9446380267787848</v>
      </c>
      <c r="AW73" s="99">
        <v>5561.0415845746957</v>
      </c>
      <c r="AX73" s="99">
        <v>11</v>
      </c>
      <c r="AY73" s="99">
        <v>6151.1999999999989</v>
      </c>
      <c r="AZ73" s="99">
        <v>7.0433848429174795</v>
      </c>
      <c r="BA73" s="99">
        <v>3938.6608041594541</v>
      </c>
      <c r="BB73" s="99">
        <v>14</v>
      </c>
      <c r="BC73" s="99">
        <v>7828.7999999999993</v>
      </c>
      <c r="BD73" s="99">
        <v>17.770816041770523</v>
      </c>
      <c r="BE73" s="99">
        <v>9937.4403305580745</v>
      </c>
      <c r="BF73" s="99">
        <v>9.3667066623295856</v>
      </c>
      <c r="BG73" s="99">
        <v>5237.8623655747033</v>
      </c>
      <c r="BH73" s="99">
        <v>9.7973598422068076</v>
      </c>
      <c r="BI73" s="99">
        <v>5478.6836237620464</v>
      </c>
      <c r="BJ73" s="99">
        <v>7.9927733564475432</v>
      </c>
      <c r="BK73" s="99">
        <v>4469.5588609254655</v>
      </c>
      <c r="BL73" s="99">
        <v>10.887077450951757</v>
      </c>
      <c r="BM73" s="99">
        <v>6088.0537105722224</v>
      </c>
      <c r="BN73" s="99">
        <v>8.5767600684235354</v>
      </c>
      <c r="BO73" s="99">
        <v>4796.1242302624405</v>
      </c>
      <c r="BP73" s="99">
        <v>9</v>
      </c>
      <c r="BQ73" s="99">
        <v>5032.7999999999993</v>
      </c>
      <c r="BR73" s="99">
        <v>11.819432491359207</v>
      </c>
      <c r="BS73" s="99">
        <v>6609.4266491680673</v>
      </c>
      <c r="BT73" s="99">
        <v>1.6169792764441651</v>
      </c>
      <c r="BU73" s="99">
        <v>904.21481138757702</v>
      </c>
      <c r="BV73" s="99">
        <v>9.5414586522984219</v>
      </c>
      <c r="BW73" s="99">
        <v>5335.5836783652767</v>
      </c>
      <c r="BX73" s="99">
        <v>16</v>
      </c>
      <c r="BY73" s="99">
        <v>8947.1999999999989</v>
      </c>
      <c r="BZ73" s="99">
        <v>8</v>
      </c>
      <c r="CA73" s="99">
        <v>4473.5999999999995</v>
      </c>
      <c r="CB73" s="99">
        <v>10.876358834875886</v>
      </c>
      <c r="CC73" s="99">
        <v>6082.0598604625948</v>
      </c>
      <c r="CD73" s="99">
        <v>0</v>
      </c>
      <c r="CE73" s="99">
        <v>0</v>
      </c>
      <c r="CF73" s="99">
        <v>9.6790986941603006</v>
      </c>
      <c r="CG73" s="99">
        <v>5412.5519897744398</v>
      </c>
      <c r="CH73" s="99">
        <v>13</v>
      </c>
      <c r="CI73" s="99">
        <v>7269.5999999999995</v>
      </c>
      <c r="CJ73" s="99">
        <v>14</v>
      </c>
      <c r="CK73" s="99">
        <v>7828.7999999999993</v>
      </c>
      <c r="CL73" s="99">
        <v>12.254175939775868</v>
      </c>
      <c r="CM73" s="99">
        <v>6852.5351855226645</v>
      </c>
      <c r="CN73" s="99">
        <v>9.3629630746956938</v>
      </c>
      <c r="CO73" s="99">
        <v>5235.7689513698315</v>
      </c>
      <c r="CP73" s="99">
        <v>0</v>
      </c>
      <c r="CQ73" s="99">
        <v>0</v>
      </c>
      <c r="CR73" s="99">
        <v>13</v>
      </c>
      <c r="CS73" s="99">
        <v>7269.5999999999995</v>
      </c>
      <c r="CT73" s="99">
        <v>7.2361906367707514</v>
      </c>
      <c r="CU73" s="99">
        <v>4046.4778040822039</v>
      </c>
    </row>
    <row r="74" spans="2:99">
      <c r="C74" s="98" t="s">
        <v>240</v>
      </c>
      <c r="D74" s="99">
        <v>1.0376624707386444</v>
      </c>
      <c r="E74" s="99">
        <v>418.38550820182138</v>
      </c>
      <c r="F74" s="99">
        <v>9.6685856389924147</v>
      </c>
      <c r="G74" s="99">
        <v>3898.3737296417416</v>
      </c>
      <c r="H74" s="99">
        <v>7.3504420940700018E-16</v>
      </c>
      <c r="I74" s="99">
        <v>2.9636982523290246E-13</v>
      </c>
      <c r="J74" s="99">
        <v>0</v>
      </c>
      <c r="K74" s="99">
        <v>0</v>
      </c>
      <c r="L74" s="99">
        <v>11</v>
      </c>
      <c r="M74" s="99">
        <v>4435.2</v>
      </c>
      <c r="N74" s="99">
        <v>11</v>
      </c>
      <c r="O74" s="99">
        <v>4435.2</v>
      </c>
      <c r="P74" s="99">
        <v>12</v>
      </c>
      <c r="Q74" s="99">
        <v>4838.3999999999996</v>
      </c>
      <c r="R74" s="99">
        <v>10</v>
      </c>
      <c r="S74" s="99">
        <v>4032</v>
      </c>
      <c r="T74" s="99">
        <v>15</v>
      </c>
      <c r="U74" s="99">
        <v>6048</v>
      </c>
      <c r="V74" s="99">
        <v>13</v>
      </c>
      <c r="W74" s="99">
        <v>5241.5999999999995</v>
      </c>
      <c r="X74" s="99">
        <v>11.257017455863986</v>
      </c>
      <c r="Y74" s="99">
        <v>4538.8294382043587</v>
      </c>
      <c r="Z74" s="99">
        <v>10.751727932664911</v>
      </c>
      <c r="AA74" s="99">
        <v>4335.0967024504926</v>
      </c>
      <c r="AB74" s="99">
        <v>0</v>
      </c>
      <c r="AC74" s="99">
        <v>0</v>
      </c>
      <c r="AD74" s="99">
        <v>15</v>
      </c>
      <c r="AE74" s="99">
        <v>6048</v>
      </c>
      <c r="AF74" s="99">
        <v>13.867468706226278</v>
      </c>
      <c r="AG74" s="99">
        <v>5591.3633823504351</v>
      </c>
      <c r="AH74" s="99">
        <v>10.260012945866574</v>
      </c>
      <c r="AI74" s="99">
        <v>4136.8372197734025</v>
      </c>
      <c r="AJ74" s="99">
        <v>9.2832409593979364</v>
      </c>
      <c r="AK74" s="99">
        <v>3743.0027548292478</v>
      </c>
      <c r="AL74" s="99">
        <v>10.178006601352308</v>
      </c>
      <c r="AM74" s="99">
        <v>4103.7722616652509</v>
      </c>
      <c r="AN74" s="99">
        <v>9.7747666228090697</v>
      </c>
      <c r="AO74" s="99">
        <v>3941.1859023166166</v>
      </c>
      <c r="AP74" s="99">
        <v>9.0707749685143604</v>
      </c>
      <c r="AQ74" s="99">
        <v>3657.33646730499</v>
      </c>
      <c r="AR74" s="99">
        <v>0</v>
      </c>
      <c r="AS74" s="99">
        <v>0</v>
      </c>
      <c r="AT74" s="99">
        <v>9</v>
      </c>
      <c r="AU74" s="99">
        <v>3628.7999999999997</v>
      </c>
      <c r="AV74" s="99">
        <v>9.9446380267787848</v>
      </c>
      <c r="AW74" s="99">
        <v>4009.6780523972061</v>
      </c>
      <c r="AX74" s="99">
        <v>13</v>
      </c>
      <c r="AY74" s="99">
        <v>5241.5999999999995</v>
      </c>
      <c r="AZ74" s="99">
        <v>7.5851836769880547</v>
      </c>
      <c r="BA74" s="99">
        <v>3058.3460585615835</v>
      </c>
      <c r="BB74" s="99">
        <v>15</v>
      </c>
      <c r="BC74" s="99">
        <v>6048</v>
      </c>
      <c r="BD74" s="99">
        <v>16.783548483894382</v>
      </c>
      <c r="BE74" s="99">
        <v>6767.126748706215</v>
      </c>
      <c r="BF74" s="99">
        <v>9.3667066623295856</v>
      </c>
      <c r="BG74" s="99">
        <v>3776.6561262512887</v>
      </c>
      <c r="BH74" s="99">
        <v>10.450517165020594</v>
      </c>
      <c r="BI74" s="99">
        <v>4213.6485209363036</v>
      </c>
      <c r="BJ74" s="99">
        <v>8.5636857390509391</v>
      </c>
      <c r="BK74" s="99">
        <v>3452.8780899853386</v>
      </c>
      <c r="BL74" s="99">
        <v>11.794333905197737</v>
      </c>
      <c r="BM74" s="99">
        <v>4755.4754305757278</v>
      </c>
      <c r="BN74" s="99">
        <v>8.0407125641470643</v>
      </c>
      <c r="BO74" s="99">
        <v>3242.0153058640963</v>
      </c>
      <c r="BP74" s="99">
        <v>9</v>
      </c>
      <c r="BQ74" s="99">
        <v>3628.7999999999997</v>
      </c>
      <c r="BR74" s="99">
        <v>10.506162214541515</v>
      </c>
      <c r="BS74" s="99">
        <v>4236.0846049031388</v>
      </c>
      <c r="BT74" s="99">
        <v>1.8479763159361886</v>
      </c>
      <c r="BU74" s="99">
        <v>745.10405058547121</v>
      </c>
      <c r="BV74" s="99">
        <v>10.177555895784982</v>
      </c>
      <c r="BW74" s="99">
        <v>4103.5905371805047</v>
      </c>
      <c r="BX74" s="99">
        <v>14</v>
      </c>
      <c r="BY74" s="99">
        <v>5644.8</v>
      </c>
      <c r="BZ74" s="99">
        <v>9</v>
      </c>
      <c r="CA74" s="99">
        <v>3628.7999999999997</v>
      </c>
      <c r="CB74" s="99">
        <v>12.549644809472175</v>
      </c>
      <c r="CC74" s="99">
        <v>5060.0167871791809</v>
      </c>
      <c r="CD74" s="99">
        <v>0</v>
      </c>
      <c r="CE74" s="99">
        <v>0</v>
      </c>
      <c r="CF74" s="99">
        <v>9.6790986941603006</v>
      </c>
      <c r="CG74" s="99">
        <v>3902.6125934854331</v>
      </c>
      <c r="CH74" s="99">
        <v>14</v>
      </c>
      <c r="CI74" s="99">
        <v>5644.8</v>
      </c>
      <c r="CJ74" s="99">
        <v>16</v>
      </c>
      <c r="CK74" s="99">
        <v>6451.2</v>
      </c>
      <c r="CL74" s="99">
        <v>10.722403947303885</v>
      </c>
      <c r="CM74" s="99">
        <v>4323.2732715529264</v>
      </c>
      <c r="CN74" s="99">
        <v>9.3629630746956938</v>
      </c>
      <c r="CO74" s="99">
        <v>3775.1467117173038</v>
      </c>
      <c r="CP74" s="99">
        <v>0</v>
      </c>
      <c r="CQ74" s="99">
        <v>0</v>
      </c>
      <c r="CR74" s="99">
        <v>12</v>
      </c>
      <c r="CS74" s="99">
        <v>4838.3999999999996</v>
      </c>
      <c r="CT74" s="99">
        <v>8.1407144663670952</v>
      </c>
      <c r="CU74" s="99">
        <v>3282.3360728392126</v>
      </c>
    </row>
    <row r="75" spans="2:99">
      <c r="C75" s="98" t="s">
        <v>241</v>
      </c>
      <c r="D75" s="99">
        <v>1.0376624707386444</v>
      </c>
      <c r="E75" s="99">
        <v>667.42450117909596</v>
      </c>
      <c r="F75" s="99">
        <v>9.0240132630595884</v>
      </c>
      <c r="G75" s="99">
        <v>5804.2453307999267</v>
      </c>
      <c r="H75" s="99">
        <v>8.5755157764150026E-16</v>
      </c>
      <c r="I75" s="99">
        <v>5.5157717473901295E-13</v>
      </c>
      <c r="J75" s="99">
        <v>0</v>
      </c>
      <c r="K75" s="99">
        <v>0</v>
      </c>
      <c r="L75" s="99">
        <v>11</v>
      </c>
      <c r="M75" s="99">
        <v>7075.1999999999989</v>
      </c>
      <c r="N75" s="99">
        <v>11</v>
      </c>
      <c r="O75" s="99">
        <v>7075.1999999999989</v>
      </c>
      <c r="P75" s="99">
        <v>12</v>
      </c>
      <c r="Q75" s="99">
        <v>7718.4</v>
      </c>
      <c r="R75" s="99">
        <v>8</v>
      </c>
      <c r="S75" s="99">
        <v>5145.5999999999995</v>
      </c>
      <c r="T75" s="99">
        <v>17</v>
      </c>
      <c r="U75" s="99">
        <v>10934.4</v>
      </c>
      <c r="V75" s="99">
        <v>15</v>
      </c>
      <c r="W75" s="99">
        <v>9647.9999999999982</v>
      </c>
      <c r="X75" s="99">
        <v>11.257017455863986</v>
      </c>
      <c r="Y75" s="99">
        <v>7240.5136276117146</v>
      </c>
      <c r="Z75" s="99">
        <v>9.4077619410817963</v>
      </c>
      <c r="AA75" s="99">
        <v>6051.0724805038108</v>
      </c>
      <c r="AB75" s="99">
        <v>0</v>
      </c>
      <c r="AC75" s="99">
        <v>0</v>
      </c>
      <c r="AD75" s="99">
        <v>15</v>
      </c>
      <c r="AE75" s="99">
        <v>9647.9999999999982</v>
      </c>
      <c r="AF75" s="99">
        <v>14.791966619974696</v>
      </c>
      <c r="AG75" s="99">
        <v>9514.1929299677231</v>
      </c>
      <c r="AH75" s="99">
        <v>8.6815494157332544</v>
      </c>
      <c r="AI75" s="99">
        <v>5583.9725841996287</v>
      </c>
      <c r="AJ75" s="99">
        <v>10.127171955706839</v>
      </c>
      <c r="AK75" s="99">
        <v>6513.7970019106378</v>
      </c>
      <c r="AL75" s="99">
        <v>10.178006601352308</v>
      </c>
      <c r="AM75" s="99">
        <v>6546.493845989804</v>
      </c>
      <c r="AN75" s="99">
        <v>10.752243285089978</v>
      </c>
      <c r="AO75" s="99">
        <v>6915.8428809698735</v>
      </c>
      <c r="AP75" s="99">
        <v>9.8953908747429384</v>
      </c>
      <c r="AQ75" s="99">
        <v>6364.715410634657</v>
      </c>
      <c r="AR75" s="99">
        <v>0</v>
      </c>
      <c r="AS75" s="99">
        <v>0</v>
      </c>
      <c r="AT75" s="99">
        <v>9</v>
      </c>
      <c r="AU75" s="99">
        <v>5788.7999999999993</v>
      </c>
      <c r="AV75" s="99">
        <v>10.773357862343683</v>
      </c>
      <c r="AW75" s="99">
        <v>6929.4237770594564</v>
      </c>
      <c r="AX75" s="99">
        <v>12</v>
      </c>
      <c r="AY75" s="99">
        <v>7718.4</v>
      </c>
      <c r="AZ75" s="99">
        <v>7.0433848429174795</v>
      </c>
      <c r="BA75" s="99">
        <v>4530.3051309645225</v>
      </c>
      <c r="BB75" s="99">
        <v>13</v>
      </c>
      <c r="BC75" s="99">
        <v>8361.5999999999985</v>
      </c>
      <c r="BD75" s="99">
        <v>15.796280926018243</v>
      </c>
      <c r="BE75" s="99">
        <v>10160.167891614932</v>
      </c>
      <c r="BF75" s="99">
        <v>9.3667066623295856</v>
      </c>
      <c r="BG75" s="99">
        <v>6024.6657252103887</v>
      </c>
      <c r="BH75" s="99">
        <v>9.144202519393021</v>
      </c>
      <c r="BI75" s="99">
        <v>5881.55106047359</v>
      </c>
      <c r="BJ75" s="99">
        <v>7.9927733564475432</v>
      </c>
      <c r="BK75" s="99">
        <v>5140.9518228670595</v>
      </c>
      <c r="BL75" s="99">
        <v>10.887077450951757</v>
      </c>
      <c r="BM75" s="99">
        <v>7002.5682164521695</v>
      </c>
      <c r="BN75" s="99">
        <v>8.0407125641470643</v>
      </c>
      <c r="BO75" s="99">
        <v>5171.7863212593911</v>
      </c>
      <c r="BP75" s="99">
        <v>9</v>
      </c>
      <c r="BQ75" s="99">
        <v>5788.7999999999993</v>
      </c>
      <c r="BR75" s="99">
        <v>10.506162214541515</v>
      </c>
      <c r="BS75" s="99">
        <v>6757.5635363931015</v>
      </c>
      <c r="BT75" s="99">
        <v>1.7324777961901767</v>
      </c>
      <c r="BU75" s="99">
        <v>1114.3297185095216</v>
      </c>
      <c r="BV75" s="99">
        <v>10.177555895784982</v>
      </c>
      <c r="BW75" s="99">
        <v>6546.2039521688994</v>
      </c>
      <c r="BX75" s="99">
        <v>16</v>
      </c>
      <c r="BY75" s="99">
        <v>10291.199999999999</v>
      </c>
      <c r="BZ75" s="99">
        <v>8</v>
      </c>
      <c r="CA75" s="99">
        <v>5145.5999999999995</v>
      </c>
      <c r="CB75" s="99">
        <v>11.71300182217403</v>
      </c>
      <c r="CC75" s="99">
        <v>7533.8027720223354</v>
      </c>
      <c r="CD75" s="99">
        <v>0</v>
      </c>
      <c r="CE75" s="99">
        <v>0</v>
      </c>
      <c r="CF75" s="99">
        <v>10.423644747557248</v>
      </c>
      <c r="CG75" s="99">
        <v>6704.4883016288213</v>
      </c>
      <c r="CH75" s="99">
        <v>12</v>
      </c>
      <c r="CI75" s="99">
        <v>7718.4</v>
      </c>
      <c r="CJ75" s="99">
        <v>13</v>
      </c>
      <c r="CK75" s="99">
        <v>8361.5999999999985</v>
      </c>
      <c r="CL75" s="99">
        <v>10.722403947303885</v>
      </c>
      <c r="CM75" s="99">
        <v>6896.6502189058583</v>
      </c>
      <c r="CN75" s="99">
        <v>10.214141536031665</v>
      </c>
      <c r="CO75" s="99">
        <v>6569.7358359755663</v>
      </c>
      <c r="CP75" s="99">
        <v>0</v>
      </c>
      <c r="CQ75" s="99">
        <v>0</v>
      </c>
      <c r="CR75" s="99">
        <v>12</v>
      </c>
      <c r="CS75" s="99">
        <v>7718.4</v>
      </c>
      <c r="CT75" s="99">
        <v>7.2361906367707514</v>
      </c>
      <c r="CU75" s="99">
        <v>4654.3178175709472</v>
      </c>
    </row>
    <row r="76" spans="2:99">
      <c r="C76" s="98" t="s">
        <v>242</v>
      </c>
      <c r="D76" s="99">
        <v>1.0376624707386444</v>
      </c>
      <c r="E76" s="99">
        <v>808.13153221125617</v>
      </c>
      <c r="F76" s="99">
        <v>9.0240132630595884</v>
      </c>
      <c r="G76" s="99">
        <v>7027.9015292708073</v>
      </c>
      <c r="H76" s="99">
        <v>8.5755157764150026E-16</v>
      </c>
      <c r="I76" s="99">
        <v>6.6786116866720036E-13</v>
      </c>
      <c r="J76" s="99">
        <v>0</v>
      </c>
      <c r="K76" s="99">
        <v>0</v>
      </c>
      <c r="L76" s="99">
        <v>11</v>
      </c>
      <c r="M76" s="99">
        <v>8566.7999999999993</v>
      </c>
      <c r="N76" s="99">
        <v>11</v>
      </c>
      <c r="O76" s="99">
        <v>8566.7999999999993</v>
      </c>
      <c r="P76" s="99">
        <v>12</v>
      </c>
      <c r="Q76" s="99">
        <v>9345.5999999999985</v>
      </c>
      <c r="R76" s="99">
        <v>9</v>
      </c>
      <c r="S76" s="99">
        <v>7009.2</v>
      </c>
      <c r="T76" s="99">
        <v>15</v>
      </c>
      <c r="U76" s="99">
        <v>11682</v>
      </c>
      <c r="V76" s="99">
        <v>14</v>
      </c>
      <c r="W76" s="99">
        <v>10903.199999999999</v>
      </c>
      <c r="X76" s="99">
        <v>12.061090131282842</v>
      </c>
      <c r="Y76" s="99">
        <v>9393.1769942430765</v>
      </c>
      <c r="Z76" s="99">
        <v>9.4077619410817963</v>
      </c>
      <c r="AA76" s="99">
        <v>7326.7649997145027</v>
      </c>
      <c r="AB76" s="99">
        <v>0</v>
      </c>
      <c r="AC76" s="99">
        <v>0</v>
      </c>
      <c r="AD76" s="99">
        <v>15</v>
      </c>
      <c r="AE76" s="99">
        <v>11682</v>
      </c>
      <c r="AF76" s="99">
        <v>12.942970792477858</v>
      </c>
      <c r="AG76" s="99">
        <v>10079.985653181755</v>
      </c>
      <c r="AH76" s="99">
        <v>9.4707811807999143</v>
      </c>
      <c r="AI76" s="99">
        <v>7375.8443836069728</v>
      </c>
      <c r="AJ76" s="99">
        <v>8.439309963089034</v>
      </c>
      <c r="AK76" s="99">
        <v>6572.5345992537395</v>
      </c>
      <c r="AL76" s="99">
        <v>10.178006601352308</v>
      </c>
      <c r="AM76" s="99">
        <v>7926.6315411331771</v>
      </c>
      <c r="AN76" s="99">
        <v>9.7747666228090697</v>
      </c>
      <c r="AO76" s="99">
        <v>7612.5882458437027</v>
      </c>
      <c r="AP76" s="99">
        <v>8.2461590622857823</v>
      </c>
      <c r="AQ76" s="99">
        <v>6422.1086777081673</v>
      </c>
      <c r="AR76" s="99">
        <v>0</v>
      </c>
      <c r="AS76" s="99">
        <v>0</v>
      </c>
      <c r="AT76" s="99">
        <v>9</v>
      </c>
      <c r="AU76" s="99">
        <v>7009.2</v>
      </c>
      <c r="AV76" s="99">
        <v>10.773357862343683</v>
      </c>
      <c r="AW76" s="99">
        <v>8390.2911031932599</v>
      </c>
      <c r="AX76" s="99">
        <v>11</v>
      </c>
      <c r="AY76" s="99">
        <v>8566.7999999999993</v>
      </c>
      <c r="AZ76" s="99">
        <v>7.5851836769880547</v>
      </c>
      <c r="BA76" s="99">
        <v>5907.3410476382969</v>
      </c>
      <c r="BB76" s="99">
        <v>14</v>
      </c>
      <c r="BC76" s="99">
        <v>10903.199999999999</v>
      </c>
      <c r="BD76" s="99">
        <v>17.770816041770523</v>
      </c>
      <c r="BE76" s="99">
        <v>13839.911533330882</v>
      </c>
      <c r="BF76" s="99">
        <v>10.303377328562545</v>
      </c>
      <c r="BG76" s="99">
        <v>8024.27026348451</v>
      </c>
      <c r="BH76" s="99">
        <v>10.450517165020594</v>
      </c>
      <c r="BI76" s="99">
        <v>8138.8627681180378</v>
      </c>
      <c r="BJ76" s="99">
        <v>8.5636857390509391</v>
      </c>
      <c r="BK76" s="99">
        <v>6669.3984535728714</v>
      </c>
      <c r="BL76" s="99">
        <v>10.887077450951757</v>
      </c>
      <c r="BM76" s="99">
        <v>8478.8559188012277</v>
      </c>
      <c r="BN76" s="99">
        <v>8.0407125641470643</v>
      </c>
      <c r="BO76" s="99">
        <v>6262.1069449577335</v>
      </c>
      <c r="BP76" s="99">
        <v>10</v>
      </c>
      <c r="BQ76" s="99">
        <v>7788</v>
      </c>
      <c r="BR76" s="99">
        <v>9.8495270761326719</v>
      </c>
      <c r="BS76" s="99">
        <v>7670.8116868921243</v>
      </c>
      <c r="BT76" s="99">
        <v>1.6169792764441651</v>
      </c>
      <c r="BU76" s="99">
        <v>1259.3034604947156</v>
      </c>
      <c r="BV76" s="99">
        <v>9.5414586522984219</v>
      </c>
      <c r="BW76" s="99">
        <v>7430.8879984100104</v>
      </c>
      <c r="BX76" s="99">
        <v>15</v>
      </c>
      <c r="BY76" s="99">
        <v>11682</v>
      </c>
      <c r="BZ76" s="99">
        <v>9</v>
      </c>
      <c r="CA76" s="99">
        <v>7009.2</v>
      </c>
      <c r="CB76" s="99">
        <v>10.876358834875886</v>
      </c>
      <c r="CC76" s="99">
        <v>8470.5082606013384</v>
      </c>
      <c r="CD76" s="99">
        <v>0</v>
      </c>
      <c r="CE76" s="99">
        <v>0</v>
      </c>
      <c r="CF76" s="99">
        <v>10.423644747557248</v>
      </c>
      <c r="CG76" s="99">
        <v>8117.9345293975839</v>
      </c>
      <c r="CH76" s="99">
        <v>13</v>
      </c>
      <c r="CI76" s="99">
        <v>10124.4</v>
      </c>
      <c r="CJ76" s="99">
        <v>15</v>
      </c>
      <c r="CK76" s="99">
        <v>11682</v>
      </c>
      <c r="CL76" s="99">
        <v>12.254175939775868</v>
      </c>
      <c r="CM76" s="99">
        <v>9543.5522218974456</v>
      </c>
      <c r="CN76" s="99">
        <v>10.214141536031665</v>
      </c>
      <c r="CO76" s="99">
        <v>7954.7734282614601</v>
      </c>
      <c r="CP76" s="99">
        <v>0</v>
      </c>
      <c r="CQ76" s="99">
        <v>0</v>
      </c>
      <c r="CR76" s="99">
        <v>13</v>
      </c>
      <c r="CS76" s="99">
        <v>10124.4</v>
      </c>
      <c r="CT76" s="99">
        <v>6.783928721972579</v>
      </c>
      <c r="CU76" s="99">
        <v>5283.3236886722443</v>
      </c>
    </row>
    <row r="77" spans="2:99">
      <c r="C77" s="98" t="s">
        <v>243</v>
      </c>
      <c r="D77" s="99">
        <v>1.0376624707386444</v>
      </c>
      <c r="E77" s="99">
        <v>288.88523185363857</v>
      </c>
      <c r="F77" s="99">
        <v>9.0240132630595884</v>
      </c>
      <c r="G77" s="99">
        <v>2512.2852924357894</v>
      </c>
      <c r="H77" s="99">
        <v>7.9629789352425022E-16</v>
      </c>
      <c r="I77" s="99">
        <v>2.2168933355715125E-13</v>
      </c>
      <c r="J77" s="99">
        <v>0</v>
      </c>
      <c r="K77" s="99">
        <v>0</v>
      </c>
      <c r="L77" s="99">
        <v>11</v>
      </c>
      <c r="M77" s="99">
        <v>3062.3999999999996</v>
      </c>
      <c r="N77" s="99">
        <v>13</v>
      </c>
      <c r="O77" s="99">
        <v>3619.2</v>
      </c>
      <c r="P77" s="99">
        <v>12</v>
      </c>
      <c r="Q77" s="99">
        <v>3340.7999999999997</v>
      </c>
      <c r="R77" s="99">
        <v>8</v>
      </c>
      <c r="S77" s="99">
        <v>2227.1999999999998</v>
      </c>
      <c r="T77" s="99">
        <v>15</v>
      </c>
      <c r="U77" s="99">
        <v>4176</v>
      </c>
      <c r="V77" s="99">
        <v>14</v>
      </c>
      <c r="W77" s="99">
        <v>3897.5999999999995</v>
      </c>
      <c r="X77" s="99">
        <v>12.061090131282842</v>
      </c>
      <c r="Y77" s="99">
        <v>3357.8074925491433</v>
      </c>
      <c r="Z77" s="99">
        <v>9.4077619410817963</v>
      </c>
      <c r="AA77" s="99">
        <v>2619.1209243971721</v>
      </c>
      <c r="AB77" s="99">
        <v>0</v>
      </c>
      <c r="AC77" s="99">
        <v>0</v>
      </c>
      <c r="AD77" s="99">
        <v>18</v>
      </c>
      <c r="AE77" s="99">
        <v>5011.2</v>
      </c>
      <c r="AF77" s="99">
        <v>14.791966619974696</v>
      </c>
      <c r="AG77" s="99">
        <v>4118.0835070009553</v>
      </c>
      <c r="AH77" s="99">
        <v>10.260012945866574</v>
      </c>
      <c r="AI77" s="99">
        <v>2856.3876041292542</v>
      </c>
      <c r="AJ77" s="99">
        <v>9.2832409593979364</v>
      </c>
      <c r="AK77" s="99">
        <v>2584.4542830963851</v>
      </c>
      <c r="AL77" s="99">
        <v>10.178006601352308</v>
      </c>
      <c r="AM77" s="99">
        <v>2833.5570378164825</v>
      </c>
      <c r="AN77" s="99">
        <v>9.7747666228090697</v>
      </c>
      <c r="AO77" s="99">
        <v>2721.295027790045</v>
      </c>
      <c r="AP77" s="99">
        <v>9.8953908747429384</v>
      </c>
      <c r="AQ77" s="99">
        <v>2754.8768195284338</v>
      </c>
      <c r="AR77" s="99">
        <v>0</v>
      </c>
      <c r="AS77" s="99">
        <v>0</v>
      </c>
      <c r="AT77" s="99">
        <v>9</v>
      </c>
      <c r="AU77" s="99">
        <v>2505.6</v>
      </c>
      <c r="AV77" s="99">
        <v>10.773357862343683</v>
      </c>
      <c r="AW77" s="99">
        <v>2999.3028288764813</v>
      </c>
      <c r="AX77" s="99">
        <v>14</v>
      </c>
      <c r="AY77" s="99">
        <v>3897.5999999999995</v>
      </c>
      <c r="AZ77" s="99">
        <v>7.5851836769880547</v>
      </c>
      <c r="BA77" s="99">
        <v>2111.7151356734744</v>
      </c>
      <c r="BB77" s="99">
        <v>14</v>
      </c>
      <c r="BC77" s="99">
        <v>3897.5999999999995</v>
      </c>
      <c r="BD77" s="99">
        <v>16.783548483894382</v>
      </c>
      <c r="BE77" s="99">
        <v>4672.5398979161955</v>
      </c>
      <c r="BF77" s="99">
        <v>10.303377328562545</v>
      </c>
      <c r="BG77" s="99">
        <v>2868.4602482718124</v>
      </c>
      <c r="BH77" s="99">
        <v>10.450517165020594</v>
      </c>
      <c r="BI77" s="99">
        <v>2909.4239787417332</v>
      </c>
      <c r="BJ77" s="99">
        <v>7.4218609738441472</v>
      </c>
      <c r="BK77" s="99">
        <v>2066.2460951182106</v>
      </c>
      <c r="BL77" s="99">
        <v>11.794333905197737</v>
      </c>
      <c r="BM77" s="99">
        <v>3283.5425592070496</v>
      </c>
      <c r="BN77" s="99">
        <v>8.5767600684235354</v>
      </c>
      <c r="BO77" s="99">
        <v>2387.7700030491119</v>
      </c>
      <c r="BP77" s="99">
        <v>10</v>
      </c>
      <c r="BQ77" s="99">
        <v>2784</v>
      </c>
      <c r="BR77" s="99">
        <v>11.16279735295036</v>
      </c>
      <c r="BS77" s="99">
        <v>3107.7227830613801</v>
      </c>
      <c r="BT77" s="99">
        <v>1.9634748356822003</v>
      </c>
      <c r="BU77" s="99">
        <v>546.63139425392455</v>
      </c>
      <c r="BV77" s="99">
        <v>11.449750382758106</v>
      </c>
      <c r="BW77" s="99">
        <v>3187.6105065598563</v>
      </c>
      <c r="BX77" s="99">
        <v>17</v>
      </c>
      <c r="BY77" s="99">
        <v>4732.7999999999993</v>
      </c>
      <c r="BZ77" s="99">
        <v>9</v>
      </c>
      <c r="CA77" s="99">
        <v>2505.6</v>
      </c>
      <c r="CB77" s="99">
        <v>12.549644809472175</v>
      </c>
      <c r="CC77" s="99">
        <v>3493.8211149570534</v>
      </c>
      <c r="CD77" s="99">
        <v>0</v>
      </c>
      <c r="CE77" s="99">
        <v>0</v>
      </c>
      <c r="CF77" s="99">
        <v>8.9345526407633553</v>
      </c>
      <c r="CG77" s="99">
        <v>2487.379455188518</v>
      </c>
      <c r="CH77" s="99">
        <v>15</v>
      </c>
      <c r="CI77" s="99">
        <v>4176</v>
      </c>
      <c r="CJ77" s="99">
        <v>16</v>
      </c>
      <c r="CK77" s="99">
        <v>4454.3999999999996</v>
      </c>
      <c r="CL77" s="99">
        <v>13.020061936011858</v>
      </c>
      <c r="CM77" s="99">
        <v>3624.7852429857012</v>
      </c>
      <c r="CN77" s="99">
        <v>9.3629630746956938</v>
      </c>
      <c r="CO77" s="99">
        <v>2606.6489199952807</v>
      </c>
      <c r="CP77" s="99">
        <v>0</v>
      </c>
      <c r="CQ77" s="99">
        <v>0</v>
      </c>
      <c r="CR77" s="99">
        <v>12</v>
      </c>
      <c r="CS77" s="99">
        <v>3340.7999999999997</v>
      </c>
      <c r="CT77" s="99">
        <v>7.6884525515689228</v>
      </c>
      <c r="CU77" s="99">
        <v>2140.4651903567878</v>
      </c>
    </row>
    <row r="78" spans="2:99">
      <c r="C78" s="98" t="s">
        <v>244</v>
      </c>
      <c r="D78" s="99">
        <v>1.0376624707386444</v>
      </c>
      <c r="E78" s="99">
        <v>572.78968384773168</v>
      </c>
      <c r="F78" s="99">
        <v>10.313158014925243</v>
      </c>
      <c r="G78" s="99">
        <v>5692.8632242387339</v>
      </c>
      <c r="H78" s="99">
        <v>8.5755157764150026E-16</v>
      </c>
      <c r="I78" s="99">
        <v>4.7336847085810812E-13</v>
      </c>
      <c r="J78" s="99">
        <v>0</v>
      </c>
      <c r="K78" s="99">
        <v>0</v>
      </c>
      <c r="L78" s="99">
        <v>12</v>
      </c>
      <c r="M78" s="99">
        <v>6624</v>
      </c>
      <c r="N78" s="99">
        <v>12</v>
      </c>
      <c r="O78" s="99">
        <v>6624</v>
      </c>
      <c r="P78" s="99">
        <v>11</v>
      </c>
      <c r="Q78" s="99">
        <v>6072</v>
      </c>
      <c r="R78" s="99">
        <v>8</v>
      </c>
      <c r="S78" s="99">
        <v>4416</v>
      </c>
      <c r="T78" s="99">
        <v>17</v>
      </c>
      <c r="U78" s="99">
        <v>9384</v>
      </c>
      <c r="V78" s="99">
        <v>13</v>
      </c>
      <c r="W78" s="99">
        <v>7176</v>
      </c>
      <c r="X78" s="99">
        <v>12.865162806701697</v>
      </c>
      <c r="Y78" s="99">
        <v>7101.5698692993365</v>
      </c>
      <c r="Z78" s="99">
        <v>10.079744936873354</v>
      </c>
      <c r="AA78" s="99">
        <v>5564.0192051540917</v>
      </c>
      <c r="AB78" s="99">
        <v>0</v>
      </c>
      <c r="AC78" s="99">
        <v>0</v>
      </c>
      <c r="AD78" s="99">
        <v>15</v>
      </c>
      <c r="AE78" s="99">
        <v>8280</v>
      </c>
      <c r="AF78" s="99">
        <v>14.791966619974696</v>
      </c>
      <c r="AG78" s="99">
        <v>8165.1655742260318</v>
      </c>
      <c r="AH78" s="99">
        <v>8.6815494157332544</v>
      </c>
      <c r="AI78" s="99">
        <v>4792.2152774847564</v>
      </c>
      <c r="AJ78" s="99">
        <v>9.2832409593979364</v>
      </c>
      <c r="AK78" s="99">
        <v>5124.3490095876605</v>
      </c>
      <c r="AL78" s="99">
        <v>8.6121594319134918</v>
      </c>
      <c r="AM78" s="99">
        <v>4753.9120064162471</v>
      </c>
      <c r="AN78" s="99">
        <v>9.7747666228090697</v>
      </c>
      <c r="AO78" s="99">
        <v>5395.6711757906069</v>
      </c>
      <c r="AP78" s="99">
        <v>9.8953908747429384</v>
      </c>
      <c r="AQ78" s="99">
        <v>5462.2557628581017</v>
      </c>
      <c r="AR78" s="99">
        <v>0</v>
      </c>
      <c r="AS78" s="99">
        <v>0</v>
      </c>
      <c r="AT78" s="99">
        <v>8</v>
      </c>
      <c r="AU78" s="99">
        <v>4416</v>
      </c>
      <c r="AV78" s="99">
        <v>10.773357862343683</v>
      </c>
      <c r="AW78" s="99">
        <v>5946.8935400137134</v>
      </c>
      <c r="AX78" s="99">
        <v>12</v>
      </c>
      <c r="AY78" s="99">
        <v>6624</v>
      </c>
      <c r="AZ78" s="99">
        <v>7.0433848429174795</v>
      </c>
      <c r="BA78" s="99">
        <v>3887.9484332904485</v>
      </c>
      <c r="BB78" s="99">
        <v>12</v>
      </c>
      <c r="BC78" s="99">
        <v>6624</v>
      </c>
      <c r="BD78" s="99">
        <v>16.783548483894382</v>
      </c>
      <c r="BE78" s="99">
        <v>9264.5187631096996</v>
      </c>
      <c r="BF78" s="99">
        <v>10.303377328562545</v>
      </c>
      <c r="BG78" s="99">
        <v>5687.4642853665255</v>
      </c>
      <c r="BH78" s="99">
        <v>10.450517165020594</v>
      </c>
      <c r="BI78" s="99">
        <v>5768.6854750913681</v>
      </c>
      <c r="BJ78" s="99">
        <v>8.5636857390509391</v>
      </c>
      <c r="BK78" s="99">
        <v>4727.1545279561187</v>
      </c>
      <c r="BL78" s="99">
        <v>11.794333905197737</v>
      </c>
      <c r="BM78" s="99">
        <v>6510.4723156691507</v>
      </c>
      <c r="BN78" s="99">
        <v>8.0407125641470643</v>
      </c>
      <c r="BO78" s="99">
        <v>4438.4733354091795</v>
      </c>
      <c r="BP78" s="99">
        <v>9</v>
      </c>
      <c r="BQ78" s="99">
        <v>4968</v>
      </c>
      <c r="BR78" s="99">
        <v>9.8495270761326719</v>
      </c>
      <c r="BS78" s="99">
        <v>5436.9389460252351</v>
      </c>
      <c r="BT78" s="99">
        <v>1.7324777961901767</v>
      </c>
      <c r="BU78" s="99">
        <v>956.32774349697752</v>
      </c>
      <c r="BV78" s="99">
        <v>9.5414586522984219</v>
      </c>
      <c r="BW78" s="99">
        <v>5266.8851760687285</v>
      </c>
      <c r="BX78" s="99">
        <v>14</v>
      </c>
      <c r="BY78" s="99">
        <v>7728</v>
      </c>
      <c r="BZ78" s="99">
        <v>9</v>
      </c>
      <c r="CA78" s="99">
        <v>4968</v>
      </c>
      <c r="CB78" s="99">
        <v>10.876358834875886</v>
      </c>
      <c r="CC78" s="99">
        <v>6003.7500768514892</v>
      </c>
      <c r="CD78" s="99">
        <v>0</v>
      </c>
      <c r="CE78" s="99">
        <v>0</v>
      </c>
      <c r="CF78" s="99">
        <v>10.423644747557248</v>
      </c>
      <c r="CG78" s="99">
        <v>5753.8519006516008</v>
      </c>
      <c r="CH78" s="99">
        <v>12</v>
      </c>
      <c r="CI78" s="99">
        <v>6624</v>
      </c>
      <c r="CJ78" s="99">
        <v>15</v>
      </c>
      <c r="CK78" s="99">
        <v>8280</v>
      </c>
      <c r="CL78" s="99">
        <v>12.254175939775868</v>
      </c>
      <c r="CM78" s="99">
        <v>6764.3051187562787</v>
      </c>
      <c r="CN78" s="99">
        <v>9.3629630746956938</v>
      </c>
      <c r="CO78" s="99">
        <v>5168.3556172320232</v>
      </c>
      <c r="CP78" s="99">
        <v>0</v>
      </c>
      <c r="CQ78" s="99">
        <v>0</v>
      </c>
      <c r="CR78" s="99">
        <v>13</v>
      </c>
      <c r="CS78" s="99">
        <v>7176</v>
      </c>
      <c r="CT78" s="99">
        <v>8.1407144663670952</v>
      </c>
      <c r="CU78" s="99">
        <v>4493.6743854346369</v>
      </c>
    </row>
    <row r="79" spans="2:99">
      <c r="C79" s="98" t="s">
        <v>245</v>
      </c>
      <c r="D79" s="99">
        <v>0.92236664065657281</v>
      </c>
      <c r="E79" s="99">
        <v>698.41602030515685</v>
      </c>
      <c r="F79" s="99">
        <v>9.0240132630595884</v>
      </c>
      <c r="G79" s="99">
        <v>6832.9828427887196</v>
      </c>
      <c r="H79" s="99">
        <v>8.5755157764150026E-16</v>
      </c>
      <c r="I79" s="99">
        <v>6.4933805459014399E-13</v>
      </c>
      <c r="J79" s="99">
        <v>0</v>
      </c>
      <c r="K79" s="99">
        <v>0</v>
      </c>
      <c r="L79" s="99">
        <v>11</v>
      </c>
      <c r="M79" s="99">
        <v>8329.1999999999989</v>
      </c>
      <c r="N79" s="99">
        <v>11</v>
      </c>
      <c r="O79" s="99">
        <v>8329.1999999999989</v>
      </c>
      <c r="P79" s="99">
        <v>11</v>
      </c>
      <c r="Q79" s="99">
        <v>8329.1999999999989</v>
      </c>
      <c r="R79" s="99">
        <v>9</v>
      </c>
      <c r="S79" s="99">
        <v>6814.7999999999993</v>
      </c>
      <c r="T79" s="99">
        <v>17</v>
      </c>
      <c r="U79" s="99">
        <v>12872.4</v>
      </c>
      <c r="V79" s="99">
        <v>14</v>
      </c>
      <c r="W79" s="99">
        <v>10600.8</v>
      </c>
      <c r="X79" s="99">
        <v>11.257017455863986</v>
      </c>
      <c r="Y79" s="99">
        <v>8523.8136175802101</v>
      </c>
      <c r="Z79" s="99">
        <v>9.4077619410817963</v>
      </c>
      <c r="AA79" s="99">
        <v>7123.5573417871356</v>
      </c>
      <c r="AB79" s="99">
        <v>0</v>
      </c>
      <c r="AC79" s="99">
        <v>0</v>
      </c>
      <c r="AD79" s="99">
        <v>17</v>
      </c>
      <c r="AE79" s="99">
        <v>12872.4</v>
      </c>
      <c r="AF79" s="99">
        <v>14.791966619974696</v>
      </c>
      <c r="AG79" s="99">
        <v>11200.477124644838</v>
      </c>
      <c r="AH79" s="99">
        <v>10.260012945866574</v>
      </c>
      <c r="AI79" s="99">
        <v>7768.881802610169</v>
      </c>
      <c r="AJ79" s="99">
        <v>8.439309963089034</v>
      </c>
      <c r="AK79" s="99">
        <v>6390.2455040510158</v>
      </c>
      <c r="AL79" s="99">
        <v>10.178006601352308</v>
      </c>
      <c r="AM79" s="99">
        <v>7706.7865985439676</v>
      </c>
      <c r="AN79" s="99">
        <v>10.752243285089978</v>
      </c>
      <c r="AO79" s="99">
        <v>8141.5986154701304</v>
      </c>
      <c r="AP79" s="99">
        <v>9.0707749685143604</v>
      </c>
      <c r="AQ79" s="99">
        <v>6868.3908061590728</v>
      </c>
      <c r="AR79" s="99">
        <v>0</v>
      </c>
      <c r="AS79" s="99">
        <v>0</v>
      </c>
      <c r="AT79" s="99">
        <v>9</v>
      </c>
      <c r="AU79" s="99">
        <v>6814.7999999999993</v>
      </c>
      <c r="AV79" s="99">
        <v>10.773357862343683</v>
      </c>
      <c r="AW79" s="99">
        <v>8157.586573366636</v>
      </c>
      <c r="AX79" s="99">
        <v>11</v>
      </c>
      <c r="AY79" s="99">
        <v>8329.1999999999989</v>
      </c>
      <c r="AZ79" s="99">
        <v>7.0433848429174795</v>
      </c>
      <c r="BA79" s="99">
        <v>5333.2510030571148</v>
      </c>
      <c r="BB79" s="99">
        <v>14</v>
      </c>
      <c r="BC79" s="99">
        <v>10600.8</v>
      </c>
      <c r="BD79" s="99">
        <v>15.796280926018243</v>
      </c>
      <c r="BE79" s="99">
        <v>11960.943917181012</v>
      </c>
      <c r="BF79" s="99">
        <v>9.3667066623295856</v>
      </c>
      <c r="BG79" s="99">
        <v>7092.4702847159615</v>
      </c>
      <c r="BH79" s="99">
        <v>9.7973598422068076</v>
      </c>
      <c r="BI79" s="99">
        <v>7418.5608725189941</v>
      </c>
      <c r="BJ79" s="99">
        <v>7.9927733564475432</v>
      </c>
      <c r="BK79" s="99">
        <v>6052.1279855020794</v>
      </c>
      <c r="BL79" s="99">
        <v>10.887077450951757</v>
      </c>
      <c r="BM79" s="99">
        <v>8243.6950458606698</v>
      </c>
      <c r="BN79" s="99">
        <v>8.5767600684235354</v>
      </c>
      <c r="BO79" s="99">
        <v>6494.3227238103009</v>
      </c>
      <c r="BP79" s="99">
        <v>10</v>
      </c>
      <c r="BQ79" s="99">
        <v>7571.9999999999991</v>
      </c>
      <c r="BR79" s="99">
        <v>10.506162214541515</v>
      </c>
      <c r="BS79" s="99">
        <v>7955.2660288508341</v>
      </c>
      <c r="BT79" s="99">
        <v>1.6169792764441651</v>
      </c>
      <c r="BU79" s="99">
        <v>1224.3767081235217</v>
      </c>
      <c r="BV79" s="99">
        <v>11.449750382758106</v>
      </c>
      <c r="BW79" s="99">
        <v>8669.7509898244371</v>
      </c>
      <c r="BX79" s="99">
        <v>14</v>
      </c>
      <c r="BY79" s="99">
        <v>10600.8</v>
      </c>
      <c r="BZ79" s="99">
        <v>8</v>
      </c>
      <c r="CA79" s="99">
        <v>6057.5999999999995</v>
      </c>
      <c r="CB79" s="99">
        <v>11.71300182217403</v>
      </c>
      <c r="CC79" s="99">
        <v>8869.0849797501742</v>
      </c>
      <c r="CD79" s="99">
        <v>0</v>
      </c>
      <c r="CE79" s="99">
        <v>0</v>
      </c>
      <c r="CF79" s="99">
        <v>9.6790986941603006</v>
      </c>
      <c r="CG79" s="99">
        <v>7329.0135312181792</v>
      </c>
      <c r="CH79" s="99">
        <v>13</v>
      </c>
      <c r="CI79" s="99">
        <v>9843.5999999999985</v>
      </c>
      <c r="CJ79" s="99">
        <v>13</v>
      </c>
      <c r="CK79" s="99">
        <v>9843.5999999999985</v>
      </c>
      <c r="CL79" s="99">
        <v>10.722403947303885</v>
      </c>
      <c r="CM79" s="99">
        <v>8119.0042688985013</v>
      </c>
      <c r="CN79" s="99">
        <v>10.214141536031665</v>
      </c>
      <c r="CO79" s="99">
        <v>7734.1479710831763</v>
      </c>
      <c r="CP79" s="99">
        <v>0</v>
      </c>
      <c r="CQ79" s="99">
        <v>0</v>
      </c>
      <c r="CR79" s="99">
        <v>13</v>
      </c>
      <c r="CS79" s="99">
        <v>9843.5999999999985</v>
      </c>
      <c r="CT79" s="99">
        <v>6.783928721972579</v>
      </c>
      <c r="CU79" s="99">
        <v>5136.7908282776361</v>
      </c>
    </row>
    <row r="80" spans="2:99">
      <c r="C80" s="98" t="s">
        <v>246</v>
      </c>
      <c r="D80" s="99">
        <v>0.92236664065657281</v>
      </c>
      <c r="E80" s="99">
        <v>742.68961905667231</v>
      </c>
      <c r="F80" s="99">
        <v>10.313158014925243</v>
      </c>
      <c r="G80" s="99">
        <v>8304.1548336178057</v>
      </c>
      <c r="H80" s="99">
        <v>7.3504420940700018E-16</v>
      </c>
      <c r="I80" s="99">
        <v>5.9185759741451653E-13</v>
      </c>
      <c r="J80" s="99">
        <v>0</v>
      </c>
      <c r="K80" s="99">
        <v>0</v>
      </c>
      <c r="L80" s="99">
        <v>11</v>
      </c>
      <c r="M80" s="99">
        <v>8857.1999999999989</v>
      </c>
      <c r="N80" s="99">
        <v>12</v>
      </c>
      <c r="O80" s="99">
        <v>9662.4</v>
      </c>
      <c r="P80" s="99">
        <v>11</v>
      </c>
      <c r="Q80" s="99">
        <v>8857.1999999999989</v>
      </c>
      <c r="R80" s="99">
        <v>9</v>
      </c>
      <c r="S80" s="99">
        <v>7246.7999999999993</v>
      </c>
      <c r="T80" s="99">
        <v>14</v>
      </c>
      <c r="U80" s="99">
        <v>11272.8</v>
      </c>
      <c r="V80" s="99">
        <v>14</v>
      </c>
      <c r="W80" s="99">
        <v>11272.8</v>
      </c>
      <c r="X80" s="99">
        <v>10.452944780445129</v>
      </c>
      <c r="Y80" s="99">
        <v>8416.7111372144172</v>
      </c>
      <c r="Z80" s="99">
        <v>9.4077619410817963</v>
      </c>
      <c r="AA80" s="99">
        <v>7575.1299149590614</v>
      </c>
      <c r="AB80" s="99">
        <v>0</v>
      </c>
      <c r="AC80" s="99">
        <v>0</v>
      </c>
      <c r="AD80" s="99">
        <v>16</v>
      </c>
      <c r="AE80" s="99">
        <v>12883.199999999999</v>
      </c>
      <c r="AF80" s="99">
        <v>13.867468706226278</v>
      </c>
      <c r="AG80" s="99">
        <v>11166.085802253398</v>
      </c>
      <c r="AH80" s="99">
        <v>9.4707811807999143</v>
      </c>
      <c r="AI80" s="99">
        <v>7625.8730067800907</v>
      </c>
      <c r="AJ80" s="99">
        <v>8.439309963089034</v>
      </c>
      <c r="AK80" s="99">
        <v>6795.33238227929</v>
      </c>
      <c r="AL80" s="99">
        <v>9.3950830166328991</v>
      </c>
      <c r="AM80" s="99">
        <v>7564.9208449928101</v>
      </c>
      <c r="AN80" s="99">
        <v>9.7747666228090697</v>
      </c>
      <c r="AO80" s="99">
        <v>7870.6420846858618</v>
      </c>
      <c r="AP80" s="99">
        <v>8.2461590622857823</v>
      </c>
      <c r="AQ80" s="99">
        <v>6639.8072769525115</v>
      </c>
      <c r="AR80" s="99">
        <v>0</v>
      </c>
      <c r="AS80" s="99">
        <v>0</v>
      </c>
      <c r="AT80" s="99">
        <v>8</v>
      </c>
      <c r="AU80" s="99">
        <v>6441.5999999999995</v>
      </c>
      <c r="AV80" s="99">
        <v>10.773357862343683</v>
      </c>
      <c r="AW80" s="99">
        <v>8674.707750759133</v>
      </c>
      <c r="AX80" s="99">
        <v>13</v>
      </c>
      <c r="AY80" s="99">
        <v>10467.599999999999</v>
      </c>
      <c r="AZ80" s="99">
        <v>7.5851836769880547</v>
      </c>
      <c r="BA80" s="99">
        <v>6107.5898967107814</v>
      </c>
      <c r="BB80" s="99">
        <v>12</v>
      </c>
      <c r="BC80" s="99">
        <v>9662.4</v>
      </c>
      <c r="BD80" s="99">
        <v>14.809013368142104</v>
      </c>
      <c r="BE80" s="99">
        <v>11924.21756402802</v>
      </c>
      <c r="BF80" s="99">
        <v>9.3667066623295856</v>
      </c>
      <c r="BG80" s="99">
        <v>7542.0722045077819</v>
      </c>
      <c r="BH80" s="99">
        <v>9.144202519393021</v>
      </c>
      <c r="BI80" s="99">
        <v>7362.9118686152597</v>
      </c>
      <c r="BJ80" s="99">
        <v>7.4218609738441472</v>
      </c>
      <c r="BK80" s="99">
        <v>5976.0824561393065</v>
      </c>
      <c r="BL80" s="99">
        <v>11.794333905197737</v>
      </c>
      <c r="BM80" s="99">
        <v>9496.7976604652176</v>
      </c>
      <c r="BN80" s="99">
        <v>7.504665059870594</v>
      </c>
      <c r="BO80" s="99">
        <v>6042.7563062078016</v>
      </c>
      <c r="BP80" s="99">
        <v>9</v>
      </c>
      <c r="BQ80" s="99">
        <v>7246.7999999999993</v>
      </c>
      <c r="BR80" s="99">
        <v>10.506162214541515</v>
      </c>
      <c r="BS80" s="99">
        <v>8459.561815148827</v>
      </c>
      <c r="BT80" s="99">
        <v>1.6169792764441651</v>
      </c>
      <c r="BU80" s="99">
        <v>1301.9917133928416</v>
      </c>
      <c r="BV80" s="99">
        <v>9.5414586522984219</v>
      </c>
      <c r="BW80" s="99">
        <v>7682.7825068306884</v>
      </c>
      <c r="BX80" s="99">
        <v>15</v>
      </c>
      <c r="BY80" s="99">
        <v>12077.999999999998</v>
      </c>
      <c r="BZ80" s="99">
        <v>9</v>
      </c>
      <c r="CA80" s="99">
        <v>7246.7999999999993</v>
      </c>
      <c r="CB80" s="99">
        <v>11.71300182217403</v>
      </c>
      <c r="CC80" s="99">
        <v>9431.3090672145281</v>
      </c>
      <c r="CD80" s="99">
        <v>0</v>
      </c>
      <c r="CE80" s="99">
        <v>0</v>
      </c>
      <c r="CF80" s="99">
        <v>9.6790986941603006</v>
      </c>
      <c r="CG80" s="99">
        <v>7793.6102685378737</v>
      </c>
      <c r="CH80" s="99">
        <v>14</v>
      </c>
      <c r="CI80" s="99">
        <v>11272.8</v>
      </c>
      <c r="CJ80" s="99">
        <v>16</v>
      </c>
      <c r="CK80" s="99">
        <v>12883.199999999999</v>
      </c>
      <c r="CL80" s="99">
        <v>10.722403947303885</v>
      </c>
      <c r="CM80" s="99">
        <v>8633.6796583690866</v>
      </c>
      <c r="CN80" s="99">
        <v>10.214141536031665</v>
      </c>
      <c r="CO80" s="99">
        <v>8224.4267648126952</v>
      </c>
      <c r="CP80" s="99">
        <v>0</v>
      </c>
      <c r="CQ80" s="99">
        <v>0</v>
      </c>
      <c r="CR80" s="99">
        <v>12</v>
      </c>
      <c r="CS80" s="99">
        <v>9662.4</v>
      </c>
      <c r="CT80" s="99">
        <v>7.6884525515689228</v>
      </c>
      <c r="CU80" s="99">
        <v>6190.7419945232959</v>
      </c>
    </row>
    <row r="81" spans="2:99">
      <c r="C81" s="98" t="s">
        <v>247</v>
      </c>
      <c r="D81" s="99">
        <v>0.92236664065657281</v>
      </c>
      <c r="E81" s="99">
        <v>695.09550039879332</v>
      </c>
      <c r="F81" s="99">
        <v>9.0240132630595884</v>
      </c>
      <c r="G81" s="99">
        <v>6800.4963950417059</v>
      </c>
      <c r="H81" s="99">
        <v>7.9629789352425022E-16</v>
      </c>
      <c r="I81" s="99">
        <v>6.0009009255987499E-13</v>
      </c>
      <c r="J81" s="99">
        <v>0</v>
      </c>
      <c r="K81" s="99">
        <v>0</v>
      </c>
      <c r="L81" s="99">
        <v>12</v>
      </c>
      <c r="M81" s="99">
        <v>9043.2000000000007</v>
      </c>
      <c r="N81" s="99">
        <v>12</v>
      </c>
      <c r="O81" s="99">
        <v>9043.2000000000007</v>
      </c>
      <c r="P81" s="99">
        <v>12</v>
      </c>
      <c r="Q81" s="99">
        <v>9043.2000000000007</v>
      </c>
      <c r="R81" s="99">
        <v>10</v>
      </c>
      <c r="S81" s="99">
        <v>7536</v>
      </c>
      <c r="T81" s="99">
        <v>17</v>
      </c>
      <c r="U81" s="99">
        <v>12811.2</v>
      </c>
      <c r="V81" s="99">
        <v>14</v>
      </c>
      <c r="W81" s="99">
        <v>10550.4</v>
      </c>
      <c r="X81" s="99">
        <v>11.257017455863986</v>
      </c>
      <c r="Y81" s="99">
        <v>8483.2883547390993</v>
      </c>
      <c r="Z81" s="99">
        <v>9.4077619410817963</v>
      </c>
      <c r="AA81" s="99">
        <v>7089.6893987992416</v>
      </c>
      <c r="AB81" s="99">
        <v>0</v>
      </c>
      <c r="AC81" s="99">
        <v>0</v>
      </c>
      <c r="AD81" s="99">
        <v>16</v>
      </c>
      <c r="AE81" s="99">
        <v>12057.6</v>
      </c>
      <c r="AF81" s="99">
        <v>13.867468706226278</v>
      </c>
      <c r="AG81" s="99">
        <v>10450.524417012124</v>
      </c>
      <c r="AH81" s="99">
        <v>8.6815494157332544</v>
      </c>
      <c r="AI81" s="99">
        <v>6542.4156396965809</v>
      </c>
      <c r="AJ81" s="99">
        <v>10.127171955706839</v>
      </c>
      <c r="AK81" s="99">
        <v>7631.8367858206739</v>
      </c>
      <c r="AL81" s="99">
        <v>10.178006601352308</v>
      </c>
      <c r="AM81" s="99">
        <v>7670.1457747791001</v>
      </c>
      <c r="AN81" s="99">
        <v>10.752243285089978</v>
      </c>
      <c r="AO81" s="99">
        <v>8102.8905396438076</v>
      </c>
      <c r="AP81" s="99">
        <v>9.0707749685143604</v>
      </c>
      <c r="AQ81" s="99">
        <v>6835.7360162724226</v>
      </c>
      <c r="AR81" s="99">
        <v>0</v>
      </c>
      <c r="AS81" s="99">
        <v>0</v>
      </c>
      <c r="AT81" s="99">
        <v>9</v>
      </c>
      <c r="AU81" s="99">
        <v>6782.4000000000005</v>
      </c>
      <c r="AV81" s="99">
        <v>10.773357862343683</v>
      </c>
      <c r="AW81" s="99">
        <v>8118.8024850622005</v>
      </c>
      <c r="AX81" s="99">
        <v>11</v>
      </c>
      <c r="AY81" s="99">
        <v>8289.6</v>
      </c>
      <c r="AZ81" s="99">
        <v>7.5851836769880547</v>
      </c>
      <c r="BA81" s="99">
        <v>5716.194418978198</v>
      </c>
      <c r="BB81" s="99">
        <v>12</v>
      </c>
      <c r="BC81" s="99">
        <v>9043.2000000000007</v>
      </c>
      <c r="BD81" s="99">
        <v>14.809013368142104</v>
      </c>
      <c r="BE81" s="99">
        <v>11160.072474231889</v>
      </c>
      <c r="BF81" s="99">
        <v>9.3667066623295856</v>
      </c>
      <c r="BG81" s="99">
        <v>7058.7501407315758</v>
      </c>
      <c r="BH81" s="99">
        <v>9.7973598422068076</v>
      </c>
      <c r="BI81" s="99">
        <v>7383.2903770870507</v>
      </c>
      <c r="BJ81" s="99">
        <v>8.5636857390509391</v>
      </c>
      <c r="BK81" s="99">
        <v>6453.5935729487883</v>
      </c>
      <c r="BL81" s="99">
        <v>12.701590359443715</v>
      </c>
      <c r="BM81" s="99">
        <v>9571.9184948767834</v>
      </c>
      <c r="BN81" s="99">
        <v>8.5767600684235354</v>
      </c>
      <c r="BO81" s="99">
        <v>6463.4463875639767</v>
      </c>
      <c r="BP81" s="99">
        <v>9</v>
      </c>
      <c r="BQ81" s="99">
        <v>6782.4000000000005</v>
      </c>
      <c r="BR81" s="99">
        <v>10.506162214541515</v>
      </c>
      <c r="BS81" s="99">
        <v>7917.4438448784858</v>
      </c>
      <c r="BT81" s="99">
        <v>1.8479763159361886</v>
      </c>
      <c r="BU81" s="99">
        <v>1392.6349516895118</v>
      </c>
      <c r="BV81" s="99">
        <v>10.813653139271544</v>
      </c>
      <c r="BW81" s="99">
        <v>8149.1690057550359</v>
      </c>
      <c r="BX81" s="99">
        <v>15</v>
      </c>
      <c r="BY81" s="99">
        <v>11304</v>
      </c>
      <c r="BZ81" s="99">
        <v>9</v>
      </c>
      <c r="CA81" s="99">
        <v>6782.4000000000005</v>
      </c>
      <c r="CB81" s="99">
        <v>10.876358834875886</v>
      </c>
      <c r="CC81" s="99">
        <v>8196.4240179624667</v>
      </c>
      <c r="CD81" s="99">
        <v>0</v>
      </c>
      <c r="CE81" s="99">
        <v>0</v>
      </c>
      <c r="CF81" s="99">
        <v>10.423644747557248</v>
      </c>
      <c r="CG81" s="99">
        <v>7855.2586817591418</v>
      </c>
      <c r="CH81" s="99">
        <v>14</v>
      </c>
      <c r="CI81" s="99">
        <v>10550.4</v>
      </c>
      <c r="CJ81" s="99">
        <v>14</v>
      </c>
      <c r="CK81" s="99">
        <v>10550.4</v>
      </c>
      <c r="CL81" s="99">
        <v>12.254175939775868</v>
      </c>
      <c r="CM81" s="99">
        <v>9234.7469882150945</v>
      </c>
      <c r="CN81" s="99">
        <v>10.214141536031665</v>
      </c>
      <c r="CO81" s="99">
        <v>7697.3770615534631</v>
      </c>
      <c r="CP81" s="99">
        <v>0</v>
      </c>
      <c r="CQ81" s="99">
        <v>0</v>
      </c>
      <c r="CR81" s="99">
        <v>13</v>
      </c>
      <c r="CS81" s="99">
        <v>9796.8000000000011</v>
      </c>
      <c r="CT81" s="99">
        <v>7.2361906367707514</v>
      </c>
      <c r="CU81" s="99">
        <v>5453.1932638704384</v>
      </c>
    </row>
    <row r="82" spans="2:99">
      <c r="C82" s="98" t="s">
        <v>248</v>
      </c>
      <c r="D82" s="99">
        <v>1.0376624707386444</v>
      </c>
      <c r="E82" s="99">
        <v>527.96266511182216</v>
      </c>
      <c r="F82" s="99">
        <v>9.6685856389924147</v>
      </c>
      <c r="G82" s="99">
        <v>4919.3763731193394</v>
      </c>
      <c r="H82" s="99">
        <v>8.5755157764150026E-16</v>
      </c>
      <c r="I82" s="99">
        <v>4.3632224270399526E-13</v>
      </c>
      <c r="J82" s="99">
        <v>0</v>
      </c>
      <c r="K82" s="99">
        <v>0</v>
      </c>
      <c r="L82" s="99">
        <v>10</v>
      </c>
      <c r="M82" s="99">
        <v>5087.9999999999991</v>
      </c>
      <c r="N82" s="99">
        <v>11</v>
      </c>
      <c r="O82" s="99">
        <v>5596.7999999999993</v>
      </c>
      <c r="P82" s="99">
        <v>12</v>
      </c>
      <c r="Q82" s="99">
        <v>6105.5999999999985</v>
      </c>
      <c r="R82" s="99">
        <v>9</v>
      </c>
      <c r="S82" s="99">
        <v>4579.1999999999989</v>
      </c>
      <c r="T82" s="99">
        <v>15</v>
      </c>
      <c r="U82" s="99">
        <v>7631.9999999999982</v>
      </c>
      <c r="V82" s="99">
        <v>15</v>
      </c>
      <c r="W82" s="99">
        <v>7631.9999999999982</v>
      </c>
      <c r="X82" s="99">
        <v>12.865162806701697</v>
      </c>
      <c r="Y82" s="99">
        <v>6545.7948360498222</v>
      </c>
      <c r="Z82" s="99">
        <v>9.4077619410817963</v>
      </c>
      <c r="AA82" s="99">
        <v>4786.6692756224174</v>
      </c>
      <c r="AB82" s="99">
        <v>0</v>
      </c>
      <c r="AC82" s="99">
        <v>0</v>
      </c>
      <c r="AD82" s="99">
        <v>16</v>
      </c>
      <c r="AE82" s="99">
        <v>8140.7999999999984</v>
      </c>
      <c r="AF82" s="99">
        <v>13.867468706226278</v>
      </c>
      <c r="AG82" s="99">
        <v>7055.7680777279293</v>
      </c>
      <c r="AH82" s="99">
        <v>10.260012945866574</v>
      </c>
      <c r="AI82" s="99">
        <v>5220.2945868569122</v>
      </c>
      <c r="AJ82" s="99">
        <v>10.127171955706839</v>
      </c>
      <c r="AK82" s="99">
        <v>5152.7050910636381</v>
      </c>
      <c r="AL82" s="99">
        <v>9.3950830166328991</v>
      </c>
      <c r="AM82" s="99">
        <v>4780.218238862818</v>
      </c>
      <c r="AN82" s="99">
        <v>9.7747666228090697</v>
      </c>
      <c r="AO82" s="99">
        <v>4973.4012576852538</v>
      </c>
      <c r="AP82" s="99">
        <v>9.0707749685143604</v>
      </c>
      <c r="AQ82" s="99">
        <v>4615.2103039801059</v>
      </c>
      <c r="AR82" s="99">
        <v>0</v>
      </c>
      <c r="AS82" s="99">
        <v>0</v>
      </c>
      <c r="AT82" s="99">
        <v>9</v>
      </c>
      <c r="AU82" s="99">
        <v>4579.1999999999989</v>
      </c>
      <c r="AV82" s="99">
        <v>10.773357862343683</v>
      </c>
      <c r="AW82" s="99">
        <v>5481.4844803604647</v>
      </c>
      <c r="AX82" s="99">
        <v>11</v>
      </c>
      <c r="AY82" s="99">
        <v>5596.7999999999993</v>
      </c>
      <c r="AZ82" s="99">
        <v>7.0433848429174795</v>
      </c>
      <c r="BA82" s="99">
        <v>3583.6742080764129</v>
      </c>
      <c r="BB82" s="99">
        <v>13</v>
      </c>
      <c r="BC82" s="99">
        <v>6614.3999999999987</v>
      </c>
      <c r="BD82" s="99">
        <v>15.796280926018243</v>
      </c>
      <c r="BE82" s="99">
        <v>8037.1477351580806</v>
      </c>
      <c r="BF82" s="99">
        <v>9.3667066623295856</v>
      </c>
      <c r="BG82" s="99">
        <v>4765.7803497932919</v>
      </c>
      <c r="BH82" s="99">
        <v>10.450517165020594</v>
      </c>
      <c r="BI82" s="99">
        <v>5317.2231335624774</v>
      </c>
      <c r="BJ82" s="99">
        <v>7.4218609738441472</v>
      </c>
      <c r="BK82" s="99">
        <v>3776.2428634919015</v>
      </c>
      <c r="BL82" s="99">
        <v>12.701590359443715</v>
      </c>
      <c r="BM82" s="99">
        <v>6462.5691748849613</v>
      </c>
      <c r="BN82" s="99">
        <v>8.5767600684235354</v>
      </c>
      <c r="BO82" s="99">
        <v>4363.8555228138939</v>
      </c>
      <c r="BP82" s="99">
        <v>9</v>
      </c>
      <c r="BQ82" s="99">
        <v>4579.1999999999989</v>
      </c>
      <c r="BR82" s="99">
        <v>10.506162214541515</v>
      </c>
      <c r="BS82" s="99">
        <v>5345.5353347587215</v>
      </c>
      <c r="BT82" s="99">
        <v>1.7324777961901767</v>
      </c>
      <c r="BU82" s="99">
        <v>881.48470270156179</v>
      </c>
      <c r="BV82" s="99">
        <v>10.177555895784982</v>
      </c>
      <c r="BW82" s="99">
        <v>5178.3404397753975</v>
      </c>
      <c r="BX82" s="99">
        <v>15</v>
      </c>
      <c r="BY82" s="99">
        <v>7631.9999999999982</v>
      </c>
      <c r="BZ82" s="99">
        <v>8</v>
      </c>
      <c r="CA82" s="99">
        <v>4070.3999999999992</v>
      </c>
      <c r="CB82" s="99">
        <v>12.549644809472175</v>
      </c>
      <c r="CC82" s="99">
        <v>6385.2592790594417</v>
      </c>
      <c r="CD82" s="99">
        <v>0</v>
      </c>
      <c r="CE82" s="99">
        <v>0</v>
      </c>
      <c r="CF82" s="99">
        <v>9.6790986941603006</v>
      </c>
      <c r="CG82" s="99">
        <v>4924.7254155887604</v>
      </c>
      <c r="CH82" s="99">
        <v>15</v>
      </c>
      <c r="CI82" s="99">
        <v>7631.9999999999982</v>
      </c>
      <c r="CJ82" s="99">
        <v>15</v>
      </c>
      <c r="CK82" s="99">
        <v>7631.9999999999982</v>
      </c>
      <c r="CL82" s="99">
        <v>10.722403947303885</v>
      </c>
      <c r="CM82" s="99">
        <v>5455.5591283882159</v>
      </c>
      <c r="CN82" s="99">
        <v>10.214141536031665</v>
      </c>
      <c r="CO82" s="99">
        <v>5196.9552135329104</v>
      </c>
      <c r="CP82" s="99">
        <v>0</v>
      </c>
      <c r="CQ82" s="99">
        <v>0</v>
      </c>
      <c r="CR82" s="99">
        <v>12</v>
      </c>
      <c r="CS82" s="99">
        <v>6105.5999999999985</v>
      </c>
      <c r="CT82" s="99">
        <v>7.2361906367707514</v>
      </c>
      <c r="CU82" s="99">
        <v>3681.7737959889578</v>
      </c>
    </row>
    <row r="83" spans="2:99">
      <c r="C83" s="98" t="s">
        <v>249</v>
      </c>
      <c r="D83" s="99">
        <v>0.92236664065657281</v>
      </c>
      <c r="E83" s="99">
        <v>793.60425762091518</v>
      </c>
      <c r="F83" s="99">
        <v>8.3794408871267603</v>
      </c>
      <c r="G83" s="99">
        <v>7209.6709392838648</v>
      </c>
      <c r="H83" s="99">
        <v>7.3504420940700018E-16</v>
      </c>
      <c r="I83" s="99">
        <v>6.3243203777378298E-13</v>
      </c>
      <c r="J83" s="99">
        <v>0</v>
      </c>
      <c r="K83" s="99">
        <v>0</v>
      </c>
      <c r="L83" s="99">
        <v>12</v>
      </c>
      <c r="M83" s="99">
        <v>10324.799999999999</v>
      </c>
      <c r="N83" s="99">
        <v>12</v>
      </c>
      <c r="O83" s="99">
        <v>10324.799999999999</v>
      </c>
      <c r="P83" s="99">
        <v>11</v>
      </c>
      <c r="Q83" s="99">
        <v>9464.4</v>
      </c>
      <c r="R83" s="99">
        <v>8</v>
      </c>
      <c r="S83" s="99">
        <v>6883.2</v>
      </c>
      <c r="T83" s="99">
        <v>14</v>
      </c>
      <c r="U83" s="99">
        <v>12045.6</v>
      </c>
      <c r="V83" s="99">
        <v>13</v>
      </c>
      <c r="W83" s="99">
        <v>11185.199999999999</v>
      </c>
      <c r="X83" s="99">
        <v>11.257017455863986</v>
      </c>
      <c r="Y83" s="99">
        <v>9685.5378190253741</v>
      </c>
      <c r="Z83" s="99">
        <v>9.4077619410817963</v>
      </c>
      <c r="AA83" s="99">
        <v>8094.4383741067777</v>
      </c>
      <c r="AB83" s="99">
        <v>0</v>
      </c>
      <c r="AC83" s="99">
        <v>0</v>
      </c>
      <c r="AD83" s="99">
        <v>16</v>
      </c>
      <c r="AE83" s="99">
        <v>13766.4</v>
      </c>
      <c r="AF83" s="99">
        <v>12.942970792477858</v>
      </c>
      <c r="AG83" s="99">
        <v>11136.132069847949</v>
      </c>
      <c r="AH83" s="99">
        <v>9.4707811807999143</v>
      </c>
      <c r="AI83" s="99">
        <v>8148.6601279602464</v>
      </c>
      <c r="AJ83" s="99">
        <v>9.2832409593979364</v>
      </c>
      <c r="AK83" s="99">
        <v>7987.3005214659843</v>
      </c>
      <c r="AL83" s="99">
        <v>9.3950830166328991</v>
      </c>
      <c r="AM83" s="99">
        <v>8083.5294275109463</v>
      </c>
      <c r="AN83" s="99">
        <v>9.7747666228090697</v>
      </c>
      <c r="AO83" s="99">
        <v>8410.2092022649231</v>
      </c>
      <c r="AP83" s="99">
        <v>8.2461590622857823</v>
      </c>
      <c r="AQ83" s="99">
        <v>7094.995257190687</v>
      </c>
      <c r="AR83" s="99">
        <v>0</v>
      </c>
      <c r="AS83" s="99">
        <v>0</v>
      </c>
      <c r="AT83" s="99">
        <v>8</v>
      </c>
      <c r="AU83" s="99">
        <v>6883.2</v>
      </c>
      <c r="AV83" s="99">
        <v>10.773357862343683</v>
      </c>
      <c r="AW83" s="99">
        <v>9269.3971047605046</v>
      </c>
      <c r="AX83" s="99">
        <v>11</v>
      </c>
      <c r="AY83" s="99">
        <v>9464.4</v>
      </c>
      <c r="AZ83" s="99">
        <v>7.0433848429174795</v>
      </c>
      <c r="BA83" s="99">
        <v>6060.1283188461994</v>
      </c>
      <c r="BB83" s="99">
        <v>15</v>
      </c>
      <c r="BC83" s="99">
        <v>12906</v>
      </c>
      <c r="BD83" s="99">
        <v>15.796280926018243</v>
      </c>
      <c r="BE83" s="99">
        <v>13591.120108746096</v>
      </c>
      <c r="BF83" s="99">
        <v>9.3667066623295856</v>
      </c>
      <c r="BG83" s="99">
        <v>8059.1144122683754</v>
      </c>
      <c r="BH83" s="99">
        <v>9.144202519393021</v>
      </c>
      <c r="BI83" s="99">
        <v>7867.671847685755</v>
      </c>
      <c r="BJ83" s="99">
        <v>8.5636857390509391</v>
      </c>
      <c r="BK83" s="99">
        <v>7368.1952098794281</v>
      </c>
      <c r="BL83" s="99">
        <v>12.701590359443715</v>
      </c>
      <c r="BM83" s="99">
        <v>10928.448345265373</v>
      </c>
      <c r="BN83" s="99">
        <v>7.504665059870594</v>
      </c>
      <c r="BO83" s="99">
        <v>6457.0138175126585</v>
      </c>
      <c r="BP83" s="99">
        <v>9</v>
      </c>
      <c r="BQ83" s="99">
        <v>7743.5999999999995</v>
      </c>
      <c r="BR83" s="99">
        <v>10.506162214541515</v>
      </c>
      <c r="BS83" s="99">
        <v>9039.5019693915201</v>
      </c>
      <c r="BT83" s="99">
        <v>1.6169792764441651</v>
      </c>
      <c r="BU83" s="99">
        <v>1391.2489694525595</v>
      </c>
      <c r="BV83" s="99">
        <v>9.5414586522984219</v>
      </c>
      <c r="BW83" s="99">
        <v>8209.4710244375619</v>
      </c>
      <c r="BX83" s="99">
        <v>16</v>
      </c>
      <c r="BY83" s="99">
        <v>13766.4</v>
      </c>
      <c r="BZ83" s="99">
        <v>8</v>
      </c>
      <c r="CA83" s="99">
        <v>6883.2</v>
      </c>
      <c r="CB83" s="99">
        <v>10.876358834875886</v>
      </c>
      <c r="CC83" s="99">
        <v>9358.0191415272111</v>
      </c>
      <c r="CD83" s="99">
        <v>0</v>
      </c>
      <c r="CE83" s="99">
        <v>0</v>
      </c>
      <c r="CF83" s="99">
        <v>10.423644747557248</v>
      </c>
      <c r="CG83" s="99">
        <v>8968.5039407982549</v>
      </c>
      <c r="CH83" s="99">
        <v>13</v>
      </c>
      <c r="CI83" s="99">
        <v>11185.199999999999</v>
      </c>
      <c r="CJ83" s="99">
        <v>13</v>
      </c>
      <c r="CK83" s="99">
        <v>11185.199999999999</v>
      </c>
      <c r="CL83" s="99">
        <v>12.254175939775868</v>
      </c>
      <c r="CM83" s="99">
        <v>10543.492978583157</v>
      </c>
      <c r="CN83" s="99">
        <v>9.3629630746956938</v>
      </c>
      <c r="CO83" s="99">
        <v>8055.8934294681749</v>
      </c>
      <c r="CP83" s="99">
        <v>0</v>
      </c>
      <c r="CQ83" s="99">
        <v>0</v>
      </c>
      <c r="CR83" s="99">
        <v>11</v>
      </c>
      <c r="CS83" s="99">
        <v>9464.4</v>
      </c>
      <c r="CT83" s="99">
        <v>7.6884525515689228</v>
      </c>
      <c r="CU83" s="99">
        <v>6615.1445753699008</v>
      </c>
    </row>
    <row r="84" spans="2:99">
      <c r="C84" s="98" t="s">
        <v>250</v>
      </c>
      <c r="D84" s="99">
        <v>0.92236664065657281</v>
      </c>
      <c r="E84" s="99">
        <v>720.55281968091458</v>
      </c>
      <c r="F84" s="99">
        <v>8.3794408871267603</v>
      </c>
      <c r="G84" s="99">
        <v>6546.0192210234245</v>
      </c>
      <c r="H84" s="99">
        <v>7.9629789352425022E-16</v>
      </c>
      <c r="I84" s="99">
        <v>6.2206791442114424E-13</v>
      </c>
      <c r="J84" s="99">
        <v>0</v>
      </c>
      <c r="K84" s="99">
        <v>0</v>
      </c>
      <c r="L84" s="99">
        <v>11</v>
      </c>
      <c r="M84" s="99">
        <v>8593.1999999999989</v>
      </c>
      <c r="N84" s="99">
        <v>10</v>
      </c>
      <c r="O84" s="99">
        <v>7811.9999999999991</v>
      </c>
      <c r="P84" s="99">
        <v>11</v>
      </c>
      <c r="Q84" s="99">
        <v>8593.1999999999989</v>
      </c>
      <c r="R84" s="99">
        <v>8</v>
      </c>
      <c r="S84" s="99">
        <v>6249.5999999999995</v>
      </c>
      <c r="T84" s="99">
        <v>17</v>
      </c>
      <c r="U84" s="99">
        <v>13280.4</v>
      </c>
      <c r="V84" s="99">
        <v>13</v>
      </c>
      <c r="W84" s="99">
        <v>10155.599999999999</v>
      </c>
      <c r="X84" s="99">
        <v>12.061090131282842</v>
      </c>
      <c r="Y84" s="99">
        <v>9422.1236105581556</v>
      </c>
      <c r="Z84" s="99">
        <v>9.4077619410817963</v>
      </c>
      <c r="AA84" s="99">
        <v>7349.3436283730989</v>
      </c>
      <c r="AB84" s="99">
        <v>0</v>
      </c>
      <c r="AC84" s="99">
        <v>0</v>
      </c>
      <c r="AD84" s="99">
        <v>16</v>
      </c>
      <c r="AE84" s="99">
        <v>12499.199999999999</v>
      </c>
      <c r="AF84" s="99">
        <v>14.791966619974696</v>
      </c>
      <c r="AG84" s="99">
        <v>11555.484323524232</v>
      </c>
      <c r="AH84" s="99">
        <v>9.4707811807999143</v>
      </c>
      <c r="AI84" s="99">
        <v>7398.5742584408927</v>
      </c>
      <c r="AJ84" s="99">
        <v>10.127171955706839</v>
      </c>
      <c r="AK84" s="99">
        <v>7911.3467317981813</v>
      </c>
      <c r="AL84" s="99">
        <v>9.3950830166328991</v>
      </c>
      <c r="AM84" s="99">
        <v>7339.4388525936201</v>
      </c>
      <c r="AN84" s="99">
        <v>9.7747666228090697</v>
      </c>
      <c r="AO84" s="99">
        <v>7636.0476857384447</v>
      </c>
      <c r="AP84" s="99">
        <v>9.0707749685143604</v>
      </c>
      <c r="AQ84" s="99">
        <v>7086.0894054034179</v>
      </c>
      <c r="AR84" s="99">
        <v>0</v>
      </c>
      <c r="AS84" s="99">
        <v>0</v>
      </c>
      <c r="AT84" s="99">
        <v>9</v>
      </c>
      <c r="AU84" s="99">
        <v>7030.7999999999993</v>
      </c>
      <c r="AV84" s="99">
        <v>10.773357862343683</v>
      </c>
      <c r="AW84" s="99">
        <v>8416.1471620628854</v>
      </c>
      <c r="AX84" s="99">
        <v>12</v>
      </c>
      <c r="AY84" s="99">
        <v>9374.4</v>
      </c>
      <c r="AZ84" s="99">
        <v>7.0433848429174795</v>
      </c>
      <c r="BA84" s="99">
        <v>5502.2922392871342</v>
      </c>
      <c r="BB84" s="99">
        <v>14</v>
      </c>
      <c r="BC84" s="99">
        <v>10936.8</v>
      </c>
      <c r="BD84" s="99">
        <v>16.783548483894382</v>
      </c>
      <c r="BE84" s="99">
        <v>13111.30807561829</v>
      </c>
      <c r="BF84" s="99">
        <v>9.3667066623295856</v>
      </c>
      <c r="BG84" s="99">
        <v>7317.2712446118712</v>
      </c>
      <c r="BH84" s="99">
        <v>9.7973598422068076</v>
      </c>
      <c r="BI84" s="99">
        <v>7653.697508731957</v>
      </c>
      <c r="BJ84" s="99">
        <v>7.4218609738441472</v>
      </c>
      <c r="BK84" s="99">
        <v>5797.9577927670471</v>
      </c>
      <c r="BL84" s="99">
        <v>11.794333905197737</v>
      </c>
      <c r="BM84" s="99">
        <v>9213.7336467404712</v>
      </c>
      <c r="BN84" s="99">
        <v>7.504665059870594</v>
      </c>
      <c r="BO84" s="99">
        <v>5862.6443447709071</v>
      </c>
      <c r="BP84" s="99">
        <v>10</v>
      </c>
      <c r="BQ84" s="99">
        <v>7811.9999999999991</v>
      </c>
      <c r="BR84" s="99">
        <v>11.16279735295036</v>
      </c>
      <c r="BS84" s="99">
        <v>8720.3772921248201</v>
      </c>
      <c r="BT84" s="99">
        <v>1.6169792764441651</v>
      </c>
      <c r="BU84" s="99">
        <v>1263.1842107581817</v>
      </c>
      <c r="BV84" s="99">
        <v>9.5414586522984219</v>
      </c>
      <c r="BW84" s="99">
        <v>7453.7874991755261</v>
      </c>
      <c r="BX84" s="99">
        <v>16</v>
      </c>
      <c r="BY84" s="99">
        <v>12499.199999999999</v>
      </c>
      <c r="BZ84" s="99">
        <v>10</v>
      </c>
      <c r="CA84" s="99">
        <v>7811.9999999999991</v>
      </c>
      <c r="CB84" s="99">
        <v>11.71300182217403</v>
      </c>
      <c r="CC84" s="99">
        <v>9150.1970234823511</v>
      </c>
      <c r="CD84" s="99">
        <v>0</v>
      </c>
      <c r="CE84" s="99">
        <v>0</v>
      </c>
      <c r="CF84" s="99">
        <v>9.6790986941603006</v>
      </c>
      <c r="CG84" s="99">
        <v>7561.3118998780265</v>
      </c>
      <c r="CH84" s="99">
        <v>13</v>
      </c>
      <c r="CI84" s="99">
        <v>10155.599999999999</v>
      </c>
      <c r="CJ84" s="99">
        <v>15</v>
      </c>
      <c r="CK84" s="99">
        <v>11717.999999999998</v>
      </c>
      <c r="CL84" s="99">
        <v>10.722403947303885</v>
      </c>
      <c r="CM84" s="99">
        <v>8376.3419636337949</v>
      </c>
      <c r="CN84" s="99">
        <v>9.3629630746956938</v>
      </c>
      <c r="CO84" s="99">
        <v>7314.3467539522753</v>
      </c>
      <c r="CP84" s="99">
        <v>0</v>
      </c>
      <c r="CQ84" s="99">
        <v>0</v>
      </c>
      <c r="CR84" s="99">
        <v>12</v>
      </c>
      <c r="CS84" s="99">
        <v>9374.4</v>
      </c>
      <c r="CT84" s="99">
        <v>7.6884525515689228</v>
      </c>
      <c r="CU84" s="99">
        <v>6006.2191332856419</v>
      </c>
    </row>
    <row r="85" spans="2:99">
      <c r="C85" s="98" t="s">
        <v>251</v>
      </c>
      <c r="D85" s="99">
        <v>0.92236664065657281</v>
      </c>
      <c r="E85" s="99">
        <v>138.35499609848591</v>
      </c>
      <c r="F85" s="99">
        <v>10.313158014925243</v>
      </c>
      <c r="G85" s="99">
        <v>1546.9737022387865</v>
      </c>
      <c r="H85" s="99">
        <v>7.9629789352425022E-16</v>
      </c>
      <c r="I85" s="99">
        <v>1.1944468402863753E-13</v>
      </c>
      <c r="J85" s="99">
        <v>0</v>
      </c>
      <c r="K85" s="99">
        <v>0</v>
      </c>
      <c r="L85" s="99">
        <v>11</v>
      </c>
      <c r="M85" s="99">
        <v>1650</v>
      </c>
      <c r="N85" s="99">
        <v>11</v>
      </c>
      <c r="O85" s="99">
        <v>1650</v>
      </c>
      <c r="P85" s="99">
        <v>11</v>
      </c>
      <c r="Q85" s="99">
        <v>1650</v>
      </c>
      <c r="R85" s="99">
        <v>10</v>
      </c>
      <c r="S85" s="99">
        <v>1500</v>
      </c>
      <c r="T85" s="99">
        <v>18</v>
      </c>
      <c r="U85" s="99">
        <v>2700</v>
      </c>
      <c r="V85" s="99">
        <v>15</v>
      </c>
      <c r="W85" s="99">
        <v>2250</v>
      </c>
      <c r="X85" s="99">
        <v>12.061090131282842</v>
      </c>
      <c r="Y85" s="99">
        <v>1809.1635196924265</v>
      </c>
      <c r="Z85" s="99">
        <v>9.4077619410817963</v>
      </c>
      <c r="AA85" s="99">
        <v>1411.1642911622694</v>
      </c>
      <c r="AB85" s="99">
        <v>0</v>
      </c>
      <c r="AC85" s="99">
        <v>0</v>
      </c>
      <c r="AD85" s="99">
        <v>16</v>
      </c>
      <c r="AE85" s="99">
        <v>2400</v>
      </c>
      <c r="AF85" s="99">
        <v>15.716464533723114</v>
      </c>
      <c r="AG85" s="99">
        <v>2357.469680058467</v>
      </c>
      <c r="AH85" s="99">
        <v>9.4707811807999143</v>
      </c>
      <c r="AI85" s="99">
        <v>1420.6171771199872</v>
      </c>
      <c r="AJ85" s="99">
        <v>9.2832409593979364</v>
      </c>
      <c r="AK85" s="99">
        <v>1392.4861439096906</v>
      </c>
      <c r="AL85" s="99">
        <v>9.3950830166328991</v>
      </c>
      <c r="AM85" s="99">
        <v>1409.2624524949349</v>
      </c>
      <c r="AN85" s="99">
        <v>9.7747666228090697</v>
      </c>
      <c r="AO85" s="99">
        <v>1466.2149934213605</v>
      </c>
      <c r="AP85" s="99">
        <v>9.0707749685143604</v>
      </c>
      <c r="AQ85" s="99">
        <v>1360.6162452771541</v>
      </c>
      <c r="AR85" s="99">
        <v>0</v>
      </c>
      <c r="AS85" s="99">
        <v>0</v>
      </c>
      <c r="AT85" s="99">
        <v>8</v>
      </c>
      <c r="AU85" s="99">
        <v>1200</v>
      </c>
      <c r="AV85" s="99">
        <v>10.773357862343683</v>
      </c>
      <c r="AW85" s="99">
        <v>1616.0036793515526</v>
      </c>
      <c r="AX85" s="99">
        <v>12</v>
      </c>
      <c r="AY85" s="99">
        <v>1800</v>
      </c>
      <c r="AZ85" s="99">
        <v>7.5851836769880547</v>
      </c>
      <c r="BA85" s="99">
        <v>1137.7775515482083</v>
      </c>
      <c r="BB85" s="99">
        <v>15</v>
      </c>
      <c r="BC85" s="99">
        <v>2250</v>
      </c>
      <c r="BD85" s="99">
        <v>16.783548483894382</v>
      </c>
      <c r="BE85" s="99">
        <v>2517.5322725841575</v>
      </c>
      <c r="BF85" s="99">
        <v>11.240047994795503</v>
      </c>
      <c r="BG85" s="99">
        <v>1686.0071992193255</v>
      </c>
      <c r="BH85" s="99">
        <v>10.450517165020594</v>
      </c>
      <c r="BI85" s="99">
        <v>1567.577574753089</v>
      </c>
      <c r="BJ85" s="99">
        <v>7.9927733564475432</v>
      </c>
      <c r="BK85" s="99">
        <v>1198.9160034671315</v>
      </c>
      <c r="BL85" s="99">
        <v>11.794333905197737</v>
      </c>
      <c r="BM85" s="99">
        <v>1769.1500857796607</v>
      </c>
      <c r="BN85" s="99">
        <v>8.5767600684235354</v>
      </c>
      <c r="BO85" s="99">
        <v>1286.5140102635303</v>
      </c>
      <c r="BP85" s="99">
        <v>10</v>
      </c>
      <c r="BQ85" s="99">
        <v>1500</v>
      </c>
      <c r="BR85" s="99">
        <v>10.506162214541515</v>
      </c>
      <c r="BS85" s="99">
        <v>1575.9243321812273</v>
      </c>
      <c r="BT85" s="99">
        <v>1.7324777961901767</v>
      </c>
      <c r="BU85" s="99">
        <v>259.8716694285265</v>
      </c>
      <c r="BV85" s="99">
        <v>9.5414586522984219</v>
      </c>
      <c r="BW85" s="99">
        <v>1431.2187978447632</v>
      </c>
      <c r="BX85" s="99">
        <v>16</v>
      </c>
      <c r="BY85" s="99">
        <v>2400</v>
      </c>
      <c r="BZ85" s="99">
        <v>10</v>
      </c>
      <c r="CA85" s="99">
        <v>1500</v>
      </c>
      <c r="CB85" s="99">
        <v>11.71300182217403</v>
      </c>
      <c r="CC85" s="99">
        <v>1756.9502733261045</v>
      </c>
      <c r="CD85" s="99">
        <v>0</v>
      </c>
      <c r="CE85" s="99">
        <v>0</v>
      </c>
      <c r="CF85" s="99">
        <v>8.9345526407633553</v>
      </c>
      <c r="CG85" s="99">
        <v>1340.1828961145034</v>
      </c>
      <c r="CH85" s="99">
        <v>13</v>
      </c>
      <c r="CI85" s="99">
        <v>1950</v>
      </c>
      <c r="CJ85" s="99">
        <v>14</v>
      </c>
      <c r="CK85" s="99">
        <v>2100</v>
      </c>
      <c r="CL85" s="99">
        <v>11.488289943539877</v>
      </c>
      <c r="CM85" s="99">
        <v>1723.2434915309816</v>
      </c>
      <c r="CN85" s="99">
        <v>9.3629630746956938</v>
      </c>
      <c r="CO85" s="99">
        <v>1404.444461204354</v>
      </c>
      <c r="CP85" s="99">
        <v>0</v>
      </c>
      <c r="CQ85" s="99">
        <v>0</v>
      </c>
      <c r="CR85" s="99">
        <v>13</v>
      </c>
      <c r="CS85" s="99">
        <v>1950</v>
      </c>
      <c r="CT85" s="99">
        <v>8.1407144663670952</v>
      </c>
      <c r="CU85" s="99">
        <v>1221.1071699550644</v>
      </c>
    </row>
    <row r="86" spans="2:99">
      <c r="C86" s="98" t="s">
        <v>252</v>
      </c>
      <c r="D86" s="99">
        <v>0.92236664065657281</v>
      </c>
      <c r="E86" s="99">
        <v>498.07798595454932</v>
      </c>
      <c r="F86" s="99">
        <v>9.6685856389924147</v>
      </c>
      <c r="G86" s="99">
        <v>5221.0362450559041</v>
      </c>
      <c r="H86" s="99">
        <v>8.5755157764150026E-16</v>
      </c>
      <c r="I86" s="99">
        <v>4.630778519264101E-13</v>
      </c>
      <c r="J86" s="99">
        <v>0</v>
      </c>
      <c r="K86" s="99">
        <v>0</v>
      </c>
      <c r="L86" s="99">
        <v>11</v>
      </c>
      <c r="M86" s="99">
        <v>5940</v>
      </c>
      <c r="N86" s="99">
        <v>11</v>
      </c>
      <c r="O86" s="99">
        <v>5940</v>
      </c>
      <c r="P86" s="99">
        <v>11</v>
      </c>
      <c r="Q86" s="99">
        <v>5940</v>
      </c>
      <c r="R86" s="99">
        <v>9</v>
      </c>
      <c r="S86" s="99">
        <v>4860</v>
      </c>
      <c r="T86" s="99">
        <v>16</v>
      </c>
      <c r="U86" s="99">
        <v>8640</v>
      </c>
      <c r="V86" s="99">
        <v>14</v>
      </c>
      <c r="W86" s="99">
        <v>7560</v>
      </c>
      <c r="X86" s="99">
        <v>11.257017455863986</v>
      </c>
      <c r="Y86" s="99">
        <v>6078.7894261665524</v>
      </c>
      <c r="Z86" s="99">
        <v>10.079744936873354</v>
      </c>
      <c r="AA86" s="99">
        <v>5443.0622659116107</v>
      </c>
      <c r="AB86" s="99">
        <v>0</v>
      </c>
      <c r="AC86" s="99">
        <v>0</v>
      </c>
      <c r="AD86" s="99">
        <v>15</v>
      </c>
      <c r="AE86" s="99">
        <v>8100</v>
      </c>
      <c r="AF86" s="99">
        <v>15.716464533723114</v>
      </c>
      <c r="AG86" s="99">
        <v>8486.8908482104816</v>
      </c>
      <c r="AH86" s="99">
        <v>10.260012945866574</v>
      </c>
      <c r="AI86" s="99">
        <v>5540.4069907679504</v>
      </c>
      <c r="AJ86" s="99">
        <v>10.127171955706839</v>
      </c>
      <c r="AK86" s="99">
        <v>5468.6728560816928</v>
      </c>
      <c r="AL86" s="99">
        <v>8.6121594319134918</v>
      </c>
      <c r="AM86" s="99">
        <v>4650.5660932332858</v>
      </c>
      <c r="AN86" s="99">
        <v>9.7747666228090697</v>
      </c>
      <c r="AO86" s="99">
        <v>5278.3739763168978</v>
      </c>
      <c r="AP86" s="99">
        <v>9.8953908747429384</v>
      </c>
      <c r="AQ86" s="99">
        <v>5343.511072361187</v>
      </c>
      <c r="AR86" s="99">
        <v>0</v>
      </c>
      <c r="AS86" s="99">
        <v>0</v>
      </c>
      <c r="AT86" s="99">
        <v>8</v>
      </c>
      <c r="AU86" s="99">
        <v>4320</v>
      </c>
      <c r="AV86" s="99">
        <v>9.9446380267787848</v>
      </c>
      <c r="AW86" s="99">
        <v>5370.1045344605436</v>
      </c>
      <c r="AX86" s="99">
        <v>13</v>
      </c>
      <c r="AY86" s="99">
        <v>7020</v>
      </c>
      <c r="AZ86" s="99">
        <v>7.5851836769880547</v>
      </c>
      <c r="BA86" s="99">
        <v>4095.9991855735498</v>
      </c>
      <c r="BB86" s="99">
        <v>13</v>
      </c>
      <c r="BC86" s="99">
        <v>7020</v>
      </c>
      <c r="BD86" s="99">
        <v>15.796280926018243</v>
      </c>
      <c r="BE86" s="99">
        <v>8529.9917000498517</v>
      </c>
      <c r="BF86" s="99">
        <v>9.3667066623295856</v>
      </c>
      <c r="BG86" s="99">
        <v>5058.0215976579766</v>
      </c>
      <c r="BH86" s="99">
        <v>11.103674487834382</v>
      </c>
      <c r="BI86" s="99">
        <v>5995.984223430567</v>
      </c>
      <c r="BJ86" s="99">
        <v>7.9927733564475432</v>
      </c>
      <c r="BK86" s="99">
        <v>4316.0976124816734</v>
      </c>
      <c r="BL86" s="99">
        <v>10.887077450951757</v>
      </c>
      <c r="BM86" s="99">
        <v>5879.0218235139491</v>
      </c>
      <c r="BN86" s="99">
        <v>7.504665059870594</v>
      </c>
      <c r="BO86" s="99">
        <v>4052.5191323301206</v>
      </c>
      <c r="BP86" s="99">
        <v>10</v>
      </c>
      <c r="BQ86" s="99">
        <v>5400</v>
      </c>
      <c r="BR86" s="99">
        <v>9.8495270761326719</v>
      </c>
      <c r="BS86" s="99">
        <v>5318.744621111643</v>
      </c>
      <c r="BT86" s="99">
        <v>1.7324777961901767</v>
      </c>
      <c r="BU86" s="99">
        <v>935.53800994269545</v>
      </c>
      <c r="BV86" s="99">
        <v>10.177555895784982</v>
      </c>
      <c r="BW86" s="99">
        <v>5495.8801837238907</v>
      </c>
      <c r="BX86" s="99">
        <v>15</v>
      </c>
      <c r="BY86" s="99">
        <v>8100</v>
      </c>
      <c r="BZ86" s="99">
        <v>8</v>
      </c>
      <c r="CA86" s="99">
        <v>4320</v>
      </c>
      <c r="CB86" s="99">
        <v>11.71300182217403</v>
      </c>
      <c r="CC86" s="99">
        <v>6325.0209839739764</v>
      </c>
      <c r="CD86" s="99">
        <v>0</v>
      </c>
      <c r="CE86" s="99">
        <v>0</v>
      </c>
      <c r="CF86" s="99">
        <v>9.6790986941603006</v>
      </c>
      <c r="CG86" s="99">
        <v>5226.7132948465623</v>
      </c>
      <c r="CH86" s="99">
        <v>13</v>
      </c>
      <c r="CI86" s="99">
        <v>7020</v>
      </c>
      <c r="CJ86" s="99">
        <v>14</v>
      </c>
      <c r="CK86" s="99">
        <v>7560</v>
      </c>
      <c r="CL86" s="99">
        <v>12.254175939775868</v>
      </c>
      <c r="CM86" s="99">
        <v>6617.2550074789688</v>
      </c>
      <c r="CN86" s="99">
        <v>9.3629630746956938</v>
      </c>
      <c r="CO86" s="99">
        <v>5056.0000603356748</v>
      </c>
      <c r="CP86" s="99">
        <v>0</v>
      </c>
      <c r="CQ86" s="99">
        <v>0</v>
      </c>
      <c r="CR86" s="99">
        <v>12</v>
      </c>
      <c r="CS86" s="99">
        <v>6480</v>
      </c>
      <c r="CT86" s="99">
        <v>6.783928721972579</v>
      </c>
      <c r="CU86" s="99">
        <v>3663.3215098651926</v>
      </c>
    </row>
    <row r="87" spans="2:99">
      <c r="B87" s="98" t="s">
        <v>131</v>
      </c>
      <c r="C87" s="98" t="s">
        <v>253</v>
      </c>
      <c r="D87" s="99">
        <v>2.9046655905488308</v>
      </c>
      <c r="E87" s="99">
        <v>3119.6108442494442</v>
      </c>
      <c r="F87" s="99">
        <v>5.5898501582332614</v>
      </c>
      <c r="G87" s="99">
        <v>6003.4990699425225</v>
      </c>
      <c r="H87" s="99">
        <v>8.1454794101689707</v>
      </c>
      <c r="I87" s="99">
        <v>8748.2448865214737</v>
      </c>
      <c r="J87" s="99">
        <v>7</v>
      </c>
      <c r="K87" s="99">
        <v>7518</v>
      </c>
      <c r="L87" s="99">
        <v>11</v>
      </c>
      <c r="M87" s="99">
        <v>11814</v>
      </c>
      <c r="N87" s="99">
        <v>8.0993458831881693</v>
      </c>
      <c r="O87" s="99">
        <v>8698.6974785440943</v>
      </c>
      <c r="P87" s="99">
        <v>5.9079078115935513</v>
      </c>
      <c r="Q87" s="99">
        <v>6345.0929896514745</v>
      </c>
      <c r="R87" s="99">
        <v>9</v>
      </c>
      <c r="S87" s="99">
        <v>9666</v>
      </c>
      <c r="T87" s="99">
        <v>9</v>
      </c>
      <c r="U87" s="99">
        <v>9666</v>
      </c>
      <c r="V87" s="99">
        <v>8.6060606060606073</v>
      </c>
      <c r="W87" s="99">
        <v>9242.9090909090919</v>
      </c>
      <c r="X87" s="99">
        <v>9</v>
      </c>
      <c r="Y87" s="99">
        <v>9666</v>
      </c>
      <c r="Z87" s="99">
        <v>12</v>
      </c>
      <c r="AA87" s="99">
        <v>12888</v>
      </c>
      <c r="AB87" s="99">
        <v>11</v>
      </c>
      <c r="AC87" s="99">
        <v>11814</v>
      </c>
      <c r="AD87" s="99">
        <v>7</v>
      </c>
      <c r="AE87" s="99">
        <v>7518</v>
      </c>
      <c r="AF87" s="99">
        <v>7</v>
      </c>
      <c r="AG87" s="99">
        <v>7518</v>
      </c>
      <c r="AH87" s="99">
        <v>11</v>
      </c>
      <c r="AI87" s="99">
        <v>11814</v>
      </c>
      <c r="AJ87" s="99">
        <v>13</v>
      </c>
      <c r="AK87" s="99">
        <v>13962</v>
      </c>
      <c r="AL87" s="99">
        <v>8</v>
      </c>
      <c r="AM87" s="99">
        <v>8592</v>
      </c>
      <c r="AN87" s="99">
        <v>7</v>
      </c>
      <c r="AO87" s="99">
        <v>7518</v>
      </c>
      <c r="AP87" s="99">
        <v>8</v>
      </c>
      <c r="AQ87" s="99">
        <v>8592</v>
      </c>
      <c r="AR87" s="99">
        <v>10</v>
      </c>
      <c r="AS87" s="99">
        <v>10740</v>
      </c>
      <c r="AT87" s="99">
        <v>6</v>
      </c>
      <c r="AU87" s="99">
        <v>6444</v>
      </c>
      <c r="AV87" s="99">
        <v>13</v>
      </c>
      <c r="AW87" s="99">
        <v>13962</v>
      </c>
      <c r="AX87" s="99">
        <v>7</v>
      </c>
      <c r="AY87" s="99">
        <v>7518</v>
      </c>
      <c r="AZ87" s="99">
        <v>11</v>
      </c>
      <c r="BA87" s="99">
        <v>11814</v>
      </c>
      <c r="BB87" s="99">
        <v>7.3168544499803936</v>
      </c>
      <c r="BC87" s="99">
        <v>7858.3016792789431</v>
      </c>
      <c r="BD87" s="99">
        <v>8</v>
      </c>
      <c r="BE87" s="99">
        <v>8592</v>
      </c>
      <c r="BF87" s="99">
        <v>12</v>
      </c>
      <c r="BG87" s="99">
        <v>12888</v>
      </c>
      <c r="BH87" s="99">
        <v>12</v>
      </c>
      <c r="BI87" s="99">
        <v>12888</v>
      </c>
      <c r="BJ87" s="99">
        <v>6</v>
      </c>
      <c r="BK87" s="99">
        <v>6444</v>
      </c>
      <c r="BL87" s="99">
        <v>8.360404313349969</v>
      </c>
      <c r="BM87" s="99">
        <v>8979.0742325378669</v>
      </c>
      <c r="BN87" s="99">
        <v>6.4508620689655176</v>
      </c>
      <c r="BO87" s="99">
        <v>6928.2258620689663</v>
      </c>
      <c r="BP87" s="99">
        <v>4.320768608402223</v>
      </c>
      <c r="BQ87" s="99">
        <v>4640.5054854239879</v>
      </c>
      <c r="BR87" s="99">
        <v>9</v>
      </c>
      <c r="BS87" s="99">
        <v>9666</v>
      </c>
      <c r="BT87" s="99">
        <v>6</v>
      </c>
      <c r="BU87" s="99">
        <v>6444</v>
      </c>
      <c r="BV87" s="99">
        <v>10.121888412017174</v>
      </c>
      <c r="BW87" s="99">
        <v>10870.908154506445</v>
      </c>
      <c r="BX87" s="99">
        <v>2.9527913895016962</v>
      </c>
      <c r="BY87" s="99">
        <v>3171.2979523248218</v>
      </c>
      <c r="BZ87" s="99">
        <v>12.867592592592596</v>
      </c>
      <c r="CA87" s="99">
        <v>13819.794444444447</v>
      </c>
      <c r="CB87" s="99">
        <v>10.85703125</v>
      </c>
      <c r="CC87" s="99">
        <v>11660.4515625</v>
      </c>
      <c r="CD87" s="99">
        <v>11</v>
      </c>
      <c r="CE87" s="99">
        <v>11814</v>
      </c>
      <c r="CF87" s="99">
        <v>8.5806900196168208</v>
      </c>
      <c r="CG87" s="99">
        <v>9215.6610810684651</v>
      </c>
      <c r="CH87" s="99">
        <v>9.9264306899907098</v>
      </c>
      <c r="CI87" s="99">
        <v>10660.986561050022</v>
      </c>
      <c r="CJ87" s="99">
        <v>8.6782287822878228</v>
      </c>
      <c r="CK87" s="99">
        <v>9320.4177121771208</v>
      </c>
      <c r="CL87" s="99">
        <v>7.2343389042791584</v>
      </c>
      <c r="CM87" s="99">
        <v>7769.679983195816</v>
      </c>
      <c r="CN87" s="99">
        <v>10.837257385970851</v>
      </c>
      <c r="CO87" s="99">
        <v>11639.214432532694</v>
      </c>
      <c r="CP87" s="99">
        <v>14.381165919282513</v>
      </c>
      <c r="CQ87" s="99">
        <v>15445.372197309418</v>
      </c>
      <c r="CR87" s="99">
        <v>5.8276061520184932</v>
      </c>
      <c r="CS87" s="99">
        <v>6258.8490072678615</v>
      </c>
      <c r="CT87" s="99">
        <v>8</v>
      </c>
      <c r="CU87" s="99">
        <v>8592</v>
      </c>
    </row>
    <row r="88" spans="2:99">
      <c r="C88" s="98" t="s">
        <v>254</v>
      </c>
      <c r="D88" s="99">
        <v>2.9046655905488308</v>
      </c>
      <c r="E88" s="99">
        <v>2882.5901320606595</v>
      </c>
      <c r="F88" s="99">
        <v>5.5898501582332614</v>
      </c>
      <c r="G88" s="99">
        <v>5547.3672970306889</v>
      </c>
      <c r="H88" s="99">
        <v>8.1454794101689707</v>
      </c>
      <c r="I88" s="99">
        <v>8083.5737666516861</v>
      </c>
      <c r="J88" s="99">
        <v>7</v>
      </c>
      <c r="K88" s="99">
        <v>6946.8</v>
      </c>
      <c r="L88" s="99">
        <v>11</v>
      </c>
      <c r="M88" s="99">
        <v>10916.4</v>
      </c>
      <c r="N88" s="99">
        <v>8.0993458831881693</v>
      </c>
      <c r="O88" s="99">
        <v>8037.7908544759393</v>
      </c>
      <c r="P88" s="99">
        <v>6.4449903399202384</v>
      </c>
      <c r="Q88" s="99">
        <v>6396.0084133368446</v>
      </c>
      <c r="R88" s="99">
        <v>8</v>
      </c>
      <c r="S88" s="99">
        <v>7939.2</v>
      </c>
      <c r="T88" s="99">
        <v>9</v>
      </c>
      <c r="U88" s="99">
        <v>8931.6</v>
      </c>
      <c r="V88" s="99">
        <v>10.32727272727273</v>
      </c>
      <c r="W88" s="99">
        <v>10248.785454545457</v>
      </c>
      <c r="X88" s="99">
        <v>8</v>
      </c>
      <c r="Y88" s="99">
        <v>7939.2</v>
      </c>
      <c r="Z88" s="99">
        <v>12</v>
      </c>
      <c r="AA88" s="99">
        <v>11908.8</v>
      </c>
      <c r="AB88" s="99">
        <v>11</v>
      </c>
      <c r="AC88" s="99">
        <v>10916.4</v>
      </c>
      <c r="AD88" s="99">
        <v>7</v>
      </c>
      <c r="AE88" s="99">
        <v>6946.8</v>
      </c>
      <c r="AF88" s="99">
        <v>7</v>
      </c>
      <c r="AG88" s="99">
        <v>6946.8</v>
      </c>
      <c r="AH88" s="99">
        <v>12</v>
      </c>
      <c r="AI88" s="99">
        <v>11908.8</v>
      </c>
      <c r="AJ88" s="99">
        <v>11</v>
      </c>
      <c r="AK88" s="99">
        <v>10916.4</v>
      </c>
      <c r="AL88" s="99">
        <v>8</v>
      </c>
      <c r="AM88" s="99">
        <v>7939.2</v>
      </c>
      <c r="AN88" s="99">
        <v>7</v>
      </c>
      <c r="AO88" s="99">
        <v>6946.8</v>
      </c>
      <c r="AP88" s="99">
        <v>9</v>
      </c>
      <c r="AQ88" s="99">
        <v>8931.6</v>
      </c>
      <c r="AR88" s="99">
        <v>10</v>
      </c>
      <c r="AS88" s="99">
        <v>9924</v>
      </c>
      <c r="AT88" s="99">
        <v>7</v>
      </c>
      <c r="AU88" s="99">
        <v>6946.8</v>
      </c>
      <c r="AV88" s="99">
        <v>14</v>
      </c>
      <c r="AW88" s="99">
        <v>13893.6</v>
      </c>
      <c r="AX88" s="99">
        <v>6</v>
      </c>
      <c r="AY88" s="99">
        <v>5954.4</v>
      </c>
      <c r="AZ88" s="99">
        <v>11</v>
      </c>
      <c r="BA88" s="99">
        <v>10916.4</v>
      </c>
      <c r="BB88" s="99">
        <v>6.5038706222047944</v>
      </c>
      <c r="BC88" s="99">
        <v>6454.4412054760378</v>
      </c>
      <c r="BD88" s="99">
        <v>9</v>
      </c>
      <c r="BE88" s="99">
        <v>8931.6</v>
      </c>
      <c r="BF88" s="99">
        <v>12</v>
      </c>
      <c r="BG88" s="99">
        <v>11908.8</v>
      </c>
      <c r="BH88" s="99">
        <v>13</v>
      </c>
      <c r="BI88" s="99">
        <v>12901.199999999999</v>
      </c>
      <c r="BJ88" s="99">
        <v>7</v>
      </c>
      <c r="BK88" s="99">
        <v>6946.8</v>
      </c>
      <c r="BL88" s="99">
        <v>9.1964447446849658</v>
      </c>
      <c r="BM88" s="99">
        <v>9126.5517646253593</v>
      </c>
      <c r="BN88" s="99">
        <v>7.3724137931034486</v>
      </c>
      <c r="BO88" s="99">
        <v>7316.3834482758621</v>
      </c>
      <c r="BP88" s="99">
        <v>3.9279714621838391</v>
      </c>
      <c r="BQ88" s="99">
        <v>3898.1188790712417</v>
      </c>
      <c r="BR88" s="99">
        <v>8</v>
      </c>
      <c r="BS88" s="99">
        <v>7939.2</v>
      </c>
      <c r="BT88" s="99">
        <v>7</v>
      </c>
      <c r="BU88" s="99">
        <v>6946.8</v>
      </c>
      <c r="BV88" s="99">
        <v>10.121888412017174</v>
      </c>
      <c r="BW88" s="99">
        <v>10044.962060085843</v>
      </c>
      <c r="BX88" s="99">
        <v>2.6575122505515267</v>
      </c>
      <c r="BY88" s="99">
        <v>2637.315157447335</v>
      </c>
      <c r="BZ88" s="99">
        <v>11.877777777777782</v>
      </c>
      <c r="CA88" s="99">
        <v>11787.50666666667</v>
      </c>
      <c r="CB88" s="99">
        <v>10.85703125</v>
      </c>
      <c r="CC88" s="99">
        <v>10774.5178125</v>
      </c>
      <c r="CD88" s="99">
        <v>11</v>
      </c>
      <c r="CE88" s="99">
        <v>10916.4</v>
      </c>
      <c r="CF88" s="99">
        <v>7.7226210176551371</v>
      </c>
      <c r="CG88" s="99">
        <v>7663.9290979209582</v>
      </c>
      <c r="CH88" s="99">
        <v>9.9264306899907098</v>
      </c>
      <c r="CI88" s="99">
        <v>9850.98981674678</v>
      </c>
      <c r="CJ88" s="99">
        <v>8.6782287822878228</v>
      </c>
      <c r="CK88" s="99">
        <v>8612.2742435424352</v>
      </c>
      <c r="CL88" s="99">
        <v>6.5109050138512421</v>
      </c>
      <c r="CM88" s="99">
        <v>6461.4221357459728</v>
      </c>
      <c r="CN88" s="99">
        <v>12.643466950299326</v>
      </c>
      <c r="CO88" s="99">
        <v>12547.37660147705</v>
      </c>
      <c r="CP88" s="99">
        <v>12.463677130044845</v>
      </c>
      <c r="CQ88" s="99">
        <v>12368.953183856504</v>
      </c>
      <c r="CR88" s="99">
        <v>5.2978237745622669</v>
      </c>
      <c r="CS88" s="99">
        <v>5257.5603138755932</v>
      </c>
      <c r="CT88" s="99">
        <v>7</v>
      </c>
      <c r="CU88" s="99">
        <v>6946.8</v>
      </c>
    </row>
    <row r="89" spans="2:99">
      <c r="C89" s="98" t="s">
        <v>255</v>
      </c>
      <c r="D89" s="99">
        <v>3.3887765223069692</v>
      </c>
      <c r="E89" s="99">
        <v>3598.8806666900014</v>
      </c>
      <c r="F89" s="99">
        <v>6.3884001808380129</v>
      </c>
      <c r="G89" s="99">
        <v>6784.4809920499692</v>
      </c>
      <c r="H89" s="99">
        <v>9.62647566656333</v>
      </c>
      <c r="I89" s="99">
        <v>10223.317157890257</v>
      </c>
      <c r="J89" s="99">
        <v>7</v>
      </c>
      <c r="K89" s="99">
        <v>7434</v>
      </c>
      <c r="L89" s="99">
        <v>11</v>
      </c>
      <c r="M89" s="99">
        <v>11682</v>
      </c>
      <c r="N89" s="99">
        <v>8.0993458831881693</v>
      </c>
      <c r="O89" s="99">
        <v>8601.5053279458352</v>
      </c>
      <c r="P89" s="99">
        <v>6.4449903399202384</v>
      </c>
      <c r="Q89" s="99">
        <v>6844.5797409952929</v>
      </c>
      <c r="R89" s="99">
        <v>8</v>
      </c>
      <c r="S89" s="99">
        <v>8496</v>
      </c>
      <c r="T89" s="99">
        <v>8</v>
      </c>
      <c r="U89" s="99">
        <v>8496</v>
      </c>
      <c r="V89" s="99">
        <v>8.6060606060606073</v>
      </c>
      <c r="W89" s="99">
        <v>9139.6363636363658</v>
      </c>
      <c r="X89" s="99">
        <v>9</v>
      </c>
      <c r="Y89" s="99">
        <v>9558</v>
      </c>
      <c r="Z89" s="99">
        <v>12</v>
      </c>
      <c r="AA89" s="99">
        <v>12744</v>
      </c>
      <c r="AB89" s="99">
        <v>11</v>
      </c>
      <c r="AC89" s="99">
        <v>11682</v>
      </c>
      <c r="AD89" s="99">
        <v>6</v>
      </c>
      <c r="AE89" s="99">
        <v>6372</v>
      </c>
      <c r="AF89" s="99">
        <v>7</v>
      </c>
      <c r="AG89" s="99">
        <v>7434</v>
      </c>
      <c r="AH89" s="99">
        <v>11</v>
      </c>
      <c r="AI89" s="99">
        <v>11682</v>
      </c>
      <c r="AJ89" s="99">
        <v>11</v>
      </c>
      <c r="AK89" s="99">
        <v>11682</v>
      </c>
      <c r="AL89" s="99">
        <v>7</v>
      </c>
      <c r="AM89" s="99">
        <v>7434</v>
      </c>
      <c r="AN89" s="99">
        <v>7</v>
      </c>
      <c r="AO89" s="99">
        <v>7434</v>
      </c>
      <c r="AP89" s="99">
        <v>9</v>
      </c>
      <c r="AQ89" s="99">
        <v>9558</v>
      </c>
      <c r="AR89" s="99">
        <v>9</v>
      </c>
      <c r="AS89" s="99">
        <v>9558</v>
      </c>
      <c r="AT89" s="99">
        <v>7</v>
      </c>
      <c r="AU89" s="99">
        <v>7434</v>
      </c>
      <c r="AV89" s="99">
        <v>12</v>
      </c>
      <c r="AW89" s="99">
        <v>12744</v>
      </c>
      <c r="AX89" s="99">
        <v>7</v>
      </c>
      <c r="AY89" s="99">
        <v>7434</v>
      </c>
      <c r="AZ89" s="99">
        <v>12</v>
      </c>
      <c r="BA89" s="99">
        <v>12744</v>
      </c>
      <c r="BB89" s="99">
        <v>6.5038706222047944</v>
      </c>
      <c r="BC89" s="99">
        <v>6907.1106007814915</v>
      </c>
      <c r="BD89" s="99">
        <v>8</v>
      </c>
      <c r="BE89" s="99">
        <v>8496</v>
      </c>
      <c r="BF89" s="99">
        <v>12</v>
      </c>
      <c r="BG89" s="99">
        <v>12744</v>
      </c>
      <c r="BH89" s="99">
        <v>12</v>
      </c>
      <c r="BI89" s="99">
        <v>12744</v>
      </c>
      <c r="BJ89" s="99">
        <v>7</v>
      </c>
      <c r="BK89" s="99">
        <v>7434</v>
      </c>
      <c r="BL89" s="99">
        <v>9.1964447446849658</v>
      </c>
      <c r="BM89" s="99">
        <v>9766.6243188554345</v>
      </c>
      <c r="BN89" s="99">
        <v>7.3724137931034486</v>
      </c>
      <c r="BO89" s="99">
        <v>7829.503448275862</v>
      </c>
      <c r="BP89" s="99">
        <v>4.7135657546206069</v>
      </c>
      <c r="BQ89" s="99">
        <v>5005.8068314070842</v>
      </c>
      <c r="BR89" s="99">
        <v>8</v>
      </c>
      <c r="BS89" s="99">
        <v>8496</v>
      </c>
      <c r="BT89" s="99">
        <v>7</v>
      </c>
      <c r="BU89" s="99">
        <v>7434</v>
      </c>
      <c r="BV89" s="99">
        <v>10.121888412017174</v>
      </c>
      <c r="BW89" s="99">
        <v>10749.44549356224</v>
      </c>
      <c r="BX89" s="99">
        <v>2.9527913895016962</v>
      </c>
      <c r="BY89" s="99">
        <v>3135.8644556508011</v>
      </c>
      <c r="BZ89" s="99">
        <v>13.857407407407411</v>
      </c>
      <c r="CA89" s="99">
        <v>14716.566666666671</v>
      </c>
      <c r="CB89" s="99">
        <v>10.85703125</v>
      </c>
      <c r="CC89" s="99">
        <v>11530.167187500001</v>
      </c>
      <c r="CD89" s="99">
        <v>10</v>
      </c>
      <c r="CE89" s="99">
        <v>10620</v>
      </c>
      <c r="CF89" s="99">
        <v>7.7226210176551371</v>
      </c>
      <c r="CG89" s="99">
        <v>8201.423520749755</v>
      </c>
      <c r="CH89" s="99">
        <v>9.9264306899907098</v>
      </c>
      <c r="CI89" s="99">
        <v>10541.869392770133</v>
      </c>
      <c r="CJ89" s="99">
        <v>8.6782287822878228</v>
      </c>
      <c r="CK89" s="99">
        <v>9216.2789667896686</v>
      </c>
      <c r="CL89" s="99">
        <v>6.5109050138512421</v>
      </c>
      <c r="CM89" s="99">
        <v>6914.5811247100191</v>
      </c>
      <c r="CN89" s="99">
        <v>11.740362168135087</v>
      </c>
      <c r="CO89" s="99">
        <v>12468.264622559464</v>
      </c>
      <c r="CP89" s="99">
        <v>14.381165919282513</v>
      </c>
      <c r="CQ89" s="99">
        <v>15272.798206278028</v>
      </c>
      <c r="CR89" s="99">
        <v>5.2978237745622669</v>
      </c>
      <c r="CS89" s="99">
        <v>5626.2888485851272</v>
      </c>
      <c r="CT89" s="99">
        <v>8</v>
      </c>
      <c r="CU89" s="99">
        <v>8496</v>
      </c>
    </row>
    <row r="90" spans="2:99">
      <c r="C90" s="98" t="s">
        <v>256</v>
      </c>
      <c r="D90" s="99">
        <v>2.9046655905488308</v>
      </c>
      <c r="E90" s="99">
        <v>3220.6932068005435</v>
      </c>
      <c r="F90" s="99">
        <v>5.5898501582332614</v>
      </c>
      <c r="G90" s="99">
        <v>6198.0258554490401</v>
      </c>
      <c r="H90" s="99">
        <v>8.1454794101689707</v>
      </c>
      <c r="I90" s="99">
        <v>9031.7075699953548</v>
      </c>
      <c r="J90" s="99">
        <v>6</v>
      </c>
      <c r="K90" s="99">
        <v>6652.7999999999993</v>
      </c>
      <c r="L90" s="99">
        <v>11</v>
      </c>
      <c r="M90" s="99">
        <v>12196.8</v>
      </c>
      <c r="N90" s="99">
        <v>8.9992732035424101</v>
      </c>
      <c r="O90" s="99">
        <v>9978.3941280878244</v>
      </c>
      <c r="P90" s="99">
        <v>6.4449903399202384</v>
      </c>
      <c r="Q90" s="99">
        <v>7146.2052889035604</v>
      </c>
      <c r="R90" s="99">
        <v>8</v>
      </c>
      <c r="S90" s="99">
        <v>8870.4</v>
      </c>
      <c r="T90" s="99">
        <v>9</v>
      </c>
      <c r="U90" s="99">
        <v>9979.1999999999989</v>
      </c>
      <c r="V90" s="99">
        <v>9.4666666666666686</v>
      </c>
      <c r="W90" s="99">
        <v>10496.640000000001</v>
      </c>
      <c r="X90" s="99">
        <v>9</v>
      </c>
      <c r="Y90" s="99">
        <v>9979.1999999999989</v>
      </c>
      <c r="Z90" s="99">
        <v>11</v>
      </c>
      <c r="AA90" s="99">
        <v>12196.8</v>
      </c>
      <c r="AB90" s="99">
        <v>10</v>
      </c>
      <c r="AC90" s="99">
        <v>11088</v>
      </c>
      <c r="AD90" s="99">
        <v>7</v>
      </c>
      <c r="AE90" s="99">
        <v>7761.5999999999995</v>
      </c>
      <c r="AF90" s="99">
        <v>6</v>
      </c>
      <c r="AG90" s="99">
        <v>6652.7999999999993</v>
      </c>
      <c r="AH90" s="99">
        <v>12</v>
      </c>
      <c r="AI90" s="99">
        <v>13305.599999999999</v>
      </c>
      <c r="AJ90" s="99">
        <v>11</v>
      </c>
      <c r="AK90" s="99">
        <v>12196.8</v>
      </c>
      <c r="AL90" s="99">
        <v>7</v>
      </c>
      <c r="AM90" s="99">
        <v>7761.5999999999995</v>
      </c>
      <c r="AN90" s="99">
        <v>7</v>
      </c>
      <c r="AO90" s="99">
        <v>7761.5999999999995</v>
      </c>
      <c r="AP90" s="99">
        <v>9</v>
      </c>
      <c r="AQ90" s="99">
        <v>9979.1999999999989</v>
      </c>
      <c r="AR90" s="99">
        <v>8</v>
      </c>
      <c r="AS90" s="99">
        <v>8870.4</v>
      </c>
      <c r="AT90" s="99">
        <v>6</v>
      </c>
      <c r="AU90" s="99">
        <v>6652.7999999999993</v>
      </c>
      <c r="AV90" s="99">
        <v>12</v>
      </c>
      <c r="AW90" s="99">
        <v>13305.599999999999</v>
      </c>
      <c r="AX90" s="99">
        <v>7</v>
      </c>
      <c r="AY90" s="99">
        <v>7761.5999999999995</v>
      </c>
      <c r="AZ90" s="99">
        <v>12</v>
      </c>
      <c r="BA90" s="99">
        <v>13305.599999999999</v>
      </c>
      <c r="BB90" s="99">
        <v>6.5038706222047944</v>
      </c>
      <c r="BC90" s="99">
        <v>7211.4917459006756</v>
      </c>
      <c r="BD90" s="99">
        <v>8</v>
      </c>
      <c r="BE90" s="99">
        <v>8870.4</v>
      </c>
      <c r="BF90" s="99">
        <v>12</v>
      </c>
      <c r="BG90" s="99">
        <v>13305.599999999999</v>
      </c>
      <c r="BH90" s="99">
        <v>13</v>
      </c>
      <c r="BI90" s="99">
        <v>14414.4</v>
      </c>
      <c r="BJ90" s="99">
        <v>7</v>
      </c>
      <c r="BK90" s="99">
        <v>7761.5999999999995</v>
      </c>
      <c r="BL90" s="99">
        <v>8.360404313349969</v>
      </c>
      <c r="BM90" s="99">
        <v>9270.0163026424452</v>
      </c>
      <c r="BN90" s="99">
        <v>6.4508620689655176</v>
      </c>
      <c r="BO90" s="99">
        <v>7152.7158620689661</v>
      </c>
      <c r="BP90" s="99">
        <v>4.7135657546206069</v>
      </c>
      <c r="BQ90" s="99">
        <v>5226.4017087233287</v>
      </c>
      <c r="BR90" s="99">
        <v>9</v>
      </c>
      <c r="BS90" s="99">
        <v>9979.1999999999989</v>
      </c>
      <c r="BT90" s="99">
        <v>7</v>
      </c>
      <c r="BU90" s="99">
        <v>7761.5999999999995</v>
      </c>
      <c r="BV90" s="99">
        <v>9.2017167381974314</v>
      </c>
      <c r="BW90" s="99">
        <v>10202.863519313312</v>
      </c>
      <c r="BX90" s="99">
        <v>2.9527913895016962</v>
      </c>
      <c r="BY90" s="99">
        <v>3274.0550926794804</v>
      </c>
      <c r="BZ90" s="99">
        <v>12.867592592592596</v>
      </c>
      <c r="CA90" s="99">
        <v>14267.58666666667</v>
      </c>
      <c r="CB90" s="99">
        <v>10.85703125</v>
      </c>
      <c r="CC90" s="99">
        <v>12038.276250000001</v>
      </c>
      <c r="CD90" s="99">
        <v>9</v>
      </c>
      <c r="CE90" s="99">
        <v>9979.1999999999989</v>
      </c>
      <c r="CF90" s="99">
        <v>7.7226210176551371</v>
      </c>
      <c r="CG90" s="99">
        <v>8562.8421843760152</v>
      </c>
      <c r="CH90" s="99">
        <v>9.1628590984529605</v>
      </c>
      <c r="CI90" s="99">
        <v>10159.778168364643</v>
      </c>
      <c r="CJ90" s="99">
        <v>10.25608856088561</v>
      </c>
      <c r="CK90" s="99">
        <v>11371.950996309964</v>
      </c>
      <c r="CL90" s="99">
        <v>6.5109050138512421</v>
      </c>
      <c r="CM90" s="99">
        <v>7219.2914793582568</v>
      </c>
      <c r="CN90" s="99">
        <v>11.740362168135087</v>
      </c>
      <c r="CO90" s="99">
        <v>13017.713572028184</v>
      </c>
      <c r="CP90" s="99">
        <v>12.463677130044845</v>
      </c>
      <c r="CQ90" s="99">
        <v>13819.725201793723</v>
      </c>
      <c r="CR90" s="99">
        <v>5.8276061520184932</v>
      </c>
      <c r="CS90" s="99">
        <v>6461.6497013581047</v>
      </c>
      <c r="CT90" s="99">
        <v>7</v>
      </c>
      <c r="CU90" s="99">
        <v>7761.5999999999995</v>
      </c>
    </row>
    <row r="91" spans="2:99">
      <c r="C91" s="98" t="s">
        <v>257</v>
      </c>
      <c r="D91" s="99">
        <v>2.9046655905488308</v>
      </c>
      <c r="E91" s="99">
        <v>3300.8619770996911</v>
      </c>
      <c r="F91" s="99">
        <v>4.7913001356285099</v>
      </c>
      <c r="G91" s="99">
        <v>5444.8334741282379</v>
      </c>
      <c r="H91" s="99">
        <v>8.8859775383661503</v>
      </c>
      <c r="I91" s="99">
        <v>10098.024874599292</v>
      </c>
      <c r="J91" s="99">
        <v>6</v>
      </c>
      <c r="K91" s="99">
        <v>6818.4</v>
      </c>
      <c r="L91" s="99">
        <v>11</v>
      </c>
      <c r="M91" s="99">
        <v>12500.399999999998</v>
      </c>
      <c r="N91" s="99">
        <v>8.0993458831881693</v>
      </c>
      <c r="O91" s="99">
        <v>9204.096661655034</v>
      </c>
      <c r="P91" s="99">
        <v>6.4449903399202384</v>
      </c>
      <c r="Q91" s="99">
        <v>7324.0870222853582</v>
      </c>
      <c r="R91" s="99">
        <v>9</v>
      </c>
      <c r="S91" s="99">
        <v>10227.599999999999</v>
      </c>
      <c r="T91" s="99">
        <v>9</v>
      </c>
      <c r="U91" s="99">
        <v>10227.599999999999</v>
      </c>
      <c r="V91" s="99">
        <v>8.6060606060606073</v>
      </c>
      <c r="W91" s="99">
        <v>9779.9272727272728</v>
      </c>
      <c r="X91" s="99">
        <v>9</v>
      </c>
      <c r="Y91" s="99">
        <v>10227.599999999999</v>
      </c>
      <c r="Z91" s="99">
        <v>11</v>
      </c>
      <c r="AA91" s="99">
        <v>12500.399999999998</v>
      </c>
      <c r="AB91" s="99">
        <v>11</v>
      </c>
      <c r="AC91" s="99">
        <v>12500.399999999998</v>
      </c>
      <c r="AD91" s="99">
        <v>6</v>
      </c>
      <c r="AE91" s="99">
        <v>6818.4</v>
      </c>
      <c r="AF91" s="99">
        <v>7</v>
      </c>
      <c r="AG91" s="99">
        <v>7954.7999999999993</v>
      </c>
      <c r="AH91" s="99">
        <v>11</v>
      </c>
      <c r="AI91" s="99">
        <v>12500.399999999998</v>
      </c>
      <c r="AJ91" s="99">
        <v>11</v>
      </c>
      <c r="AK91" s="99">
        <v>12500.399999999998</v>
      </c>
      <c r="AL91" s="99">
        <v>8</v>
      </c>
      <c r="AM91" s="99">
        <v>9091.1999999999989</v>
      </c>
      <c r="AN91" s="99">
        <v>8</v>
      </c>
      <c r="AO91" s="99">
        <v>9091.1999999999989</v>
      </c>
      <c r="AP91" s="99">
        <v>9</v>
      </c>
      <c r="AQ91" s="99">
        <v>10227.599999999999</v>
      </c>
      <c r="AR91" s="99">
        <v>9</v>
      </c>
      <c r="AS91" s="99">
        <v>10227.599999999999</v>
      </c>
      <c r="AT91" s="99">
        <v>7</v>
      </c>
      <c r="AU91" s="99">
        <v>7954.7999999999993</v>
      </c>
      <c r="AV91" s="99">
        <v>12</v>
      </c>
      <c r="AW91" s="99">
        <v>13636.8</v>
      </c>
      <c r="AX91" s="99">
        <v>6</v>
      </c>
      <c r="AY91" s="99">
        <v>6818.4</v>
      </c>
      <c r="AZ91" s="99">
        <v>11</v>
      </c>
      <c r="BA91" s="99">
        <v>12500.399999999998</v>
      </c>
      <c r="BB91" s="99">
        <v>5.6908867944291943</v>
      </c>
      <c r="BC91" s="99">
        <v>6467.1237531893357</v>
      </c>
      <c r="BD91" s="99">
        <v>9</v>
      </c>
      <c r="BE91" s="99">
        <v>10227.599999999999</v>
      </c>
      <c r="BF91" s="99">
        <v>10</v>
      </c>
      <c r="BG91" s="99">
        <v>11363.999999999998</v>
      </c>
      <c r="BH91" s="99">
        <v>12</v>
      </c>
      <c r="BI91" s="99">
        <v>13636.8</v>
      </c>
      <c r="BJ91" s="99">
        <v>7</v>
      </c>
      <c r="BK91" s="99">
        <v>7954.7999999999993</v>
      </c>
      <c r="BL91" s="99">
        <v>8.360404313349969</v>
      </c>
      <c r="BM91" s="99">
        <v>9500.7634616909036</v>
      </c>
      <c r="BN91" s="99">
        <v>7.3724137931034486</v>
      </c>
      <c r="BO91" s="99">
        <v>8378.0110344827572</v>
      </c>
      <c r="BP91" s="99">
        <v>4.320768608402223</v>
      </c>
      <c r="BQ91" s="99">
        <v>4910.1214465882858</v>
      </c>
      <c r="BR91" s="99">
        <v>8</v>
      </c>
      <c r="BS91" s="99">
        <v>9091.1999999999989</v>
      </c>
      <c r="BT91" s="99">
        <v>6</v>
      </c>
      <c r="BU91" s="99">
        <v>6818.4</v>
      </c>
      <c r="BV91" s="99">
        <v>11.042060085836917</v>
      </c>
      <c r="BW91" s="99">
        <v>12548.197081545071</v>
      </c>
      <c r="BX91" s="99">
        <v>2.9527913895016962</v>
      </c>
      <c r="BY91" s="99">
        <v>3355.5521350297272</v>
      </c>
      <c r="BZ91" s="99">
        <v>11.877777777777782</v>
      </c>
      <c r="CA91" s="99">
        <v>13497.906666666669</v>
      </c>
      <c r="CB91" s="99">
        <v>9.1867187500000007</v>
      </c>
      <c r="CC91" s="99">
        <v>10439.7871875</v>
      </c>
      <c r="CD91" s="99">
        <v>10</v>
      </c>
      <c r="CE91" s="99">
        <v>11363.999999999998</v>
      </c>
      <c r="CF91" s="99">
        <v>6.8645520156934552</v>
      </c>
      <c r="CG91" s="99">
        <v>7800.8769106340415</v>
      </c>
      <c r="CH91" s="99">
        <v>9.1628590984529605</v>
      </c>
      <c r="CI91" s="99">
        <v>10412.673079481943</v>
      </c>
      <c r="CJ91" s="99">
        <v>7.8892988929889301</v>
      </c>
      <c r="CK91" s="99">
        <v>8965.3992619926194</v>
      </c>
      <c r="CL91" s="99">
        <v>7.2343389042791584</v>
      </c>
      <c r="CM91" s="99">
        <v>8221.1027308228349</v>
      </c>
      <c r="CN91" s="99">
        <v>10.837257385970851</v>
      </c>
      <c r="CO91" s="99">
        <v>12315.459293417274</v>
      </c>
      <c r="CP91" s="99">
        <v>12.463677130044845</v>
      </c>
      <c r="CQ91" s="99">
        <v>14163.722690582959</v>
      </c>
      <c r="CR91" s="99">
        <v>5.2978237745622669</v>
      </c>
      <c r="CS91" s="99">
        <v>6020.4469374125592</v>
      </c>
      <c r="CT91" s="99">
        <v>8</v>
      </c>
      <c r="CU91" s="99">
        <v>9091.1999999999989</v>
      </c>
    </row>
    <row r="92" spans="2:99">
      <c r="C92" s="98" t="s">
        <v>258</v>
      </c>
      <c r="D92" s="99">
        <v>3.3887765223069692</v>
      </c>
      <c r="E92" s="99">
        <v>2659.5118147065091</v>
      </c>
      <c r="F92" s="99">
        <v>6.3884001808380129</v>
      </c>
      <c r="G92" s="99">
        <v>5013.6164619216725</v>
      </c>
      <c r="H92" s="99">
        <v>8.8859775383661503</v>
      </c>
      <c r="I92" s="99">
        <v>6973.7151721097543</v>
      </c>
      <c r="J92" s="99">
        <v>7</v>
      </c>
      <c r="K92" s="99">
        <v>5493.5999999999995</v>
      </c>
      <c r="L92" s="99">
        <v>11</v>
      </c>
      <c r="M92" s="99">
        <v>8632.7999999999993</v>
      </c>
      <c r="N92" s="99">
        <v>8.0993458831881693</v>
      </c>
      <c r="O92" s="99">
        <v>6356.3666491260747</v>
      </c>
      <c r="P92" s="99">
        <v>5.9079078115935513</v>
      </c>
      <c r="Q92" s="99">
        <v>4636.5260505386186</v>
      </c>
      <c r="R92" s="99">
        <v>10</v>
      </c>
      <c r="S92" s="99">
        <v>7848</v>
      </c>
      <c r="T92" s="99">
        <v>9</v>
      </c>
      <c r="U92" s="99">
        <v>7063.2</v>
      </c>
      <c r="V92" s="99">
        <v>8.6060606060606073</v>
      </c>
      <c r="W92" s="99">
        <v>6754.0363636363645</v>
      </c>
      <c r="X92" s="99">
        <v>10</v>
      </c>
      <c r="Y92" s="99">
        <v>7848</v>
      </c>
      <c r="Z92" s="99">
        <v>11</v>
      </c>
      <c r="AA92" s="99">
        <v>8632.7999999999993</v>
      </c>
      <c r="AB92" s="99">
        <v>10</v>
      </c>
      <c r="AC92" s="99">
        <v>7848</v>
      </c>
      <c r="AD92" s="99">
        <v>6</v>
      </c>
      <c r="AE92" s="99">
        <v>4708.7999999999993</v>
      </c>
      <c r="AF92" s="99">
        <v>7</v>
      </c>
      <c r="AG92" s="99">
        <v>5493.5999999999995</v>
      </c>
      <c r="AH92" s="99">
        <v>13</v>
      </c>
      <c r="AI92" s="99">
        <v>10202.4</v>
      </c>
      <c r="AJ92" s="99">
        <v>12</v>
      </c>
      <c r="AK92" s="99">
        <v>9417.5999999999985</v>
      </c>
      <c r="AL92" s="99">
        <v>7</v>
      </c>
      <c r="AM92" s="99">
        <v>5493.5999999999995</v>
      </c>
      <c r="AN92" s="99">
        <v>7</v>
      </c>
      <c r="AO92" s="99">
        <v>5493.5999999999995</v>
      </c>
      <c r="AP92" s="99">
        <v>8</v>
      </c>
      <c r="AQ92" s="99">
        <v>6278.4</v>
      </c>
      <c r="AR92" s="99">
        <v>9</v>
      </c>
      <c r="AS92" s="99">
        <v>7063.2</v>
      </c>
      <c r="AT92" s="99">
        <v>7</v>
      </c>
      <c r="AU92" s="99">
        <v>5493.5999999999995</v>
      </c>
      <c r="AV92" s="99">
        <v>12</v>
      </c>
      <c r="AW92" s="99">
        <v>9417.5999999999985</v>
      </c>
      <c r="AX92" s="99">
        <v>7</v>
      </c>
      <c r="AY92" s="99">
        <v>5493.5999999999995</v>
      </c>
      <c r="AZ92" s="99">
        <v>13</v>
      </c>
      <c r="BA92" s="99">
        <v>10202.4</v>
      </c>
      <c r="BB92" s="99">
        <v>6.5038706222047944</v>
      </c>
      <c r="BC92" s="99">
        <v>5104.2376643063226</v>
      </c>
      <c r="BD92" s="99">
        <v>9</v>
      </c>
      <c r="BE92" s="99">
        <v>7063.2</v>
      </c>
      <c r="BF92" s="99">
        <v>11</v>
      </c>
      <c r="BG92" s="99">
        <v>8632.7999999999993</v>
      </c>
      <c r="BH92" s="99">
        <v>12</v>
      </c>
      <c r="BI92" s="99">
        <v>9417.5999999999985</v>
      </c>
      <c r="BJ92" s="99">
        <v>7</v>
      </c>
      <c r="BK92" s="99">
        <v>5493.5999999999995</v>
      </c>
      <c r="BL92" s="99">
        <v>9.1964447446849658</v>
      </c>
      <c r="BM92" s="99">
        <v>7217.3698356287605</v>
      </c>
      <c r="BN92" s="99">
        <v>6.4508620689655176</v>
      </c>
      <c r="BO92" s="99">
        <v>5062.6365517241384</v>
      </c>
      <c r="BP92" s="99">
        <v>4.320768608402223</v>
      </c>
      <c r="BQ92" s="99">
        <v>3390.9392038740643</v>
      </c>
      <c r="BR92" s="99">
        <v>8</v>
      </c>
      <c r="BS92" s="99">
        <v>6278.4</v>
      </c>
      <c r="BT92" s="99">
        <v>7</v>
      </c>
      <c r="BU92" s="99">
        <v>5493.5999999999995</v>
      </c>
      <c r="BV92" s="99">
        <v>9.2017167381974314</v>
      </c>
      <c r="BW92" s="99">
        <v>7221.5072961373435</v>
      </c>
      <c r="BX92" s="99">
        <v>2.9527913895016962</v>
      </c>
      <c r="BY92" s="99">
        <v>2317.350682480931</v>
      </c>
      <c r="BZ92" s="99">
        <v>11.877777777777782</v>
      </c>
      <c r="CA92" s="99">
        <v>9321.6800000000021</v>
      </c>
      <c r="CB92" s="99">
        <v>10.021875000000001</v>
      </c>
      <c r="CC92" s="99">
        <v>7865.1675000000005</v>
      </c>
      <c r="CD92" s="99">
        <v>10</v>
      </c>
      <c r="CE92" s="99">
        <v>7848</v>
      </c>
      <c r="CF92" s="99">
        <v>6.8645520156934552</v>
      </c>
      <c r="CG92" s="99">
        <v>5387.3004219162231</v>
      </c>
      <c r="CH92" s="99">
        <v>9.9264306899907098</v>
      </c>
      <c r="CI92" s="99">
        <v>7790.2628055047089</v>
      </c>
      <c r="CJ92" s="99">
        <v>8.6782287822878228</v>
      </c>
      <c r="CK92" s="99">
        <v>6810.6739483394831</v>
      </c>
      <c r="CL92" s="99">
        <v>6.5109050138512421</v>
      </c>
      <c r="CM92" s="99">
        <v>5109.7582548704549</v>
      </c>
      <c r="CN92" s="99">
        <v>11.740362168135087</v>
      </c>
      <c r="CO92" s="99">
        <v>9213.8362295524166</v>
      </c>
      <c r="CP92" s="99">
        <v>12.463677130044845</v>
      </c>
      <c r="CQ92" s="99">
        <v>9781.4938116591929</v>
      </c>
      <c r="CR92" s="99">
        <v>5.2978237745622669</v>
      </c>
      <c r="CS92" s="99">
        <v>4157.7320982764668</v>
      </c>
      <c r="CT92" s="99">
        <v>8</v>
      </c>
      <c r="CU92" s="99">
        <v>6278.4</v>
      </c>
    </row>
    <row r="93" spans="2:99">
      <c r="C93" s="98" t="s">
        <v>259</v>
      </c>
      <c r="D93" s="99">
        <v>3.3887765223069692</v>
      </c>
      <c r="E93" s="99">
        <v>2350.455395872114</v>
      </c>
      <c r="F93" s="99">
        <v>6.3884001808380129</v>
      </c>
      <c r="G93" s="99">
        <v>4430.9943654292456</v>
      </c>
      <c r="H93" s="99">
        <v>9.62647566656333</v>
      </c>
      <c r="I93" s="99">
        <v>6676.9235223283258</v>
      </c>
      <c r="J93" s="99">
        <v>7</v>
      </c>
      <c r="K93" s="99">
        <v>4855.2</v>
      </c>
      <c r="L93" s="99">
        <v>12</v>
      </c>
      <c r="M93" s="99">
        <v>8323.2000000000007</v>
      </c>
      <c r="N93" s="99">
        <v>8.9992732035424101</v>
      </c>
      <c r="O93" s="99">
        <v>6241.8958939770155</v>
      </c>
      <c r="P93" s="99">
        <v>6.4449903399202384</v>
      </c>
      <c r="Q93" s="99">
        <v>4470.2452997686778</v>
      </c>
      <c r="R93" s="99">
        <v>9</v>
      </c>
      <c r="S93" s="99">
        <v>6242.4000000000005</v>
      </c>
      <c r="T93" s="99">
        <v>9</v>
      </c>
      <c r="U93" s="99">
        <v>6242.4000000000005</v>
      </c>
      <c r="V93" s="99">
        <v>8.6060606060606073</v>
      </c>
      <c r="W93" s="99">
        <v>5969.1636363636371</v>
      </c>
      <c r="X93" s="99">
        <v>9</v>
      </c>
      <c r="Y93" s="99">
        <v>6242.4000000000005</v>
      </c>
      <c r="Z93" s="99">
        <v>12</v>
      </c>
      <c r="AA93" s="99">
        <v>8323.2000000000007</v>
      </c>
      <c r="AB93" s="99">
        <v>11</v>
      </c>
      <c r="AC93" s="99">
        <v>7629.6</v>
      </c>
      <c r="AD93" s="99">
        <v>6</v>
      </c>
      <c r="AE93" s="99">
        <v>4161.6000000000004</v>
      </c>
      <c r="AF93" s="99">
        <v>7</v>
      </c>
      <c r="AG93" s="99">
        <v>4855.2</v>
      </c>
      <c r="AH93" s="99">
        <v>11</v>
      </c>
      <c r="AI93" s="99">
        <v>7629.6</v>
      </c>
      <c r="AJ93" s="99">
        <v>12</v>
      </c>
      <c r="AK93" s="99">
        <v>8323.2000000000007</v>
      </c>
      <c r="AL93" s="99">
        <v>8</v>
      </c>
      <c r="AM93" s="99">
        <v>5548.8</v>
      </c>
      <c r="AN93" s="99">
        <v>8</v>
      </c>
      <c r="AO93" s="99">
        <v>5548.8</v>
      </c>
      <c r="AP93" s="99">
        <v>8</v>
      </c>
      <c r="AQ93" s="99">
        <v>5548.8</v>
      </c>
      <c r="AR93" s="99">
        <v>9</v>
      </c>
      <c r="AS93" s="99">
        <v>6242.4000000000005</v>
      </c>
      <c r="AT93" s="99">
        <v>7</v>
      </c>
      <c r="AU93" s="99">
        <v>4855.2</v>
      </c>
      <c r="AV93" s="99">
        <v>12</v>
      </c>
      <c r="AW93" s="99">
        <v>8323.2000000000007</v>
      </c>
      <c r="AX93" s="99">
        <v>6</v>
      </c>
      <c r="AY93" s="99">
        <v>4161.6000000000004</v>
      </c>
      <c r="AZ93" s="99">
        <v>12</v>
      </c>
      <c r="BA93" s="99">
        <v>8323.2000000000007</v>
      </c>
      <c r="BB93" s="99">
        <v>7.3168544499803936</v>
      </c>
      <c r="BC93" s="99">
        <v>5074.9702465064011</v>
      </c>
      <c r="BD93" s="99">
        <v>9</v>
      </c>
      <c r="BE93" s="99">
        <v>6242.4000000000005</v>
      </c>
      <c r="BF93" s="99">
        <v>12</v>
      </c>
      <c r="BG93" s="99">
        <v>8323.2000000000007</v>
      </c>
      <c r="BH93" s="99">
        <v>14</v>
      </c>
      <c r="BI93" s="99">
        <v>9710.4</v>
      </c>
      <c r="BJ93" s="99">
        <v>7</v>
      </c>
      <c r="BK93" s="99">
        <v>4855.2</v>
      </c>
      <c r="BL93" s="99">
        <v>8.360404313349969</v>
      </c>
      <c r="BM93" s="99">
        <v>5798.7764317395386</v>
      </c>
      <c r="BN93" s="99">
        <v>7.3724137931034486</v>
      </c>
      <c r="BO93" s="99">
        <v>5113.5062068965517</v>
      </c>
      <c r="BP93" s="99">
        <v>3.9279714621838391</v>
      </c>
      <c r="BQ93" s="99">
        <v>2724.4410061707108</v>
      </c>
      <c r="BR93" s="99">
        <v>9</v>
      </c>
      <c r="BS93" s="99">
        <v>6242.4000000000005</v>
      </c>
      <c r="BT93" s="99">
        <v>7</v>
      </c>
      <c r="BU93" s="99">
        <v>4855.2</v>
      </c>
      <c r="BV93" s="99">
        <v>10.121888412017174</v>
      </c>
      <c r="BW93" s="99">
        <v>7020.5418025751123</v>
      </c>
      <c r="BX93" s="99">
        <v>3.2480705284518661</v>
      </c>
      <c r="BY93" s="99">
        <v>2252.8617185342146</v>
      </c>
      <c r="BZ93" s="99">
        <v>12.867592592592596</v>
      </c>
      <c r="CA93" s="99">
        <v>8924.9622222222242</v>
      </c>
      <c r="CB93" s="99">
        <v>10.85703125</v>
      </c>
      <c r="CC93" s="99">
        <v>7530.4368750000003</v>
      </c>
      <c r="CD93" s="99">
        <v>11</v>
      </c>
      <c r="CE93" s="99">
        <v>7629.6</v>
      </c>
      <c r="CF93" s="99">
        <v>7.7226210176551371</v>
      </c>
      <c r="CG93" s="99">
        <v>5356.4099378456031</v>
      </c>
      <c r="CH93" s="99">
        <v>9.9264306899907098</v>
      </c>
      <c r="CI93" s="99">
        <v>6884.9723265775565</v>
      </c>
      <c r="CJ93" s="99">
        <v>9.4671586715867164</v>
      </c>
      <c r="CK93" s="99">
        <v>6566.4212546125464</v>
      </c>
      <c r="CL93" s="99">
        <v>7.2343389042791584</v>
      </c>
      <c r="CM93" s="99">
        <v>5017.7374640080243</v>
      </c>
      <c r="CN93" s="99">
        <v>11.740362168135087</v>
      </c>
      <c r="CO93" s="99">
        <v>8143.1151998184969</v>
      </c>
      <c r="CP93" s="99">
        <v>12.463677130044845</v>
      </c>
      <c r="CQ93" s="99">
        <v>8644.8064573991051</v>
      </c>
      <c r="CR93" s="99">
        <v>5.2978237745622669</v>
      </c>
      <c r="CS93" s="99">
        <v>3674.5705700363883</v>
      </c>
      <c r="CT93" s="99">
        <v>8</v>
      </c>
      <c r="CU93" s="99">
        <v>5548.8</v>
      </c>
    </row>
    <row r="94" spans="2:99">
      <c r="C94" s="98" t="s">
        <v>260</v>
      </c>
      <c r="D94" s="99">
        <v>2.9046655905488308</v>
      </c>
      <c r="E94" s="99">
        <v>3464.6851164066452</v>
      </c>
      <c r="F94" s="99">
        <v>6.3884001808380129</v>
      </c>
      <c r="G94" s="99">
        <v>7620.0837357035816</v>
      </c>
      <c r="H94" s="99">
        <v>8.1454794101689707</v>
      </c>
      <c r="I94" s="99">
        <v>9715.9278404495471</v>
      </c>
      <c r="J94" s="99">
        <v>7</v>
      </c>
      <c r="K94" s="99">
        <v>8349.6</v>
      </c>
      <c r="L94" s="99">
        <v>12</v>
      </c>
      <c r="M94" s="99">
        <v>14313.599999999999</v>
      </c>
      <c r="N94" s="99">
        <v>8.9992732035424101</v>
      </c>
      <c r="O94" s="99">
        <v>10734.333077185387</v>
      </c>
      <c r="P94" s="99">
        <v>5.9079078115935513</v>
      </c>
      <c r="Q94" s="99">
        <v>7046.9524376687878</v>
      </c>
      <c r="R94" s="99">
        <v>9</v>
      </c>
      <c r="S94" s="99">
        <v>10735.199999999999</v>
      </c>
      <c r="T94" s="99">
        <v>9</v>
      </c>
      <c r="U94" s="99">
        <v>10735.199999999999</v>
      </c>
      <c r="V94" s="99">
        <v>8.6060606060606073</v>
      </c>
      <c r="W94" s="99">
        <v>10265.309090909092</v>
      </c>
      <c r="X94" s="99">
        <v>9</v>
      </c>
      <c r="Y94" s="99">
        <v>10735.199999999999</v>
      </c>
      <c r="Z94" s="99">
        <v>11</v>
      </c>
      <c r="AA94" s="99">
        <v>13120.8</v>
      </c>
      <c r="AB94" s="99">
        <v>11</v>
      </c>
      <c r="AC94" s="99">
        <v>13120.8</v>
      </c>
      <c r="AD94" s="99">
        <v>6</v>
      </c>
      <c r="AE94" s="99">
        <v>7156.7999999999993</v>
      </c>
      <c r="AF94" s="99">
        <v>7</v>
      </c>
      <c r="AG94" s="99">
        <v>8349.6</v>
      </c>
      <c r="AH94" s="99">
        <v>12</v>
      </c>
      <c r="AI94" s="99">
        <v>14313.599999999999</v>
      </c>
      <c r="AJ94" s="99">
        <v>11</v>
      </c>
      <c r="AK94" s="99">
        <v>13120.8</v>
      </c>
      <c r="AL94" s="99">
        <v>8</v>
      </c>
      <c r="AM94" s="99">
        <v>9542.4</v>
      </c>
      <c r="AN94" s="99">
        <v>7</v>
      </c>
      <c r="AO94" s="99">
        <v>8349.6</v>
      </c>
      <c r="AP94" s="99">
        <v>8</v>
      </c>
      <c r="AQ94" s="99">
        <v>9542.4</v>
      </c>
      <c r="AR94" s="99">
        <v>8</v>
      </c>
      <c r="AS94" s="99">
        <v>9542.4</v>
      </c>
      <c r="AT94" s="99">
        <v>7</v>
      </c>
      <c r="AU94" s="99">
        <v>8349.6</v>
      </c>
      <c r="AV94" s="99">
        <v>11</v>
      </c>
      <c r="AW94" s="99">
        <v>13120.8</v>
      </c>
      <c r="AX94" s="99">
        <v>6</v>
      </c>
      <c r="AY94" s="99">
        <v>7156.7999999999993</v>
      </c>
      <c r="AZ94" s="99">
        <v>13</v>
      </c>
      <c r="BA94" s="99">
        <v>15506.4</v>
      </c>
      <c r="BB94" s="99">
        <v>6.5038706222047944</v>
      </c>
      <c r="BC94" s="99">
        <v>7757.8168781658787</v>
      </c>
      <c r="BD94" s="99">
        <v>9</v>
      </c>
      <c r="BE94" s="99">
        <v>10735.199999999999</v>
      </c>
      <c r="BF94" s="99">
        <v>12</v>
      </c>
      <c r="BG94" s="99">
        <v>14313.599999999999</v>
      </c>
      <c r="BH94" s="99">
        <v>13</v>
      </c>
      <c r="BI94" s="99">
        <v>15506.4</v>
      </c>
      <c r="BJ94" s="99">
        <v>7</v>
      </c>
      <c r="BK94" s="99">
        <v>8349.6</v>
      </c>
      <c r="BL94" s="99">
        <v>9.1964447446849658</v>
      </c>
      <c r="BM94" s="99">
        <v>10969.519291460227</v>
      </c>
      <c r="BN94" s="99">
        <v>6.4508620689655176</v>
      </c>
      <c r="BO94" s="99">
        <v>7694.5882758620692</v>
      </c>
      <c r="BP94" s="99">
        <v>3.9279714621838391</v>
      </c>
      <c r="BQ94" s="99">
        <v>4685.2843600928827</v>
      </c>
      <c r="BR94" s="99">
        <v>8</v>
      </c>
      <c r="BS94" s="99">
        <v>9542.4</v>
      </c>
      <c r="BT94" s="99">
        <v>7</v>
      </c>
      <c r="BU94" s="99">
        <v>8349.6</v>
      </c>
      <c r="BV94" s="99">
        <v>10.121888412017174</v>
      </c>
      <c r="BW94" s="99">
        <v>12073.388497854085</v>
      </c>
      <c r="BX94" s="99">
        <v>2.6575122505515267</v>
      </c>
      <c r="BY94" s="99">
        <v>3169.8806124578609</v>
      </c>
      <c r="BZ94" s="99">
        <v>12.867592592592596</v>
      </c>
      <c r="CA94" s="99">
        <v>15348.464444444448</v>
      </c>
      <c r="CB94" s="99">
        <v>10.021875000000001</v>
      </c>
      <c r="CC94" s="99">
        <v>11954.092500000001</v>
      </c>
      <c r="CD94" s="99">
        <v>11</v>
      </c>
      <c r="CE94" s="99">
        <v>13120.8</v>
      </c>
      <c r="CF94" s="99">
        <v>7.7226210176551371</v>
      </c>
      <c r="CG94" s="99">
        <v>9211.542349859048</v>
      </c>
      <c r="CH94" s="99">
        <v>9.9264306899907098</v>
      </c>
      <c r="CI94" s="99">
        <v>11840.246527020918</v>
      </c>
      <c r="CJ94" s="99">
        <v>8.6782287822878228</v>
      </c>
      <c r="CK94" s="99">
        <v>10351.391291512915</v>
      </c>
      <c r="CL94" s="99">
        <v>6.5109050138512421</v>
      </c>
      <c r="CM94" s="99">
        <v>7766.2075005217612</v>
      </c>
      <c r="CN94" s="99">
        <v>10.837257385970851</v>
      </c>
      <c r="CO94" s="99">
        <v>12926.680609986031</v>
      </c>
      <c r="CP94" s="99">
        <v>13.422421524663678</v>
      </c>
      <c r="CQ94" s="99">
        <v>16010.264394618835</v>
      </c>
      <c r="CR94" s="99">
        <v>5.2978237745622669</v>
      </c>
      <c r="CS94" s="99">
        <v>6319.2441982978717</v>
      </c>
      <c r="CT94" s="99">
        <v>8</v>
      </c>
      <c r="CU94" s="99">
        <v>9542.4</v>
      </c>
    </row>
    <row r="95" spans="2:99">
      <c r="B95" s="98" t="s">
        <v>132</v>
      </c>
      <c r="C95" s="98" t="s">
        <v>261</v>
      </c>
      <c r="D95" s="99">
        <v>3.8728874540651077</v>
      </c>
      <c r="E95" s="99">
        <v>1273.4053948966075</v>
      </c>
      <c r="F95" s="99">
        <v>10.38115029386177</v>
      </c>
      <c r="G95" s="99">
        <v>3413.3222166217502</v>
      </c>
      <c r="H95" s="99">
        <v>5.9239850255774336</v>
      </c>
      <c r="I95" s="99">
        <v>1947.8062764098602</v>
      </c>
      <c r="J95" s="99">
        <v>12</v>
      </c>
      <c r="K95" s="99">
        <v>3945.6000000000004</v>
      </c>
      <c r="L95" s="99">
        <v>15</v>
      </c>
      <c r="M95" s="99">
        <v>4932</v>
      </c>
      <c r="N95" s="99">
        <v>10.799127844250892</v>
      </c>
      <c r="O95" s="99">
        <v>3550.7532351896934</v>
      </c>
      <c r="P95" s="99">
        <v>7.5191553965736109</v>
      </c>
      <c r="Q95" s="99">
        <v>2472.2982943934035</v>
      </c>
      <c r="R95" s="99">
        <v>14</v>
      </c>
      <c r="S95" s="99">
        <v>4603.2</v>
      </c>
      <c r="T95" s="99">
        <v>13</v>
      </c>
      <c r="U95" s="99">
        <v>4274.4000000000005</v>
      </c>
      <c r="V95" s="99">
        <v>7.7454545454545469</v>
      </c>
      <c r="W95" s="99">
        <v>2546.7054545454553</v>
      </c>
      <c r="X95" s="99">
        <v>12</v>
      </c>
      <c r="Y95" s="99">
        <v>3945.6000000000004</v>
      </c>
      <c r="Z95" s="99">
        <v>8</v>
      </c>
      <c r="AA95" s="99">
        <v>2630.4</v>
      </c>
      <c r="AB95" s="99">
        <v>16</v>
      </c>
      <c r="AC95" s="99">
        <v>5260.8</v>
      </c>
      <c r="AD95" s="99">
        <v>16</v>
      </c>
      <c r="AE95" s="99">
        <v>5260.8</v>
      </c>
      <c r="AF95" s="99">
        <v>10</v>
      </c>
      <c r="AG95" s="99">
        <v>3288</v>
      </c>
      <c r="AH95" s="99">
        <v>9</v>
      </c>
      <c r="AI95" s="99">
        <v>2959.2000000000003</v>
      </c>
      <c r="AJ95" s="99">
        <v>9</v>
      </c>
      <c r="AK95" s="99">
        <v>2959.2000000000003</v>
      </c>
      <c r="AL95" s="99">
        <v>10</v>
      </c>
      <c r="AM95" s="99">
        <v>3288</v>
      </c>
      <c r="AN95" s="99">
        <v>13</v>
      </c>
      <c r="AO95" s="99">
        <v>4274.4000000000005</v>
      </c>
      <c r="AP95" s="99">
        <v>13</v>
      </c>
      <c r="AQ95" s="99">
        <v>4274.4000000000005</v>
      </c>
      <c r="AR95" s="99">
        <v>16</v>
      </c>
      <c r="AS95" s="99">
        <v>5260.8</v>
      </c>
      <c r="AT95" s="99">
        <v>10</v>
      </c>
      <c r="AU95" s="99">
        <v>3288</v>
      </c>
      <c r="AV95" s="99">
        <v>11</v>
      </c>
      <c r="AW95" s="99">
        <v>3616.8</v>
      </c>
      <c r="AX95" s="99">
        <v>14</v>
      </c>
      <c r="AY95" s="99">
        <v>4603.2</v>
      </c>
      <c r="AZ95" s="99">
        <v>13</v>
      </c>
      <c r="BA95" s="99">
        <v>4274.4000000000005</v>
      </c>
      <c r="BB95" s="99">
        <v>12.194757416633989</v>
      </c>
      <c r="BC95" s="99">
        <v>4009.6362385892558</v>
      </c>
      <c r="BD95" s="99">
        <v>8</v>
      </c>
      <c r="BE95" s="99">
        <v>2630.4</v>
      </c>
      <c r="BF95" s="99">
        <v>10</v>
      </c>
      <c r="BG95" s="99">
        <v>3288</v>
      </c>
      <c r="BH95" s="99">
        <v>12</v>
      </c>
      <c r="BI95" s="99">
        <v>3945.6000000000004</v>
      </c>
      <c r="BJ95" s="99">
        <v>14</v>
      </c>
      <c r="BK95" s="99">
        <v>4603.2</v>
      </c>
      <c r="BL95" s="99">
        <v>8.360404313349969</v>
      </c>
      <c r="BM95" s="99">
        <v>2748.9009382294698</v>
      </c>
      <c r="BN95" s="99">
        <v>13.823275862068968</v>
      </c>
      <c r="BO95" s="99">
        <v>4545.0931034482765</v>
      </c>
      <c r="BP95" s="99">
        <v>3.5351743159654552</v>
      </c>
      <c r="BQ95" s="99">
        <v>1162.3653150894418</v>
      </c>
      <c r="BR95" s="99">
        <v>13</v>
      </c>
      <c r="BS95" s="99">
        <v>4274.4000000000005</v>
      </c>
      <c r="BT95" s="99">
        <v>13</v>
      </c>
      <c r="BU95" s="99">
        <v>4274.4000000000005</v>
      </c>
      <c r="BV95" s="99">
        <v>11.962231759656662</v>
      </c>
      <c r="BW95" s="99">
        <v>3933.1818025751109</v>
      </c>
      <c r="BX95" s="99">
        <v>3.8386288063522054</v>
      </c>
      <c r="BY95" s="99">
        <v>1262.1411515286052</v>
      </c>
      <c r="BZ95" s="99">
        <v>7.9185185185185203</v>
      </c>
      <c r="CA95" s="99">
        <v>2603.6088888888894</v>
      </c>
      <c r="CB95" s="99">
        <v>10.021875000000001</v>
      </c>
      <c r="CC95" s="99">
        <v>3295.1925000000006</v>
      </c>
      <c r="CD95" s="99">
        <v>14</v>
      </c>
      <c r="CE95" s="99">
        <v>4603.2</v>
      </c>
      <c r="CF95" s="99">
        <v>9.4387590215785018</v>
      </c>
      <c r="CG95" s="99">
        <v>3103.4639662950117</v>
      </c>
      <c r="CH95" s="99">
        <v>8.3992875069152149</v>
      </c>
      <c r="CI95" s="99">
        <v>2761.6857322737228</v>
      </c>
      <c r="CJ95" s="99">
        <v>12.622878228782287</v>
      </c>
      <c r="CK95" s="99">
        <v>4150.4023616236163</v>
      </c>
      <c r="CL95" s="99">
        <v>11.574942246846653</v>
      </c>
      <c r="CM95" s="99">
        <v>3805.8410107631798</v>
      </c>
      <c r="CN95" s="99">
        <v>12.643466950299326</v>
      </c>
      <c r="CO95" s="99">
        <v>4157.171933258418</v>
      </c>
      <c r="CP95" s="99">
        <v>7.6699551569506728</v>
      </c>
      <c r="CQ95" s="99">
        <v>2521.8812556053813</v>
      </c>
      <c r="CR95" s="99">
        <v>5.2978237745622669</v>
      </c>
      <c r="CS95" s="99">
        <v>1741.9244570760734</v>
      </c>
      <c r="CT95" s="99">
        <v>16</v>
      </c>
      <c r="CU95" s="99">
        <v>5260.8</v>
      </c>
    </row>
    <row r="96" spans="2:99">
      <c r="C96" s="98" t="s">
        <v>262</v>
      </c>
      <c r="D96" s="99">
        <v>4.3569983858232462</v>
      </c>
      <c r="E96" s="99">
        <v>3027.2424784699911</v>
      </c>
      <c r="F96" s="99">
        <v>8.7840502486522674</v>
      </c>
      <c r="G96" s="99">
        <v>6103.1581127635945</v>
      </c>
      <c r="H96" s="99">
        <v>5.1834868973802548</v>
      </c>
      <c r="I96" s="99">
        <v>3601.4866962998008</v>
      </c>
      <c r="J96" s="99">
        <v>12</v>
      </c>
      <c r="K96" s="99">
        <v>8337.5999999999985</v>
      </c>
      <c r="L96" s="99">
        <v>13</v>
      </c>
      <c r="M96" s="99">
        <v>9032.4</v>
      </c>
      <c r="N96" s="99">
        <v>9.8992005238966509</v>
      </c>
      <c r="O96" s="99">
        <v>6877.9645240033924</v>
      </c>
      <c r="P96" s="99">
        <v>6.9820728682469246</v>
      </c>
      <c r="Q96" s="99">
        <v>4851.1442288579628</v>
      </c>
      <c r="R96" s="99">
        <v>13</v>
      </c>
      <c r="S96" s="99">
        <v>9032.4</v>
      </c>
      <c r="T96" s="99">
        <v>14</v>
      </c>
      <c r="U96" s="99">
        <v>9727.1999999999989</v>
      </c>
      <c r="V96" s="99">
        <v>6.8848484848484865</v>
      </c>
      <c r="W96" s="99">
        <v>4783.5927272727286</v>
      </c>
      <c r="X96" s="99">
        <v>12</v>
      </c>
      <c r="Y96" s="99">
        <v>8337.5999999999985</v>
      </c>
      <c r="Z96" s="99">
        <v>8</v>
      </c>
      <c r="AA96" s="99">
        <v>5558.4</v>
      </c>
      <c r="AB96" s="99">
        <v>15</v>
      </c>
      <c r="AC96" s="99">
        <v>10422</v>
      </c>
      <c r="AD96" s="99">
        <v>15</v>
      </c>
      <c r="AE96" s="99">
        <v>10422</v>
      </c>
      <c r="AF96" s="99">
        <v>11</v>
      </c>
      <c r="AG96" s="99">
        <v>7642.7999999999993</v>
      </c>
      <c r="AH96" s="99">
        <v>9</v>
      </c>
      <c r="AI96" s="99">
        <v>6253.2</v>
      </c>
      <c r="AJ96" s="99">
        <v>8</v>
      </c>
      <c r="AK96" s="99">
        <v>5558.4</v>
      </c>
      <c r="AL96" s="99">
        <v>9</v>
      </c>
      <c r="AM96" s="99">
        <v>6253.2</v>
      </c>
      <c r="AN96" s="99">
        <v>13</v>
      </c>
      <c r="AO96" s="99">
        <v>9032.4</v>
      </c>
      <c r="AP96" s="99">
        <v>13</v>
      </c>
      <c r="AQ96" s="99">
        <v>9032.4</v>
      </c>
      <c r="AR96" s="99">
        <v>15</v>
      </c>
      <c r="AS96" s="99">
        <v>10422</v>
      </c>
      <c r="AT96" s="99">
        <v>11</v>
      </c>
      <c r="AU96" s="99">
        <v>7642.7999999999993</v>
      </c>
      <c r="AV96" s="99">
        <v>11</v>
      </c>
      <c r="AW96" s="99">
        <v>7642.7999999999993</v>
      </c>
      <c r="AX96" s="99">
        <v>13</v>
      </c>
      <c r="AY96" s="99">
        <v>9032.4</v>
      </c>
      <c r="AZ96" s="99">
        <v>15</v>
      </c>
      <c r="BA96" s="99">
        <v>10422</v>
      </c>
      <c r="BB96" s="99">
        <v>12.194757416633989</v>
      </c>
      <c r="BC96" s="99">
        <v>8472.9174530772943</v>
      </c>
      <c r="BD96" s="99">
        <v>8</v>
      </c>
      <c r="BE96" s="99">
        <v>5558.4</v>
      </c>
      <c r="BF96" s="99">
        <v>10</v>
      </c>
      <c r="BG96" s="99">
        <v>6948</v>
      </c>
      <c r="BH96" s="99">
        <v>14</v>
      </c>
      <c r="BI96" s="99">
        <v>9727.1999999999989</v>
      </c>
      <c r="BJ96" s="99">
        <v>13</v>
      </c>
      <c r="BK96" s="99">
        <v>9032.4</v>
      </c>
      <c r="BL96" s="99">
        <v>7.5243638820149714</v>
      </c>
      <c r="BM96" s="99">
        <v>5227.9280252240014</v>
      </c>
      <c r="BN96" s="99">
        <v>13.823275862068968</v>
      </c>
      <c r="BO96" s="99">
        <v>9604.4120689655192</v>
      </c>
      <c r="BP96" s="99">
        <v>3.5351743159654552</v>
      </c>
      <c r="BQ96" s="99">
        <v>2456.239114732798</v>
      </c>
      <c r="BR96" s="99">
        <v>13</v>
      </c>
      <c r="BS96" s="99">
        <v>9032.4</v>
      </c>
      <c r="BT96" s="99">
        <v>13</v>
      </c>
      <c r="BU96" s="99">
        <v>9032.4</v>
      </c>
      <c r="BV96" s="99">
        <v>11.042060085836917</v>
      </c>
      <c r="BW96" s="99">
        <v>7672.0233476394897</v>
      </c>
      <c r="BX96" s="99">
        <v>3.8386288063522054</v>
      </c>
      <c r="BY96" s="99">
        <v>2667.0792946535121</v>
      </c>
      <c r="BZ96" s="99">
        <v>8.908333333333335</v>
      </c>
      <c r="CA96" s="99">
        <v>6189.5100000000011</v>
      </c>
      <c r="CB96" s="99">
        <v>10.021875000000001</v>
      </c>
      <c r="CC96" s="99">
        <v>6963.1987500000005</v>
      </c>
      <c r="CD96" s="99">
        <v>14</v>
      </c>
      <c r="CE96" s="99">
        <v>9727.1999999999989</v>
      </c>
      <c r="CF96" s="99">
        <v>8.5806900196168208</v>
      </c>
      <c r="CG96" s="99">
        <v>5961.8634256297664</v>
      </c>
      <c r="CH96" s="99">
        <v>6.8721443238397217</v>
      </c>
      <c r="CI96" s="99">
        <v>4774.7658762038382</v>
      </c>
      <c r="CJ96" s="99">
        <v>11.045018450184502</v>
      </c>
      <c r="CK96" s="99">
        <v>7674.0788191881911</v>
      </c>
      <c r="CL96" s="99">
        <v>12.29837613727457</v>
      </c>
      <c r="CM96" s="99">
        <v>8544.9117401783697</v>
      </c>
      <c r="CN96" s="99">
        <v>11.740362168135087</v>
      </c>
      <c r="CO96" s="99">
        <v>8157.2036344202579</v>
      </c>
      <c r="CP96" s="99">
        <v>8.6286995515695075</v>
      </c>
      <c r="CQ96" s="99">
        <v>5995.220448430493</v>
      </c>
      <c r="CR96" s="99">
        <v>5.2978237745622669</v>
      </c>
      <c r="CS96" s="99">
        <v>3680.9279585658628</v>
      </c>
      <c r="CT96" s="99">
        <v>16</v>
      </c>
      <c r="CU96" s="99">
        <v>11116.8</v>
      </c>
    </row>
    <row r="97" spans="2:99">
      <c r="C97" s="98" t="s">
        <v>263</v>
      </c>
      <c r="D97" s="99">
        <v>3.8728874540651077</v>
      </c>
      <c r="E97" s="99">
        <v>1519.7210369751481</v>
      </c>
      <c r="F97" s="99">
        <v>9.5826002712570197</v>
      </c>
      <c r="G97" s="99">
        <v>3760.2123464412543</v>
      </c>
      <c r="H97" s="99">
        <v>5.9239850255774336</v>
      </c>
      <c r="I97" s="99">
        <v>2324.5717240365848</v>
      </c>
      <c r="J97" s="99">
        <v>12</v>
      </c>
      <c r="K97" s="99">
        <v>4708.7999999999993</v>
      </c>
      <c r="L97" s="99">
        <v>13</v>
      </c>
      <c r="M97" s="99">
        <v>5101.2</v>
      </c>
      <c r="N97" s="99">
        <v>11.699055164605133</v>
      </c>
      <c r="O97" s="99">
        <v>4590.7092465910537</v>
      </c>
      <c r="P97" s="99">
        <v>7.5191553965736109</v>
      </c>
      <c r="Q97" s="99">
        <v>2950.5165776154849</v>
      </c>
      <c r="R97" s="99">
        <v>13</v>
      </c>
      <c r="S97" s="99">
        <v>5101.2</v>
      </c>
      <c r="T97" s="99">
        <v>14</v>
      </c>
      <c r="U97" s="99">
        <v>5493.5999999999995</v>
      </c>
      <c r="V97" s="99">
        <v>8.6060606060606073</v>
      </c>
      <c r="W97" s="99">
        <v>3377.0181818181823</v>
      </c>
      <c r="X97" s="99">
        <v>14</v>
      </c>
      <c r="Y97" s="99">
        <v>5493.5999999999995</v>
      </c>
      <c r="Z97" s="99">
        <v>9</v>
      </c>
      <c r="AA97" s="99">
        <v>3531.6</v>
      </c>
      <c r="AB97" s="99">
        <v>14</v>
      </c>
      <c r="AC97" s="99">
        <v>5493.5999999999995</v>
      </c>
      <c r="AD97" s="99">
        <v>16</v>
      </c>
      <c r="AE97" s="99">
        <v>6278.4</v>
      </c>
      <c r="AF97" s="99">
        <v>11</v>
      </c>
      <c r="AG97" s="99">
        <v>4316.3999999999996</v>
      </c>
      <c r="AH97" s="99">
        <v>9</v>
      </c>
      <c r="AI97" s="99">
        <v>3531.6</v>
      </c>
      <c r="AJ97" s="99">
        <v>9</v>
      </c>
      <c r="AK97" s="99">
        <v>3531.6</v>
      </c>
      <c r="AL97" s="99">
        <v>10</v>
      </c>
      <c r="AM97" s="99">
        <v>3924</v>
      </c>
      <c r="AN97" s="99">
        <v>12</v>
      </c>
      <c r="AO97" s="99">
        <v>4708.7999999999993</v>
      </c>
      <c r="AP97" s="99">
        <v>15</v>
      </c>
      <c r="AQ97" s="99">
        <v>5886</v>
      </c>
      <c r="AR97" s="99">
        <v>14</v>
      </c>
      <c r="AS97" s="99">
        <v>5493.5999999999995</v>
      </c>
      <c r="AT97" s="99">
        <v>10</v>
      </c>
      <c r="AU97" s="99">
        <v>3924</v>
      </c>
      <c r="AV97" s="99">
        <v>13</v>
      </c>
      <c r="AW97" s="99">
        <v>5101.2</v>
      </c>
      <c r="AX97" s="99">
        <v>14</v>
      </c>
      <c r="AY97" s="99">
        <v>5493.5999999999995</v>
      </c>
      <c r="AZ97" s="99">
        <v>14</v>
      </c>
      <c r="BA97" s="99">
        <v>5493.5999999999995</v>
      </c>
      <c r="BB97" s="99">
        <v>11.381773588858389</v>
      </c>
      <c r="BC97" s="99">
        <v>4466.207956268031</v>
      </c>
      <c r="BD97" s="99">
        <v>9</v>
      </c>
      <c r="BE97" s="99">
        <v>3531.6</v>
      </c>
      <c r="BF97" s="99">
        <v>11</v>
      </c>
      <c r="BG97" s="99">
        <v>4316.3999999999996</v>
      </c>
      <c r="BH97" s="99">
        <v>13</v>
      </c>
      <c r="BI97" s="99">
        <v>5101.2</v>
      </c>
      <c r="BJ97" s="99">
        <v>14</v>
      </c>
      <c r="BK97" s="99">
        <v>5493.5999999999995</v>
      </c>
      <c r="BL97" s="99">
        <v>8.360404313349969</v>
      </c>
      <c r="BM97" s="99">
        <v>3280.6226525585275</v>
      </c>
      <c r="BN97" s="99">
        <v>12.901724137931035</v>
      </c>
      <c r="BO97" s="99">
        <v>5062.6365517241384</v>
      </c>
      <c r="BP97" s="99">
        <v>3.5351743159654552</v>
      </c>
      <c r="BQ97" s="99">
        <v>1387.2024015848444</v>
      </c>
      <c r="BR97" s="99">
        <v>13</v>
      </c>
      <c r="BS97" s="99">
        <v>5101.2</v>
      </c>
      <c r="BT97" s="99">
        <v>13</v>
      </c>
      <c r="BU97" s="99">
        <v>5101.2</v>
      </c>
      <c r="BV97" s="99">
        <v>11.962231759656662</v>
      </c>
      <c r="BW97" s="99">
        <v>4693.979742489274</v>
      </c>
      <c r="BX97" s="99">
        <v>3.5433496674020359</v>
      </c>
      <c r="BY97" s="99">
        <v>1390.4104094885588</v>
      </c>
      <c r="BZ97" s="99">
        <v>7.9185185185185203</v>
      </c>
      <c r="CA97" s="99">
        <v>3107.2266666666674</v>
      </c>
      <c r="CB97" s="99">
        <v>11.692187500000001</v>
      </c>
      <c r="CC97" s="99">
        <v>4588.0143749999997</v>
      </c>
      <c r="CD97" s="99">
        <v>16</v>
      </c>
      <c r="CE97" s="99">
        <v>6278.4</v>
      </c>
      <c r="CF97" s="99">
        <v>9.4387590215785018</v>
      </c>
      <c r="CG97" s="99">
        <v>3703.7690400674037</v>
      </c>
      <c r="CH97" s="99">
        <v>7.6357159153774683</v>
      </c>
      <c r="CI97" s="99">
        <v>2996.2549251941182</v>
      </c>
      <c r="CJ97" s="99">
        <v>11.045018450184502</v>
      </c>
      <c r="CK97" s="99">
        <v>4334.065239852398</v>
      </c>
      <c r="CL97" s="99">
        <v>10.851508356418737</v>
      </c>
      <c r="CM97" s="99">
        <v>4258.131879058712</v>
      </c>
      <c r="CN97" s="99">
        <v>13.546571732463562</v>
      </c>
      <c r="CO97" s="99">
        <v>5315.6747478187017</v>
      </c>
      <c r="CP97" s="99">
        <v>8.6286995515695075</v>
      </c>
      <c r="CQ97" s="99">
        <v>3385.9017040358744</v>
      </c>
      <c r="CR97" s="99">
        <v>5.2978237745622669</v>
      </c>
      <c r="CS97" s="99">
        <v>2078.8660491382334</v>
      </c>
      <c r="CT97" s="99">
        <v>16</v>
      </c>
      <c r="CU97" s="99">
        <v>6278.4</v>
      </c>
    </row>
    <row r="98" spans="2:99">
      <c r="C98" s="98" t="s">
        <v>264</v>
      </c>
      <c r="D98" s="99">
        <v>3.8728874540651077</v>
      </c>
      <c r="E98" s="99">
        <v>2035.5896458566208</v>
      </c>
      <c r="F98" s="99">
        <v>8.7840502486522674</v>
      </c>
      <c r="G98" s="99">
        <v>4616.8968106916318</v>
      </c>
      <c r="H98" s="99">
        <v>5.9239850255774336</v>
      </c>
      <c r="I98" s="99">
        <v>3113.6465294434993</v>
      </c>
      <c r="J98" s="99">
        <v>14</v>
      </c>
      <c r="K98" s="99">
        <v>7358.4000000000005</v>
      </c>
      <c r="L98" s="99">
        <v>13</v>
      </c>
      <c r="M98" s="99">
        <v>6832.8</v>
      </c>
      <c r="N98" s="99">
        <v>9.8992005238966509</v>
      </c>
      <c r="O98" s="99">
        <v>5203.01979536008</v>
      </c>
      <c r="P98" s="99">
        <v>6.4449903399202384</v>
      </c>
      <c r="Q98" s="99">
        <v>3387.4869226620776</v>
      </c>
      <c r="R98" s="99">
        <v>15</v>
      </c>
      <c r="S98" s="99">
        <v>7884</v>
      </c>
      <c r="T98" s="99">
        <v>14</v>
      </c>
      <c r="U98" s="99">
        <v>7358.4000000000005</v>
      </c>
      <c r="V98" s="99">
        <v>7.7454545454545469</v>
      </c>
      <c r="W98" s="99">
        <v>4071.01090909091</v>
      </c>
      <c r="X98" s="99">
        <v>12</v>
      </c>
      <c r="Y98" s="99">
        <v>6307.2000000000007</v>
      </c>
      <c r="Z98" s="99">
        <v>8</v>
      </c>
      <c r="AA98" s="99">
        <v>4204.8</v>
      </c>
      <c r="AB98" s="99">
        <v>15</v>
      </c>
      <c r="AC98" s="99">
        <v>7884</v>
      </c>
      <c r="AD98" s="99">
        <v>14</v>
      </c>
      <c r="AE98" s="99">
        <v>7358.4000000000005</v>
      </c>
      <c r="AF98" s="99">
        <v>10</v>
      </c>
      <c r="AG98" s="99">
        <v>5256</v>
      </c>
      <c r="AH98" s="99">
        <v>8</v>
      </c>
      <c r="AI98" s="99">
        <v>4204.8</v>
      </c>
      <c r="AJ98" s="99">
        <v>9</v>
      </c>
      <c r="AK98" s="99">
        <v>4730.4000000000005</v>
      </c>
      <c r="AL98" s="99">
        <v>9</v>
      </c>
      <c r="AM98" s="99">
        <v>4730.4000000000005</v>
      </c>
      <c r="AN98" s="99">
        <v>13</v>
      </c>
      <c r="AO98" s="99">
        <v>6832.8</v>
      </c>
      <c r="AP98" s="99">
        <v>15</v>
      </c>
      <c r="AQ98" s="99">
        <v>7884</v>
      </c>
      <c r="AR98" s="99">
        <v>15</v>
      </c>
      <c r="AS98" s="99">
        <v>7884</v>
      </c>
      <c r="AT98" s="99">
        <v>12</v>
      </c>
      <c r="AU98" s="99">
        <v>6307.2000000000007</v>
      </c>
      <c r="AV98" s="99">
        <v>11</v>
      </c>
      <c r="AW98" s="99">
        <v>5781.6</v>
      </c>
      <c r="AX98" s="99">
        <v>13</v>
      </c>
      <c r="AY98" s="99">
        <v>6832.8</v>
      </c>
      <c r="AZ98" s="99">
        <v>14</v>
      </c>
      <c r="BA98" s="99">
        <v>7358.4000000000005</v>
      </c>
      <c r="BB98" s="99">
        <v>13.007741244409589</v>
      </c>
      <c r="BC98" s="99">
        <v>6836.8687980616805</v>
      </c>
      <c r="BD98" s="99">
        <v>8</v>
      </c>
      <c r="BE98" s="99">
        <v>4204.8</v>
      </c>
      <c r="BF98" s="99">
        <v>10</v>
      </c>
      <c r="BG98" s="99">
        <v>5256</v>
      </c>
      <c r="BH98" s="99">
        <v>13</v>
      </c>
      <c r="BI98" s="99">
        <v>6832.8</v>
      </c>
      <c r="BJ98" s="99">
        <v>13</v>
      </c>
      <c r="BK98" s="99">
        <v>6832.8</v>
      </c>
      <c r="BL98" s="99">
        <v>8.360404313349969</v>
      </c>
      <c r="BM98" s="99">
        <v>4394.2285070967437</v>
      </c>
      <c r="BN98" s="99">
        <v>11.980172413793104</v>
      </c>
      <c r="BO98" s="99">
        <v>6296.7786206896562</v>
      </c>
      <c r="BP98" s="99">
        <v>3.9279714621838391</v>
      </c>
      <c r="BQ98" s="99">
        <v>2064.5418005238257</v>
      </c>
      <c r="BR98" s="99">
        <v>11</v>
      </c>
      <c r="BS98" s="99">
        <v>5781.6</v>
      </c>
      <c r="BT98" s="99">
        <v>12</v>
      </c>
      <c r="BU98" s="99">
        <v>6307.2000000000007</v>
      </c>
      <c r="BV98" s="99">
        <v>11.042060085836917</v>
      </c>
      <c r="BW98" s="99">
        <v>5803.706781115884</v>
      </c>
      <c r="BX98" s="99">
        <v>3.8386288063522054</v>
      </c>
      <c r="BY98" s="99">
        <v>2017.5833006187192</v>
      </c>
      <c r="BZ98" s="99">
        <v>7.9185185185185203</v>
      </c>
      <c r="CA98" s="99">
        <v>4161.9733333333343</v>
      </c>
      <c r="CB98" s="99">
        <v>10.85703125</v>
      </c>
      <c r="CC98" s="99">
        <v>5706.4556250000005</v>
      </c>
      <c r="CD98" s="99">
        <v>15</v>
      </c>
      <c r="CE98" s="99">
        <v>7884</v>
      </c>
      <c r="CF98" s="99">
        <v>9.4387590215785018</v>
      </c>
      <c r="CG98" s="99">
        <v>4961.0117417416604</v>
      </c>
      <c r="CH98" s="99">
        <v>7.6357159153774683</v>
      </c>
      <c r="CI98" s="99">
        <v>4013.3322851223975</v>
      </c>
      <c r="CJ98" s="99">
        <v>11.045018450184502</v>
      </c>
      <c r="CK98" s="99">
        <v>5805.2616974169741</v>
      </c>
      <c r="CL98" s="99">
        <v>11.574942246846653</v>
      </c>
      <c r="CM98" s="99">
        <v>6083.7896449426016</v>
      </c>
      <c r="CN98" s="99">
        <v>10.837257385970851</v>
      </c>
      <c r="CO98" s="99">
        <v>5696.0624820662797</v>
      </c>
      <c r="CP98" s="99">
        <v>6.7112107623318389</v>
      </c>
      <c r="CQ98" s="99">
        <v>3527.4123766816147</v>
      </c>
      <c r="CR98" s="99">
        <v>5.2978237745622669</v>
      </c>
      <c r="CS98" s="99">
        <v>2784.5361759099278</v>
      </c>
      <c r="CT98" s="99">
        <v>16</v>
      </c>
      <c r="CU98" s="99">
        <v>8409.6</v>
      </c>
    </row>
    <row r="99" spans="2:99">
      <c r="C99" s="98" t="s">
        <v>265</v>
      </c>
      <c r="D99" s="99">
        <v>3.3887765223069692</v>
      </c>
      <c r="E99" s="99">
        <v>14261.327116476648</v>
      </c>
      <c r="F99" s="99">
        <v>7.9855002260475167</v>
      </c>
      <c r="G99" s="99">
        <v>33606.179151298369</v>
      </c>
      <c r="H99" s="99">
        <v>5.1834868973802548</v>
      </c>
      <c r="I99" s="99">
        <v>21814.186258935064</v>
      </c>
      <c r="J99" s="99">
        <v>11</v>
      </c>
      <c r="K99" s="99">
        <v>46292.399999999994</v>
      </c>
      <c r="L99" s="99">
        <v>11</v>
      </c>
      <c r="M99" s="99">
        <v>46292.399999999994</v>
      </c>
      <c r="N99" s="99">
        <v>8.9992732035424101</v>
      </c>
      <c r="O99" s="99">
        <v>37872.541349787876</v>
      </c>
      <c r="P99" s="99">
        <v>5.9079078115935513</v>
      </c>
      <c r="Q99" s="99">
        <v>24862.839234310301</v>
      </c>
      <c r="R99" s="99">
        <v>11</v>
      </c>
      <c r="S99" s="99">
        <v>46292.399999999994</v>
      </c>
      <c r="T99" s="99">
        <v>11</v>
      </c>
      <c r="U99" s="99">
        <v>46292.399999999994</v>
      </c>
      <c r="V99" s="99">
        <v>6.8848484848484865</v>
      </c>
      <c r="W99" s="99">
        <v>28974.196363636369</v>
      </c>
      <c r="X99" s="99">
        <v>11</v>
      </c>
      <c r="Y99" s="99">
        <v>46292.399999999994</v>
      </c>
      <c r="Z99" s="99">
        <v>8</v>
      </c>
      <c r="AA99" s="99">
        <v>33667.199999999997</v>
      </c>
      <c r="AB99" s="99">
        <v>12</v>
      </c>
      <c r="AC99" s="99">
        <v>50500.799999999996</v>
      </c>
      <c r="AD99" s="99">
        <v>12</v>
      </c>
      <c r="AE99" s="99">
        <v>50500.799999999996</v>
      </c>
      <c r="AF99" s="99">
        <v>7</v>
      </c>
      <c r="AG99" s="99">
        <v>29458.799999999996</v>
      </c>
      <c r="AH99" s="99">
        <v>7</v>
      </c>
      <c r="AI99" s="99">
        <v>29458.799999999996</v>
      </c>
      <c r="AJ99" s="99">
        <v>6</v>
      </c>
      <c r="AK99" s="99">
        <v>25250.399999999998</v>
      </c>
      <c r="AL99" s="99">
        <v>7</v>
      </c>
      <c r="AM99" s="99">
        <v>29458.799999999996</v>
      </c>
      <c r="AN99" s="99">
        <v>9</v>
      </c>
      <c r="AO99" s="99">
        <v>37875.599999999999</v>
      </c>
      <c r="AP99" s="99">
        <v>11</v>
      </c>
      <c r="AQ99" s="99">
        <v>46292.399999999994</v>
      </c>
      <c r="AR99" s="99">
        <v>13</v>
      </c>
      <c r="AS99" s="99">
        <v>54709.2</v>
      </c>
      <c r="AT99" s="99">
        <v>9</v>
      </c>
      <c r="AU99" s="99">
        <v>37875.599999999999</v>
      </c>
      <c r="AV99" s="99">
        <v>9</v>
      </c>
      <c r="AW99" s="99">
        <v>37875.599999999999</v>
      </c>
      <c r="AX99" s="99">
        <v>10</v>
      </c>
      <c r="AY99" s="99">
        <v>42084</v>
      </c>
      <c r="AZ99" s="99">
        <v>12</v>
      </c>
      <c r="BA99" s="99">
        <v>50500.799999999996</v>
      </c>
      <c r="BB99" s="99">
        <v>10.56878976108279</v>
      </c>
      <c r="BC99" s="99">
        <v>44477.694830540808</v>
      </c>
      <c r="BD99" s="99">
        <v>6</v>
      </c>
      <c r="BE99" s="99">
        <v>25250.399999999998</v>
      </c>
      <c r="BF99" s="99">
        <v>9</v>
      </c>
      <c r="BG99" s="99">
        <v>37875.599999999999</v>
      </c>
      <c r="BH99" s="99">
        <v>11</v>
      </c>
      <c r="BI99" s="99">
        <v>46292.399999999994</v>
      </c>
      <c r="BJ99" s="99">
        <v>11</v>
      </c>
      <c r="BK99" s="99">
        <v>46292.399999999994</v>
      </c>
      <c r="BL99" s="99">
        <v>6.6883234506799747</v>
      </c>
      <c r="BM99" s="99">
        <v>28147.140409841602</v>
      </c>
      <c r="BN99" s="99">
        <v>9.2155172413793114</v>
      </c>
      <c r="BO99" s="99">
        <v>38782.582758620694</v>
      </c>
      <c r="BP99" s="99">
        <v>3.1423771697470713</v>
      </c>
      <c r="BQ99" s="99">
        <v>13224.380081163574</v>
      </c>
      <c r="BR99" s="99">
        <v>9</v>
      </c>
      <c r="BS99" s="99">
        <v>37875.599999999999</v>
      </c>
      <c r="BT99" s="99">
        <v>10</v>
      </c>
      <c r="BU99" s="99">
        <v>42084</v>
      </c>
      <c r="BV99" s="99">
        <v>9.2017167381974314</v>
      </c>
      <c r="BW99" s="99">
        <v>38724.504721030069</v>
      </c>
      <c r="BX99" s="99">
        <v>2.9527913895016962</v>
      </c>
      <c r="BY99" s="99">
        <v>12426.527283578936</v>
      </c>
      <c r="BZ99" s="99">
        <v>6.9287037037037056</v>
      </c>
      <c r="CA99" s="99">
        <v>29158.756666666672</v>
      </c>
      <c r="CB99" s="99">
        <v>8.3515625</v>
      </c>
      <c r="CC99" s="99">
        <v>35146.715624999997</v>
      </c>
      <c r="CD99" s="99">
        <v>12</v>
      </c>
      <c r="CE99" s="99">
        <v>50500.799999999996</v>
      </c>
      <c r="CF99" s="99">
        <v>6.8645520156934552</v>
      </c>
      <c r="CG99" s="99">
        <v>28888.780702844335</v>
      </c>
      <c r="CH99" s="99">
        <v>6.8721443238397217</v>
      </c>
      <c r="CI99" s="99">
        <v>28920.732172447082</v>
      </c>
      <c r="CJ99" s="99">
        <v>9.4671586715867164</v>
      </c>
      <c r="CK99" s="99">
        <v>39841.590553505535</v>
      </c>
      <c r="CL99" s="99">
        <v>8.6812066851349901</v>
      </c>
      <c r="CM99" s="99">
        <v>36533.990213722092</v>
      </c>
      <c r="CN99" s="99">
        <v>9.9341526038066128</v>
      </c>
      <c r="CO99" s="99">
        <v>41806.887817859744</v>
      </c>
      <c r="CP99" s="99">
        <v>6.7112107623318389</v>
      </c>
      <c r="CQ99" s="99">
        <v>28243.459372197307</v>
      </c>
      <c r="CR99" s="99">
        <v>4.2382590196498136</v>
      </c>
      <c r="CS99" s="99">
        <v>17836.289258294273</v>
      </c>
      <c r="CT99" s="99">
        <v>14</v>
      </c>
      <c r="CU99" s="99">
        <v>58917.599999999991</v>
      </c>
    </row>
    <row r="100" spans="2:99">
      <c r="C100" s="98" t="s">
        <v>266</v>
      </c>
      <c r="D100" s="99">
        <v>4.3569983858232462</v>
      </c>
      <c r="E100" s="99">
        <v>1411.6674770067318</v>
      </c>
      <c r="F100" s="99">
        <v>10.38115029386177</v>
      </c>
      <c r="G100" s="99">
        <v>3363.4926952112137</v>
      </c>
      <c r="H100" s="99">
        <v>5.1834868973802548</v>
      </c>
      <c r="I100" s="99">
        <v>1679.4497547512026</v>
      </c>
      <c r="J100" s="99">
        <v>14</v>
      </c>
      <c r="K100" s="99">
        <v>4536</v>
      </c>
      <c r="L100" s="99">
        <v>15</v>
      </c>
      <c r="M100" s="99">
        <v>4860</v>
      </c>
      <c r="N100" s="99">
        <v>9.8992005238966509</v>
      </c>
      <c r="O100" s="99">
        <v>3207.340969742515</v>
      </c>
      <c r="P100" s="99">
        <v>7.5191553965736109</v>
      </c>
      <c r="Q100" s="99">
        <v>2436.2063484898499</v>
      </c>
      <c r="R100" s="99">
        <v>13</v>
      </c>
      <c r="S100" s="99">
        <v>4212</v>
      </c>
      <c r="T100" s="99">
        <v>13</v>
      </c>
      <c r="U100" s="99">
        <v>4212</v>
      </c>
      <c r="V100" s="99">
        <v>7.7454545454545469</v>
      </c>
      <c r="W100" s="99">
        <v>2509.5272727272732</v>
      </c>
      <c r="X100" s="99">
        <v>14</v>
      </c>
      <c r="Y100" s="99">
        <v>4536</v>
      </c>
      <c r="Z100" s="99">
        <v>10</v>
      </c>
      <c r="AA100" s="99">
        <v>3240</v>
      </c>
      <c r="AB100" s="99">
        <v>15</v>
      </c>
      <c r="AC100" s="99">
        <v>4860</v>
      </c>
      <c r="AD100" s="99">
        <v>15</v>
      </c>
      <c r="AE100" s="99">
        <v>4860</v>
      </c>
      <c r="AF100" s="99">
        <v>10</v>
      </c>
      <c r="AG100" s="99">
        <v>3240</v>
      </c>
      <c r="AH100" s="99">
        <v>8</v>
      </c>
      <c r="AI100" s="99">
        <v>2592</v>
      </c>
      <c r="AJ100" s="99">
        <v>8</v>
      </c>
      <c r="AK100" s="99">
        <v>2592</v>
      </c>
      <c r="AL100" s="99">
        <v>10</v>
      </c>
      <c r="AM100" s="99">
        <v>3240</v>
      </c>
      <c r="AN100" s="99">
        <v>12</v>
      </c>
      <c r="AO100" s="99">
        <v>3888</v>
      </c>
      <c r="AP100" s="99">
        <v>16</v>
      </c>
      <c r="AQ100" s="99">
        <v>5184</v>
      </c>
      <c r="AR100" s="99">
        <v>17</v>
      </c>
      <c r="AS100" s="99">
        <v>5508</v>
      </c>
      <c r="AT100" s="99">
        <v>10</v>
      </c>
      <c r="AU100" s="99">
        <v>3240</v>
      </c>
      <c r="AV100" s="99">
        <v>13</v>
      </c>
      <c r="AW100" s="99">
        <v>4212</v>
      </c>
      <c r="AX100" s="99">
        <v>15</v>
      </c>
      <c r="AY100" s="99">
        <v>4860</v>
      </c>
      <c r="AZ100" s="99">
        <v>13</v>
      </c>
      <c r="BA100" s="99">
        <v>4212</v>
      </c>
      <c r="BB100" s="99">
        <v>11.381773588858389</v>
      </c>
      <c r="BC100" s="99">
        <v>3687.694642790118</v>
      </c>
      <c r="BD100" s="99">
        <v>8</v>
      </c>
      <c r="BE100" s="99">
        <v>2592</v>
      </c>
      <c r="BF100" s="99">
        <v>12</v>
      </c>
      <c r="BG100" s="99">
        <v>3888</v>
      </c>
      <c r="BH100" s="99">
        <v>14</v>
      </c>
      <c r="BI100" s="99">
        <v>4536</v>
      </c>
      <c r="BJ100" s="99">
        <v>12</v>
      </c>
      <c r="BK100" s="99">
        <v>3888</v>
      </c>
      <c r="BL100" s="99">
        <v>8.360404313349969</v>
      </c>
      <c r="BM100" s="99">
        <v>2708.7709975253902</v>
      </c>
      <c r="BN100" s="99">
        <v>13.823275862068968</v>
      </c>
      <c r="BO100" s="99">
        <v>4478.741379310346</v>
      </c>
      <c r="BP100" s="99">
        <v>3.5351743159654552</v>
      </c>
      <c r="BQ100" s="99">
        <v>1145.3964783728075</v>
      </c>
      <c r="BR100" s="99">
        <v>12</v>
      </c>
      <c r="BS100" s="99">
        <v>3888</v>
      </c>
      <c r="BT100" s="99">
        <v>13</v>
      </c>
      <c r="BU100" s="99">
        <v>4212</v>
      </c>
      <c r="BV100" s="99">
        <v>11.962231759656662</v>
      </c>
      <c r="BW100" s="99">
        <v>3875.7630901287584</v>
      </c>
      <c r="BX100" s="99">
        <v>3.5433496674020359</v>
      </c>
      <c r="BY100" s="99">
        <v>1148.0452922382597</v>
      </c>
      <c r="BZ100" s="99">
        <v>9.8981481481481506</v>
      </c>
      <c r="CA100" s="99">
        <v>3207.0000000000009</v>
      </c>
      <c r="CB100" s="99">
        <v>10.021875000000001</v>
      </c>
      <c r="CC100" s="99">
        <v>3247.0875000000005</v>
      </c>
      <c r="CD100" s="99">
        <v>13</v>
      </c>
      <c r="CE100" s="99">
        <v>4212</v>
      </c>
      <c r="CF100" s="99">
        <v>10.296828023540183</v>
      </c>
      <c r="CG100" s="99">
        <v>3336.1722796270192</v>
      </c>
      <c r="CH100" s="99">
        <v>7.6357159153774683</v>
      </c>
      <c r="CI100" s="99">
        <v>2473.9719565822998</v>
      </c>
      <c r="CJ100" s="99">
        <v>13.411808118081181</v>
      </c>
      <c r="CK100" s="99">
        <v>4345.425830258303</v>
      </c>
      <c r="CL100" s="99">
        <v>12.29837613727457</v>
      </c>
      <c r="CM100" s="99">
        <v>3984.6738684769607</v>
      </c>
      <c r="CN100" s="99">
        <v>11.740362168135087</v>
      </c>
      <c r="CO100" s="99">
        <v>3803.8773424757683</v>
      </c>
      <c r="CP100" s="99">
        <v>8.6286995515695075</v>
      </c>
      <c r="CQ100" s="99">
        <v>2795.6986547085203</v>
      </c>
      <c r="CR100" s="99">
        <v>5.2978237745622669</v>
      </c>
      <c r="CS100" s="99">
        <v>1716.4949029581744</v>
      </c>
      <c r="CT100" s="99">
        <v>17</v>
      </c>
      <c r="CU100" s="99">
        <v>5508</v>
      </c>
    </row>
    <row r="101" spans="2:99">
      <c r="C101" s="98" t="s">
        <v>267</v>
      </c>
      <c r="D101" s="99">
        <v>3.8728874540651077</v>
      </c>
      <c r="E101" s="99">
        <v>2802.4213617615119</v>
      </c>
      <c r="F101" s="99">
        <v>10.38115029386177</v>
      </c>
      <c r="G101" s="99">
        <v>7511.8003526383773</v>
      </c>
      <c r="H101" s="99">
        <v>5.1834868973802548</v>
      </c>
      <c r="I101" s="99">
        <v>3750.7711189443526</v>
      </c>
      <c r="J101" s="99">
        <v>13</v>
      </c>
      <c r="K101" s="99">
        <v>9406.8000000000011</v>
      </c>
      <c r="L101" s="99">
        <v>12</v>
      </c>
      <c r="M101" s="99">
        <v>8683.2000000000007</v>
      </c>
      <c r="N101" s="99">
        <v>9.8992005238966509</v>
      </c>
      <c r="O101" s="99">
        <v>7163.0614990916165</v>
      </c>
      <c r="P101" s="99">
        <v>6.9820728682469246</v>
      </c>
      <c r="Q101" s="99">
        <v>5052.2279274634748</v>
      </c>
      <c r="R101" s="99">
        <v>13</v>
      </c>
      <c r="S101" s="99">
        <v>9406.8000000000011</v>
      </c>
      <c r="T101" s="99">
        <v>13</v>
      </c>
      <c r="U101" s="99">
        <v>9406.8000000000011</v>
      </c>
      <c r="V101" s="99">
        <v>7.7454545454545469</v>
      </c>
      <c r="W101" s="99">
        <v>5604.6109090909104</v>
      </c>
      <c r="X101" s="99">
        <v>13</v>
      </c>
      <c r="Y101" s="99">
        <v>9406.8000000000011</v>
      </c>
      <c r="Z101" s="99">
        <v>9</v>
      </c>
      <c r="AA101" s="99">
        <v>6512.4000000000005</v>
      </c>
      <c r="AB101" s="99">
        <v>16</v>
      </c>
      <c r="AC101" s="99">
        <v>11577.6</v>
      </c>
      <c r="AD101" s="99">
        <v>13</v>
      </c>
      <c r="AE101" s="99">
        <v>9406.8000000000011</v>
      </c>
      <c r="AF101" s="99">
        <v>9</v>
      </c>
      <c r="AG101" s="99">
        <v>6512.4000000000005</v>
      </c>
      <c r="AH101" s="99">
        <v>9</v>
      </c>
      <c r="AI101" s="99">
        <v>6512.4000000000005</v>
      </c>
      <c r="AJ101" s="99">
        <v>8</v>
      </c>
      <c r="AK101" s="99">
        <v>5788.8</v>
      </c>
      <c r="AL101" s="99">
        <v>9</v>
      </c>
      <c r="AM101" s="99">
        <v>6512.4000000000005</v>
      </c>
      <c r="AN101" s="99">
        <v>11</v>
      </c>
      <c r="AO101" s="99">
        <v>7959.6</v>
      </c>
      <c r="AP101" s="99">
        <v>14</v>
      </c>
      <c r="AQ101" s="99">
        <v>10130.4</v>
      </c>
      <c r="AR101" s="99">
        <v>17</v>
      </c>
      <c r="AS101" s="99">
        <v>12301.2</v>
      </c>
      <c r="AT101" s="99">
        <v>10</v>
      </c>
      <c r="AU101" s="99">
        <v>7236</v>
      </c>
      <c r="AV101" s="99">
        <v>11</v>
      </c>
      <c r="AW101" s="99">
        <v>7959.6</v>
      </c>
      <c r="AX101" s="99">
        <v>13</v>
      </c>
      <c r="AY101" s="99">
        <v>9406.8000000000011</v>
      </c>
      <c r="AZ101" s="99">
        <v>13</v>
      </c>
      <c r="BA101" s="99">
        <v>9406.8000000000011</v>
      </c>
      <c r="BB101" s="99">
        <v>11.381773588858389</v>
      </c>
      <c r="BC101" s="99">
        <v>8235.851368897931</v>
      </c>
      <c r="BD101" s="99">
        <v>8</v>
      </c>
      <c r="BE101" s="99">
        <v>5788.8</v>
      </c>
      <c r="BF101" s="99">
        <v>10</v>
      </c>
      <c r="BG101" s="99">
        <v>7236</v>
      </c>
      <c r="BH101" s="99">
        <v>13</v>
      </c>
      <c r="BI101" s="99">
        <v>9406.8000000000011</v>
      </c>
      <c r="BJ101" s="99">
        <v>12</v>
      </c>
      <c r="BK101" s="99">
        <v>8683.2000000000007</v>
      </c>
      <c r="BL101" s="99">
        <v>8.360404313349969</v>
      </c>
      <c r="BM101" s="99">
        <v>6049.5885611400381</v>
      </c>
      <c r="BN101" s="99">
        <v>13.823275862068968</v>
      </c>
      <c r="BO101" s="99">
        <v>10002.522413793105</v>
      </c>
      <c r="BP101" s="99">
        <v>3.5351743159654552</v>
      </c>
      <c r="BQ101" s="99">
        <v>2558.0521350326035</v>
      </c>
      <c r="BR101" s="99">
        <v>11</v>
      </c>
      <c r="BS101" s="99">
        <v>7959.6</v>
      </c>
      <c r="BT101" s="99">
        <v>13</v>
      </c>
      <c r="BU101" s="99">
        <v>9406.8000000000011</v>
      </c>
      <c r="BV101" s="99">
        <v>11.962231759656662</v>
      </c>
      <c r="BW101" s="99">
        <v>8655.8709012875606</v>
      </c>
      <c r="BX101" s="99">
        <v>3.8386288063522054</v>
      </c>
      <c r="BY101" s="99">
        <v>2777.631804276456</v>
      </c>
      <c r="BZ101" s="99">
        <v>8.908333333333335</v>
      </c>
      <c r="CA101" s="99">
        <v>6446.0700000000015</v>
      </c>
      <c r="CB101" s="99">
        <v>10.021875000000001</v>
      </c>
      <c r="CC101" s="99">
        <v>7251.8287500000015</v>
      </c>
      <c r="CD101" s="99">
        <v>14</v>
      </c>
      <c r="CE101" s="99">
        <v>10130.4</v>
      </c>
      <c r="CF101" s="99">
        <v>9.4387590215785018</v>
      </c>
      <c r="CG101" s="99">
        <v>6829.8860280142044</v>
      </c>
      <c r="CH101" s="99">
        <v>7.6357159153774683</v>
      </c>
      <c r="CI101" s="99">
        <v>5525.2040363671358</v>
      </c>
      <c r="CJ101" s="99">
        <v>11.045018450184502</v>
      </c>
      <c r="CK101" s="99">
        <v>7992.1753505535062</v>
      </c>
      <c r="CL101" s="99">
        <v>10.851508356418737</v>
      </c>
      <c r="CM101" s="99">
        <v>7852.1514467045981</v>
      </c>
      <c r="CN101" s="99">
        <v>12.643466950299326</v>
      </c>
      <c r="CO101" s="99">
        <v>9148.8126852365931</v>
      </c>
      <c r="CP101" s="99">
        <v>7.6699551569506728</v>
      </c>
      <c r="CQ101" s="99">
        <v>5549.9795515695068</v>
      </c>
      <c r="CR101" s="99">
        <v>4.7680413971060407</v>
      </c>
      <c r="CS101" s="99">
        <v>3450.154754945931</v>
      </c>
      <c r="CT101" s="99">
        <v>14</v>
      </c>
      <c r="CU101" s="99">
        <v>10130.4</v>
      </c>
    </row>
    <row r="102" spans="2:99">
      <c r="C102" s="98" t="s">
        <v>268</v>
      </c>
      <c r="D102" s="99">
        <v>3.8728874540651077</v>
      </c>
      <c r="E102" s="99">
        <v>2058.8269705810112</v>
      </c>
      <c r="F102" s="99">
        <v>8.7840502486522674</v>
      </c>
      <c r="G102" s="99">
        <v>4669.6011121835454</v>
      </c>
      <c r="H102" s="99">
        <v>5.1834868973802548</v>
      </c>
      <c r="I102" s="99">
        <v>2755.5416346473435</v>
      </c>
      <c r="J102" s="99">
        <v>12</v>
      </c>
      <c r="K102" s="99">
        <v>6379.2000000000007</v>
      </c>
      <c r="L102" s="99">
        <v>15</v>
      </c>
      <c r="M102" s="99">
        <v>7974</v>
      </c>
      <c r="N102" s="99">
        <v>10.799127844250892</v>
      </c>
      <c r="O102" s="99">
        <v>5740.816362003774</v>
      </c>
      <c r="P102" s="99">
        <v>6.4449903399202384</v>
      </c>
      <c r="Q102" s="99">
        <v>3426.1568647015988</v>
      </c>
      <c r="R102" s="99">
        <v>14</v>
      </c>
      <c r="S102" s="99">
        <v>7442.4000000000005</v>
      </c>
      <c r="T102" s="99">
        <v>12</v>
      </c>
      <c r="U102" s="99">
        <v>6379.2000000000007</v>
      </c>
      <c r="V102" s="99">
        <v>7.7454545454545469</v>
      </c>
      <c r="W102" s="99">
        <v>4117.4836363636377</v>
      </c>
      <c r="X102" s="99">
        <v>12</v>
      </c>
      <c r="Y102" s="99">
        <v>6379.2000000000007</v>
      </c>
      <c r="Z102" s="99">
        <v>8</v>
      </c>
      <c r="AA102" s="99">
        <v>4252.8</v>
      </c>
      <c r="AB102" s="99">
        <v>16</v>
      </c>
      <c r="AC102" s="99">
        <v>8505.6</v>
      </c>
      <c r="AD102" s="99">
        <v>15</v>
      </c>
      <c r="AE102" s="99">
        <v>7974</v>
      </c>
      <c r="AF102" s="99">
        <v>11</v>
      </c>
      <c r="AG102" s="99">
        <v>5847.6</v>
      </c>
      <c r="AH102" s="99">
        <v>8</v>
      </c>
      <c r="AI102" s="99">
        <v>4252.8</v>
      </c>
      <c r="AJ102" s="99">
        <v>9</v>
      </c>
      <c r="AK102" s="99">
        <v>4784.4000000000005</v>
      </c>
      <c r="AL102" s="99">
        <v>8</v>
      </c>
      <c r="AM102" s="99">
        <v>4252.8</v>
      </c>
      <c r="AN102" s="99">
        <v>12</v>
      </c>
      <c r="AO102" s="99">
        <v>6379.2000000000007</v>
      </c>
      <c r="AP102" s="99">
        <v>14</v>
      </c>
      <c r="AQ102" s="99">
        <v>7442.4000000000005</v>
      </c>
      <c r="AR102" s="99">
        <v>16</v>
      </c>
      <c r="AS102" s="99">
        <v>8505.6</v>
      </c>
      <c r="AT102" s="99">
        <v>12</v>
      </c>
      <c r="AU102" s="99">
        <v>6379.2000000000007</v>
      </c>
      <c r="AV102" s="99">
        <v>13</v>
      </c>
      <c r="AW102" s="99">
        <v>6910.8</v>
      </c>
      <c r="AX102" s="99">
        <v>15</v>
      </c>
      <c r="AY102" s="99">
        <v>7974</v>
      </c>
      <c r="AZ102" s="99">
        <v>13</v>
      </c>
      <c r="BA102" s="99">
        <v>6910.8</v>
      </c>
      <c r="BB102" s="99">
        <v>13.820725072185187</v>
      </c>
      <c r="BC102" s="99">
        <v>7347.0974483736454</v>
      </c>
      <c r="BD102" s="99">
        <v>8</v>
      </c>
      <c r="BE102" s="99">
        <v>4252.8</v>
      </c>
      <c r="BF102" s="99">
        <v>11</v>
      </c>
      <c r="BG102" s="99">
        <v>5847.6</v>
      </c>
      <c r="BH102" s="99">
        <v>13</v>
      </c>
      <c r="BI102" s="99">
        <v>6910.8</v>
      </c>
      <c r="BJ102" s="99">
        <v>13</v>
      </c>
      <c r="BK102" s="99">
        <v>6910.8</v>
      </c>
      <c r="BL102" s="99">
        <v>7.5243638820149714</v>
      </c>
      <c r="BM102" s="99">
        <v>3999.9518396791591</v>
      </c>
      <c r="BN102" s="99">
        <v>11.980172413793104</v>
      </c>
      <c r="BO102" s="99">
        <v>6368.6596551724142</v>
      </c>
      <c r="BP102" s="99">
        <v>3.1423771697470713</v>
      </c>
      <c r="BQ102" s="99">
        <v>1670.4877034375431</v>
      </c>
      <c r="BR102" s="99">
        <v>12</v>
      </c>
      <c r="BS102" s="99">
        <v>6379.2000000000007</v>
      </c>
      <c r="BT102" s="99">
        <v>13</v>
      </c>
      <c r="BU102" s="99">
        <v>6910.8</v>
      </c>
      <c r="BV102" s="99">
        <v>11.042060085836917</v>
      </c>
      <c r="BW102" s="99">
        <v>5869.9591416309058</v>
      </c>
      <c r="BX102" s="99">
        <v>4.1339079453023748</v>
      </c>
      <c r="BY102" s="99">
        <v>2197.5854637227426</v>
      </c>
      <c r="BZ102" s="99">
        <v>7.9185185185185203</v>
      </c>
      <c r="CA102" s="99">
        <v>4209.4844444444452</v>
      </c>
      <c r="CB102" s="99">
        <v>10.85703125</v>
      </c>
      <c r="CC102" s="99">
        <v>5771.5978125000001</v>
      </c>
      <c r="CD102" s="99">
        <v>16</v>
      </c>
      <c r="CE102" s="99">
        <v>8505.6</v>
      </c>
      <c r="CF102" s="99">
        <v>9.4387590215785018</v>
      </c>
      <c r="CG102" s="99">
        <v>5017.6442958711314</v>
      </c>
      <c r="CH102" s="99">
        <v>6.8721443238397217</v>
      </c>
      <c r="CI102" s="99">
        <v>3653.2319225531965</v>
      </c>
      <c r="CJ102" s="99">
        <v>12.622878228782287</v>
      </c>
      <c r="CK102" s="99">
        <v>6710.3220664206647</v>
      </c>
      <c r="CL102" s="99">
        <v>12.29837613727457</v>
      </c>
      <c r="CM102" s="99">
        <v>6537.8167545751612</v>
      </c>
      <c r="CN102" s="99">
        <v>13.546571732463562</v>
      </c>
      <c r="CO102" s="99">
        <v>7201.3575329776295</v>
      </c>
      <c r="CP102" s="99">
        <v>7.6699551569506728</v>
      </c>
      <c r="CQ102" s="99">
        <v>4077.348161434978</v>
      </c>
      <c r="CR102" s="99">
        <v>5.2978237745622669</v>
      </c>
      <c r="CS102" s="99">
        <v>2816.3231185573013</v>
      </c>
      <c r="CT102" s="99">
        <v>15</v>
      </c>
      <c r="CU102" s="99">
        <v>7974</v>
      </c>
    </row>
    <row r="103" spans="2:99">
      <c r="C103" s="98" t="s">
        <v>269</v>
      </c>
      <c r="D103" s="99">
        <v>3.8728874540651077</v>
      </c>
      <c r="E103" s="99">
        <v>2281.9052879351611</v>
      </c>
      <c r="F103" s="99">
        <v>8.7840502486522674</v>
      </c>
      <c r="G103" s="99">
        <v>5175.5624065059155</v>
      </c>
      <c r="H103" s="99">
        <v>5.1834868973802548</v>
      </c>
      <c r="I103" s="99">
        <v>3054.1104799364457</v>
      </c>
      <c r="J103" s="99">
        <v>13</v>
      </c>
      <c r="K103" s="99">
        <v>7659.5999999999995</v>
      </c>
      <c r="L103" s="99">
        <v>14</v>
      </c>
      <c r="M103" s="99">
        <v>8248.7999999999993</v>
      </c>
      <c r="N103" s="99">
        <v>9.8992005238966509</v>
      </c>
      <c r="O103" s="99">
        <v>5832.6089486799065</v>
      </c>
      <c r="P103" s="99">
        <v>6.4449903399202384</v>
      </c>
      <c r="Q103" s="99">
        <v>3797.3883082810039</v>
      </c>
      <c r="R103" s="99">
        <v>13</v>
      </c>
      <c r="S103" s="99">
        <v>7659.5999999999995</v>
      </c>
      <c r="T103" s="99">
        <v>14</v>
      </c>
      <c r="U103" s="99">
        <v>8248.7999999999993</v>
      </c>
      <c r="V103" s="99">
        <v>6.8848484848484865</v>
      </c>
      <c r="W103" s="99">
        <v>4056.5527272727277</v>
      </c>
      <c r="X103" s="99">
        <v>13</v>
      </c>
      <c r="Y103" s="99">
        <v>7659.5999999999995</v>
      </c>
      <c r="Z103" s="99">
        <v>9</v>
      </c>
      <c r="AA103" s="99">
        <v>5302.7999999999993</v>
      </c>
      <c r="AB103" s="99">
        <v>15</v>
      </c>
      <c r="AC103" s="99">
        <v>8837.9999999999982</v>
      </c>
      <c r="AD103" s="99">
        <v>14</v>
      </c>
      <c r="AE103" s="99">
        <v>8248.7999999999993</v>
      </c>
      <c r="AF103" s="99">
        <v>9</v>
      </c>
      <c r="AG103" s="99">
        <v>5302.7999999999993</v>
      </c>
      <c r="AH103" s="99">
        <v>9</v>
      </c>
      <c r="AI103" s="99">
        <v>5302.7999999999993</v>
      </c>
      <c r="AJ103" s="99">
        <v>9</v>
      </c>
      <c r="AK103" s="99">
        <v>5302.7999999999993</v>
      </c>
      <c r="AL103" s="99">
        <v>10</v>
      </c>
      <c r="AM103" s="99">
        <v>5891.9999999999991</v>
      </c>
      <c r="AN103" s="99">
        <v>13</v>
      </c>
      <c r="AO103" s="99">
        <v>7659.5999999999995</v>
      </c>
      <c r="AP103" s="99">
        <v>14</v>
      </c>
      <c r="AQ103" s="99">
        <v>8248.7999999999993</v>
      </c>
      <c r="AR103" s="99">
        <v>14</v>
      </c>
      <c r="AS103" s="99">
        <v>8248.7999999999993</v>
      </c>
      <c r="AT103" s="99">
        <v>10</v>
      </c>
      <c r="AU103" s="99">
        <v>5891.9999999999991</v>
      </c>
      <c r="AV103" s="99">
        <v>12</v>
      </c>
      <c r="AW103" s="99">
        <v>7070.4</v>
      </c>
      <c r="AX103" s="99">
        <v>13</v>
      </c>
      <c r="AY103" s="99">
        <v>7659.5999999999995</v>
      </c>
      <c r="AZ103" s="99">
        <v>13</v>
      </c>
      <c r="BA103" s="99">
        <v>7659.5999999999995</v>
      </c>
      <c r="BB103" s="99">
        <v>13.007741244409589</v>
      </c>
      <c r="BC103" s="99">
        <v>7664.1611412061284</v>
      </c>
      <c r="BD103" s="99">
        <v>9</v>
      </c>
      <c r="BE103" s="99">
        <v>5302.7999999999993</v>
      </c>
      <c r="BF103" s="99">
        <v>11</v>
      </c>
      <c r="BG103" s="99">
        <v>6481.1999999999989</v>
      </c>
      <c r="BH103" s="99">
        <v>13</v>
      </c>
      <c r="BI103" s="99">
        <v>7659.5999999999995</v>
      </c>
      <c r="BJ103" s="99">
        <v>12</v>
      </c>
      <c r="BK103" s="99">
        <v>7070.4</v>
      </c>
      <c r="BL103" s="99">
        <v>8.360404313349969</v>
      </c>
      <c r="BM103" s="99">
        <v>4925.9502214258009</v>
      </c>
      <c r="BN103" s="99">
        <v>11.980172413793104</v>
      </c>
      <c r="BO103" s="99">
        <v>7058.7175862068962</v>
      </c>
      <c r="BP103" s="99">
        <v>3.1423771697470713</v>
      </c>
      <c r="BQ103" s="99">
        <v>1851.4886284149741</v>
      </c>
      <c r="BR103" s="99">
        <v>13</v>
      </c>
      <c r="BS103" s="99">
        <v>7659.5999999999995</v>
      </c>
      <c r="BT103" s="99">
        <v>14</v>
      </c>
      <c r="BU103" s="99">
        <v>8248.7999999999993</v>
      </c>
      <c r="BV103" s="99">
        <v>10.121888412017174</v>
      </c>
      <c r="BW103" s="99">
        <v>5963.8166523605187</v>
      </c>
      <c r="BX103" s="99">
        <v>3.5433496674020359</v>
      </c>
      <c r="BY103" s="99">
        <v>2087.7416240332795</v>
      </c>
      <c r="BZ103" s="99">
        <v>9.8981481481481506</v>
      </c>
      <c r="CA103" s="99">
        <v>5831.98888888889</v>
      </c>
      <c r="CB103" s="99">
        <v>10.021875000000001</v>
      </c>
      <c r="CC103" s="99">
        <v>5904.8887500000001</v>
      </c>
      <c r="CD103" s="99">
        <v>15</v>
      </c>
      <c r="CE103" s="99">
        <v>8837.9999999999982</v>
      </c>
      <c r="CF103" s="99">
        <v>10.296828023540183</v>
      </c>
      <c r="CG103" s="99">
        <v>6066.891071469875</v>
      </c>
      <c r="CH103" s="99">
        <v>7.6357159153774683</v>
      </c>
      <c r="CI103" s="99">
        <v>4498.9638173404037</v>
      </c>
      <c r="CJ103" s="99">
        <v>12.622878228782287</v>
      </c>
      <c r="CK103" s="99">
        <v>7437.3998523985229</v>
      </c>
      <c r="CL103" s="99">
        <v>12.29837613727457</v>
      </c>
      <c r="CM103" s="99">
        <v>7246.2032200821759</v>
      </c>
      <c r="CN103" s="99">
        <v>11.740362168135087</v>
      </c>
      <c r="CO103" s="99">
        <v>6917.421389465193</v>
      </c>
      <c r="CP103" s="99">
        <v>8.6286995515695075</v>
      </c>
      <c r="CQ103" s="99">
        <v>5084.0297757847529</v>
      </c>
      <c r="CR103" s="99">
        <v>4.7680413971060407</v>
      </c>
      <c r="CS103" s="99">
        <v>2809.3299911748791</v>
      </c>
      <c r="CT103" s="99">
        <v>14</v>
      </c>
      <c r="CU103" s="99">
        <v>8248.7999999999993</v>
      </c>
    </row>
    <row r="104" spans="2:99">
      <c r="C104" s="98" t="s">
        <v>270</v>
      </c>
      <c r="D104" s="99">
        <v>3.8728874540651077</v>
      </c>
      <c r="E104" s="99">
        <v>2449.2140259507742</v>
      </c>
      <c r="F104" s="99">
        <v>8.7840502486522674</v>
      </c>
      <c r="G104" s="99">
        <v>5555.0333772476934</v>
      </c>
      <c r="H104" s="99">
        <v>5.9239850255774336</v>
      </c>
      <c r="I104" s="99">
        <v>3746.328130175169</v>
      </c>
      <c r="J104" s="99">
        <v>13</v>
      </c>
      <c r="K104" s="99">
        <v>8221.1999999999989</v>
      </c>
      <c r="L104" s="99">
        <v>13</v>
      </c>
      <c r="M104" s="99">
        <v>8221.1999999999989</v>
      </c>
      <c r="N104" s="99">
        <v>10.799127844250892</v>
      </c>
      <c r="O104" s="99">
        <v>6829.3684487042638</v>
      </c>
      <c r="P104" s="99">
        <v>6.9820728682469246</v>
      </c>
      <c r="Q104" s="99">
        <v>4415.4628818793553</v>
      </c>
      <c r="R104" s="99">
        <v>13</v>
      </c>
      <c r="S104" s="99">
        <v>8221.1999999999989</v>
      </c>
      <c r="T104" s="99">
        <v>13</v>
      </c>
      <c r="U104" s="99">
        <v>8221.1999999999989</v>
      </c>
      <c r="V104" s="99">
        <v>8.6060606060606073</v>
      </c>
      <c r="W104" s="99">
        <v>5442.4727272727278</v>
      </c>
      <c r="X104" s="99">
        <v>12</v>
      </c>
      <c r="Y104" s="99">
        <v>7588.7999999999993</v>
      </c>
      <c r="Z104" s="99">
        <v>8</v>
      </c>
      <c r="AA104" s="99">
        <v>5059.2</v>
      </c>
      <c r="AB104" s="99">
        <v>16</v>
      </c>
      <c r="AC104" s="99">
        <v>10118.4</v>
      </c>
      <c r="AD104" s="99">
        <v>14</v>
      </c>
      <c r="AE104" s="99">
        <v>8853.6</v>
      </c>
      <c r="AF104" s="99">
        <v>9</v>
      </c>
      <c r="AG104" s="99">
        <v>5691.5999999999995</v>
      </c>
      <c r="AH104" s="99">
        <v>9</v>
      </c>
      <c r="AI104" s="99">
        <v>5691.5999999999995</v>
      </c>
      <c r="AJ104" s="99">
        <v>8</v>
      </c>
      <c r="AK104" s="99">
        <v>5059.2</v>
      </c>
      <c r="AL104" s="99">
        <v>10</v>
      </c>
      <c r="AM104" s="99">
        <v>6324</v>
      </c>
      <c r="AN104" s="99">
        <v>12</v>
      </c>
      <c r="AO104" s="99">
        <v>7588.7999999999993</v>
      </c>
      <c r="AP104" s="99">
        <v>15</v>
      </c>
      <c r="AQ104" s="99">
        <v>9486</v>
      </c>
      <c r="AR104" s="99">
        <v>15</v>
      </c>
      <c r="AS104" s="99">
        <v>9486</v>
      </c>
      <c r="AT104" s="99">
        <v>10</v>
      </c>
      <c r="AU104" s="99">
        <v>6324</v>
      </c>
      <c r="AV104" s="99">
        <v>13</v>
      </c>
      <c r="AW104" s="99">
        <v>8221.1999999999989</v>
      </c>
      <c r="AX104" s="99">
        <v>15</v>
      </c>
      <c r="AY104" s="99">
        <v>9486</v>
      </c>
      <c r="AZ104" s="99">
        <v>13</v>
      </c>
      <c r="BA104" s="99">
        <v>8221.1999999999989</v>
      </c>
      <c r="BB104" s="99">
        <v>13.007741244409589</v>
      </c>
      <c r="BC104" s="99">
        <v>8226.0955629646232</v>
      </c>
      <c r="BD104" s="99">
        <v>9</v>
      </c>
      <c r="BE104" s="99">
        <v>5691.5999999999995</v>
      </c>
      <c r="BF104" s="99">
        <v>10</v>
      </c>
      <c r="BG104" s="99">
        <v>6324</v>
      </c>
      <c r="BH104" s="99">
        <v>12</v>
      </c>
      <c r="BI104" s="99">
        <v>7588.7999999999993</v>
      </c>
      <c r="BJ104" s="99">
        <v>14</v>
      </c>
      <c r="BK104" s="99">
        <v>8853.6</v>
      </c>
      <c r="BL104" s="99">
        <v>7.5243638820149714</v>
      </c>
      <c r="BM104" s="99">
        <v>4758.4077189862674</v>
      </c>
      <c r="BN104" s="99">
        <v>12.901724137931035</v>
      </c>
      <c r="BO104" s="99">
        <v>8159.0503448275867</v>
      </c>
      <c r="BP104" s="99">
        <v>3.9279714621838391</v>
      </c>
      <c r="BQ104" s="99">
        <v>2484.0491526850597</v>
      </c>
      <c r="BR104" s="99">
        <v>11</v>
      </c>
      <c r="BS104" s="99">
        <v>6956.4</v>
      </c>
      <c r="BT104" s="99">
        <v>12</v>
      </c>
      <c r="BU104" s="99">
        <v>7588.7999999999993</v>
      </c>
      <c r="BV104" s="99">
        <v>11.962231759656662</v>
      </c>
      <c r="BW104" s="99">
        <v>7564.9153648068732</v>
      </c>
      <c r="BX104" s="99">
        <v>4.1339079453023748</v>
      </c>
      <c r="BY104" s="99">
        <v>2614.2833846092217</v>
      </c>
      <c r="BZ104" s="99">
        <v>7.9185185185185203</v>
      </c>
      <c r="CA104" s="99">
        <v>5007.6711111111117</v>
      </c>
      <c r="CB104" s="99">
        <v>10.85703125</v>
      </c>
      <c r="CC104" s="99">
        <v>6865.9865625000002</v>
      </c>
      <c r="CD104" s="99">
        <v>15</v>
      </c>
      <c r="CE104" s="99">
        <v>9486</v>
      </c>
      <c r="CF104" s="99">
        <v>9.4387590215785018</v>
      </c>
      <c r="CG104" s="99">
        <v>5969.0712052462441</v>
      </c>
      <c r="CH104" s="99">
        <v>7.6357159153774683</v>
      </c>
      <c r="CI104" s="99">
        <v>4828.8267448847109</v>
      </c>
      <c r="CJ104" s="99">
        <v>11.833948339483396</v>
      </c>
      <c r="CK104" s="99">
        <v>7483.7889298892987</v>
      </c>
      <c r="CL104" s="99">
        <v>12.29837613727457</v>
      </c>
      <c r="CM104" s="99">
        <v>7777.4930692124371</v>
      </c>
      <c r="CN104" s="99">
        <v>12.643466950299326</v>
      </c>
      <c r="CO104" s="99">
        <v>7995.7284993692929</v>
      </c>
      <c r="CP104" s="99">
        <v>8.6286995515695075</v>
      </c>
      <c r="CQ104" s="99">
        <v>5456.7895964125564</v>
      </c>
      <c r="CR104" s="99">
        <v>4.7680413971060407</v>
      </c>
      <c r="CS104" s="99">
        <v>3015.3093795298601</v>
      </c>
      <c r="CT104" s="99">
        <v>16</v>
      </c>
      <c r="CU104" s="99">
        <v>10118.4</v>
      </c>
    </row>
    <row r="105" spans="2:99">
      <c r="C105" s="98" t="s">
        <v>271</v>
      </c>
      <c r="D105" s="99">
        <v>3.8728874540651077</v>
      </c>
      <c r="E105" s="99">
        <v>2156.4237344234516</v>
      </c>
      <c r="F105" s="99">
        <v>8.7840502486522674</v>
      </c>
      <c r="G105" s="99">
        <v>4890.9591784495824</v>
      </c>
      <c r="H105" s="99">
        <v>5.1834868973802548</v>
      </c>
      <c r="I105" s="99">
        <v>2886.1655044613258</v>
      </c>
      <c r="J105" s="99">
        <v>11</v>
      </c>
      <c r="K105" s="99">
        <v>6124.7999999999993</v>
      </c>
      <c r="L105" s="99">
        <v>12</v>
      </c>
      <c r="M105" s="99">
        <v>6681.5999999999995</v>
      </c>
      <c r="N105" s="99">
        <v>9.8992005238966509</v>
      </c>
      <c r="O105" s="99">
        <v>5511.8748517056547</v>
      </c>
      <c r="P105" s="99">
        <v>6.9820728682469246</v>
      </c>
      <c r="Q105" s="99">
        <v>3887.6181730398871</v>
      </c>
      <c r="R105" s="99">
        <v>14</v>
      </c>
      <c r="S105" s="99">
        <v>7795.1999999999989</v>
      </c>
      <c r="T105" s="99">
        <v>13</v>
      </c>
      <c r="U105" s="99">
        <v>7238.4</v>
      </c>
      <c r="V105" s="99">
        <v>7.7454545454545469</v>
      </c>
      <c r="W105" s="99">
        <v>4312.6690909090912</v>
      </c>
      <c r="X105" s="99">
        <v>12</v>
      </c>
      <c r="Y105" s="99">
        <v>6681.5999999999995</v>
      </c>
      <c r="Z105" s="99">
        <v>8</v>
      </c>
      <c r="AA105" s="99">
        <v>4454.3999999999996</v>
      </c>
      <c r="AB105" s="99">
        <v>16</v>
      </c>
      <c r="AC105" s="99">
        <v>8908.7999999999993</v>
      </c>
      <c r="AD105" s="99">
        <v>16</v>
      </c>
      <c r="AE105" s="99">
        <v>8908.7999999999993</v>
      </c>
      <c r="AF105" s="99">
        <v>11</v>
      </c>
      <c r="AG105" s="99">
        <v>6124.7999999999993</v>
      </c>
      <c r="AH105" s="99">
        <v>8</v>
      </c>
      <c r="AI105" s="99">
        <v>4454.3999999999996</v>
      </c>
      <c r="AJ105" s="99">
        <v>8</v>
      </c>
      <c r="AK105" s="99">
        <v>4454.3999999999996</v>
      </c>
      <c r="AL105" s="99">
        <v>9</v>
      </c>
      <c r="AM105" s="99">
        <v>5011.2</v>
      </c>
      <c r="AN105" s="99">
        <v>13</v>
      </c>
      <c r="AO105" s="99">
        <v>7238.4</v>
      </c>
      <c r="AP105" s="99">
        <v>13</v>
      </c>
      <c r="AQ105" s="99">
        <v>7238.4</v>
      </c>
      <c r="AR105" s="99">
        <v>17</v>
      </c>
      <c r="AS105" s="99">
        <v>9465.5999999999985</v>
      </c>
      <c r="AT105" s="99">
        <v>11</v>
      </c>
      <c r="AU105" s="99">
        <v>6124.7999999999993</v>
      </c>
      <c r="AV105" s="99">
        <v>11</v>
      </c>
      <c r="AW105" s="99">
        <v>6124.7999999999993</v>
      </c>
      <c r="AX105" s="99">
        <v>14</v>
      </c>
      <c r="AY105" s="99">
        <v>7795.1999999999989</v>
      </c>
      <c r="AZ105" s="99">
        <v>14</v>
      </c>
      <c r="BA105" s="99">
        <v>7795.1999999999989</v>
      </c>
      <c r="BB105" s="99">
        <v>11.381773588858389</v>
      </c>
      <c r="BC105" s="99">
        <v>6337.3715342763498</v>
      </c>
      <c r="BD105" s="99">
        <v>9</v>
      </c>
      <c r="BE105" s="99">
        <v>5011.2</v>
      </c>
      <c r="BF105" s="99">
        <v>11</v>
      </c>
      <c r="BG105" s="99">
        <v>6124.7999999999993</v>
      </c>
      <c r="BH105" s="99">
        <v>14</v>
      </c>
      <c r="BI105" s="99">
        <v>7795.1999999999989</v>
      </c>
      <c r="BJ105" s="99">
        <v>13</v>
      </c>
      <c r="BK105" s="99">
        <v>7238.4</v>
      </c>
      <c r="BL105" s="99">
        <v>8.360404313349969</v>
      </c>
      <c r="BM105" s="99">
        <v>4655.073121673262</v>
      </c>
      <c r="BN105" s="99">
        <v>13.823275862068968</v>
      </c>
      <c r="BO105" s="99">
        <v>7696.8000000000011</v>
      </c>
      <c r="BP105" s="99">
        <v>3.5351743159654552</v>
      </c>
      <c r="BQ105" s="99">
        <v>1968.3850591295652</v>
      </c>
      <c r="BR105" s="99">
        <v>13</v>
      </c>
      <c r="BS105" s="99">
        <v>7238.4</v>
      </c>
      <c r="BT105" s="99">
        <v>12</v>
      </c>
      <c r="BU105" s="99">
        <v>6681.5999999999995</v>
      </c>
      <c r="BV105" s="99">
        <v>10.121888412017174</v>
      </c>
      <c r="BW105" s="99">
        <v>5635.867467811162</v>
      </c>
      <c r="BX105" s="99">
        <v>3.5433496674020359</v>
      </c>
      <c r="BY105" s="99">
        <v>1972.9370948094534</v>
      </c>
      <c r="BZ105" s="99">
        <v>7.9185185185185203</v>
      </c>
      <c r="CA105" s="99">
        <v>4409.0311111111114</v>
      </c>
      <c r="CB105" s="99">
        <v>11.692187500000001</v>
      </c>
      <c r="CC105" s="99">
        <v>6510.21</v>
      </c>
      <c r="CD105" s="99">
        <v>15</v>
      </c>
      <c r="CE105" s="99">
        <v>8352</v>
      </c>
      <c r="CF105" s="99">
        <v>9.4387590215785018</v>
      </c>
      <c r="CG105" s="99">
        <v>5255.5010232149098</v>
      </c>
      <c r="CH105" s="99">
        <v>7.6357159153774683</v>
      </c>
      <c r="CI105" s="99">
        <v>4251.5666216821737</v>
      </c>
      <c r="CJ105" s="99">
        <v>11.045018450184502</v>
      </c>
      <c r="CK105" s="99">
        <v>6149.8662730627302</v>
      </c>
      <c r="CL105" s="99">
        <v>10.851508356418737</v>
      </c>
      <c r="CM105" s="99">
        <v>6042.1198528539526</v>
      </c>
      <c r="CN105" s="99">
        <v>12.643466950299326</v>
      </c>
      <c r="CO105" s="99">
        <v>7039.8823979266635</v>
      </c>
      <c r="CP105" s="99">
        <v>7.6699551569506728</v>
      </c>
      <c r="CQ105" s="99">
        <v>4270.631031390134</v>
      </c>
      <c r="CR105" s="99">
        <v>4.7680413971060407</v>
      </c>
      <c r="CS105" s="99">
        <v>2654.8454499086433</v>
      </c>
      <c r="CT105" s="99">
        <v>17</v>
      </c>
      <c r="CU105" s="99">
        <v>9465.5999999999985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434</v>
      </c>
      <c r="E109" s="99">
        <f>SUM(L$6:L$19)+SUM(N$6:N$19)+SUM(P$6:P$19)+SUM(R$6:R$19)</f>
        <v>532</v>
      </c>
      <c r="F109" s="99">
        <f>SUM(T$6:T$19)+SUM(V$6:V$19)+SUM(X$6:X$19)+SUM(Z$6:Z$19)</f>
        <v>399</v>
      </c>
      <c r="G109" s="99">
        <f>SUM(AB$6:AB$19)+SUM(AD$6:AD$19)+SUM(AF$6:AF$19)+SUM(AH$6:AH$19)</f>
        <v>423</v>
      </c>
      <c r="H109" s="99">
        <f>SUM(AJ$6:AJ$19)+SUM(AL$6:AL$19)+SUM(AN$6:AN$19)+SUM(AP$6:AP$19)</f>
        <v>525</v>
      </c>
      <c r="I109" s="99">
        <f>SUM(AR$6:AR$19)+SUM(AT$6:AT$19)+SUM(AV$6:AV$19)+SUM(AX$6:AX$19)</f>
        <v>604</v>
      </c>
      <c r="J109" s="99">
        <f>SUM(AZ$6:AZ$19)+SUM(BB$6:BB$19)+SUM(BD$6:BD$19)+SUM(BF$6:BF$19)</f>
        <v>645</v>
      </c>
      <c r="K109" s="99">
        <f>SUM(BH$6:BH$19)+SUM(BJ$6:BJ$19)+SUM(BL$6:BL$19)+SUM(BN$6:BN$19)</f>
        <v>559</v>
      </c>
      <c r="L109" s="99">
        <f>SUM(BP$6:BP$19)+SUM(BR$6:BR$19)+SUM(BT$6:BT$19)+SUM(BV$6:BV$19)</f>
        <v>506.64093114039377</v>
      </c>
      <c r="M109" s="99">
        <f>SUM(BX$6:BX$19)+SUM(BZ$6:BZ$19)+SUM(CB$6:CB$19)+SUM(CD$6:CD$19)</f>
        <v>579.01089304766697</v>
      </c>
      <c r="N109" s="99">
        <f>SUM(CF$6:CF$19)+SUM(CH$6:CH$19)+SUM(CJ$6:CJ$19)+SUM(CL$6:CL$19)</f>
        <v>495.04040709339807</v>
      </c>
      <c r="O109" s="99">
        <f>SUM(CN$6:CN$19)+SUM(CP$6:CP$19)+SUM(CR$6:CR$19)+SUM(CT$6:CT$19)</f>
        <v>585.90916932989103</v>
      </c>
    </row>
    <row r="110" spans="2:99">
      <c r="C110" s="98" t="s">
        <v>127</v>
      </c>
      <c r="D110" s="99">
        <f>SUM(D$20:D$36)+SUM(F$20:F$36)+SUM(H$20:H$36)+SUM(J$20:J$36)</f>
        <v>1354</v>
      </c>
      <c r="E110" s="99">
        <f>SUM(L$20:L$36)+SUM(N$20:N$36)+SUM(P$20:P$36)+SUM(R$20:R$36)</f>
        <v>1315</v>
      </c>
      <c r="F110" s="99">
        <f>SUM(T$20:T$36)+SUM(V$20:V$36)+SUM(X$20:X$36)+SUM(Z$20:Z$36)</f>
        <v>1140</v>
      </c>
      <c r="G110" s="99">
        <f>SUM(AB$20:AB$36)+SUM(AD$20:AD$36)+SUM(AF$20:AF$36)+SUM(AH$20:AH$36)</f>
        <v>1375</v>
      </c>
      <c r="H110" s="99">
        <f>SUM(AJ$20:AJ$36)+SUM(AL$20:AL$36)+SUM(AN$20:AN$36)+SUM(AP$20:AP$36)</f>
        <v>1313</v>
      </c>
      <c r="I110" s="99">
        <f>SUM(AR$20:AR$36)+SUM(AT$20:AT$36)+SUM(AV$20:AV$36)+SUM(AX$20:AX$36)</f>
        <v>1336</v>
      </c>
      <c r="J110" s="99">
        <f>SUM(AZ$20:AZ$36)+SUM(BB$20:BB$36)+SUM(BD$20:BD$36)+SUM(BF$20:BF$36)</f>
        <v>1303</v>
      </c>
      <c r="K110" s="99">
        <f>SUM(BH$20:BH$36)+SUM(BJ$20:BJ$36)+SUM(BL$20:BL$36)+SUM(BN$20:BN$36)</f>
        <v>1341</v>
      </c>
      <c r="L110" s="99">
        <f>SUM(BP$20:BP$36)+SUM(BR$20:BR$36)+SUM(BT$20:BT$36)+SUM(BV$20:BV$36)</f>
        <v>1181.3144464944096</v>
      </c>
      <c r="M110" s="99">
        <f>SUM(BX$20:BX$36)+SUM(BZ$20:BZ$36)+SUM(CB$20:CB$36)+SUM(CD$20:CD$36)</f>
        <v>1055.9807827271784</v>
      </c>
      <c r="N110" s="99">
        <f>SUM(CF$20:CF$36)+SUM(CH$20:CH$36)+SUM(CJ$20:CJ$36)+SUM(CL$20:CL$36)</f>
        <v>1160.9872948185639</v>
      </c>
      <c r="O110" s="99">
        <f>SUM(CN$20:CN$36)+SUM(CP$20:CP$36)+SUM(CR$20:CR$36)+SUM(CT$20:CT$36)</f>
        <v>1337.5765851577423</v>
      </c>
    </row>
    <row r="111" spans="2:99">
      <c r="C111" s="98" t="s">
        <v>128</v>
      </c>
      <c r="D111" s="99">
        <f>SUM(D$37:D$48)+SUM(F$37:F$48)+SUM(H$37:H$48)+SUM(J$37:J$48)</f>
        <v>545</v>
      </c>
      <c r="E111" s="99">
        <f>SUM(L$37:L$48)+SUM(N$37:N$48)+SUM(P$37:P$48)+SUM(R$37:R$48)</f>
        <v>707</v>
      </c>
      <c r="F111" s="99">
        <f>SUM(T$37:T$48)+SUM(V$37:V$48)+SUM(X$37:X$48)+SUM(Z$37:Z$48)</f>
        <v>627</v>
      </c>
      <c r="G111" s="99">
        <f>SUM(AB$37:AB$48)+SUM(AD$37:AD$48)+SUM(AF$37:AF$48)+SUM(AH$37:AH$48)</f>
        <v>555</v>
      </c>
      <c r="H111" s="99">
        <f>SUM(AJ$37:AJ$48)+SUM(AL$37:AL$48)+SUM(AN$37:AN$48)+SUM(AP$37:AP$48)</f>
        <v>756</v>
      </c>
      <c r="I111" s="99">
        <f>SUM(AR$37:AR$48)+SUM(AT$37:AT$48)+SUM(AV$37:AV$48)+SUM(AX$37:AX$48)</f>
        <v>586</v>
      </c>
      <c r="J111" s="99">
        <f>SUM(AZ$37:AZ$48)+SUM(BB$37:BB$48)+SUM(BD$37:BD$48)+SUM(BF$37:BF$48)</f>
        <v>637</v>
      </c>
      <c r="K111" s="99">
        <f>SUM(BH$37:BH$48)+SUM(BJ$37:BJ$48)+SUM(BL$37:BL$48)+SUM(BN$37:BN$48)</f>
        <v>556</v>
      </c>
      <c r="L111" s="99">
        <f>SUM(BP$37:BP$48)+SUM(BR$37:BR$48)+SUM(BT$37:BT$48)+SUM(BV$37:BV$48)</f>
        <v>518.68860364566945</v>
      </c>
      <c r="M111" s="99">
        <f>SUM(BX$37:BX$48)+SUM(BZ$37:BZ$48)+SUM(CB$37:CB$48)+SUM(CD$37:CD$48)</f>
        <v>570.35253686288627</v>
      </c>
      <c r="N111" s="99">
        <f>SUM(CF$37:CF$48)+SUM(CH$37:CH$48)+SUM(CJ$37:CJ$48)+SUM(CL$37:CL$48)</f>
        <v>643.63227511778882</v>
      </c>
      <c r="O111" s="99">
        <f>SUM(CN$37:CN$48)+SUM(CP$37:CP$48)+SUM(CR$37:CR$48)+SUM(CT$37:CT$48)</f>
        <v>600.64843696328796</v>
      </c>
    </row>
    <row r="112" spans="2:99">
      <c r="C112" s="98" t="s">
        <v>129</v>
      </c>
      <c r="D112" s="99">
        <f>SUM(D$49:D$70)+SUM(F$49:F$70)+SUM(H$49:H$70)+SUM(J$49:J$70)</f>
        <v>799.70523316394303</v>
      </c>
      <c r="E112" s="99">
        <f>SUM(L$49:L$70)+SUM(N$49:N$70)+SUM(P$49:P$70)+SUM(R$49:R$70)</f>
        <v>959.43997893468122</v>
      </c>
      <c r="F112" s="99">
        <f>SUM(T$49:T$70)+SUM(V$49:V$70)+SUM(X$49:X$70)+SUM(Z$49:Z$70)</f>
        <v>715.37928344929696</v>
      </c>
      <c r="G112" s="99">
        <f>SUM(AB$49:AB$70)+SUM(AD$49:AD$70)+SUM(AF$49:AF$70)+SUM(AH$49:AH$70)</f>
        <v>708.57660192130788</v>
      </c>
      <c r="H112" s="99">
        <f>SUM(AJ$49:AJ$70)+SUM(AL$49:AL$70)+SUM(AN$49:AN$70)+SUM(AP$49:AP$70)</f>
        <v>724.51390006336192</v>
      </c>
      <c r="I112" s="99">
        <f>SUM(AR$49:AR$70)+SUM(AT$49:AT$70)+SUM(AV$49:AV$70)+SUM(AX$49:AX$70)</f>
        <v>821.06055621799271</v>
      </c>
      <c r="J112" s="99">
        <f>SUM(AZ$49:AZ$70)+SUM(BB$49:BB$70)+SUM(BD$49:BD$70)+SUM(BF$49:BF$70)</f>
        <v>773.21912523728042</v>
      </c>
      <c r="K112" s="99">
        <f>SUM(BH$49:BH$70)+SUM(BJ$49:BJ$70)+SUM(BL$49:BL$70)+SUM(BN$49:BN$70)</f>
        <v>746.81267974849175</v>
      </c>
      <c r="L112" s="99">
        <f>SUM(BP$49:BP$70)+SUM(BR$49:BR$70)+SUM(BT$49:BT$70)+SUM(BV$49:BV$70)</f>
        <v>622.11967280474596</v>
      </c>
      <c r="M112" s="99">
        <f>SUM(BX$49:BX$70)+SUM(BZ$49:BZ$70)+SUM(CB$49:CB$70)+SUM(CD$49:CD$70)</f>
        <v>724.45131466685905</v>
      </c>
      <c r="N112" s="99">
        <f>SUM(CF$49:CF$70)+SUM(CH$49:CH$70)+SUM(CJ$49:CJ$70)+SUM(CL$49:CL$70)</f>
        <v>752.35382660867242</v>
      </c>
      <c r="O112" s="99">
        <f>SUM(CN$49:CN$70)+SUM(CP$49:CP$70)+SUM(CR$49:CR$70)+SUM(CT$49:CT$70)</f>
        <v>726.93286825196753</v>
      </c>
    </row>
    <row r="113" spans="2:15">
      <c r="C113" s="98" t="s">
        <v>130</v>
      </c>
      <c r="D113" s="99">
        <f>SUM(D$71:D$86)+SUM(F$71:F$86)+SUM(H$71:H$86)+SUM(J$71:J$86)</f>
        <v>166.51016885944344</v>
      </c>
      <c r="E113" s="99">
        <f>SUM(L$71:L$86)+SUM(N$71:N$86)+SUM(P$71:P$86)+SUM(R$71:R$86)</f>
        <v>680</v>
      </c>
      <c r="F113" s="99">
        <f>SUM(T$71:T$86)+SUM(V$71:V$86)+SUM(X$71:X$86)+SUM(Z$71:Z$86)</f>
        <v>824.05306107165347</v>
      </c>
      <c r="G113" s="99">
        <f>SUM(AB$71:AB$86)+SUM(AD$71:AD$86)+SUM(AF$71:AF$86)+SUM(AH$71:AH$86)</f>
        <v>639.81390439016991</v>
      </c>
      <c r="H113" s="99">
        <f>SUM(AJ$71:AJ$86)+SUM(AL$71:AL$86)+SUM(AN$71:AN$86)+SUM(AP$71:AP$86)</f>
        <v>611.40992178949182</v>
      </c>
      <c r="I113" s="99">
        <f>SUM(AR$71:AR$86)+SUM(AT$71:AT$86)+SUM(AV$71:AV$86)+SUM(AX$71:AX$86)</f>
        <v>500.88756629080427</v>
      </c>
      <c r="J113" s="99">
        <f>SUM(AZ$71:AZ$86)+SUM(BB$71:BB$86)+SUM(BD$71:BD$86)+SUM(BF$71:BF$86)</f>
        <v>751.63298353352002</v>
      </c>
      <c r="K113" s="99">
        <f>SUM(BH$71:BH$86)+SUM(BJ$71:BJ$86)+SUM(BL$71:BL$86)+SUM(BN$71:BN$86)</f>
        <v>604.18955065658758</v>
      </c>
      <c r="L113" s="99">
        <f>SUM(BP$71:BP$86)+SUM(BR$71:BR$86)+SUM(BT$71:BT$86)+SUM(BV$71:BV$86)</f>
        <v>511.64644711676874</v>
      </c>
      <c r="M113" s="99">
        <f>SUM(BX$71:BX$86)+SUM(BZ$71:BZ$86)+SUM(CB$71:CB$86)+SUM(CD$71:CD$86)</f>
        <v>569.06145720559186</v>
      </c>
      <c r="N113" s="99">
        <f>SUM(CF$71:CF$86)+SUM(CH$71:CH$86)+SUM(CJ$71:CJ$86)+SUM(CL$71:CL$86)</f>
        <v>791.71994640173466</v>
      </c>
      <c r="O113" s="99">
        <f>SUM(CN$71:CN$86)+SUM(CP$71:CP$86)+SUM(CR$71:CR$86)+SUM(CT$71:CT$86)</f>
        <v>473.06732776079673</v>
      </c>
    </row>
    <row r="114" spans="2:15">
      <c r="C114" s="98" t="s">
        <v>131</v>
      </c>
      <c r="D114" s="99">
        <f>SUM(D$87:D$94)+SUM(F$87:F$94)+SUM(H$87:H$94)+SUM(J$87:J$94)</f>
        <v>195.41093290388025</v>
      </c>
      <c r="E114" s="99">
        <f>SUM(L$87:L$94)+SUM(N$87:N$94)+SUM(P$87:P$94)+SUM(R$87:R$94)</f>
        <v>277.44322416094997</v>
      </c>
      <c r="F114" s="99">
        <f>SUM(T$87:T$94)+SUM(V$87:V$94)+SUM(X$87:X$94)+SUM(Z$87:Z$94)</f>
        <v>306.43030303030304</v>
      </c>
      <c r="G114" s="99">
        <f>SUM(AB$87:AB$94)+SUM(AD$87:AD$94)+SUM(AF$87:AF$94)+SUM(AH$87:AH$94)</f>
        <v>285</v>
      </c>
      <c r="H114" s="99">
        <f>SUM(AJ$87:AJ$94)+SUM(AL$87:AL$94)+SUM(AN$87:AN$94)+SUM(AP$87:AP$94)</f>
        <v>279</v>
      </c>
      <c r="I114" s="99">
        <f>SUM(AR$87:AR$94)+SUM(AT$87:AT$94)+SUM(AV$87:AV$94)+SUM(AX$87:AX$94)</f>
        <v>276</v>
      </c>
      <c r="J114" s="99">
        <f>SUM(AZ$87:AZ$94)+SUM(BB$87:BB$94)+SUM(BD$87:BD$94)+SUM(BF$87:BF$94)</f>
        <v>309.84394880541396</v>
      </c>
      <c r="K114" s="99">
        <f>SUM(BH$87:BH$94)+SUM(BJ$87:BJ$94)+SUM(BL$87:BL$94)+SUM(BN$87:BN$94)</f>
        <v>281.52049968041558</v>
      </c>
      <c r="L114" s="99">
        <f>SUM(BP$87:BP$94)+SUM(BR$87:BR$94)+SUM(BT$87:BT$94)+SUM(BV$87:BV$94)</f>
        <v>235.22828734331705</v>
      </c>
      <c r="M114" s="99">
        <f>SUM(BX$87:BX$94)+SUM(BZ$87:BZ$94)+SUM(CB$87:CB$94)+SUM(CD$87:CD$94)</f>
        <v>290.80378808817454</v>
      </c>
      <c r="N114" s="99">
        <f>SUM(CF$87:CF$94)+SUM(CH$87:CH$94)+SUM(CJ$87:CJ$94)+SUM(CL$87:CL$94)</f>
        <v>264.06843329512367</v>
      </c>
      <c r="O114" s="99">
        <f>SUM(CN$87:CN$94)+SUM(CP$87:CP$94)+SUM(CR$87:CR$94)+SUM(CT$87:CT$94)</f>
        <v>302.06198174561575</v>
      </c>
    </row>
    <row r="115" spans="2:15">
      <c r="C115" s="98" t="s">
        <v>132</v>
      </c>
      <c r="D115" s="99">
        <f>SUM(D$95:D$105)+SUM(F$95:F$105)+SUM(H$95:H$105)+SUM(J$95:J$105)</f>
        <v>341.48207418124929</v>
      </c>
      <c r="E115" s="99">
        <f>SUM(L$95:L$105)+SUM(N$95:N$105)+SUM(P$95:P$105)+SUM(R$95:R$105)</f>
        <v>480.21955153834296</v>
      </c>
      <c r="F115" s="99">
        <f>SUM(T$95:T$105)+SUM(V$95:V$105)+SUM(X$95:X$105)+SUM(Z$95:Z$105)</f>
        <v>458.33939393939397</v>
      </c>
      <c r="G115" s="99">
        <f>SUM(AB$95:AB$105)+SUM(AD$95:AD$105)+SUM(AF$95:AF$105)+SUM(AH$95:AH$105)</f>
        <v>527</v>
      </c>
      <c r="H115" s="99">
        <f>SUM(AJ$95:AJ$105)+SUM(AL$95:AL$105)+SUM(AN$95:AN$105)+SUM(AP$95:AP$105)</f>
        <v>478</v>
      </c>
      <c r="I115" s="99">
        <f>SUM(AR$95:AR$105)+SUM(AT$95:AT$105)+SUM(AV$95:AV$105)+SUM(AX$95:AX$105)</f>
        <v>561</v>
      </c>
      <c r="J115" s="99">
        <f>SUM(AZ$95:AZ$105)+SUM(BB$95:BB$105)+SUM(BD$95:BD$105)+SUM(BF$95:BF$105)</f>
        <v>485.32934775519828</v>
      </c>
      <c r="K115" s="99">
        <f>SUM(BH$95:BH$105)+SUM(BJ$95:BJ$105)+SUM(BL$95:BL$105)+SUM(BN$95:BN$105)</f>
        <v>510.86010735914022</v>
      </c>
      <c r="L115" s="99">
        <f>SUM(BP$95:BP$105)+SUM(BR$95:BR$105)+SUM(BT$95:BT$105)+SUM(BV$95:BV$105)</f>
        <v>429.87695294742753</v>
      </c>
      <c r="M115" s="99">
        <f>SUM(BX$95:BX$105)+SUM(BZ$95:BZ$105)+SUM(CB$95:CB$105)+SUM(CD$95:CD$105)</f>
        <v>406.21770520290124</v>
      </c>
      <c r="N115" s="99">
        <f>SUM(CF$95:CF$105)+SUM(CH$95:CH$105)+SUM(CJ$95:CJ$105)+SUM(CL$95:CL$105)</f>
        <v>438.26008212039483</v>
      </c>
      <c r="O115" s="99">
        <f>SUM(CN$95:CN$105)+SUM(CP$95:CP$105)+SUM(CR$95:CR$105)+SUM(CT$95:CT$105)</f>
        <v>447.00261492606865</v>
      </c>
    </row>
    <row r="116" spans="2:15">
      <c r="C116" s="98" t="s">
        <v>278</v>
      </c>
      <c r="D116" s="99">
        <f t="shared" ref="D116:O116" si="0">SUM(D$109:D$115)</f>
        <v>3836.1084091085158</v>
      </c>
      <c r="E116" s="99">
        <f t="shared" si="0"/>
        <v>4951.1027546339737</v>
      </c>
      <c r="F116" s="99">
        <f t="shared" si="0"/>
        <v>4470.2020414906474</v>
      </c>
      <c r="G116" s="99">
        <f t="shared" si="0"/>
        <v>4513.390506311478</v>
      </c>
      <c r="H116" s="99">
        <f t="shared" si="0"/>
        <v>4686.9238218528535</v>
      </c>
      <c r="I116" s="99">
        <f t="shared" si="0"/>
        <v>4684.9481225087966</v>
      </c>
      <c r="J116" s="99">
        <f t="shared" si="0"/>
        <v>4905.025405331412</v>
      </c>
      <c r="K116" s="99">
        <f t="shared" si="0"/>
        <v>4599.3828374446348</v>
      </c>
      <c r="L116" s="99">
        <f t="shared" si="0"/>
        <v>4005.5153414927322</v>
      </c>
      <c r="M116" s="99">
        <f t="shared" si="0"/>
        <v>4195.8784778012587</v>
      </c>
      <c r="N116" s="99">
        <f t="shared" si="0"/>
        <v>4546.0622654556764</v>
      </c>
      <c r="O116" s="99">
        <f t="shared" si="0"/>
        <v>4473.1989841353698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D109*pricing!D15*2000</f>
        <v>2864399.9999999995</v>
      </c>
      <c r="E120" s="99">
        <f>E109*pricing!E15*2000</f>
        <v>3511200</v>
      </c>
      <c r="F120" s="99">
        <f>F109*pricing!F15*2000</f>
        <v>2633399.9999999995</v>
      </c>
      <c r="G120" s="99">
        <f>G109*pricing!G15*2000</f>
        <v>2791799.9999999995</v>
      </c>
      <c r="H120" s="99">
        <f>H109*pricing!H15*2000</f>
        <v>3465000</v>
      </c>
      <c r="I120" s="99">
        <f>I109*pricing!I15*2000</f>
        <v>3986399.9999999995</v>
      </c>
      <c r="J120" s="99">
        <f>J109*pricing!J15*2000</f>
        <v>4257000</v>
      </c>
      <c r="K120" s="99">
        <f>K109*pricing!K15*2000</f>
        <v>3689399.9999999995</v>
      </c>
      <c r="L120" s="99">
        <f>L109*pricing!L15*2000</f>
        <v>3343830.1455265987</v>
      </c>
      <c r="M120" s="99">
        <f>M109*pricing!M15*2000</f>
        <v>3821471.8941146014</v>
      </c>
      <c r="N120" s="99">
        <f>N109*pricing!N15*2000</f>
        <v>3267266.6868164269</v>
      </c>
      <c r="O120" s="99">
        <f>O109*pricing!O15*2000</f>
        <v>3867000.5175772808</v>
      </c>
    </row>
    <row r="121" spans="2:15">
      <c r="C121" s="98" t="s">
        <v>127</v>
      </c>
      <c r="D121" s="99">
        <f>D110*pricing!D16*2000</f>
        <v>8936400</v>
      </c>
      <c r="E121" s="99">
        <f>E110*pricing!E16*2000</f>
        <v>8679000</v>
      </c>
      <c r="F121" s="99">
        <f>F110*pricing!F16*2000</f>
        <v>7524000</v>
      </c>
      <c r="G121" s="99">
        <f>G110*pricing!G16*2000</f>
        <v>9075000</v>
      </c>
      <c r="H121" s="99">
        <f>H110*pricing!H16*2000</f>
        <v>8665800</v>
      </c>
      <c r="I121" s="99">
        <f>I110*pricing!I16*2000</f>
        <v>8817600</v>
      </c>
      <c r="J121" s="99">
        <f>J110*pricing!J16*2000</f>
        <v>8599800</v>
      </c>
      <c r="K121" s="99">
        <f>K110*pricing!K16*2000</f>
        <v>8850600</v>
      </c>
      <c r="L121" s="99">
        <f>L110*pricing!L16*2000</f>
        <v>7796675.3468631031</v>
      </c>
      <c r="M121" s="99">
        <f>M110*pricing!M16*2000</f>
        <v>6969473.1659993771</v>
      </c>
      <c r="N121" s="99">
        <f>N110*pricing!N16*2000</f>
        <v>7662516.1458025211</v>
      </c>
      <c r="O121" s="99">
        <f>O110*pricing!O16*2000</f>
        <v>8828005.4620410986</v>
      </c>
    </row>
    <row r="122" spans="2:15">
      <c r="C122" s="98" t="s">
        <v>128</v>
      </c>
      <c r="D122" s="99">
        <f>D111*pricing!D17*2000</f>
        <v>3597000</v>
      </c>
      <c r="E122" s="99">
        <f>E111*pricing!E17*2000</f>
        <v>4666200</v>
      </c>
      <c r="F122" s="99">
        <f>F111*pricing!F17*2000</f>
        <v>4138200</v>
      </c>
      <c r="G122" s="99">
        <f>G111*pricing!G17*2000</f>
        <v>3663000</v>
      </c>
      <c r="H122" s="99">
        <f>H111*pricing!H17*2000</f>
        <v>4989599.9999999991</v>
      </c>
      <c r="I122" s="99">
        <f>I111*pricing!I17*2000</f>
        <v>3867600</v>
      </c>
      <c r="J122" s="99">
        <f>J111*pricing!J17*2000</f>
        <v>4204200</v>
      </c>
      <c r="K122" s="99">
        <f>K111*pricing!K17*2000</f>
        <v>3669600</v>
      </c>
      <c r="L122" s="99">
        <f>L111*pricing!L17*2000</f>
        <v>3423344.7840614179</v>
      </c>
      <c r="M122" s="99">
        <f>M111*pricing!M17*2000</f>
        <v>3764326.7432950493</v>
      </c>
      <c r="N122" s="99">
        <f>N111*pricing!N17*2000</f>
        <v>4247973.0157774054</v>
      </c>
      <c r="O122" s="99">
        <f>O111*pricing!O17*2000</f>
        <v>3964279.6839577006</v>
      </c>
    </row>
    <row r="123" spans="2:15">
      <c r="C123" s="98" t="s">
        <v>129</v>
      </c>
      <c r="D123" s="99">
        <f>D112*pricing!D18*2000</f>
        <v>5278054.5388820237</v>
      </c>
      <c r="E123" s="99">
        <f>E112*pricing!E18*2000</f>
        <v>6332303.8609688953</v>
      </c>
      <c r="F123" s="99">
        <f>F112*pricing!F18*2000</f>
        <v>4721503.2707653595</v>
      </c>
      <c r="G123" s="99">
        <f>G112*pricing!G18*2000</f>
        <v>4676605.5726806317</v>
      </c>
      <c r="H123" s="99">
        <f>H112*pricing!H18*2000</f>
        <v>4781791.7404181883</v>
      </c>
      <c r="I123" s="99">
        <f>I112*pricing!I18*2000</f>
        <v>5418999.6710387515</v>
      </c>
      <c r="J123" s="99">
        <f>J112*pricing!J18*2000</f>
        <v>5103246.2265660502</v>
      </c>
      <c r="K123" s="99">
        <f>K112*pricing!K18*2000</f>
        <v>4928963.6863400452</v>
      </c>
      <c r="L123" s="99">
        <f>L112*pricing!L18*2000</f>
        <v>4105989.8405113234</v>
      </c>
      <c r="M123" s="99">
        <f>M112*pricing!M18*2000</f>
        <v>4781378.6768012699</v>
      </c>
      <c r="N123" s="99">
        <f>N112*pricing!N18*2000</f>
        <v>4965535.2556172376</v>
      </c>
      <c r="O123" s="99">
        <f>O112*pricing!O18*2000</f>
        <v>4797756.9304629853</v>
      </c>
    </row>
    <row r="124" spans="2:15">
      <c r="C124" s="98" t="s">
        <v>130</v>
      </c>
      <c r="D124" s="99">
        <f>D113*pricing!D19*2000</f>
        <v>1098967.1144723266</v>
      </c>
      <c r="E124" s="99">
        <f>E113*pricing!E19*2000</f>
        <v>4488000</v>
      </c>
      <c r="F124" s="99">
        <f>F113*pricing!F19*2000</f>
        <v>5438750.203072913</v>
      </c>
      <c r="G124" s="99">
        <f>G113*pricing!G19*2000</f>
        <v>4222771.768975121</v>
      </c>
      <c r="H124" s="99">
        <f>H113*pricing!H19*2000</f>
        <v>4035305.483810646</v>
      </c>
      <c r="I124" s="99">
        <f>I113*pricing!I19*2000</f>
        <v>3305857.9375193082</v>
      </c>
      <c r="J124" s="99">
        <f>J113*pricing!J19*2000</f>
        <v>4960777.6913212324</v>
      </c>
      <c r="K124" s="99">
        <f>K113*pricing!K19*2000</f>
        <v>3987651.0343334782</v>
      </c>
      <c r="L124" s="99">
        <f>L113*pricing!L19*2000</f>
        <v>3376866.5509706736</v>
      </c>
      <c r="M124" s="99">
        <f>M113*pricing!M19*2000</f>
        <v>3755805.6175569063</v>
      </c>
      <c r="N124" s="99">
        <f>N113*pricing!N19*2000</f>
        <v>5225351.6462514484</v>
      </c>
      <c r="O124" s="99">
        <f>O113*pricing!O19*2000</f>
        <v>3122244.3632212579</v>
      </c>
    </row>
    <row r="125" spans="2:15">
      <c r="C125" s="98" t="s">
        <v>131</v>
      </c>
      <c r="D125" s="99">
        <f>D114*pricing!D20*2000</f>
        <v>1250629.9705848338</v>
      </c>
      <c r="E125" s="99">
        <f>E114*pricing!E20*2000</f>
        <v>1775636.6346300798</v>
      </c>
      <c r="F125" s="99">
        <f>F114*pricing!F20*2000</f>
        <v>1961153.9393939395</v>
      </c>
      <c r="G125" s="99">
        <f>G114*pricing!G20*2000</f>
        <v>1824000</v>
      </c>
      <c r="H125" s="99">
        <f>H114*pricing!H20*2000</f>
        <v>1785600.0000000002</v>
      </c>
      <c r="I125" s="99">
        <f>I114*pricing!I20*2000</f>
        <v>1766400</v>
      </c>
      <c r="J125" s="99">
        <f>J114*pricing!J20*2000</f>
        <v>1983001.2723546494</v>
      </c>
      <c r="K125" s="99">
        <f>K114*pricing!K20*2000</f>
        <v>1801731.1979546598</v>
      </c>
      <c r="L125" s="99">
        <f>L114*pricing!L20*2000</f>
        <v>1505461.0389972292</v>
      </c>
      <c r="M125" s="99">
        <f>M114*pricing!M20*2000</f>
        <v>1861144.2437643174</v>
      </c>
      <c r="N125" s="99">
        <f>N114*pricing!N20*2000</f>
        <v>1690037.9730887916</v>
      </c>
      <c r="O125" s="99">
        <f>O114*pricing!O20*2000</f>
        <v>1933196.683171941</v>
      </c>
    </row>
    <row r="126" spans="2:15">
      <c r="C126" s="98" t="s">
        <v>132</v>
      </c>
      <c r="D126" s="99">
        <f>D115*pricing!D21*2000</f>
        <v>2185485.2747599958</v>
      </c>
      <c r="E126" s="99">
        <f>E115*pricing!E21*2000</f>
        <v>3073405.1298453952</v>
      </c>
      <c r="F126" s="99">
        <f>F115*pricing!F21*2000</f>
        <v>2933372.1212121216</v>
      </c>
      <c r="G126" s="99">
        <f>G115*pricing!G21*2000</f>
        <v>3372800</v>
      </c>
      <c r="H126" s="99">
        <f>H115*pricing!H21*2000</f>
        <v>3059200.0000000005</v>
      </c>
      <c r="I126" s="99">
        <f>I115*pricing!I21*2000</f>
        <v>3590400</v>
      </c>
      <c r="J126" s="99">
        <f>J115*pricing!J21*2000</f>
        <v>3106107.8256332693</v>
      </c>
      <c r="K126" s="99">
        <f>K115*pricing!K21*2000</f>
        <v>3269504.6870984975</v>
      </c>
      <c r="L126" s="99">
        <f>L115*pricing!L21*2000</f>
        <v>2751212.4988635364</v>
      </c>
      <c r="M126" s="99">
        <f>M115*pricing!M21*2000</f>
        <v>2599793.3132985681</v>
      </c>
      <c r="N126" s="99">
        <f>N115*pricing!N21*2000</f>
        <v>2804864.5255705267</v>
      </c>
      <c r="O126" s="99">
        <f>O115*pricing!O21*2000</f>
        <v>2860816.7355268397</v>
      </c>
    </row>
    <row r="127" spans="2:15">
      <c r="C127" s="98" t="s">
        <v>278</v>
      </c>
      <c r="D127" s="99">
        <f t="shared" ref="D127:O127" si="1">SUM(D$120:D$126)</f>
        <v>25210936.898699179</v>
      </c>
      <c r="E127" s="99">
        <f t="shared" si="1"/>
        <v>32525745.625444371</v>
      </c>
      <c r="F127" s="99">
        <f t="shared" si="1"/>
        <v>29350379.534444336</v>
      </c>
      <c r="G127" s="99">
        <f t="shared" si="1"/>
        <v>29625977.34165575</v>
      </c>
      <c r="H127" s="99">
        <f t="shared" si="1"/>
        <v>30782297.224228833</v>
      </c>
      <c r="I127" s="99">
        <f t="shared" si="1"/>
        <v>30753257.608558059</v>
      </c>
      <c r="J127" s="99">
        <f t="shared" si="1"/>
        <v>32214133.015875202</v>
      </c>
      <c r="K127" s="99">
        <f t="shared" si="1"/>
        <v>30197450.605726682</v>
      </c>
      <c r="L127" s="99">
        <f t="shared" si="1"/>
        <v>26303380.20579388</v>
      </c>
      <c r="M127" s="99">
        <f t="shared" si="1"/>
        <v>27553393.654830091</v>
      </c>
      <c r="N127" s="99">
        <f t="shared" si="1"/>
        <v>29863545.24892436</v>
      </c>
      <c r="O127" s="99">
        <f t="shared" si="1"/>
        <v>29373300.37595911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219301.19999999998</v>
      </c>
      <c r="E131" s="105">
        <f>SUM(M$6:M$19)+SUM(O$6:O$19)+SUM(Q$6:Q$19)+SUM(S$6:S$19)</f>
        <v>269953.2</v>
      </c>
      <c r="F131" s="105">
        <f>SUM(U$6:U$19)+SUM(W$6:W$19)+SUM(Y$6:Y$19)+SUM(AA$6:AA$19)</f>
        <v>201397.2</v>
      </c>
      <c r="G131" s="105">
        <f>SUM(AC$6:AC$19)+SUM(AE$6:AE$19)+SUM(AG$6:AG$19)+SUM(AI$6:AI$19)</f>
        <v>214722.00000000003</v>
      </c>
      <c r="H131" s="105">
        <f>SUM(AK$6:AK$19)+SUM(AM$6:AM$19)+SUM(AO$6:AO$19)+SUM(AQ$6:AQ$19)</f>
        <v>265395.59999999998</v>
      </c>
      <c r="I131" s="105">
        <f>SUM(AS$6:AS$19)+SUM(AU$6:AU$19)+SUM(AW$6:AW$19)+SUM(AY$6:AY$19)</f>
        <v>305426.39999999997</v>
      </c>
      <c r="J131" s="105">
        <f>SUM(BA$6:BA$19)+SUM(BC$6:BC$19)+SUM(BE$6:BE$19)+SUM(BG$6:BG$19)</f>
        <v>324720</v>
      </c>
      <c r="K131" s="105">
        <f>SUM(BI$6:BI$19)+SUM(BK$6:BK$19)+SUM(BM$6:BM$19)+SUM(BO$6:BO$19)</f>
        <v>283001.99999999994</v>
      </c>
      <c r="L131" s="105">
        <f>SUM(BQ$6:BQ$19)+SUM(BS$6:BS$19)+SUM(BU$6:BU$19)+SUM(BW$6:BW$19)</f>
        <v>256257.35565090249</v>
      </c>
      <c r="M131" s="105">
        <f>SUM(BY$6:BY$19)+SUM(CA$6:CA$19)+SUM(CC$6:CC$19)+SUM(CE$6:CE$19)</f>
        <v>292472.7641921168</v>
      </c>
      <c r="N131" s="105">
        <f>SUM(CG$6:CG$19)+SUM(CI$6:CI$19)+SUM(CK$6:CK$19)+SUM(CM$6:CM$19)</f>
        <v>250961.61386581243</v>
      </c>
      <c r="O131" s="105">
        <f>SUM(CO$6:CO$19)+SUM(CQ$6:CQ$19)+SUM(CS$6:CS$19)+SUM(CU$6:CU$19)</f>
        <v>295853.01987114741</v>
      </c>
    </row>
    <row r="132" spans="2:15">
      <c r="C132" s="104" t="s">
        <v>127</v>
      </c>
      <c r="D132" s="105">
        <f>SUM(E$20:E$36)+SUM(G$20:G$36)+SUM(I$20:I$36)+SUM(K$20:K$36)</f>
        <v>578907.6</v>
      </c>
      <c r="E132" s="105">
        <f>SUM(M$20:M$36)+SUM(O$20:O$36)+SUM(Q$20:Q$36)+SUM(S$20:S$36)</f>
        <v>563209.19999999995</v>
      </c>
      <c r="F132" s="105">
        <f>SUM(U$20:U$36)+SUM(W$20:W$36)+SUM(Y$20:Y$36)+SUM(AA$20:AA$36)</f>
        <v>488773.1999999999</v>
      </c>
      <c r="G132" s="105">
        <f>SUM(AC$20:AC$36)+SUM(AE$20:AE$36)+SUM(AG$20:AG$36)+SUM(AI$20:AI$36)</f>
        <v>584190</v>
      </c>
      <c r="H132" s="105">
        <f>SUM(AK$20:AK$36)+SUM(AM$20:AM$36)+SUM(AO$20:AO$36)+SUM(AQ$20:AQ$36)</f>
        <v>563190</v>
      </c>
      <c r="I132" s="105">
        <f>SUM(AS$20:AS$36)+SUM(AU$20:AU$36)+SUM(AW$20:AW$36)+SUM(AY$20:AY$36)</f>
        <v>571707.6</v>
      </c>
      <c r="J132" s="105">
        <f>SUM(BA$20:BA$36)+SUM(BC$20:BC$36)+SUM(BE$20:BE$36)+SUM(BG$20:BG$36)</f>
        <v>557696.39999999991</v>
      </c>
      <c r="K132" s="105">
        <f>SUM(BI$20:BI$36)+SUM(BK$20:BK$36)+SUM(BM$20:BM$36)+SUM(BO$20:BO$36)</f>
        <v>575455.19999999995</v>
      </c>
      <c r="L132" s="105">
        <f>SUM(BQ$20:BQ$36)+SUM(BS$20:BS$36)+SUM(BU$20:BU$36)+SUM(BW$20:BW$36)</f>
        <v>506290.44704940356</v>
      </c>
      <c r="M132" s="105">
        <f>SUM(BY$20:BY$36)+SUM(CA$20:CA$36)+SUM(CC$20:CC$36)+SUM(CE$20:CE$36)</f>
        <v>452408.42473786138</v>
      </c>
      <c r="N132" s="105">
        <f>SUM(CG$20:CG$36)+SUM(CI$20:CI$36)+SUM(CK$20:CK$36)+SUM(CM$20:CM$36)</f>
        <v>495799.32711340662</v>
      </c>
      <c r="O132" s="105">
        <f>SUM(CO$20:CO$36)+SUM(CQ$20:CQ$36)+SUM(CS$20:CS$36)+SUM(CU$20:CU$36)</f>
        <v>574930.6969110223</v>
      </c>
    </row>
    <row r="133" spans="2:15">
      <c r="C133" s="104" t="s">
        <v>128</v>
      </c>
      <c r="D133" s="105">
        <f>SUM(E$37:E$48)+SUM(G$37:G$48)+SUM(I$37:I$48)+SUM(K$37:K$48)</f>
        <v>572164.79999999993</v>
      </c>
      <c r="E133" s="105">
        <f>SUM(M$37:M$48)+SUM(O$37:O$48)+SUM(Q$37:Q$48)+SUM(S$37:S$48)</f>
        <v>743007.6</v>
      </c>
      <c r="F133" s="105">
        <f>SUM(U$37:U$48)+SUM(W$37:W$48)+SUM(Y$37:Y$48)+SUM(AA$37:AA$48)</f>
        <v>654964.79999999993</v>
      </c>
      <c r="G133" s="105">
        <f>SUM(AC$37:AC$48)+SUM(AE$37:AE$48)+SUM(AG$37:AG$48)+SUM(AI$37:AI$48)</f>
        <v>585324</v>
      </c>
      <c r="H133" s="105">
        <f>SUM(AK$37:AK$48)+SUM(AM$37:AM$48)+SUM(AO$37:AO$48)+SUM(AQ$37:AQ$48)</f>
        <v>794983.2</v>
      </c>
      <c r="I133" s="105">
        <f>SUM(AS$37:AS$48)+SUM(AU$37:AU$48)+SUM(AW$37:AW$48)+SUM(AY$37:AY$48)</f>
        <v>614988</v>
      </c>
      <c r="J133" s="105">
        <f>SUM(BA$37:BA$48)+SUM(BC$37:BC$48)+SUM(BE$37:BE$48)+SUM(BG$37:BG$48)</f>
        <v>668816.39999999991</v>
      </c>
      <c r="K133" s="105">
        <f>SUM(BI$37:BI$48)+SUM(BK$37:BK$48)+SUM(BM$37:BM$48)+SUM(BO$37:BO$48)</f>
        <v>586706.4</v>
      </c>
      <c r="L133" s="105">
        <f>SUM(BQ$37:BQ$48)+SUM(BS$37:BS$48)+SUM(BU$37:BU$48)+SUM(BW$37:BW$48)</f>
        <v>544536.68159647833</v>
      </c>
      <c r="M133" s="105">
        <f>SUM(BY$37:BY$48)+SUM(CA$37:CA$48)+SUM(CC$37:CC$48)+SUM(CE$37:CE$48)</f>
        <v>598906.27527564927</v>
      </c>
      <c r="N133" s="105">
        <f>SUM(CG$37:CG$48)+SUM(CI$37:CI$48)+SUM(CK$37:CK$48)+SUM(CM$37:CM$48)</f>
        <v>678350.14666357019</v>
      </c>
      <c r="O133" s="105">
        <f>SUM(CO$37:CO$48)+SUM(CQ$37:CQ$48)+SUM(CS$37:CS$48)+SUM(CU$37:CU$48)</f>
        <v>631483.25971044577</v>
      </c>
    </row>
    <row r="134" spans="2:15">
      <c r="C134" s="104" t="s">
        <v>129</v>
      </c>
      <c r="D134" s="105">
        <f>SUM(E$49:E$70)+SUM(G$49:G$70)+SUM(I$49:I$70)+SUM(K$49:K$70)</f>
        <v>648329.89202267979</v>
      </c>
      <c r="E134" s="105">
        <f>SUM(M$49:M$70)+SUM(O$49:O$70)+SUM(Q$49:Q$70)+SUM(S$49:S$70)</f>
        <v>803578.35306728864</v>
      </c>
      <c r="F134" s="105">
        <f>SUM(U$49:U$70)+SUM(W$49:W$70)+SUM(Y$49:Y$70)+SUM(AA$49:AA$70)</f>
        <v>601563.44429249922</v>
      </c>
      <c r="G134" s="105">
        <f>SUM(AC$49:AC$70)+SUM(AE$49:AE$70)+SUM(AG$49:AG$70)+SUM(AI$49:AI$70)</f>
        <v>592727.42199731804</v>
      </c>
      <c r="H134" s="105">
        <f>SUM(AK$49:AK$70)+SUM(AM$49:AM$70)+SUM(AO$49:AO$70)+SUM(AQ$49:AQ$70)</f>
        <v>605592.53831656824</v>
      </c>
      <c r="I134" s="105">
        <f>SUM(AS$49:AS$70)+SUM(AU$49:AU$70)+SUM(AW$49:AW$70)+SUM(AY$49:AY$70)</f>
        <v>688437.43048710783</v>
      </c>
      <c r="J134" s="105">
        <f>SUM(BA$49:BA$70)+SUM(BC$49:BC$70)+SUM(BE$49:BE$70)+SUM(BG$49:BG$70)</f>
        <v>646572.25323195942</v>
      </c>
      <c r="K134" s="105">
        <f>SUM(BI$49:BI$70)+SUM(BK$49:BK$70)+SUM(BM$49:BM$70)+SUM(BO$49:BO$70)</f>
        <v>621037.22823422728</v>
      </c>
      <c r="L134" s="105">
        <f>SUM(BQ$49:BQ$70)+SUM(BS$49:BS$70)+SUM(BU$49:BU$70)+SUM(BW$49:BW$70)</f>
        <v>514566.13327329862</v>
      </c>
      <c r="M134" s="105">
        <f>SUM(BY$49:BY$70)+SUM(CA$49:CA$70)+SUM(CC$49:CC$70)+SUM(CE$49:CE$70)</f>
        <v>603055.29267758201</v>
      </c>
      <c r="N134" s="105">
        <f>SUM(CG$49:CG$70)+SUM(CI$49:CI$70)+SUM(CK$49:CK$70)+SUM(CM$49:CM$70)</f>
        <v>627805.92127854214</v>
      </c>
      <c r="O134" s="105">
        <f>SUM(CO$49:CO$70)+SUM(CQ$49:CQ$70)+SUM(CS$49:CS$70)+SUM(CU$49:CU$70)</f>
        <v>601489.23537544569</v>
      </c>
    </row>
    <row r="135" spans="2:15">
      <c r="C135" s="104" t="s">
        <v>130</v>
      </c>
      <c r="D135" s="105">
        <f>SUM(E$71:E$86)+SUM(G$71:G$86)+SUM(I$71:I$86)+SUM(K$71:K$86)</f>
        <v>92334.684547661687</v>
      </c>
      <c r="E135" s="105">
        <f>SUM(M$71:M$86)+SUM(O$71:O$86)+SUM(Q$71:Q$86)+SUM(S$71:S$86)</f>
        <v>382188</v>
      </c>
      <c r="F135" s="105">
        <f>SUM(U$71:U$86)+SUM(W$71:W$86)+SUM(Y$71:Y$86)+SUM(AA$71:AA$86)</f>
        <v>460869.74506358791</v>
      </c>
      <c r="G135" s="105">
        <f>SUM(AC$71:AC$86)+SUM(AE$71:AE$86)+SUM(AG$71:AG$86)+SUM(AI$71:AI$86)</f>
        <v>357334.70175559248</v>
      </c>
      <c r="H135" s="105">
        <f>SUM(AK$71:AK$86)+SUM(AM$71:AM$86)+SUM(AO$71:AO$86)+SUM(AQ$71:AQ$86)</f>
        <v>343535.03406360763</v>
      </c>
      <c r="I135" s="105">
        <f>SUM(AS$71:AS$86)+SUM(AU$71:AU$86)+SUM(AW$71:AW$86)+SUM(AY$71:AY$86)</f>
        <v>279868.43508412637</v>
      </c>
      <c r="J135" s="105">
        <f>SUM(BA$71:BA$86)+SUM(BC$71:BC$86)+SUM(BE$71:BE$86)+SUM(BG$71:BG$86)</f>
        <v>419510.48617545888</v>
      </c>
      <c r="K135" s="105">
        <f>SUM(BI$71:BI$86)+SUM(BK$71:BK$86)+SUM(BM$71:BM$86)+SUM(BO$71:BO$86)</f>
        <v>339923.01072374976</v>
      </c>
      <c r="L135" s="105">
        <f>SUM(BQ$71:BQ$86)+SUM(BS$71:BS$86)+SUM(BU$71:BU$86)+SUM(BW$71:BW$86)</f>
        <v>285068.06588991039</v>
      </c>
      <c r="M135" s="105">
        <f>SUM(BY$71:BY$86)+SUM(CA$71:CA$86)+SUM(CC$71:CC$86)+SUM(CE$71:CE$86)</f>
        <v>318754.89111855498</v>
      </c>
      <c r="N135" s="105">
        <f>SUM(CG$71:CG$86)+SUM(CI$71:CI$86)+SUM(CK$71:CK$86)+SUM(CM$71:CM$86)</f>
        <v>443301.36019626394</v>
      </c>
      <c r="O135" s="105">
        <f>SUM(CO$71:CO$86)+SUM(CQ$71:CQ$86)+SUM(CS$71:CS$86)+SUM(CU$71:CU$86)</f>
        <v>266289.27251853328</v>
      </c>
    </row>
    <row r="136" spans="2:15">
      <c r="C136" s="104" t="s">
        <v>131</v>
      </c>
      <c r="D136" s="105">
        <f>SUM(E$87:E$94)+SUM(G$87:G$94)+SUM(I$87:I$94)+SUM(K$87:K$94)</f>
        <v>195260.02519608624</v>
      </c>
      <c r="E136" s="105">
        <f>SUM(M$87:M$94)+SUM(O$87:O$94)+SUM(Q$87:Q$94)+SUM(S$87:S$94)</f>
        <v>278466.77731414582</v>
      </c>
      <c r="F136" s="105">
        <f>SUM(U$87:U$94)+SUM(W$87:W$94)+SUM(Y$87:Y$94)+SUM(AA$87:AA$94)</f>
        <v>307748.00727272732</v>
      </c>
      <c r="G136" s="105">
        <f>SUM(AC$87:AC$94)+SUM(AE$87:AE$94)+SUM(AG$87:AG$94)+SUM(AI$87:AI$94)</f>
        <v>286604.40000000002</v>
      </c>
      <c r="H136" s="105">
        <f>SUM(AK$87:AK$94)+SUM(AM$87:AM$94)+SUM(AO$87:AO$94)+SUM(AQ$87:AQ$94)</f>
        <v>280323.59999999998</v>
      </c>
      <c r="I136" s="105">
        <f>SUM(AS$87:AS$94)+SUM(AU$87:AU$94)+SUM(AW$87:AW$94)+SUM(AY$87:AY$94)</f>
        <v>277000.8</v>
      </c>
      <c r="J136" s="105">
        <f>SUM(BA$87:BA$94)+SUM(BC$87:BC$94)+SUM(BE$87:BE$94)+SUM(BG$87:BG$94)</f>
        <v>310786.29377360502</v>
      </c>
      <c r="K136" s="105">
        <f>SUM(BI$87:BI$94)+SUM(BK$87:BK$94)+SUM(BM$87:BM$94)+SUM(BO$87:BO$94)</f>
        <v>282562.66632883565</v>
      </c>
      <c r="L136" s="105">
        <f>SUM(BQ$87:BQ$94)+SUM(BS$87:BS$94)+SUM(BU$87:BU$94)+SUM(BW$87:BW$94)</f>
        <v>236551.43282693101</v>
      </c>
      <c r="M136" s="105">
        <f>SUM(BY$87:BY$94)+SUM(CA$87:CA$94)+SUM(CC$87:CC$94)+SUM(CE$87:CE$94)</f>
        <v>292083.54245938297</v>
      </c>
      <c r="N136" s="105">
        <f>SUM(CG$87:CG$94)+SUM(CI$87:CI$94)+SUM(CK$87:CK$94)+SUM(CM$87:CM$94)</f>
        <v>265236.35253039672</v>
      </c>
      <c r="O136" s="105">
        <f>SUM(CO$87:CO$94)+SUM(CQ$87:CQ$94)+SUM(CS$87:CS$94)+SUM(CU$87:CU$94)</f>
        <v>303812.33837997937</v>
      </c>
    </row>
    <row r="137" spans="2:15">
      <c r="C137" s="104" t="s">
        <v>132</v>
      </c>
      <c r="D137" s="105">
        <f>SUM(E$95:E$105)+SUM(G$95:G$105)+SUM(I$95:I$105)+SUM(K$95:K$105)</f>
        <v>281588.42639842723</v>
      </c>
      <c r="E137" s="105">
        <f>SUM(M$95:M$105)+SUM(O$95:O$105)+SUM(Q$95:Q$105)+SUM(S$95:S$105)</f>
        <v>388429.40499255422</v>
      </c>
      <c r="F137" s="105">
        <f>SUM(U$95:U$105)+SUM(W$95:W$105)+SUM(Y$95:Y$105)+SUM(AA$95:AA$105)</f>
        <v>377690.64</v>
      </c>
      <c r="G137" s="105">
        <f>SUM(AC$95:AC$105)+SUM(AE$95:AE$105)+SUM(AG$95:AG$105)+SUM(AI$95:AI$105)</f>
        <v>418336.8</v>
      </c>
      <c r="H137" s="105">
        <f>SUM(AK$95:AK$105)+SUM(AM$95:AM$105)+SUM(AO$95:AO$105)+SUM(AQ$95:AQ$105)</f>
        <v>373435.19999999995</v>
      </c>
      <c r="I137" s="105">
        <f>SUM(AS$95:AS$105)+SUM(AU$95:AU$105)+SUM(AW$95:AW$105)+SUM(AY$95:AY$105)</f>
        <v>447262.80000000005</v>
      </c>
      <c r="J137" s="105">
        <f>SUM(BA$95:BA$105)+SUM(BC$95:BC$105)+SUM(BE$95:BE$105)+SUM(BG$95:BG$105)</f>
        <v>395416.79697504581</v>
      </c>
      <c r="K137" s="105">
        <f>SUM(BI$95:BI$105)+SUM(BK$95:BK$105)+SUM(BM$95:BM$105)+SUM(BO$95:BO$105)</f>
        <v>409647.75747613894</v>
      </c>
      <c r="L137" s="105">
        <f>SUM(BQ$95:BQ$105)+SUM(BS$95:BS$105)+SUM(BU$95:BU$105)+SUM(BW$95:BW$105)</f>
        <v>342360.5768830427</v>
      </c>
      <c r="M137" s="105">
        <f>SUM(BY$95:BY$105)+SUM(CA$95:CA$105)+SUM(CC$95:CC$105)+SUM(CE$95:CE$105)</f>
        <v>326663.06346466887</v>
      </c>
      <c r="N137" s="105">
        <f>SUM(CG$95:CG$105)+SUM(CI$95:CI$105)+SUM(CK$95:CK$105)+SUM(CM$95:CM$105)</f>
        <v>348384.09054541262</v>
      </c>
      <c r="O137" s="105">
        <f>SUM(CO$95:CO$105)+SUM(CQ$95:CQ$105)+SUM(CS$95:CS$105)+SUM(CU$95:CU$105)</f>
        <v>364161.8338871848</v>
      </c>
    </row>
    <row r="138" spans="2:15">
      <c r="C138" s="104" t="s">
        <v>278</v>
      </c>
      <c r="D138" s="99">
        <f t="shared" ref="D138:O138" si="2">SUM(D$131:D$137)</f>
        <v>2587886.6281648548</v>
      </c>
      <c r="E138" s="99">
        <f t="shared" si="2"/>
        <v>3428832.5353739886</v>
      </c>
      <c r="F138" s="99">
        <f t="shared" si="2"/>
        <v>3093007.0366288144</v>
      </c>
      <c r="G138" s="99">
        <f t="shared" si="2"/>
        <v>3039239.3237529104</v>
      </c>
      <c r="H138" s="99">
        <f t="shared" si="2"/>
        <v>3226455.1723801754</v>
      </c>
      <c r="I138" s="99">
        <f t="shared" si="2"/>
        <v>3184691.465571234</v>
      </c>
      <c r="J138" s="99">
        <f t="shared" si="2"/>
        <v>3323518.6301560691</v>
      </c>
      <c r="K138" s="99">
        <f t="shared" si="2"/>
        <v>3098334.2627629517</v>
      </c>
      <c r="L138" s="99">
        <f t="shared" si="2"/>
        <v>2685630.6931699673</v>
      </c>
      <c r="M138" s="99">
        <f t="shared" si="2"/>
        <v>2884344.2539258166</v>
      </c>
      <c r="N138" s="99">
        <f t="shared" si="2"/>
        <v>3109838.8121934044</v>
      </c>
      <c r="O138" s="99">
        <f t="shared" si="2"/>
        <v>3038019.6566537591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281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1.0212011110110473</v>
      </c>
      <c r="E6" s="99">
        <v>590.66272260878975</v>
      </c>
      <c r="F6" s="99">
        <v>1.0642772457887395</v>
      </c>
      <c r="G6" s="99">
        <v>615.57795896420691</v>
      </c>
      <c r="H6" s="99">
        <v>6.5543835282250891</v>
      </c>
      <c r="I6" s="99">
        <v>3791.0554327253913</v>
      </c>
      <c r="J6" s="99">
        <v>1.3019499222025477</v>
      </c>
      <c r="K6" s="99">
        <v>753.04783500195356</v>
      </c>
      <c r="L6" s="99">
        <v>6</v>
      </c>
      <c r="M6" s="99">
        <v>3470.3999999999996</v>
      </c>
      <c r="N6" s="99">
        <v>11</v>
      </c>
      <c r="O6" s="99">
        <v>6362.4</v>
      </c>
      <c r="P6" s="99">
        <v>9</v>
      </c>
      <c r="Q6" s="99">
        <v>5205.5999999999995</v>
      </c>
      <c r="R6" s="99">
        <v>12</v>
      </c>
      <c r="S6" s="99">
        <v>6940.7999999999993</v>
      </c>
      <c r="T6" s="99">
        <v>8</v>
      </c>
      <c r="U6" s="99">
        <v>4627.2</v>
      </c>
      <c r="V6" s="99">
        <v>7</v>
      </c>
      <c r="W6" s="99">
        <v>4048.7999999999997</v>
      </c>
      <c r="X6" s="99">
        <v>11</v>
      </c>
      <c r="Y6" s="99">
        <v>6362.4</v>
      </c>
      <c r="Z6" s="99">
        <v>8</v>
      </c>
      <c r="AA6" s="99">
        <v>4627.2</v>
      </c>
      <c r="AB6" s="99">
        <v>13</v>
      </c>
      <c r="AC6" s="99">
        <v>7519.2</v>
      </c>
      <c r="AD6" s="99">
        <v>13</v>
      </c>
      <c r="AE6" s="99">
        <v>7519.2</v>
      </c>
      <c r="AF6" s="99">
        <v>12.959160601060292</v>
      </c>
      <c r="AG6" s="99">
        <v>7495.578491653273</v>
      </c>
      <c r="AH6" s="99">
        <v>8.960446905784865</v>
      </c>
      <c r="AI6" s="99">
        <v>5182.7224903059659</v>
      </c>
      <c r="AJ6" s="99">
        <v>9</v>
      </c>
      <c r="AK6" s="99">
        <v>5205.5999999999995</v>
      </c>
      <c r="AL6" s="99">
        <v>10.313622064754574</v>
      </c>
      <c r="AM6" s="99">
        <v>5965.3990022540456</v>
      </c>
      <c r="AN6" s="99">
        <v>11.648580977520322</v>
      </c>
      <c r="AO6" s="99">
        <v>6737.5392373977538</v>
      </c>
      <c r="AP6" s="99">
        <v>1.4161138687745471</v>
      </c>
      <c r="AQ6" s="99">
        <v>819.08026169919799</v>
      </c>
      <c r="AR6" s="99">
        <v>14</v>
      </c>
      <c r="AS6" s="99">
        <v>8097.5999999999995</v>
      </c>
      <c r="AT6" s="99">
        <v>10</v>
      </c>
      <c r="AU6" s="99">
        <v>5784</v>
      </c>
      <c r="AV6" s="99">
        <v>12</v>
      </c>
      <c r="AW6" s="99">
        <v>6940.7999999999993</v>
      </c>
      <c r="AX6" s="99">
        <v>8</v>
      </c>
      <c r="AY6" s="99">
        <v>4627.2</v>
      </c>
      <c r="AZ6" s="99">
        <v>13</v>
      </c>
      <c r="BA6" s="99">
        <v>7519.2</v>
      </c>
      <c r="BB6" s="99">
        <v>11</v>
      </c>
      <c r="BC6" s="99">
        <v>6362.4</v>
      </c>
      <c r="BD6" s="99">
        <v>14</v>
      </c>
      <c r="BE6" s="99">
        <v>8097.5999999999995</v>
      </c>
      <c r="BF6" s="99">
        <v>9</v>
      </c>
      <c r="BG6" s="99">
        <v>5205.5999999999995</v>
      </c>
      <c r="BH6" s="99">
        <v>8.3367011924099845</v>
      </c>
      <c r="BI6" s="99">
        <v>4821.9479696899352</v>
      </c>
      <c r="BJ6" s="99">
        <v>13.077433016254448</v>
      </c>
      <c r="BK6" s="99">
        <v>7563.987256601572</v>
      </c>
      <c r="BL6" s="99">
        <v>11.415115572249148</v>
      </c>
      <c r="BM6" s="99">
        <v>6602.5028469889066</v>
      </c>
      <c r="BN6" s="99">
        <v>11.750529389859429</v>
      </c>
      <c r="BO6" s="99">
        <v>6796.5061990946933</v>
      </c>
      <c r="BP6" s="99">
        <v>7.6132508820151577</v>
      </c>
      <c r="BQ6" s="99">
        <v>4403.5043101575666</v>
      </c>
      <c r="BR6" s="99">
        <v>8.7349363277008525</v>
      </c>
      <c r="BS6" s="99">
        <v>5052.2871719421728</v>
      </c>
      <c r="BT6" s="99">
        <v>9.6756350092124404</v>
      </c>
      <c r="BU6" s="99">
        <v>5596.3872893284752</v>
      </c>
      <c r="BV6" s="99">
        <v>1.5758066132589494</v>
      </c>
      <c r="BW6" s="99">
        <v>911.44654510897635</v>
      </c>
      <c r="BX6" s="99">
        <v>9.9928549152478894</v>
      </c>
      <c r="BY6" s="99">
        <v>5779.8672829793786</v>
      </c>
      <c r="BZ6" s="99">
        <v>11.464891041142211</v>
      </c>
      <c r="CA6" s="99">
        <v>6631.292978196655</v>
      </c>
      <c r="CB6" s="99">
        <v>7.065686632940384</v>
      </c>
      <c r="CC6" s="99">
        <v>4086.793148492718</v>
      </c>
      <c r="CD6" s="99">
        <v>10.042118385707177</v>
      </c>
      <c r="CE6" s="99">
        <v>5808.3612742930309</v>
      </c>
      <c r="CF6" s="99">
        <v>8</v>
      </c>
      <c r="CG6" s="99">
        <v>4627.2</v>
      </c>
      <c r="CH6" s="99">
        <v>16</v>
      </c>
      <c r="CI6" s="99">
        <v>9254.4</v>
      </c>
      <c r="CJ6" s="99">
        <v>14</v>
      </c>
      <c r="CK6" s="99">
        <v>8097.5999999999995</v>
      </c>
      <c r="CL6" s="99">
        <v>15.236861859970908</v>
      </c>
      <c r="CM6" s="99">
        <v>8813.0008998071735</v>
      </c>
      <c r="CN6" s="99">
        <v>2.9127816061812144</v>
      </c>
      <c r="CO6" s="99">
        <v>1684.7528810152144</v>
      </c>
      <c r="CP6" s="99">
        <v>15</v>
      </c>
      <c r="CQ6" s="99">
        <v>8676</v>
      </c>
      <c r="CR6" s="99">
        <v>7.8429243885801609</v>
      </c>
      <c r="CS6" s="99">
        <v>4536.3474663547649</v>
      </c>
      <c r="CT6" s="99">
        <v>9.8395049671580708</v>
      </c>
      <c r="CU6" s="99">
        <v>5691.1696730042277</v>
      </c>
    </row>
    <row r="7" spans="1:99">
      <c r="C7" s="98" t="s">
        <v>173</v>
      </c>
      <c r="D7" s="99">
        <v>1.1488512498874281</v>
      </c>
      <c r="E7" s="99">
        <v>905.75432541124837</v>
      </c>
      <c r="F7" s="99">
        <v>0.95784952120986555</v>
      </c>
      <c r="G7" s="99">
        <v>755.16856252185801</v>
      </c>
      <c r="H7" s="99">
        <v>7.2098218810475982</v>
      </c>
      <c r="I7" s="99">
        <v>5684.2235710179266</v>
      </c>
      <c r="J7" s="99">
        <v>1.1835908383659524</v>
      </c>
      <c r="K7" s="99">
        <v>933.14301696771679</v>
      </c>
      <c r="L7" s="99">
        <v>7</v>
      </c>
      <c r="M7" s="99">
        <v>5518.8</v>
      </c>
      <c r="N7" s="99">
        <v>11</v>
      </c>
      <c r="O7" s="99">
        <v>8672.4</v>
      </c>
      <c r="P7" s="99">
        <v>8</v>
      </c>
      <c r="Q7" s="99">
        <v>6307.2</v>
      </c>
      <c r="R7" s="99">
        <v>11</v>
      </c>
      <c r="S7" s="99">
        <v>8672.4</v>
      </c>
      <c r="T7" s="99">
        <v>7</v>
      </c>
      <c r="U7" s="99">
        <v>5518.8</v>
      </c>
      <c r="V7" s="99">
        <v>7</v>
      </c>
      <c r="W7" s="99">
        <v>5518.8</v>
      </c>
      <c r="X7" s="99">
        <v>12</v>
      </c>
      <c r="Y7" s="99">
        <v>9460.7999999999993</v>
      </c>
      <c r="Z7" s="99">
        <v>8</v>
      </c>
      <c r="AA7" s="99">
        <v>6307.2</v>
      </c>
      <c r="AB7" s="99">
        <v>11</v>
      </c>
      <c r="AC7" s="99">
        <v>8672.4</v>
      </c>
      <c r="AD7" s="99">
        <v>12</v>
      </c>
      <c r="AE7" s="99">
        <v>9460.7999999999993</v>
      </c>
      <c r="AF7" s="99">
        <v>12.033506272413128</v>
      </c>
      <c r="AG7" s="99">
        <v>9487.2163451705092</v>
      </c>
      <c r="AH7" s="99">
        <v>8.0644022152063783</v>
      </c>
      <c r="AI7" s="99">
        <v>6357.9747064687081</v>
      </c>
      <c r="AJ7" s="99">
        <v>9</v>
      </c>
      <c r="AK7" s="99">
        <v>7095.5999999999995</v>
      </c>
      <c r="AL7" s="99">
        <v>11.173090570150787</v>
      </c>
      <c r="AM7" s="99">
        <v>8808.8646055068803</v>
      </c>
      <c r="AN7" s="99">
        <v>10.752536286941837</v>
      </c>
      <c r="AO7" s="99">
        <v>8477.2996086249441</v>
      </c>
      <c r="AP7" s="99">
        <v>1.6993366425294565</v>
      </c>
      <c r="AQ7" s="99">
        <v>1339.7570089702235</v>
      </c>
      <c r="AR7" s="99">
        <v>15</v>
      </c>
      <c r="AS7" s="99">
        <v>11826</v>
      </c>
      <c r="AT7" s="99">
        <v>11</v>
      </c>
      <c r="AU7" s="99">
        <v>8672.4</v>
      </c>
      <c r="AV7" s="99">
        <v>13</v>
      </c>
      <c r="AW7" s="99">
        <v>10249.199999999999</v>
      </c>
      <c r="AX7" s="99">
        <v>9</v>
      </c>
      <c r="AY7" s="99">
        <v>7095.5999999999995</v>
      </c>
      <c r="AZ7" s="99">
        <v>12</v>
      </c>
      <c r="BA7" s="99">
        <v>9460.7999999999993</v>
      </c>
      <c r="BB7" s="99">
        <v>11</v>
      </c>
      <c r="BC7" s="99">
        <v>8672.4</v>
      </c>
      <c r="BD7" s="99">
        <v>12</v>
      </c>
      <c r="BE7" s="99">
        <v>9460.7999999999993</v>
      </c>
      <c r="BF7" s="99">
        <v>9</v>
      </c>
      <c r="BG7" s="99">
        <v>7095.5999999999995</v>
      </c>
      <c r="BH7" s="99">
        <v>8.3367011924099845</v>
      </c>
      <c r="BI7" s="99">
        <v>6572.6552200960314</v>
      </c>
      <c r="BJ7" s="99">
        <v>13.077433016254448</v>
      </c>
      <c r="BK7" s="99">
        <v>10310.248190015007</v>
      </c>
      <c r="BL7" s="99">
        <v>10.537029758999214</v>
      </c>
      <c r="BM7" s="99">
        <v>8307.3942619949794</v>
      </c>
      <c r="BN7" s="99">
        <v>10.183792137878172</v>
      </c>
      <c r="BO7" s="99">
        <v>8028.9017215031499</v>
      </c>
      <c r="BP7" s="99">
        <v>7.6132508820151577</v>
      </c>
      <c r="BQ7" s="99">
        <v>6002.2869953807503</v>
      </c>
      <c r="BR7" s="99">
        <v>8.7349363277008525</v>
      </c>
      <c r="BS7" s="99">
        <v>6886.623800759352</v>
      </c>
      <c r="BT7" s="99">
        <v>10.407755022471127</v>
      </c>
      <c r="BU7" s="99">
        <v>8205.4740597162363</v>
      </c>
      <c r="BV7" s="99">
        <v>1.5758066132589494</v>
      </c>
      <c r="BW7" s="99">
        <v>1242.3659338933558</v>
      </c>
      <c r="BX7" s="99">
        <v>10.761536062574651</v>
      </c>
      <c r="BY7" s="99">
        <v>8484.3950317338549</v>
      </c>
      <c r="BZ7" s="99">
        <v>12.464891041142211</v>
      </c>
      <c r="CA7" s="99">
        <v>9827.3200968365181</v>
      </c>
      <c r="CB7" s="99">
        <v>7.081678949325303</v>
      </c>
      <c r="CC7" s="99">
        <v>5583.1956836480686</v>
      </c>
      <c r="CD7" s="99">
        <v>10.042118385707177</v>
      </c>
      <c r="CE7" s="99">
        <v>7917.206135291538</v>
      </c>
      <c r="CF7" s="99">
        <v>9</v>
      </c>
      <c r="CG7" s="99">
        <v>7095.5999999999995</v>
      </c>
      <c r="CH7" s="99">
        <v>16</v>
      </c>
      <c r="CI7" s="99">
        <v>12614.4</v>
      </c>
      <c r="CJ7" s="99">
        <v>13</v>
      </c>
      <c r="CK7" s="99">
        <v>10249.199999999999</v>
      </c>
      <c r="CL7" s="99">
        <v>17.266469592467274</v>
      </c>
      <c r="CM7" s="99">
        <v>13612.884626701198</v>
      </c>
      <c r="CN7" s="99">
        <v>2.5891392054944129</v>
      </c>
      <c r="CO7" s="99">
        <v>2041.277349611795</v>
      </c>
      <c r="CP7" s="99">
        <v>13</v>
      </c>
      <c r="CQ7" s="99">
        <v>10249.199999999999</v>
      </c>
      <c r="CR7" s="99">
        <v>7.8429243885801609</v>
      </c>
      <c r="CS7" s="99">
        <v>6183.3615879565987</v>
      </c>
      <c r="CT7" s="99">
        <v>9.8395049671580708</v>
      </c>
      <c r="CU7" s="99">
        <v>7757.4657161074228</v>
      </c>
    </row>
    <row r="8" spans="1:99">
      <c r="C8" s="98" t="s">
        <v>174</v>
      </c>
      <c r="D8" s="99">
        <v>1.1488512498874281</v>
      </c>
      <c r="E8" s="99">
        <v>355.68434696514771</v>
      </c>
      <c r="F8" s="99">
        <v>1.1707049703676136</v>
      </c>
      <c r="G8" s="99">
        <v>362.45025882581314</v>
      </c>
      <c r="H8" s="99">
        <v>6.5543835282250891</v>
      </c>
      <c r="I8" s="99">
        <v>2029.2371403384873</v>
      </c>
      <c r="J8" s="99">
        <v>1.0652317545293573</v>
      </c>
      <c r="K8" s="99">
        <v>329.79575120228895</v>
      </c>
      <c r="L8" s="99">
        <v>7</v>
      </c>
      <c r="M8" s="99">
        <v>2167.1999999999998</v>
      </c>
      <c r="N8" s="99">
        <v>12</v>
      </c>
      <c r="O8" s="99">
        <v>3715.2</v>
      </c>
      <c r="P8" s="99">
        <v>9</v>
      </c>
      <c r="Q8" s="99">
        <v>2786.3999999999996</v>
      </c>
      <c r="R8" s="99">
        <v>11</v>
      </c>
      <c r="S8" s="99">
        <v>3405.5999999999995</v>
      </c>
      <c r="T8" s="99">
        <v>7</v>
      </c>
      <c r="U8" s="99">
        <v>2167.1999999999998</v>
      </c>
      <c r="V8" s="99">
        <v>7</v>
      </c>
      <c r="W8" s="99">
        <v>2167.1999999999998</v>
      </c>
      <c r="X8" s="99">
        <v>12</v>
      </c>
      <c r="Y8" s="99">
        <v>3715.2</v>
      </c>
      <c r="Z8" s="99">
        <v>9</v>
      </c>
      <c r="AA8" s="99">
        <v>2786.3999999999996</v>
      </c>
      <c r="AB8" s="99">
        <v>13</v>
      </c>
      <c r="AC8" s="99">
        <v>4024.7999999999997</v>
      </c>
      <c r="AD8" s="99">
        <v>13</v>
      </c>
      <c r="AE8" s="99">
        <v>4024.7999999999997</v>
      </c>
      <c r="AF8" s="99">
        <v>12.959160601060292</v>
      </c>
      <c r="AG8" s="99">
        <v>4012.1561220882659</v>
      </c>
      <c r="AH8" s="99">
        <v>8.0644022152063783</v>
      </c>
      <c r="AI8" s="99">
        <v>2496.7389258278945</v>
      </c>
      <c r="AJ8" s="99">
        <v>8</v>
      </c>
      <c r="AK8" s="99">
        <v>2476.7999999999997</v>
      </c>
      <c r="AL8" s="99">
        <v>9.4541535593583585</v>
      </c>
      <c r="AM8" s="99">
        <v>2927.0059419773474</v>
      </c>
      <c r="AN8" s="99">
        <v>10.752536286941837</v>
      </c>
      <c r="AO8" s="99">
        <v>3328.985234437192</v>
      </c>
      <c r="AP8" s="99">
        <v>1.5577252556520018</v>
      </c>
      <c r="AQ8" s="99">
        <v>482.27173914985968</v>
      </c>
      <c r="AR8" s="99">
        <v>15</v>
      </c>
      <c r="AS8" s="99">
        <v>4643.9999999999991</v>
      </c>
      <c r="AT8" s="99">
        <v>11</v>
      </c>
      <c r="AU8" s="99">
        <v>3405.5999999999995</v>
      </c>
      <c r="AV8" s="99">
        <v>14</v>
      </c>
      <c r="AW8" s="99">
        <v>4334.3999999999996</v>
      </c>
      <c r="AX8" s="99">
        <v>9</v>
      </c>
      <c r="AY8" s="99">
        <v>2786.3999999999996</v>
      </c>
      <c r="AZ8" s="99">
        <v>14</v>
      </c>
      <c r="BA8" s="99">
        <v>4334.3999999999996</v>
      </c>
      <c r="BB8" s="99">
        <v>10</v>
      </c>
      <c r="BC8" s="99">
        <v>3095.9999999999995</v>
      </c>
      <c r="BD8" s="99">
        <v>14</v>
      </c>
      <c r="BE8" s="99">
        <v>4334.3999999999996</v>
      </c>
      <c r="BF8" s="99">
        <v>10</v>
      </c>
      <c r="BG8" s="99">
        <v>3095.9999999999995</v>
      </c>
      <c r="BH8" s="99">
        <v>9.1703713116509835</v>
      </c>
      <c r="BI8" s="99">
        <v>2839.146958087144</v>
      </c>
      <c r="BJ8" s="99">
        <v>13.077433016254448</v>
      </c>
      <c r="BK8" s="99">
        <v>4048.7732618323766</v>
      </c>
      <c r="BL8" s="99">
        <v>9.6589439457492787</v>
      </c>
      <c r="BM8" s="99">
        <v>2990.4090456039762</v>
      </c>
      <c r="BN8" s="99">
        <v>12.533898015850056</v>
      </c>
      <c r="BO8" s="99">
        <v>3880.4948257071769</v>
      </c>
      <c r="BP8" s="99">
        <v>6.7673341173468069</v>
      </c>
      <c r="BQ8" s="99">
        <v>2095.1666427305713</v>
      </c>
      <c r="BR8" s="99">
        <v>10.323106569101009</v>
      </c>
      <c r="BS8" s="99">
        <v>3196.033793793672</v>
      </c>
      <c r="BT8" s="99">
        <v>9.5175601723628986</v>
      </c>
      <c r="BU8" s="99">
        <v>2946.6366293635533</v>
      </c>
      <c r="BV8" s="99">
        <v>1.5758066132589494</v>
      </c>
      <c r="BW8" s="99">
        <v>487.86972746497071</v>
      </c>
      <c r="BX8" s="99">
        <v>11.530217209901412</v>
      </c>
      <c r="BY8" s="99">
        <v>3569.7552481854768</v>
      </c>
      <c r="BZ8" s="99">
        <v>11.464891041142211</v>
      </c>
      <c r="CA8" s="99">
        <v>3549.5302663376283</v>
      </c>
      <c r="CB8" s="99">
        <v>6.4942044229456801</v>
      </c>
      <c r="CC8" s="99">
        <v>2010.6056893439822</v>
      </c>
      <c r="CD8" s="99">
        <v>9.2052751868982448</v>
      </c>
      <c r="CE8" s="99">
        <v>2849.9531978636965</v>
      </c>
      <c r="CF8" s="99">
        <v>8</v>
      </c>
      <c r="CG8" s="99">
        <v>2476.7999999999997</v>
      </c>
      <c r="CH8" s="99">
        <v>16</v>
      </c>
      <c r="CI8" s="99">
        <v>4953.5999999999995</v>
      </c>
      <c r="CJ8" s="99">
        <v>13</v>
      </c>
      <c r="CK8" s="99">
        <v>4024.7999999999997</v>
      </c>
      <c r="CL8" s="99">
        <v>16.266469592467274</v>
      </c>
      <c r="CM8" s="99">
        <v>5036.0989858278672</v>
      </c>
      <c r="CN8" s="99">
        <v>2.9127816061812144</v>
      </c>
      <c r="CO8" s="99">
        <v>901.79718527370392</v>
      </c>
      <c r="CP8" s="99">
        <v>14</v>
      </c>
      <c r="CQ8" s="99">
        <v>4334.3999999999996</v>
      </c>
      <c r="CR8" s="99">
        <v>7.7890817156207532</v>
      </c>
      <c r="CS8" s="99">
        <v>2411.4996991561848</v>
      </c>
      <c r="CT8" s="99">
        <v>11.245148533894939</v>
      </c>
      <c r="CU8" s="99">
        <v>3481.4979860938729</v>
      </c>
    </row>
    <row r="9" spans="1:99">
      <c r="C9" s="98" t="s">
        <v>175</v>
      </c>
      <c r="D9" s="99">
        <v>1.0212011110110473</v>
      </c>
      <c r="E9" s="99">
        <v>716.88317992975522</v>
      </c>
      <c r="F9" s="99">
        <v>1.0642772457887395</v>
      </c>
      <c r="G9" s="99">
        <v>747.12262654369511</v>
      </c>
      <c r="H9" s="99">
        <v>6.5543835282250891</v>
      </c>
      <c r="I9" s="99">
        <v>4601.1772368140128</v>
      </c>
      <c r="J9" s="99">
        <v>1.1835908383659524</v>
      </c>
      <c r="K9" s="99">
        <v>830.88076853289851</v>
      </c>
      <c r="L9" s="99">
        <v>7</v>
      </c>
      <c r="M9" s="99">
        <v>4914</v>
      </c>
      <c r="N9" s="99">
        <v>11</v>
      </c>
      <c r="O9" s="99">
        <v>7722</v>
      </c>
      <c r="P9" s="99">
        <v>8</v>
      </c>
      <c r="Q9" s="99">
        <v>5616</v>
      </c>
      <c r="R9" s="99">
        <v>12</v>
      </c>
      <c r="S9" s="99">
        <v>8424</v>
      </c>
      <c r="T9" s="99">
        <v>7</v>
      </c>
      <c r="U9" s="99">
        <v>4914</v>
      </c>
      <c r="V9" s="99">
        <v>8</v>
      </c>
      <c r="W9" s="99">
        <v>5616</v>
      </c>
      <c r="X9" s="99">
        <v>12</v>
      </c>
      <c r="Y9" s="99">
        <v>8424</v>
      </c>
      <c r="Z9" s="99">
        <v>8</v>
      </c>
      <c r="AA9" s="99">
        <v>5616</v>
      </c>
      <c r="AB9" s="99">
        <v>13</v>
      </c>
      <c r="AC9" s="99">
        <v>9126</v>
      </c>
      <c r="AD9" s="99">
        <v>11</v>
      </c>
      <c r="AE9" s="99">
        <v>7722</v>
      </c>
      <c r="AF9" s="99">
        <v>12.033506272413128</v>
      </c>
      <c r="AG9" s="99">
        <v>8447.5214032340155</v>
      </c>
      <c r="AH9" s="99">
        <v>8.0644022152063783</v>
      </c>
      <c r="AI9" s="99">
        <v>5661.210355074878</v>
      </c>
      <c r="AJ9" s="99">
        <v>8</v>
      </c>
      <c r="AK9" s="99">
        <v>5616</v>
      </c>
      <c r="AL9" s="99">
        <v>11.173090570150787</v>
      </c>
      <c r="AM9" s="99">
        <v>7843.5095802458527</v>
      </c>
      <c r="AN9" s="99">
        <v>11.648580977520322</v>
      </c>
      <c r="AO9" s="99">
        <v>8177.3038462192653</v>
      </c>
      <c r="AP9" s="99">
        <v>1.5577252556520018</v>
      </c>
      <c r="AQ9" s="99">
        <v>1093.5231294677053</v>
      </c>
      <c r="AR9" s="99">
        <v>13</v>
      </c>
      <c r="AS9" s="99">
        <v>9126</v>
      </c>
      <c r="AT9" s="99">
        <v>10</v>
      </c>
      <c r="AU9" s="99">
        <v>7020</v>
      </c>
      <c r="AV9" s="99">
        <v>13</v>
      </c>
      <c r="AW9" s="99">
        <v>9126</v>
      </c>
      <c r="AX9" s="99">
        <v>8</v>
      </c>
      <c r="AY9" s="99">
        <v>5616</v>
      </c>
      <c r="AZ9" s="99">
        <v>14</v>
      </c>
      <c r="BA9" s="99">
        <v>9828</v>
      </c>
      <c r="BB9" s="99">
        <v>11</v>
      </c>
      <c r="BC9" s="99">
        <v>7722</v>
      </c>
      <c r="BD9" s="99">
        <v>13</v>
      </c>
      <c r="BE9" s="99">
        <v>9126</v>
      </c>
      <c r="BF9" s="99">
        <v>9</v>
      </c>
      <c r="BG9" s="99">
        <v>6318</v>
      </c>
      <c r="BH9" s="99">
        <v>9.1703713116509835</v>
      </c>
      <c r="BI9" s="99">
        <v>6437.6006607789905</v>
      </c>
      <c r="BJ9" s="99">
        <v>13.077433016254448</v>
      </c>
      <c r="BK9" s="99">
        <v>9180.357977410622</v>
      </c>
      <c r="BL9" s="99">
        <v>10.537029758999214</v>
      </c>
      <c r="BM9" s="99">
        <v>7396.9948908174483</v>
      </c>
      <c r="BN9" s="99">
        <v>11.750529389859429</v>
      </c>
      <c r="BO9" s="99">
        <v>8248.8716316813188</v>
      </c>
      <c r="BP9" s="99">
        <v>6.7673341173468069</v>
      </c>
      <c r="BQ9" s="99">
        <v>4750.6685503774588</v>
      </c>
      <c r="BR9" s="99">
        <v>8.7349363277008525</v>
      </c>
      <c r="BS9" s="99">
        <v>6131.9253020459983</v>
      </c>
      <c r="BT9" s="99">
        <v>11.13987503572981</v>
      </c>
      <c r="BU9" s="99">
        <v>7820.1922750823269</v>
      </c>
      <c r="BV9" s="99">
        <v>1.5758066132589494</v>
      </c>
      <c r="BW9" s="99">
        <v>1106.2162425077825</v>
      </c>
      <c r="BX9" s="99">
        <v>11.530217209901412</v>
      </c>
      <c r="BY9" s="99">
        <v>8094.2124813507917</v>
      </c>
      <c r="BZ9" s="99">
        <v>11.422628219220192</v>
      </c>
      <c r="CA9" s="99">
        <v>8018.6850098925743</v>
      </c>
      <c r="CB9" s="99">
        <v>6.4782121065607638</v>
      </c>
      <c r="CC9" s="99">
        <v>4547.7048988056558</v>
      </c>
      <c r="CD9" s="99">
        <v>10.042118385707177</v>
      </c>
      <c r="CE9" s="99">
        <v>7049.567106766438</v>
      </c>
      <c r="CF9" s="99">
        <v>9</v>
      </c>
      <c r="CG9" s="99">
        <v>6318</v>
      </c>
      <c r="CH9" s="99">
        <v>17</v>
      </c>
      <c r="CI9" s="99">
        <v>11934</v>
      </c>
      <c r="CJ9" s="99">
        <v>13</v>
      </c>
      <c r="CK9" s="99">
        <v>9126</v>
      </c>
      <c r="CL9" s="99">
        <v>15.236861859970908</v>
      </c>
      <c r="CM9" s="99">
        <v>10696.277025699577</v>
      </c>
      <c r="CN9" s="99">
        <v>2.5891392054944129</v>
      </c>
      <c r="CO9" s="99">
        <v>1817.5757222570778</v>
      </c>
      <c r="CP9" s="99">
        <v>14</v>
      </c>
      <c r="CQ9" s="99">
        <v>9828</v>
      </c>
      <c r="CR9" s="99">
        <v>7.7890817156207532</v>
      </c>
      <c r="CS9" s="99">
        <v>5467.9353643657687</v>
      </c>
      <c r="CT9" s="99">
        <v>9.8395049671580708</v>
      </c>
      <c r="CU9" s="99">
        <v>6907.3324869449652</v>
      </c>
    </row>
    <row r="10" spans="1:99">
      <c r="C10" s="98" t="s">
        <v>176</v>
      </c>
      <c r="D10" s="99">
        <v>1.276501388763809</v>
      </c>
      <c r="E10" s="99">
        <v>695.4379565985231</v>
      </c>
      <c r="F10" s="99">
        <v>1.0642772457887395</v>
      </c>
      <c r="G10" s="99">
        <v>579.81824350570525</v>
      </c>
      <c r="H10" s="99">
        <v>6.5543835282250891</v>
      </c>
      <c r="I10" s="99">
        <v>3570.8281461770284</v>
      </c>
      <c r="J10" s="99">
        <v>1.1835908383659524</v>
      </c>
      <c r="K10" s="99">
        <v>644.82028874177081</v>
      </c>
      <c r="L10" s="99">
        <v>6</v>
      </c>
      <c r="M10" s="99">
        <v>3268.7999999999997</v>
      </c>
      <c r="N10" s="99">
        <v>12</v>
      </c>
      <c r="O10" s="99">
        <v>6537.5999999999995</v>
      </c>
      <c r="P10" s="99">
        <v>8</v>
      </c>
      <c r="Q10" s="99">
        <v>4358.3999999999996</v>
      </c>
      <c r="R10" s="99">
        <v>11</v>
      </c>
      <c r="S10" s="99">
        <v>5992.7999999999993</v>
      </c>
      <c r="T10" s="99">
        <v>7</v>
      </c>
      <c r="U10" s="99">
        <v>3813.5999999999995</v>
      </c>
      <c r="V10" s="99">
        <v>7</v>
      </c>
      <c r="W10" s="99">
        <v>3813.5999999999995</v>
      </c>
      <c r="X10" s="99">
        <v>12</v>
      </c>
      <c r="Y10" s="99">
        <v>6537.5999999999995</v>
      </c>
      <c r="Z10" s="99">
        <v>8</v>
      </c>
      <c r="AA10" s="99">
        <v>4358.3999999999996</v>
      </c>
      <c r="AB10" s="99">
        <v>13</v>
      </c>
      <c r="AC10" s="99">
        <v>7082.4</v>
      </c>
      <c r="AD10" s="99">
        <v>12</v>
      </c>
      <c r="AE10" s="99">
        <v>6537.5999999999995</v>
      </c>
      <c r="AF10" s="99">
        <v>12.959160601060292</v>
      </c>
      <c r="AG10" s="99">
        <v>7060.1506954576462</v>
      </c>
      <c r="AH10" s="99">
        <v>8.0644022152063783</v>
      </c>
      <c r="AI10" s="99">
        <v>4393.4863268444342</v>
      </c>
      <c r="AJ10" s="99">
        <v>9</v>
      </c>
      <c r="AK10" s="99">
        <v>4903.2</v>
      </c>
      <c r="AL10" s="99">
        <v>9.4541535593583585</v>
      </c>
      <c r="AM10" s="99">
        <v>5150.6228591384333</v>
      </c>
      <c r="AN10" s="99">
        <v>11.648580977520322</v>
      </c>
      <c r="AO10" s="99">
        <v>6346.1469165530707</v>
      </c>
      <c r="AP10" s="99">
        <v>1.5577252556520018</v>
      </c>
      <c r="AQ10" s="99">
        <v>848.64871927921047</v>
      </c>
      <c r="AR10" s="99">
        <v>15</v>
      </c>
      <c r="AS10" s="99">
        <v>8171.9999999999991</v>
      </c>
      <c r="AT10" s="99">
        <v>11</v>
      </c>
      <c r="AU10" s="99">
        <v>5992.7999999999993</v>
      </c>
      <c r="AV10" s="99">
        <v>14</v>
      </c>
      <c r="AW10" s="99">
        <v>7627.1999999999989</v>
      </c>
      <c r="AX10" s="99">
        <v>9</v>
      </c>
      <c r="AY10" s="99">
        <v>4903.2</v>
      </c>
      <c r="AZ10" s="99">
        <v>14</v>
      </c>
      <c r="BA10" s="99">
        <v>7627.1999999999989</v>
      </c>
      <c r="BB10" s="99">
        <v>10</v>
      </c>
      <c r="BC10" s="99">
        <v>5448</v>
      </c>
      <c r="BD10" s="99">
        <v>12</v>
      </c>
      <c r="BE10" s="99">
        <v>6537.5999999999995</v>
      </c>
      <c r="BF10" s="99">
        <v>10</v>
      </c>
      <c r="BG10" s="99">
        <v>5448</v>
      </c>
      <c r="BH10" s="99">
        <v>9.1703713116509835</v>
      </c>
      <c r="BI10" s="99">
        <v>4996.0182905874553</v>
      </c>
      <c r="BJ10" s="99">
        <v>13.077433016254448</v>
      </c>
      <c r="BK10" s="99">
        <v>7124.5855072554223</v>
      </c>
      <c r="BL10" s="99">
        <v>10.537029758999214</v>
      </c>
      <c r="BM10" s="99">
        <v>5740.5738127027716</v>
      </c>
      <c r="BN10" s="99">
        <v>11.750529389859429</v>
      </c>
      <c r="BO10" s="99">
        <v>6401.6884115954163</v>
      </c>
      <c r="BP10" s="99">
        <v>7.6132508820151577</v>
      </c>
      <c r="BQ10" s="99">
        <v>4147.6990805218575</v>
      </c>
      <c r="BR10" s="99">
        <v>9.5290214484009308</v>
      </c>
      <c r="BS10" s="99">
        <v>5191.4108850888269</v>
      </c>
      <c r="BT10" s="99">
        <v>10.407755022471127</v>
      </c>
      <c r="BU10" s="99">
        <v>5670.14493624227</v>
      </c>
      <c r="BV10" s="99">
        <v>1.5758066132589494</v>
      </c>
      <c r="BW10" s="99">
        <v>858.4994429034756</v>
      </c>
      <c r="BX10" s="99">
        <v>10.761536062574651</v>
      </c>
      <c r="BY10" s="99">
        <v>5862.884846890669</v>
      </c>
      <c r="BZ10" s="99">
        <v>10.464891041142211</v>
      </c>
      <c r="CA10" s="99">
        <v>5701.2726392142758</v>
      </c>
      <c r="CB10" s="99">
        <v>6.4942044229456801</v>
      </c>
      <c r="CC10" s="99">
        <v>3538.0425696208063</v>
      </c>
      <c r="CD10" s="99">
        <v>10.878961584516107</v>
      </c>
      <c r="CE10" s="99">
        <v>5926.8582712443749</v>
      </c>
      <c r="CF10" s="99">
        <v>9</v>
      </c>
      <c r="CG10" s="99">
        <v>4903.2</v>
      </c>
      <c r="CH10" s="99">
        <v>15</v>
      </c>
      <c r="CI10" s="99">
        <v>8171.9999999999991</v>
      </c>
      <c r="CJ10" s="99">
        <v>13</v>
      </c>
      <c r="CK10" s="99">
        <v>7082.4</v>
      </c>
      <c r="CL10" s="99">
        <v>15.266469592467272</v>
      </c>
      <c r="CM10" s="99">
        <v>8317.1726339761699</v>
      </c>
      <c r="CN10" s="99">
        <v>2.9127816061812144</v>
      </c>
      <c r="CO10" s="99">
        <v>1586.8834190475254</v>
      </c>
      <c r="CP10" s="99">
        <v>13</v>
      </c>
      <c r="CQ10" s="99">
        <v>7082.4</v>
      </c>
      <c r="CR10" s="99">
        <v>7.8160030521004558</v>
      </c>
      <c r="CS10" s="99">
        <v>4258.1584627843276</v>
      </c>
      <c r="CT10" s="99">
        <v>11.245148533894939</v>
      </c>
      <c r="CU10" s="99">
        <v>6126.3569212659622</v>
      </c>
    </row>
    <row r="11" spans="1:99">
      <c r="C11" s="98" t="s">
        <v>177</v>
      </c>
      <c r="D11" s="99">
        <v>1.0212011110110473</v>
      </c>
      <c r="E11" s="99">
        <v>544.09595194668589</v>
      </c>
      <c r="F11" s="99">
        <v>0.95784952120986555</v>
      </c>
      <c r="G11" s="99">
        <v>510.34222490061632</v>
      </c>
      <c r="H11" s="99">
        <v>6.5543835282250891</v>
      </c>
      <c r="I11" s="99">
        <v>3492.175543838327</v>
      </c>
      <c r="J11" s="99">
        <v>1.1835908383659524</v>
      </c>
      <c r="K11" s="99">
        <v>630.61719868137936</v>
      </c>
      <c r="L11" s="99">
        <v>6</v>
      </c>
      <c r="M11" s="99">
        <v>3196.7999999999997</v>
      </c>
      <c r="N11" s="99">
        <v>11</v>
      </c>
      <c r="O11" s="99">
        <v>5860.7999999999993</v>
      </c>
      <c r="P11" s="99">
        <v>7</v>
      </c>
      <c r="Q11" s="99">
        <v>3729.5999999999995</v>
      </c>
      <c r="R11" s="99">
        <v>12</v>
      </c>
      <c r="S11" s="99">
        <v>6393.5999999999995</v>
      </c>
      <c r="T11" s="99">
        <v>8</v>
      </c>
      <c r="U11" s="99">
        <v>4262.3999999999996</v>
      </c>
      <c r="V11" s="99">
        <v>8</v>
      </c>
      <c r="W11" s="99">
        <v>4262.3999999999996</v>
      </c>
      <c r="X11" s="99">
        <v>13</v>
      </c>
      <c r="Y11" s="99">
        <v>6926.4</v>
      </c>
      <c r="Z11" s="99">
        <v>9</v>
      </c>
      <c r="AA11" s="99">
        <v>4795.2</v>
      </c>
      <c r="AB11" s="99">
        <v>11</v>
      </c>
      <c r="AC11" s="99">
        <v>5860.7999999999993</v>
      </c>
      <c r="AD11" s="99">
        <v>12</v>
      </c>
      <c r="AE11" s="99">
        <v>6393.5999999999995</v>
      </c>
      <c r="AF11" s="99">
        <v>12.959160601060292</v>
      </c>
      <c r="AG11" s="99">
        <v>6904.6407682449226</v>
      </c>
      <c r="AH11" s="99">
        <v>8.960446905784865</v>
      </c>
      <c r="AI11" s="99">
        <v>4774.1261114021754</v>
      </c>
      <c r="AJ11" s="99">
        <v>8</v>
      </c>
      <c r="AK11" s="99">
        <v>4262.3999999999996</v>
      </c>
      <c r="AL11" s="99">
        <v>11.173090570150787</v>
      </c>
      <c r="AM11" s="99">
        <v>5953.022655776339</v>
      </c>
      <c r="AN11" s="99">
        <v>12.54462566809881</v>
      </c>
      <c r="AO11" s="99">
        <v>6683.7765559630452</v>
      </c>
      <c r="AP11" s="99">
        <v>1.5577252556520018</v>
      </c>
      <c r="AQ11" s="99">
        <v>829.95601621138644</v>
      </c>
      <c r="AR11" s="99">
        <v>13</v>
      </c>
      <c r="AS11" s="99">
        <v>6926.4</v>
      </c>
      <c r="AT11" s="99">
        <v>11</v>
      </c>
      <c r="AU11" s="99">
        <v>5860.7999999999993</v>
      </c>
      <c r="AV11" s="99">
        <v>12</v>
      </c>
      <c r="AW11" s="99">
        <v>6393.5999999999995</v>
      </c>
      <c r="AX11" s="99">
        <v>8</v>
      </c>
      <c r="AY11" s="99">
        <v>4262.3999999999996</v>
      </c>
      <c r="AZ11" s="99">
        <v>12</v>
      </c>
      <c r="BA11" s="99">
        <v>6393.5999999999995</v>
      </c>
      <c r="BB11" s="99">
        <v>10</v>
      </c>
      <c r="BC11" s="99">
        <v>5328</v>
      </c>
      <c r="BD11" s="99">
        <v>12</v>
      </c>
      <c r="BE11" s="99">
        <v>6393.5999999999995</v>
      </c>
      <c r="BF11" s="99">
        <v>9</v>
      </c>
      <c r="BG11" s="99">
        <v>4795.2</v>
      </c>
      <c r="BH11" s="99">
        <v>8.3367011924099845</v>
      </c>
      <c r="BI11" s="99">
        <v>4441.7943953160393</v>
      </c>
      <c r="BJ11" s="99">
        <v>13.077433016254448</v>
      </c>
      <c r="BK11" s="99">
        <v>6967.6563110603693</v>
      </c>
      <c r="BL11" s="99">
        <v>9.6589439457492787</v>
      </c>
      <c r="BM11" s="99">
        <v>5146.2853342952149</v>
      </c>
      <c r="BN11" s="99">
        <v>10.967160763868801</v>
      </c>
      <c r="BO11" s="99">
        <v>5843.3032549892969</v>
      </c>
      <c r="BP11" s="99">
        <v>7.6132508820151577</v>
      </c>
      <c r="BQ11" s="99">
        <v>4056.3400699376757</v>
      </c>
      <c r="BR11" s="99">
        <v>9.5290214484009308</v>
      </c>
      <c r="BS11" s="99">
        <v>5077.0626277080155</v>
      </c>
      <c r="BT11" s="99">
        <v>11.13987503572981</v>
      </c>
      <c r="BU11" s="99">
        <v>5935.3254190368425</v>
      </c>
      <c r="BV11" s="99">
        <v>1.4182259519330547</v>
      </c>
      <c r="BW11" s="99">
        <v>755.63078718993143</v>
      </c>
      <c r="BX11" s="99">
        <v>10.761536062574651</v>
      </c>
      <c r="BY11" s="99">
        <v>5733.7464141397732</v>
      </c>
      <c r="BZ11" s="99">
        <v>12.464891041142211</v>
      </c>
      <c r="CA11" s="99">
        <v>6641.2939467205697</v>
      </c>
      <c r="CB11" s="99">
        <v>6.4782121065607638</v>
      </c>
      <c r="CC11" s="99">
        <v>3451.5914103755745</v>
      </c>
      <c r="CD11" s="99">
        <v>9.2052751868982448</v>
      </c>
      <c r="CE11" s="99">
        <v>4904.5706195793846</v>
      </c>
      <c r="CF11" s="99">
        <v>9</v>
      </c>
      <c r="CG11" s="99">
        <v>4795.2</v>
      </c>
      <c r="CH11" s="99">
        <v>16</v>
      </c>
      <c r="CI11" s="99">
        <v>8524.7999999999993</v>
      </c>
      <c r="CJ11" s="99">
        <v>13</v>
      </c>
      <c r="CK11" s="99">
        <v>6926.4</v>
      </c>
      <c r="CL11" s="99">
        <v>16.266469592467274</v>
      </c>
      <c r="CM11" s="99">
        <v>8666.7749988665637</v>
      </c>
      <c r="CN11" s="99">
        <v>2.9127816061812144</v>
      </c>
      <c r="CO11" s="99">
        <v>1551.9300397733509</v>
      </c>
      <c r="CP11" s="99">
        <v>12</v>
      </c>
      <c r="CQ11" s="99">
        <v>6393.5999999999995</v>
      </c>
      <c r="CR11" s="99">
        <v>8.6455614607520452</v>
      </c>
      <c r="CS11" s="99">
        <v>4606.355146288689</v>
      </c>
      <c r="CT11" s="99">
        <v>11.245148533894939</v>
      </c>
      <c r="CU11" s="99">
        <v>5991.4151388592236</v>
      </c>
    </row>
    <row r="12" spans="1:99">
      <c r="C12" s="98" t="s">
        <v>178</v>
      </c>
      <c r="D12" s="99">
        <v>1.1488512498874281</v>
      </c>
      <c r="E12" s="99">
        <v>646.57348343664455</v>
      </c>
      <c r="F12" s="99">
        <v>0.95784952120986555</v>
      </c>
      <c r="G12" s="99">
        <v>539.07771053691226</v>
      </c>
      <c r="H12" s="99">
        <v>6.5543835282250891</v>
      </c>
      <c r="I12" s="99">
        <v>3688.8070496850796</v>
      </c>
      <c r="J12" s="99">
        <v>1.3019499222025477</v>
      </c>
      <c r="K12" s="99">
        <v>732.73741621559373</v>
      </c>
      <c r="L12" s="99">
        <v>6</v>
      </c>
      <c r="M12" s="99">
        <v>3376.7999999999997</v>
      </c>
      <c r="N12" s="99">
        <v>11</v>
      </c>
      <c r="O12" s="99">
        <v>6190.7999999999993</v>
      </c>
      <c r="P12" s="99">
        <v>9</v>
      </c>
      <c r="Q12" s="99">
        <v>5065.2</v>
      </c>
      <c r="R12" s="99">
        <v>12</v>
      </c>
      <c r="S12" s="99">
        <v>6753.5999999999995</v>
      </c>
      <c r="T12" s="99">
        <v>8</v>
      </c>
      <c r="U12" s="99">
        <v>4502.3999999999996</v>
      </c>
      <c r="V12" s="99">
        <v>8</v>
      </c>
      <c r="W12" s="99">
        <v>4502.3999999999996</v>
      </c>
      <c r="X12" s="99">
        <v>13</v>
      </c>
      <c r="Y12" s="99">
        <v>7316.4</v>
      </c>
      <c r="Z12" s="99">
        <v>8</v>
      </c>
      <c r="AA12" s="99">
        <v>4502.3999999999996</v>
      </c>
      <c r="AB12" s="99">
        <v>13</v>
      </c>
      <c r="AC12" s="99">
        <v>7316.4</v>
      </c>
      <c r="AD12" s="99">
        <v>13</v>
      </c>
      <c r="AE12" s="99">
        <v>7316.4</v>
      </c>
      <c r="AF12" s="99">
        <v>12.959160601060292</v>
      </c>
      <c r="AG12" s="99">
        <v>7293.415586276732</v>
      </c>
      <c r="AH12" s="99">
        <v>8.960446905784865</v>
      </c>
      <c r="AI12" s="99">
        <v>5042.9395185757212</v>
      </c>
      <c r="AJ12" s="99">
        <v>8</v>
      </c>
      <c r="AK12" s="99">
        <v>4502.3999999999996</v>
      </c>
      <c r="AL12" s="99">
        <v>10.313622064754574</v>
      </c>
      <c r="AM12" s="99">
        <v>5804.5064980438738</v>
      </c>
      <c r="AN12" s="99">
        <v>12.54462566809881</v>
      </c>
      <c r="AO12" s="99">
        <v>7060.11532600601</v>
      </c>
      <c r="AP12" s="99">
        <v>1.5577252556520018</v>
      </c>
      <c r="AQ12" s="99">
        <v>876.68777388094657</v>
      </c>
      <c r="AR12" s="99">
        <v>14</v>
      </c>
      <c r="AS12" s="99">
        <v>7879.1999999999989</v>
      </c>
      <c r="AT12" s="99">
        <v>11</v>
      </c>
      <c r="AU12" s="99">
        <v>6190.7999999999993</v>
      </c>
      <c r="AV12" s="99">
        <v>14</v>
      </c>
      <c r="AW12" s="99">
        <v>7879.1999999999989</v>
      </c>
      <c r="AX12" s="99">
        <v>8</v>
      </c>
      <c r="AY12" s="99">
        <v>4502.3999999999996</v>
      </c>
      <c r="AZ12" s="99">
        <v>13</v>
      </c>
      <c r="BA12" s="99">
        <v>7316.4</v>
      </c>
      <c r="BB12" s="99">
        <v>10</v>
      </c>
      <c r="BC12" s="99">
        <v>5628</v>
      </c>
      <c r="BD12" s="99">
        <v>13</v>
      </c>
      <c r="BE12" s="99">
        <v>7316.4</v>
      </c>
      <c r="BF12" s="99">
        <v>9</v>
      </c>
      <c r="BG12" s="99">
        <v>5065.2</v>
      </c>
      <c r="BH12" s="99">
        <v>9.1703713116509835</v>
      </c>
      <c r="BI12" s="99">
        <v>5161.0849741971733</v>
      </c>
      <c r="BJ12" s="99">
        <v>12.143330657950559</v>
      </c>
      <c r="BK12" s="99">
        <v>6834.2664942945739</v>
      </c>
      <c r="BL12" s="99">
        <v>9.6589439457492787</v>
      </c>
      <c r="BM12" s="99">
        <v>5436.0536526676933</v>
      </c>
      <c r="BN12" s="99">
        <v>10.967160763868801</v>
      </c>
      <c r="BO12" s="99">
        <v>6172.318077905361</v>
      </c>
      <c r="BP12" s="99">
        <v>7.6132508820151577</v>
      </c>
      <c r="BQ12" s="99">
        <v>4284.7375963981303</v>
      </c>
      <c r="BR12" s="99">
        <v>8.7349363277008525</v>
      </c>
      <c r="BS12" s="99">
        <v>4916.0221652300397</v>
      </c>
      <c r="BT12" s="99">
        <v>11.13987503572981</v>
      </c>
      <c r="BU12" s="99">
        <v>6269.5216701087365</v>
      </c>
      <c r="BV12" s="99">
        <v>1.5758066132589494</v>
      </c>
      <c r="BW12" s="99">
        <v>886.86396194213671</v>
      </c>
      <c r="BX12" s="99">
        <v>9.9928549152478894</v>
      </c>
      <c r="BY12" s="99">
        <v>5623.9787463015118</v>
      </c>
      <c r="BZ12" s="99">
        <v>11.422628219220192</v>
      </c>
      <c r="CA12" s="99">
        <v>6428.6551617771238</v>
      </c>
      <c r="CB12" s="99">
        <v>7.081678949325303</v>
      </c>
      <c r="CC12" s="99">
        <v>3985.5689126802804</v>
      </c>
      <c r="CD12" s="99">
        <v>9.2052751868982448</v>
      </c>
      <c r="CE12" s="99">
        <v>5180.7288751863316</v>
      </c>
      <c r="CF12" s="99">
        <v>9</v>
      </c>
      <c r="CG12" s="99">
        <v>5065.2</v>
      </c>
      <c r="CH12" s="99">
        <v>15</v>
      </c>
      <c r="CI12" s="99">
        <v>8442</v>
      </c>
      <c r="CJ12" s="99">
        <v>13</v>
      </c>
      <c r="CK12" s="99">
        <v>7316.4</v>
      </c>
      <c r="CL12" s="99">
        <v>17.207254127474545</v>
      </c>
      <c r="CM12" s="99">
        <v>9684.2426229426728</v>
      </c>
      <c r="CN12" s="99">
        <v>2.5891392054944129</v>
      </c>
      <c r="CO12" s="99">
        <v>1457.1675448522556</v>
      </c>
      <c r="CP12" s="99">
        <v>14</v>
      </c>
      <c r="CQ12" s="99">
        <v>7879.1999999999989</v>
      </c>
      <c r="CR12" s="99">
        <v>7.8160030521004558</v>
      </c>
      <c r="CS12" s="99">
        <v>4398.846517722136</v>
      </c>
      <c r="CT12" s="99">
        <v>9.8395049671580708</v>
      </c>
      <c r="CU12" s="99">
        <v>5537.6733955165619</v>
      </c>
    </row>
    <row r="13" spans="1:99">
      <c r="C13" s="98" t="s">
        <v>179</v>
      </c>
      <c r="D13" s="99">
        <v>1.1488512498874281</v>
      </c>
      <c r="E13" s="99">
        <v>97.882126490408879</v>
      </c>
      <c r="F13" s="99">
        <v>1.0642772457887395</v>
      </c>
      <c r="G13" s="99">
        <v>90.676421341200609</v>
      </c>
      <c r="H13" s="99">
        <v>7.2098218810475982</v>
      </c>
      <c r="I13" s="99">
        <v>614.27682426525541</v>
      </c>
      <c r="J13" s="99">
        <v>1.3019499222025477</v>
      </c>
      <c r="K13" s="99">
        <v>110.92613337165707</v>
      </c>
      <c r="L13" s="99">
        <v>7</v>
      </c>
      <c r="M13" s="99">
        <v>596.4</v>
      </c>
      <c r="N13" s="99">
        <v>13</v>
      </c>
      <c r="O13" s="99">
        <v>1107.6000000000001</v>
      </c>
      <c r="P13" s="99">
        <v>8</v>
      </c>
      <c r="Q13" s="99">
        <v>681.6</v>
      </c>
      <c r="R13" s="99">
        <v>12</v>
      </c>
      <c r="S13" s="99">
        <v>1022.4000000000001</v>
      </c>
      <c r="T13" s="99">
        <v>8</v>
      </c>
      <c r="U13" s="99">
        <v>681.6</v>
      </c>
      <c r="V13" s="99">
        <v>8</v>
      </c>
      <c r="W13" s="99">
        <v>681.6</v>
      </c>
      <c r="X13" s="99">
        <v>13</v>
      </c>
      <c r="Y13" s="99">
        <v>1107.6000000000001</v>
      </c>
      <c r="Z13" s="99">
        <v>8</v>
      </c>
      <c r="AA13" s="99">
        <v>681.6</v>
      </c>
      <c r="AB13" s="99">
        <v>14</v>
      </c>
      <c r="AC13" s="99">
        <v>1192.8</v>
      </c>
      <c r="AD13" s="99">
        <v>12</v>
      </c>
      <c r="AE13" s="99">
        <v>1022.4000000000001</v>
      </c>
      <c r="AF13" s="99">
        <v>12.959160601060292</v>
      </c>
      <c r="AG13" s="99">
        <v>1104.1204832103369</v>
      </c>
      <c r="AH13" s="99">
        <v>8.960446905784865</v>
      </c>
      <c r="AI13" s="99">
        <v>763.43007637287053</v>
      </c>
      <c r="AJ13" s="99">
        <v>9</v>
      </c>
      <c r="AK13" s="99">
        <v>766.80000000000007</v>
      </c>
      <c r="AL13" s="99">
        <v>12.032559075547002</v>
      </c>
      <c r="AM13" s="99">
        <v>1025.1740332366046</v>
      </c>
      <c r="AN13" s="99">
        <v>12.54462566809881</v>
      </c>
      <c r="AO13" s="99">
        <v>1068.8021069220185</v>
      </c>
      <c r="AP13" s="99">
        <v>1.4161138687745471</v>
      </c>
      <c r="AQ13" s="99">
        <v>120.65290161959142</v>
      </c>
      <c r="AR13" s="99">
        <v>16</v>
      </c>
      <c r="AS13" s="99">
        <v>1363.2</v>
      </c>
      <c r="AT13" s="99">
        <v>11</v>
      </c>
      <c r="AU13" s="99">
        <v>937.2</v>
      </c>
      <c r="AV13" s="99">
        <v>14</v>
      </c>
      <c r="AW13" s="99">
        <v>1192.8</v>
      </c>
      <c r="AX13" s="99">
        <v>8</v>
      </c>
      <c r="AY13" s="99">
        <v>681.6</v>
      </c>
      <c r="AZ13" s="99">
        <v>14</v>
      </c>
      <c r="BA13" s="99">
        <v>1192.8</v>
      </c>
      <c r="BB13" s="99">
        <v>10</v>
      </c>
      <c r="BC13" s="99">
        <v>852</v>
      </c>
      <c r="BD13" s="99">
        <v>12</v>
      </c>
      <c r="BE13" s="99">
        <v>1022.4000000000001</v>
      </c>
      <c r="BF13" s="99">
        <v>9</v>
      </c>
      <c r="BG13" s="99">
        <v>766.80000000000007</v>
      </c>
      <c r="BH13" s="99">
        <v>9.1703713116509835</v>
      </c>
      <c r="BI13" s="99">
        <v>781.31563575266387</v>
      </c>
      <c r="BJ13" s="99">
        <v>13.077433016254448</v>
      </c>
      <c r="BK13" s="99">
        <v>1114.1972929848789</v>
      </c>
      <c r="BL13" s="99">
        <v>11.415115572249148</v>
      </c>
      <c r="BM13" s="99">
        <v>972.56784675562744</v>
      </c>
      <c r="BN13" s="99">
        <v>12.533898015850056</v>
      </c>
      <c r="BO13" s="99">
        <v>1067.8881109504248</v>
      </c>
      <c r="BP13" s="99">
        <v>6.7673341173468069</v>
      </c>
      <c r="BQ13" s="99">
        <v>576.57686679794801</v>
      </c>
      <c r="BR13" s="99">
        <v>10.323106569101009</v>
      </c>
      <c r="BS13" s="99">
        <v>879.528679687406</v>
      </c>
      <c r="BT13" s="99">
        <v>11.13987503572981</v>
      </c>
      <c r="BU13" s="99">
        <v>949.11735304417982</v>
      </c>
      <c r="BV13" s="99">
        <v>1.5758066132589494</v>
      </c>
      <c r="BW13" s="99">
        <v>134.25872344966248</v>
      </c>
      <c r="BX13" s="99">
        <v>10.761536062574651</v>
      </c>
      <c r="BY13" s="99">
        <v>916.88287253136025</v>
      </c>
      <c r="BZ13" s="99">
        <v>13.464891041142211</v>
      </c>
      <c r="CA13" s="99">
        <v>1147.2087167053164</v>
      </c>
      <c r="CB13" s="99">
        <v>7.081678949325303</v>
      </c>
      <c r="CC13" s="99">
        <v>603.35904648251585</v>
      </c>
      <c r="CD13" s="99">
        <v>10.878961584516107</v>
      </c>
      <c r="CE13" s="99">
        <v>926.88752700077237</v>
      </c>
      <c r="CF13" s="99">
        <v>10</v>
      </c>
      <c r="CG13" s="99">
        <v>852</v>
      </c>
      <c r="CH13" s="99">
        <v>17</v>
      </c>
      <c r="CI13" s="99">
        <v>1448.4</v>
      </c>
      <c r="CJ13" s="99">
        <v>15</v>
      </c>
      <c r="CK13" s="99">
        <v>1278</v>
      </c>
      <c r="CL13" s="99">
        <v>15.266469592467272</v>
      </c>
      <c r="CM13" s="99">
        <v>1300.7032092782117</v>
      </c>
      <c r="CN13" s="99">
        <v>2.9127816061812144</v>
      </c>
      <c r="CO13" s="99">
        <v>248.16899284663947</v>
      </c>
      <c r="CP13" s="99">
        <v>15</v>
      </c>
      <c r="CQ13" s="99">
        <v>1278</v>
      </c>
      <c r="CR13" s="99">
        <v>9.4751198694036329</v>
      </c>
      <c r="CS13" s="99">
        <v>807.2802128731895</v>
      </c>
      <c r="CT13" s="99">
        <v>11.245148533894939</v>
      </c>
      <c r="CU13" s="99">
        <v>958.08665508784884</v>
      </c>
    </row>
    <row r="14" spans="1:99">
      <c r="C14" s="98" t="s">
        <v>180</v>
      </c>
      <c r="D14" s="99">
        <v>1.0212011110110473</v>
      </c>
      <c r="E14" s="99">
        <v>498.75462261779546</v>
      </c>
      <c r="F14" s="99">
        <v>1.0642772457887395</v>
      </c>
      <c r="G14" s="99">
        <v>519.79300684322038</v>
      </c>
      <c r="H14" s="99">
        <v>6.5543835282250891</v>
      </c>
      <c r="I14" s="99">
        <v>3201.1609151851335</v>
      </c>
      <c r="J14" s="99">
        <v>1.3019499222025477</v>
      </c>
      <c r="K14" s="99">
        <v>635.87234200372427</v>
      </c>
      <c r="L14" s="99">
        <v>7</v>
      </c>
      <c r="M14" s="99">
        <v>3418.7999999999997</v>
      </c>
      <c r="N14" s="99">
        <v>11</v>
      </c>
      <c r="O14" s="99">
        <v>5372.4</v>
      </c>
      <c r="P14" s="99">
        <v>8</v>
      </c>
      <c r="Q14" s="99">
        <v>3907.2</v>
      </c>
      <c r="R14" s="99">
        <v>13</v>
      </c>
      <c r="S14" s="99">
        <v>6349.2</v>
      </c>
      <c r="T14" s="99">
        <v>8</v>
      </c>
      <c r="U14" s="99">
        <v>3907.2</v>
      </c>
      <c r="V14" s="99">
        <v>7</v>
      </c>
      <c r="W14" s="99">
        <v>3418.7999999999997</v>
      </c>
      <c r="X14" s="99">
        <v>13</v>
      </c>
      <c r="Y14" s="99">
        <v>6349.2</v>
      </c>
      <c r="Z14" s="99">
        <v>8</v>
      </c>
      <c r="AA14" s="99">
        <v>3907.2</v>
      </c>
      <c r="AB14" s="99">
        <v>13</v>
      </c>
      <c r="AC14" s="99">
        <v>6349.2</v>
      </c>
      <c r="AD14" s="99">
        <v>11</v>
      </c>
      <c r="AE14" s="99">
        <v>5372.4</v>
      </c>
      <c r="AF14" s="99">
        <v>12.959160601060292</v>
      </c>
      <c r="AG14" s="99">
        <v>6329.2540375578465</v>
      </c>
      <c r="AH14" s="99">
        <v>8.0644022152063783</v>
      </c>
      <c r="AI14" s="99">
        <v>3938.6540419067951</v>
      </c>
      <c r="AJ14" s="99">
        <v>8</v>
      </c>
      <c r="AK14" s="99">
        <v>3907.2</v>
      </c>
      <c r="AL14" s="99">
        <v>10.313622064754574</v>
      </c>
      <c r="AM14" s="99">
        <v>5037.1730164261335</v>
      </c>
      <c r="AN14" s="99">
        <v>11.648580977520322</v>
      </c>
      <c r="AO14" s="99">
        <v>5689.1669494209245</v>
      </c>
      <c r="AP14" s="99">
        <v>1.6993366425294565</v>
      </c>
      <c r="AQ14" s="99">
        <v>829.95601621138655</v>
      </c>
      <c r="AR14" s="99">
        <v>14</v>
      </c>
      <c r="AS14" s="99">
        <v>6837.5999999999995</v>
      </c>
      <c r="AT14" s="99">
        <v>11</v>
      </c>
      <c r="AU14" s="99">
        <v>5372.4</v>
      </c>
      <c r="AV14" s="99">
        <v>13</v>
      </c>
      <c r="AW14" s="99">
        <v>6349.2</v>
      </c>
      <c r="AX14" s="99">
        <v>8</v>
      </c>
      <c r="AY14" s="99">
        <v>3907.2</v>
      </c>
      <c r="AZ14" s="99">
        <v>12</v>
      </c>
      <c r="BA14" s="99">
        <v>5860.7999999999993</v>
      </c>
      <c r="BB14" s="99">
        <v>10</v>
      </c>
      <c r="BC14" s="99">
        <v>4884</v>
      </c>
      <c r="BD14" s="99">
        <v>14</v>
      </c>
      <c r="BE14" s="99">
        <v>6837.5999999999995</v>
      </c>
      <c r="BF14" s="99">
        <v>8</v>
      </c>
      <c r="BG14" s="99">
        <v>3907.2</v>
      </c>
      <c r="BH14" s="99">
        <v>8.3367011924099845</v>
      </c>
      <c r="BI14" s="99">
        <v>4071.6448623730362</v>
      </c>
      <c r="BJ14" s="99">
        <v>12.143330657950559</v>
      </c>
      <c r="BK14" s="99">
        <v>5930.8026933430529</v>
      </c>
      <c r="BL14" s="99">
        <v>10.537029758999214</v>
      </c>
      <c r="BM14" s="99">
        <v>5146.2853342952158</v>
      </c>
      <c r="BN14" s="99">
        <v>10.967160763868801</v>
      </c>
      <c r="BO14" s="99">
        <v>5356.3613170735225</v>
      </c>
      <c r="BP14" s="99">
        <v>7.6132508820151577</v>
      </c>
      <c r="BQ14" s="99">
        <v>3718.3117307762027</v>
      </c>
      <c r="BR14" s="99">
        <v>8.7349363277008525</v>
      </c>
      <c r="BS14" s="99">
        <v>4266.1429024490963</v>
      </c>
      <c r="BT14" s="99">
        <v>10.407755022471127</v>
      </c>
      <c r="BU14" s="99">
        <v>5083.1475529748986</v>
      </c>
      <c r="BV14" s="99">
        <v>1.5758066132589494</v>
      </c>
      <c r="BW14" s="99">
        <v>769.62394991567089</v>
      </c>
      <c r="BX14" s="99">
        <v>10.761536062574651</v>
      </c>
      <c r="BY14" s="99">
        <v>5255.9342129614588</v>
      </c>
      <c r="BZ14" s="99">
        <v>11.464891041142211</v>
      </c>
      <c r="CA14" s="99">
        <v>5599.4527844938557</v>
      </c>
      <c r="CB14" s="99">
        <v>7.6371688429350888</v>
      </c>
      <c r="CC14" s="99">
        <v>3729.9932628894971</v>
      </c>
      <c r="CD14" s="99">
        <v>9.2052751868982448</v>
      </c>
      <c r="CE14" s="99">
        <v>4495.8564012811021</v>
      </c>
      <c r="CF14" s="99">
        <v>9</v>
      </c>
      <c r="CG14" s="99">
        <v>4395.5999999999995</v>
      </c>
      <c r="CH14" s="99">
        <v>16</v>
      </c>
      <c r="CI14" s="99">
        <v>7814.4</v>
      </c>
      <c r="CJ14" s="99">
        <v>13</v>
      </c>
      <c r="CK14" s="99">
        <v>6349.2</v>
      </c>
      <c r="CL14" s="99">
        <v>15.266469592467272</v>
      </c>
      <c r="CM14" s="99">
        <v>7456.1437489610153</v>
      </c>
      <c r="CN14" s="99">
        <v>2.5891392054944129</v>
      </c>
      <c r="CO14" s="99">
        <v>1264.5355879634712</v>
      </c>
      <c r="CP14" s="99">
        <v>13</v>
      </c>
      <c r="CQ14" s="99">
        <v>6349.2</v>
      </c>
      <c r="CR14" s="99">
        <v>7.7890817156207532</v>
      </c>
      <c r="CS14" s="99">
        <v>3804.1875099091758</v>
      </c>
      <c r="CT14" s="99">
        <v>10.542326750526504</v>
      </c>
      <c r="CU14" s="99">
        <v>5148.8723849571443</v>
      </c>
    </row>
    <row r="15" spans="1:99">
      <c r="C15" s="98" t="s">
        <v>181</v>
      </c>
      <c r="D15" s="99">
        <v>1.0212011110110473</v>
      </c>
      <c r="E15" s="99">
        <v>779.38068792363117</v>
      </c>
      <c r="F15" s="99">
        <v>1.0642772457887395</v>
      </c>
      <c r="G15" s="99">
        <v>812.25639398596593</v>
      </c>
      <c r="H15" s="99">
        <v>6.5543835282250891</v>
      </c>
      <c r="I15" s="99">
        <v>5002.3055087413877</v>
      </c>
      <c r="J15" s="99">
        <v>1.1835908383659524</v>
      </c>
      <c r="K15" s="99">
        <v>903.31652784089476</v>
      </c>
      <c r="L15" s="99">
        <v>7</v>
      </c>
      <c r="M15" s="99">
        <v>5342.4</v>
      </c>
      <c r="N15" s="99">
        <v>12</v>
      </c>
      <c r="O15" s="99">
        <v>9158.4</v>
      </c>
      <c r="P15" s="99">
        <v>8</v>
      </c>
      <c r="Q15" s="99">
        <v>6105.5999999999995</v>
      </c>
      <c r="R15" s="99">
        <v>13</v>
      </c>
      <c r="S15" s="99">
        <v>9921.5999999999985</v>
      </c>
      <c r="T15" s="99">
        <v>7</v>
      </c>
      <c r="U15" s="99">
        <v>5342.4</v>
      </c>
      <c r="V15" s="99">
        <v>7</v>
      </c>
      <c r="W15" s="99">
        <v>5342.4</v>
      </c>
      <c r="X15" s="99">
        <v>11</v>
      </c>
      <c r="Y15" s="99">
        <v>8395.1999999999989</v>
      </c>
      <c r="Z15" s="99">
        <v>7</v>
      </c>
      <c r="AA15" s="99">
        <v>5342.4</v>
      </c>
      <c r="AB15" s="99">
        <v>11</v>
      </c>
      <c r="AC15" s="99">
        <v>8395.1999999999989</v>
      </c>
      <c r="AD15" s="99">
        <v>12</v>
      </c>
      <c r="AE15" s="99">
        <v>9158.4</v>
      </c>
      <c r="AF15" s="99">
        <v>12.033506272413128</v>
      </c>
      <c r="AG15" s="99">
        <v>9183.9719871056986</v>
      </c>
      <c r="AH15" s="99">
        <v>8.0644022152063783</v>
      </c>
      <c r="AI15" s="99">
        <v>6154.7517706455073</v>
      </c>
      <c r="AJ15" s="99">
        <v>9</v>
      </c>
      <c r="AK15" s="99">
        <v>6868.7999999999993</v>
      </c>
      <c r="AL15" s="99">
        <v>10.313622064754574</v>
      </c>
      <c r="AM15" s="99">
        <v>7871.3563598206902</v>
      </c>
      <c r="AN15" s="99">
        <v>12.54462566809881</v>
      </c>
      <c r="AO15" s="99">
        <v>9574.058309893011</v>
      </c>
      <c r="AP15" s="99">
        <v>1.4161138687745471</v>
      </c>
      <c r="AQ15" s="99">
        <v>1080.7781046487344</v>
      </c>
      <c r="AR15" s="99">
        <v>13</v>
      </c>
      <c r="AS15" s="99">
        <v>9921.5999999999985</v>
      </c>
      <c r="AT15" s="99">
        <v>10</v>
      </c>
      <c r="AU15" s="99">
        <v>7631.9999999999991</v>
      </c>
      <c r="AV15" s="99">
        <v>13</v>
      </c>
      <c r="AW15" s="99">
        <v>9921.5999999999985</v>
      </c>
      <c r="AX15" s="99">
        <v>8</v>
      </c>
      <c r="AY15" s="99">
        <v>6105.5999999999995</v>
      </c>
      <c r="AZ15" s="99">
        <v>13</v>
      </c>
      <c r="BA15" s="99">
        <v>9921.5999999999985</v>
      </c>
      <c r="BB15" s="99">
        <v>9</v>
      </c>
      <c r="BC15" s="99">
        <v>6868.7999999999993</v>
      </c>
      <c r="BD15" s="99">
        <v>13</v>
      </c>
      <c r="BE15" s="99">
        <v>9921.5999999999985</v>
      </c>
      <c r="BF15" s="99">
        <v>9</v>
      </c>
      <c r="BG15" s="99">
        <v>6868.7999999999993</v>
      </c>
      <c r="BH15" s="99">
        <v>8.3367011924099845</v>
      </c>
      <c r="BI15" s="99">
        <v>6362.5703500473001</v>
      </c>
      <c r="BJ15" s="99">
        <v>13.077433016254448</v>
      </c>
      <c r="BK15" s="99">
        <v>9980.696878005394</v>
      </c>
      <c r="BL15" s="99">
        <v>9.6589439457492787</v>
      </c>
      <c r="BM15" s="99">
        <v>7371.7060193958487</v>
      </c>
      <c r="BN15" s="99">
        <v>10.967160763868801</v>
      </c>
      <c r="BO15" s="99">
        <v>8370.1370949846678</v>
      </c>
      <c r="BP15" s="99">
        <v>7.6132508820151577</v>
      </c>
      <c r="BQ15" s="99">
        <v>5810.4330731539676</v>
      </c>
      <c r="BR15" s="99">
        <v>8.7349363277008525</v>
      </c>
      <c r="BS15" s="99">
        <v>6666.5034053012896</v>
      </c>
      <c r="BT15" s="99">
        <v>10.391947538786171</v>
      </c>
      <c r="BU15" s="99">
        <v>7931.1343616016056</v>
      </c>
      <c r="BV15" s="99">
        <v>1.5758066132589494</v>
      </c>
      <c r="BW15" s="99">
        <v>1202.65560723923</v>
      </c>
      <c r="BX15" s="99">
        <v>9.9928549152478894</v>
      </c>
      <c r="BY15" s="99">
        <v>7626.5468713171886</v>
      </c>
      <c r="BZ15" s="99">
        <v>11.422628219220192</v>
      </c>
      <c r="CA15" s="99">
        <v>8717.7498569088493</v>
      </c>
      <c r="CB15" s="99">
        <v>7.0496943165554677</v>
      </c>
      <c r="CC15" s="99">
        <v>5380.3267023951321</v>
      </c>
      <c r="CD15" s="99">
        <v>10.042118385707177</v>
      </c>
      <c r="CE15" s="99">
        <v>7664.1447519717167</v>
      </c>
      <c r="CF15" s="99">
        <v>9</v>
      </c>
      <c r="CG15" s="99">
        <v>6868.7999999999993</v>
      </c>
      <c r="CH15" s="99">
        <v>17</v>
      </c>
      <c r="CI15" s="99">
        <v>12974.4</v>
      </c>
      <c r="CJ15" s="99">
        <v>13</v>
      </c>
      <c r="CK15" s="99">
        <v>9921.5999999999985</v>
      </c>
      <c r="CL15" s="99">
        <v>16.236861859970908</v>
      </c>
      <c r="CM15" s="99">
        <v>12391.972971529796</v>
      </c>
      <c r="CN15" s="99">
        <v>2.5891392054944129</v>
      </c>
      <c r="CO15" s="99">
        <v>1976.0310416333357</v>
      </c>
      <c r="CP15" s="99">
        <v>14</v>
      </c>
      <c r="CQ15" s="99">
        <v>10684.8</v>
      </c>
      <c r="CR15" s="99">
        <v>7.8429243885801609</v>
      </c>
      <c r="CS15" s="99">
        <v>5985.7198933643785</v>
      </c>
      <c r="CT15" s="99">
        <v>9.1366831837896356</v>
      </c>
      <c r="CU15" s="99">
        <v>6973.1166058682493</v>
      </c>
    </row>
    <row r="16" spans="1:99">
      <c r="C16" s="98" t="s">
        <v>182</v>
      </c>
      <c r="D16" s="99">
        <v>1.1488512498874281</v>
      </c>
      <c r="E16" s="99">
        <v>391.52850596163552</v>
      </c>
      <c r="F16" s="99">
        <v>0.95784952120986555</v>
      </c>
      <c r="G16" s="99">
        <v>326.43511682832218</v>
      </c>
      <c r="H16" s="99">
        <v>6.5543835282250891</v>
      </c>
      <c r="I16" s="99">
        <v>2233.7339064191106</v>
      </c>
      <c r="J16" s="99">
        <v>1.3019499222025477</v>
      </c>
      <c r="K16" s="99">
        <v>443.70453348662829</v>
      </c>
      <c r="L16" s="99">
        <v>7</v>
      </c>
      <c r="M16" s="99">
        <v>2385.6</v>
      </c>
      <c r="N16" s="99">
        <v>11</v>
      </c>
      <c r="O16" s="99">
        <v>3748.8</v>
      </c>
      <c r="P16" s="99">
        <v>8</v>
      </c>
      <c r="Q16" s="99">
        <v>2726.4</v>
      </c>
      <c r="R16" s="99">
        <v>13</v>
      </c>
      <c r="S16" s="99">
        <v>4430.4000000000005</v>
      </c>
      <c r="T16" s="99">
        <v>7</v>
      </c>
      <c r="U16" s="99">
        <v>2385.6</v>
      </c>
      <c r="V16" s="99">
        <v>7</v>
      </c>
      <c r="W16" s="99">
        <v>2385.6</v>
      </c>
      <c r="X16" s="99">
        <v>12</v>
      </c>
      <c r="Y16" s="99">
        <v>4089.6000000000004</v>
      </c>
      <c r="Z16" s="99">
        <v>7</v>
      </c>
      <c r="AA16" s="99">
        <v>2385.6</v>
      </c>
      <c r="AB16" s="99">
        <v>12</v>
      </c>
      <c r="AC16" s="99">
        <v>4089.6000000000004</v>
      </c>
      <c r="AD16" s="99">
        <v>12</v>
      </c>
      <c r="AE16" s="99">
        <v>4089.6000000000004</v>
      </c>
      <c r="AF16" s="99">
        <v>12.033506272413128</v>
      </c>
      <c r="AG16" s="99">
        <v>4101.0189376383942</v>
      </c>
      <c r="AH16" s="99">
        <v>8.960446905784865</v>
      </c>
      <c r="AI16" s="99">
        <v>3053.7203054914821</v>
      </c>
      <c r="AJ16" s="99">
        <v>9</v>
      </c>
      <c r="AK16" s="99">
        <v>3067.2000000000003</v>
      </c>
      <c r="AL16" s="99">
        <v>11.173090570150787</v>
      </c>
      <c r="AM16" s="99">
        <v>3807.7892663073885</v>
      </c>
      <c r="AN16" s="99">
        <v>11.648580977520322</v>
      </c>
      <c r="AO16" s="99">
        <v>3969.8363971389258</v>
      </c>
      <c r="AP16" s="99">
        <v>1.6993366425294565</v>
      </c>
      <c r="AQ16" s="99">
        <v>579.13392777403874</v>
      </c>
      <c r="AR16" s="99">
        <v>16</v>
      </c>
      <c r="AS16" s="99">
        <v>5452.8</v>
      </c>
      <c r="AT16" s="99">
        <v>12</v>
      </c>
      <c r="AU16" s="99">
        <v>4089.6000000000004</v>
      </c>
      <c r="AV16" s="99">
        <v>14</v>
      </c>
      <c r="AW16" s="99">
        <v>4771.2</v>
      </c>
      <c r="AX16" s="99">
        <v>9</v>
      </c>
      <c r="AY16" s="99">
        <v>3067.2000000000003</v>
      </c>
      <c r="AZ16" s="99">
        <v>13</v>
      </c>
      <c r="BA16" s="99">
        <v>4430.4000000000005</v>
      </c>
      <c r="BB16" s="99">
        <v>9</v>
      </c>
      <c r="BC16" s="99">
        <v>3067.2000000000003</v>
      </c>
      <c r="BD16" s="99">
        <v>12</v>
      </c>
      <c r="BE16" s="99">
        <v>4089.6000000000004</v>
      </c>
      <c r="BF16" s="99">
        <v>9</v>
      </c>
      <c r="BG16" s="99">
        <v>3067.2000000000003</v>
      </c>
      <c r="BH16" s="99">
        <v>9.1703713116509835</v>
      </c>
      <c r="BI16" s="99">
        <v>3125.2625430106555</v>
      </c>
      <c r="BJ16" s="99">
        <v>14.011535374558337</v>
      </c>
      <c r="BK16" s="99">
        <v>4775.1312556494813</v>
      </c>
      <c r="BL16" s="99">
        <v>9.6589439457492787</v>
      </c>
      <c r="BM16" s="99">
        <v>3291.7680967113542</v>
      </c>
      <c r="BN16" s="99">
        <v>12.533898015850056</v>
      </c>
      <c r="BO16" s="99">
        <v>4271.5524438016992</v>
      </c>
      <c r="BP16" s="99">
        <v>7.6132508820151577</v>
      </c>
      <c r="BQ16" s="99">
        <v>2594.5959005907657</v>
      </c>
      <c r="BR16" s="99">
        <v>9.5290214484009308</v>
      </c>
      <c r="BS16" s="99">
        <v>3247.4905096150374</v>
      </c>
      <c r="BT16" s="99">
        <v>9.6756350092124404</v>
      </c>
      <c r="BU16" s="99">
        <v>3297.4564111395998</v>
      </c>
      <c r="BV16" s="99">
        <v>1.4182259519330547</v>
      </c>
      <c r="BW16" s="99">
        <v>483.33140441878504</v>
      </c>
      <c r="BX16" s="99">
        <v>10.761536062574651</v>
      </c>
      <c r="BY16" s="99">
        <v>3667.531490125441</v>
      </c>
      <c r="BZ16" s="99">
        <v>11.464891041142211</v>
      </c>
      <c r="CA16" s="99">
        <v>3907.2348668212658</v>
      </c>
      <c r="CB16" s="99">
        <v>7.6371688429350888</v>
      </c>
      <c r="CC16" s="99">
        <v>2602.7471416722783</v>
      </c>
      <c r="CD16" s="99">
        <v>9.2052751868982448</v>
      </c>
      <c r="CE16" s="99">
        <v>3137.1577836949218</v>
      </c>
      <c r="CF16" s="99">
        <v>9</v>
      </c>
      <c r="CG16" s="99">
        <v>3067.2000000000003</v>
      </c>
      <c r="CH16" s="99">
        <v>17</v>
      </c>
      <c r="CI16" s="99">
        <v>5793.6</v>
      </c>
      <c r="CJ16" s="99">
        <v>15</v>
      </c>
      <c r="CK16" s="99">
        <v>5112</v>
      </c>
      <c r="CL16" s="99">
        <v>16.236861859970908</v>
      </c>
      <c r="CM16" s="99">
        <v>5533.5225218780861</v>
      </c>
      <c r="CN16" s="99">
        <v>2.5891392054944129</v>
      </c>
      <c r="CO16" s="99">
        <v>882.37864123249597</v>
      </c>
      <c r="CP16" s="99">
        <v>14</v>
      </c>
      <c r="CQ16" s="99">
        <v>4771.2</v>
      </c>
      <c r="CR16" s="99">
        <v>8.6455614607520452</v>
      </c>
      <c r="CS16" s="99">
        <v>2946.407345824297</v>
      </c>
      <c r="CT16" s="99">
        <v>11.245148533894939</v>
      </c>
      <c r="CU16" s="99">
        <v>3832.3466203513954</v>
      </c>
    </row>
    <row r="17" spans="2:99">
      <c r="C17" s="98" t="s">
        <v>183</v>
      </c>
      <c r="D17" s="99">
        <v>1.1488512498874281</v>
      </c>
      <c r="E17" s="99">
        <v>485.27476795244962</v>
      </c>
      <c r="F17" s="99">
        <v>1.0642772457887395</v>
      </c>
      <c r="G17" s="99">
        <v>449.55070862116355</v>
      </c>
      <c r="H17" s="99">
        <v>7.2098218810475982</v>
      </c>
      <c r="I17" s="99">
        <v>3045.4287625545053</v>
      </c>
      <c r="J17" s="99">
        <v>1.1835908383659524</v>
      </c>
      <c r="K17" s="99">
        <v>499.94877012577825</v>
      </c>
      <c r="L17" s="99">
        <v>7</v>
      </c>
      <c r="M17" s="99">
        <v>2956.7999999999997</v>
      </c>
      <c r="N17" s="99">
        <v>12</v>
      </c>
      <c r="O17" s="99">
        <v>5068.7999999999993</v>
      </c>
      <c r="P17" s="99">
        <v>8</v>
      </c>
      <c r="Q17" s="99">
        <v>3379.2</v>
      </c>
      <c r="R17" s="99">
        <v>13</v>
      </c>
      <c r="S17" s="99">
        <v>5491.2</v>
      </c>
      <c r="T17" s="99">
        <v>7</v>
      </c>
      <c r="U17" s="99">
        <v>2956.7999999999997</v>
      </c>
      <c r="V17" s="99">
        <v>7</v>
      </c>
      <c r="W17" s="99">
        <v>2956.7999999999997</v>
      </c>
      <c r="X17" s="99">
        <v>12</v>
      </c>
      <c r="Y17" s="99">
        <v>5068.7999999999993</v>
      </c>
      <c r="Z17" s="99">
        <v>8</v>
      </c>
      <c r="AA17" s="99">
        <v>3379.2</v>
      </c>
      <c r="AB17" s="99">
        <v>11</v>
      </c>
      <c r="AC17" s="99">
        <v>4646.3999999999996</v>
      </c>
      <c r="AD17" s="99">
        <v>13</v>
      </c>
      <c r="AE17" s="99">
        <v>5491.2</v>
      </c>
      <c r="AF17" s="99">
        <v>12.959160601060292</v>
      </c>
      <c r="AG17" s="99">
        <v>5473.9494378878671</v>
      </c>
      <c r="AH17" s="99">
        <v>8.0644022152063783</v>
      </c>
      <c r="AI17" s="99">
        <v>3406.403495703174</v>
      </c>
      <c r="AJ17" s="99">
        <v>9</v>
      </c>
      <c r="AK17" s="99">
        <v>3801.6</v>
      </c>
      <c r="AL17" s="99">
        <v>11.173090570150787</v>
      </c>
      <c r="AM17" s="99">
        <v>4719.5134568316926</v>
      </c>
      <c r="AN17" s="99">
        <v>10.752536286941837</v>
      </c>
      <c r="AO17" s="99">
        <v>4541.8713276042317</v>
      </c>
      <c r="AP17" s="99">
        <v>1.4161138687745471</v>
      </c>
      <c r="AQ17" s="99">
        <v>598.16649817036864</v>
      </c>
      <c r="AR17" s="99">
        <v>13</v>
      </c>
      <c r="AS17" s="99">
        <v>5491.2</v>
      </c>
      <c r="AT17" s="99">
        <v>10</v>
      </c>
      <c r="AU17" s="99">
        <v>4224</v>
      </c>
      <c r="AV17" s="99">
        <v>12</v>
      </c>
      <c r="AW17" s="99">
        <v>5068.7999999999993</v>
      </c>
      <c r="AX17" s="99">
        <v>8</v>
      </c>
      <c r="AY17" s="99">
        <v>3379.2</v>
      </c>
      <c r="AZ17" s="99">
        <v>14</v>
      </c>
      <c r="BA17" s="99">
        <v>5913.5999999999995</v>
      </c>
      <c r="BB17" s="99">
        <v>11</v>
      </c>
      <c r="BC17" s="99">
        <v>4646.3999999999996</v>
      </c>
      <c r="BD17" s="99">
        <v>13</v>
      </c>
      <c r="BE17" s="99">
        <v>5491.2</v>
      </c>
      <c r="BF17" s="99">
        <v>10</v>
      </c>
      <c r="BG17" s="99">
        <v>4224</v>
      </c>
      <c r="BH17" s="99">
        <v>8.3367011924099845</v>
      </c>
      <c r="BI17" s="99">
        <v>3521.4225836739774</v>
      </c>
      <c r="BJ17" s="99">
        <v>12.143330657950559</v>
      </c>
      <c r="BK17" s="99">
        <v>5129.342869918316</v>
      </c>
      <c r="BL17" s="99">
        <v>11.415115572249148</v>
      </c>
      <c r="BM17" s="99">
        <v>4821.7448177180395</v>
      </c>
      <c r="BN17" s="99">
        <v>10.183792137878172</v>
      </c>
      <c r="BO17" s="99">
        <v>4301.6337990397396</v>
      </c>
      <c r="BP17" s="99">
        <v>7.6132508820151577</v>
      </c>
      <c r="BQ17" s="99">
        <v>3215.8371725632023</v>
      </c>
      <c r="BR17" s="99">
        <v>9.5290214484009308</v>
      </c>
      <c r="BS17" s="99">
        <v>4025.0586598045529</v>
      </c>
      <c r="BT17" s="99">
        <v>10.407755022471127</v>
      </c>
      <c r="BU17" s="99">
        <v>4396.2357214918038</v>
      </c>
      <c r="BV17" s="99">
        <v>1.4182259519330547</v>
      </c>
      <c r="BW17" s="99">
        <v>599.05864209652225</v>
      </c>
      <c r="BX17" s="99">
        <v>12.298898357228172</v>
      </c>
      <c r="BY17" s="99">
        <v>5195.0546660931795</v>
      </c>
      <c r="BZ17" s="99">
        <v>11.507153863064229</v>
      </c>
      <c r="CA17" s="99">
        <v>4860.6217917583299</v>
      </c>
      <c r="CB17" s="99">
        <v>6.4942044229456801</v>
      </c>
      <c r="CC17" s="99">
        <v>2743.1519482522554</v>
      </c>
      <c r="CD17" s="99">
        <v>10.878961584516107</v>
      </c>
      <c r="CE17" s="99">
        <v>4595.273373299603</v>
      </c>
      <c r="CF17" s="99">
        <v>9</v>
      </c>
      <c r="CG17" s="99">
        <v>3801.6</v>
      </c>
      <c r="CH17" s="99">
        <v>16</v>
      </c>
      <c r="CI17" s="99">
        <v>6758.4</v>
      </c>
      <c r="CJ17" s="99">
        <v>15</v>
      </c>
      <c r="CK17" s="99">
        <v>6336</v>
      </c>
      <c r="CL17" s="99">
        <v>15.236861859970908</v>
      </c>
      <c r="CM17" s="99">
        <v>6436.0504496517115</v>
      </c>
      <c r="CN17" s="99">
        <v>2.9127816061812144</v>
      </c>
      <c r="CO17" s="99">
        <v>1230.3589504509448</v>
      </c>
      <c r="CP17" s="99">
        <v>14</v>
      </c>
      <c r="CQ17" s="99">
        <v>5913.5999999999995</v>
      </c>
      <c r="CR17" s="99">
        <v>7.8160030521004558</v>
      </c>
      <c r="CS17" s="99">
        <v>3301.4796892072322</v>
      </c>
      <c r="CT17" s="99">
        <v>9.8395049671580708</v>
      </c>
      <c r="CU17" s="99">
        <v>4156.2068981275688</v>
      </c>
    </row>
    <row r="18" spans="2:99">
      <c r="C18" s="98" t="s">
        <v>184</v>
      </c>
      <c r="D18" s="99">
        <v>1.1488512498874281</v>
      </c>
      <c r="E18" s="99">
        <v>749.97009592651307</v>
      </c>
      <c r="F18" s="99">
        <v>1.0642772457887395</v>
      </c>
      <c r="G18" s="99">
        <v>694.76018605088905</v>
      </c>
      <c r="H18" s="99">
        <v>5.8989451754025799</v>
      </c>
      <c r="I18" s="99">
        <v>3850.8314105028039</v>
      </c>
      <c r="J18" s="99">
        <v>1.1835908383659524</v>
      </c>
      <c r="K18" s="99">
        <v>772.6480992852936</v>
      </c>
      <c r="L18" s="99">
        <v>7</v>
      </c>
      <c r="M18" s="99">
        <v>4569.5999999999995</v>
      </c>
      <c r="N18" s="99">
        <v>12</v>
      </c>
      <c r="O18" s="99">
        <v>7833.5999999999995</v>
      </c>
      <c r="P18" s="99">
        <v>8</v>
      </c>
      <c r="Q18" s="99">
        <v>5222.3999999999996</v>
      </c>
      <c r="R18" s="99">
        <v>13</v>
      </c>
      <c r="S18" s="99">
        <v>8486.4</v>
      </c>
      <c r="T18" s="99">
        <v>7</v>
      </c>
      <c r="U18" s="99">
        <v>4569.5999999999995</v>
      </c>
      <c r="V18" s="99">
        <v>7</v>
      </c>
      <c r="W18" s="99">
        <v>4569.5999999999995</v>
      </c>
      <c r="X18" s="99">
        <v>13</v>
      </c>
      <c r="Y18" s="99">
        <v>8486.4</v>
      </c>
      <c r="Z18" s="99">
        <v>8</v>
      </c>
      <c r="AA18" s="99">
        <v>5222.3999999999996</v>
      </c>
      <c r="AB18" s="99">
        <v>13</v>
      </c>
      <c r="AC18" s="99">
        <v>8486.4</v>
      </c>
      <c r="AD18" s="99">
        <v>13</v>
      </c>
      <c r="AE18" s="99">
        <v>8486.4</v>
      </c>
      <c r="AF18" s="99">
        <v>12.033506272413128</v>
      </c>
      <c r="AG18" s="99">
        <v>7855.4728946312889</v>
      </c>
      <c r="AH18" s="99">
        <v>8.960446905784865</v>
      </c>
      <c r="AI18" s="99">
        <v>5849.3797400963595</v>
      </c>
      <c r="AJ18" s="99">
        <v>8</v>
      </c>
      <c r="AK18" s="99">
        <v>5222.3999999999996</v>
      </c>
      <c r="AL18" s="99">
        <v>10.313622064754574</v>
      </c>
      <c r="AM18" s="99">
        <v>6732.732483871785</v>
      </c>
      <c r="AN18" s="99">
        <v>11.648580977520322</v>
      </c>
      <c r="AO18" s="99">
        <v>7604.1936621252653</v>
      </c>
      <c r="AP18" s="99">
        <v>1.5577252556520018</v>
      </c>
      <c r="AQ18" s="99">
        <v>1016.8830468896267</v>
      </c>
      <c r="AR18" s="99">
        <v>13</v>
      </c>
      <c r="AS18" s="99">
        <v>8486.4</v>
      </c>
      <c r="AT18" s="99">
        <v>11</v>
      </c>
      <c r="AU18" s="99">
        <v>7180.7999999999993</v>
      </c>
      <c r="AV18" s="99">
        <v>12</v>
      </c>
      <c r="AW18" s="99">
        <v>7833.5999999999995</v>
      </c>
      <c r="AX18" s="99">
        <v>8</v>
      </c>
      <c r="AY18" s="99">
        <v>5222.3999999999996</v>
      </c>
      <c r="AZ18" s="99">
        <v>14</v>
      </c>
      <c r="BA18" s="99">
        <v>9139.1999999999989</v>
      </c>
      <c r="BB18" s="99">
        <v>11</v>
      </c>
      <c r="BC18" s="99">
        <v>7180.7999999999993</v>
      </c>
      <c r="BD18" s="99">
        <v>13</v>
      </c>
      <c r="BE18" s="99">
        <v>8486.4</v>
      </c>
      <c r="BF18" s="99">
        <v>9</v>
      </c>
      <c r="BG18" s="99">
        <v>5875.2</v>
      </c>
      <c r="BH18" s="99">
        <v>9.1703713116509835</v>
      </c>
      <c r="BI18" s="99">
        <v>5986.4183922457614</v>
      </c>
      <c r="BJ18" s="99">
        <v>13.077433016254448</v>
      </c>
      <c r="BK18" s="99">
        <v>8536.948273010903</v>
      </c>
      <c r="BL18" s="99">
        <v>11.415115572249148</v>
      </c>
      <c r="BM18" s="99">
        <v>7451.7874455642432</v>
      </c>
      <c r="BN18" s="99">
        <v>10.967160763868801</v>
      </c>
      <c r="BO18" s="99">
        <v>7159.3625466535532</v>
      </c>
      <c r="BP18" s="99">
        <v>6.7673341173468069</v>
      </c>
      <c r="BQ18" s="99">
        <v>4417.715711803995</v>
      </c>
      <c r="BR18" s="99">
        <v>9.5290214484009308</v>
      </c>
      <c r="BS18" s="99">
        <v>6220.5452015161272</v>
      </c>
      <c r="BT18" s="99">
        <v>9.6756350092124404</v>
      </c>
      <c r="BU18" s="99">
        <v>6316.2545340138804</v>
      </c>
      <c r="BV18" s="99">
        <v>1.5758066132589494</v>
      </c>
      <c r="BW18" s="99">
        <v>1028.6865571354422</v>
      </c>
      <c r="BX18" s="99">
        <v>10.761536062574651</v>
      </c>
      <c r="BY18" s="99">
        <v>7025.1307416487316</v>
      </c>
      <c r="BZ18" s="99">
        <v>12.507153863064229</v>
      </c>
      <c r="CA18" s="99">
        <v>8164.6700418083283</v>
      </c>
      <c r="CB18" s="99">
        <v>7.0496943165554677</v>
      </c>
      <c r="CC18" s="99">
        <v>4602.040449847409</v>
      </c>
      <c r="CD18" s="99">
        <v>10.042118385707177</v>
      </c>
      <c r="CE18" s="99">
        <v>6555.4948821896442</v>
      </c>
      <c r="CF18" s="99">
        <v>9</v>
      </c>
      <c r="CG18" s="99">
        <v>5875.2</v>
      </c>
      <c r="CH18" s="99">
        <v>14</v>
      </c>
      <c r="CI18" s="99">
        <v>9139.1999999999989</v>
      </c>
      <c r="CJ18" s="99">
        <v>13</v>
      </c>
      <c r="CK18" s="99">
        <v>8486.4</v>
      </c>
      <c r="CL18" s="99">
        <v>15.207254127474545</v>
      </c>
      <c r="CM18" s="99">
        <v>9927.2954944153826</v>
      </c>
      <c r="CN18" s="99">
        <v>2.5891392054944129</v>
      </c>
      <c r="CO18" s="99">
        <v>1690.1900733467526</v>
      </c>
      <c r="CP18" s="99">
        <v>14</v>
      </c>
      <c r="CQ18" s="99">
        <v>9139.1999999999989</v>
      </c>
      <c r="CR18" s="99">
        <v>8.6455614607520452</v>
      </c>
      <c r="CS18" s="99">
        <v>5643.8225215789344</v>
      </c>
      <c r="CT18" s="99">
        <v>9.8395049671580708</v>
      </c>
      <c r="CU18" s="99">
        <v>6423.2288425607885</v>
      </c>
    </row>
    <row r="19" spans="2:99">
      <c r="C19" s="98" t="s">
        <v>185</v>
      </c>
      <c r="D19" s="99">
        <v>1.1488512498874281</v>
      </c>
      <c r="E19" s="99">
        <v>379.12091246285127</v>
      </c>
      <c r="F19" s="99">
        <v>0.95784952120986555</v>
      </c>
      <c r="G19" s="99">
        <v>316.09034199925566</v>
      </c>
      <c r="H19" s="99">
        <v>7.2098218810475982</v>
      </c>
      <c r="I19" s="99">
        <v>2379.2412207457073</v>
      </c>
      <c r="J19" s="99">
        <v>1.3019499222025477</v>
      </c>
      <c r="K19" s="99">
        <v>429.64347432684076</v>
      </c>
      <c r="L19" s="99">
        <v>7</v>
      </c>
      <c r="M19" s="99">
        <v>2310</v>
      </c>
      <c r="N19" s="99">
        <v>10</v>
      </c>
      <c r="O19" s="99">
        <v>3300</v>
      </c>
      <c r="P19" s="99">
        <v>8</v>
      </c>
      <c r="Q19" s="99">
        <v>2640</v>
      </c>
      <c r="R19" s="99">
        <v>13</v>
      </c>
      <c r="S19" s="99">
        <v>4290</v>
      </c>
      <c r="T19" s="99">
        <v>8</v>
      </c>
      <c r="U19" s="99">
        <v>2640</v>
      </c>
      <c r="V19" s="99">
        <v>7</v>
      </c>
      <c r="W19" s="99">
        <v>2310</v>
      </c>
      <c r="X19" s="99">
        <v>13</v>
      </c>
      <c r="Y19" s="99">
        <v>4290</v>
      </c>
      <c r="Z19" s="99">
        <v>7</v>
      </c>
      <c r="AA19" s="99">
        <v>2310</v>
      </c>
      <c r="AB19" s="99">
        <v>11</v>
      </c>
      <c r="AC19" s="99">
        <v>3630</v>
      </c>
      <c r="AD19" s="99">
        <v>12</v>
      </c>
      <c r="AE19" s="99">
        <v>3960</v>
      </c>
      <c r="AF19" s="99">
        <v>11.107851943765963</v>
      </c>
      <c r="AG19" s="99">
        <v>3665.5911414427678</v>
      </c>
      <c r="AH19" s="99">
        <v>8.0644022152063783</v>
      </c>
      <c r="AI19" s="99">
        <v>2661.2527310181049</v>
      </c>
      <c r="AJ19" s="99">
        <v>8</v>
      </c>
      <c r="AK19" s="99">
        <v>2640</v>
      </c>
      <c r="AL19" s="99">
        <v>10.313622064754574</v>
      </c>
      <c r="AM19" s="99">
        <v>3403.4952813690093</v>
      </c>
      <c r="AN19" s="99">
        <v>10.752536286941837</v>
      </c>
      <c r="AO19" s="99">
        <v>3548.3369746908061</v>
      </c>
      <c r="AP19" s="99">
        <v>1.5577252556520018</v>
      </c>
      <c r="AQ19" s="99">
        <v>514.04933436516058</v>
      </c>
      <c r="AR19" s="99">
        <v>16</v>
      </c>
      <c r="AS19" s="99">
        <v>5280</v>
      </c>
      <c r="AT19" s="99">
        <v>10</v>
      </c>
      <c r="AU19" s="99">
        <v>3300</v>
      </c>
      <c r="AV19" s="99">
        <v>12</v>
      </c>
      <c r="AW19" s="99">
        <v>3960</v>
      </c>
      <c r="AX19" s="99">
        <v>9</v>
      </c>
      <c r="AY19" s="99">
        <v>2970</v>
      </c>
      <c r="AZ19" s="99">
        <v>15</v>
      </c>
      <c r="BA19" s="99">
        <v>4950</v>
      </c>
      <c r="BB19" s="99">
        <v>11</v>
      </c>
      <c r="BC19" s="99">
        <v>3630</v>
      </c>
      <c r="BD19" s="99">
        <v>12</v>
      </c>
      <c r="BE19" s="99">
        <v>3960</v>
      </c>
      <c r="BF19" s="99">
        <v>9</v>
      </c>
      <c r="BG19" s="99">
        <v>2970</v>
      </c>
      <c r="BH19" s="99">
        <v>9.1703713116509835</v>
      </c>
      <c r="BI19" s="99">
        <v>3026.2225328448244</v>
      </c>
      <c r="BJ19" s="99">
        <v>14.011535374558337</v>
      </c>
      <c r="BK19" s="99">
        <v>4623.806673604251</v>
      </c>
      <c r="BL19" s="99">
        <v>11.415115572249148</v>
      </c>
      <c r="BM19" s="99">
        <v>3766.9881388422186</v>
      </c>
      <c r="BN19" s="99">
        <v>10.967160763868801</v>
      </c>
      <c r="BO19" s="99">
        <v>3619.1630520767044</v>
      </c>
      <c r="BP19" s="99">
        <v>6.7673341173468069</v>
      </c>
      <c r="BQ19" s="99">
        <v>2233.2202587244465</v>
      </c>
      <c r="BR19" s="99">
        <v>8.7349363277008525</v>
      </c>
      <c r="BS19" s="99">
        <v>2882.5289881412814</v>
      </c>
      <c r="BT19" s="99">
        <v>10.423562506156081</v>
      </c>
      <c r="BU19" s="99">
        <v>3439.7756270315067</v>
      </c>
      <c r="BV19" s="99">
        <v>1.4182259519330547</v>
      </c>
      <c r="BW19" s="99">
        <v>468.01456413790805</v>
      </c>
      <c r="BX19" s="99">
        <v>11.530217209901412</v>
      </c>
      <c r="BY19" s="99">
        <v>3804.9716792674662</v>
      </c>
      <c r="BZ19" s="99">
        <v>11.507153863064229</v>
      </c>
      <c r="CA19" s="99">
        <v>3797.3607748111954</v>
      </c>
      <c r="CB19" s="99">
        <v>6.4782121065607638</v>
      </c>
      <c r="CC19" s="99">
        <v>2137.809995165052</v>
      </c>
      <c r="CD19" s="99">
        <v>10.042118385707177</v>
      </c>
      <c r="CE19" s="99">
        <v>3313.8990672833684</v>
      </c>
      <c r="CF19" s="99">
        <v>8</v>
      </c>
      <c r="CG19" s="99">
        <v>2640</v>
      </c>
      <c r="CH19" s="99">
        <v>16</v>
      </c>
      <c r="CI19" s="99">
        <v>5280</v>
      </c>
      <c r="CJ19" s="99">
        <v>12</v>
      </c>
      <c r="CK19" s="99">
        <v>3960</v>
      </c>
      <c r="CL19" s="99">
        <v>17.236861859970908</v>
      </c>
      <c r="CM19" s="99">
        <v>5688.1644137903995</v>
      </c>
      <c r="CN19" s="99">
        <v>2.5891392054944129</v>
      </c>
      <c r="CO19" s="99">
        <v>854.41593781315623</v>
      </c>
      <c r="CP19" s="99">
        <v>14</v>
      </c>
      <c r="CQ19" s="99">
        <v>4620</v>
      </c>
      <c r="CR19" s="99">
        <v>8.6455614607520452</v>
      </c>
      <c r="CS19" s="99">
        <v>2853.0352820481748</v>
      </c>
      <c r="CT19" s="99">
        <v>10.542326750526504</v>
      </c>
      <c r="CU19" s="99">
        <v>3478.9678276737463</v>
      </c>
    </row>
    <row r="20" spans="2:99">
      <c r="B20" s="98" t="s">
        <v>127</v>
      </c>
      <c r="C20" s="98" t="s">
        <v>186</v>
      </c>
      <c r="D20" s="99">
        <v>1.9147520831457137</v>
      </c>
      <c r="E20" s="99">
        <v>549.1508974461907</v>
      </c>
      <c r="F20" s="99">
        <v>2.447837665314101</v>
      </c>
      <c r="G20" s="99">
        <v>702.03984241208423</v>
      </c>
      <c r="H20" s="99">
        <v>11.142451997982651</v>
      </c>
      <c r="I20" s="99">
        <v>3195.6552330214245</v>
      </c>
      <c r="J20" s="99">
        <v>1.5386680898757381</v>
      </c>
      <c r="K20" s="99">
        <v>441.29000817636171</v>
      </c>
      <c r="L20" s="99">
        <v>12</v>
      </c>
      <c r="M20" s="99">
        <v>3441.6000000000004</v>
      </c>
      <c r="N20" s="99">
        <v>14</v>
      </c>
      <c r="O20" s="99">
        <v>4015.2000000000003</v>
      </c>
      <c r="P20" s="99">
        <v>14</v>
      </c>
      <c r="Q20" s="99">
        <v>4015.2000000000003</v>
      </c>
      <c r="R20" s="99">
        <v>15</v>
      </c>
      <c r="S20" s="99">
        <v>4302</v>
      </c>
      <c r="T20" s="99">
        <v>11</v>
      </c>
      <c r="U20" s="99">
        <v>3154.8</v>
      </c>
      <c r="V20" s="99">
        <v>15</v>
      </c>
      <c r="W20" s="99">
        <v>4302</v>
      </c>
      <c r="X20" s="99">
        <v>13</v>
      </c>
      <c r="Y20" s="99">
        <v>3728.4</v>
      </c>
      <c r="Z20" s="99">
        <v>21</v>
      </c>
      <c r="AA20" s="99">
        <v>6022.8</v>
      </c>
      <c r="AB20" s="99">
        <v>12</v>
      </c>
      <c r="AC20" s="99">
        <v>3441.6000000000004</v>
      </c>
      <c r="AD20" s="99">
        <v>15</v>
      </c>
      <c r="AE20" s="99">
        <v>4302</v>
      </c>
      <c r="AF20" s="99">
        <v>18.513086572943273</v>
      </c>
      <c r="AG20" s="99">
        <v>5309.5532291201307</v>
      </c>
      <c r="AH20" s="99">
        <v>13.440670358677297</v>
      </c>
      <c r="AI20" s="99">
        <v>3854.784258868649</v>
      </c>
      <c r="AJ20" s="99">
        <v>13</v>
      </c>
      <c r="AK20" s="99">
        <v>3728.4</v>
      </c>
      <c r="AL20" s="99">
        <v>17.18937010792429</v>
      </c>
      <c r="AM20" s="99">
        <v>4929.9113469526865</v>
      </c>
      <c r="AN20" s="99">
        <v>13.440670358677295</v>
      </c>
      <c r="AO20" s="99">
        <v>3854.7842588686485</v>
      </c>
      <c r="AP20" s="99">
        <v>2.2657821900392756</v>
      </c>
      <c r="AQ20" s="99">
        <v>649.82633210326424</v>
      </c>
      <c r="AR20" s="99">
        <v>19</v>
      </c>
      <c r="AS20" s="99">
        <v>5449.2</v>
      </c>
      <c r="AT20" s="99">
        <v>17</v>
      </c>
      <c r="AU20" s="99">
        <v>4875.6000000000004</v>
      </c>
      <c r="AV20" s="99">
        <v>23</v>
      </c>
      <c r="AW20" s="99">
        <v>6596.4000000000005</v>
      </c>
      <c r="AX20" s="99">
        <v>17</v>
      </c>
      <c r="AY20" s="99">
        <v>4875.6000000000004</v>
      </c>
      <c r="AZ20" s="99">
        <v>12</v>
      </c>
      <c r="BA20" s="99">
        <v>3441.6000000000004</v>
      </c>
      <c r="BB20" s="99">
        <v>14</v>
      </c>
      <c r="BC20" s="99">
        <v>4015.2000000000003</v>
      </c>
      <c r="BD20" s="99">
        <v>17</v>
      </c>
      <c r="BE20" s="99">
        <v>4875.6000000000004</v>
      </c>
      <c r="BF20" s="99">
        <v>17</v>
      </c>
      <c r="BG20" s="99">
        <v>4875.6000000000004</v>
      </c>
      <c r="BH20" s="99">
        <v>19.174412742542966</v>
      </c>
      <c r="BI20" s="99">
        <v>5499.221574561323</v>
      </c>
      <c r="BJ20" s="99">
        <v>13.077433016254448</v>
      </c>
      <c r="BK20" s="99">
        <v>3750.6077890617757</v>
      </c>
      <c r="BL20" s="99">
        <v>12.293201385499083</v>
      </c>
      <c r="BM20" s="99">
        <v>3525.6901573611372</v>
      </c>
      <c r="BN20" s="99">
        <v>12.533898015850056</v>
      </c>
      <c r="BO20" s="99">
        <v>3594.7219509457964</v>
      </c>
      <c r="BP20" s="99">
        <v>19.456085587372069</v>
      </c>
      <c r="BQ20" s="99">
        <v>5580.0053464583098</v>
      </c>
      <c r="BR20" s="99">
        <v>14.293532172601397</v>
      </c>
      <c r="BS20" s="99">
        <v>4099.385027102081</v>
      </c>
      <c r="BT20" s="99">
        <v>12.651537513302042</v>
      </c>
      <c r="BU20" s="99">
        <v>3628.4609588150256</v>
      </c>
      <c r="BV20" s="99">
        <v>3.4667745491696893</v>
      </c>
      <c r="BW20" s="99">
        <v>994.27094070186695</v>
      </c>
      <c r="BX20" s="99">
        <v>13.067579504554931</v>
      </c>
      <c r="BY20" s="99">
        <v>3747.7818019063543</v>
      </c>
      <c r="BZ20" s="99">
        <v>16</v>
      </c>
      <c r="CA20" s="99">
        <v>4588.8</v>
      </c>
      <c r="CB20" s="99">
        <v>10.003059264838496</v>
      </c>
      <c r="CC20" s="99">
        <v>2868.8773971556807</v>
      </c>
      <c r="CD20" s="99">
        <v>15.063177578560763</v>
      </c>
      <c r="CE20" s="99">
        <v>4320.1193295312269</v>
      </c>
      <c r="CF20" s="99">
        <v>17</v>
      </c>
      <c r="CG20" s="99">
        <v>4875.6000000000004</v>
      </c>
      <c r="CH20" s="99">
        <v>22</v>
      </c>
      <c r="CI20" s="99">
        <v>6309.6</v>
      </c>
      <c r="CJ20" s="99">
        <v>18</v>
      </c>
      <c r="CK20" s="99">
        <v>5162.4000000000005</v>
      </c>
      <c r="CL20" s="99">
        <v>23</v>
      </c>
      <c r="CM20" s="99">
        <v>6596.4000000000005</v>
      </c>
      <c r="CN20" s="99">
        <v>7.4437752157964363</v>
      </c>
      <c r="CO20" s="99">
        <v>2134.8747318904179</v>
      </c>
      <c r="CP20" s="99">
        <v>26</v>
      </c>
      <c r="CQ20" s="99">
        <v>7456.8</v>
      </c>
      <c r="CR20" s="99">
        <v>13.272934538425423</v>
      </c>
      <c r="CS20" s="99">
        <v>3806.6776256204112</v>
      </c>
      <c r="CT20" s="99">
        <v>13.353613884000238</v>
      </c>
      <c r="CU20" s="99">
        <v>3829.8164619312683</v>
      </c>
    </row>
    <row r="21" spans="2:99">
      <c r="C21" s="98" t="s">
        <v>187</v>
      </c>
      <c r="D21" s="99">
        <v>2.0424022220220945</v>
      </c>
      <c r="E21" s="99">
        <v>127.44589865417869</v>
      </c>
      <c r="F21" s="99">
        <v>2.128554491577479</v>
      </c>
      <c r="G21" s="99">
        <v>132.82180027443468</v>
      </c>
      <c r="H21" s="99">
        <v>10.487013645160143</v>
      </c>
      <c r="I21" s="99">
        <v>654.38965145799295</v>
      </c>
      <c r="J21" s="99">
        <v>1.7753862575489285</v>
      </c>
      <c r="K21" s="99">
        <v>110.78410247105313</v>
      </c>
      <c r="L21" s="99">
        <v>11</v>
      </c>
      <c r="M21" s="99">
        <v>686.4</v>
      </c>
      <c r="N21" s="99">
        <v>17</v>
      </c>
      <c r="O21" s="99">
        <v>1060.8</v>
      </c>
      <c r="P21" s="99">
        <v>15</v>
      </c>
      <c r="Q21" s="99">
        <v>936</v>
      </c>
      <c r="R21" s="99">
        <v>18</v>
      </c>
      <c r="S21" s="99">
        <v>1123.2</v>
      </c>
      <c r="T21" s="99">
        <v>12</v>
      </c>
      <c r="U21" s="99">
        <v>748.8</v>
      </c>
      <c r="V21" s="99">
        <v>14</v>
      </c>
      <c r="W21" s="99">
        <v>873.6</v>
      </c>
      <c r="X21" s="99">
        <v>12</v>
      </c>
      <c r="Y21" s="99">
        <v>748.8</v>
      </c>
      <c r="Z21" s="99">
        <v>19</v>
      </c>
      <c r="AA21" s="99">
        <v>1185.5999999999999</v>
      </c>
      <c r="AB21" s="99">
        <v>13</v>
      </c>
      <c r="AC21" s="99">
        <v>811.19999999999993</v>
      </c>
      <c r="AD21" s="99">
        <v>17</v>
      </c>
      <c r="AE21" s="99">
        <v>1060.8</v>
      </c>
      <c r="AF21" s="99">
        <v>20.364395230237601</v>
      </c>
      <c r="AG21" s="99">
        <v>1270.7382623668263</v>
      </c>
      <c r="AH21" s="99">
        <v>12.544625668098812</v>
      </c>
      <c r="AI21" s="99">
        <v>782.7846416893658</v>
      </c>
      <c r="AJ21" s="99">
        <v>12</v>
      </c>
      <c r="AK21" s="99">
        <v>748.8</v>
      </c>
      <c r="AL21" s="99">
        <v>15.47043309713186</v>
      </c>
      <c r="AM21" s="99">
        <v>965.355025261028</v>
      </c>
      <c r="AN21" s="99">
        <v>13.440670358677295</v>
      </c>
      <c r="AO21" s="99">
        <v>838.69783038146318</v>
      </c>
      <c r="AP21" s="99">
        <v>2.1241708031618209</v>
      </c>
      <c r="AQ21" s="99">
        <v>132.54825811729762</v>
      </c>
      <c r="AR21" s="99">
        <v>18</v>
      </c>
      <c r="AS21" s="99">
        <v>1123.2</v>
      </c>
      <c r="AT21" s="99">
        <v>17</v>
      </c>
      <c r="AU21" s="99">
        <v>1060.8</v>
      </c>
      <c r="AV21" s="99">
        <v>23</v>
      </c>
      <c r="AW21" s="99">
        <v>1435.2</v>
      </c>
      <c r="AX21" s="99">
        <v>18</v>
      </c>
      <c r="AY21" s="99">
        <v>1123.2</v>
      </c>
      <c r="AZ21" s="99">
        <v>13</v>
      </c>
      <c r="BA21" s="99">
        <v>811.19999999999993</v>
      </c>
      <c r="BB21" s="99">
        <v>15</v>
      </c>
      <c r="BC21" s="99">
        <v>936</v>
      </c>
      <c r="BD21" s="99">
        <v>19</v>
      </c>
      <c r="BE21" s="99">
        <v>1185.5999999999999</v>
      </c>
      <c r="BF21" s="99">
        <v>19</v>
      </c>
      <c r="BG21" s="99">
        <v>1185.5999999999999</v>
      </c>
      <c r="BH21" s="99">
        <v>19.174412742542966</v>
      </c>
      <c r="BI21" s="99">
        <v>1196.483355134681</v>
      </c>
      <c r="BJ21" s="99">
        <v>14.011535374558337</v>
      </c>
      <c r="BK21" s="99">
        <v>874.31980737244021</v>
      </c>
      <c r="BL21" s="99">
        <v>14.049373011998952</v>
      </c>
      <c r="BM21" s="99">
        <v>876.68087594873464</v>
      </c>
      <c r="BN21" s="99">
        <v>14.884003893821943</v>
      </c>
      <c r="BO21" s="99">
        <v>928.76184297448924</v>
      </c>
      <c r="BP21" s="99">
        <v>18.610168822703717</v>
      </c>
      <c r="BQ21" s="99">
        <v>1161.2745345367118</v>
      </c>
      <c r="BR21" s="99">
        <v>16.67578753470163</v>
      </c>
      <c r="BS21" s="99">
        <v>1040.5691421653817</v>
      </c>
      <c r="BT21" s="99">
        <v>12.667344996986998</v>
      </c>
      <c r="BU21" s="99">
        <v>790.44232781198866</v>
      </c>
      <c r="BV21" s="99">
        <v>3.1516132265178989</v>
      </c>
      <c r="BW21" s="99">
        <v>196.6606653347169</v>
      </c>
      <c r="BX21" s="99">
        <v>11.530217209901412</v>
      </c>
      <c r="BY21" s="99">
        <v>719.48555389784815</v>
      </c>
      <c r="BZ21" s="99">
        <v>15</v>
      </c>
      <c r="CA21" s="99">
        <v>936</v>
      </c>
      <c r="CB21" s="99">
        <v>11.130031368442989</v>
      </c>
      <c r="CC21" s="99">
        <v>694.51395739084251</v>
      </c>
      <c r="CD21" s="99">
        <v>15.900020777369695</v>
      </c>
      <c r="CE21" s="99">
        <v>992.161296507869</v>
      </c>
      <c r="CF21" s="99">
        <v>16</v>
      </c>
      <c r="CG21" s="99">
        <v>998.4</v>
      </c>
      <c r="CH21" s="99">
        <v>23</v>
      </c>
      <c r="CI21" s="99">
        <v>1435.2</v>
      </c>
      <c r="CJ21" s="99">
        <v>18</v>
      </c>
      <c r="CK21" s="99">
        <v>1123.2</v>
      </c>
      <c r="CL21" s="99">
        <v>26</v>
      </c>
      <c r="CM21" s="99">
        <v>1622.3999999999999</v>
      </c>
      <c r="CN21" s="99">
        <v>7.7674176164832396</v>
      </c>
      <c r="CO21" s="99">
        <v>484.68685926855414</v>
      </c>
      <c r="CP21" s="99">
        <v>25</v>
      </c>
      <c r="CQ21" s="99">
        <v>1560</v>
      </c>
      <c r="CR21" s="99">
        <v>10.784259312470656</v>
      </c>
      <c r="CS21" s="99">
        <v>672.9377810981689</v>
      </c>
      <c r="CT21" s="99">
        <v>14.759257450737106</v>
      </c>
      <c r="CU21" s="99">
        <v>920.97766492599544</v>
      </c>
    </row>
    <row r="22" spans="2:99">
      <c r="C22" s="98" t="s">
        <v>188</v>
      </c>
      <c r="D22" s="99">
        <v>2.0424022220220945</v>
      </c>
      <c r="E22" s="99">
        <v>382.33769596253609</v>
      </c>
      <c r="F22" s="99">
        <v>2.2349822161563528</v>
      </c>
      <c r="G22" s="99">
        <v>418.38867086446925</v>
      </c>
      <c r="H22" s="99">
        <v>11.142451997982651</v>
      </c>
      <c r="I22" s="99">
        <v>2085.8670140223521</v>
      </c>
      <c r="J22" s="99">
        <v>1.8937453413855239</v>
      </c>
      <c r="K22" s="99">
        <v>354.50912790737004</v>
      </c>
      <c r="L22" s="99">
        <v>12</v>
      </c>
      <c r="M22" s="99">
        <v>2246.3999999999996</v>
      </c>
      <c r="N22" s="99">
        <v>16</v>
      </c>
      <c r="O22" s="99">
        <v>2995.2</v>
      </c>
      <c r="P22" s="99">
        <v>17</v>
      </c>
      <c r="Q22" s="99">
        <v>3182.3999999999996</v>
      </c>
      <c r="R22" s="99">
        <v>15</v>
      </c>
      <c r="S22" s="99">
        <v>2808</v>
      </c>
      <c r="T22" s="99">
        <v>12</v>
      </c>
      <c r="U22" s="99">
        <v>2246.3999999999996</v>
      </c>
      <c r="V22" s="99">
        <v>13</v>
      </c>
      <c r="W22" s="99">
        <v>2433.6</v>
      </c>
      <c r="X22" s="99">
        <v>12</v>
      </c>
      <c r="Y22" s="99">
        <v>2246.3999999999996</v>
      </c>
      <c r="Z22" s="99">
        <v>22</v>
      </c>
      <c r="AA22" s="99">
        <v>4118.3999999999996</v>
      </c>
      <c r="AB22" s="99">
        <v>13</v>
      </c>
      <c r="AC22" s="99">
        <v>2433.6</v>
      </c>
      <c r="AD22" s="99">
        <v>14</v>
      </c>
      <c r="AE22" s="99">
        <v>2620.7999999999997</v>
      </c>
      <c r="AF22" s="99">
        <v>20.364395230237601</v>
      </c>
      <c r="AG22" s="99">
        <v>3812.2147871004786</v>
      </c>
      <c r="AH22" s="99">
        <v>14.336715049255783</v>
      </c>
      <c r="AI22" s="99">
        <v>2683.8330572206823</v>
      </c>
      <c r="AJ22" s="99">
        <v>12</v>
      </c>
      <c r="AK22" s="99">
        <v>2246.3999999999996</v>
      </c>
      <c r="AL22" s="99">
        <v>15.47043309713186</v>
      </c>
      <c r="AM22" s="99">
        <v>2896.065075783084</v>
      </c>
      <c r="AN22" s="99">
        <v>12.54462566809881</v>
      </c>
      <c r="AO22" s="99">
        <v>2348.3539250680969</v>
      </c>
      <c r="AP22" s="99">
        <v>2.4073935769167303</v>
      </c>
      <c r="AQ22" s="99">
        <v>450.6640775988119</v>
      </c>
      <c r="AR22" s="99">
        <v>19</v>
      </c>
      <c r="AS22" s="99">
        <v>3556.7999999999997</v>
      </c>
      <c r="AT22" s="99">
        <v>17</v>
      </c>
      <c r="AU22" s="99">
        <v>3182.3999999999996</v>
      </c>
      <c r="AV22" s="99">
        <v>20</v>
      </c>
      <c r="AW22" s="99">
        <v>3744</v>
      </c>
      <c r="AX22" s="99">
        <v>18</v>
      </c>
      <c r="AY22" s="99">
        <v>3369.6</v>
      </c>
      <c r="AZ22" s="99">
        <v>13</v>
      </c>
      <c r="BA22" s="99">
        <v>2433.6</v>
      </c>
      <c r="BB22" s="99">
        <v>14</v>
      </c>
      <c r="BC22" s="99">
        <v>2620.7999999999997</v>
      </c>
      <c r="BD22" s="99">
        <v>18</v>
      </c>
      <c r="BE22" s="99">
        <v>3369.6</v>
      </c>
      <c r="BF22" s="99">
        <v>18</v>
      </c>
      <c r="BG22" s="99">
        <v>3369.6</v>
      </c>
      <c r="BH22" s="99">
        <v>20.008082861783961</v>
      </c>
      <c r="BI22" s="99">
        <v>3745.5131117259575</v>
      </c>
      <c r="BJ22" s="99">
        <v>13.077433016254448</v>
      </c>
      <c r="BK22" s="99">
        <v>2448.0954606428327</v>
      </c>
      <c r="BL22" s="99">
        <v>14.049373011998952</v>
      </c>
      <c r="BM22" s="99">
        <v>2630.0426278462037</v>
      </c>
      <c r="BN22" s="99">
        <v>13.317266641840687</v>
      </c>
      <c r="BO22" s="99">
        <v>2492.9923153525765</v>
      </c>
      <c r="BP22" s="99">
        <v>16.918335293367015</v>
      </c>
      <c r="BQ22" s="99">
        <v>3167.1123669183048</v>
      </c>
      <c r="BR22" s="99">
        <v>15.881702414001552</v>
      </c>
      <c r="BS22" s="99">
        <v>2973.0546919010903</v>
      </c>
      <c r="BT22" s="99">
        <v>11.935224983728313</v>
      </c>
      <c r="BU22" s="99">
        <v>2234.2741169539399</v>
      </c>
      <c r="BV22" s="99">
        <v>3.6243552104955841</v>
      </c>
      <c r="BW22" s="99">
        <v>678.47929540477332</v>
      </c>
      <c r="BX22" s="99">
        <v>10.761536062574651</v>
      </c>
      <c r="BY22" s="99">
        <v>2014.5595509139746</v>
      </c>
      <c r="BZ22" s="99">
        <v>18</v>
      </c>
      <c r="CA22" s="99">
        <v>3369.6</v>
      </c>
      <c r="CB22" s="99">
        <v>10.035043897608331</v>
      </c>
      <c r="CC22" s="99">
        <v>1878.5602176322793</v>
      </c>
      <c r="CD22" s="99">
        <v>17.573707174987558</v>
      </c>
      <c r="CE22" s="99">
        <v>3289.7979831576704</v>
      </c>
      <c r="CF22" s="99">
        <v>15</v>
      </c>
      <c r="CG22" s="99">
        <v>2808</v>
      </c>
      <c r="CH22" s="99">
        <v>22</v>
      </c>
      <c r="CI22" s="99">
        <v>4118.3999999999996</v>
      </c>
      <c r="CJ22" s="99">
        <v>19</v>
      </c>
      <c r="CK22" s="99">
        <v>3556.7999999999997</v>
      </c>
      <c r="CL22" s="99">
        <v>23</v>
      </c>
      <c r="CM22" s="99">
        <v>4305.5999999999995</v>
      </c>
      <c r="CN22" s="99">
        <v>7.7674176164832396</v>
      </c>
      <c r="CO22" s="99">
        <v>1454.0605778056624</v>
      </c>
      <c r="CP22" s="99">
        <v>26</v>
      </c>
      <c r="CQ22" s="99">
        <v>4867.2</v>
      </c>
      <c r="CR22" s="99">
        <v>12.443376129773835</v>
      </c>
      <c r="CS22" s="99">
        <v>2329.4000114936616</v>
      </c>
      <c r="CT22" s="99">
        <v>14.056435667368671</v>
      </c>
      <c r="CU22" s="99">
        <v>2631.3647569314148</v>
      </c>
    </row>
    <row r="23" spans="2:99">
      <c r="C23" s="98" t="s">
        <v>189</v>
      </c>
      <c r="D23" s="99">
        <v>2.0424022220220945</v>
      </c>
      <c r="E23" s="99">
        <v>600.46625327449578</v>
      </c>
      <c r="F23" s="99">
        <v>2.0221267669986052</v>
      </c>
      <c r="G23" s="99">
        <v>594.50526949758989</v>
      </c>
      <c r="H23" s="99">
        <v>9.8315752923376341</v>
      </c>
      <c r="I23" s="99">
        <v>2890.4831359472646</v>
      </c>
      <c r="J23" s="99">
        <v>1.6570271737123334</v>
      </c>
      <c r="K23" s="99">
        <v>487.16598907142605</v>
      </c>
      <c r="L23" s="99">
        <v>11</v>
      </c>
      <c r="M23" s="99">
        <v>3234</v>
      </c>
      <c r="N23" s="99">
        <v>16</v>
      </c>
      <c r="O23" s="99">
        <v>4704</v>
      </c>
      <c r="P23" s="99">
        <v>16</v>
      </c>
      <c r="Q23" s="99">
        <v>4704</v>
      </c>
      <c r="R23" s="99">
        <v>16</v>
      </c>
      <c r="S23" s="99">
        <v>4704</v>
      </c>
      <c r="T23" s="99">
        <v>11</v>
      </c>
      <c r="U23" s="99">
        <v>3234</v>
      </c>
      <c r="V23" s="99">
        <v>14</v>
      </c>
      <c r="W23" s="99">
        <v>4116</v>
      </c>
      <c r="X23" s="99">
        <v>13</v>
      </c>
      <c r="Y23" s="99">
        <v>3822</v>
      </c>
      <c r="Z23" s="99">
        <v>19</v>
      </c>
      <c r="AA23" s="99">
        <v>5586</v>
      </c>
      <c r="AB23" s="99">
        <v>13</v>
      </c>
      <c r="AC23" s="99">
        <v>3822</v>
      </c>
      <c r="AD23" s="99">
        <v>17</v>
      </c>
      <c r="AE23" s="99">
        <v>4998</v>
      </c>
      <c r="AF23" s="99">
        <v>20.364395230237601</v>
      </c>
      <c r="AG23" s="99">
        <v>5987.1321976898553</v>
      </c>
      <c r="AH23" s="99">
        <v>12.544625668098812</v>
      </c>
      <c r="AI23" s="99">
        <v>3688.1199464210508</v>
      </c>
      <c r="AJ23" s="99">
        <v>13</v>
      </c>
      <c r="AK23" s="99">
        <v>3822</v>
      </c>
      <c r="AL23" s="99">
        <v>15.47043309713186</v>
      </c>
      <c r="AM23" s="99">
        <v>4548.3073305567668</v>
      </c>
      <c r="AN23" s="99">
        <v>11.648580977520322</v>
      </c>
      <c r="AO23" s="99">
        <v>3424.6828073909746</v>
      </c>
      <c r="AP23" s="99">
        <v>2.2657821900392756</v>
      </c>
      <c r="AQ23" s="99">
        <v>666.13996387154702</v>
      </c>
      <c r="AR23" s="99">
        <v>21</v>
      </c>
      <c r="AS23" s="99">
        <v>6174</v>
      </c>
      <c r="AT23" s="99">
        <v>19</v>
      </c>
      <c r="AU23" s="99">
        <v>5586</v>
      </c>
      <c r="AV23" s="99">
        <v>21</v>
      </c>
      <c r="AW23" s="99">
        <v>6174</v>
      </c>
      <c r="AX23" s="99">
        <v>17</v>
      </c>
      <c r="AY23" s="99">
        <v>4998</v>
      </c>
      <c r="AZ23" s="99">
        <v>14</v>
      </c>
      <c r="BA23" s="99">
        <v>4116</v>
      </c>
      <c r="BB23" s="99">
        <v>14</v>
      </c>
      <c r="BC23" s="99">
        <v>4116</v>
      </c>
      <c r="BD23" s="99">
        <v>17</v>
      </c>
      <c r="BE23" s="99">
        <v>4998</v>
      </c>
      <c r="BF23" s="99">
        <v>18</v>
      </c>
      <c r="BG23" s="99">
        <v>5292</v>
      </c>
      <c r="BH23" s="99">
        <v>19.174412742542966</v>
      </c>
      <c r="BI23" s="99">
        <v>5637.2773463076319</v>
      </c>
      <c r="BJ23" s="99">
        <v>12.143330657950559</v>
      </c>
      <c r="BK23" s="99">
        <v>3570.1392134374642</v>
      </c>
      <c r="BL23" s="99">
        <v>14.049373011998952</v>
      </c>
      <c r="BM23" s="99">
        <v>4130.5156655276924</v>
      </c>
      <c r="BN23" s="99">
        <v>14.100635267831315</v>
      </c>
      <c r="BO23" s="99">
        <v>4145.586768742407</v>
      </c>
      <c r="BP23" s="99">
        <v>17.764252058035368</v>
      </c>
      <c r="BQ23" s="99">
        <v>5222.6901050623983</v>
      </c>
      <c r="BR23" s="99">
        <v>16.67578753470163</v>
      </c>
      <c r="BS23" s="99">
        <v>4902.6815352022795</v>
      </c>
      <c r="BT23" s="99">
        <v>10.455177473525987</v>
      </c>
      <c r="BU23" s="99">
        <v>3073.8221772166403</v>
      </c>
      <c r="BV23" s="99">
        <v>3.4667745491696893</v>
      </c>
      <c r="BW23" s="99">
        <v>1019.2317174558887</v>
      </c>
      <c r="BX23" s="99">
        <v>11.530217209901412</v>
      </c>
      <c r="BY23" s="99">
        <v>3389.8838597110152</v>
      </c>
      <c r="BZ23" s="99">
        <v>18</v>
      </c>
      <c r="CA23" s="99">
        <v>5292</v>
      </c>
      <c r="CB23" s="99">
        <v>10.035043897608331</v>
      </c>
      <c r="CC23" s="99">
        <v>2950.3029058968491</v>
      </c>
      <c r="CD23" s="99">
        <v>16.736863976178626</v>
      </c>
      <c r="CE23" s="99">
        <v>4920.638008996516</v>
      </c>
      <c r="CF23" s="99">
        <v>16</v>
      </c>
      <c r="CG23" s="99">
        <v>4704</v>
      </c>
      <c r="CH23" s="99">
        <v>24</v>
      </c>
      <c r="CI23" s="99">
        <v>7056</v>
      </c>
      <c r="CJ23" s="99">
        <v>18</v>
      </c>
      <c r="CK23" s="99">
        <v>5292</v>
      </c>
      <c r="CL23" s="99">
        <v>24</v>
      </c>
      <c r="CM23" s="99">
        <v>7056</v>
      </c>
      <c r="CN23" s="99">
        <v>7.1201328151096357</v>
      </c>
      <c r="CO23" s="99">
        <v>2093.3190476422328</v>
      </c>
      <c r="CP23" s="99">
        <v>26</v>
      </c>
      <c r="CQ23" s="99">
        <v>7644</v>
      </c>
      <c r="CR23" s="99">
        <v>10.784259312470656</v>
      </c>
      <c r="CS23" s="99">
        <v>3170.5722378663727</v>
      </c>
      <c r="CT23" s="99">
        <v>13.353613884000238</v>
      </c>
      <c r="CU23" s="99">
        <v>3925.9624818960697</v>
      </c>
    </row>
    <row r="24" spans="2:99">
      <c r="C24" s="98" t="s">
        <v>190</v>
      </c>
      <c r="D24" s="99">
        <v>1.9147520831457137</v>
      </c>
      <c r="E24" s="99">
        <v>703.09696493110607</v>
      </c>
      <c r="F24" s="99">
        <v>2.128554491577479</v>
      </c>
      <c r="G24" s="99">
        <v>781.60520930725022</v>
      </c>
      <c r="H24" s="99">
        <v>11.142451997982651</v>
      </c>
      <c r="I24" s="99">
        <v>4091.5083736592292</v>
      </c>
      <c r="J24" s="99">
        <v>1.6570271737123334</v>
      </c>
      <c r="K24" s="99">
        <v>608.46037818716877</v>
      </c>
      <c r="L24" s="99">
        <v>10</v>
      </c>
      <c r="M24" s="99">
        <v>3672</v>
      </c>
      <c r="N24" s="99">
        <v>16</v>
      </c>
      <c r="O24" s="99">
        <v>5875.2</v>
      </c>
      <c r="P24" s="99">
        <v>16</v>
      </c>
      <c r="Q24" s="99">
        <v>5875.2</v>
      </c>
      <c r="R24" s="99">
        <v>16</v>
      </c>
      <c r="S24" s="99">
        <v>5875.2</v>
      </c>
      <c r="T24" s="99">
        <v>13</v>
      </c>
      <c r="U24" s="99">
        <v>4773.5999999999995</v>
      </c>
      <c r="V24" s="99">
        <v>15</v>
      </c>
      <c r="W24" s="99">
        <v>5508</v>
      </c>
      <c r="X24" s="99">
        <v>11</v>
      </c>
      <c r="Y24" s="99">
        <v>4039.2</v>
      </c>
      <c r="Z24" s="99">
        <v>19</v>
      </c>
      <c r="AA24" s="99">
        <v>6976.8</v>
      </c>
      <c r="AB24" s="99">
        <v>13</v>
      </c>
      <c r="AC24" s="99">
        <v>4773.5999999999995</v>
      </c>
      <c r="AD24" s="99">
        <v>15</v>
      </c>
      <c r="AE24" s="99">
        <v>5508</v>
      </c>
      <c r="AF24" s="99">
        <v>18.513086572943273</v>
      </c>
      <c r="AG24" s="99">
        <v>6798.0053895847695</v>
      </c>
      <c r="AH24" s="99">
        <v>14.336715049255783</v>
      </c>
      <c r="AI24" s="99">
        <v>5264.4417660867239</v>
      </c>
      <c r="AJ24" s="99">
        <v>12</v>
      </c>
      <c r="AK24" s="99">
        <v>4406.3999999999996</v>
      </c>
      <c r="AL24" s="99">
        <v>17.18937010792429</v>
      </c>
      <c r="AM24" s="99">
        <v>6311.936703629799</v>
      </c>
      <c r="AN24" s="99">
        <v>13.440670358677295</v>
      </c>
      <c r="AO24" s="99">
        <v>4935.4141557063022</v>
      </c>
      <c r="AP24" s="99">
        <v>2.2657821900392756</v>
      </c>
      <c r="AQ24" s="99">
        <v>831.99522018242203</v>
      </c>
      <c r="AR24" s="99">
        <v>19</v>
      </c>
      <c r="AS24" s="99">
        <v>6976.8</v>
      </c>
      <c r="AT24" s="99">
        <v>18</v>
      </c>
      <c r="AU24" s="99">
        <v>6609.5999999999995</v>
      </c>
      <c r="AV24" s="99">
        <v>22</v>
      </c>
      <c r="AW24" s="99">
        <v>8078.4</v>
      </c>
      <c r="AX24" s="99">
        <v>19</v>
      </c>
      <c r="AY24" s="99">
        <v>6976.8</v>
      </c>
      <c r="AZ24" s="99">
        <v>13</v>
      </c>
      <c r="BA24" s="99">
        <v>4773.5999999999995</v>
      </c>
      <c r="BB24" s="99">
        <v>14</v>
      </c>
      <c r="BC24" s="99">
        <v>5140.8</v>
      </c>
      <c r="BD24" s="99">
        <v>18</v>
      </c>
      <c r="BE24" s="99">
        <v>6609.5999999999995</v>
      </c>
      <c r="BF24" s="99">
        <v>20</v>
      </c>
      <c r="BG24" s="99">
        <v>7344</v>
      </c>
      <c r="BH24" s="99">
        <v>18.340742623301967</v>
      </c>
      <c r="BI24" s="99">
        <v>6734.7206912764823</v>
      </c>
      <c r="BJ24" s="99">
        <v>12.143330657950559</v>
      </c>
      <c r="BK24" s="99">
        <v>4459.0310175994446</v>
      </c>
      <c r="BL24" s="99">
        <v>14.049373011998952</v>
      </c>
      <c r="BM24" s="99">
        <v>5158.9297700060151</v>
      </c>
      <c r="BN24" s="99">
        <v>14.100635267831315</v>
      </c>
      <c r="BO24" s="99">
        <v>5177.7532703476591</v>
      </c>
      <c r="BP24" s="99">
        <v>18.610168822703717</v>
      </c>
      <c r="BQ24" s="99">
        <v>6833.653991696805</v>
      </c>
      <c r="BR24" s="99">
        <v>15.881702414001552</v>
      </c>
      <c r="BS24" s="99">
        <v>5831.7611264213701</v>
      </c>
      <c r="BT24" s="99">
        <v>11.203104970469628</v>
      </c>
      <c r="BU24" s="99">
        <v>4113.7801451564474</v>
      </c>
      <c r="BV24" s="99">
        <v>2.9940325651920041</v>
      </c>
      <c r="BW24" s="99">
        <v>1099.4087579385039</v>
      </c>
      <c r="BX24" s="99">
        <v>11.530217209901412</v>
      </c>
      <c r="BY24" s="99">
        <v>4233.8957594757985</v>
      </c>
      <c r="BZ24" s="99">
        <v>16.845256438440384</v>
      </c>
      <c r="CA24" s="99">
        <v>6185.578164195309</v>
      </c>
      <c r="CB24" s="99">
        <v>11.178008317597742</v>
      </c>
      <c r="CC24" s="99">
        <v>4104.564654221891</v>
      </c>
      <c r="CD24" s="99">
        <v>15.900020777369695</v>
      </c>
      <c r="CE24" s="99">
        <v>5838.4876294501519</v>
      </c>
      <c r="CF24" s="99">
        <v>14</v>
      </c>
      <c r="CG24" s="99">
        <v>5140.8</v>
      </c>
      <c r="CH24" s="99">
        <v>25</v>
      </c>
      <c r="CI24" s="99">
        <v>9180</v>
      </c>
      <c r="CJ24" s="99">
        <v>17</v>
      </c>
      <c r="CK24" s="99">
        <v>6242.4</v>
      </c>
      <c r="CL24" s="99">
        <v>26</v>
      </c>
      <c r="CM24" s="99">
        <v>9547.1999999999989</v>
      </c>
      <c r="CN24" s="99">
        <v>7.4437752157964363</v>
      </c>
      <c r="CO24" s="99">
        <v>2733.3542592404515</v>
      </c>
      <c r="CP24" s="99">
        <v>23</v>
      </c>
      <c r="CQ24" s="99">
        <v>8445.6</v>
      </c>
      <c r="CR24" s="99">
        <v>11.613817721122246</v>
      </c>
      <c r="CS24" s="99">
        <v>4264.5938671960885</v>
      </c>
      <c r="CT24" s="99">
        <v>13.353613884000238</v>
      </c>
      <c r="CU24" s="99">
        <v>4903.4470182048872</v>
      </c>
    </row>
    <row r="25" spans="2:99">
      <c r="C25" s="98" t="s">
        <v>191</v>
      </c>
      <c r="D25" s="99">
        <v>2.0424022220220945</v>
      </c>
      <c r="E25" s="99">
        <v>1083.2901385605189</v>
      </c>
      <c r="F25" s="99">
        <v>2.128554491577479</v>
      </c>
      <c r="G25" s="99">
        <v>1128.9853023326948</v>
      </c>
      <c r="H25" s="99">
        <v>10.487013645160143</v>
      </c>
      <c r="I25" s="99">
        <v>5562.3120373929396</v>
      </c>
      <c r="J25" s="99">
        <v>1.6570271737123334</v>
      </c>
      <c r="K25" s="99">
        <v>878.88721293702167</v>
      </c>
      <c r="L25" s="99">
        <v>12</v>
      </c>
      <c r="M25" s="99">
        <v>6364.7999999999993</v>
      </c>
      <c r="N25" s="99">
        <v>17</v>
      </c>
      <c r="O25" s="99">
        <v>9016.7999999999993</v>
      </c>
      <c r="P25" s="99">
        <v>14</v>
      </c>
      <c r="Q25" s="99">
        <v>7425.5999999999995</v>
      </c>
      <c r="R25" s="99">
        <v>16</v>
      </c>
      <c r="S25" s="99">
        <v>8486.4</v>
      </c>
      <c r="T25" s="99">
        <v>12</v>
      </c>
      <c r="U25" s="99">
        <v>6364.7999999999993</v>
      </c>
      <c r="V25" s="99">
        <v>14</v>
      </c>
      <c r="W25" s="99">
        <v>7425.5999999999995</v>
      </c>
      <c r="X25" s="99">
        <v>12</v>
      </c>
      <c r="Y25" s="99">
        <v>6364.7999999999993</v>
      </c>
      <c r="Z25" s="99">
        <v>18</v>
      </c>
      <c r="AA25" s="99">
        <v>9547.1999999999989</v>
      </c>
      <c r="AB25" s="99">
        <v>13</v>
      </c>
      <c r="AC25" s="99">
        <v>6895.2</v>
      </c>
      <c r="AD25" s="99">
        <v>15</v>
      </c>
      <c r="AE25" s="99">
        <v>7956</v>
      </c>
      <c r="AF25" s="99">
        <v>18.513086572943273</v>
      </c>
      <c r="AG25" s="99">
        <v>9819.3411182891123</v>
      </c>
      <c r="AH25" s="99">
        <v>12.544625668098812</v>
      </c>
      <c r="AI25" s="99">
        <v>6653.6694543596095</v>
      </c>
      <c r="AJ25" s="99">
        <v>13</v>
      </c>
      <c r="AK25" s="99">
        <v>6895.2</v>
      </c>
      <c r="AL25" s="99">
        <v>15.47043309713186</v>
      </c>
      <c r="AM25" s="99">
        <v>8205.5177147187387</v>
      </c>
      <c r="AN25" s="99">
        <v>12.54462566809881</v>
      </c>
      <c r="AO25" s="99">
        <v>6653.6694543596086</v>
      </c>
      <c r="AP25" s="99">
        <v>2.2657821900392756</v>
      </c>
      <c r="AQ25" s="99">
        <v>1201.7708735968317</v>
      </c>
      <c r="AR25" s="99">
        <v>18</v>
      </c>
      <c r="AS25" s="99">
        <v>9547.1999999999989</v>
      </c>
      <c r="AT25" s="99">
        <v>16</v>
      </c>
      <c r="AU25" s="99">
        <v>8486.4</v>
      </c>
      <c r="AV25" s="99">
        <v>22</v>
      </c>
      <c r="AW25" s="99">
        <v>11668.8</v>
      </c>
      <c r="AX25" s="99">
        <v>18</v>
      </c>
      <c r="AY25" s="99">
        <v>9547.1999999999989</v>
      </c>
      <c r="AZ25" s="99">
        <v>12</v>
      </c>
      <c r="BA25" s="99">
        <v>6364.7999999999993</v>
      </c>
      <c r="BB25" s="99">
        <v>14</v>
      </c>
      <c r="BC25" s="99">
        <v>7425.5999999999995</v>
      </c>
      <c r="BD25" s="99">
        <v>16</v>
      </c>
      <c r="BE25" s="99">
        <v>8486.4</v>
      </c>
      <c r="BF25" s="99">
        <v>19</v>
      </c>
      <c r="BG25" s="99">
        <v>10077.6</v>
      </c>
      <c r="BH25" s="99">
        <v>19.174412742542966</v>
      </c>
      <c r="BI25" s="99">
        <v>10170.108518644789</v>
      </c>
      <c r="BJ25" s="99">
        <v>14.011535374558337</v>
      </c>
      <c r="BK25" s="99">
        <v>7431.7183626657416</v>
      </c>
      <c r="BL25" s="99">
        <v>11.415115572249148</v>
      </c>
      <c r="BM25" s="99">
        <v>6054.5772995209481</v>
      </c>
      <c r="BN25" s="99">
        <v>14.884003893821943</v>
      </c>
      <c r="BO25" s="99">
        <v>7894.4756652831584</v>
      </c>
      <c r="BP25" s="99">
        <v>16.072418528698666</v>
      </c>
      <c r="BQ25" s="99">
        <v>8524.8107876217728</v>
      </c>
      <c r="BR25" s="99">
        <v>15.087617293301475</v>
      </c>
      <c r="BS25" s="99">
        <v>8002.4722123671017</v>
      </c>
      <c r="BT25" s="99">
        <v>11.903610016358403</v>
      </c>
      <c r="BU25" s="99">
        <v>6313.6747526764966</v>
      </c>
      <c r="BV25" s="99">
        <v>3.1516132265178989</v>
      </c>
      <c r="BW25" s="99">
        <v>1671.6156553450935</v>
      </c>
      <c r="BX25" s="99">
        <v>11.530217209901412</v>
      </c>
      <c r="BY25" s="99">
        <v>6115.6272081317084</v>
      </c>
      <c r="BZ25" s="99">
        <v>14</v>
      </c>
      <c r="CA25" s="99">
        <v>7425.5999999999995</v>
      </c>
      <c r="CB25" s="99">
        <v>10.286679779904684</v>
      </c>
      <c r="CC25" s="99">
        <v>5456.0549552614439</v>
      </c>
      <c r="CD25" s="99">
        <v>15.063177578560763</v>
      </c>
      <c r="CE25" s="99">
        <v>7989.5093876686287</v>
      </c>
      <c r="CF25" s="99">
        <v>15</v>
      </c>
      <c r="CG25" s="99">
        <v>7956</v>
      </c>
      <c r="CH25" s="99">
        <v>24</v>
      </c>
      <c r="CI25" s="99">
        <v>12729.599999999999</v>
      </c>
      <c r="CJ25" s="99">
        <v>18</v>
      </c>
      <c r="CK25" s="99">
        <v>9547.1999999999989</v>
      </c>
      <c r="CL25" s="99">
        <v>23</v>
      </c>
      <c r="CM25" s="99">
        <v>12199.199999999999</v>
      </c>
      <c r="CN25" s="99">
        <v>7.1201328151096357</v>
      </c>
      <c r="CO25" s="99">
        <v>3776.5184451341506</v>
      </c>
      <c r="CP25" s="99">
        <v>22</v>
      </c>
      <c r="CQ25" s="99">
        <v>11668.8</v>
      </c>
      <c r="CR25" s="99">
        <v>12.443376129773835</v>
      </c>
      <c r="CS25" s="99">
        <v>6599.9666992320417</v>
      </c>
      <c r="CT25" s="99">
        <v>14.056435667368671</v>
      </c>
      <c r="CU25" s="99">
        <v>7455.5334779723426</v>
      </c>
    </row>
    <row r="26" spans="2:99">
      <c r="C26" s="98" t="s">
        <v>192</v>
      </c>
      <c r="D26" s="99">
        <v>2.1700523608984752</v>
      </c>
      <c r="E26" s="99">
        <v>1054.6454473966589</v>
      </c>
      <c r="F26" s="99">
        <v>2.128554491577479</v>
      </c>
      <c r="G26" s="99">
        <v>1034.4774829066548</v>
      </c>
      <c r="H26" s="99">
        <v>11.142451997982651</v>
      </c>
      <c r="I26" s="99">
        <v>5415.2316710195682</v>
      </c>
      <c r="J26" s="99">
        <v>1.7753862575489285</v>
      </c>
      <c r="K26" s="99">
        <v>862.83772116877924</v>
      </c>
      <c r="L26" s="99">
        <v>11</v>
      </c>
      <c r="M26" s="99">
        <v>5346</v>
      </c>
      <c r="N26" s="99">
        <v>16</v>
      </c>
      <c r="O26" s="99">
        <v>7776</v>
      </c>
      <c r="P26" s="99">
        <v>14</v>
      </c>
      <c r="Q26" s="99">
        <v>6804</v>
      </c>
      <c r="R26" s="99">
        <v>17</v>
      </c>
      <c r="S26" s="99">
        <v>8262</v>
      </c>
      <c r="T26" s="99">
        <v>12</v>
      </c>
      <c r="U26" s="99">
        <v>5832</v>
      </c>
      <c r="V26" s="99">
        <v>14</v>
      </c>
      <c r="W26" s="99">
        <v>6804</v>
      </c>
      <c r="X26" s="99">
        <v>14</v>
      </c>
      <c r="Y26" s="99">
        <v>6804</v>
      </c>
      <c r="Z26" s="99">
        <v>20</v>
      </c>
      <c r="AA26" s="99">
        <v>9720</v>
      </c>
      <c r="AB26" s="99">
        <v>13</v>
      </c>
      <c r="AC26" s="99">
        <v>6318</v>
      </c>
      <c r="AD26" s="99">
        <v>16</v>
      </c>
      <c r="AE26" s="99">
        <v>7776</v>
      </c>
      <c r="AF26" s="99">
        <v>21.290049558884764</v>
      </c>
      <c r="AG26" s="99">
        <v>10346.964085617996</v>
      </c>
      <c r="AH26" s="99">
        <v>14.336715049255783</v>
      </c>
      <c r="AI26" s="99">
        <v>6967.6435139383111</v>
      </c>
      <c r="AJ26" s="99">
        <v>11</v>
      </c>
      <c r="AK26" s="99">
        <v>5346</v>
      </c>
      <c r="AL26" s="99">
        <v>15.47043309713186</v>
      </c>
      <c r="AM26" s="99">
        <v>7518.6304852060839</v>
      </c>
      <c r="AN26" s="99">
        <v>12.54462566809881</v>
      </c>
      <c r="AO26" s="99">
        <v>6096.6880746960214</v>
      </c>
      <c r="AP26" s="99">
        <v>2.549004963794185</v>
      </c>
      <c r="AQ26" s="99">
        <v>1238.8164124039738</v>
      </c>
      <c r="AR26" s="99">
        <v>22</v>
      </c>
      <c r="AS26" s="99">
        <v>10692</v>
      </c>
      <c r="AT26" s="99">
        <v>17</v>
      </c>
      <c r="AU26" s="99">
        <v>8262</v>
      </c>
      <c r="AV26" s="99">
        <v>21</v>
      </c>
      <c r="AW26" s="99">
        <v>10206</v>
      </c>
      <c r="AX26" s="99">
        <v>18</v>
      </c>
      <c r="AY26" s="99">
        <v>8748</v>
      </c>
      <c r="AZ26" s="99">
        <v>14</v>
      </c>
      <c r="BA26" s="99">
        <v>6804</v>
      </c>
      <c r="BB26" s="99">
        <v>15</v>
      </c>
      <c r="BC26" s="99">
        <v>7290</v>
      </c>
      <c r="BD26" s="99">
        <v>17</v>
      </c>
      <c r="BE26" s="99">
        <v>8262</v>
      </c>
      <c r="BF26" s="99">
        <v>17</v>
      </c>
      <c r="BG26" s="99">
        <v>8262</v>
      </c>
      <c r="BH26" s="99">
        <v>19.174412742542966</v>
      </c>
      <c r="BI26" s="99">
        <v>9318.7645928758811</v>
      </c>
      <c r="BJ26" s="99">
        <v>12.143330657950559</v>
      </c>
      <c r="BK26" s="99">
        <v>5901.6586997639715</v>
      </c>
      <c r="BL26" s="99">
        <v>13.171287198749017</v>
      </c>
      <c r="BM26" s="99">
        <v>6401.245578592022</v>
      </c>
      <c r="BN26" s="99">
        <v>13.317266641840687</v>
      </c>
      <c r="BO26" s="99">
        <v>6472.1915879345743</v>
      </c>
      <c r="BP26" s="99">
        <v>18.610168822703717</v>
      </c>
      <c r="BQ26" s="99">
        <v>9044.5420478340056</v>
      </c>
      <c r="BR26" s="99">
        <v>16.67578753470163</v>
      </c>
      <c r="BS26" s="99">
        <v>8104.4327418649918</v>
      </c>
      <c r="BT26" s="99">
        <v>11.935224983728313</v>
      </c>
      <c r="BU26" s="99">
        <v>5800.5193420919604</v>
      </c>
      <c r="BV26" s="99">
        <v>3.4667745491696893</v>
      </c>
      <c r="BW26" s="99">
        <v>1684.8524308964691</v>
      </c>
      <c r="BX26" s="99">
        <v>13.067579504554931</v>
      </c>
      <c r="BY26" s="99">
        <v>6350.8436392136964</v>
      </c>
      <c r="BZ26" s="99">
        <v>17</v>
      </c>
      <c r="CA26" s="99">
        <v>8262</v>
      </c>
      <c r="CB26" s="99">
        <v>10.019051581223415</v>
      </c>
      <c r="CC26" s="99">
        <v>4869.2590684745801</v>
      </c>
      <c r="CD26" s="99">
        <v>16.736863976178626</v>
      </c>
      <c r="CE26" s="99">
        <v>8134.1158924228121</v>
      </c>
      <c r="CF26" s="99">
        <v>15</v>
      </c>
      <c r="CG26" s="99">
        <v>7290</v>
      </c>
      <c r="CH26" s="99">
        <v>21</v>
      </c>
      <c r="CI26" s="99">
        <v>10206</v>
      </c>
      <c r="CJ26" s="99">
        <v>18</v>
      </c>
      <c r="CK26" s="99">
        <v>8748</v>
      </c>
      <c r="CL26" s="99">
        <v>26</v>
      </c>
      <c r="CM26" s="99">
        <v>12636</v>
      </c>
      <c r="CN26" s="99">
        <v>6.7964904144228342</v>
      </c>
      <c r="CO26" s="99">
        <v>3303.0943414094972</v>
      </c>
      <c r="CP26" s="99">
        <v>23</v>
      </c>
      <c r="CQ26" s="99">
        <v>11178</v>
      </c>
      <c r="CR26" s="99">
        <v>10.784259312470656</v>
      </c>
      <c r="CS26" s="99">
        <v>5241.1500258607384</v>
      </c>
      <c r="CT26" s="99">
        <v>11.947970317263371</v>
      </c>
      <c r="CU26" s="99">
        <v>5806.7135741899983</v>
      </c>
    </row>
    <row r="27" spans="2:99">
      <c r="C27" s="98" t="s">
        <v>193</v>
      </c>
      <c r="D27" s="99">
        <v>1.9147520831457137</v>
      </c>
      <c r="E27" s="99">
        <v>817.98208991984882</v>
      </c>
      <c r="F27" s="99">
        <v>2.128554491577479</v>
      </c>
      <c r="G27" s="99">
        <v>909.318478801899</v>
      </c>
      <c r="H27" s="99">
        <v>11.142451997982651</v>
      </c>
      <c r="I27" s="99">
        <v>4760.0554935381879</v>
      </c>
      <c r="J27" s="99">
        <v>1.8937453413855239</v>
      </c>
      <c r="K27" s="99">
        <v>809.00800983989575</v>
      </c>
      <c r="L27" s="99">
        <v>11</v>
      </c>
      <c r="M27" s="99">
        <v>4699.2</v>
      </c>
      <c r="N27" s="99">
        <v>15</v>
      </c>
      <c r="O27" s="99">
        <v>6408</v>
      </c>
      <c r="P27" s="99">
        <v>15</v>
      </c>
      <c r="Q27" s="99">
        <v>6408</v>
      </c>
      <c r="R27" s="99">
        <v>17</v>
      </c>
      <c r="S27" s="99">
        <v>7262.4</v>
      </c>
      <c r="T27" s="99">
        <v>13</v>
      </c>
      <c r="U27" s="99">
        <v>5553.5999999999995</v>
      </c>
      <c r="V27" s="99">
        <v>13</v>
      </c>
      <c r="W27" s="99">
        <v>5553.5999999999995</v>
      </c>
      <c r="X27" s="99">
        <v>13</v>
      </c>
      <c r="Y27" s="99">
        <v>5553.5999999999995</v>
      </c>
      <c r="Z27" s="99">
        <v>20</v>
      </c>
      <c r="AA27" s="99">
        <v>8544</v>
      </c>
      <c r="AB27" s="99">
        <v>12</v>
      </c>
      <c r="AC27" s="99">
        <v>5126.3999999999996</v>
      </c>
      <c r="AD27" s="99">
        <v>16</v>
      </c>
      <c r="AE27" s="99">
        <v>6835.2</v>
      </c>
      <c r="AF27" s="99">
        <v>19.438740901590439</v>
      </c>
      <c r="AG27" s="99">
        <v>8304.2301131594359</v>
      </c>
      <c r="AH27" s="99">
        <v>13.440670358677297</v>
      </c>
      <c r="AI27" s="99">
        <v>5741.8543772269413</v>
      </c>
      <c r="AJ27" s="99">
        <v>13</v>
      </c>
      <c r="AK27" s="99">
        <v>5553.5999999999995</v>
      </c>
      <c r="AL27" s="99">
        <v>14.610964591735646</v>
      </c>
      <c r="AM27" s="99">
        <v>6241.8040735894683</v>
      </c>
      <c r="AN27" s="99">
        <v>11.648580977520322</v>
      </c>
      <c r="AO27" s="99">
        <v>4976.2737935966816</v>
      </c>
      <c r="AP27" s="99">
        <v>2.2657821900392756</v>
      </c>
      <c r="AQ27" s="99">
        <v>967.94215158477857</v>
      </c>
      <c r="AR27" s="99">
        <v>21</v>
      </c>
      <c r="AS27" s="99">
        <v>8971.1999999999989</v>
      </c>
      <c r="AT27" s="99">
        <v>18</v>
      </c>
      <c r="AU27" s="99">
        <v>7689.5999999999995</v>
      </c>
      <c r="AV27" s="99">
        <v>21</v>
      </c>
      <c r="AW27" s="99">
        <v>8971.1999999999989</v>
      </c>
      <c r="AX27" s="99">
        <v>18</v>
      </c>
      <c r="AY27" s="99">
        <v>7689.5999999999995</v>
      </c>
      <c r="AZ27" s="99">
        <v>12</v>
      </c>
      <c r="BA27" s="99">
        <v>5126.3999999999996</v>
      </c>
      <c r="BB27" s="99">
        <v>14</v>
      </c>
      <c r="BC27" s="99">
        <v>5980.8</v>
      </c>
      <c r="BD27" s="99">
        <v>16</v>
      </c>
      <c r="BE27" s="99">
        <v>6835.2</v>
      </c>
      <c r="BF27" s="99">
        <v>20</v>
      </c>
      <c r="BG27" s="99">
        <v>8544</v>
      </c>
      <c r="BH27" s="99">
        <v>19.174412742542966</v>
      </c>
      <c r="BI27" s="99">
        <v>8191.3091236143546</v>
      </c>
      <c r="BJ27" s="99">
        <v>14.011535374558337</v>
      </c>
      <c r="BK27" s="99">
        <v>5985.7279120113217</v>
      </c>
      <c r="BL27" s="99">
        <v>12.293201385499083</v>
      </c>
      <c r="BM27" s="99">
        <v>5251.6556318852081</v>
      </c>
      <c r="BN27" s="99">
        <v>14.884003893821943</v>
      </c>
      <c r="BO27" s="99">
        <v>6358.4464634407341</v>
      </c>
      <c r="BP27" s="99">
        <v>18.610168822703717</v>
      </c>
      <c r="BQ27" s="99">
        <v>7950.2641210590273</v>
      </c>
      <c r="BR27" s="99">
        <v>15.087617293301475</v>
      </c>
      <c r="BS27" s="99">
        <v>6445.4301076983902</v>
      </c>
      <c r="BT27" s="99">
        <v>10.486792440895897</v>
      </c>
      <c r="BU27" s="99">
        <v>4479.957730750727</v>
      </c>
      <c r="BV27" s="99">
        <v>3.6243552104955841</v>
      </c>
      <c r="BW27" s="99">
        <v>1548.3245459237135</v>
      </c>
      <c r="BX27" s="99">
        <v>10.761536062574651</v>
      </c>
      <c r="BY27" s="99">
        <v>4597.3282059318908</v>
      </c>
      <c r="BZ27" s="99">
        <v>18.887519260362403</v>
      </c>
      <c r="CA27" s="99">
        <v>8068.7482280268187</v>
      </c>
      <c r="CB27" s="99">
        <v>10.003059264838496</v>
      </c>
      <c r="CC27" s="99">
        <v>4273.3069179390059</v>
      </c>
      <c r="CD27" s="99">
        <v>15.900020777369695</v>
      </c>
      <c r="CE27" s="99">
        <v>6792.4888760923341</v>
      </c>
      <c r="CF27" s="99">
        <v>15</v>
      </c>
      <c r="CG27" s="99">
        <v>6408</v>
      </c>
      <c r="CH27" s="99">
        <v>24</v>
      </c>
      <c r="CI27" s="99">
        <v>10252.799999999999</v>
      </c>
      <c r="CJ27" s="99">
        <v>20</v>
      </c>
      <c r="CK27" s="99">
        <v>8544</v>
      </c>
      <c r="CL27" s="99">
        <v>24</v>
      </c>
      <c r="CM27" s="99">
        <v>10252.799999999999</v>
      </c>
      <c r="CN27" s="99">
        <v>7.1201328151096357</v>
      </c>
      <c r="CO27" s="99">
        <v>3041.7207386148361</v>
      </c>
      <c r="CP27" s="99">
        <v>25</v>
      </c>
      <c r="CQ27" s="99">
        <v>10680</v>
      </c>
      <c r="CR27" s="99">
        <v>12.443376129773835</v>
      </c>
      <c r="CS27" s="99">
        <v>5315.8102826393824</v>
      </c>
      <c r="CT27" s="99">
        <v>11.947970317263371</v>
      </c>
      <c r="CU27" s="99">
        <v>5104.1729195349117</v>
      </c>
    </row>
    <row r="28" spans="2:99">
      <c r="C28" s="98" t="s">
        <v>194</v>
      </c>
      <c r="D28" s="99">
        <v>2.0424022220220945</v>
      </c>
      <c r="E28" s="99">
        <v>1507.2928398523059</v>
      </c>
      <c r="F28" s="99">
        <v>2.2349822161563528</v>
      </c>
      <c r="G28" s="99">
        <v>1649.4168755233884</v>
      </c>
      <c r="H28" s="99">
        <v>10.487013645160143</v>
      </c>
      <c r="I28" s="99">
        <v>7739.4160701281853</v>
      </c>
      <c r="J28" s="99">
        <v>1.8937453413855239</v>
      </c>
      <c r="K28" s="99">
        <v>1397.5840619425167</v>
      </c>
      <c r="L28" s="99">
        <v>10</v>
      </c>
      <c r="M28" s="99">
        <v>7380</v>
      </c>
      <c r="N28" s="99">
        <v>15</v>
      </c>
      <c r="O28" s="99">
        <v>11070</v>
      </c>
      <c r="P28" s="99">
        <v>15</v>
      </c>
      <c r="Q28" s="99">
        <v>11070</v>
      </c>
      <c r="R28" s="99">
        <v>16</v>
      </c>
      <c r="S28" s="99">
        <v>11808</v>
      </c>
      <c r="T28" s="99">
        <v>11</v>
      </c>
      <c r="U28" s="99">
        <v>8118</v>
      </c>
      <c r="V28" s="99">
        <v>13</v>
      </c>
      <c r="W28" s="99">
        <v>9594</v>
      </c>
      <c r="X28" s="99">
        <v>13</v>
      </c>
      <c r="Y28" s="99">
        <v>9594</v>
      </c>
      <c r="Z28" s="99">
        <v>18</v>
      </c>
      <c r="AA28" s="99">
        <v>13284</v>
      </c>
      <c r="AB28" s="99">
        <v>12</v>
      </c>
      <c r="AC28" s="99">
        <v>8856</v>
      </c>
      <c r="AD28" s="99">
        <v>16</v>
      </c>
      <c r="AE28" s="99">
        <v>11808</v>
      </c>
      <c r="AF28" s="99">
        <v>20.364395230237601</v>
      </c>
      <c r="AG28" s="99">
        <v>15028.92367991535</v>
      </c>
      <c r="AH28" s="99">
        <v>13.440670358677297</v>
      </c>
      <c r="AI28" s="99">
        <v>9919.2147247038447</v>
      </c>
      <c r="AJ28" s="99">
        <v>13</v>
      </c>
      <c r="AK28" s="99">
        <v>9594</v>
      </c>
      <c r="AL28" s="99">
        <v>14.610964591735646</v>
      </c>
      <c r="AM28" s="99">
        <v>10782.891868700906</v>
      </c>
      <c r="AN28" s="99">
        <v>11.648580977520322</v>
      </c>
      <c r="AO28" s="99">
        <v>8596.6527614099978</v>
      </c>
      <c r="AP28" s="99">
        <v>2.4073935769167303</v>
      </c>
      <c r="AQ28" s="99">
        <v>1776.656459764547</v>
      </c>
      <c r="AR28" s="99">
        <v>19</v>
      </c>
      <c r="AS28" s="99">
        <v>14022</v>
      </c>
      <c r="AT28" s="99">
        <v>19</v>
      </c>
      <c r="AU28" s="99">
        <v>14022</v>
      </c>
      <c r="AV28" s="99">
        <v>22</v>
      </c>
      <c r="AW28" s="99">
        <v>16236</v>
      </c>
      <c r="AX28" s="99">
        <v>18</v>
      </c>
      <c r="AY28" s="99">
        <v>13284</v>
      </c>
      <c r="AZ28" s="99">
        <v>13</v>
      </c>
      <c r="BA28" s="99">
        <v>9594</v>
      </c>
      <c r="BB28" s="99">
        <v>14</v>
      </c>
      <c r="BC28" s="99">
        <v>10332</v>
      </c>
      <c r="BD28" s="99">
        <v>17</v>
      </c>
      <c r="BE28" s="99">
        <v>12546</v>
      </c>
      <c r="BF28" s="99">
        <v>19</v>
      </c>
      <c r="BG28" s="99">
        <v>14022</v>
      </c>
      <c r="BH28" s="99">
        <v>17.507072504060968</v>
      </c>
      <c r="BI28" s="99">
        <v>12920.219507996995</v>
      </c>
      <c r="BJ28" s="99">
        <v>13.077433016254448</v>
      </c>
      <c r="BK28" s="99">
        <v>9651.1455659957828</v>
      </c>
      <c r="BL28" s="99">
        <v>12.293201385499083</v>
      </c>
      <c r="BM28" s="99">
        <v>9072.3826224983241</v>
      </c>
      <c r="BN28" s="99">
        <v>14.100635267831315</v>
      </c>
      <c r="BO28" s="99">
        <v>10406.268827659511</v>
      </c>
      <c r="BP28" s="99">
        <v>17.764252058035368</v>
      </c>
      <c r="BQ28" s="99">
        <v>13110.018018830102</v>
      </c>
      <c r="BR28" s="99">
        <v>15.881702414001552</v>
      </c>
      <c r="BS28" s="99">
        <v>11720.696381533146</v>
      </c>
      <c r="BT28" s="99">
        <v>11.21891245415458</v>
      </c>
      <c r="BU28" s="99">
        <v>8279.5573911660795</v>
      </c>
      <c r="BV28" s="99">
        <v>3.1516132265178989</v>
      </c>
      <c r="BW28" s="99">
        <v>2325.8905611702094</v>
      </c>
      <c r="BX28" s="99">
        <v>12.298898357228172</v>
      </c>
      <c r="BY28" s="99">
        <v>9076.5869876343913</v>
      </c>
      <c r="BZ28" s="99">
        <v>16</v>
      </c>
      <c r="CA28" s="99">
        <v>11808</v>
      </c>
      <c r="CB28" s="99">
        <v>10.606526107603036</v>
      </c>
      <c r="CC28" s="99">
        <v>7827.616267411041</v>
      </c>
      <c r="CD28" s="99">
        <v>14.226334379751833</v>
      </c>
      <c r="CE28" s="99">
        <v>10499.034772256853</v>
      </c>
      <c r="CF28" s="99">
        <v>16</v>
      </c>
      <c r="CG28" s="99">
        <v>11808</v>
      </c>
      <c r="CH28" s="99">
        <v>23</v>
      </c>
      <c r="CI28" s="99">
        <v>16974</v>
      </c>
      <c r="CJ28" s="99">
        <v>20</v>
      </c>
      <c r="CK28" s="99">
        <v>14760</v>
      </c>
      <c r="CL28" s="99">
        <v>24</v>
      </c>
      <c r="CM28" s="99">
        <v>17712</v>
      </c>
      <c r="CN28" s="99">
        <v>6.7964904144228342</v>
      </c>
      <c r="CO28" s="99">
        <v>5015.8099258440516</v>
      </c>
      <c r="CP28" s="99">
        <v>21</v>
      </c>
      <c r="CQ28" s="99">
        <v>15498</v>
      </c>
      <c r="CR28" s="99">
        <v>12.443376129773835</v>
      </c>
      <c r="CS28" s="99">
        <v>9183.2115837730908</v>
      </c>
      <c r="CT28" s="99">
        <v>13.353613884000238</v>
      </c>
      <c r="CU28" s="99">
        <v>9854.9670463921757</v>
      </c>
    </row>
    <row r="29" spans="2:99">
      <c r="C29" s="98" t="s">
        <v>195</v>
      </c>
      <c r="D29" s="99">
        <v>1.9147520831457137</v>
      </c>
      <c r="E29" s="99">
        <v>647.9521049365095</v>
      </c>
      <c r="F29" s="99">
        <v>2.0221267669986052</v>
      </c>
      <c r="G29" s="99">
        <v>684.2876979523279</v>
      </c>
      <c r="H29" s="99">
        <v>10.487013645160143</v>
      </c>
      <c r="I29" s="99">
        <v>3548.8054175221923</v>
      </c>
      <c r="J29" s="99">
        <v>1.6570271737123334</v>
      </c>
      <c r="K29" s="99">
        <v>560.73799558425355</v>
      </c>
      <c r="L29" s="99">
        <v>11</v>
      </c>
      <c r="M29" s="99">
        <v>3722.3999999999996</v>
      </c>
      <c r="N29" s="99">
        <v>14</v>
      </c>
      <c r="O29" s="99">
        <v>4737.5999999999995</v>
      </c>
      <c r="P29" s="99">
        <v>15</v>
      </c>
      <c r="Q29" s="99">
        <v>5076</v>
      </c>
      <c r="R29" s="99">
        <v>15</v>
      </c>
      <c r="S29" s="99">
        <v>5076</v>
      </c>
      <c r="T29" s="99">
        <v>13</v>
      </c>
      <c r="U29" s="99">
        <v>4399.2</v>
      </c>
      <c r="V29" s="99">
        <v>13</v>
      </c>
      <c r="W29" s="99">
        <v>4399.2</v>
      </c>
      <c r="X29" s="99">
        <v>13</v>
      </c>
      <c r="Y29" s="99">
        <v>4399.2</v>
      </c>
      <c r="Z29" s="99">
        <v>19</v>
      </c>
      <c r="AA29" s="99">
        <v>6429.5999999999995</v>
      </c>
      <c r="AB29" s="99">
        <v>12</v>
      </c>
      <c r="AC29" s="99">
        <v>4060.7999999999997</v>
      </c>
      <c r="AD29" s="99">
        <v>16</v>
      </c>
      <c r="AE29" s="99">
        <v>5414.4</v>
      </c>
      <c r="AF29" s="99">
        <v>18.513086572943273</v>
      </c>
      <c r="AG29" s="99">
        <v>6264.8284962840034</v>
      </c>
      <c r="AH29" s="99">
        <v>13.440670358677297</v>
      </c>
      <c r="AI29" s="99">
        <v>4548.3228493763972</v>
      </c>
      <c r="AJ29" s="99">
        <v>12</v>
      </c>
      <c r="AK29" s="99">
        <v>4060.7999999999997</v>
      </c>
      <c r="AL29" s="99">
        <v>16.329901602528075</v>
      </c>
      <c r="AM29" s="99">
        <v>5526.0387022955001</v>
      </c>
      <c r="AN29" s="99">
        <v>12.54462566809881</v>
      </c>
      <c r="AO29" s="99">
        <v>4245.1013260846366</v>
      </c>
      <c r="AP29" s="99">
        <v>2.4073935769167303</v>
      </c>
      <c r="AQ29" s="99">
        <v>814.6619864286215</v>
      </c>
      <c r="AR29" s="99">
        <v>20</v>
      </c>
      <c r="AS29" s="99">
        <v>6768</v>
      </c>
      <c r="AT29" s="99">
        <v>18</v>
      </c>
      <c r="AU29" s="99">
        <v>6091.2</v>
      </c>
      <c r="AV29" s="99">
        <v>20</v>
      </c>
      <c r="AW29" s="99">
        <v>6768</v>
      </c>
      <c r="AX29" s="99">
        <v>17</v>
      </c>
      <c r="AY29" s="99">
        <v>5752.7999999999993</v>
      </c>
      <c r="AZ29" s="99">
        <v>13</v>
      </c>
      <c r="BA29" s="99">
        <v>4399.2</v>
      </c>
      <c r="BB29" s="99">
        <v>15</v>
      </c>
      <c r="BC29" s="99">
        <v>5076</v>
      </c>
      <c r="BD29" s="99">
        <v>19</v>
      </c>
      <c r="BE29" s="99">
        <v>6429.5999999999995</v>
      </c>
      <c r="BF29" s="99">
        <v>20</v>
      </c>
      <c r="BG29" s="99">
        <v>6768</v>
      </c>
      <c r="BH29" s="99">
        <v>19.174412742542966</v>
      </c>
      <c r="BI29" s="99">
        <v>6488.6212720765388</v>
      </c>
      <c r="BJ29" s="99">
        <v>12.143330657950559</v>
      </c>
      <c r="BK29" s="99">
        <v>4109.3030946504687</v>
      </c>
      <c r="BL29" s="99">
        <v>13.171287198749017</v>
      </c>
      <c r="BM29" s="99">
        <v>4457.1635880566673</v>
      </c>
      <c r="BN29" s="99">
        <v>14.100635267831315</v>
      </c>
      <c r="BO29" s="99">
        <v>4771.654974634117</v>
      </c>
      <c r="BP29" s="99">
        <v>18.610168822703717</v>
      </c>
      <c r="BQ29" s="99">
        <v>6297.6811296029373</v>
      </c>
      <c r="BR29" s="99">
        <v>16.67578753470163</v>
      </c>
      <c r="BS29" s="99">
        <v>5643.0865017430315</v>
      </c>
      <c r="BT29" s="99">
        <v>11.935224983728313</v>
      </c>
      <c r="BU29" s="99">
        <v>4038.880134493661</v>
      </c>
      <c r="BV29" s="99">
        <v>3.6243552104955841</v>
      </c>
      <c r="BW29" s="99">
        <v>1226.4818032317055</v>
      </c>
      <c r="BX29" s="99">
        <v>12.298898357228172</v>
      </c>
      <c r="BY29" s="99">
        <v>4161.9472040860128</v>
      </c>
      <c r="BZ29" s="99">
        <v>16</v>
      </c>
      <c r="CA29" s="99">
        <v>5414.4</v>
      </c>
      <c r="CB29" s="99">
        <v>10.858161989899388</v>
      </c>
      <c r="CC29" s="99">
        <v>3674.4020173819526</v>
      </c>
      <c r="CD29" s="99">
        <v>14.226334379751833</v>
      </c>
      <c r="CE29" s="99">
        <v>4814.1915541080198</v>
      </c>
      <c r="CF29" s="99">
        <v>16</v>
      </c>
      <c r="CG29" s="99">
        <v>5414.4</v>
      </c>
      <c r="CH29" s="99">
        <v>22</v>
      </c>
      <c r="CI29" s="99">
        <v>7444.7999999999993</v>
      </c>
      <c r="CJ29" s="99">
        <v>20</v>
      </c>
      <c r="CK29" s="99">
        <v>6768</v>
      </c>
      <c r="CL29" s="99">
        <v>24</v>
      </c>
      <c r="CM29" s="99">
        <v>8121.5999999999995</v>
      </c>
      <c r="CN29" s="99">
        <v>6.7964904144228342</v>
      </c>
      <c r="CO29" s="99">
        <v>2299.9323562406871</v>
      </c>
      <c r="CP29" s="99">
        <v>23</v>
      </c>
      <c r="CQ29" s="99">
        <v>7783.2</v>
      </c>
      <c r="CR29" s="99">
        <v>11.613817721122246</v>
      </c>
      <c r="CS29" s="99">
        <v>3930.1159168277677</v>
      </c>
      <c r="CT29" s="99">
        <v>12.650792100631806</v>
      </c>
      <c r="CU29" s="99">
        <v>4281.0280468538031</v>
      </c>
    </row>
    <row r="30" spans="2:99">
      <c r="C30" s="98" t="s">
        <v>196</v>
      </c>
      <c r="D30" s="99">
        <v>1.9147520831457137</v>
      </c>
      <c r="E30" s="99">
        <v>266.53348997388332</v>
      </c>
      <c r="F30" s="99">
        <v>2.2349822161563528</v>
      </c>
      <c r="G30" s="99">
        <v>311.10952448896427</v>
      </c>
      <c r="H30" s="99">
        <v>11.79789035080516</v>
      </c>
      <c r="I30" s="99">
        <v>1642.2663368320782</v>
      </c>
      <c r="J30" s="99">
        <v>1.8937453413855239</v>
      </c>
      <c r="K30" s="99">
        <v>263.60935152086489</v>
      </c>
      <c r="L30" s="99">
        <v>11</v>
      </c>
      <c r="M30" s="99">
        <v>1531.1999999999998</v>
      </c>
      <c r="N30" s="99">
        <v>14</v>
      </c>
      <c r="O30" s="99">
        <v>1948.7999999999997</v>
      </c>
      <c r="P30" s="99">
        <v>14</v>
      </c>
      <c r="Q30" s="99">
        <v>1948.7999999999997</v>
      </c>
      <c r="R30" s="99">
        <v>16</v>
      </c>
      <c r="S30" s="99">
        <v>2227.1999999999998</v>
      </c>
      <c r="T30" s="99">
        <v>12</v>
      </c>
      <c r="U30" s="99">
        <v>1670.3999999999999</v>
      </c>
      <c r="V30" s="99">
        <v>15</v>
      </c>
      <c r="W30" s="99">
        <v>2088</v>
      </c>
      <c r="X30" s="99">
        <v>13</v>
      </c>
      <c r="Y30" s="99">
        <v>1809.6</v>
      </c>
      <c r="Z30" s="99">
        <v>20</v>
      </c>
      <c r="AA30" s="99">
        <v>2784</v>
      </c>
      <c r="AB30" s="99">
        <v>12</v>
      </c>
      <c r="AC30" s="99">
        <v>1670.3999999999999</v>
      </c>
      <c r="AD30" s="99">
        <v>15</v>
      </c>
      <c r="AE30" s="99">
        <v>2088</v>
      </c>
      <c r="AF30" s="99">
        <v>19.438740901590439</v>
      </c>
      <c r="AG30" s="99">
        <v>2705.8727335013887</v>
      </c>
      <c r="AH30" s="99">
        <v>13.440670358677297</v>
      </c>
      <c r="AI30" s="99">
        <v>1870.9413139278795</v>
      </c>
      <c r="AJ30" s="99">
        <v>12</v>
      </c>
      <c r="AK30" s="99">
        <v>1670.3999999999999</v>
      </c>
      <c r="AL30" s="99">
        <v>16.329901602528075</v>
      </c>
      <c r="AM30" s="99">
        <v>2273.1223030719079</v>
      </c>
      <c r="AN30" s="99">
        <v>12.54462566809881</v>
      </c>
      <c r="AO30" s="99">
        <v>1746.2118929993542</v>
      </c>
      <c r="AP30" s="99">
        <v>2.4073935769167303</v>
      </c>
      <c r="AQ30" s="99">
        <v>335.10918590680882</v>
      </c>
      <c r="AR30" s="99">
        <v>20</v>
      </c>
      <c r="AS30" s="99">
        <v>2784</v>
      </c>
      <c r="AT30" s="99">
        <v>19</v>
      </c>
      <c r="AU30" s="99">
        <v>2644.7999999999997</v>
      </c>
      <c r="AV30" s="99">
        <v>20</v>
      </c>
      <c r="AW30" s="99">
        <v>2784</v>
      </c>
      <c r="AX30" s="99">
        <v>17</v>
      </c>
      <c r="AY30" s="99">
        <v>2366.3999999999996</v>
      </c>
      <c r="AZ30" s="99">
        <v>12</v>
      </c>
      <c r="BA30" s="99">
        <v>1670.3999999999999</v>
      </c>
      <c r="BB30" s="99">
        <v>14</v>
      </c>
      <c r="BC30" s="99">
        <v>1948.7999999999997</v>
      </c>
      <c r="BD30" s="99">
        <v>19</v>
      </c>
      <c r="BE30" s="99">
        <v>2644.7999999999997</v>
      </c>
      <c r="BF30" s="99">
        <v>19</v>
      </c>
      <c r="BG30" s="99">
        <v>2644.7999999999997</v>
      </c>
      <c r="BH30" s="99">
        <v>18.340742623301967</v>
      </c>
      <c r="BI30" s="99">
        <v>2553.0313731636338</v>
      </c>
      <c r="BJ30" s="99">
        <v>13.077433016254448</v>
      </c>
      <c r="BK30" s="99">
        <v>1820.378675862619</v>
      </c>
      <c r="BL30" s="99">
        <v>12.293201385499083</v>
      </c>
      <c r="BM30" s="99">
        <v>1711.2136328614722</v>
      </c>
      <c r="BN30" s="99">
        <v>14.100635267831315</v>
      </c>
      <c r="BO30" s="99">
        <v>1962.8084292821188</v>
      </c>
      <c r="BP30" s="99">
        <v>17.764252058035368</v>
      </c>
      <c r="BQ30" s="99">
        <v>2472.7838864785231</v>
      </c>
      <c r="BR30" s="99">
        <v>14.293532172601397</v>
      </c>
      <c r="BS30" s="99">
        <v>1989.6596784261144</v>
      </c>
      <c r="BT30" s="99">
        <v>11.919417500043357</v>
      </c>
      <c r="BU30" s="99">
        <v>1659.1829160060352</v>
      </c>
      <c r="BV30" s="99">
        <v>3.1516132265178989</v>
      </c>
      <c r="BW30" s="99">
        <v>438.70456113129148</v>
      </c>
      <c r="BX30" s="99">
        <v>11.530217209901412</v>
      </c>
      <c r="BY30" s="99">
        <v>1605.0062356182764</v>
      </c>
      <c r="BZ30" s="99">
        <v>17</v>
      </c>
      <c r="CA30" s="99">
        <v>2366.3999999999996</v>
      </c>
      <c r="CB30" s="99">
        <v>10.5745414748332</v>
      </c>
      <c r="CC30" s="99">
        <v>1471.9761732967813</v>
      </c>
      <c r="CD30" s="99">
        <v>15.900020777369695</v>
      </c>
      <c r="CE30" s="99">
        <v>2213.2828922098615</v>
      </c>
      <c r="CF30" s="99">
        <v>17</v>
      </c>
      <c r="CG30" s="99">
        <v>2366.3999999999996</v>
      </c>
      <c r="CH30" s="99">
        <v>24</v>
      </c>
      <c r="CI30" s="99">
        <v>3340.7999999999997</v>
      </c>
      <c r="CJ30" s="99">
        <v>21</v>
      </c>
      <c r="CK30" s="99">
        <v>2923.2</v>
      </c>
      <c r="CL30" s="99">
        <v>24</v>
      </c>
      <c r="CM30" s="99">
        <v>3340.7999999999997</v>
      </c>
      <c r="CN30" s="99">
        <v>7.7674176164832396</v>
      </c>
      <c r="CO30" s="99">
        <v>1081.2245322144668</v>
      </c>
      <c r="CP30" s="99">
        <v>26</v>
      </c>
      <c r="CQ30" s="99">
        <v>3619.2</v>
      </c>
      <c r="CR30" s="99">
        <v>12.443376129773835</v>
      </c>
      <c r="CS30" s="99">
        <v>1732.1179572645176</v>
      </c>
      <c r="CT30" s="99">
        <v>12.650792100631806</v>
      </c>
      <c r="CU30" s="99">
        <v>1760.9902604079473</v>
      </c>
    </row>
    <row r="31" spans="2:99">
      <c r="C31" s="98" t="s">
        <v>197</v>
      </c>
      <c r="D31" s="99">
        <v>2.0424022220220945</v>
      </c>
      <c r="E31" s="99">
        <v>696.05067726512982</v>
      </c>
      <c r="F31" s="99">
        <v>2.3414099407352271</v>
      </c>
      <c r="G31" s="99">
        <v>797.95250780256538</v>
      </c>
      <c r="H31" s="99">
        <v>11.142451997982651</v>
      </c>
      <c r="I31" s="99">
        <v>3797.3476409124873</v>
      </c>
      <c r="J31" s="99">
        <v>1.5386680898757381</v>
      </c>
      <c r="K31" s="99">
        <v>524.37808502965152</v>
      </c>
      <c r="L31" s="99">
        <v>11</v>
      </c>
      <c r="M31" s="99">
        <v>3748.8</v>
      </c>
      <c r="N31" s="99">
        <v>16</v>
      </c>
      <c r="O31" s="99">
        <v>5452.8</v>
      </c>
      <c r="P31" s="99">
        <v>14</v>
      </c>
      <c r="Q31" s="99">
        <v>4771.2</v>
      </c>
      <c r="R31" s="99">
        <v>15</v>
      </c>
      <c r="S31" s="99">
        <v>5112</v>
      </c>
      <c r="T31" s="99">
        <v>13</v>
      </c>
      <c r="U31" s="99">
        <v>4430.4000000000005</v>
      </c>
      <c r="V31" s="99">
        <v>14</v>
      </c>
      <c r="W31" s="99">
        <v>4771.2</v>
      </c>
      <c r="X31" s="99">
        <v>13</v>
      </c>
      <c r="Y31" s="99">
        <v>4430.4000000000005</v>
      </c>
      <c r="Z31" s="99">
        <v>20</v>
      </c>
      <c r="AA31" s="99">
        <v>6816</v>
      </c>
      <c r="AB31" s="99">
        <v>11</v>
      </c>
      <c r="AC31" s="99">
        <v>3748.8</v>
      </c>
      <c r="AD31" s="99">
        <v>15</v>
      </c>
      <c r="AE31" s="99">
        <v>5112</v>
      </c>
      <c r="AF31" s="99">
        <v>18.513086572943273</v>
      </c>
      <c r="AG31" s="99">
        <v>6309.2599040590676</v>
      </c>
      <c r="AH31" s="99">
        <v>13.440670358677297</v>
      </c>
      <c r="AI31" s="99">
        <v>4580.580458237223</v>
      </c>
      <c r="AJ31" s="99">
        <v>13</v>
      </c>
      <c r="AK31" s="99">
        <v>4430.4000000000005</v>
      </c>
      <c r="AL31" s="99">
        <v>14.610964591735646</v>
      </c>
      <c r="AM31" s="99">
        <v>4979.4167328635085</v>
      </c>
      <c r="AN31" s="99">
        <v>12.54462566809881</v>
      </c>
      <c r="AO31" s="99">
        <v>4275.2084276880742</v>
      </c>
      <c r="AP31" s="99">
        <v>2.549004963794185</v>
      </c>
      <c r="AQ31" s="99">
        <v>868.70089166105822</v>
      </c>
      <c r="AR31" s="99">
        <v>22</v>
      </c>
      <c r="AS31" s="99">
        <v>7497.6</v>
      </c>
      <c r="AT31" s="99">
        <v>18</v>
      </c>
      <c r="AU31" s="99">
        <v>6134.4000000000005</v>
      </c>
      <c r="AV31" s="99">
        <v>22</v>
      </c>
      <c r="AW31" s="99">
        <v>7497.6</v>
      </c>
      <c r="AX31" s="99">
        <v>17</v>
      </c>
      <c r="AY31" s="99">
        <v>5793.6</v>
      </c>
      <c r="AZ31" s="99">
        <v>11</v>
      </c>
      <c r="BA31" s="99">
        <v>3748.8</v>
      </c>
      <c r="BB31" s="99">
        <v>13</v>
      </c>
      <c r="BC31" s="99">
        <v>4430.4000000000005</v>
      </c>
      <c r="BD31" s="99">
        <v>19</v>
      </c>
      <c r="BE31" s="99">
        <v>6475.2</v>
      </c>
      <c r="BF31" s="99">
        <v>17</v>
      </c>
      <c r="BG31" s="99">
        <v>5793.6</v>
      </c>
      <c r="BH31" s="99">
        <v>16.673402384819969</v>
      </c>
      <c r="BI31" s="99">
        <v>5682.2955327466452</v>
      </c>
      <c r="BJ31" s="99">
        <v>13.077433016254448</v>
      </c>
      <c r="BK31" s="99">
        <v>4456.7891719395157</v>
      </c>
      <c r="BL31" s="99">
        <v>14.049373011998952</v>
      </c>
      <c r="BM31" s="99">
        <v>4788.0263224892433</v>
      </c>
      <c r="BN31" s="99">
        <v>12.533898015850056</v>
      </c>
      <c r="BO31" s="99">
        <v>4271.5524438016992</v>
      </c>
      <c r="BP31" s="99">
        <v>16.918335293367015</v>
      </c>
      <c r="BQ31" s="99">
        <v>5765.7686679794788</v>
      </c>
      <c r="BR31" s="99">
        <v>14.293532172601397</v>
      </c>
      <c r="BS31" s="99">
        <v>4871.2357644225567</v>
      </c>
      <c r="BT31" s="99">
        <v>11.919417500043357</v>
      </c>
      <c r="BU31" s="99">
        <v>4062.1374840147764</v>
      </c>
      <c r="BV31" s="99">
        <v>3.1516132265178989</v>
      </c>
      <c r="BW31" s="99">
        <v>1074.0697875972999</v>
      </c>
      <c r="BX31" s="99">
        <v>12.298898357228172</v>
      </c>
      <c r="BY31" s="99">
        <v>4191.4645601433613</v>
      </c>
      <c r="BZ31" s="99">
        <v>15</v>
      </c>
      <c r="CA31" s="99">
        <v>5112</v>
      </c>
      <c r="CB31" s="99">
        <v>9.7151975699099786</v>
      </c>
      <c r="CC31" s="99">
        <v>3310.939331825321</v>
      </c>
      <c r="CD31" s="99">
        <v>15.063177578560763</v>
      </c>
      <c r="CE31" s="99">
        <v>5133.5309187735083</v>
      </c>
      <c r="CF31" s="99">
        <v>16</v>
      </c>
      <c r="CG31" s="99">
        <v>5452.8</v>
      </c>
      <c r="CH31" s="99">
        <v>24</v>
      </c>
      <c r="CI31" s="99">
        <v>8179.2000000000007</v>
      </c>
      <c r="CJ31" s="99">
        <v>19</v>
      </c>
      <c r="CK31" s="99">
        <v>6475.2</v>
      </c>
      <c r="CL31" s="99">
        <v>24</v>
      </c>
      <c r="CM31" s="99">
        <v>8179.2000000000007</v>
      </c>
      <c r="CN31" s="99">
        <v>6.4728480137360318</v>
      </c>
      <c r="CO31" s="99">
        <v>2205.9466030812396</v>
      </c>
      <c r="CP31" s="99">
        <v>23</v>
      </c>
      <c r="CQ31" s="99">
        <v>7838.4000000000005</v>
      </c>
      <c r="CR31" s="99">
        <v>10.784259312470656</v>
      </c>
      <c r="CS31" s="99">
        <v>3675.2755736899999</v>
      </c>
      <c r="CT31" s="99">
        <v>11.947970317263371</v>
      </c>
      <c r="CU31" s="99">
        <v>4071.8682841233567</v>
      </c>
    </row>
    <row r="32" spans="2:99">
      <c r="C32" s="98" t="s">
        <v>198</v>
      </c>
      <c r="D32" s="99">
        <v>2.1700523608984752</v>
      </c>
      <c r="E32" s="99">
        <v>1822.8439831547191</v>
      </c>
      <c r="F32" s="99">
        <v>2.2349822161563528</v>
      </c>
      <c r="G32" s="99">
        <v>1877.3850615713363</v>
      </c>
      <c r="H32" s="99">
        <v>10.487013645160143</v>
      </c>
      <c r="I32" s="99">
        <v>8809.0914619345203</v>
      </c>
      <c r="J32" s="99">
        <v>1.8937453413855239</v>
      </c>
      <c r="K32" s="99">
        <v>1590.7460867638401</v>
      </c>
      <c r="L32" s="99">
        <v>11</v>
      </c>
      <c r="M32" s="99">
        <v>9240</v>
      </c>
      <c r="N32" s="99">
        <v>15</v>
      </c>
      <c r="O32" s="99">
        <v>12600</v>
      </c>
      <c r="P32" s="99">
        <v>16</v>
      </c>
      <c r="Q32" s="99">
        <v>13440</v>
      </c>
      <c r="R32" s="99">
        <v>15</v>
      </c>
      <c r="S32" s="99">
        <v>12600</v>
      </c>
      <c r="T32" s="99">
        <v>13</v>
      </c>
      <c r="U32" s="99">
        <v>10920</v>
      </c>
      <c r="V32" s="99">
        <v>14</v>
      </c>
      <c r="W32" s="99">
        <v>11760</v>
      </c>
      <c r="X32" s="99">
        <v>12</v>
      </c>
      <c r="Y32" s="99">
        <v>10080</v>
      </c>
      <c r="Z32" s="99">
        <v>20</v>
      </c>
      <c r="AA32" s="99">
        <v>16800</v>
      </c>
      <c r="AB32" s="99">
        <v>11</v>
      </c>
      <c r="AC32" s="99">
        <v>9240</v>
      </c>
      <c r="AD32" s="99">
        <v>15</v>
      </c>
      <c r="AE32" s="99">
        <v>12600</v>
      </c>
      <c r="AF32" s="99">
        <v>17.58743224429611</v>
      </c>
      <c r="AG32" s="99">
        <v>14773.443085208732</v>
      </c>
      <c r="AH32" s="99">
        <v>13.440670358677297</v>
      </c>
      <c r="AI32" s="99">
        <v>11290.163101288928</v>
      </c>
      <c r="AJ32" s="99">
        <v>11</v>
      </c>
      <c r="AK32" s="99">
        <v>9240</v>
      </c>
      <c r="AL32" s="99">
        <v>15.47043309713186</v>
      </c>
      <c r="AM32" s="99">
        <v>12995.163801590763</v>
      </c>
      <c r="AN32" s="99">
        <v>12.54462566809881</v>
      </c>
      <c r="AO32" s="99">
        <v>10537.485561203001</v>
      </c>
      <c r="AP32" s="99">
        <v>2.2657821900392756</v>
      </c>
      <c r="AQ32" s="99">
        <v>1903.2570396329916</v>
      </c>
      <c r="AR32" s="99">
        <v>19</v>
      </c>
      <c r="AS32" s="99">
        <v>15960</v>
      </c>
      <c r="AT32" s="99">
        <v>18</v>
      </c>
      <c r="AU32" s="99">
        <v>15120</v>
      </c>
      <c r="AV32" s="99">
        <v>22</v>
      </c>
      <c r="AW32" s="99">
        <v>18480</v>
      </c>
      <c r="AX32" s="99">
        <v>17</v>
      </c>
      <c r="AY32" s="99">
        <v>14280</v>
      </c>
      <c r="AZ32" s="99">
        <v>13</v>
      </c>
      <c r="BA32" s="99">
        <v>10920</v>
      </c>
      <c r="BB32" s="99">
        <v>15</v>
      </c>
      <c r="BC32" s="99">
        <v>12600</v>
      </c>
      <c r="BD32" s="99">
        <v>16</v>
      </c>
      <c r="BE32" s="99">
        <v>13440</v>
      </c>
      <c r="BF32" s="99">
        <v>20</v>
      </c>
      <c r="BG32" s="99">
        <v>16800</v>
      </c>
      <c r="BH32" s="99">
        <v>16.673402384819969</v>
      </c>
      <c r="BI32" s="99">
        <v>14005.658003248775</v>
      </c>
      <c r="BJ32" s="99">
        <v>14.011535374558337</v>
      </c>
      <c r="BK32" s="99">
        <v>11769.689714629003</v>
      </c>
      <c r="BL32" s="99">
        <v>12.293201385499083</v>
      </c>
      <c r="BM32" s="99">
        <v>10326.28916381923</v>
      </c>
      <c r="BN32" s="99">
        <v>14.100635267831315</v>
      </c>
      <c r="BO32" s="99">
        <v>11844.533624978305</v>
      </c>
      <c r="BP32" s="99">
        <v>18.610168822703717</v>
      </c>
      <c r="BQ32" s="99">
        <v>15632.541811071122</v>
      </c>
      <c r="BR32" s="99">
        <v>15.881702414001552</v>
      </c>
      <c r="BS32" s="99">
        <v>13340.630027761305</v>
      </c>
      <c r="BT32" s="99">
        <v>10.470984957210943</v>
      </c>
      <c r="BU32" s="99">
        <v>8795.6273640571926</v>
      </c>
      <c r="BV32" s="99">
        <v>3.4667745491696893</v>
      </c>
      <c r="BW32" s="99">
        <v>2912.0906213025391</v>
      </c>
      <c r="BX32" s="99">
        <v>10.761536062574651</v>
      </c>
      <c r="BY32" s="99">
        <v>9039.6902925627073</v>
      </c>
      <c r="BZ32" s="99">
        <v>17</v>
      </c>
      <c r="CA32" s="99">
        <v>14280</v>
      </c>
      <c r="CB32" s="99">
        <v>10.003059264838496</v>
      </c>
      <c r="CC32" s="99">
        <v>8402.5697824643375</v>
      </c>
      <c r="CD32" s="99">
        <v>16.736863976178626</v>
      </c>
      <c r="CE32" s="99">
        <v>14058.965739990046</v>
      </c>
      <c r="CF32" s="99">
        <v>14</v>
      </c>
      <c r="CG32" s="99">
        <v>11760</v>
      </c>
      <c r="CH32" s="99">
        <v>23</v>
      </c>
      <c r="CI32" s="99">
        <v>19320</v>
      </c>
      <c r="CJ32" s="99">
        <v>20</v>
      </c>
      <c r="CK32" s="99">
        <v>16800</v>
      </c>
      <c r="CL32" s="99">
        <v>23</v>
      </c>
      <c r="CM32" s="99">
        <v>19320</v>
      </c>
      <c r="CN32" s="99">
        <v>6.4728480137360318</v>
      </c>
      <c r="CO32" s="99">
        <v>5437.1923315382664</v>
      </c>
      <c r="CP32" s="99">
        <v>23</v>
      </c>
      <c r="CQ32" s="99">
        <v>19320</v>
      </c>
      <c r="CR32" s="99">
        <v>10.784259312470656</v>
      </c>
      <c r="CS32" s="99">
        <v>9058.7778224753511</v>
      </c>
      <c r="CT32" s="99">
        <v>13.353613884000238</v>
      </c>
      <c r="CU32" s="99">
        <v>11217.0356625602</v>
      </c>
    </row>
    <row r="33" spans="2:99">
      <c r="C33" s="98" t="s">
        <v>199</v>
      </c>
      <c r="D33" s="99">
        <v>2.0424022220220945</v>
      </c>
      <c r="E33" s="99">
        <v>968.09865323847282</v>
      </c>
      <c r="F33" s="99">
        <v>2.0221267669986052</v>
      </c>
      <c r="G33" s="99">
        <v>958.48808755733887</v>
      </c>
      <c r="H33" s="99">
        <v>9.8315752923376341</v>
      </c>
      <c r="I33" s="99">
        <v>4660.1666885680388</v>
      </c>
      <c r="J33" s="99">
        <v>1.8937453413855239</v>
      </c>
      <c r="K33" s="99">
        <v>897.63529181673835</v>
      </c>
      <c r="L33" s="99">
        <v>12</v>
      </c>
      <c r="M33" s="99">
        <v>5688</v>
      </c>
      <c r="N33" s="99">
        <v>16</v>
      </c>
      <c r="O33" s="99">
        <v>7584</v>
      </c>
      <c r="P33" s="99">
        <v>14</v>
      </c>
      <c r="Q33" s="99">
        <v>6636</v>
      </c>
      <c r="R33" s="99">
        <v>15</v>
      </c>
      <c r="S33" s="99">
        <v>7110</v>
      </c>
      <c r="T33" s="99">
        <v>11</v>
      </c>
      <c r="U33" s="99">
        <v>5214</v>
      </c>
      <c r="V33" s="99">
        <v>14</v>
      </c>
      <c r="W33" s="99">
        <v>6636</v>
      </c>
      <c r="X33" s="99">
        <v>13</v>
      </c>
      <c r="Y33" s="99">
        <v>6162</v>
      </c>
      <c r="Z33" s="99">
        <v>21</v>
      </c>
      <c r="AA33" s="99">
        <v>9954</v>
      </c>
      <c r="AB33" s="99">
        <v>13</v>
      </c>
      <c r="AC33" s="99">
        <v>6162</v>
      </c>
      <c r="AD33" s="99">
        <v>14</v>
      </c>
      <c r="AE33" s="99">
        <v>6636</v>
      </c>
      <c r="AF33" s="99">
        <v>17.58743224429611</v>
      </c>
      <c r="AG33" s="99">
        <v>8336.4428837963569</v>
      </c>
      <c r="AH33" s="99">
        <v>14.336715049255783</v>
      </c>
      <c r="AI33" s="99">
        <v>6795.6029333472416</v>
      </c>
      <c r="AJ33" s="99">
        <v>12</v>
      </c>
      <c r="AK33" s="99">
        <v>5688</v>
      </c>
      <c r="AL33" s="99">
        <v>16.329901602528075</v>
      </c>
      <c r="AM33" s="99">
        <v>7740.3733595983076</v>
      </c>
      <c r="AN33" s="99">
        <v>13.440670358677295</v>
      </c>
      <c r="AO33" s="99">
        <v>6370.8777500130382</v>
      </c>
      <c r="AP33" s="99">
        <v>2.2657821900392756</v>
      </c>
      <c r="AQ33" s="99">
        <v>1073.9807580786166</v>
      </c>
      <c r="AR33" s="99">
        <v>19</v>
      </c>
      <c r="AS33" s="99">
        <v>9006</v>
      </c>
      <c r="AT33" s="99">
        <v>17</v>
      </c>
      <c r="AU33" s="99">
        <v>8058</v>
      </c>
      <c r="AV33" s="99">
        <v>23</v>
      </c>
      <c r="AW33" s="99">
        <v>10902</v>
      </c>
      <c r="AX33" s="99">
        <v>17</v>
      </c>
      <c r="AY33" s="99">
        <v>8058</v>
      </c>
      <c r="AZ33" s="99">
        <v>12</v>
      </c>
      <c r="BA33" s="99">
        <v>5688</v>
      </c>
      <c r="BB33" s="99">
        <v>15</v>
      </c>
      <c r="BC33" s="99">
        <v>7110</v>
      </c>
      <c r="BD33" s="99">
        <v>18</v>
      </c>
      <c r="BE33" s="99">
        <v>8532</v>
      </c>
      <c r="BF33" s="99">
        <v>20</v>
      </c>
      <c r="BG33" s="99">
        <v>9480</v>
      </c>
      <c r="BH33" s="99">
        <v>20.008082861783961</v>
      </c>
      <c r="BI33" s="99">
        <v>9483.8312764855982</v>
      </c>
      <c r="BJ33" s="99">
        <v>12.143330657950559</v>
      </c>
      <c r="BK33" s="99">
        <v>5755.9387318685649</v>
      </c>
      <c r="BL33" s="99">
        <v>12.293201385499083</v>
      </c>
      <c r="BM33" s="99">
        <v>5826.9774567265658</v>
      </c>
      <c r="BN33" s="99">
        <v>13.317266641840687</v>
      </c>
      <c r="BO33" s="99">
        <v>6312.3843882324854</v>
      </c>
      <c r="BP33" s="99">
        <v>17.764252058035368</v>
      </c>
      <c r="BQ33" s="99">
        <v>8420.255475508764</v>
      </c>
      <c r="BR33" s="99">
        <v>14.293532172601397</v>
      </c>
      <c r="BS33" s="99">
        <v>6775.1342498130625</v>
      </c>
      <c r="BT33" s="99">
        <v>11.21891245415458</v>
      </c>
      <c r="BU33" s="99">
        <v>5317.7645032692708</v>
      </c>
      <c r="BV33" s="99">
        <v>3.4667745491696893</v>
      </c>
      <c r="BW33" s="99">
        <v>1643.2511363064327</v>
      </c>
      <c r="BX33" s="99">
        <v>10.761536062574651</v>
      </c>
      <c r="BY33" s="99">
        <v>5100.9680936603845</v>
      </c>
      <c r="BZ33" s="99">
        <v>15</v>
      </c>
      <c r="CA33" s="99">
        <v>7110</v>
      </c>
      <c r="CB33" s="99">
        <v>10.035043897608331</v>
      </c>
      <c r="CC33" s="99">
        <v>4756.6108074663489</v>
      </c>
      <c r="CD33" s="99">
        <v>15.900020777369695</v>
      </c>
      <c r="CE33" s="99">
        <v>7536.6098484732356</v>
      </c>
      <c r="CF33" s="99">
        <v>15</v>
      </c>
      <c r="CG33" s="99">
        <v>7110</v>
      </c>
      <c r="CH33" s="99">
        <v>24</v>
      </c>
      <c r="CI33" s="99">
        <v>11376</v>
      </c>
      <c r="CJ33" s="99">
        <v>18</v>
      </c>
      <c r="CK33" s="99">
        <v>8532</v>
      </c>
      <c r="CL33" s="99">
        <v>24</v>
      </c>
      <c r="CM33" s="99">
        <v>11376</v>
      </c>
      <c r="CN33" s="99">
        <v>6.4728480137360318</v>
      </c>
      <c r="CO33" s="99">
        <v>3068.1299585108791</v>
      </c>
      <c r="CP33" s="99">
        <v>25</v>
      </c>
      <c r="CQ33" s="99">
        <v>11850</v>
      </c>
      <c r="CR33" s="99">
        <v>11.613817721122246</v>
      </c>
      <c r="CS33" s="99">
        <v>5504.9495998119446</v>
      </c>
      <c r="CT33" s="99">
        <v>11.947970317263371</v>
      </c>
      <c r="CU33" s="99">
        <v>5663.3379303828378</v>
      </c>
    </row>
    <row r="34" spans="2:99">
      <c r="C34" s="98" t="s">
        <v>200</v>
      </c>
      <c r="D34" s="99">
        <v>1.9147520831457137</v>
      </c>
      <c r="E34" s="99">
        <v>1050.0500423971093</v>
      </c>
      <c r="F34" s="99">
        <v>2.0221267669986052</v>
      </c>
      <c r="G34" s="99">
        <v>1108.934319022035</v>
      </c>
      <c r="H34" s="99">
        <v>10.487013645160143</v>
      </c>
      <c r="I34" s="99">
        <v>5751.0782830058224</v>
      </c>
      <c r="J34" s="99">
        <v>1.6570271737123334</v>
      </c>
      <c r="K34" s="99">
        <v>908.71370206384358</v>
      </c>
      <c r="L34" s="99">
        <v>11</v>
      </c>
      <c r="M34" s="99">
        <v>6032.4</v>
      </c>
      <c r="N34" s="99">
        <v>14</v>
      </c>
      <c r="O34" s="99">
        <v>7677.5999999999995</v>
      </c>
      <c r="P34" s="99">
        <v>14</v>
      </c>
      <c r="Q34" s="99">
        <v>7677.5999999999995</v>
      </c>
      <c r="R34" s="99">
        <v>15</v>
      </c>
      <c r="S34" s="99">
        <v>8226</v>
      </c>
      <c r="T34" s="99">
        <v>11</v>
      </c>
      <c r="U34" s="99">
        <v>6032.4</v>
      </c>
      <c r="V34" s="99">
        <v>12</v>
      </c>
      <c r="W34" s="99">
        <v>6580.7999999999993</v>
      </c>
      <c r="X34" s="99">
        <v>11</v>
      </c>
      <c r="Y34" s="99">
        <v>6032.4</v>
      </c>
      <c r="Z34" s="99">
        <v>18</v>
      </c>
      <c r="AA34" s="99">
        <v>9871.1999999999989</v>
      </c>
      <c r="AB34" s="99">
        <v>12</v>
      </c>
      <c r="AC34" s="99">
        <v>6580.7999999999993</v>
      </c>
      <c r="AD34" s="99">
        <v>16</v>
      </c>
      <c r="AE34" s="99">
        <v>8774.4</v>
      </c>
      <c r="AF34" s="99">
        <v>21.290049558884764</v>
      </c>
      <c r="AG34" s="99">
        <v>11675.463178092405</v>
      </c>
      <c r="AH34" s="99">
        <v>14.336715049255783</v>
      </c>
      <c r="AI34" s="99">
        <v>7862.254533011871</v>
      </c>
      <c r="AJ34" s="99">
        <v>12</v>
      </c>
      <c r="AK34" s="99">
        <v>6580.7999999999993</v>
      </c>
      <c r="AL34" s="99">
        <v>16.329901602528075</v>
      </c>
      <c r="AM34" s="99">
        <v>8955.3180388263954</v>
      </c>
      <c r="AN34" s="99">
        <v>12.54462566809881</v>
      </c>
      <c r="AO34" s="99">
        <v>6879.4727163853868</v>
      </c>
      <c r="AP34" s="99">
        <v>2.4073935769167303</v>
      </c>
      <c r="AQ34" s="99">
        <v>1320.2146375811349</v>
      </c>
      <c r="AR34" s="99">
        <v>19</v>
      </c>
      <c r="AS34" s="99">
        <v>10419.6</v>
      </c>
      <c r="AT34" s="99">
        <v>19</v>
      </c>
      <c r="AU34" s="99">
        <v>10419.6</v>
      </c>
      <c r="AV34" s="99">
        <v>21</v>
      </c>
      <c r="AW34" s="99">
        <v>11516.4</v>
      </c>
      <c r="AX34" s="99">
        <v>17</v>
      </c>
      <c r="AY34" s="99">
        <v>9322.7999999999993</v>
      </c>
      <c r="AZ34" s="99">
        <v>12</v>
      </c>
      <c r="BA34" s="99">
        <v>6580.7999999999993</v>
      </c>
      <c r="BB34" s="99">
        <v>14</v>
      </c>
      <c r="BC34" s="99">
        <v>7677.5999999999995</v>
      </c>
      <c r="BD34" s="99">
        <v>17</v>
      </c>
      <c r="BE34" s="99">
        <v>9322.7999999999993</v>
      </c>
      <c r="BF34" s="99">
        <v>19</v>
      </c>
      <c r="BG34" s="99">
        <v>10419.6</v>
      </c>
      <c r="BH34" s="99">
        <v>19.174412742542966</v>
      </c>
      <c r="BI34" s="99">
        <v>10515.247948010561</v>
      </c>
      <c r="BJ34" s="99">
        <v>13.077433016254448</v>
      </c>
      <c r="BK34" s="99">
        <v>7171.6642661139385</v>
      </c>
      <c r="BL34" s="99">
        <v>11.415115572249148</v>
      </c>
      <c r="BM34" s="99">
        <v>6260.049379821432</v>
      </c>
      <c r="BN34" s="99">
        <v>14.884003893821943</v>
      </c>
      <c r="BO34" s="99">
        <v>8162.3877353719527</v>
      </c>
      <c r="BP34" s="99">
        <v>18.610168822703717</v>
      </c>
      <c r="BQ34" s="99">
        <v>10205.816582370719</v>
      </c>
      <c r="BR34" s="99">
        <v>15.881702414001552</v>
      </c>
      <c r="BS34" s="99">
        <v>8709.5256038384505</v>
      </c>
      <c r="BT34" s="99">
        <v>11.187297486784674</v>
      </c>
      <c r="BU34" s="99">
        <v>6135.1139417527147</v>
      </c>
      <c r="BV34" s="99">
        <v>3.6243552104955841</v>
      </c>
      <c r="BW34" s="99">
        <v>1987.5963974357783</v>
      </c>
      <c r="BX34" s="99">
        <v>11.530217209901412</v>
      </c>
      <c r="BY34" s="99">
        <v>6323.1711179099339</v>
      </c>
      <c r="BZ34" s="99">
        <v>17</v>
      </c>
      <c r="CA34" s="99">
        <v>9322.7999999999993</v>
      </c>
      <c r="CB34" s="99">
        <v>10.5745414748332</v>
      </c>
      <c r="CC34" s="99">
        <v>5799.0785447985272</v>
      </c>
      <c r="CD34" s="99">
        <v>16.736863976178626</v>
      </c>
      <c r="CE34" s="99">
        <v>9178.4962045363573</v>
      </c>
      <c r="CF34" s="99">
        <v>16</v>
      </c>
      <c r="CG34" s="99">
        <v>8774.4</v>
      </c>
      <c r="CH34" s="99">
        <v>21</v>
      </c>
      <c r="CI34" s="99">
        <v>11516.4</v>
      </c>
      <c r="CJ34" s="99">
        <v>21</v>
      </c>
      <c r="CK34" s="99">
        <v>11516.4</v>
      </c>
      <c r="CL34" s="99">
        <v>25</v>
      </c>
      <c r="CM34" s="99">
        <v>13710</v>
      </c>
      <c r="CN34" s="99">
        <v>6.4728480137360318</v>
      </c>
      <c r="CO34" s="99">
        <v>3549.7098507328396</v>
      </c>
      <c r="CP34" s="99">
        <v>22</v>
      </c>
      <c r="CQ34" s="99">
        <v>12064.8</v>
      </c>
      <c r="CR34" s="99">
        <v>10.784259312470656</v>
      </c>
      <c r="CS34" s="99">
        <v>5914.0878069589071</v>
      </c>
      <c r="CT34" s="99">
        <v>13.353613884000238</v>
      </c>
      <c r="CU34" s="99">
        <v>7323.12185398573</v>
      </c>
    </row>
    <row r="35" spans="2:99">
      <c r="C35" s="98" t="s">
        <v>201</v>
      </c>
      <c r="D35" s="99">
        <v>1.7871019442693328</v>
      </c>
      <c r="E35" s="99">
        <v>898.55485757862039</v>
      </c>
      <c r="F35" s="99">
        <v>2.0221267669986052</v>
      </c>
      <c r="G35" s="99">
        <v>1016.7253384468985</v>
      </c>
      <c r="H35" s="99">
        <v>11.142451997982651</v>
      </c>
      <c r="I35" s="99">
        <v>5602.424864585676</v>
      </c>
      <c r="J35" s="99">
        <v>1.7753862575489285</v>
      </c>
      <c r="K35" s="99">
        <v>892.66421029560104</v>
      </c>
      <c r="L35" s="99">
        <v>11</v>
      </c>
      <c r="M35" s="99">
        <v>5530.7999999999993</v>
      </c>
      <c r="N35" s="99">
        <v>15</v>
      </c>
      <c r="O35" s="99">
        <v>7541.9999999999982</v>
      </c>
      <c r="P35" s="99">
        <v>15</v>
      </c>
      <c r="Q35" s="99">
        <v>7541.9999999999982</v>
      </c>
      <c r="R35" s="99">
        <v>16</v>
      </c>
      <c r="S35" s="99">
        <v>8044.7999999999984</v>
      </c>
      <c r="T35" s="99">
        <v>11</v>
      </c>
      <c r="U35" s="99">
        <v>5530.7999999999993</v>
      </c>
      <c r="V35" s="99">
        <v>14</v>
      </c>
      <c r="W35" s="99">
        <v>7039.1999999999989</v>
      </c>
      <c r="X35" s="99">
        <v>12</v>
      </c>
      <c r="Y35" s="99">
        <v>6033.5999999999985</v>
      </c>
      <c r="Z35" s="99">
        <v>21</v>
      </c>
      <c r="AA35" s="99">
        <v>10558.799999999997</v>
      </c>
      <c r="AB35" s="99">
        <v>12</v>
      </c>
      <c r="AC35" s="99">
        <v>6033.5999999999985</v>
      </c>
      <c r="AD35" s="99">
        <v>16</v>
      </c>
      <c r="AE35" s="99">
        <v>8044.7999999999984</v>
      </c>
      <c r="AF35" s="99">
        <v>18.513086572943273</v>
      </c>
      <c r="AG35" s="99">
        <v>9308.3799288758764</v>
      </c>
      <c r="AH35" s="99">
        <v>13.440670358677297</v>
      </c>
      <c r="AI35" s="99">
        <v>6757.9690563429431</v>
      </c>
      <c r="AJ35" s="99">
        <v>11</v>
      </c>
      <c r="AK35" s="99">
        <v>5530.7999999999993</v>
      </c>
      <c r="AL35" s="99">
        <v>16.329901602528075</v>
      </c>
      <c r="AM35" s="99">
        <v>8210.6745257511138</v>
      </c>
      <c r="AN35" s="99">
        <v>12.54462566809881</v>
      </c>
      <c r="AO35" s="99">
        <v>6307.4377859200804</v>
      </c>
      <c r="AP35" s="99">
        <v>2.4073935769167303</v>
      </c>
      <c r="AQ35" s="99">
        <v>1210.4374904737317</v>
      </c>
      <c r="AR35" s="99">
        <v>18</v>
      </c>
      <c r="AS35" s="99">
        <v>9050.3999999999978</v>
      </c>
      <c r="AT35" s="99">
        <v>17</v>
      </c>
      <c r="AU35" s="99">
        <v>8547.5999999999985</v>
      </c>
      <c r="AV35" s="99">
        <v>20</v>
      </c>
      <c r="AW35" s="99">
        <v>10055.999999999998</v>
      </c>
      <c r="AX35" s="99">
        <v>18</v>
      </c>
      <c r="AY35" s="99">
        <v>9050.3999999999978</v>
      </c>
      <c r="AZ35" s="99">
        <v>14</v>
      </c>
      <c r="BA35" s="99">
        <v>7039.1999999999989</v>
      </c>
      <c r="BB35" s="99">
        <v>15</v>
      </c>
      <c r="BC35" s="99">
        <v>7541.9999999999982</v>
      </c>
      <c r="BD35" s="99">
        <v>16</v>
      </c>
      <c r="BE35" s="99">
        <v>8044.7999999999984</v>
      </c>
      <c r="BF35" s="99">
        <v>20</v>
      </c>
      <c r="BG35" s="99">
        <v>10055.999999999998</v>
      </c>
      <c r="BH35" s="99">
        <v>18.340742623301967</v>
      </c>
      <c r="BI35" s="99">
        <v>9221.7253909962274</v>
      </c>
      <c r="BJ35" s="99">
        <v>13.077433016254448</v>
      </c>
      <c r="BK35" s="99">
        <v>6575.3333205727349</v>
      </c>
      <c r="BL35" s="99">
        <v>12.293201385499083</v>
      </c>
      <c r="BM35" s="99">
        <v>6181.0216566289373</v>
      </c>
      <c r="BN35" s="99">
        <v>14.884003893821943</v>
      </c>
      <c r="BO35" s="99">
        <v>7483.6771578136713</v>
      </c>
      <c r="BP35" s="99">
        <v>17.764252058035368</v>
      </c>
      <c r="BQ35" s="99">
        <v>8931.8659347801804</v>
      </c>
      <c r="BR35" s="99">
        <v>14.293532172601397</v>
      </c>
      <c r="BS35" s="99">
        <v>7186.787976383981</v>
      </c>
      <c r="BT35" s="99">
        <v>11.203104970469628</v>
      </c>
      <c r="BU35" s="99">
        <v>5632.9211791521275</v>
      </c>
      <c r="BV35" s="99">
        <v>3.1516132265178989</v>
      </c>
      <c r="BW35" s="99">
        <v>1584.6311302931992</v>
      </c>
      <c r="BX35" s="99">
        <v>12.298898357228172</v>
      </c>
      <c r="BY35" s="99">
        <v>6183.8860940143231</v>
      </c>
      <c r="BZ35" s="99">
        <v>15</v>
      </c>
      <c r="CA35" s="99">
        <v>7541.9999999999982</v>
      </c>
      <c r="CB35" s="99">
        <v>10.858161989899388</v>
      </c>
      <c r="CC35" s="99">
        <v>5459.4838485214113</v>
      </c>
      <c r="CD35" s="99">
        <v>15.900020777369695</v>
      </c>
      <c r="CE35" s="99">
        <v>7994.5304468614813</v>
      </c>
      <c r="CF35" s="99">
        <v>17</v>
      </c>
      <c r="CG35" s="99">
        <v>8547.5999999999985</v>
      </c>
      <c r="CH35" s="99">
        <v>21</v>
      </c>
      <c r="CI35" s="99">
        <v>10558.799999999997</v>
      </c>
      <c r="CJ35" s="99">
        <v>19</v>
      </c>
      <c r="CK35" s="99">
        <v>9553.1999999999989</v>
      </c>
      <c r="CL35" s="99">
        <v>24</v>
      </c>
      <c r="CM35" s="99">
        <v>12067.199999999997</v>
      </c>
      <c r="CN35" s="99">
        <v>6.1492056130492312</v>
      </c>
      <c r="CO35" s="99">
        <v>3091.8205822411528</v>
      </c>
      <c r="CP35" s="99">
        <v>23</v>
      </c>
      <c r="CQ35" s="99">
        <v>11564.399999999998</v>
      </c>
      <c r="CR35" s="99">
        <v>10.784259312470656</v>
      </c>
      <c r="CS35" s="99">
        <v>5422.3255823102445</v>
      </c>
      <c r="CT35" s="99">
        <v>11.947970317263371</v>
      </c>
      <c r="CU35" s="99">
        <v>6007.4394755200219</v>
      </c>
    </row>
    <row r="36" spans="2:99">
      <c r="C36" s="98" t="s">
        <v>202</v>
      </c>
      <c r="D36" s="99">
        <v>1.7871019442693328</v>
      </c>
      <c r="E36" s="99">
        <v>1359.6271592001083</v>
      </c>
      <c r="F36" s="99">
        <v>2.2349822161563528</v>
      </c>
      <c r="G36" s="99">
        <v>1700.3744700517532</v>
      </c>
      <c r="H36" s="99">
        <v>9.1761369395151249</v>
      </c>
      <c r="I36" s="99">
        <v>6981.2049835831067</v>
      </c>
      <c r="J36" s="99">
        <v>1.7753862575489285</v>
      </c>
      <c r="K36" s="99">
        <v>1350.7138647432248</v>
      </c>
      <c r="L36" s="99">
        <v>10</v>
      </c>
      <c r="M36" s="99">
        <v>7608</v>
      </c>
      <c r="N36" s="99">
        <v>16</v>
      </c>
      <c r="O36" s="99">
        <v>12172.8</v>
      </c>
      <c r="P36" s="99">
        <v>15</v>
      </c>
      <c r="Q36" s="99">
        <v>11412</v>
      </c>
      <c r="R36" s="99">
        <v>15</v>
      </c>
      <c r="S36" s="99">
        <v>11412</v>
      </c>
      <c r="T36" s="99">
        <v>12</v>
      </c>
      <c r="U36" s="99">
        <v>9129.5999999999985</v>
      </c>
      <c r="V36" s="99">
        <v>14</v>
      </c>
      <c r="W36" s="99">
        <v>10651.199999999999</v>
      </c>
      <c r="X36" s="99">
        <v>13</v>
      </c>
      <c r="Y36" s="99">
        <v>9890.4</v>
      </c>
      <c r="Z36" s="99">
        <v>19</v>
      </c>
      <c r="AA36" s="99">
        <v>14455.199999999999</v>
      </c>
      <c r="AB36" s="99">
        <v>13</v>
      </c>
      <c r="AC36" s="99">
        <v>9890.4</v>
      </c>
      <c r="AD36" s="99">
        <v>16</v>
      </c>
      <c r="AE36" s="99">
        <v>12172.8</v>
      </c>
      <c r="AF36" s="99">
        <v>20.364395230237601</v>
      </c>
      <c r="AG36" s="99">
        <v>15493.231891164767</v>
      </c>
      <c r="AH36" s="99">
        <v>11.648580977520325</v>
      </c>
      <c r="AI36" s="99">
        <v>8862.2404076974635</v>
      </c>
      <c r="AJ36" s="99">
        <v>13</v>
      </c>
      <c r="AK36" s="99">
        <v>9890.4</v>
      </c>
      <c r="AL36" s="99">
        <v>14.610964591735646</v>
      </c>
      <c r="AM36" s="99">
        <v>11116.021861392479</v>
      </c>
      <c r="AN36" s="99">
        <v>11.648580977520322</v>
      </c>
      <c r="AO36" s="99">
        <v>8862.2404076974599</v>
      </c>
      <c r="AP36" s="99">
        <v>2.2657821900392756</v>
      </c>
      <c r="AQ36" s="99">
        <v>1723.8070901818808</v>
      </c>
      <c r="AR36" s="99">
        <v>20</v>
      </c>
      <c r="AS36" s="99">
        <v>15216</v>
      </c>
      <c r="AT36" s="99">
        <v>16</v>
      </c>
      <c r="AU36" s="99">
        <v>12172.8</v>
      </c>
      <c r="AV36" s="99">
        <v>20</v>
      </c>
      <c r="AW36" s="99">
        <v>15216</v>
      </c>
      <c r="AX36" s="99">
        <v>18</v>
      </c>
      <c r="AY36" s="99">
        <v>13694.4</v>
      </c>
      <c r="AZ36" s="99">
        <v>13</v>
      </c>
      <c r="BA36" s="99">
        <v>9890.4</v>
      </c>
      <c r="BB36" s="99">
        <v>14</v>
      </c>
      <c r="BC36" s="99">
        <v>10651.199999999999</v>
      </c>
      <c r="BD36" s="99">
        <v>16</v>
      </c>
      <c r="BE36" s="99">
        <v>12172.8</v>
      </c>
      <c r="BF36" s="99">
        <v>20</v>
      </c>
      <c r="BG36" s="99">
        <v>15216</v>
      </c>
      <c r="BH36" s="99">
        <v>20.008082861783961</v>
      </c>
      <c r="BI36" s="99">
        <v>15222.149441245238</v>
      </c>
      <c r="BJ36" s="99">
        <v>13.077433016254448</v>
      </c>
      <c r="BK36" s="99">
        <v>9949.3110387663837</v>
      </c>
      <c r="BL36" s="99">
        <v>11.415115572249148</v>
      </c>
      <c r="BM36" s="99">
        <v>8684.6199273671518</v>
      </c>
      <c r="BN36" s="99">
        <v>14.884003893821943</v>
      </c>
      <c r="BO36" s="99">
        <v>11323.750162419734</v>
      </c>
      <c r="BP36" s="99">
        <v>17.764252058035368</v>
      </c>
      <c r="BQ36" s="99">
        <v>13515.042965753308</v>
      </c>
      <c r="BR36" s="99">
        <v>14.293532172601397</v>
      </c>
      <c r="BS36" s="99">
        <v>10874.519276915142</v>
      </c>
      <c r="BT36" s="99">
        <v>11.187297486784674</v>
      </c>
      <c r="BU36" s="99">
        <v>8511.2959279457791</v>
      </c>
      <c r="BV36" s="99">
        <v>3.1516132265178989</v>
      </c>
      <c r="BW36" s="99">
        <v>2397.7473427348173</v>
      </c>
      <c r="BX36" s="99">
        <v>10.761536062574651</v>
      </c>
      <c r="BY36" s="99">
        <v>8187.3766364067942</v>
      </c>
      <c r="BZ36" s="99">
        <v>16</v>
      </c>
      <c r="CA36" s="99">
        <v>12172.8</v>
      </c>
      <c r="CB36" s="99">
        <v>10.003059264838496</v>
      </c>
      <c r="CC36" s="99">
        <v>7610.3274886891277</v>
      </c>
      <c r="CD36" s="99">
        <v>15.900020777369695</v>
      </c>
      <c r="CE36" s="99">
        <v>12096.735807422863</v>
      </c>
      <c r="CF36" s="99">
        <v>15</v>
      </c>
      <c r="CG36" s="99">
        <v>11412</v>
      </c>
      <c r="CH36" s="99">
        <v>21</v>
      </c>
      <c r="CI36" s="99">
        <v>15976.8</v>
      </c>
      <c r="CJ36" s="99">
        <v>17</v>
      </c>
      <c r="CK36" s="99">
        <v>12933.599999999999</v>
      </c>
      <c r="CL36" s="99">
        <v>24</v>
      </c>
      <c r="CM36" s="99">
        <v>18259.199999999997</v>
      </c>
      <c r="CN36" s="99">
        <v>6.1492056130492312</v>
      </c>
      <c r="CO36" s="99">
        <v>4678.3156304078548</v>
      </c>
      <c r="CP36" s="99">
        <v>22</v>
      </c>
      <c r="CQ36" s="99">
        <v>16737.599999999999</v>
      </c>
      <c r="CR36" s="99">
        <v>10.784259312470656</v>
      </c>
      <c r="CS36" s="99">
        <v>8204.6644849276745</v>
      </c>
      <c r="CT36" s="99">
        <v>12.650792100631806</v>
      </c>
      <c r="CU36" s="99">
        <v>9624.722630160677</v>
      </c>
    </row>
    <row r="37" spans="2:99">
      <c r="B37" s="98" t="s">
        <v>128</v>
      </c>
      <c r="C37" s="98" t="s">
        <v>203</v>
      </c>
      <c r="D37" s="99">
        <v>1.531801666516571</v>
      </c>
      <c r="E37" s="99">
        <v>1317.9621538708577</v>
      </c>
      <c r="F37" s="99">
        <v>1.3835604195253612</v>
      </c>
      <c r="G37" s="99">
        <v>1190.4153849596207</v>
      </c>
      <c r="H37" s="99">
        <v>4.5880684697575624</v>
      </c>
      <c r="I37" s="99">
        <v>3947.5741113794065</v>
      </c>
      <c r="J37" s="99">
        <v>1.3019499222025477</v>
      </c>
      <c r="K37" s="99">
        <v>1120.1977130630719</v>
      </c>
      <c r="L37" s="99">
        <v>11</v>
      </c>
      <c r="M37" s="99">
        <v>9464.4</v>
      </c>
      <c r="N37" s="99">
        <v>7</v>
      </c>
      <c r="O37" s="99">
        <v>6022.8</v>
      </c>
      <c r="P37" s="99">
        <v>13</v>
      </c>
      <c r="Q37" s="99">
        <v>11185.199999999999</v>
      </c>
      <c r="R37" s="99">
        <v>13</v>
      </c>
      <c r="S37" s="99">
        <v>11185.199999999999</v>
      </c>
      <c r="T37" s="99">
        <v>10</v>
      </c>
      <c r="U37" s="99">
        <v>8604</v>
      </c>
      <c r="V37" s="99">
        <v>12</v>
      </c>
      <c r="W37" s="99">
        <v>10324.799999999999</v>
      </c>
      <c r="X37" s="99">
        <v>11</v>
      </c>
      <c r="Y37" s="99">
        <v>9464.4</v>
      </c>
      <c r="Z37" s="99">
        <v>14</v>
      </c>
      <c r="AA37" s="99">
        <v>12045.6</v>
      </c>
      <c r="AB37" s="99">
        <v>12</v>
      </c>
      <c r="AC37" s="99">
        <v>10324.799999999999</v>
      </c>
      <c r="AD37" s="99">
        <v>8</v>
      </c>
      <c r="AE37" s="99">
        <v>6883.2</v>
      </c>
      <c r="AF37" s="99">
        <v>11.107851943765963</v>
      </c>
      <c r="AG37" s="99">
        <v>9557.1958124162338</v>
      </c>
      <c r="AH37" s="99">
        <v>10.752536286941838</v>
      </c>
      <c r="AI37" s="99">
        <v>9251.4822212847575</v>
      </c>
      <c r="AJ37" s="99">
        <v>7</v>
      </c>
      <c r="AK37" s="99">
        <v>6022.8</v>
      </c>
      <c r="AL37" s="99">
        <v>6.8757480431697156</v>
      </c>
      <c r="AM37" s="99">
        <v>5915.8936163432227</v>
      </c>
      <c r="AN37" s="99">
        <v>7.1683575246278908</v>
      </c>
      <c r="AO37" s="99">
        <v>6167.6548141898375</v>
      </c>
      <c r="AP37" s="99">
        <v>1.1328910950196378</v>
      </c>
      <c r="AQ37" s="99">
        <v>974.7394981548963</v>
      </c>
      <c r="AR37" s="99">
        <v>9</v>
      </c>
      <c r="AS37" s="99">
        <v>7743.5999999999995</v>
      </c>
      <c r="AT37" s="99">
        <v>9</v>
      </c>
      <c r="AU37" s="99">
        <v>7743.5999999999995</v>
      </c>
      <c r="AV37" s="99">
        <v>13</v>
      </c>
      <c r="AW37" s="99">
        <v>11185.199999999999</v>
      </c>
      <c r="AX37" s="99">
        <v>11</v>
      </c>
      <c r="AY37" s="99">
        <v>9464.4</v>
      </c>
      <c r="AZ37" s="99">
        <v>7</v>
      </c>
      <c r="BA37" s="99">
        <v>6022.8</v>
      </c>
      <c r="BB37" s="99">
        <v>8</v>
      </c>
      <c r="BC37" s="99">
        <v>6883.2</v>
      </c>
      <c r="BD37" s="99">
        <v>11</v>
      </c>
      <c r="BE37" s="99">
        <v>9464.4</v>
      </c>
      <c r="BF37" s="99">
        <v>11</v>
      </c>
      <c r="BG37" s="99">
        <v>9464.4</v>
      </c>
      <c r="BH37" s="99">
        <v>8.3367011924099845</v>
      </c>
      <c r="BI37" s="99">
        <v>7172.8977059495501</v>
      </c>
      <c r="BJ37" s="99">
        <v>8.4069212247350027</v>
      </c>
      <c r="BK37" s="99">
        <v>7233.3150217619959</v>
      </c>
      <c r="BL37" s="99">
        <v>7.0246865059994761</v>
      </c>
      <c r="BM37" s="99">
        <v>6044.0402697619493</v>
      </c>
      <c r="BN37" s="99">
        <v>8.6170548858969145</v>
      </c>
      <c r="BO37" s="99">
        <v>7414.1140238257049</v>
      </c>
      <c r="BP37" s="99">
        <v>7.6132508820151577</v>
      </c>
      <c r="BQ37" s="99">
        <v>6550.4410588858418</v>
      </c>
      <c r="BR37" s="99">
        <v>10.323106569101009</v>
      </c>
      <c r="BS37" s="99">
        <v>8882.0008920545079</v>
      </c>
      <c r="BT37" s="99">
        <v>9.5175601723628986</v>
      </c>
      <c r="BU37" s="99">
        <v>8188.908772301038</v>
      </c>
      <c r="BV37" s="99">
        <v>2.0485485972366342</v>
      </c>
      <c r="BW37" s="99">
        <v>1762.5712130623999</v>
      </c>
      <c r="BX37" s="99">
        <v>7.6868114732676078</v>
      </c>
      <c r="BY37" s="99">
        <v>6613.7325915994497</v>
      </c>
      <c r="BZ37" s="99">
        <v>16</v>
      </c>
      <c r="CA37" s="99">
        <v>13766.4</v>
      </c>
      <c r="CB37" s="99">
        <v>6.8577865199364565</v>
      </c>
      <c r="CC37" s="99">
        <v>5900.4395217533274</v>
      </c>
      <c r="CD37" s="99">
        <v>8.3684319880893128</v>
      </c>
      <c r="CE37" s="99">
        <v>7200.1988825520448</v>
      </c>
      <c r="CF37" s="99">
        <v>9</v>
      </c>
      <c r="CG37" s="99">
        <v>7743.5999999999995</v>
      </c>
      <c r="CH37" s="99">
        <v>10</v>
      </c>
      <c r="CI37" s="99">
        <v>8604</v>
      </c>
      <c r="CJ37" s="99">
        <v>9</v>
      </c>
      <c r="CK37" s="99">
        <v>7743.5999999999995</v>
      </c>
      <c r="CL37" s="99">
        <v>11</v>
      </c>
      <c r="CM37" s="99">
        <v>9464.4</v>
      </c>
      <c r="CN37" s="99">
        <v>4.2073512089284213</v>
      </c>
      <c r="CO37" s="99">
        <v>3620.0049801620135</v>
      </c>
      <c r="CP37" s="99">
        <v>9</v>
      </c>
      <c r="CQ37" s="99">
        <v>7743.5999999999995</v>
      </c>
      <c r="CR37" s="99">
        <v>10.784259312470656</v>
      </c>
      <c r="CS37" s="99">
        <v>9278.7767124497514</v>
      </c>
      <c r="CT37" s="99">
        <v>9.8395049671580708</v>
      </c>
      <c r="CU37" s="99">
        <v>8465.9100737428034</v>
      </c>
    </row>
    <row r="38" spans="2:99">
      <c r="C38" s="98" t="s">
        <v>204</v>
      </c>
      <c r="D38" s="99">
        <v>1.7871019442693328</v>
      </c>
      <c r="E38" s="99">
        <v>2219.5806147825115</v>
      </c>
      <c r="F38" s="99">
        <v>1.3835604195253612</v>
      </c>
      <c r="G38" s="99">
        <v>1718.3820410504986</v>
      </c>
      <c r="H38" s="99">
        <v>4.5880684697575624</v>
      </c>
      <c r="I38" s="99">
        <v>5698.3810394388929</v>
      </c>
      <c r="J38" s="99">
        <v>1.5386680898757381</v>
      </c>
      <c r="K38" s="99">
        <v>1911.0257676256667</v>
      </c>
      <c r="L38" s="99">
        <v>11</v>
      </c>
      <c r="M38" s="99">
        <v>13662</v>
      </c>
      <c r="N38" s="99">
        <v>7</v>
      </c>
      <c r="O38" s="99">
        <v>8694</v>
      </c>
      <c r="P38" s="99">
        <v>12</v>
      </c>
      <c r="Q38" s="99">
        <v>14904</v>
      </c>
      <c r="R38" s="99">
        <v>13</v>
      </c>
      <c r="S38" s="99">
        <v>16146</v>
      </c>
      <c r="T38" s="99">
        <v>8</v>
      </c>
      <c r="U38" s="99">
        <v>9936</v>
      </c>
      <c r="V38" s="99">
        <v>13</v>
      </c>
      <c r="W38" s="99">
        <v>16146</v>
      </c>
      <c r="X38" s="99">
        <v>10</v>
      </c>
      <c r="Y38" s="99">
        <v>12420</v>
      </c>
      <c r="Z38" s="99">
        <v>12</v>
      </c>
      <c r="AA38" s="99">
        <v>14904</v>
      </c>
      <c r="AB38" s="99">
        <v>11</v>
      </c>
      <c r="AC38" s="99">
        <v>13662</v>
      </c>
      <c r="AD38" s="99">
        <v>8</v>
      </c>
      <c r="AE38" s="99">
        <v>9936</v>
      </c>
      <c r="AF38" s="99">
        <v>10.182197615118801</v>
      </c>
      <c r="AG38" s="99">
        <v>12646.28943797755</v>
      </c>
      <c r="AH38" s="99">
        <v>10.752536286941838</v>
      </c>
      <c r="AI38" s="99">
        <v>13354.650068381763</v>
      </c>
      <c r="AJ38" s="99">
        <v>8</v>
      </c>
      <c r="AK38" s="99">
        <v>9936</v>
      </c>
      <c r="AL38" s="99">
        <v>6.8757480431697156</v>
      </c>
      <c r="AM38" s="99">
        <v>8539.6790696167864</v>
      </c>
      <c r="AN38" s="99">
        <v>7.1683575246278908</v>
      </c>
      <c r="AO38" s="99">
        <v>8903.1000455878402</v>
      </c>
      <c r="AP38" s="99">
        <v>1.1328910950196378</v>
      </c>
      <c r="AQ38" s="99">
        <v>1407.0507400143902</v>
      </c>
      <c r="AR38" s="99">
        <v>8</v>
      </c>
      <c r="AS38" s="99">
        <v>9936</v>
      </c>
      <c r="AT38" s="99">
        <v>8</v>
      </c>
      <c r="AU38" s="99">
        <v>9936</v>
      </c>
      <c r="AV38" s="99">
        <v>13</v>
      </c>
      <c r="AW38" s="99">
        <v>16146</v>
      </c>
      <c r="AX38" s="99">
        <v>13</v>
      </c>
      <c r="AY38" s="99">
        <v>16146</v>
      </c>
      <c r="AZ38" s="99">
        <v>8</v>
      </c>
      <c r="BA38" s="99">
        <v>9936</v>
      </c>
      <c r="BB38" s="99">
        <v>9</v>
      </c>
      <c r="BC38" s="99">
        <v>11178</v>
      </c>
      <c r="BD38" s="99">
        <v>13</v>
      </c>
      <c r="BE38" s="99">
        <v>16146</v>
      </c>
      <c r="BF38" s="99">
        <v>12</v>
      </c>
      <c r="BG38" s="99">
        <v>14904</v>
      </c>
      <c r="BH38" s="99">
        <v>7.5030310731689864</v>
      </c>
      <c r="BI38" s="99">
        <v>9318.7645928758811</v>
      </c>
      <c r="BJ38" s="99">
        <v>7.4728188664311128</v>
      </c>
      <c r="BK38" s="99">
        <v>9281.2410321074422</v>
      </c>
      <c r="BL38" s="99">
        <v>7.0246865059994761</v>
      </c>
      <c r="BM38" s="99">
        <v>8724.6606404513495</v>
      </c>
      <c r="BN38" s="99">
        <v>8.6170548858969145</v>
      </c>
      <c r="BO38" s="99">
        <v>10702.382168283968</v>
      </c>
      <c r="BP38" s="99">
        <v>7.6132508820151577</v>
      </c>
      <c r="BQ38" s="99">
        <v>9455.6575954628261</v>
      </c>
      <c r="BR38" s="99">
        <v>10.323106569101009</v>
      </c>
      <c r="BS38" s="99">
        <v>12821.298358823453</v>
      </c>
      <c r="BT38" s="99">
        <v>10.249680185621582</v>
      </c>
      <c r="BU38" s="99">
        <v>12730.102790542005</v>
      </c>
      <c r="BV38" s="99">
        <v>1.8909679359107394</v>
      </c>
      <c r="BW38" s="99">
        <v>2348.5821764011384</v>
      </c>
      <c r="BX38" s="99">
        <v>7.6868114732676078</v>
      </c>
      <c r="BY38" s="99">
        <v>9547.0198497983693</v>
      </c>
      <c r="BZ38" s="99">
        <v>13</v>
      </c>
      <c r="CA38" s="99">
        <v>16146</v>
      </c>
      <c r="CB38" s="99">
        <v>6.8577865199364565</v>
      </c>
      <c r="CC38" s="99">
        <v>8517.3708577610796</v>
      </c>
      <c r="CD38" s="99">
        <v>7.5315887892803817</v>
      </c>
      <c r="CE38" s="99">
        <v>9354.2332762862334</v>
      </c>
      <c r="CF38" s="99">
        <v>9</v>
      </c>
      <c r="CG38" s="99">
        <v>11178</v>
      </c>
      <c r="CH38" s="99">
        <v>10</v>
      </c>
      <c r="CI38" s="99">
        <v>12420</v>
      </c>
      <c r="CJ38" s="99">
        <v>10</v>
      </c>
      <c r="CK38" s="99">
        <v>12420</v>
      </c>
      <c r="CL38" s="99">
        <v>11</v>
      </c>
      <c r="CM38" s="99">
        <v>13662</v>
      </c>
      <c r="CN38" s="99">
        <v>4.2073512089284213</v>
      </c>
      <c r="CO38" s="99">
        <v>5225.5302014890995</v>
      </c>
      <c r="CP38" s="99">
        <v>9</v>
      </c>
      <c r="CQ38" s="99">
        <v>11178</v>
      </c>
      <c r="CR38" s="99">
        <v>11.613817721122246</v>
      </c>
      <c r="CS38" s="99">
        <v>14424.361609633828</v>
      </c>
      <c r="CT38" s="99">
        <v>9.1366831837896356</v>
      </c>
      <c r="CU38" s="99">
        <v>11347.760514266727</v>
      </c>
    </row>
    <row r="39" spans="2:99">
      <c r="C39" s="98" t="s">
        <v>205</v>
      </c>
      <c r="D39" s="99">
        <v>1.6594518053929517</v>
      </c>
      <c r="E39" s="99">
        <v>2361.731809435249</v>
      </c>
      <c r="F39" s="99">
        <v>1.1707049703676136</v>
      </c>
      <c r="G39" s="99">
        <v>1666.1473138271876</v>
      </c>
      <c r="H39" s="99">
        <v>5.2435068225800716</v>
      </c>
      <c r="I39" s="99">
        <v>7462.5589098959581</v>
      </c>
      <c r="J39" s="99">
        <v>1.420309006039143</v>
      </c>
      <c r="K39" s="99">
        <v>2021.3837773949083</v>
      </c>
      <c r="L39" s="99">
        <v>10</v>
      </c>
      <c r="M39" s="99">
        <v>14232</v>
      </c>
      <c r="N39" s="99">
        <v>7</v>
      </c>
      <c r="O39" s="99">
        <v>9962.4</v>
      </c>
      <c r="P39" s="99">
        <v>13</v>
      </c>
      <c r="Q39" s="99">
        <v>18501.600000000002</v>
      </c>
      <c r="R39" s="99">
        <v>12</v>
      </c>
      <c r="S39" s="99">
        <v>17078.400000000001</v>
      </c>
      <c r="T39" s="99">
        <v>9</v>
      </c>
      <c r="U39" s="99">
        <v>12808.800000000001</v>
      </c>
      <c r="V39" s="99">
        <v>12</v>
      </c>
      <c r="W39" s="99">
        <v>17078.400000000001</v>
      </c>
      <c r="X39" s="99">
        <v>10</v>
      </c>
      <c r="Y39" s="99">
        <v>14232</v>
      </c>
      <c r="Z39" s="99">
        <v>12</v>
      </c>
      <c r="AA39" s="99">
        <v>17078.400000000001</v>
      </c>
      <c r="AB39" s="99">
        <v>13</v>
      </c>
      <c r="AC39" s="99">
        <v>18501.600000000002</v>
      </c>
      <c r="AD39" s="99">
        <v>8</v>
      </c>
      <c r="AE39" s="99">
        <v>11385.6</v>
      </c>
      <c r="AF39" s="99">
        <v>10.182197615118801</v>
      </c>
      <c r="AG39" s="99">
        <v>14491.303645837077</v>
      </c>
      <c r="AH39" s="99">
        <v>10.752536286941838</v>
      </c>
      <c r="AI39" s="99">
        <v>15303.009643575624</v>
      </c>
      <c r="AJ39" s="99">
        <v>8</v>
      </c>
      <c r="AK39" s="99">
        <v>11385.6</v>
      </c>
      <c r="AL39" s="99">
        <v>6.8757480431697156</v>
      </c>
      <c r="AM39" s="99">
        <v>9785.5646150391403</v>
      </c>
      <c r="AN39" s="99">
        <v>7.1683575246278908</v>
      </c>
      <c r="AO39" s="99">
        <v>10202.006429050414</v>
      </c>
      <c r="AP39" s="99">
        <v>1.1328910950196378</v>
      </c>
      <c r="AQ39" s="99">
        <v>1612.3306064319486</v>
      </c>
      <c r="AR39" s="99">
        <v>8</v>
      </c>
      <c r="AS39" s="99">
        <v>11385.6</v>
      </c>
      <c r="AT39" s="99">
        <v>7</v>
      </c>
      <c r="AU39" s="99">
        <v>9962.4</v>
      </c>
      <c r="AV39" s="99">
        <v>13</v>
      </c>
      <c r="AW39" s="99">
        <v>18501.600000000002</v>
      </c>
      <c r="AX39" s="99">
        <v>11</v>
      </c>
      <c r="AY39" s="99">
        <v>15655.2</v>
      </c>
      <c r="AZ39" s="99">
        <v>8</v>
      </c>
      <c r="BA39" s="99">
        <v>11385.6</v>
      </c>
      <c r="BB39" s="99">
        <v>8</v>
      </c>
      <c r="BC39" s="99">
        <v>11385.6</v>
      </c>
      <c r="BD39" s="99">
        <v>11</v>
      </c>
      <c r="BE39" s="99">
        <v>15655.2</v>
      </c>
      <c r="BF39" s="99">
        <v>11</v>
      </c>
      <c r="BG39" s="99">
        <v>15655.2</v>
      </c>
      <c r="BH39" s="99">
        <v>6.6693609539279874</v>
      </c>
      <c r="BI39" s="99">
        <v>9491.8345096303128</v>
      </c>
      <c r="BJ39" s="99">
        <v>7.4728188664311128</v>
      </c>
      <c r="BK39" s="99">
        <v>10635.31581070476</v>
      </c>
      <c r="BL39" s="99">
        <v>7.0246865059994761</v>
      </c>
      <c r="BM39" s="99">
        <v>9997.5338353384541</v>
      </c>
      <c r="BN39" s="99">
        <v>9.4004235118875439</v>
      </c>
      <c r="BO39" s="99">
        <v>13378.682742118353</v>
      </c>
      <c r="BP39" s="99">
        <v>6.7673341173468069</v>
      </c>
      <c r="BQ39" s="99">
        <v>9631.2699158079758</v>
      </c>
      <c r="BR39" s="99">
        <v>10.323106569101009</v>
      </c>
      <c r="BS39" s="99">
        <v>14691.845269144556</v>
      </c>
      <c r="BT39" s="99">
        <v>9.5175601723628986</v>
      </c>
      <c r="BU39" s="99">
        <v>13545.391637306877</v>
      </c>
      <c r="BV39" s="99">
        <v>2.0485485972366342</v>
      </c>
      <c r="BW39" s="99">
        <v>2915.4943635871778</v>
      </c>
      <c r="BX39" s="99">
        <v>7.6868114732676078</v>
      </c>
      <c r="BY39" s="99">
        <v>10939.87008875446</v>
      </c>
      <c r="BZ39" s="99">
        <v>13</v>
      </c>
      <c r="CA39" s="99">
        <v>18501.600000000002</v>
      </c>
      <c r="CB39" s="99">
        <v>6.8577865199364565</v>
      </c>
      <c r="CC39" s="99">
        <v>9760.001775173565</v>
      </c>
      <c r="CD39" s="99">
        <v>8.3684319880893128</v>
      </c>
      <c r="CE39" s="99">
        <v>11909.95240544871</v>
      </c>
      <c r="CF39" s="99">
        <v>9</v>
      </c>
      <c r="CG39" s="99">
        <v>12808.800000000001</v>
      </c>
      <c r="CH39" s="99">
        <v>11</v>
      </c>
      <c r="CI39" s="99">
        <v>15655.2</v>
      </c>
      <c r="CJ39" s="99">
        <v>9</v>
      </c>
      <c r="CK39" s="99">
        <v>12808.800000000001</v>
      </c>
      <c r="CL39" s="99">
        <v>12</v>
      </c>
      <c r="CM39" s="99">
        <v>17078.400000000001</v>
      </c>
      <c r="CN39" s="99">
        <v>4.2073512089284213</v>
      </c>
      <c r="CO39" s="99">
        <v>5987.9022405469295</v>
      </c>
      <c r="CP39" s="99">
        <v>10</v>
      </c>
      <c r="CQ39" s="99">
        <v>14232</v>
      </c>
      <c r="CR39" s="99">
        <v>10.784259312470656</v>
      </c>
      <c r="CS39" s="99">
        <v>15348.157853508239</v>
      </c>
      <c r="CT39" s="99">
        <v>9.8395049671580708</v>
      </c>
      <c r="CU39" s="99">
        <v>14003.583469259367</v>
      </c>
    </row>
    <row r="40" spans="2:99">
      <c r="C40" s="98" t="s">
        <v>206</v>
      </c>
      <c r="D40" s="99">
        <v>1.7871019442693328</v>
      </c>
      <c r="E40" s="99">
        <v>1295.2914892064123</v>
      </c>
      <c r="F40" s="99">
        <v>1.1707049703676136</v>
      </c>
      <c r="G40" s="99">
        <v>848.5269625224463</v>
      </c>
      <c r="H40" s="99">
        <v>5.2435068225800716</v>
      </c>
      <c r="I40" s="99">
        <v>3800.4937450060356</v>
      </c>
      <c r="J40" s="99">
        <v>1.420309006039143</v>
      </c>
      <c r="K40" s="99">
        <v>1029.4399675771708</v>
      </c>
      <c r="L40" s="99">
        <v>11</v>
      </c>
      <c r="M40" s="99">
        <v>7972.7999999999993</v>
      </c>
      <c r="N40" s="99">
        <v>8</v>
      </c>
      <c r="O40" s="99">
        <v>5798.4</v>
      </c>
      <c r="P40" s="99">
        <v>14</v>
      </c>
      <c r="Q40" s="99">
        <v>10147.199999999999</v>
      </c>
      <c r="R40" s="99">
        <v>14</v>
      </c>
      <c r="S40" s="99">
        <v>10147.199999999999</v>
      </c>
      <c r="T40" s="99">
        <v>10</v>
      </c>
      <c r="U40" s="99">
        <v>7248</v>
      </c>
      <c r="V40" s="99">
        <v>12</v>
      </c>
      <c r="W40" s="99">
        <v>8697.5999999999985</v>
      </c>
      <c r="X40" s="99">
        <v>13</v>
      </c>
      <c r="Y40" s="99">
        <v>9422.4</v>
      </c>
      <c r="Z40" s="99">
        <v>12</v>
      </c>
      <c r="AA40" s="99">
        <v>8697.5999999999985</v>
      </c>
      <c r="AB40" s="99">
        <v>13</v>
      </c>
      <c r="AC40" s="99">
        <v>9422.4</v>
      </c>
      <c r="AD40" s="99">
        <v>8</v>
      </c>
      <c r="AE40" s="99">
        <v>5798.4</v>
      </c>
      <c r="AF40" s="99">
        <v>10.182197615118801</v>
      </c>
      <c r="AG40" s="99">
        <v>7380.0568314381062</v>
      </c>
      <c r="AH40" s="99">
        <v>11.648580977520325</v>
      </c>
      <c r="AI40" s="99">
        <v>8442.8914925067311</v>
      </c>
      <c r="AJ40" s="99">
        <v>8</v>
      </c>
      <c r="AK40" s="99">
        <v>5798.4</v>
      </c>
      <c r="AL40" s="99">
        <v>6.0162795377735012</v>
      </c>
      <c r="AM40" s="99">
        <v>4360.5994089782334</v>
      </c>
      <c r="AN40" s="99">
        <v>7.1683575246278908</v>
      </c>
      <c r="AO40" s="99">
        <v>5195.6255338502951</v>
      </c>
      <c r="AP40" s="99">
        <v>0.99127970814218314</v>
      </c>
      <c r="AQ40" s="99">
        <v>718.47953246145426</v>
      </c>
      <c r="AR40" s="99">
        <v>9</v>
      </c>
      <c r="AS40" s="99">
        <v>6523.2</v>
      </c>
      <c r="AT40" s="99">
        <v>8</v>
      </c>
      <c r="AU40" s="99">
        <v>5798.4</v>
      </c>
      <c r="AV40" s="99">
        <v>13</v>
      </c>
      <c r="AW40" s="99">
        <v>9422.4</v>
      </c>
      <c r="AX40" s="99">
        <v>12</v>
      </c>
      <c r="AY40" s="99">
        <v>8697.5999999999985</v>
      </c>
      <c r="AZ40" s="99">
        <v>8</v>
      </c>
      <c r="BA40" s="99">
        <v>5798.4</v>
      </c>
      <c r="BB40" s="99">
        <v>8</v>
      </c>
      <c r="BC40" s="99">
        <v>5798.4</v>
      </c>
      <c r="BD40" s="99">
        <v>13</v>
      </c>
      <c r="BE40" s="99">
        <v>9422.4</v>
      </c>
      <c r="BF40" s="99">
        <v>11</v>
      </c>
      <c r="BG40" s="99">
        <v>7972.7999999999993</v>
      </c>
      <c r="BH40" s="99">
        <v>7.5030310731689864</v>
      </c>
      <c r="BI40" s="99">
        <v>5438.1969218328813</v>
      </c>
      <c r="BJ40" s="99">
        <v>8.4069212247350027</v>
      </c>
      <c r="BK40" s="99">
        <v>6093.3365036879295</v>
      </c>
      <c r="BL40" s="99">
        <v>7.0246865059994761</v>
      </c>
      <c r="BM40" s="99">
        <v>5091.49277954842</v>
      </c>
      <c r="BN40" s="99">
        <v>8.6170548858969145</v>
      </c>
      <c r="BO40" s="99">
        <v>6245.6413812980836</v>
      </c>
      <c r="BP40" s="99">
        <v>6.7673341173468069</v>
      </c>
      <c r="BQ40" s="99">
        <v>4904.9637682529656</v>
      </c>
      <c r="BR40" s="99">
        <v>11.117191689801087</v>
      </c>
      <c r="BS40" s="99">
        <v>8057.7405367678275</v>
      </c>
      <c r="BT40" s="99">
        <v>10.249680185621582</v>
      </c>
      <c r="BU40" s="99">
        <v>7428.9681985385223</v>
      </c>
      <c r="BV40" s="99">
        <v>2.2061292585625294</v>
      </c>
      <c r="BW40" s="99">
        <v>1599.0024866061212</v>
      </c>
      <c r="BX40" s="99">
        <v>7.6868114732676078</v>
      </c>
      <c r="BY40" s="99">
        <v>5571.4009558243615</v>
      </c>
      <c r="BZ40" s="99">
        <v>15</v>
      </c>
      <c r="CA40" s="99">
        <v>10872</v>
      </c>
      <c r="CB40" s="99">
        <v>6.8577865199364565</v>
      </c>
      <c r="CC40" s="99">
        <v>4970.5236696499433</v>
      </c>
      <c r="CD40" s="99">
        <v>8.3684319880893128</v>
      </c>
      <c r="CE40" s="99">
        <v>6065.4395049671339</v>
      </c>
      <c r="CF40" s="99">
        <v>9</v>
      </c>
      <c r="CG40" s="99">
        <v>6523.2</v>
      </c>
      <c r="CH40" s="99">
        <v>10</v>
      </c>
      <c r="CI40" s="99">
        <v>7248</v>
      </c>
      <c r="CJ40" s="99">
        <v>9</v>
      </c>
      <c r="CK40" s="99">
        <v>6523.2</v>
      </c>
      <c r="CL40" s="99">
        <v>12</v>
      </c>
      <c r="CM40" s="99">
        <v>8697.5999999999985</v>
      </c>
      <c r="CN40" s="99">
        <v>4.2073512089284213</v>
      </c>
      <c r="CO40" s="99">
        <v>3049.4881562313194</v>
      </c>
      <c r="CP40" s="99">
        <v>9</v>
      </c>
      <c r="CQ40" s="99">
        <v>6523.2</v>
      </c>
      <c r="CR40" s="99">
        <v>10.784259312470656</v>
      </c>
      <c r="CS40" s="99">
        <v>7816.4311496787313</v>
      </c>
      <c r="CT40" s="99">
        <v>10.542326750526504</v>
      </c>
      <c r="CU40" s="99">
        <v>7641.0784287816095</v>
      </c>
    </row>
    <row r="41" spans="2:99">
      <c r="C41" s="98" t="s">
        <v>207</v>
      </c>
      <c r="D41" s="99">
        <v>1.6594518053929517</v>
      </c>
      <c r="E41" s="99">
        <v>1095.238191559348</v>
      </c>
      <c r="F41" s="99">
        <v>1.3835604195253612</v>
      </c>
      <c r="G41" s="99">
        <v>913.14987688673841</v>
      </c>
      <c r="H41" s="99">
        <v>5.2435068225800716</v>
      </c>
      <c r="I41" s="99">
        <v>3460.7145029028475</v>
      </c>
      <c r="J41" s="99">
        <v>1.420309006039143</v>
      </c>
      <c r="K41" s="99">
        <v>937.40394398583442</v>
      </c>
      <c r="L41" s="99">
        <v>11</v>
      </c>
      <c r="M41" s="99">
        <v>7260</v>
      </c>
      <c r="N41" s="99">
        <v>7</v>
      </c>
      <c r="O41" s="99">
        <v>4620</v>
      </c>
      <c r="P41" s="99">
        <v>15</v>
      </c>
      <c r="Q41" s="99">
        <v>9900</v>
      </c>
      <c r="R41" s="99">
        <v>13</v>
      </c>
      <c r="S41" s="99">
        <v>8580</v>
      </c>
      <c r="T41" s="99">
        <v>9</v>
      </c>
      <c r="U41" s="99">
        <v>5940</v>
      </c>
      <c r="V41" s="99">
        <v>13</v>
      </c>
      <c r="W41" s="99">
        <v>8580</v>
      </c>
      <c r="X41" s="99">
        <v>12</v>
      </c>
      <c r="Y41" s="99">
        <v>7920</v>
      </c>
      <c r="Z41" s="99">
        <v>13</v>
      </c>
      <c r="AA41" s="99">
        <v>8580</v>
      </c>
      <c r="AB41" s="99">
        <v>13</v>
      </c>
      <c r="AC41" s="99">
        <v>8580</v>
      </c>
      <c r="AD41" s="99">
        <v>8</v>
      </c>
      <c r="AE41" s="99">
        <v>5280</v>
      </c>
      <c r="AF41" s="99">
        <v>10.182197615118801</v>
      </c>
      <c r="AG41" s="99">
        <v>6720.2504259784082</v>
      </c>
      <c r="AH41" s="99">
        <v>12.544625668098812</v>
      </c>
      <c r="AI41" s="99">
        <v>8279.4529409452152</v>
      </c>
      <c r="AJ41" s="99">
        <v>7</v>
      </c>
      <c r="AK41" s="99">
        <v>4620</v>
      </c>
      <c r="AL41" s="99">
        <v>6.8757480431697156</v>
      </c>
      <c r="AM41" s="99">
        <v>4537.993708492012</v>
      </c>
      <c r="AN41" s="99">
        <v>7.1683575246278908</v>
      </c>
      <c r="AO41" s="99">
        <v>4731.1159662544078</v>
      </c>
      <c r="AP41" s="99">
        <v>1.1328910950196378</v>
      </c>
      <c r="AQ41" s="99">
        <v>747.70812271296097</v>
      </c>
      <c r="AR41" s="99">
        <v>8</v>
      </c>
      <c r="AS41" s="99">
        <v>5280</v>
      </c>
      <c r="AT41" s="99">
        <v>8</v>
      </c>
      <c r="AU41" s="99">
        <v>5280</v>
      </c>
      <c r="AV41" s="99">
        <v>12</v>
      </c>
      <c r="AW41" s="99">
        <v>7920</v>
      </c>
      <c r="AX41" s="99">
        <v>12</v>
      </c>
      <c r="AY41" s="99">
        <v>7920</v>
      </c>
      <c r="AZ41" s="99">
        <v>9</v>
      </c>
      <c r="BA41" s="99">
        <v>5940</v>
      </c>
      <c r="BB41" s="99">
        <v>9</v>
      </c>
      <c r="BC41" s="99">
        <v>5940</v>
      </c>
      <c r="BD41" s="99">
        <v>12</v>
      </c>
      <c r="BE41" s="99">
        <v>7920</v>
      </c>
      <c r="BF41" s="99">
        <v>13</v>
      </c>
      <c r="BG41" s="99">
        <v>8580</v>
      </c>
      <c r="BH41" s="99">
        <v>8.3367011924099845</v>
      </c>
      <c r="BI41" s="99">
        <v>5502.2227869905901</v>
      </c>
      <c r="BJ41" s="99">
        <v>8.4069212247350027</v>
      </c>
      <c r="BK41" s="99">
        <v>5548.5680083251018</v>
      </c>
      <c r="BL41" s="99">
        <v>7.9027723192494106</v>
      </c>
      <c r="BM41" s="99">
        <v>5215.8297307046114</v>
      </c>
      <c r="BN41" s="99">
        <v>10.183792137878172</v>
      </c>
      <c r="BO41" s="99">
        <v>6721.302810999593</v>
      </c>
      <c r="BP41" s="99">
        <v>8.4591676466835075</v>
      </c>
      <c r="BQ41" s="99">
        <v>5583.0506468111153</v>
      </c>
      <c r="BR41" s="99">
        <v>10.323106569101009</v>
      </c>
      <c r="BS41" s="99">
        <v>6813.2503356066663</v>
      </c>
      <c r="BT41" s="99">
        <v>10.981800198880268</v>
      </c>
      <c r="BU41" s="99">
        <v>7247.9881312609768</v>
      </c>
      <c r="BV41" s="99">
        <v>2.0485485972366342</v>
      </c>
      <c r="BW41" s="99">
        <v>1352.0420741761786</v>
      </c>
      <c r="BX41" s="99">
        <v>8.4554926205943683</v>
      </c>
      <c r="BY41" s="99">
        <v>5580.625129592283</v>
      </c>
      <c r="BZ41" s="99">
        <v>14</v>
      </c>
      <c r="CA41" s="99">
        <v>9240</v>
      </c>
      <c r="CB41" s="99">
        <v>6.8577865199364565</v>
      </c>
      <c r="CC41" s="99">
        <v>4526.1391031580615</v>
      </c>
      <c r="CD41" s="99">
        <v>8.3684319880893128</v>
      </c>
      <c r="CE41" s="99">
        <v>5523.1651121389468</v>
      </c>
      <c r="CF41" s="99">
        <v>8</v>
      </c>
      <c r="CG41" s="99">
        <v>5280</v>
      </c>
      <c r="CH41" s="99">
        <v>10</v>
      </c>
      <c r="CI41" s="99">
        <v>6600</v>
      </c>
      <c r="CJ41" s="99">
        <v>10</v>
      </c>
      <c r="CK41" s="99">
        <v>6600</v>
      </c>
      <c r="CL41" s="99">
        <v>13</v>
      </c>
      <c r="CM41" s="99">
        <v>8580</v>
      </c>
      <c r="CN41" s="99">
        <v>4.2073512089284213</v>
      </c>
      <c r="CO41" s="99">
        <v>2776.851797892758</v>
      </c>
      <c r="CP41" s="99">
        <v>10</v>
      </c>
      <c r="CQ41" s="99">
        <v>6600</v>
      </c>
      <c r="CR41" s="99">
        <v>10.784259312470656</v>
      </c>
      <c r="CS41" s="99">
        <v>7117.6111462306326</v>
      </c>
      <c r="CT41" s="99">
        <v>11.245148533894939</v>
      </c>
      <c r="CU41" s="99">
        <v>7421.7980323706597</v>
      </c>
    </row>
    <row r="42" spans="2:99">
      <c r="C42" s="98" t="s">
        <v>208</v>
      </c>
      <c r="D42" s="99">
        <v>1.531801666516571</v>
      </c>
      <c r="E42" s="99">
        <v>1295.904209873019</v>
      </c>
      <c r="F42" s="99">
        <v>1.3835604195253612</v>
      </c>
      <c r="G42" s="99">
        <v>1170.4921149184556</v>
      </c>
      <c r="H42" s="99">
        <v>5.2435068225800716</v>
      </c>
      <c r="I42" s="99">
        <v>4436.0067719027402</v>
      </c>
      <c r="J42" s="99">
        <v>1.3019499222025477</v>
      </c>
      <c r="K42" s="99">
        <v>1101.4496341833553</v>
      </c>
      <c r="L42" s="99">
        <v>12</v>
      </c>
      <c r="M42" s="99">
        <v>10152</v>
      </c>
      <c r="N42" s="99">
        <v>7</v>
      </c>
      <c r="O42" s="99">
        <v>5922</v>
      </c>
      <c r="P42" s="99">
        <v>14</v>
      </c>
      <c r="Q42" s="99">
        <v>11844</v>
      </c>
      <c r="R42" s="99">
        <v>14</v>
      </c>
      <c r="S42" s="99">
        <v>11844</v>
      </c>
      <c r="T42" s="99">
        <v>9</v>
      </c>
      <c r="U42" s="99">
        <v>7614</v>
      </c>
      <c r="V42" s="99">
        <v>13</v>
      </c>
      <c r="W42" s="99">
        <v>10998</v>
      </c>
      <c r="X42" s="99">
        <v>13</v>
      </c>
      <c r="Y42" s="99">
        <v>10998</v>
      </c>
      <c r="Z42" s="99">
        <v>12</v>
      </c>
      <c r="AA42" s="99">
        <v>10152</v>
      </c>
      <c r="AB42" s="99">
        <v>12</v>
      </c>
      <c r="AC42" s="99">
        <v>10152</v>
      </c>
      <c r="AD42" s="99">
        <v>9</v>
      </c>
      <c r="AE42" s="99">
        <v>7614</v>
      </c>
      <c r="AF42" s="99">
        <v>9.2565432864716364</v>
      </c>
      <c r="AG42" s="99">
        <v>7831.0356203550045</v>
      </c>
      <c r="AH42" s="99">
        <v>10.752536286941838</v>
      </c>
      <c r="AI42" s="99">
        <v>9096.6456987527945</v>
      </c>
      <c r="AJ42" s="99">
        <v>8</v>
      </c>
      <c r="AK42" s="99">
        <v>6768</v>
      </c>
      <c r="AL42" s="99">
        <v>6.8757480431697156</v>
      </c>
      <c r="AM42" s="99">
        <v>5816.8828445215795</v>
      </c>
      <c r="AN42" s="99">
        <v>6.272312834049405</v>
      </c>
      <c r="AO42" s="99">
        <v>5306.3766576057969</v>
      </c>
      <c r="AP42" s="99">
        <v>1.1328910950196378</v>
      </c>
      <c r="AQ42" s="99">
        <v>958.42586638661362</v>
      </c>
      <c r="AR42" s="99">
        <v>9</v>
      </c>
      <c r="AS42" s="99">
        <v>7614</v>
      </c>
      <c r="AT42" s="99">
        <v>8</v>
      </c>
      <c r="AU42" s="99">
        <v>6768</v>
      </c>
      <c r="AV42" s="99">
        <v>13</v>
      </c>
      <c r="AW42" s="99">
        <v>10998</v>
      </c>
      <c r="AX42" s="99">
        <v>12</v>
      </c>
      <c r="AY42" s="99">
        <v>10152</v>
      </c>
      <c r="AZ42" s="99">
        <v>8</v>
      </c>
      <c r="BA42" s="99">
        <v>6768</v>
      </c>
      <c r="BB42" s="99">
        <v>9</v>
      </c>
      <c r="BC42" s="99">
        <v>7614</v>
      </c>
      <c r="BD42" s="99">
        <v>11</v>
      </c>
      <c r="BE42" s="99">
        <v>9306</v>
      </c>
      <c r="BF42" s="99">
        <v>13</v>
      </c>
      <c r="BG42" s="99">
        <v>10998</v>
      </c>
      <c r="BH42" s="99">
        <v>7.5030310731689864</v>
      </c>
      <c r="BI42" s="99">
        <v>6347.5642879009629</v>
      </c>
      <c r="BJ42" s="99">
        <v>8.4069212247350027</v>
      </c>
      <c r="BK42" s="99">
        <v>7112.2553561258119</v>
      </c>
      <c r="BL42" s="99">
        <v>7.9027723192494106</v>
      </c>
      <c r="BM42" s="99">
        <v>6685.7453820850014</v>
      </c>
      <c r="BN42" s="99">
        <v>9.4004235118875439</v>
      </c>
      <c r="BO42" s="99">
        <v>7952.7582910568617</v>
      </c>
      <c r="BP42" s="99">
        <v>7.6132508820151577</v>
      </c>
      <c r="BQ42" s="99">
        <v>6440.810246184823</v>
      </c>
      <c r="BR42" s="99">
        <v>11.117191689801087</v>
      </c>
      <c r="BS42" s="99">
        <v>9405.1441695717203</v>
      </c>
      <c r="BT42" s="99">
        <v>9.5175601723628986</v>
      </c>
      <c r="BU42" s="99">
        <v>8051.8559058190122</v>
      </c>
      <c r="BV42" s="99">
        <v>1.8909679359107394</v>
      </c>
      <c r="BW42" s="99">
        <v>1599.7588737804856</v>
      </c>
      <c r="BX42" s="99">
        <v>7.6868114732676078</v>
      </c>
      <c r="BY42" s="99">
        <v>6503.0425063843959</v>
      </c>
      <c r="BZ42" s="99">
        <v>15</v>
      </c>
      <c r="CA42" s="99">
        <v>12690</v>
      </c>
      <c r="CB42" s="99">
        <v>6.8577865199364565</v>
      </c>
      <c r="CC42" s="99">
        <v>5801.6873958662418</v>
      </c>
      <c r="CD42" s="99">
        <v>8.3684319880893128</v>
      </c>
      <c r="CE42" s="99">
        <v>7079.693461923559</v>
      </c>
      <c r="CF42" s="99">
        <v>9</v>
      </c>
      <c r="CG42" s="99">
        <v>7614</v>
      </c>
      <c r="CH42" s="99">
        <v>11</v>
      </c>
      <c r="CI42" s="99">
        <v>9306</v>
      </c>
      <c r="CJ42" s="99">
        <v>10</v>
      </c>
      <c r="CK42" s="99">
        <v>8460</v>
      </c>
      <c r="CL42" s="99">
        <v>12</v>
      </c>
      <c r="CM42" s="99">
        <v>10152</v>
      </c>
      <c r="CN42" s="99">
        <v>3.8837088082416198</v>
      </c>
      <c r="CO42" s="99">
        <v>3285.6176517724102</v>
      </c>
      <c r="CP42" s="99">
        <v>9</v>
      </c>
      <c r="CQ42" s="99">
        <v>7614</v>
      </c>
      <c r="CR42" s="99">
        <v>10.784259312470656</v>
      </c>
      <c r="CS42" s="99">
        <v>9123.4833783501745</v>
      </c>
      <c r="CT42" s="99">
        <v>9.1366831837896356</v>
      </c>
      <c r="CU42" s="99">
        <v>7729.6339734860321</v>
      </c>
    </row>
    <row r="43" spans="2:99">
      <c r="C43" s="98" t="s">
        <v>209</v>
      </c>
      <c r="D43" s="99">
        <v>1.6594518053929517</v>
      </c>
      <c r="E43" s="99">
        <v>1696.6235258337538</v>
      </c>
      <c r="F43" s="99">
        <v>1.2771326949464874</v>
      </c>
      <c r="G43" s="99">
        <v>1305.7404673132887</v>
      </c>
      <c r="H43" s="99">
        <v>5.2435068225800716</v>
      </c>
      <c r="I43" s="99">
        <v>5360.9613754058655</v>
      </c>
      <c r="J43" s="99">
        <v>1.420309006039143</v>
      </c>
      <c r="K43" s="99">
        <v>1452.1239277744198</v>
      </c>
      <c r="L43" s="99">
        <v>11</v>
      </c>
      <c r="M43" s="99">
        <v>11246.4</v>
      </c>
      <c r="N43" s="99">
        <v>7</v>
      </c>
      <c r="O43" s="99">
        <v>7156.8</v>
      </c>
      <c r="P43" s="99">
        <v>14</v>
      </c>
      <c r="Q43" s="99">
        <v>14313.6</v>
      </c>
      <c r="R43" s="99">
        <v>12</v>
      </c>
      <c r="S43" s="99">
        <v>12268.8</v>
      </c>
      <c r="T43" s="99">
        <v>10</v>
      </c>
      <c r="U43" s="99">
        <v>10224</v>
      </c>
      <c r="V43" s="99">
        <v>12</v>
      </c>
      <c r="W43" s="99">
        <v>12268.8</v>
      </c>
      <c r="X43" s="99">
        <v>10</v>
      </c>
      <c r="Y43" s="99">
        <v>10224</v>
      </c>
      <c r="Z43" s="99">
        <v>14</v>
      </c>
      <c r="AA43" s="99">
        <v>14313.6</v>
      </c>
      <c r="AB43" s="99">
        <v>11</v>
      </c>
      <c r="AC43" s="99">
        <v>11246.4</v>
      </c>
      <c r="AD43" s="99">
        <v>8</v>
      </c>
      <c r="AE43" s="99">
        <v>8179.2</v>
      </c>
      <c r="AF43" s="99">
        <v>11.107851943765963</v>
      </c>
      <c r="AG43" s="99">
        <v>11356.667827306321</v>
      </c>
      <c r="AH43" s="99">
        <v>10.752536286941838</v>
      </c>
      <c r="AI43" s="99">
        <v>10993.393099769335</v>
      </c>
      <c r="AJ43" s="99">
        <v>7</v>
      </c>
      <c r="AK43" s="99">
        <v>7156.8</v>
      </c>
      <c r="AL43" s="99">
        <v>6.0162795377735012</v>
      </c>
      <c r="AM43" s="99">
        <v>6151.0441994196271</v>
      </c>
      <c r="AN43" s="99">
        <v>7.1683575246278908</v>
      </c>
      <c r="AO43" s="99">
        <v>7328.9287331795558</v>
      </c>
      <c r="AP43" s="99">
        <v>1.1328910950196378</v>
      </c>
      <c r="AQ43" s="99">
        <v>1158.2678555480777</v>
      </c>
      <c r="AR43" s="99">
        <v>8</v>
      </c>
      <c r="AS43" s="99">
        <v>8179.2</v>
      </c>
      <c r="AT43" s="99">
        <v>8</v>
      </c>
      <c r="AU43" s="99">
        <v>8179.2</v>
      </c>
      <c r="AV43" s="99">
        <v>14</v>
      </c>
      <c r="AW43" s="99">
        <v>14313.6</v>
      </c>
      <c r="AX43" s="99">
        <v>11</v>
      </c>
      <c r="AY43" s="99">
        <v>11246.4</v>
      </c>
      <c r="AZ43" s="99">
        <v>7</v>
      </c>
      <c r="BA43" s="99">
        <v>7156.8</v>
      </c>
      <c r="BB43" s="99">
        <v>8</v>
      </c>
      <c r="BC43" s="99">
        <v>8179.2</v>
      </c>
      <c r="BD43" s="99">
        <v>12</v>
      </c>
      <c r="BE43" s="99">
        <v>12268.8</v>
      </c>
      <c r="BF43" s="99">
        <v>11</v>
      </c>
      <c r="BG43" s="99">
        <v>11246.4</v>
      </c>
      <c r="BH43" s="99">
        <v>6.6693609539279874</v>
      </c>
      <c r="BI43" s="99">
        <v>6818.7546392959739</v>
      </c>
      <c r="BJ43" s="99">
        <v>8.4069212247350027</v>
      </c>
      <c r="BK43" s="99">
        <v>8595.2362601690675</v>
      </c>
      <c r="BL43" s="99">
        <v>7.0246865059994761</v>
      </c>
      <c r="BM43" s="99">
        <v>7182.0394837338645</v>
      </c>
      <c r="BN43" s="99">
        <v>9.4004235118875439</v>
      </c>
      <c r="BO43" s="99">
        <v>9610.9929985538238</v>
      </c>
      <c r="BP43" s="99">
        <v>7.6132508820151577</v>
      </c>
      <c r="BQ43" s="99">
        <v>7783.7877017722967</v>
      </c>
      <c r="BR43" s="99">
        <v>11.117191689801087</v>
      </c>
      <c r="BS43" s="99">
        <v>11366.216783652631</v>
      </c>
      <c r="BT43" s="99">
        <v>10.249680185621582</v>
      </c>
      <c r="BU43" s="99">
        <v>10479.273021779505</v>
      </c>
      <c r="BV43" s="99">
        <v>1.8909679359107394</v>
      </c>
      <c r="BW43" s="99">
        <v>1933.3256176751399</v>
      </c>
      <c r="BX43" s="99">
        <v>7.6868114732676078</v>
      </c>
      <c r="BY43" s="99">
        <v>7858.9960502688018</v>
      </c>
      <c r="BZ43" s="99">
        <v>14</v>
      </c>
      <c r="CA43" s="99">
        <v>14313.6</v>
      </c>
      <c r="CB43" s="99">
        <v>7.4292687299311604</v>
      </c>
      <c r="CC43" s="99">
        <v>7595.6843494816185</v>
      </c>
      <c r="CD43" s="99">
        <v>7.5315887892803817</v>
      </c>
      <c r="CE43" s="99">
        <v>7700.2963781602621</v>
      </c>
      <c r="CF43" s="99">
        <v>8</v>
      </c>
      <c r="CG43" s="99">
        <v>8179.2</v>
      </c>
      <c r="CH43" s="99">
        <v>11</v>
      </c>
      <c r="CI43" s="99">
        <v>11246.4</v>
      </c>
      <c r="CJ43" s="99">
        <v>10</v>
      </c>
      <c r="CK43" s="99">
        <v>10224</v>
      </c>
      <c r="CL43" s="99">
        <v>11</v>
      </c>
      <c r="CM43" s="99">
        <v>11246.4</v>
      </c>
      <c r="CN43" s="99">
        <v>4.2073512089284213</v>
      </c>
      <c r="CO43" s="99">
        <v>4301.5958760084177</v>
      </c>
      <c r="CP43" s="99">
        <v>10</v>
      </c>
      <c r="CQ43" s="99">
        <v>10224</v>
      </c>
      <c r="CR43" s="99">
        <v>10.784259312470656</v>
      </c>
      <c r="CS43" s="99">
        <v>11025.826721069998</v>
      </c>
      <c r="CT43" s="99">
        <v>11.245148533894939</v>
      </c>
      <c r="CU43" s="99">
        <v>11497.039861054185</v>
      </c>
    </row>
    <row r="44" spans="2:99">
      <c r="C44" s="98" t="s">
        <v>210</v>
      </c>
      <c r="D44" s="99">
        <v>1.531801666516571</v>
      </c>
      <c r="E44" s="99">
        <v>1566.1140238465421</v>
      </c>
      <c r="F44" s="99">
        <v>1.1707049703676136</v>
      </c>
      <c r="G44" s="99">
        <v>1196.9287617038481</v>
      </c>
      <c r="H44" s="99">
        <v>4.5880684697575624</v>
      </c>
      <c r="I44" s="99">
        <v>4690.8412034801313</v>
      </c>
      <c r="J44" s="99">
        <v>1.420309006039143</v>
      </c>
      <c r="K44" s="99">
        <v>1452.1239277744198</v>
      </c>
      <c r="L44" s="99">
        <v>10</v>
      </c>
      <c r="M44" s="99">
        <v>10224</v>
      </c>
      <c r="N44" s="99">
        <v>8</v>
      </c>
      <c r="O44" s="99">
        <v>8179.2</v>
      </c>
      <c r="P44" s="99">
        <v>14</v>
      </c>
      <c r="Q44" s="99">
        <v>14313.6</v>
      </c>
      <c r="R44" s="99">
        <v>13</v>
      </c>
      <c r="S44" s="99">
        <v>13291.199999999999</v>
      </c>
      <c r="T44" s="99">
        <v>10</v>
      </c>
      <c r="U44" s="99">
        <v>10224</v>
      </c>
      <c r="V44" s="99">
        <v>13</v>
      </c>
      <c r="W44" s="99">
        <v>13291.199999999999</v>
      </c>
      <c r="X44" s="99">
        <v>12</v>
      </c>
      <c r="Y44" s="99">
        <v>12268.8</v>
      </c>
      <c r="Z44" s="99">
        <v>12</v>
      </c>
      <c r="AA44" s="99">
        <v>12268.8</v>
      </c>
      <c r="AB44" s="99">
        <v>13</v>
      </c>
      <c r="AC44" s="99">
        <v>13291.199999999999</v>
      </c>
      <c r="AD44" s="99">
        <v>7</v>
      </c>
      <c r="AE44" s="99">
        <v>7156.8</v>
      </c>
      <c r="AF44" s="99">
        <v>9.2565432864716364</v>
      </c>
      <c r="AG44" s="99">
        <v>9463.8898560886009</v>
      </c>
      <c r="AH44" s="99">
        <v>11.648580977520325</v>
      </c>
      <c r="AI44" s="99">
        <v>11909.509191416781</v>
      </c>
      <c r="AJ44" s="99">
        <v>7</v>
      </c>
      <c r="AK44" s="99">
        <v>7156.8</v>
      </c>
      <c r="AL44" s="99">
        <v>6.8757480431697156</v>
      </c>
      <c r="AM44" s="99">
        <v>7029.7647993367173</v>
      </c>
      <c r="AN44" s="99">
        <v>7.1683575246278908</v>
      </c>
      <c r="AO44" s="99">
        <v>7328.9287331795558</v>
      </c>
      <c r="AP44" s="99">
        <v>1.1328910950196378</v>
      </c>
      <c r="AQ44" s="99">
        <v>1158.2678555480777</v>
      </c>
      <c r="AR44" s="99">
        <v>9</v>
      </c>
      <c r="AS44" s="99">
        <v>9201.6</v>
      </c>
      <c r="AT44" s="99">
        <v>8</v>
      </c>
      <c r="AU44" s="99">
        <v>8179.2</v>
      </c>
      <c r="AV44" s="99">
        <v>12</v>
      </c>
      <c r="AW44" s="99">
        <v>12268.8</v>
      </c>
      <c r="AX44" s="99">
        <v>12</v>
      </c>
      <c r="AY44" s="99">
        <v>12268.8</v>
      </c>
      <c r="AZ44" s="99">
        <v>8</v>
      </c>
      <c r="BA44" s="99">
        <v>8179.2</v>
      </c>
      <c r="BB44" s="99">
        <v>10</v>
      </c>
      <c r="BC44" s="99">
        <v>10224</v>
      </c>
      <c r="BD44" s="99">
        <v>13</v>
      </c>
      <c r="BE44" s="99">
        <v>13291.199999999999</v>
      </c>
      <c r="BF44" s="99">
        <v>12</v>
      </c>
      <c r="BG44" s="99">
        <v>12268.8</v>
      </c>
      <c r="BH44" s="99">
        <v>7.5030310731689864</v>
      </c>
      <c r="BI44" s="99">
        <v>7671.098969207972</v>
      </c>
      <c r="BJ44" s="99">
        <v>8.4069212247350027</v>
      </c>
      <c r="BK44" s="99">
        <v>8595.2362601690675</v>
      </c>
      <c r="BL44" s="99">
        <v>7.9027723192494106</v>
      </c>
      <c r="BM44" s="99">
        <v>8079.7944192005971</v>
      </c>
      <c r="BN44" s="99">
        <v>8.6170548858969145</v>
      </c>
      <c r="BO44" s="99">
        <v>8810.0769153410056</v>
      </c>
      <c r="BP44" s="99">
        <v>7.6132508820151577</v>
      </c>
      <c r="BQ44" s="99">
        <v>7783.7877017722967</v>
      </c>
      <c r="BR44" s="99">
        <v>11.117191689801087</v>
      </c>
      <c r="BS44" s="99">
        <v>11366.216783652631</v>
      </c>
      <c r="BT44" s="99">
        <v>10.249680185621582</v>
      </c>
      <c r="BU44" s="99">
        <v>10479.273021779505</v>
      </c>
      <c r="BV44" s="99">
        <v>2.0485485972366342</v>
      </c>
      <c r="BW44" s="99">
        <v>2094.4360858147347</v>
      </c>
      <c r="BX44" s="99">
        <v>7.6868114732676078</v>
      </c>
      <c r="BY44" s="99">
        <v>7858.9960502688018</v>
      </c>
      <c r="BZ44" s="99">
        <v>15</v>
      </c>
      <c r="CA44" s="99">
        <v>15336</v>
      </c>
      <c r="CB44" s="99">
        <v>7.4292687299311604</v>
      </c>
      <c r="CC44" s="99">
        <v>7595.6843494816185</v>
      </c>
      <c r="CD44" s="99">
        <v>7.5315887892803817</v>
      </c>
      <c r="CE44" s="99">
        <v>7700.2963781602621</v>
      </c>
      <c r="CF44" s="99">
        <v>8</v>
      </c>
      <c r="CG44" s="99">
        <v>8179.2</v>
      </c>
      <c r="CH44" s="99">
        <v>11</v>
      </c>
      <c r="CI44" s="99">
        <v>11246.4</v>
      </c>
      <c r="CJ44" s="99">
        <v>10</v>
      </c>
      <c r="CK44" s="99">
        <v>10224</v>
      </c>
      <c r="CL44" s="99">
        <v>11</v>
      </c>
      <c r="CM44" s="99">
        <v>11246.4</v>
      </c>
      <c r="CN44" s="99">
        <v>3.8837088082416198</v>
      </c>
      <c r="CO44" s="99">
        <v>3970.703885546232</v>
      </c>
      <c r="CP44" s="99">
        <v>9</v>
      </c>
      <c r="CQ44" s="99">
        <v>9201.6</v>
      </c>
      <c r="CR44" s="99">
        <v>11.613817721122246</v>
      </c>
      <c r="CS44" s="99">
        <v>11873.967238075384</v>
      </c>
      <c r="CT44" s="99">
        <v>9.8395049671580708</v>
      </c>
      <c r="CU44" s="99">
        <v>10059.909878422412</v>
      </c>
    </row>
    <row r="45" spans="2:99">
      <c r="C45" s="98" t="s">
        <v>211</v>
      </c>
      <c r="D45" s="99">
        <v>1.7871019442693328</v>
      </c>
      <c r="E45" s="99">
        <v>2232.4477487812505</v>
      </c>
      <c r="F45" s="99">
        <v>1.2771326949464874</v>
      </c>
      <c r="G45" s="99">
        <v>1595.394162527152</v>
      </c>
      <c r="H45" s="99">
        <v>4.5880684697575624</v>
      </c>
      <c r="I45" s="99">
        <v>5731.4151324211471</v>
      </c>
      <c r="J45" s="99">
        <v>1.420309006039143</v>
      </c>
      <c r="K45" s="99">
        <v>1774.2500103440975</v>
      </c>
      <c r="L45" s="99">
        <v>11</v>
      </c>
      <c r="M45" s="99">
        <v>13741.2</v>
      </c>
      <c r="N45" s="99">
        <v>7</v>
      </c>
      <c r="O45" s="99">
        <v>8744.4</v>
      </c>
      <c r="P45" s="99">
        <v>13</v>
      </c>
      <c r="Q45" s="99">
        <v>16239.6</v>
      </c>
      <c r="R45" s="99">
        <v>14</v>
      </c>
      <c r="S45" s="99">
        <v>17488.8</v>
      </c>
      <c r="T45" s="99">
        <v>9</v>
      </c>
      <c r="U45" s="99">
        <v>11242.800000000001</v>
      </c>
      <c r="V45" s="99">
        <v>11</v>
      </c>
      <c r="W45" s="99">
        <v>13741.2</v>
      </c>
      <c r="X45" s="99">
        <v>11</v>
      </c>
      <c r="Y45" s="99">
        <v>13741.2</v>
      </c>
      <c r="Z45" s="99">
        <v>12</v>
      </c>
      <c r="AA45" s="99">
        <v>14990.400000000001</v>
      </c>
      <c r="AB45" s="99">
        <v>11</v>
      </c>
      <c r="AC45" s="99">
        <v>13741.2</v>
      </c>
      <c r="AD45" s="99">
        <v>7</v>
      </c>
      <c r="AE45" s="99">
        <v>8744.4</v>
      </c>
      <c r="AF45" s="99">
        <v>9.2565432864716364</v>
      </c>
      <c r="AG45" s="99">
        <v>11563.273873460368</v>
      </c>
      <c r="AH45" s="99">
        <v>10.752536286941838</v>
      </c>
      <c r="AI45" s="99">
        <v>13432.068329647745</v>
      </c>
      <c r="AJ45" s="99">
        <v>8</v>
      </c>
      <c r="AK45" s="99">
        <v>9993.6</v>
      </c>
      <c r="AL45" s="99">
        <v>6.0162795377735012</v>
      </c>
      <c r="AM45" s="99">
        <v>7515.5363985866579</v>
      </c>
      <c r="AN45" s="99">
        <v>8.0644022152063766</v>
      </c>
      <c r="AO45" s="99">
        <v>10074.051247235806</v>
      </c>
      <c r="AP45" s="99">
        <v>1.1328910950196378</v>
      </c>
      <c r="AQ45" s="99">
        <v>1415.2075558985316</v>
      </c>
      <c r="AR45" s="99">
        <v>8</v>
      </c>
      <c r="AS45" s="99">
        <v>9993.6</v>
      </c>
      <c r="AT45" s="99">
        <v>8</v>
      </c>
      <c r="AU45" s="99">
        <v>9993.6</v>
      </c>
      <c r="AV45" s="99">
        <v>13</v>
      </c>
      <c r="AW45" s="99">
        <v>16239.6</v>
      </c>
      <c r="AX45" s="99">
        <v>13</v>
      </c>
      <c r="AY45" s="99">
        <v>16239.6</v>
      </c>
      <c r="AZ45" s="99">
        <v>7</v>
      </c>
      <c r="BA45" s="99">
        <v>8744.4</v>
      </c>
      <c r="BB45" s="99">
        <v>8</v>
      </c>
      <c r="BC45" s="99">
        <v>9993.6</v>
      </c>
      <c r="BD45" s="99">
        <v>12</v>
      </c>
      <c r="BE45" s="99">
        <v>14990.400000000001</v>
      </c>
      <c r="BF45" s="99">
        <v>12</v>
      </c>
      <c r="BG45" s="99">
        <v>14990.400000000001</v>
      </c>
      <c r="BH45" s="99">
        <v>8.3367011924099845</v>
      </c>
      <c r="BI45" s="99">
        <v>10414.207129558554</v>
      </c>
      <c r="BJ45" s="99">
        <v>7.4728188664311128</v>
      </c>
      <c r="BK45" s="99">
        <v>9335.045327945747</v>
      </c>
      <c r="BL45" s="99">
        <v>7.9027723192494106</v>
      </c>
      <c r="BM45" s="99">
        <v>9872.1431812063638</v>
      </c>
      <c r="BN45" s="99">
        <v>8.6170548858969145</v>
      </c>
      <c r="BO45" s="99">
        <v>10764.424963462427</v>
      </c>
      <c r="BP45" s="99">
        <v>7.6132508820151577</v>
      </c>
      <c r="BQ45" s="99">
        <v>9510.4730018133359</v>
      </c>
      <c r="BR45" s="99">
        <v>11.117191689801087</v>
      </c>
      <c r="BS45" s="99">
        <v>13887.595858899518</v>
      </c>
      <c r="BT45" s="99">
        <v>9.5175601723628986</v>
      </c>
      <c r="BU45" s="99">
        <v>11889.336167315734</v>
      </c>
      <c r="BV45" s="99">
        <v>2.0485485972366342</v>
      </c>
      <c r="BW45" s="99">
        <v>2559.0469076680033</v>
      </c>
      <c r="BX45" s="99">
        <v>7.6868114732676078</v>
      </c>
      <c r="BY45" s="99">
        <v>9602.3648924058962</v>
      </c>
      <c r="BZ45" s="99">
        <v>13</v>
      </c>
      <c r="CA45" s="99">
        <v>16239.6</v>
      </c>
      <c r="CB45" s="99">
        <v>6.2863043099417517</v>
      </c>
      <c r="CC45" s="99">
        <v>7852.8513439792368</v>
      </c>
      <c r="CD45" s="99">
        <v>7.5315887892803817</v>
      </c>
      <c r="CE45" s="99">
        <v>9408.4607155690537</v>
      </c>
      <c r="CF45" s="99">
        <v>8</v>
      </c>
      <c r="CG45" s="99">
        <v>9993.6</v>
      </c>
      <c r="CH45" s="99">
        <v>10</v>
      </c>
      <c r="CI45" s="99">
        <v>12492</v>
      </c>
      <c r="CJ45" s="99">
        <v>10</v>
      </c>
      <c r="CK45" s="99">
        <v>12492</v>
      </c>
      <c r="CL45" s="99">
        <v>11</v>
      </c>
      <c r="CM45" s="99">
        <v>13741.2</v>
      </c>
      <c r="CN45" s="99">
        <v>4.2073512089284213</v>
      </c>
      <c r="CO45" s="99">
        <v>5255.8231301933838</v>
      </c>
      <c r="CP45" s="99">
        <v>10</v>
      </c>
      <c r="CQ45" s="99">
        <v>12492</v>
      </c>
      <c r="CR45" s="99">
        <v>9.9547009038190684</v>
      </c>
      <c r="CS45" s="99">
        <v>12435.41236905078</v>
      </c>
      <c r="CT45" s="99">
        <v>9.8395049671580708</v>
      </c>
      <c r="CU45" s="99">
        <v>12291.509604973862</v>
      </c>
    </row>
    <row r="46" spans="2:99">
      <c r="C46" s="98" t="s">
        <v>212</v>
      </c>
      <c r="D46" s="99">
        <v>1.531801666516571</v>
      </c>
      <c r="E46" s="99">
        <v>1856.5436198180842</v>
      </c>
      <c r="F46" s="99">
        <v>1.1707049703676136</v>
      </c>
      <c r="G46" s="99">
        <v>1418.8944240855476</v>
      </c>
      <c r="H46" s="99">
        <v>5.2435068225800716</v>
      </c>
      <c r="I46" s="99">
        <v>6355.1302689670465</v>
      </c>
      <c r="J46" s="99">
        <v>1.3019499222025477</v>
      </c>
      <c r="K46" s="99">
        <v>1577.9633057094877</v>
      </c>
      <c r="L46" s="99">
        <v>11</v>
      </c>
      <c r="M46" s="99">
        <v>13332</v>
      </c>
      <c r="N46" s="99">
        <v>8</v>
      </c>
      <c r="O46" s="99">
        <v>9696</v>
      </c>
      <c r="P46" s="99">
        <v>13</v>
      </c>
      <c r="Q46" s="99">
        <v>15756</v>
      </c>
      <c r="R46" s="99">
        <v>13</v>
      </c>
      <c r="S46" s="99">
        <v>15756</v>
      </c>
      <c r="T46" s="99">
        <v>10</v>
      </c>
      <c r="U46" s="99">
        <v>12120</v>
      </c>
      <c r="V46" s="99">
        <v>12</v>
      </c>
      <c r="W46" s="99">
        <v>14544</v>
      </c>
      <c r="X46" s="99">
        <v>11</v>
      </c>
      <c r="Y46" s="99">
        <v>13332</v>
      </c>
      <c r="Z46" s="99">
        <v>12</v>
      </c>
      <c r="AA46" s="99">
        <v>14544</v>
      </c>
      <c r="AB46" s="99">
        <v>12</v>
      </c>
      <c r="AC46" s="99">
        <v>14544</v>
      </c>
      <c r="AD46" s="99">
        <v>8</v>
      </c>
      <c r="AE46" s="99">
        <v>9696</v>
      </c>
      <c r="AF46" s="99">
        <v>10.182197615118801</v>
      </c>
      <c r="AG46" s="99">
        <v>12340.823509523987</v>
      </c>
      <c r="AH46" s="99">
        <v>11.648580977520325</v>
      </c>
      <c r="AI46" s="99">
        <v>14118.080144754635</v>
      </c>
      <c r="AJ46" s="99">
        <v>7</v>
      </c>
      <c r="AK46" s="99">
        <v>8484</v>
      </c>
      <c r="AL46" s="99">
        <v>6.8757480431697156</v>
      </c>
      <c r="AM46" s="99">
        <v>8333.4066283216944</v>
      </c>
      <c r="AN46" s="99">
        <v>6.272312834049405</v>
      </c>
      <c r="AO46" s="99">
        <v>7602.0431548678789</v>
      </c>
      <c r="AP46" s="99">
        <v>1.1328910950196378</v>
      </c>
      <c r="AQ46" s="99">
        <v>1373.0640071638011</v>
      </c>
      <c r="AR46" s="99">
        <v>8</v>
      </c>
      <c r="AS46" s="99">
        <v>9696</v>
      </c>
      <c r="AT46" s="99">
        <v>7</v>
      </c>
      <c r="AU46" s="99">
        <v>8484</v>
      </c>
      <c r="AV46" s="99">
        <v>12</v>
      </c>
      <c r="AW46" s="99">
        <v>14544</v>
      </c>
      <c r="AX46" s="99">
        <v>11</v>
      </c>
      <c r="AY46" s="99">
        <v>13332</v>
      </c>
      <c r="AZ46" s="99">
        <v>8</v>
      </c>
      <c r="BA46" s="99">
        <v>9696</v>
      </c>
      <c r="BB46" s="99">
        <v>9</v>
      </c>
      <c r="BC46" s="99">
        <v>10908</v>
      </c>
      <c r="BD46" s="99">
        <v>11</v>
      </c>
      <c r="BE46" s="99">
        <v>13332</v>
      </c>
      <c r="BF46" s="99">
        <v>12</v>
      </c>
      <c r="BG46" s="99">
        <v>14544</v>
      </c>
      <c r="BH46" s="99">
        <v>6.6693609539279874</v>
      </c>
      <c r="BI46" s="99">
        <v>8083.2654761607209</v>
      </c>
      <c r="BJ46" s="99">
        <v>8.4069212247350027</v>
      </c>
      <c r="BK46" s="99">
        <v>10189.188524378824</v>
      </c>
      <c r="BL46" s="99">
        <v>7.9027723192494106</v>
      </c>
      <c r="BM46" s="99">
        <v>9578.1600509302862</v>
      </c>
      <c r="BN46" s="99">
        <v>8.6170548858969145</v>
      </c>
      <c r="BO46" s="99">
        <v>10443.87052170706</v>
      </c>
      <c r="BP46" s="99">
        <v>6.7673341173468069</v>
      </c>
      <c r="BQ46" s="99">
        <v>8202.00895022433</v>
      </c>
      <c r="BR46" s="99">
        <v>10.323106569101009</v>
      </c>
      <c r="BS46" s="99">
        <v>12511.605161750424</v>
      </c>
      <c r="BT46" s="99">
        <v>9.5175601723628986</v>
      </c>
      <c r="BU46" s="99">
        <v>11535.282928903833</v>
      </c>
      <c r="BV46" s="99">
        <v>1.8909679359107394</v>
      </c>
      <c r="BW46" s="99">
        <v>2291.853138323816</v>
      </c>
      <c r="BX46" s="99">
        <v>7.6868114732676078</v>
      </c>
      <c r="BY46" s="99">
        <v>9316.4155056003401</v>
      </c>
      <c r="BZ46" s="99">
        <v>14</v>
      </c>
      <c r="CA46" s="99">
        <v>16968</v>
      </c>
      <c r="CB46" s="99">
        <v>6.8577865199364565</v>
      </c>
      <c r="CC46" s="99">
        <v>8311.6372621629853</v>
      </c>
      <c r="CD46" s="99">
        <v>7.5315887892803817</v>
      </c>
      <c r="CE46" s="99">
        <v>9128.2856126078223</v>
      </c>
      <c r="CF46" s="99">
        <v>8</v>
      </c>
      <c r="CG46" s="99">
        <v>9696</v>
      </c>
      <c r="CH46" s="99">
        <v>10</v>
      </c>
      <c r="CI46" s="99">
        <v>12120</v>
      </c>
      <c r="CJ46" s="99">
        <v>9</v>
      </c>
      <c r="CK46" s="99">
        <v>10908</v>
      </c>
      <c r="CL46" s="99">
        <v>12</v>
      </c>
      <c r="CM46" s="99">
        <v>14544</v>
      </c>
      <c r="CN46" s="99">
        <v>4.2073512089284213</v>
      </c>
      <c r="CO46" s="99">
        <v>5099.3096652212462</v>
      </c>
      <c r="CP46" s="99">
        <v>9</v>
      </c>
      <c r="CQ46" s="99">
        <v>10908</v>
      </c>
      <c r="CR46" s="99">
        <v>10.784259312470656</v>
      </c>
      <c r="CS46" s="99">
        <v>13070.522286714435</v>
      </c>
      <c r="CT46" s="99">
        <v>9.8395049671580708</v>
      </c>
      <c r="CU46" s="99">
        <v>11925.480020195582</v>
      </c>
    </row>
    <row r="47" spans="2:99">
      <c r="C47" s="98" t="s">
        <v>213</v>
      </c>
      <c r="D47" s="99">
        <v>1.531801666516571</v>
      </c>
      <c r="E47" s="99">
        <v>2339.9802257707138</v>
      </c>
      <c r="F47" s="99">
        <v>1.3835604195253612</v>
      </c>
      <c r="G47" s="99">
        <v>2113.5268968669416</v>
      </c>
      <c r="H47" s="99">
        <v>5.2435068225800716</v>
      </c>
      <c r="I47" s="99">
        <v>8009.9810221733169</v>
      </c>
      <c r="J47" s="99">
        <v>1.420309006039143</v>
      </c>
      <c r="K47" s="99">
        <v>2169.6640376253949</v>
      </c>
      <c r="L47" s="99">
        <v>11</v>
      </c>
      <c r="M47" s="99">
        <v>16803.599999999999</v>
      </c>
      <c r="N47" s="99">
        <v>8</v>
      </c>
      <c r="O47" s="99">
        <v>12220.8</v>
      </c>
      <c r="P47" s="99">
        <v>14</v>
      </c>
      <c r="Q47" s="99">
        <v>21386.399999999998</v>
      </c>
      <c r="R47" s="99">
        <v>13</v>
      </c>
      <c r="S47" s="99">
        <v>19858.8</v>
      </c>
      <c r="T47" s="99">
        <v>8</v>
      </c>
      <c r="U47" s="99">
        <v>12220.8</v>
      </c>
      <c r="V47" s="99">
        <v>11</v>
      </c>
      <c r="W47" s="99">
        <v>16803.599999999999</v>
      </c>
      <c r="X47" s="99">
        <v>12</v>
      </c>
      <c r="Y47" s="99">
        <v>18331.199999999997</v>
      </c>
      <c r="Z47" s="99">
        <v>13</v>
      </c>
      <c r="AA47" s="99">
        <v>19858.8</v>
      </c>
      <c r="AB47" s="99">
        <v>11</v>
      </c>
      <c r="AC47" s="99">
        <v>16803.599999999999</v>
      </c>
      <c r="AD47" s="99">
        <v>8</v>
      </c>
      <c r="AE47" s="99">
        <v>12220.8</v>
      </c>
      <c r="AF47" s="99">
        <v>10.182197615118801</v>
      </c>
      <c r="AG47" s="99">
        <v>15554.325076855479</v>
      </c>
      <c r="AH47" s="99">
        <v>11.648580977520325</v>
      </c>
      <c r="AI47" s="99">
        <v>17794.372301260046</v>
      </c>
      <c r="AJ47" s="99">
        <v>7</v>
      </c>
      <c r="AK47" s="99">
        <v>10693.199999999999</v>
      </c>
      <c r="AL47" s="99">
        <v>6.0162795377735012</v>
      </c>
      <c r="AM47" s="99">
        <v>9190.4686219028008</v>
      </c>
      <c r="AN47" s="99">
        <v>7.1683575246278908</v>
      </c>
      <c r="AO47" s="99">
        <v>10950.382954621566</v>
      </c>
      <c r="AP47" s="99">
        <v>0.99127970814218314</v>
      </c>
      <c r="AQ47" s="99">
        <v>1514.2788821579989</v>
      </c>
      <c r="AR47" s="99">
        <v>8</v>
      </c>
      <c r="AS47" s="99">
        <v>12220.8</v>
      </c>
      <c r="AT47" s="99">
        <v>8</v>
      </c>
      <c r="AU47" s="99">
        <v>12220.8</v>
      </c>
      <c r="AV47" s="99">
        <v>12</v>
      </c>
      <c r="AW47" s="99">
        <v>18331.199999999997</v>
      </c>
      <c r="AX47" s="99">
        <v>11</v>
      </c>
      <c r="AY47" s="99">
        <v>16803.599999999999</v>
      </c>
      <c r="AZ47" s="99">
        <v>8</v>
      </c>
      <c r="BA47" s="99">
        <v>12220.8</v>
      </c>
      <c r="BB47" s="99">
        <v>8</v>
      </c>
      <c r="BC47" s="99">
        <v>12220.8</v>
      </c>
      <c r="BD47" s="99">
        <v>13</v>
      </c>
      <c r="BE47" s="99">
        <v>19858.8</v>
      </c>
      <c r="BF47" s="99">
        <v>12</v>
      </c>
      <c r="BG47" s="99">
        <v>18331.199999999997</v>
      </c>
      <c r="BH47" s="99">
        <v>7.5030310731689864</v>
      </c>
      <c r="BI47" s="99">
        <v>11461.630267372942</v>
      </c>
      <c r="BJ47" s="99">
        <v>7.4728188664311128</v>
      </c>
      <c r="BK47" s="99">
        <v>11415.478100360167</v>
      </c>
      <c r="BL47" s="99">
        <v>7.0246865059994761</v>
      </c>
      <c r="BM47" s="99">
        <v>10730.911106564799</v>
      </c>
      <c r="BN47" s="99">
        <v>8.6170548858969145</v>
      </c>
      <c r="BO47" s="99">
        <v>13163.413043696126</v>
      </c>
      <c r="BP47" s="99">
        <v>6.7673341173468069</v>
      </c>
      <c r="BQ47" s="99">
        <v>10337.779597658982</v>
      </c>
      <c r="BR47" s="99">
        <v>10.323106569101009</v>
      </c>
      <c r="BS47" s="99">
        <v>15769.577594958701</v>
      </c>
      <c r="BT47" s="99">
        <v>8.8960925448988952</v>
      </c>
      <c r="BU47" s="99">
        <v>13589.670971587551</v>
      </c>
      <c r="BV47" s="99">
        <v>2.0485485972366342</v>
      </c>
      <c r="BW47" s="99">
        <v>3129.3628371386822</v>
      </c>
      <c r="BX47" s="99">
        <v>7.6868114732676078</v>
      </c>
      <c r="BY47" s="99">
        <v>11742.373206563598</v>
      </c>
      <c r="BZ47" s="99">
        <v>14</v>
      </c>
      <c r="CA47" s="99">
        <v>21386.399999999998</v>
      </c>
      <c r="CB47" s="99">
        <v>6.2863043099417517</v>
      </c>
      <c r="CC47" s="99">
        <v>9602.9584638670185</v>
      </c>
      <c r="CD47" s="99">
        <v>6.6947455904714506</v>
      </c>
      <c r="CE47" s="99">
        <v>10226.893364004187</v>
      </c>
      <c r="CF47" s="99">
        <v>7</v>
      </c>
      <c r="CG47" s="99">
        <v>10693.199999999999</v>
      </c>
      <c r="CH47" s="99">
        <v>11</v>
      </c>
      <c r="CI47" s="99">
        <v>16803.599999999999</v>
      </c>
      <c r="CJ47" s="99">
        <v>10</v>
      </c>
      <c r="CK47" s="99">
        <v>15276</v>
      </c>
      <c r="CL47" s="99">
        <v>11</v>
      </c>
      <c r="CM47" s="99">
        <v>16803.599999999999</v>
      </c>
      <c r="CN47" s="99">
        <v>4.2073512089284213</v>
      </c>
      <c r="CO47" s="99">
        <v>6427.1497067590562</v>
      </c>
      <c r="CP47" s="99">
        <v>9</v>
      </c>
      <c r="CQ47" s="99">
        <v>13748.4</v>
      </c>
      <c r="CR47" s="99">
        <v>9.9547009038190684</v>
      </c>
      <c r="CS47" s="99">
        <v>15206.801100674007</v>
      </c>
      <c r="CT47" s="99">
        <v>10.542326750526504</v>
      </c>
      <c r="CU47" s="99">
        <v>16104.458344104287</v>
      </c>
    </row>
    <row r="48" spans="2:99">
      <c r="C48" s="98" t="s">
        <v>214</v>
      </c>
      <c r="D48" s="99">
        <v>1.6594518053929517</v>
      </c>
      <c r="E48" s="99">
        <v>1439.740386358925</v>
      </c>
      <c r="F48" s="99">
        <v>1.2771326949464874</v>
      </c>
      <c r="G48" s="99">
        <v>1108.0403261355725</v>
      </c>
      <c r="H48" s="99">
        <v>5.2435068225800716</v>
      </c>
      <c r="I48" s="99">
        <v>4549.2665192704699</v>
      </c>
      <c r="J48" s="99">
        <v>1.420309006039143</v>
      </c>
      <c r="K48" s="99">
        <v>1232.2600936395604</v>
      </c>
      <c r="L48" s="99">
        <v>12</v>
      </c>
      <c r="M48" s="99">
        <v>10411.200000000001</v>
      </c>
      <c r="N48" s="99">
        <v>7</v>
      </c>
      <c r="O48" s="99">
        <v>6073.2</v>
      </c>
      <c r="P48" s="99">
        <v>13</v>
      </c>
      <c r="Q48" s="99">
        <v>11278.800000000001</v>
      </c>
      <c r="R48" s="99">
        <v>12</v>
      </c>
      <c r="S48" s="99">
        <v>10411.200000000001</v>
      </c>
      <c r="T48" s="99">
        <v>9</v>
      </c>
      <c r="U48" s="99">
        <v>7808.4000000000005</v>
      </c>
      <c r="V48" s="99">
        <v>11</v>
      </c>
      <c r="W48" s="99">
        <v>9543.6</v>
      </c>
      <c r="X48" s="99">
        <v>11</v>
      </c>
      <c r="Y48" s="99">
        <v>9543.6</v>
      </c>
      <c r="Z48" s="99">
        <v>12</v>
      </c>
      <c r="AA48" s="99">
        <v>10411.200000000001</v>
      </c>
      <c r="AB48" s="99">
        <v>12</v>
      </c>
      <c r="AC48" s="99">
        <v>10411.200000000001</v>
      </c>
      <c r="AD48" s="99">
        <v>8</v>
      </c>
      <c r="AE48" s="99">
        <v>6940.8</v>
      </c>
      <c r="AF48" s="99">
        <v>9.2565432864716364</v>
      </c>
      <c r="AG48" s="99">
        <v>8030.9769553427923</v>
      </c>
      <c r="AH48" s="99">
        <v>10.752536286941838</v>
      </c>
      <c r="AI48" s="99">
        <v>9328.90048255074</v>
      </c>
      <c r="AJ48" s="99">
        <v>8</v>
      </c>
      <c r="AK48" s="99">
        <v>6940.8</v>
      </c>
      <c r="AL48" s="99">
        <v>6.0162795377735012</v>
      </c>
      <c r="AM48" s="99">
        <v>5219.7241269722899</v>
      </c>
      <c r="AN48" s="99">
        <v>8.0644022152063766</v>
      </c>
      <c r="AO48" s="99">
        <v>6996.6753619130523</v>
      </c>
      <c r="AP48" s="99">
        <v>1.1328910950196378</v>
      </c>
      <c r="AQ48" s="99">
        <v>982.89631403903775</v>
      </c>
      <c r="AR48" s="99">
        <v>9</v>
      </c>
      <c r="AS48" s="99">
        <v>7808.4000000000005</v>
      </c>
      <c r="AT48" s="99">
        <v>8</v>
      </c>
      <c r="AU48" s="99">
        <v>6940.8</v>
      </c>
      <c r="AV48" s="99">
        <v>13</v>
      </c>
      <c r="AW48" s="99">
        <v>11278.800000000001</v>
      </c>
      <c r="AX48" s="99">
        <v>13</v>
      </c>
      <c r="AY48" s="99">
        <v>11278.800000000001</v>
      </c>
      <c r="AZ48" s="99">
        <v>7</v>
      </c>
      <c r="BA48" s="99">
        <v>6073.2</v>
      </c>
      <c r="BB48" s="99">
        <v>10</v>
      </c>
      <c r="BC48" s="99">
        <v>8676</v>
      </c>
      <c r="BD48" s="99">
        <v>12</v>
      </c>
      <c r="BE48" s="99">
        <v>10411.200000000001</v>
      </c>
      <c r="BF48" s="99">
        <v>12</v>
      </c>
      <c r="BG48" s="99">
        <v>10411.200000000001</v>
      </c>
      <c r="BH48" s="99">
        <v>7.5030310731689864</v>
      </c>
      <c r="BI48" s="99">
        <v>6509.6297590814129</v>
      </c>
      <c r="BJ48" s="99">
        <v>8.4069212247350027</v>
      </c>
      <c r="BK48" s="99">
        <v>7293.8448545800884</v>
      </c>
      <c r="BL48" s="99">
        <v>7.0246865059994761</v>
      </c>
      <c r="BM48" s="99">
        <v>6094.6180126051459</v>
      </c>
      <c r="BN48" s="99">
        <v>9.4004235118875439</v>
      </c>
      <c r="BO48" s="99">
        <v>8155.8074389136336</v>
      </c>
      <c r="BP48" s="99">
        <v>7.6132508820151577</v>
      </c>
      <c r="BQ48" s="99">
        <v>6605.2564652363508</v>
      </c>
      <c r="BR48" s="99">
        <v>10.323106569101009</v>
      </c>
      <c r="BS48" s="99">
        <v>8956.327259352036</v>
      </c>
      <c r="BT48" s="99">
        <v>9.5175601723628986</v>
      </c>
      <c r="BU48" s="99">
        <v>8257.4352055420513</v>
      </c>
      <c r="BV48" s="99">
        <v>2.2061292585625294</v>
      </c>
      <c r="BW48" s="99">
        <v>1914.0377447288506</v>
      </c>
      <c r="BX48" s="99">
        <v>6.9181303259408464</v>
      </c>
      <c r="BY48" s="99">
        <v>6002.1698707862788</v>
      </c>
      <c r="BZ48" s="99">
        <v>15</v>
      </c>
      <c r="CA48" s="99">
        <v>13014</v>
      </c>
      <c r="CB48" s="99">
        <v>7.4292687299311604</v>
      </c>
      <c r="CC48" s="99">
        <v>6445.6335500882751</v>
      </c>
      <c r="CD48" s="99">
        <v>8.3684319880893128</v>
      </c>
      <c r="CE48" s="99">
        <v>7260.4515928662877</v>
      </c>
      <c r="CF48" s="99">
        <v>8</v>
      </c>
      <c r="CG48" s="99">
        <v>6940.8</v>
      </c>
      <c r="CH48" s="99">
        <v>11</v>
      </c>
      <c r="CI48" s="99">
        <v>9543.6</v>
      </c>
      <c r="CJ48" s="99">
        <v>10</v>
      </c>
      <c r="CK48" s="99">
        <v>8676</v>
      </c>
      <c r="CL48" s="99">
        <v>12</v>
      </c>
      <c r="CM48" s="99">
        <v>10411.200000000001</v>
      </c>
      <c r="CN48" s="99">
        <v>4.5309936096152228</v>
      </c>
      <c r="CO48" s="99">
        <v>3931.0900557021673</v>
      </c>
      <c r="CP48" s="99">
        <v>9</v>
      </c>
      <c r="CQ48" s="99">
        <v>7808.4000000000005</v>
      </c>
      <c r="CR48" s="99">
        <v>9.9547009038190684</v>
      </c>
      <c r="CS48" s="99">
        <v>8636.6985041534244</v>
      </c>
      <c r="CT48" s="99">
        <v>11.245148533894939</v>
      </c>
      <c r="CU48" s="99">
        <v>9756.2908680072487</v>
      </c>
    </row>
    <row r="49" spans="2:99">
      <c r="B49" s="98" t="s">
        <v>129</v>
      </c>
      <c r="C49" s="98" t="s">
        <v>215</v>
      </c>
      <c r="D49" s="99">
        <v>1.2316279927253588</v>
      </c>
      <c r="E49" s="99">
        <v>1213.3998984330235</v>
      </c>
      <c r="F49" s="99">
        <v>0.6822467144207397</v>
      </c>
      <c r="G49" s="99">
        <v>672.14946304731268</v>
      </c>
      <c r="H49" s="99">
        <v>4.334513552631682</v>
      </c>
      <c r="I49" s="99">
        <v>4270.3627520527325</v>
      </c>
      <c r="J49" s="99">
        <v>0.99150140931057951</v>
      </c>
      <c r="K49" s="99">
        <v>976.82718845278282</v>
      </c>
      <c r="L49" s="99">
        <v>1.5873134186025353</v>
      </c>
      <c r="M49" s="99">
        <v>1563.8211800072177</v>
      </c>
      <c r="N49" s="99">
        <v>5</v>
      </c>
      <c r="O49" s="99">
        <v>4926</v>
      </c>
      <c r="P49" s="99">
        <v>8</v>
      </c>
      <c r="Q49" s="99">
        <v>7881.5999999999995</v>
      </c>
      <c r="R49" s="99">
        <v>8</v>
      </c>
      <c r="S49" s="99">
        <v>7881.5999999999995</v>
      </c>
      <c r="T49" s="99">
        <v>8</v>
      </c>
      <c r="U49" s="99">
        <v>7881.5999999999995</v>
      </c>
      <c r="V49" s="99">
        <v>6</v>
      </c>
      <c r="W49" s="99">
        <v>5911.2</v>
      </c>
      <c r="X49" s="99">
        <v>5.2835716545145139</v>
      </c>
      <c r="Y49" s="99">
        <v>5205.374794027699</v>
      </c>
      <c r="Z49" s="99">
        <v>8.3085905888219855</v>
      </c>
      <c r="AA49" s="99">
        <v>8185.6234481074198</v>
      </c>
      <c r="AB49" s="99">
        <v>9</v>
      </c>
      <c r="AC49" s="99">
        <v>8866.7999999999993</v>
      </c>
      <c r="AD49" s="99">
        <v>8</v>
      </c>
      <c r="AE49" s="99">
        <v>7881.5999999999995</v>
      </c>
      <c r="AF49" s="99">
        <v>4</v>
      </c>
      <c r="AG49" s="99">
        <v>3940.7999999999997</v>
      </c>
      <c r="AH49" s="99">
        <v>7.3326899721528491</v>
      </c>
      <c r="AI49" s="99">
        <v>7224.1661605649861</v>
      </c>
      <c r="AJ49" s="99">
        <v>8</v>
      </c>
      <c r="AK49" s="99">
        <v>7881.5999999999995</v>
      </c>
      <c r="AL49" s="99">
        <v>7.2719267923352318</v>
      </c>
      <c r="AM49" s="99">
        <v>7164.3022758086699</v>
      </c>
      <c r="AN49" s="99">
        <v>9.0396288665587523</v>
      </c>
      <c r="AO49" s="99">
        <v>8905.8423593336829</v>
      </c>
      <c r="AP49" s="99">
        <v>6.1735494161080791</v>
      </c>
      <c r="AQ49" s="99">
        <v>6082.1808847496786</v>
      </c>
      <c r="AR49" s="99">
        <v>8</v>
      </c>
      <c r="AS49" s="99">
        <v>7881.5999999999995</v>
      </c>
      <c r="AT49" s="99">
        <v>6</v>
      </c>
      <c r="AU49" s="99">
        <v>5911.2</v>
      </c>
      <c r="AV49" s="99">
        <v>8</v>
      </c>
      <c r="AW49" s="99">
        <v>7881.5999999999995</v>
      </c>
      <c r="AX49" s="99">
        <v>5</v>
      </c>
      <c r="AY49" s="99">
        <v>4926</v>
      </c>
      <c r="AZ49" s="99">
        <v>6.5461562864347496</v>
      </c>
      <c r="BA49" s="99">
        <v>6449.2731733955152</v>
      </c>
      <c r="BB49" s="99">
        <v>5</v>
      </c>
      <c r="BC49" s="99">
        <v>4926</v>
      </c>
      <c r="BD49" s="99">
        <v>4.0201125232662758</v>
      </c>
      <c r="BE49" s="99">
        <v>3960.6148579219348</v>
      </c>
      <c r="BF49" s="99">
        <v>7</v>
      </c>
      <c r="BG49" s="99">
        <v>6896.4</v>
      </c>
      <c r="BH49" s="99">
        <v>8.3171599682559183</v>
      </c>
      <c r="BI49" s="99">
        <v>8194.0660007257302</v>
      </c>
      <c r="BJ49" s="99">
        <v>7.5389371547857209</v>
      </c>
      <c r="BK49" s="99">
        <v>7427.3608848948916</v>
      </c>
      <c r="BL49" s="99">
        <v>7</v>
      </c>
      <c r="BM49" s="99">
        <v>6896.4</v>
      </c>
      <c r="BN49" s="99">
        <v>6.5471412703579634</v>
      </c>
      <c r="BO49" s="99">
        <v>6450.2435795566653</v>
      </c>
      <c r="BP49" s="99">
        <v>8</v>
      </c>
      <c r="BQ49" s="99">
        <v>7881.5999999999995</v>
      </c>
      <c r="BR49" s="99">
        <v>5.2705585200987706</v>
      </c>
      <c r="BS49" s="99">
        <v>5192.5542540013084</v>
      </c>
      <c r="BT49" s="99">
        <v>9.24518066803798</v>
      </c>
      <c r="BU49" s="99">
        <v>9108.3519941510167</v>
      </c>
      <c r="BV49" s="99">
        <v>7.3240685564415031</v>
      </c>
      <c r="BW49" s="99">
        <v>7215.6723418061683</v>
      </c>
      <c r="BX49" s="99">
        <v>8</v>
      </c>
      <c r="BY49" s="99">
        <v>7881.5999999999995</v>
      </c>
      <c r="BZ49" s="99">
        <v>6</v>
      </c>
      <c r="CA49" s="99">
        <v>5911.2</v>
      </c>
      <c r="CB49" s="99">
        <v>5.2733429982059619</v>
      </c>
      <c r="CC49" s="99">
        <v>5195.2975218325137</v>
      </c>
      <c r="CD49" s="99">
        <v>5</v>
      </c>
      <c r="CE49" s="99">
        <v>4926</v>
      </c>
      <c r="CF49" s="99">
        <v>4</v>
      </c>
      <c r="CG49" s="99">
        <v>3940.7999999999997</v>
      </c>
      <c r="CH49" s="99">
        <v>7</v>
      </c>
      <c r="CI49" s="99">
        <v>6896.4</v>
      </c>
      <c r="CJ49" s="99">
        <v>6</v>
      </c>
      <c r="CK49" s="99">
        <v>5911.2</v>
      </c>
      <c r="CL49" s="99">
        <v>8.3227483466100693</v>
      </c>
      <c r="CM49" s="99">
        <v>8199.571671080239</v>
      </c>
      <c r="CN49" s="99">
        <v>5.152008425952439</v>
      </c>
      <c r="CO49" s="99">
        <v>5075.7587012483427</v>
      </c>
      <c r="CP49" s="99">
        <v>5</v>
      </c>
      <c r="CQ49" s="99">
        <v>4926</v>
      </c>
      <c r="CR49" s="99">
        <v>6</v>
      </c>
      <c r="CS49" s="99">
        <v>5911.2</v>
      </c>
      <c r="CT49" s="99">
        <v>8.3963537203540213</v>
      </c>
      <c r="CU49" s="99">
        <v>8272.0876852927813</v>
      </c>
    </row>
    <row r="50" spans="2:99">
      <c r="C50" s="98" t="s">
        <v>216</v>
      </c>
      <c r="D50" s="99">
        <v>1.1488512498874281</v>
      </c>
      <c r="E50" s="99">
        <v>323.97605246825475</v>
      </c>
      <c r="F50" s="99">
        <v>0.6385663474732437</v>
      </c>
      <c r="G50" s="99">
        <v>180.07570998745473</v>
      </c>
      <c r="H50" s="99">
        <v>3.9326301169350533</v>
      </c>
      <c r="I50" s="99">
        <v>1109.001692975685</v>
      </c>
      <c r="J50" s="99">
        <v>0.82851358685616672</v>
      </c>
      <c r="K50" s="99">
        <v>233.64083149343901</v>
      </c>
      <c r="L50" s="99">
        <v>6</v>
      </c>
      <c r="M50" s="99">
        <v>1692</v>
      </c>
      <c r="N50" s="99">
        <v>6</v>
      </c>
      <c r="O50" s="99">
        <v>1692</v>
      </c>
      <c r="P50" s="99">
        <v>9</v>
      </c>
      <c r="Q50" s="99">
        <v>2538</v>
      </c>
      <c r="R50" s="99">
        <v>8</v>
      </c>
      <c r="S50" s="99">
        <v>2256</v>
      </c>
      <c r="T50" s="99">
        <v>8</v>
      </c>
      <c r="U50" s="99">
        <v>2256</v>
      </c>
      <c r="V50" s="99">
        <v>6</v>
      </c>
      <c r="W50" s="99">
        <v>1692</v>
      </c>
      <c r="X50" s="99">
        <v>5</v>
      </c>
      <c r="Y50" s="99">
        <v>1410</v>
      </c>
      <c r="Z50" s="99">
        <v>8</v>
      </c>
      <c r="AA50" s="99">
        <v>2256</v>
      </c>
      <c r="AB50" s="99">
        <v>9</v>
      </c>
      <c r="AC50" s="99">
        <v>2538</v>
      </c>
      <c r="AD50" s="99">
        <v>8</v>
      </c>
      <c r="AE50" s="99">
        <v>2256</v>
      </c>
      <c r="AF50" s="99">
        <v>4.6282716432358182</v>
      </c>
      <c r="AG50" s="99">
        <v>1305.1726033925008</v>
      </c>
      <c r="AH50" s="99">
        <v>7.1683575246278917</v>
      </c>
      <c r="AI50" s="99">
        <v>2021.4768219450655</v>
      </c>
      <c r="AJ50" s="99">
        <v>10</v>
      </c>
      <c r="AK50" s="99">
        <v>2820</v>
      </c>
      <c r="AL50" s="99">
        <v>6.0162795377735012</v>
      </c>
      <c r="AM50" s="99">
        <v>1696.5908296521272</v>
      </c>
      <c r="AN50" s="99">
        <v>7.1683575246278908</v>
      </c>
      <c r="AO50" s="99">
        <v>2021.4768219450652</v>
      </c>
      <c r="AP50" s="99">
        <v>0.84966832126472824</v>
      </c>
      <c r="AQ50" s="99">
        <v>239.60646659665338</v>
      </c>
      <c r="AR50" s="99">
        <v>8</v>
      </c>
      <c r="AS50" s="99">
        <v>2256</v>
      </c>
      <c r="AT50" s="99">
        <v>6</v>
      </c>
      <c r="AU50" s="99">
        <v>1692</v>
      </c>
      <c r="AV50" s="99">
        <v>8</v>
      </c>
      <c r="AW50" s="99">
        <v>2256</v>
      </c>
      <c r="AX50" s="99">
        <v>6</v>
      </c>
      <c r="AY50" s="99">
        <v>1692</v>
      </c>
      <c r="AZ50" s="99">
        <v>7</v>
      </c>
      <c r="BA50" s="99">
        <v>1974</v>
      </c>
      <c r="BB50" s="99">
        <v>5</v>
      </c>
      <c r="BC50" s="99">
        <v>1410</v>
      </c>
      <c r="BD50" s="99">
        <v>5</v>
      </c>
      <c r="BE50" s="99">
        <v>1410</v>
      </c>
      <c r="BF50" s="99">
        <v>6</v>
      </c>
      <c r="BG50" s="99">
        <v>1692</v>
      </c>
      <c r="BH50" s="99">
        <v>8.3367011924099845</v>
      </c>
      <c r="BI50" s="99">
        <v>2350.9497362596157</v>
      </c>
      <c r="BJ50" s="99">
        <v>6.5387165081272238</v>
      </c>
      <c r="BK50" s="99">
        <v>1843.9180552918772</v>
      </c>
      <c r="BL50" s="99">
        <v>7.0246865059994761</v>
      </c>
      <c r="BM50" s="99">
        <v>1980.9615946918523</v>
      </c>
      <c r="BN50" s="99">
        <v>6.2669490079250281</v>
      </c>
      <c r="BO50" s="99">
        <v>1767.2796202348579</v>
      </c>
      <c r="BP50" s="99">
        <v>6.7673341173468069</v>
      </c>
      <c r="BQ50" s="99">
        <v>1908.3882210917996</v>
      </c>
      <c r="BR50" s="99">
        <v>3.970425603500388</v>
      </c>
      <c r="BS50" s="99">
        <v>1119.6600201871095</v>
      </c>
      <c r="BT50" s="99">
        <v>6.5890801193281607</v>
      </c>
      <c r="BU50" s="99">
        <v>1858.1205936505414</v>
      </c>
      <c r="BV50" s="99">
        <v>1.1030646292812647</v>
      </c>
      <c r="BW50" s="99">
        <v>311.06422545731664</v>
      </c>
      <c r="BX50" s="99">
        <v>6.9181303259408464</v>
      </c>
      <c r="BY50" s="99">
        <v>1950.9127519153187</v>
      </c>
      <c r="BZ50" s="99">
        <v>6.4648910411422102</v>
      </c>
      <c r="CA50" s="99">
        <v>1823.0992736021033</v>
      </c>
      <c r="CB50" s="99">
        <v>3.0333265302076171</v>
      </c>
      <c r="CC50" s="99">
        <v>855.398081518548</v>
      </c>
      <c r="CD50" s="99">
        <v>4.1842159940446564</v>
      </c>
      <c r="CE50" s="99">
        <v>1179.9489103205931</v>
      </c>
      <c r="CF50" s="99">
        <v>5</v>
      </c>
      <c r="CG50" s="99">
        <v>1410</v>
      </c>
      <c r="CH50" s="99">
        <v>7</v>
      </c>
      <c r="CI50" s="99">
        <v>1974</v>
      </c>
      <c r="CJ50" s="99">
        <v>7</v>
      </c>
      <c r="CK50" s="99">
        <v>1974</v>
      </c>
      <c r="CL50" s="99">
        <v>8.2664695924672724</v>
      </c>
      <c r="CM50" s="99">
        <v>2331.1444250757709</v>
      </c>
      <c r="CN50" s="99">
        <v>1.618212003434008</v>
      </c>
      <c r="CO50" s="99">
        <v>456.33578496839021</v>
      </c>
      <c r="CP50" s="99">
        <v>5</v>
      </c>
      <c r="CQ50" s="99">
        <v>1410</v>
      </c>
      <c r="CR50" s="99">
        <v>5.8069088605611228</v>
      </c>
      <c r="CS50" s="99">
        <v>1637.5482986782367</v>
      </c>
      <c r="CT50" s="99">
        <v>5.6225742669474696</v>
      </c>
      <c r="CU50" s="99">
        <v>1585.5659432791865</v>
      </c>
    </row>
    <row r="51" spans="2:99">
      <c r="C51" s="98" t="s">
        <v>217</v>
      </c>
      <c r="D51" s="99">
        <v>1.0212011110110473</v>
      </c>
      <c r="E51" s="99">
        <v>872.51422924783878</v>
      </c>
      <c r="F51" s="99">
        <v>0.6385663474732437</v>
      </c>
      <c r="G51" s="99">
        <v>545.59108728113938</v>
      </c>
      <c r="H51" s="99">
        <v>3.9326301169350533</v>
      </c>
      <c r="I51" s="99">
        <v>3360.0391719093095</v>
      </c>
      <c r="J51" s="99">
        <v>0.94687267069276193</v>
      </c>
      <c r="K51" s="99">
        <v>809.00800983989575</v>
      </c>
      <c r="L51" s="99">
        <v>6</v>
      </c>
      <c r="M51" s="99">
        <v>5126.3999999999996</v>
      </c>
      <c r="N51" s="99">
        <v>6</v>
      </c>
      <c r="O51" s="99">
        <v>5126.3999999999996</v>
      </c>
      <c r="P51" s="99">
        <v>8</v>
      </c>
      <c r="Q51" s="99">
        <v>6835.2</v>
      </c>
      <c r="R51" s="99">
        <v>8</v>
      </c>
      <c r="S51" s="99">
        <v>6835.2</v>
      </c>
      <c r="T51" s="99">
        <v>10</v>
      </c>
      <c r="U51" s="99">
        <v>8544</v>
      </c>
      <c r="V51" s="99">
        <v>7</v>
      </c>
      <c r="W51" s="99">
        <v>5980.8</v>
      </c>
      <c r="X51" s="99">
        <v>5</v>
      </c>
      <c r="Y51" s="99">
        <v>4272</v>
      </c>
      <c r="Z51" s="99">
        <v>8</v>
      </c>
      <c r="AA51" s="99">
        <v>6835.2</v>
      </c>
      <c r="AB51" s="99">
        <v>10</v>
      </c>
      <c r="AC51" s="99">
        <v>8544</v>
      </c>
      <c r="AD51" s="99">
        <v>8</v>
      </c>
      <c r="AE51" s="99">
        <v>6835.2</v>
      </c>
      <c r="AF51" s="99">
        <v>3.7026173145886547</v>
      </c>
      <c r="AG51" s="99">
        <v>3163.5162335845466</v>
      </c>
      <c r="AH51" s="99">
        <v>6.2723128340494059</v>
      </c>
      <c r="AI51" s="99">
        <v>5359.0640854118119</v>
      </c>
      <c r="AJ51" s="99">
        <v>9</v>
      </c>
      <c r="AK51" s="99">
        <v>7689.5999999999995</v>
      </c>
      <c r="AL51" s="99">
        <v>6.0162795377735012</v>
      </c>
      <c r="AM51" s="99">
        <v>5140.3092370736795</v>
      </c>
      <c r="AN51" s="99">
        <v>7.1683575246278908</v>
      </c>
      <c r="AO51" s="99">
        <v>6124.6446690420698</v>
      </c>
      <c r="AP51" s="99">
        <v>0.84966832126472824</v>
      </c>
      <c r="AQ51" s="99">
        <v>725.95661368858384</v>
      </c>
      <c r="AR51" s="99">
        <v>8</v>
      </c>
      <c r="AS51" s="99">
        <v>6835.2</v>
      </c>
      <c r="AT51" s="99">
        <v>5</v>
      </c>
      <c r="AU51" s="99">
        <v>4272</v>
      </c>
      <c r="AV51" s="99">
        <v>7</v>
      </c>
      <c r="AW51" s="99">
        <v>5980.8</v>
      </c>
      <c r="AX51" s="99">
        <v>5</v>
      </c>
      <c r="AY51" s="99">
        <v>4272</v>
      </c>
      <c r="AZ51" s="99">
        <v>7</v>
      </c>
      <c r="BA51" s="99">
        <v>5980.8</v>
      </c>
      <c r="BB51" s="99">
        <v>5</v>
      </c>
      <c r="BC51" s="99">
        <v>4272</v>
      </c>
      <c r="BD51" s="99">
        <v>5</v>
      </c>
      <c r="BE51" s="99">
        <v>4272</v>
      </c>
      <c r="BF51" s="99">
        <v>6</v>
      </c>
      <c r="BG51" s="99">
        <v>5126.3999999999996</v>
      </c>
      <c r="BH51" s="99">
        <v>7.5030310731689864</v>
      </c>
      <c r="BI51" s="99">
        <v>6410.5897489155823</v>
      </c>
      <c r="BJ51" s="99">
        <v>6.5387165081272238</v>
      </c>
      <c r="BK51" s="99">
        <v>5586.6793845438997</v>
      </c>
      <c r="BL51" s="99">
        <v>6.1466006927495416</v>
      </c>
      <c r="BM51" s="99">
        <v>5251.6556318852081</v>
      </c>
      <c r="BN51" s="99">
        <v>6.2669490079250281</v>
      </c>
      <c r="BO51" s="99">
        <v>5354.481232371144</v>
      </c>
      <c r="BP51" s="99">
        <v>6.7673341173468069</v>
      </c>
      <c r="BQ51" s="99">
        <v>5782.0102698611117</v>
      </c>
      <c r="BR51" s="99">
        <v>3.970425603500388</v>
      </c>
      <c r="BS51" s="99">
        <v>3392.3316356307314</v>
      </c>
      <c r="BT51" s="99">
        <v>7.3212001325868457</v>
      </c>
      <c r="BU51" s="99">
        <v>6255.2333932822012</v>
      </c>
      <c r="BV51" s="99">
        <v>1.1030646292812647</v>
      </c>
      <c r="BW51" s="99">
        <v>942.45841925791251</v>
      </c>
      <c r="BX51" s="99">
        <v>6.9181303259408464</v>
      </c>
      <c r="BY51" s="99">
        <v>5910.8505504838595</v>
      </c>
      <c r="BZ51" s="99">
        <v>6.5071538630642296</v>
      </c>
      <c r="CA51" s="99">
        <v>5559.7122606020775</v>
      </c>
      <c r="CB51" s="99">
        <v>3.0173342138226995</v>
      </c>
      <c r="CC51" s="99">
        <v>2578.0103522901145</v>
      </c>
      <c r="CD51" s="99">
        <v>4.1842159940446564</v>
      </c>
      <c r="CE51" s="99">
        <v>3574.9941453117544</v>
      </c>
      <c r="CF51" s="99">
        <v>5</v>
      </c>
      <c r="CG51" s="99">
        <v>4272</v>
      </c>
      <c r="CH51" s="99">
        <v>7</v>
      </c>
      <c r="CI51" s="99">
        <v>5980.8</v>
      </c>
      <c r="CJ51" s="99">
        <v>7</v>
      </c>
      <c r="CK51" s="99">
        <v>5980.8</v>
      </c>
      <c r="CL51" s="99">
        <v>7.2368618599709089</v>
      </c>
      <c r="CM51" s="99">
        <v>6183.174773159144</v>
      </c>
      <c r="CN51" s="99">
        <v>1.618212003434008</v>
      </c>
      <c r="CO51" s="99">
        <v>1382.6003357340164</v>
      </c>
      <c r="CP51" s="99">
        <v>5</v>
      </c>
      <c r="CQ51" s="99">
        <v>4272</v>
      </c>
      <c r="CR51" s="99">
        <v>4.9773504519095342</v>
      </c>
      <c r="CS51" s="99">
        <v>4252.6482261115061</v>
      </c>
      <c r="CT51" s="99">
        <v>5.6225742669474696</v>
      </c>
      <c r="CU51" s="99">
        <v>4803.9274536799176</v>
      </c>
    </row>
    <row r="52" spans="2:99">
      <c r="C52" s="98" t="s">
        <v>218</v>
      </c>
      <c r="D52" s="99">
        <v>1.1488512498874281</v>
      </c>
      <c r="E52" s="99">
        <v>620.37967493921121</v>
      </c>
      <c r="F52" s="99">
        <v>0.6385663474732437</v>
      </c>
      <c r="G52" s="99">
        <v>344.8258276355516</v>
      </c>
      <c r="H52" s="99">
        <v>3.9326301169350533</v>
      </c>
      <c r="I52" s="99">
        <v>2123.6202631449287</v>
      </c>
      <c r="J52" s="99">
        <v>0.94687267069276193</v>
      </c>
      <c r="K52" s="99">
        <v>511.31124217409143</v>
      </c>
      <c r="L52" s="99">
        <v>6</v>
      </c>
      <c r="M52" s="99">
        <v>3240</v>
      </c>
      <c r="N52" s="99">
        <v>6</v>
      </c>
      <c r="O52" s="99">
        <v>3240</v>
      </c>
      <c r="P52" s="99">
        <v>9</v>
      </c>
      <c r="Q52" s="99">
        <v>4860</v>
      </c>
      <c r="R52" s="99">
        <v>9</v>
      </c>
      <c r="S52" s="99">
        <v>4860</v>
      </c>
      <c r="T52" s="99">
        <v>9</v>
      </c>
      <c r="U52" s="99">
        <v>4860</v>
      </c>
      <c r="V52" s="99">
        <v>7</v>
      </c>
      <c r="W52" s="99">
        <v>3780</v>
      </c>
      <c r="X52" s="99">
        <v>5</v>
      </c>
      <c r="Y52" s="99">
        <v>2700</v>
      </c>
      <c r="Z52" s="99">
        <v>9</v>
      </c>
      <c r="AA52" s="99">
        <v>4860</v>
      </c>
      <c r="AB52" s="99">
        <v>8</v>
      </c>
      <c r="AC52" s="99">
        <v>4320</v>
      </c>
      <c r="AD52" s="99">
        <v>8</v>
      </c>
      <c r="AE52" s="99">
        <v>4320</v>
      </c>
      <c r="AF52" s="99">
        <v>4.6282716432358182</v>
      </c>
      <c r="AG52" s="99">
        <v>2499.2666873473418</v>
      </c>
      <c r="AH52" s="99">
        <v>6.2723128340494059</v>
      </c>
      <c r="AI52" s="99">
        <v>3387.0489303866793</v>
      </c>
      <c r="AJ52" s="99">
        <v>8</v>
      </c>
      <c r="AK52" s="99">
        <v>4320</v>
      </c>
      <c r="AL52" s="99">
        <v>6.8757480431697156</v>
      </c>
      <c r="AM52" s="99">
        <v>3712.9039433116463</v>
      </c>
      <c r="AN52" s="99">
        <v>8.0644022152063766</v>
      </c>
      <c r="AO52" s="99">
        <v>4354.777196211443</v>
      </c>
      <c r="AP52" s="99">
        <v>0.84966832126472824</v>
      </c>
      <c r="AQ52" s="99">
        <v>458.82089348295324</v>
      </c>
      <c r="AR52" s="99">
        <v>8</v>
      </c>
      <c r="AS52" s="99">
        <v>4320</v>
      </c>
      <c r="AT52" s="99">
        <v>6</v>
      </c>
      <c r="AU52" s="99">
        <v>3240</v>
      </c>
      <c r="AV52" s="99">
        <v>8</v>
      </c>
      <c r="AW52" s="99">
        <v>4320</v>
      </c>
      <c r="AX52" s="99">
        <v>6</v>
      </c>
      <c r="AY52" s="99">
        <v>3240</v>
      </c>
      <c r="AZ52" s="99">
        <v>6</v>
      </c>
      <c r="BA52" s="99">
        <v>3240</v>
      </c>
      <c r="BB52" s="99">
        <v>5</v>
      </c>
      <c r="BC52" s="99">
        <v>2700</v>
      </c>
      <c r="BD52" s="99">
        <v>5</v>
      </c>
      <c r="BE52" s="99">
        <v>2700</v>
      </c>
      <c r="BF52" s="99">
        <v>6</v>
      </c>
      <c r="BG52" s="99">
        <v>3240</v>
      </c>
      <c r="BH52" s="99">
        <v>7.5030310731689864</v>
      </c>
      <c r="BI52" s="99">
        <v>4051.6367795112528</v>
      </c>
      <c r="BJ52" s="99">
        <v>5.6046141498233348</v>
      </c>
      <c r="BK52" s="99">
        <v>3026.4916409046009</v>
      </c>
      <c r="BL52" s="99">
        <v>7.0246865059994761</v>
      </c>
      <c r="BM52" s="99">
        <v>3793.3307132397172</v>
      </c>
      <c r="BN52" s="99">
        <v>6.2669490079250281</v>
      </c>
      <c r="BO52" s="99">
        <v>3384.1524642795152</v>
      </c>
      <c r="BP52" s="99">
        <v>6.7673341173468069</v>
      </c>
      <c r="BQ52" s="99">
        <v>3654.3604233672759</v>
      </c>
      <c r="BR52" s="99">
        <v>3.970425603500388</v>
      </c>
      <c r="BS52" s="99">
        <v>2144.0298258902094</v>
      </c>
      <c r="BT52" s="99">
        <v>6.5890801193281607</v>
      </c>
      <c r="BU52" s="99">
        <v>3558.1032644372067</v>
      </c>
      <c r="BV52" s="99">
        <v>0.94548396795536971</v>
      </c>
      <c r="BW52" s="99">
        <v>510.56134269589967</v>
      </c>
      <c r="BX52" s="99">
        <v>7.6868114732676078</v>
      </c>
      <c r="BY52" s="99">
        <v>4150.8781955645081</v>
      </c>
      <c r="BZ52" s="99">
        <v>6.4648910411422102</v>
      </c>
      <c r="CA52" s="99">
        <v>3491.0411622167935</v>
      </c>
      <c r="CB52" s="99">
        <v>3.0333265302076171</v>
      </c>
      <c r="CC52" s="99">
        <v>1637.9963263121133</v>
      </c>
      <c r="CD52" s="99">
        <v>4.1842159940446564</v>
      </c>
      <c r="CE52" s="99">
        <v>2259.4766367841144</v>
      </c>
      <c r="CF52" s="99">
        <v>5</v>
      </c>
      <c r="CG52" s="99">
        <v>2700</v>
      </c>
      <c r="CH52" s="99">
        <v>7</v>
      </c>
      <c r="CI52" s="99">
        <v>3780</v>
      </c>
      <c r="CJ52" s="99">
        <v>7</v>
      </c>
      <c r="CK52" s="99">
        <v>3780</v>
      </c>
      <c r="CL52" s="99">
        <v>7.2072541274745454</v>
      </c>
      <c r="CM52" s="99">
        <v>3891.9172288362547</v>
      </c>
      <c r="CN52" s="99">
        <v>1.618212003434008</v>
      </c>
      <c r="CO52" s="99">
        <v>873.8344818543643</v>
      </c>
      <c r="CP52" s="99">
        <v>4</v>
      </c>
      <c r="CQ52" s="99">
        <v>2160</v>
      </c>
      <c r="CR52" s="99">
        <v>4.9773504519095342</v>
      </c>
      <c r="CS52" s="99">
        <v>2687.7692440311484</v>
      </c>
      <c r="CT52" s="99">
        <v>6.325396050315903</v>
      </c>
      <c r="CU52" s="99">
        <v>3415.7138671705875</v>
      </c>
    </row>
    <row r="53" spans="2:99">
      <c r="C53" s="98" t="s">
        <v>219</v>
      </c>
      <c r="D53" s="99">
        <v>1.0212011110110473</v>
      </c>
      <c r="E53" s="99">
        <v>415.42461195929405</v>
      </c>
      <c r="F53" s="99">
        <v>0.74499407205211765</v>
      </c>
      <c r="G53" s="99">
        <v>303.06358851080148</v>
      </c>
      <c r="H53" s="99">
        <v>3.9326301169350533</v>
      </c>
      <c r="I53" s="99">
        <v>1599.7939315691797</v>
      </c>
      <c r="J53" s="99">
        <v>0.82851358685616672</v>
      </c>
      <c r="K53" s="99">
        <v>337.03932713308865</v>
      </c>
      <c r="L53" s="99">
        <v>7</v>
      </c>
      <c r="M53" s="99">
        <v>2847.6</v>
      </c>
      <c r="N53" s="99">
        <v>5</v>
      </c>
      <c r="O53" s="99">
        <v>2034</v>
      </c>
      <c r="P53" s="99">
        <v>8</v>
      </c>
      <c r="Q53" s="99">
        <v>3254.4</v>
      </c>
      <c r="R53" s="99">
        <v>8</v>
      </c>
      <c r="S53" s="99">
        <v>3254.4</v>
      </c>
      <c r="T53" s="99">
        <v>9</v>
      </c>
      <c r="U53" s="99">
        <v>3661.2000000000003</v>
      </c>
      <c r="V53" s="99">
        <v>7</v>
      </c>
      <c r="W53" s="99">
        <v>2847.6</v>
      </c>
      <c r="X53" s="99">
        <v>5</v>
      </c>
      <c r="Y53" s="99">
        <v>2034</v>
      </c>
      <c r="Z53" s="99">
        <v>9</v>
      </c>
      <c r="AA53" s="99">
        <v>3661.2000000000003</v>
      </c>
      <c r="AB53" s="99">
        <v>10</v>
      </c>
      <c r="AC53" s="99">
        <v>4068</v>
      </c>
      <c r="AD53" s="99">
        <v>9</v>
      </c>
      <c r="AE53" s="99">
        <v>3661.2000000000003</v>
      </c>
      <c r="AF53" s="99">
        <v>4.6282716432358182</v>
      </c>
      <c r="AG53" s="99">
        <v>1882.7809044683308</v>
      </c>
      <c r="AH53" s="99">
        <v>6.2723128340494059</v>
      </c>
      <c r="AI53" s="99">
        <v>2551.5768608912986</v>
      </c>
      <c r="AJ53" s="99">
        <v>9</v>
      </c>
      <c r="AK53" s="99">
        <v>3661.2000000000003</v>
      </c>
      <c r="AL53" s="99">
        <v>6.0162795377735012</v>
      </c>
      <c r="AM53" s="99">
        <v>2447.4225159662606</v>
      </c>
      <c r="AN53" s="99">
        <v>7.1683575246278908</v>
      </c>
      <c r="AO53" s="99">
        <v>2916.087841018626</v>
      </c>
      <c r="AP53" s="99">
        <v>0.84966832126472824</v>
      </c>
      <c r="AQ53" s="99">
        <v>345.64507309049145</v>
      </c>
      <c r="AR53" s="99">
        <v>9</v>
      </c>
      <c r="AS53" s="99">
        <v>3661.2000000000003</v>
      </c>
      <c r="AT53" s="99">
        <v>5</v>
      </c>
      <c r="AU53" s="99">
        <v>2034</v>
      </c>
      <c r="AV53" s="99">
        <v>8</v>
      </c>
      <c r="AW53" s="99">
        <v>3254.4</v>
      </c>
      <c r="AX53" s="99">
        <v>5</v>
      </c>
      <c r="AY53" s="99">
        <v>2034</v>
      </c>
      <c r="AZ53" s="99">
        <v>7</v>
      </c>
      <c r="BA53" s="99">
        <v>2847.6</v>
      </c>
      <c r="BB53" s="99">
        <v>5</v>
      </c>
      <c r="BC53" s="99">
        <v>2034</v>
      </c>
      <c r="BD53" s="99">
        <v>5</v>
      </c>
      <c r="BE53" s="99">
        <v>2034</v>
      </c>
      <c r="BF53" s="99">
        <v>7</v>
      </c>
      <c r="BG53" s="99">
        <v>2847.6</v>
      </c>
      <c r="BH53" s="99">
        <v>7.5030310731689864</v>
      </c>
      <c r="BI53" s="99">
        <v>3052.2330405651437</v>
      </c>
      <c r="BJ53" s="99">
        <v>5.6046141498233348</v>
      </c>
      <c r="BK53" s="99">
        <v>2279.9570361481328</v>
      </c>
      <c r="BL53" s="99">
        <v>7.0246865059994761</v>
      </c>
      <c r="BM53" s="99">
        <v>2857.6424706405869</v>
      </c>
      <c r="BN53" s="99">
        <v>5.4835803819344004</v>
      </c>
      <c r="BO53" s="99">
        <v>2230.7204993709142</v>
      </c>
      <c r="BP53" s="99">
        <v>7.6132508820151577</v>
      </c>
      <c r="BQ53" s="99">
        <v>3097.0704588037661</v>
      </c>
      <c r="BR53" s="99">
        <v>3.970425603500388</v>
      </c>
      <c r="BS53" s="99">
        <v>1615.1691355039579</v>
      </c>
      <c r="BT53" s="99">
        <v>7.3212001325868457</v>
      </c>
      <c r="BU53" s="99">
        <v>2978.2642139363288</v>
      </c>
      <c r="BV53" s="99">
        <v>1.1030646292812647</v>
      </c>
      <c r="BW53" s="99">
        <v>448.7266911916185</v>
      </c>
      <c r="BX53" s="99">
        <v>7.6868114732676078</v>
      </c>
      <c r="BY53" s="99">
        <v>3126.9949073252628</v>
      </c>
      <c r="BZ53" s="99">
        <v>6.4648910411422102</v>
      </c>
      <c r="CA53" s="99">
        <v>2629.9176755366511</v>
      </c>
      <c r="CB53" s="99">
        <v>3.0173342138226995</v>
      </c>
      <c r="CC53" s="99">
        <v>1227.4515581830742</v>
      </c>
      <c r="CD53" s="99">
        <v>5.0210591928535884</v>
      </c>
      <c r="CE53" s="99">
        <v>2042.5668796528398</v>
      </c>
      <c r="CF53" s="99">
        <v>5</v>
      </c>
      <c r="CG53" s="99">
        <v>2034</v>
      </c>
      <c r="CH53" s="99">
        <v>7</v>
      </c>
      <c r="CI53" s="99">
        <v>2847.6</v>
      </c>
      <c r="CJ53" s="99">
        <v>6</v>
      </c>
      <c r="CK53" s="99">
        <v>2440.8000000000002</v>
      </c>
      <c r="CL53" s="99">
        <v>7.2368618599709089</v>
      </c>
      <c r="CM53" s="99">
        <v>2943.9554046361659</v>
      </c>
      <c r="CN53" s="99">
        <v>1.618212003434008</v>
      </c>
      <c r="CO53" s="99">
        <v>658.28864299695442</v>
      </c>
      <c r="CP53" s="99">
        <v>5</v>
      </c>
      <c r="CQ53" s="99">
        <v>2034</v>
      </c>
      <c r="CR53" s="99">
        <v>5.8069088605611228</v>
      </c>
      <c r="CS53" s="99">
        <v>2362.2505244762647</v>
      </c>
      <c r="CT53" s="99">
        <v>6.325396050315903</v>
      </c>
      <c r="CU53" s="99">
        <v>2573.1711132685095</v>
      </c>
    </row>
    <row r="54" spans="2:99">
      <c r="C54" s="98" t="s">
        <v>220</v>
      </c>
      <c r="D54" s="99">
        <v>1.1488512498874281</v>
      </c>
      <c r="E54" s="99">
        <v>384.63539846231095</v>
      </c>
      <c r="F54" s="99">
        <v>0.74499407205211765</v>
      </c>
      <c r="G54" s="99">
        <v>249.42401532304899</v>
      </c>
      <c r="H54" s="99">
        <v>3.2771917641125445</v>
      </c>
      <c r="I54" s="99">
        <v>1097.2038026248799</v>
      </c>
      <c r="J54" s="99">
        <v>0.82851358685616672</v>
      </c>
      <c r="K54" s="99">
        <v>277.38634887944465</v>
      </c>
      <c r="L54" s="99">
        <v>6</v>
      </c>
      <c r="M54" s="99">
        <v>2008.8000000000002</v>
      </c>
      <c r="N54" s="99">
        <v>5</v>
      </c>
      <c r="O54" s="99">
        <v>1674</v>
      </c>
      <c r="P54" s="99">
        <v>9</v>
      </c>
      <c r="Q54" s="99">
        <v>3013.2000000000003</v>
      </c>
      <c r="R54" s="99">
        <v>8</v>
      </c>
      <c r="S54" s="99">
        <v>2678.4</v>
      </c>
      <c r="T54" s="99">
        <v>9</v>
      </c>
      <c r="U54" s="99">
        <v>3013.2000000000003</v>
      </c>
      <c r="V54" s="99">
        <v>7</v>
      </c>
      <c r="W54" s="99">
        <v>2343.6</v>
      </c>
      <c r="X54" s="99">
        <v>5</v>
      </c>
      <c r="Y54" s="99">
        <v>1674</v>
      </c>
      <c r="Z54" s="99">
        <v>9</v>
      </c>
      <c r="AA54" s="99">
        <v>3013.2000000000003</v>
      </c>
      <c r="AB54" s="99">
        <v>10</v>
      </c>
      <c r="AC54" s="99">
        <v>3348</v>
      </c>
      <c r="AD54" s="99">
        <v>9</v>
      </c>
      <c r="AE54" s="99">
        <v>3013.2000000000003</v>
      </c>
      <c r="AF54" s="99">
        <v>4.6282716432358182</v>
      </c>
      <c r="AG54" s="99">
        <v>1549.545346155352</v>
      </c>
      <c r="AH54" s="99">
        <v>6.2723128340494059</v>
      </c>
      <c r="AI54" s="99">
        <v>2099.9703368397413</v>
      </c>
      <c r="AJ54" s="99">
        <v>9</v>
      </c>
      <c r="AK54" s="99">
        <v>3013.2000000000003</v>
      </c>
      <c r="AL54" s="99">
        <v>6.8757480431697156</v>
      </c>
      <c r="AM54" s="99">
        <v>2302.0004448532209</v>
      </c>
      <c r="AN54" s="99">
        <v>8.0644022152063766</v>
      </c>
      <c r="AO54" s="99">
        <v>2699.9618616510948</v>
      </c>
      <c r="AP54" s="99">
        <v>0.84966832126472824</v>
      </c>
      <c r="AQ54" s="99">
        <v>284.46895395943102</v>
      </c>
      <c r="AR54" s="99">
        <v>9</v>
      </c>
      <c r="AS54" s="99">
        <v>3013.2000000000003</v>
      </c>
      <c r="AT54" s="99">
        <v>5</v>
      </c>
      <c r="AU54" s="99">
        <v>1674</v>
      </c>
      <c r="AV54" s="99">
        <v>8</v>
      </c>
      <c r="AW54" s="99">
        <v>2678.4</v>
      </c>
      <c r="AX54" s="99">
        <v>5</v>
      </c>
      <c r="AY54" s="99">
        <v>1674</v>
      </c>
      <c r="AZ54" s="99">
        <v>6</v>
      </c>
      <c r="BA54" s="99">
        <v>2008.8000000000002</v>
      </c>
      <c r="BB54" s="99">
        <v>6</v>
      </c>
      <c r="BC54" s="99">
        <v>2008.8000000000002</v>
      </c>
      <c r="BD54" s="99">
        <v>5</v>
      </c>
      <c r="BE54" s="99">
        <v>1674</v>
      </c>
      <c r="BF54" s="99">
        <v>7</v>
      </c>
      <c r="BG54" s="99">
        <v>2343.6</v>
      </c>
      <c r="BH54" s="99">
        <v>6.6693609539279874</v>
      </c>
      <c r="BI54" s="99">
        <v>2232.9020473750902</v>
      </c>
      <c r="BJ54" s="99">
        <v>6.5387165081272238</v>
      </c>
      <c r="BK54" s="99">
        <v>2189.1622869209946</v>
      </c>
      <c r="BL54" s="99">
        <v>7.0246865059994761</v>
      </c>
      <c r="BM54" s="99">
        <v>2351.8650422086248</v>
      </c>
      <c r="BN54" s="99">
        <v>5.4835803819344004</v>
      </c>
      <c r="BO54" s="99">
        <v>1835.9027118716374</v>
      </c>
      <c r="BP54" s="99">
        <v>6.7673341173468069</v>
      </c>
      <c r="BQ54" s="99">
        <v>2265.703462487711</v>
      </c>
      <c r="BR54" s="99">
        <v>3.970425603500388</v>
      </c>
      <c r="BS54" s="99">
        <v>1329.29849205193</v>
      </c>
      <c r="BT54" s="99">
        <v>6.5890801193281607</v>
      </c>
      <c r="BU54" s="99">
        <v>2206.0240239510681</v>
      </c>
      <c r="BV54" s="99">
        <v>1.1030646292812647</v>
      </c>
      <c r="BW54" s="99">
        <v>369.30603788336742</v>
      </c>
      <c r="BX54" s="99">
        <v>7.6868114732676078</v>
      </c>
      <c r="BY54" s="99">
        <v>2573.544481249995</v>
      </c>
      <c r="BZ54" s="99">
        <v>7.5071538630642296</v>
      </c>
      <c r="CA54" s="99">
        <v>2513.395113353904</v>
      </c>
      <c r="CB54" s="99">
        <v>3.0333265302076171</v>
      </c>
      <c r="CC54" s="99">
        <v>1015.5577223135102</v>
      </c>
      <c r="CD54" s="99">
        <v>5.0210591928535884</v>
      </c>
      <c r="CE54" s="99">
        <v>1681.0506177673815</v>
      </c>
      <c r="CF54" s="99">
        <v>5</v>
      </c>
      <c r="CG54" s="99">
        <v>1674</v>
      </c>
      <c r="CH54" s="99">
        <v>7</v>
      </c>
      <c r="CI54" s="99">
        <v>2343.6</v>
      </c>
      <c r="CJ54" s="99">
        <v>7</v>
      </c>
      <c r="CK54" s="99">
        <v>2343.6</v>
      </c>
      <c r="CL54" s="99">
        <v>8.236861859970908</v>
      </c>
      <c r="CM54" s="99">
        <v>2757.7013507182601</v>
      </c>
      <c r="CN54" s="99">
        <v>1.9418544041208099</v>
      </c>
      <c r="CO54" s="99">
        <v>650.13285449964712</v>
      </c>
      <c r="CP54" s="99">
        <v>5</v>
      </c>
      <c r="CQ54" s="99">
        <v>1674</v>
      </c>
      <c r="CR54" s="99">
        <v>5.8069088605611228</v>
      </c>
      <c r="CS54" s="99">
        <v>1944.1530865158641</v>
      </c>
      <c r="CT54" s="99">
        <v>5.6225742669474696</v>
      </c>
      <c r="CU54" s="99">
        <v>1882.4378645740128</v>
      </c>
    </row>
    <row r="55" spans="2:99">
      <c r="C55" s="98" t="s">
        <v>221</v>
      </c>
      <c r="D55" s="99">
        <v>1.0212011110110473</v>
      </c>
      <c r="E55" s="99">
        <v>677.66905726693096</v>
      </c>
      <c r="F55" s="99">
        <v>0.74499407205211765</v>
      </c>
      <c r="G55" s="99">
        <v>494.3780662137853</v>
      </c>
      <c r="H55" s="99">
        <v>3.2771917641125445</v>
      </c>
      <c r="I55" s="99">
        <v>2174.7444546650845</v>
      </c>
      <c r="J55" s="99">
        <v>0.94687267069276193</v>
      </c>
      <c r="K55" s="99">
        <v>628.34470427171686</v>
      </c>
      <c r="L55" s="99">
        <v>7</v>
      </c>
      <c r="M55" s="99">
        <v>4645.2</v>
      </c>
      <c r="N55" s="99">
        <v>5</v>
      </c>
      <c r="O55" s="99">
        <v>3318</v>
      </c>
      <c r="P55" s="99">
        <v>7</v>
      </c>
      <c r="Q55" s="99">
        <v>4645.2</v>
      </c>
      <c r="R55" s="99">
        <v>8</v>
      </c>
      <c r="S55" s="99">
        <v>5308.8</v>
      </c>
      <c r="T55" s="99">
        <v>8</v>
      </c>
      <c r="U55" s="99">
        <v>5308.8</v>
      </c>
      <c r="V55" s="99">
        <v>7</v>
      </c>
      <c r="W55" s="99">
        <v>4645.2</v>
      </c>
      <c r="X55" s="99">
        <v>5</v>
      </c>
      <c r="Y55" s="99">
        <v>3318</v>
      </c>
      <c r="Z55" s="99">
        <v>9</v>
      </c>
      <c r="AA55" s="99">
        <v>5972.4000000000005</v>
      </c>
      <c r="AB55" s="99">
        <v>10</v>
      </c>
      <c r="AC55" s="99">
        <v>6636</v>
      </c>
      <c r="AD55" s="99">
        <v>8</v>
      </c>
      <c r="AE55" s="99">
        <v>5308.8</v>
      </c>
      <c r="AF55" s="99">
        <v>4.6282716432358182</v>
      </c>
      <c r="AG55" s="99">
        <v>3071.321062451289</v>
      </c>
      <c r="AH55" s="99">
        <v>6.2723128340494059</v>
      </c>
      <c r="AI55" s="99">
        <v>4162.306796675186</v>
      </c>
      <c r="AJ55" s="99">
        <v>8</v>
      </c>
      <c r="AK55" s="99">
        <v>5308.8</v>
      </c>
      <c r="AL55" s="99">
        <v>6.0162795377735012</v>
      </c>
      <c r="AM55" s="99">
        <v>3992.4031012664955</v>
      </c>
      <c r="AN55" s="99">
        <v>8.0644022152063766</v>
      </c>
      <c r="AO55" s="99">
        <v>5351.5373100109518</v>
      </c>
      <c r="AP55" s="99">
        <v>0.84966832126472824</v>
      </c>
      <c r="AQ55" s="99">
        <v>563.83989799127369</v>
      </c>
      <c r="AR55" s="99">
        <v>9</v>
      </c>
      <c r="AS55" s="99">
        <v>5972.4000000000005</v>
      </c>
      <c r="AT55" s="99">
        <v>5</v>
      </c>
      <c r="AU55" s="99">
        <v>3318</v>
      </c>
      <c r="AV55" s="99">
        <v>8</v>
      </c>
      <c r="AW55" s="99">
        <v>5308.8</v>
      </c>
      <c r="AX55" s="99">
        <v>5</v>
      </c>
      <c r="AY55" s="99">
        <v>3318</v>
      </c>
      <c r="AZ55" s="99">
        <v>6</v>
      </c>
      <c r="BA55" s="99">
        <v>3981.6000000000004</v>
      </c>
      <c r="BB55" s="99">
        <v>5</v>
      </c>
      <c r="BC55" s="99">
        <v>3318</v>
      </c>
      <c r="BD55" s="99">
        <v>5</v>
      </c>
      <c r="BE55" s="99">
        <v>3318</v>
      </c>
      <c r="BF55" s="99">
        <v>6</v>
      </c>
      <c r="BG55" s="99">
        <v>3981.6000000000004</v>
      </c>
      <c r="BH55" s="99">
        <v>6.6693609539279874</v>
      </c>
      <c r="BI55" s="99">
        <v>4425.7879290266128</v>
      </c>
      <c r="BJ55" s="99">
        <v>6.5387165081272238</v>
      </c>
      <c r="BK55" s="99">
        <v>4339.0922747932254</v>
      </c>
      <c r="BL55" s="99">
        <v>6.1466006927495416</v>
      </c>
      <c r="BM55" s="99">
        <v>4078.884219708596</v>
      </c>
      <c r="BN55" s="99">
        <v>5.4835803819344004</v>
      </c>
      <c r="BO55" s="99">
        <v>3638.9039414516683</v>
      </c>
      <c r="BP55" s="99">
        <v>7.6132508820151577</v>
      </c>
      <c r="BQ55" s="99">
        <v>5052.1532853052586</v>
      </c>
      <c r="BR55" s="99">
        <v>3.970425603500388</v>
      </c>
      <c r="BS55" s="99">
        <v>2634.7744304828575</v>
      </c>
      <c r="BT55" s="99">
        <v>7.3212001325868457</v>
      </c>
      <c r="BU55" s="99">
        <v>4858.3484079846312</v>
      </c>
      <c r="BV55" s="99">
        <v>1.2606452906071597</v>
      </c>
      <c r="BW55" s="99">
        <v>836.56421484691123</v>
      </c>
      <c r="BX55" s="99">
        <v>6.9181303259408464</v>
      </c>
      <c r="BY55" s="99">
        <v>4590.871284294346</v>
      </c>
      <c r="BZ55" s="99">
        <v>7.4648910411422102</v>
      </c>
      <c r="CA55" s="99">
        <v>4953.7016949019708</v>
      </c>
      <c r="CB55" s="99">
        <v>3.0333265302076171</v>
      </c>
      <c r="CC55" s="99">
        <v>2012.9154854457747</v>
      </c>
      <c r="CD55" s="99">
        <v>5.0210591928535884</v>
      </c>
      <c r="CE55" s="99">
        <v>3331.9748803776415</v>
      </c>
      <c r="CF55" s="99">
        <v>5</v>
      </c>
      <c r="CG55" s="99">
        <v>3318</v>
      </c>
      <c r="CH55" s="99">
        <v>7</v>
      </c>
      <c r="CI55" s="99">
        <v>4645.2</v>
      </c>
      <c r="CJ55" s="99">
        <v>7</v>
      </c>
      <c r="CK55" s="99">
        <v>4645.2</v>
      </c>
      <c r="CL55" s="99">
        <v>8.2664695924672724</v>
      </c>
      <c r="CM55" s="99">
        <v>5485.6292215612821</v>
      </c>
      <c r="CN55" s="99">
        <v>1.618212003434008</v>
      </c>
      <c r="CO55" s="99">
        <v>1073.8454854788076</v>
      </c>
      <c r="CP55" s="99">
        <v>5</v>
      </c>
      <c r="CQ55" s="99">
        <v>3318</v>
      </c>
      <c r="CR55" s="99">
        <v>5.8069088605611228</v>
      </c>
      <c r="CS55" s="99">
        <v>3853.464719868361</v>
      </c>
      <c r="CT55" s="99">
        <v>5.6225742669474696</v>
      </c>
      <c r="CU55" s="99">
        <v>3731.1402835463409</v>
      </c>
    </row>
    <row r="56" spans="2:99">
      <c r="C56" s="98" t="s">
        <v>222</v>
      </c>
      <c r="D56" s="99">
        <v>1.4479140238774808</v>
      </c>
      <c r="E56" s="99">
        <v>1421.272405838135</v>
      </c>
      <c r="F56" s="99">
        <v>0.74461265219439277</v>
      </c>
      <c r="G56" s="99">
        <v>730.91177939401587</v>
      </c>
      <c r="H56" s="99">
        <v>3.9305964230681405</v>
      </c>
      <c r="I56" s="99">
        <v>3858.2734488836863</v>
      </c>
      <c r="J56" s="99">
        <v>5.4905876654331109</v>
      </c>
      <c r="K56" s="99">
        <v>5389.5608523891415</v>
      </c>
      <c r="L56" s="99">
        <v>6</v>
      </c>
      <c r="M56" s="99">
        <v>5889.5999999999995</v>
      </c>
      <c r="N56" s="99">
        <v>6</v>
      </c>
      <c r="O56" s="99">
        <v>5889.5999999999995</v>
      </c>
      <c r="P56" s="99">
        <v>7.3493726583402603</v>
      </c>
      <c r="Q56" s="99">
        <v>7214.1442014267986</v>
      </c>
      <c r="R56" s="99">
        <v>5.555233935477208</v>
      </c>
      <c r="S56" s="99">
        <v>5453.0176310644265</v>
      </c>
      <c r="T56" s="99">
        <v>9</v>
      </c>
      <c r="U56" s="99">
        <v>8834.4</v>
      </c>
      <c r="V56" s="99">
        <v>6</v>
      </c>
      <c r="W56" s="99">
        <v>5889.5999999999995</v>
      </c>
      <c r="X56" s="99">
        <v>3.0791515400919822</v>
      </c>
      <c r="Y56" s="99">
        <v>3022.4951517542895</v>
      </c>
      <c r="Z56" s="99">
        <v>9</v>
      </c>
      <c r="AA56" s="99">
        <v>8834.4</v>
      </c>
      <c r="AB56" s="99">
        <v>8.1351030043451455</v>
      </c>
      <c r="AC56" s="99">
        <v>7985.4171090651944</v>
      </c>
      <c r="AD56" s="99">
        <v>3.5235708695548666</v>
      </c>
      <c r="AE56" s="99">
        <v>3458.7371655550569</v>
      </c>
      <c r="AF56" s="99">
        <v>4.3235644571098266</v>
      </c>
      <c r="AG56" s="99">
        <v>4244.0108710990053</v>
      </c>
      <c r="AH56" s="99">
        <v>5.2164806683676463</v>
      </c>
      <c r="AI56" s="99">
        <v>5120.4974240696811</v>
      </c>
      <c r="AJ56" s="99">
        <v>8.6292074035166078</v>
      </c>
      <c r="AK56" s="99">
        <v>8470.4299872919019</v>
      </c>
      <c r="AL56" s="99">
        <v>6</v>
      </c>
      <c r="AM56" s="99">
        <v>5889.5999999999995</v>
      </c>
      <c r="AN56" s="99">
        <v>6.4019914128118058</v>
      </c>
      <c r="AO56" s="99">
        <v>6284.1947708160678</v>
      </c>
      <c r="AP56" s="99">
        <v>4.8599746283414351</v>
      </c>
      <c r="AQ56" s="99">
        <v>4770.5510951799524</v>
      </c>
      <c r="AR56" s="99">
        <v>7.6618987763137927</v>
      </c>
      <c r="AS56" s="99">
        <v>7520.9198388296181</v>
      </c>
      <c r="AT56" s="99">
        <v>2.561580092470046</v>
      </c>
      <c r="AU56" s="99">
        <v>2514.447018768597</v>
      </c>
      <c r="AV56" s="99">
        <v>7.3427614672815604</v>
      </c>
      <c r="AW56" s="99">
        <v>7207.6546562835792</v>
      </c>
      <c r="AX56" s="99">
        <v>4.2242817444655509</v>
      </c>
      <c r="AY56" s="99">
        <v>4146.5549603673844</v>
      </c>
      <c r="AZ56" s="99">
        <v>4.9076214384232131</v>
      </c>
      <c r="BA56" s="99">
        <v>4817.3212039562259</v>
      </c>
      <c r="BB56" s="99">
        <v>4.3212166052793286</v>
      </c>
      <c r="BC56" s="99">
        <v>4241.7062197421883</v>
      </c>
      <c r="BD56" s="99">
        <v>3.5121193162911419</v>
      </c>
      <c r="BE56" s="99">
        <v>3447.4963208713848</v>
      </c>
      <c r="BF56" s="99">
        <v>5.2931556949880649</v>
      </c>
      <c r="BG56" s="99">
        <v>5195.7616302002843</v>
      </c>
      <c r="BH56" s="99">
        <v>4.8976342759289322</v>
      </c>
      <c r="BI56" s="99">
        <v>4807.5178052518395</v>
      </c>
      <c r="BJ56" s="99">
        <v>7</v>
      </c>
      <c r="BK56" s="99">
        <v>6871.1999999999989</v>
      </c>
      <c r="BL56" s="99">
        <v>5.8355278988440062</v>
      </c>
      <c r="BM56" s="99">
        <v>5728.1541855052756</v>
      </c>
      <c r="BN56" s="99">
        <v>4.4860666644776392</v>
      </c>
      <c r="BO56" s="99">
        <v>4403.5230378512506</v>
      </c>
      <c r="BP56" s="99">
        <v>5.2096617405067756</v>
      </c>
      <c r="BQ56" s="99">
        <v>5113.8039644814507</v>
      </c>
      <c r="BR56" s="99">
        <v>2.3143896224644105</v>
      </c>
      <c r="BS56" s="99">
        <v>2271.8048534110653</v>
      </c>
      <c r="BT56" s="99">
        <v>8.0738288180510942</v>
      </c>
      <c r="BU56" s="99">
        <v>7925.270367798953</v>
      </c>
      <c r="BV56" s="99">
        <v>4.8701901406801982</v>
      </c>
      <c r="BW56" s="99">
        <v>4780.578642091682</v>
      </c>
      <c r="BX56" s="99">
        <v>5.9948186905890513</v>
      </c>
      <c r="BY56" s="99">
        <v>5884.5140266822118</v>
      </c>
      <c r="BZ56" s="99">
        <v>1.8648194908954825</v>
      </c>
      <c r="CA56" s="99">
        <v>1830.5068122630055</v>
      </c>
      <c r="CB56" s="99">
        <v>4.1454497564942807</v>
      </c>
      <c r="CC56" s="99">
        <v>4069.1734809747854</v>
      </c>
      <c r="CD56" s="99">
        <v>4.2136143663229602</v>
      </c>
      <c r="CE56" s="99">
        <v>4136.0838619826172</v>
      </c>
      <c r="CF56" s="99">
        <v>4</v>
      </c>
      <c r="CG56" s="99">
        <v>3926.3999999999996</v>
      </c>
      <c r="CH56" s="99">
        <v>4.9339923068100786</v>
      </c>
      <c r="CI56" s="99">
        <v>4843.2068483647727</v>
      </c>
      <c r="CJ56" s="99">
        <v>3.6249463345689517</v>
      </c>
      <c r="CK56" s="99">
        <v>3558.2473220128827</v>
      </c>
      <c r="CL56" s="99">
        <v>5.8430197715322221</v>
      </c>
      <c r="CM56" s="99">
        <v>5735.5082077360285</v>
      </c>
      <c r="CN56" s="99">
        <v>3.1831512061019365</v>
      </c>
      <c r="CO56" s="99">
        <v>3124.5812239096604</v>
      </c>
      <c r="CP56" s="99">
        <v>4</v>
      </c>
      <c r="CQ56" s="99">
        <v>3926.3999999999996</v>
      </c>
      <c r="CR56" s="99">
        <v>4.1576212633610679</v>
      </c>
      <c r="CS56" s="99">
        <v>4081.1210321152239</v>
      </c>
      <c r="CT56" s="99">
        <v>3.2909042136691777</v>
      </c>
      <c r="CU56" s="99">
        <v>3230.3515761376648</v>
      </c>
    </row>
    <row r="57" spans="2:99">
      <c r="C57" s="98" t="s">
        <v>223</v>
      </c>
      <c r="D57" s="99">
        <v>1.0212011110110473</v>
      </c>
      <c r="E57" s="99">
        <v>1441.1190078587899</v>
      </c>
      <c r="F57" s="99">
        <v>0.74499407205211765</v>
      </c>
      <c r="G57" s="99">
        <v>1051.3356344799486</v>
      </c>
      <c r="H57" s="99">
        <v>3.9326301169350533</v>
      </c>
      <c r="I57" s="99">
        <v>5549.7276210187474</v>
      </c>
      <c r="J57" s="99">
        <v>0.7101545030195715</v>
      </c>
      <c r="K57" s="99">
        <v>1002.1700346612193</v>
      </c>
      <c r="L57" s="99">
        <v>6</v>
      </c>
      <c r="M57" s="99">
        <v>8467.2000000000007</v>
      </c>
      <c r="N57" s="99">
        <v>6</v>
      </c>
      <c r="O57" s="99">
        <v>8467.2000000000007</v>
      </c>
      <c r="P57" s="99">
        <v>7</v>
      </c>
      <c r="Q57" s="99">
        <v>9878.4</v>
      </c>
      <c r="R57" s="99">
        <v>8</v>
      </c>
      <c r="S57" s="99">
        <v>11289.6</v>
      </c>
      <c r="T57" s="99">
        <v>8</v>
      </c>
      <c r="U57" s="99">
        <v>11289.6</v>
      </c>
      <c r="V57" s="99">
        <v>6</v>
      </c>
      <c r="W57" s="99">
        <v>8467.2000000000007</v>
      </c>
      <c r="X57" s="99">
        <v>5</v>
      </c>
      <c r="Y57" s="99">
        <v>7056</v>
      </c>
      <c r="Z57" s="99">
        <v>7</v>
      </c>
      <c r="AA57" s="99">
        <v>9878.4</v>
      </c>
      <c r="AB57" s="99">
        <v>8</v>
      </c>
      <c r="AC57" s="99">
        <v>11289.6</v>
      </c>
      <c r="AD57" s="99">
        <v>7</v>
      </c>
      <c r="AE57" s="99">
        <v>9878.4</v>
      </c>
      <c r="AF57" s="99">
        <v>4.6282716432358182</v>
      </c>
      <c r="AG57" s="99">
        <v>6531.4169429343865</v>
      </c>
      <c r="AH57" s="99">
        <v>6.2723128340494059</v>
      </c>
      <c r="AI57" s="99">
        <v>8851.4878714105216</v>
      </c>
      <c r="AJ57" s="99">
        <v>9</v>
      </c>
      <c r="AK57" s="99">
        <v>12700.800000000001</v>
      </c>
      <c r="AL57" s="99">
        <v>6.8757480431697156</v>
      </c>
      <c r="AM57" s="99">
        <v>9703.0556385211021</v>
      </c>
      <c r="AN57" s="99">
        <v>6.272312834049405</v>
      </c>
      <c r="AO57" s="99">
        <v>8851.4878714105198</v>
      </c>
      <c r="AP57" s="99">
        <v>0.84966832126472824</v>
      </c>
      <c r="AQ57" s="99">
        <v>1199.0519349687845</v>
      </c>
      <c r="AR57" s="99">
        <v>8</v>
      </c>
      <c r="AS57" s="99">
        <v>11289.6</v>
      </c>
      <c r="AT57" s="99">
        <v>5</v>
      </c>
      <c r="AU57" s="99">
        <v>7056</v>
      </c>
      <c r="AV57" s="99">
        <v>8</v>
      </c>
      <c r="AW57" s="99">
        <v>11289.6</v>
      </c>
      <c r="AX57" s="99">
        <v>5</v>
      </c>
      <c r="AY57" s="99">
        <v>7056</v>
      </c>
      <c r="AZ57" s="99">
        <v>6</v>
      </c>
      <c r="BA57" s="99">
        <v>8467.2000000000007</v>
      </c>
      <c r="BB57" s="99">
        <v>5</v>
      </c>
      <c r="BC57" s="99">
        <v>7056</v>
      </c>
      <c r="BD57" s="99">
        <v>5</v>
      </c>
      <c r="BE57" s="99">
        <v>7056</v>
      </c>
      <c r="BF57" s="99">
        <v>6</v>
      </c>
      <c r="BG57" s="99">
        <v>8467.2000000000007</v>
      </c>
      <c r="BH57" s="99">
        <v>7.5030310731689864</v>
      </c>
      <c r="BI57" s="99">
        <v>10588.277450456075</v>
      </c>
      <c r="BJ57" s="99">
        <v>5.6046141498233348</v>
      </c>
      <c r="BK57" s="99">
        <v>7909.23148823069</v>
      </c>
      <c r="BL57" s="99">
        <v>7.0246865059994761</v>
      </c>
      <c r="BM57" s="99">
        <v>9913.2375972664613</v>
      </c>
      <c r="BN57" s="99">
        <v>4.7002117559437719</v>
      </c>
      <c r="BO57" s="99">
        <v>6632.938829987851</v>
      </c>
      <c r="BP57" s="99">
        <v>5.9214173526784561</v>
      </c>
      <c r="BQ57" s="99">
        <v>8356.3041680998376</v>
      </c>
      <c r="BR57" s="99">
        <v>3.970425603500388</v>
      </c>
      <c r="BS57" s="99">
        <v>5603.0646116597472</v>
      </c>
      <c r="BT57" s="99">
        <v>5.8569601060694767</v>
      </c>
      <c r="BU57" s="99">
        <v>8265.3421016852462</v>
      </c>
      <c r="BV57" s="99">
        <v>1.1030646292812647</v>
      </c>
      <c r="BW57" s="99">
        <v>1556.6448048417208</v>
      </c>
      <c r="BX57" s="99">
        <v>6.1494491786140859</v>
      </c>
      <c r="BY57" s="99">
        <v>8678.1026808601982</v>
      </c>
      <c r="BZ57" s="99">
        <v>6.4226282192201909</v>
      </c>
      <c r="CA57" s="99">
        <v>9063.612942963533</v>
      </c>
      <c r="CB57" s="99">
        <v>3.0013418974377815</v>
      </c>
      <c r="CC57" s="99">
        <v>4235.4936856641971</v>
      </c>
      <c r="CD57" s="99">
        <v>4.1842159940446564</v>
      </c>
      <c r="CE57" s="99">
        <v>5904.7656107958192</v>
      </c>
      <c r="CF57" s="99">
        <v>5</v>
      </c>
      <c r="CG57" s="99">
        <v>7056</v>
      </c>
      <c r="CH57" s="99">
        <v>7</v>
      </c>
      <c r="CI57" s="99">
        <v>9878.4</v>
      </c>
      <c r="CJ57" s="99">
        <v>6</v>
      </c>
      <c r="CK57" s="99">
        <v>8467.2000000000007</v>
      </c>
      <c r="CL57" s="99">
        <v>7.2368618599709089</v>
      </c>
      <c r="CM57" s="99">
        <v>10212.659456790947</v>
      </c>
      <c r="CN57" s="99">
        <v>1.618212003434008</v>
      </c>
      <c r="CO57" s="99">
        <v>2283.6207792460723</v>
      </c>
      <c r="CP57" s="99">
        <v>5</v>
      </c>
      <c r="CQ57" s="99">
        <v>7056</v>
      </c>
      <c r="CR57" s="99">
        <v>4.9773504519095342</v>
      </c>
      <c r="CS57" s="99">
        <v>7024.0369577347346</v>
      </c>
      <c r="CT57" s="99">
        <v>4.9197524835790354</v>
      </c>
      <c r="CU57" s="99">
        <v>6942.7547048267352</v>
      </c>
    </row>
    <row r="58" spans="2:99">
      <c r="C58" s="98" t="s">
        <v>224</v>
      </c>
      <c r="D58" s="99">
        <v>1.0947804379780968</v>
      </c>
      <c r="E58" s="99">
        <v>1288.7755315878155</v>
      </c>
      <c r="F58" s="99">
        <v>0.67744039510691745</v>
      </c>
      <c r="G58" s="99">
        <v>797.48283311986324</v>
      </c>
      <c r="H58" s="99">
        <v>3.6120946271930685</v>
      </c>
      <c r="I58" s="99">
        <v>4252.1577951316804</v>
      </c>
      <c r="J58" s="99">
        <v>1.1331444677835194</v>
      </c>
      <c r="K58" s="99">
        <v>1333.9376674747591</v>
      </c>
      <c r="L58" s="99">
        <v>1.3227611821687792</v>
      </c>
      <c r="M58" s="99">
        <v>1557.1544636490869</v>
      </c>
      <c r="N58" s="99">
        <v>5</v>
      </c>
      <c r="O58" s="99">
        <v>5886</v>
      </c>
      <c r="P58" s="99">
        <v>8</v>
      </c>
      <c r="Q58" s="99">
        <v>9417.6</v>
      </c>
      <c r="R58" s="99">
        <v>8</v>
      </c>
      <c r="S58" s="99">
        <v>9417.6</v>
      </c>
      <c r="T58" s="99">
        <v>9</v>
      </c>
      <c r="U58" s="99">
        <v>10594.800000000001</v>
      </c>
      <c r="V58" s="99">
        <v>6</v>
      </c>
      <c r="W58" s="99">
        <v>7063.2000000000007</v>
      </c>
      <c r="X58" s="99">
        <v>5.2520636929017908</v>
      </c>
      <c r="Y58" s="99">
        <v>6182.7293792839882</v>
      </c>
      <c r="Z58" s="99">
        <v>9.3526749586536972</v>
      </c>
      <c r="AA58" s="99">
        <v>11009.968961327133</v>
      </c>
      <c r="AB58" s="99">
        <v>9</v>
      </c>
      <c r="AC58" s="99">
        <v>10594.800000000001</v>
      </c>
      <c r="AD58" s="99">
        <v>8</v>
      </c>
      <c r="AE58" s="99">
        <v>9417.6</v>
      </c>
      <c r="AF58" s="99">
        <v>4</v>
      </c>
      <c r="AG58" s="99">
        <v>4708.8</v>
      </c>
      <c r="AH58" s="99">
        <v>6.3326899721528491</v>
      </c>
      <c r="AI58" s="99">
        <v>7454.8426352183342</v>
      </c>
      <c r="AJ58" s="99">
        <v>9</v>
      </c>
      <c r="AK58" s="99">
        <v>10594.800000000001</v>
      </c>
      <c r="AL58" s="99">
        <v>7.2379359432933281</v>
      </c>
      <c r="AM58" s="99">
        <v>8520.4981924449057</v>
      </c>
      <c r="AN58" s="99">
        <v>9.0308224517679179</v>
      </c>
      <c r="AO58" s="99">
        <v>10631.084190221194</v>
      </c>
      <c r="AP58" s="99">
        <v>6</v>
      </c>
      <c r="AQ58" s="99">
        <v>7063.2000000000007</v>
      </c>
      <c r="AR58" s="99">
        <v>8</v>
      </c>
      <c r="AS58" s="99">
        <v>9417.6</v>
      </c>
      <c r="AT58" s="99">
        <v>5</v>
      </c>
      <c r="AU58" s="99">
        <v>5886</v>
      </c>
      <c r="AV58" s="99">
        <v>7</v>
      </c>
      <c r="AW58" s="99">
        <v>8240.4</v>
      </c>
      <c r="AX58" s="99">
        <v>5</v>
      </c>
      <c r="AY58" s="99">
        <v>5886</v>
      </c>
      <c r="AZ58" s="99">
        <v>7.4965057149406809</v>
      </c>
      <c r="BA58" s="99">
        <v>8824.8865276281704</v>
      </c>
      <c r="BB58" s="99">
        <v>5</v>
      </c>
      <c r="BC58" s="99">
        <v>5886</v>
      </c>
      <c r="BD58" s="99">
        <v>5.0226265886745605</v>
      </c>
      <c r="BE58" s="99">
        <v>5912.6360201876932</v>
      </c>
      <c r="BF58" s="99">
        <v>6</v>
      </c>
      <c r="BG58" s="99">
        <v>7063.2000000000007</v>
      </c>
      <c r="BH58" s="99">
        <v>9.3171599682559183</v>
      </c>
      <c r="BI58" s="99">
        <v>10968.160714630867</v>
      </c>
      <c r="BJ58" s="99">
        <v>7.5879314415844235</v>
      </c>
      <c r="BK58" s="99">
        <v>8932.512893033183</v>
      </c>
      <c r="BL58" s="99">
        <v>7</v>
      </c>
      <c r="BM58" s="99">
        <v>8240.4</v>
      </c>
      <c r="BN58" s="99">
        <v>7.5471412703579634</v>
      </c>
      <c r="BO58" s="99">
        <v>8884.4947034653942</v>
      </c>
      <c r="BP58" s="99">
        <v>8</v>
      </c>
      <c r="BQ58" s="99">
        <v>9417.6</v>
      </c>
      <c r="BR58" s="99">
        <v>6.2705585200987706</v>
      </c>
      <c r="BS58" s="99">
        <v>7381.7014898602729</v>
      </c>
      <c r="BT58" s="99">
        <v>9.2247489457014815</v>
      </c>
      <c r="BU58" s="99">
        <v>10859.374458879784</v>
      </c>
      <c r="BV58" s="99">
        <v>6.2777730483784318</v>
      </c>
      <c r="BW58" s="99">
        <v>7390.1944325510904</v>
      </c>
      <c r="BX58" s="99">
        <v>9</v>
      </c>
      <c r="BY58" s="99">
        <v>10594.800000000001</v>
      </c>
      <c r="BZ58" s="99">
        <v>7</v>
      </c>
      <c r="CA58" s="99">
        <v>8240.4</v>
      </c>
      <c r="CB58" s="99">
        <v>5.2460086983853653</v>
      </c>
      <c r="CC58" s="99">
        <v>6175.6014397392519</v>
      </c>
      <c r="CD58" s="99">
        <v>6</v>
      </c>
      <c r="CE58" s="99">
        <v>7063.2000000000007</v>
      </c>
      <c r="CF58" s="99">
        <v>5</v>
      </c>
      <c r="CG58" s="99">
        <v>5886</v>
      </c>
      <c r="CH58" s="99">
        <v>7</v>
      </c>
      <c r="CI58" s="99">
        <v>8240.4</v>
      </c>
      <c r="CJ58" s="99">
        <v>6</v>
      </c>
      <c r="CK58" s="99">
        <v>7063.2000000000007</v>
      </c>
      <c r="CL58" s="99">
        <v>7.2868874192089503</v>
      </c>
      <c r="CM58" s="99">
        <v>8578.1238698927773</v>
      </c>
      <c r="CN58" s="99">
        <v>5.152008425952439</v>
      </c>
      <c r="CO58" s="99">
        <v>6064.9443190312113</v>
      </c>
      <c r="CP58" s="99">
        <v>4</v>
      </c>
      <c r="CQ58" s="99">
        <v>4708.8</v>
      </c>
      <c r="CR58" s="99">
        <v>7</v>
      </c>
      <c r="CS58" s="99">
        <v>8240.4</v>
      </c>
      <c r="CT58" s="99">
        <v>9.4954421504425266</v>
      </c>
      <c r="CU58" s="99">
        <v>11178.034499500944</v>
      </c>
    </row>
    <row r="59" spans="2:99">
      <c r="C59" s="98" t="s">
        <v>225</v>
      </c>
      <c r="D59" s="99">
        <v>1.1488512498874281</v>
      </c>
      <c r="E59" s="99">
        <v>348.79123946582314</v>
      </c>
      <c r="F59" s="99">
        <v>0.74499407205211765</v>
      </c>
      <c r="G59" s="99">
        <v>226.18020027502288</v>
      </c>
      <c r="H59" s="99">
        <v>3.9326301169350533</v>
      </c>
      <c r="I59" s="99">
        <v>1193.9465035014821</v>
      </c>
      <c r="J59" s="99">
        <v>0.94687267069276193</v>
      </c>
      <c r="K59" s="99">
        <v>287.4705428223225</v>
      </c>
      <c r="L59" s="99">
        <v>7</v>
      </c>
      <c r="M59" s="99">
        <v>2125.1999999999998</v>
      </c>
      <c r="N59" s="99">
        <v>6</v>
      </c>
      <c r="O59" s="99">
        <v>1821.6</v>
      </c>
      <c r="P59" s="99">
        <v>9</v>
      </c>
      <c r="Q59" s="99">
        <v>2732.3999999999996</v>
      </c>
      <c r="R59" s="99">
        <v>9</v>
      </c>
      <c r="S59" s="99">
        <v>2732.3999999999996</v>
      </c>
      <c r="T59" s="99">
        <v>10</v>
      </c>
      <c r="U59" s="99">
        <v>3035.9999999999995</v>
      </c>
      <c r="V59" s="99">
        <v>7</v>
      </c>
      <c r="W59" s="99">
        <v>2125.1999999999998</v>
      </c>
      <c r="X59" s="99">
        <v>5</v>
      </c>
      <c r="Y59" s="99">
        <v>1517.9999999999998</v>
      </c>
      <c r="Z59" s="99">
        <v>9</v>
      </c>
      <c r="AA59" s="99">
        <v>2732.3999999999996</v>
      </c>
      <c r="AB59" s="99">
        <v>10</v>
      </c>
      <c r="AC59" s="99">
        <v>3035.9999999999995</v>
      </c>
      <c r="AD59" s="99">
        <v>9</v>
      </c>
      <c r="AE59" s="99">
        <v>2732.3999999999996</v>
      </c>
      <c r="AF59" s="99">
        <v>4.6282716432358182</v>
      </c>
      <c r="AG59" s="99">
        <v>1405.1432708863942</v>
      </c>
      <c r="AH59" s="99">
        <v>6.2723128340494059</v>
      </c>
      <c r="AI59" s="99">
        <v>1904.2741764173993</v>
      </c>
      <c r="AJ59" s="99">
        <v>9</v>
      </c>
      <c r="AK59" s="99">
        <v>2732.3999999999996</v>
      </c>
      <c r="AL59" s="99">
        <v>6.8757480431697156</v>
      </c>
      <c r="AM59" s="99">
        <v>2087.4771059063255</v>
      </c>
      <c r="AN59" s="99">
        <v>7.1683575246278908</v>
      </c>
      <c r="AO59" s="99">
        <v>2176.3133444770274</v>
      </c>
      <c r="AP59" s="99">
        <v>0.99127970814218314</v>
      </c>
      <c r="AQ59" s="99">
        <v>300.95251939196675</v>
      </c>
      <c r="AR59" s="99">
        <v>9</v>
      </c>
      <c r="AS59" s="99">
        <v>2732.3999999999996</v>
      </c>
      <c r="AT59" s="99">
        <v>6</v>
      </c>
      <c r="AU59" s="99">
        <v>1821.6</v>
      </c>
      <c r="AV59" s="99">
        <v>8</v>
      </c>
      <c r="AW59" s="99">
        <v>2428.7999999999997</v>
      </c>
      <c r="AX59" s="99">
        <v>6</v>
      </c>
      <c r="AY59" s="99">
        <v>1821.6</v>
      </c>
      <c r="AZ59" s="99">
        <v>6</v>
      </c>
      <c r="BA59" s="99">
        <v>1821.6</v>
      </c>
      <c r="BB59" s="99">
        <v>6</v>
      </c>
      <c r="BC59" s="99">
        <v>1821.6</v>
      </c>
      <c r="BD59" s="99">
        <v>5</v>
      </c>
      <c r="BE59" s="99">
        <v>1517.9999999999998</v>
      </c>
      <c r="BF59" s="99">
        <v>7</v>
      </c>
      <c r="BG59" s="99">
        <v>2125.1999999999998</v>
      </c>
      <c r="BH59" s="99">
        <v>7.5030310731689864</v>
      </c>
      <c r="BI59" s="99">
        <v>2277.920233814104</v>
      </c>
      <c r="BJ59" s="99">
        <v>7.4728188664311128</v>
      </c>
      <c r="BK59" s="99">
        <v>2268.7478078484855</v>
      </c>
      <c r="BL59" s="99">
        <v>7.9027723192494106</v>
      </c>
      <c r="BM59" s="99">
        <v>2399.2816761241206</v>
      </c>
      <c r="BN59" s="99">
        <v>6.2669490079250281</v>
      </c>
      <c r="BO59" s="99">
        <v>1902.6457188060383</v>
      </c>
      <c r="BP59" s="99">
        <v>7.6132508820151577</v>
      </c>
      <c r="BQ59" s="99">
        <v>2311.3829677798017</v>
      </c>
      <c r="BR59" s="99">
        <v>3.970425603500388</v>
      </c>
      <c r="BS59" s="99">
        <v>1205.4212132227176</v>
      </c>
      <c r="BT59" s="99">
        <v>6.5890801193281607</v>
      </c>
      <c r="BU59" s="99">
        <v>2000.4447242280294</v>
      </c>
      <c r="BV59" s="99">
        <v>1.2606452906071597</v>
      </c>
      <c r="BW59" s="99">
        <v>382.73191022833362</v>
      </c>
      <c r="BX59" s="99">
        <v>7.6868114732676078</v>
      </c>
      <c r="BY59" s="99">
        <v>2333.7159632840453</v>
      </c>
      <c r="BZ59" s="99">
        <v>7.4648910411422102</v>
      </c>
      <c r="CA59" s="99">
        <v>2266.3409200907749</v>
      </c>
      <c r="CB59" s="99">
        <v>3.0173342138226995</v>
      </c>
      <c r="CC59" s="99">
        <v>916.06266731657149</v>
      </c>
      <c r="CD59" s="99">
        <v>4.1842159940446564</v>
      </c>
      <c r="CE59" s="99">
        <v>1270.3279757919574</v>
      </c>
      <c r="CF59" s="99">
        <v>5</v>
      </c>
      <c r="CG59" s="99">
        <v>1517.9999999999998</v>
      </c>
      <c r="CH59" s="99">
        <v>7</v>
      </c>
      <c r="CI59" s="99">
        <v>2125.1999999999998</v>
      </c>
      <c r="CJ59" s="99">
        <v>6</v>
      </c>
      <c r="CK59" s="99">
        <v>1821.6</v>
      </c>
      <c r="CL59" s="99">
        <v>7.2368618599709089</v>
      </c>
      <c r="CM59" s="99">
        <v>2197.1112606871675</v>
      </c>
      <c r="CN59" s="99">
        <v>1.618212003434008</v>
      </c>
      <c r="CO59" s="99">
        <v>491.28916424256477</v>
      </c>
      <c r="CP59" s="99">
        <v>5</v>
      </c>
      <c r="CQ59" s="99">
        <v>1517.9999999999998</v>
      </c>
      <c r="CR59" s="99">
        <v>5.8069088605611228</v>
      </c>
      <c r="CS59" s="99">
        <v>1762.9775300663566</v>
      </c>
      <c r="CT59" s="99">
        <v>5.6225742669474696</v>
      </c>
      <c r="CU59" s="99">
        <v>1707.0135474452516</v>
      </c>
    </row>
    <row r="60" spans="2:99">
      <c r="C60" s="98" t="s">
        <v>226</v>
      </c>
      <c r="D60" s="99">
        <v>1.1488512498874281</v>
      </c>
      <c r="E60" s="99">
        <v>748.59147442664823</v>
      </c>
      <c r="F60" s="99">
        <v>0.74499407205211765</v>
      </c>
      <c r="G60" s="99">
        <v>485.43813734915989</v>
      </c>
      <c r="H60" s="99">
        <v>3.9326301169350533</v>
      </c>
      <c r="I60" s="99">
        <v>2562.5017841948807</v>
      </c>
      <c r="J60" s="99">
        <v>0.82851358685616672</v>
      </c>
      <c r="K60" s="99">
        <v>539.8594531954783</v>
      </c>
      <c r="L60" s="99">
        <v>6</v>
      </c>
      <c r="M60" s="99">
        <v>3909.6000000000004</v>
      </c>
      <c r="N60" s="99">
        <v>6</v>
      </c>
      <c r="O60" s="99">
        <v>3909.6000000000004</v>
      </c>
      <c r="P60" s="99">
        <v>7</v>
      </c>
      <c r="Q60" s="99">
        <v>4561.2</v>
      </c>
      <c r="R60" s="99">
        <v>9</v>
      </c>
      <c r="S60" s="99">
        <v>5864.4000000000005</v>
      </c>
      <c r="T60" s="99">
        <v>10</v>
      </c>
      <c r="U60" s="99">
        <v>6516</v>
      </c>
      <c r="V60" s="99">
        <v>6</v>
      </c>
      <c r="W60" s="99">
        <v>3909.6000000000004</v>
      </c>
      <c r="X60" s="99">
        <v>5</v>
      </c>
      <c r="Y60" s="99">
        <v>3258</v>
      </c>
      <c r="Z60" s="99">
        <v>9</v>
      </c>
      <c r="AA60" s="99">
        <v>5864.4000000000005</v>
      </c>
      <c r="AB60" s="99">
        <v>9</v>
      </c>
      <c r="AC60" s="99">
        <v>5864.4000000000005</v>
      </c>
      <c r="AD60" s="99">
        <v>8</v>
      </c>
      <c r="AE60" s="99">
        <v>5212.8</v>
      </c>
      <c r="AF60" s="99">
        <v>3.7026173145886547</v>
      </c>
      <c r="AG60" s="99">
        <v>2412.6254421859676</v>
      </c>
      <c r="AH60" s="99">
        <v>6.2723128340494059</v>
      </c>
      <c r="AI60" s="99">
        <v>4087.0390426665931</v>
      </c>
      <c r="AJ60" s="99">
        <v>9</v>
      </c>
      <c r="AK60" s="99">
        <v>5864.4000000000005</v>
      </c>
      <c r="AL60" s="99">
        <v>6.8757480431697156</v>
      </c>
      <c r="AM60" s="99">
        <v>4480.2374249293871</v>
      </c>
      <c r="AN60" s="99">
        <v>8.0644022152063766</v>
      </c>
      <c r="AO60" s="99">
        <v>5254.7644834284747</v>
      </c>
      <c r="AP60" s="99">
        <v>0.70805693438727357</v>
      </c>
      <c r="AQ60" s="99">
        <v>461.36989844674747</v>
      </c>
      <c r="AR60" s="99">
        <v>8</v>
      </c>
      <c r="AS60" s="99">
        <v>5212.8</v>
      </c>
      <c r="AT60" s="99">
        <v>5</v>
      </c>
      <c r="AU60" s="99">
        <v>3258</v>
      </c>
      <c r="AV60" s="99">
        <v>8</v>
      </c>
      <c r="AW60" s="99">
        <v>5212.8</v>
      </c>
      <c r="AX60" s="99">
        <v>5</v>
      </c>
      <c r="AY60" s="99">
        <v>3258</v>
      </c>
      <c r="AZ60" s="99">
        <v>6</v>
      </c>
      <c r="BA60" s="99">
        <v>3909.6000000000004</v>
      </c>
      <c r="BB60" s="99">
        <v>5</v>
      </c>
      <c r="BC60" s="99">
        <v>3258</v>
      </c>
      <c r="BD60" s="99">
        <v>5</v>
      </c>
      <c r="BE60" s="99">
        <v>3258</v>
      </c>
      <c r="BF60" s="99">
        <v>6</v>
      </c>
      <c r="BG60" s="99">
        <v>3909.6000000000004</v>
      </c>
      <c r="BH60" s="99">
        <v>7.5030310731689864</v>
      </c>
      <c r="BI60" s="99">
        <v>4888.9750472769119</v>
      </c>
      <c r="BJ60" s="99">
        <v>5.6046141498233348</v>
      </c>
      <c r="BK60" s="99">
        <v>3651.9665800248849</v>
      </c>
      <c r="BL60" s="99">
        <v>7.9027723192494106</v>
      </c>
      <c r="BM60" s="99">
        <v>5149.4464432229161</v>
      </c>
      <c r="BN60" s="99">
        <v>5.4835803819344004</v>
      </c>
      <c r="BO60" s="99">
        <v>3573.1009768684553</v>
      </c>
      <c r="BP60" s="99">
        <v>6.7673341173468069</v>
      </c>
      <c r="BQ60" s="99">
        <v>4409.5949108631794</v>
      </c>
      <c r="BR60" s="99">
        <v>4.7645107242004654</v>
      </c>
      <c r="BS60" s="99">
        <v>3104.5551878890233</v>
      </c>
      <c r="BT60" s="99">
        <v>5.8569601060694767</v>
      </c>
      <c r="BU60" s="99">
        <v>3816.3952051148713</v>
      </c>
      <c r="BV60" s="99">
        <v>1.1030646292812647</v>
      </c>
      <c r="BW60" s="99">
        <v>718.75691243967208</v>
      </c>
      <c r="BX60" s="99">
        <v>6.1494491786140859</v>
      </c>
      <c r="BY60" s="99">
        <v>4006.9810847849385</v>
      </c>
      <c r="BZ60" s="99">
        <v>7.5071538630642296</v>
      </c>
      <c r="CA60" s="99">
        <v>4891.6614571726523</v>
      </c>
      <c r="CB60" s="99">
        <v>3.0333265302076171</v>
      </c>
      <c r="CC60" s="99">
        <v>1976.5155670832835</v>
      </c>
      <c r="CD60" s="99">
        <v>4.1842159940446564</v>
      </c>
      <c r="CE60" s="99">
        <v>2726.435141719498</v>
      </c>
      <c r="CF60" s="99">
        <v>5</v>
      </c>
      <c r="CG60" s="99">
        <v>3258</v>
      </c>
      <c r="CH60" s="99">
        <v>6</v>
      </c>
      <c r="CI60" s="99">
        <v>3909.6000000000004</v>
      </c>
      <c r="CJ60" s="99">
        <v>7</v>
      </c>
      <c r="CK60" s="99">
        <v>4561.2</v>
      </c>
      <c r="CL60" s="99">
        <v>7.2368618599709089</v>
      </c>
      <c r="CM60" s="99">
        <v>4715.5391879570443</v>
      </c>
      <c r="CN60" s="99">
        <v>1.618212003434008</v>
      </c>
      <c r="CO60" s="99">
        <v>1054.4269414375997</v>
      </c>
      <c r="CP60" s="99">
        <v>5</v>
      </c>
      <c r="CQ60" s="99">
        <v>3258</v>
      </c>
      <c r="CR60" s="99">
        <v>5.8069088605611228</v>
      </c>
      <c r="CS60" s="99">
        <v>3783.7818135416278</v>
      </c>
      <c r="CT60" s="99">
        <v>6.325396050315903</v>
      </c>
      <c r="CU60" s="99">
        <v>4121.6280663858424</v>
      </c>
    </row>
    <row r="61" spans="2:99">
      <c r="C61" s="98" t="s">
        <v>227</v>
      </c>
      <c r="D61" s="99">
        <v>1.0212011110110473</v>
      </c>
      <c r="E61" s="99">
        <v>971.77497723811246</v>
      </c>
      <c r="F61" s="99">
        <v>0.6385663474732437</v>
      </c>
      <c r="G61" s="99">
        <v>607.65973625553863</v>
      </c>
      <c r="H61" s="99">
        <v>3.9326301169350533</v>
      </c>
      <c r="I61" s="99">
        <v>3742.2908192753962</v>
      </c>
      <c r="J61" s="99">
        <v>0.94687267069276193</v>
      </c>
      <c r="K61" s="99">
        <v>901.04403343123215</v>
      </c>
      <c r="L61" s="99">
        <v>7</v>
      </c>
      <c r="M61" s="99">
        <v>6661.1999999999989</v>
      </c>
      <c r="N61" s="99">
        <v>6</v>
      </c>
      <c r="O61" s="99">
        <v>5709.5999999999995</v>
      </c>
      <c r="P61" s="99">
        <v>8</v>
      </c>
      <c r="Q61" s="99">
        <v>7612.7999999999993</v>
      </c>
      <c r="R61" s="99">
        <v>7</v>
      </c>
      <c r="S61" s="99">
        <v>6661.1999999999989</v>
      </c>
      <c r="T61" s="99">
        <v>8</v>
      </c>
      <c r="U61" s="99">
        <v>7612.7999999999993</v>
      </c>
      <c r="V61" s="99">
        <v>6</v>
      </c>
      <c r="W61" s="99">
        <v>5709.5999999999995</v>
      </c>
      <c r="X61" s="99">
        <v>5</v>
      </c>
      <c r="Y61" s="99">
        <v>4758</v>
      </c>
      <c r="Z61" s="99">
        <v>9</v>
      </c>
      <c r="AA61" s="99">
        <v>8564.4</v>
      </c>
      <c r="AB61" s="99">
        <v>9</v>
      </c>
      <c r="AC61" s="99">
        <v>8564.4</v>
      </c>
      <c r="AD61" s="99">
        <v>7</v>
      </c>
      <c r="AE61" s="99">
        <v>6661.1999999999989</v>
      </c>
      <c r="AF61" s="99">
        <v>4.6282716432358182</v>
      </c>
      <c r="AG61" s="99">
        <v>4404.2632957032038</v>
      </c>
      <c r="AH61" s="99">
        <v>6.2723128340494059</v>
      </c>
      <c r="AI61" s="99">
        <v>5968.732892881414</v>
      </c>
      <c r="AJ61" s="99">
        <v>8</v>
      </c>
      <c r="AK61" s="99">
        <v>7612.7999999999993</v>
      </c>
      <c r="AL61" s="99">
        <v>6.8757480431697156</v>
      </c>
      <c r="AM61" s="99">
        <v>6542.9618378803007</v>
      </c>
      <c r="AN61" s="99">
        <v>7.1683575246278908</v>
      </c>
      <c r="AO61" s="99">
        <v>6821.4090204358999</v>
      </c>
      <c r="AP61" s="99">
        <v>0.84966832126472824</v>
      </c>
      <c r="AQ61" s="99">
        <v>808.5443745155153</v>
      </c>
      <c r="AR61" s="99">
        <v>8</v>
      </c>
      <c r="AS61" s="99">
        <v>7612.7999999999993</v>
      </c>
      <c r="AT61" s="99">
        <v>6</v>
      </c>
      <c r="AU61" s="99">
        <v>5709.5999999999995</v>
      </c>
      <c r="AV61" s="99">
        <v>7</v>
      </c>
      <c r="AW61" s="99">
        <v>6661.1999999999989</v>
      </c>
      <c r="AX61" s="99">
        <v>5</v>
      </c>
      <c r="AY61" s="99">
        <v>4758</v>
      </c>
      <c r="AZ61" s="99">
        <v>7</v>
      </c>
      <c r="BA61" s="99">
        <v>6661.1999999999989</v>
      </c>
      <c r="BB61" s="99">
        <v>5</v>
      </c>
      <c r="BC61" s="99">
        <v>4758</v>
      </c>
      <c r="BD61" s="99">
        <v>5</v>
      </c>
      <c r="BE61" s="99">
        <v>4758</v>
      </c>
      <c r="BF61" s="99">
        <v>6</v>
      </c>
      <c r="BG61" s="99">
        <v>5709.5999999999995</v>
      </c>
      <c r="BH61" s="99">
        <v>6.6693609539279874</v>
      </c>
      <c r="BI61" s="99">
        <v>6346.5638837578726</v>
      </c>
      <c r="BJ61" s="99">
        <v>6.5387165081272238</v>
      </c>
      <c r="BK61" s="99">
        <v>6222.2426291338652</v>
      </c>
      <c r="BL61" s="99">
        <v>7.0246865059994761</v>
      </c>
      <c r="BM61" s="99">
        <v>6684.6916791091007</v>
      </c>
      <c r="BN61" s="99">
        <v>5.4835803819344004</v>
      </c>
      <c r="BO61" s="99">
        <v>5218.1750914487748</v>
      </c>
      <c r="BP61" s="99">
        <v>6.7673341173468069</v>
      </c>
      <c r="BQ61" s="99">
        <v>6439.7951460672211</v>
      </c>
      <c r="BR61" s="99">
        <v>3.970425603500388</v>
      </c>
      <c r="BS61" s="99">
        <v>3778.2570042909688</v>
      </c>
      <c r="BT61" s="99">
        <v>6.5890801193281607</v>
      </c>
      <c r="BU61" s="99">
        <v>6270.1686415526774</v>
      </c>
      <c r="BV61" s="99">
        <v>0.94548396795536971</v>
      </c>
      <c r="BW61" s="99">
        <v>899.72254390632975</v>
      </c>
      <c r="BX61" s="99">
        <v>6.1494491786140859</v>
      </c>
      <c r="BY61" s="99">
        <v>5851.8158383691634</v>
      </c>
      <c r="BZ61" s="99">
        <v>6.4648910411422102</v>
      </c>
      <c r="CA61" s="99">
        <v>6151.9903147509267</v>
      </c>
      <c r="CB61" s="99">
        <v>3.0333265302076171</v>
      </c>
      <c r="CC61" s="99">
        <v>2886.513526145568</v>
      </c>
      <c r="CD61" s="99">
        <v>4.1842159940446564</v>
      </c>
      <c r="CE61" s="99">
        <v>3981.6999399328947</v>
      </c>
      <c r="CF61" s="99">
        <v>4</v>
      </c>
      <c r="CG61" s="99">
        <v>3806.3999999999996</v>
      </c>
      <c r="CH61" s="99">
        <v>7</v>
      </c>
      <c r="CI61" s="99">
        <v>6661.1999999999989</v>
      </c>
      <c r="CJ61" s="99">
        <v>7</v>
      </c>
      <c r="CK61" s="99">
        <v>6661.1999999999989</v>
      </c>
      <c r="CL61" s="99">
        <v>7.2368618599709089</v>
      </c>
      <c r="CM61" s="99">
        <v>6886.5977459483165</v>
      </c>
      <c r="CN61" s="99">
        <v>1.618212003434008</v>
      </c>
      <c r="CO61" s="99">
        <v>1539.8905424678019</v>
      </c>
      <c r="CP61" s="99">
        <v>4</v>
      </c>
      <c r="CQ61" s="99">
        <v>3806.3999999999996</v>
      </c>
      <c r="CR61" s="99">
        <v>4.9773504519095342</v>
      </c>
      <c r="CS61" s="99">
        <v>4736.4466900371126</v>
      </c>
      <c r="CT61" s="99">
        <v>5.6225742669474696</v>
      </c>
      <c r="CU61" s="99">
        <v>5350.4416724272114</v>
      </c>
    </row>
    <row r="62" spans="2:99">
      <c r="C62" s="98" t="s">
        <v>228</v>
      </c>
      <c r="D62" s="99">
        <v>1.2938739976218296</v>
      </c>
      <c r="E62" s="99">
        <v>2159.7344768303583</v>
      </c>
      <c r="F62" s="99">
        <v>0.8586091598449711</v>
      </c>
      <c r="G62" s="99">
        <v>1433.1904096132257</v>
      </c>
      <c r="H62" s="99">
        <v>3.9305964230681405</v>
      </c>
      <c r="I62" s="99">
        <v>6560.9515493853405</v>
      </c>
      <c r="J62" s="99">
        <v>4.7062179989426669</v>
      </c>
      <c r="K62" s="99">
        <v>7855.6190838350994</v>
      </c>
      <c r="L62" s="99">
        <v>6</v>
      </c>
      <c r="M62" s="99">
        <v>10015.200000000001</v>
      </c>
      <c r="N62" s="99">
        <v>5</v>
      </c>
      <c r="O62" s="99">
        <v>8346</v>
      </c>
      <c r="P62" s="99">
        <v>6.190737600574904</v>
      </c>
      <c r="Q62" s="99">
        <v>10333.57920287963</v>
      </c>
      <c r="R62" s="99">
        <v>4.8608296935425566</v>
      </c>
      <c r="S62" s="99">
        <v>8113.6969244612355</v>
      </c>
      <c r="T62" s="99">
        <v>8</v>
      </c>
      <c r="U62" s="99">
        <v>13353.6</v>
      </c>
      <c r="V62" s="99">
        <v>6</v>
      </c>
      <c r="W62" s="99">
        <v>10015.200000000001</v>
      </c>
      <c r="X62" s="99">
        <v>2.4633212320735853</v>
      </c>
      <c r="Y62" s="99">
        <v>4111.7758005772284</v>
      </c>
      <c r="Z62" s="99">
        <v>8</v>
      </c>
      <c r="AA62" s="99">
        <v>13353.6</v>
      </c>
      <c r="AB62" s="99">
        <v>8.1351030043451455</v>
      </c>
      <c r="AC62" s="99">
        <v>13579.113934852918</v>
      </c>
      <c r="AD62" s="99">
        <v>4.0269381366341328</v>
      </c>
      <c r="AE62" s="99">
        <v>6721.7651376696949</v>
      </c>
      <c r="AF62" s="99">
        <v>4.3235644571098266</v>
      </c>
      <c r="AG62" s="99">
        <v>7216.8937918077227</v>
      </c>
      <c r="AH62" s="99">
        <v>6.0858941130955868</v>
      </c>
      <c r="AI62" s="99">
        <v>10158.574453579155</v>
      </c>
      <c r="AJ62" s="99">
        <v>7.6704065809036521</v>
      </c>
      <c r="AK62" s="99">
        <v>12803.442664844377</v>
      </c>
      <c r="AL62" s="99">
        <v>8</v>
      </c>
      <c r="AM62" s="99">
        <v>13353.6</v>
      </c>
      <c r="AN62" s="99">
        <v>7.3165616146420636</v>
      </c>
      <c r="AO62" s="99">
        <v>12212.804647160532</v>
      </c>
      <c r="AP62" s="99">
        <v>4.8599746283414351</v>
      </c>
      <c r="AQ62" s="99">
        <v>8112.2696496275239</v>
      </c>
      <c r="AR62" s="99">
        <v>5.9592546037996161</v>
      </c>
      <c r="AS62" s="99">
        <v>9947.1877846623192</v>
      </c>
      <c r="AT62" s="99">
        <v>2.561580092470046</v>
      </c>
      <c r="AU62" s="99">
        <v>4275.7894903510014</v>
      </c>
      <c r="AV62" s="99">
        <v>6.4249162838713652</v>
      </c>
      <c r="AW62" s="99">
        <v>10724.470261038083</v>
      </c>
      <c r="AX62" s="99">
        <v>3.5202347870546258</v>
      </c>
      <c r="AY62" s="99">
        <v>5875.9759065515818</v>
      </c>
      <c r="AZ62" s="99">
        <v>4.2065326615056113</v>
      </c>
      <c r="BA62" s="99">
        <v>7021.5443185851664</v>
      </c>
      <c r="BB62" s="99">
        <v>4.3212166052793286</v>
      </c>
      <c r="BC62" s="99">
        <v>7212.9747575322554</v>
      </c>
      <c r="BD62" s="99">
        <v>2.8096954530329135</v>
      </c>
      <c r="BE62" s="99">
        <v>4689.9436502025392</v>
      </c>
      <c r="BF62" s="99">
        <v>5.2931556949880649</v>
      </c>
      <c r="BG62" s="99">
        <v>8835.3354860740783</v>
      </c>
      <c r="BH62" s="99">
        <v>5.5098385604200493</v>
      </c>
      <c r="BI62" s="99">
        <v>9197.0225250531457</v>
      </c>
      <c r="BJ62" s="99">
        <v>6</v>
      </c>
      <c r="BK62" s="99">
        <v>10015.200000000001</v>
      </c>
      <c r="BL62" s="99">
        <v>5.8355278988440062</v>
      </c>
      <c r="BM62" s="99">
        <v>9740.6631687504159</v>
      </c>
      <c r="BN62" s="99">
        <v>4.4860666644776392</v>
      </c>
      <c r="BO62" s="99">
        <v>7488.1424763460755</v>
      </c>
      <c r="BP62" s="99">
        <v>5.2096617405067756</v>
      </c>
      <c r="BQ62" s="99">
        <v>8695.9673772539099</v>
      </c>
      <c r="BR62" s="99">
        <v>2.3143896224644105</v>
      </c>
      <c r="BS62" s="99">
        <v>3863.1791578175939</v>
      </c>
      <c r="BT62" s="99">
        <v>8.0738288180510942</v>
      </c>
      <c r="BU62" s="99">
        <v>13476.835063090886</v>
      </c>
      <c r="BV62" s="99">
        <v>4.1744486920115982</v>
      </c>
      <c r="BW62" s="99">
        <v>6967.9897567057596</v>
      </c>
      <c r="BX62" s="99">
        <v>5.9948186905890513</v>
      </c>
      <c r="BY62" s="99">
        <v>10006.551358331244</v>
      </c>
      <c r="BZ62" s="99">
        <v>1.3320139220682017</v>
      </c>
      <c r="CA62" s="99">
        <v>2223.3976387162425</v>
      </c>
      <c r="CB62" s="99">
        <v>4.1671999967214868</v>
      </c>
      <c r="CC62" s="99">
        <v>6955.8902345275055</v>
      </c>
      <c r="CD62" s="99">
        <v>4.2136143663229602</v>
      </c>
      <c r="CE62" s="99">
        <v>7033.3651002662855</v>
      </c>
      <c r="CF62" s="99">
        <v>5</v>
      </c>
      <c r="CG62" s="99">
        <v>8346</v>
      </c>
      <c r="CH62" s="99">
        <v>4.2536989375652272</v>
      </c>
      <c r="CI62" s="99">
        <v>7100.2742665838778</v>
      </c>
      <c r="CJ62" s="99">
        <v>3.6249463345689517</v>
      </c>
      <c r="CK62" s="99">
        <v>6050.7604216624941</v>
      </c>
      <c r="CL62" s="99">
        <v>5.0128656427674683</v>
      </c>
      <c r="CM62" s="99">
        <v>8367.4753309074586</v>
      </c>
      <c r="CN62" s="99">
        <v>3.1831512061019365</v>
      </c>
      <c r="CO62" s="99">
        <v>5313.3159932253529</v>
      </c>
      <c r="CP62" s="99">
        <v>5</v>
      </c>
      <c r="CQ62" s="99">
        <v>8346</v>
      </c>
      <c r="CR62" s="99">
        <v>4.4683365275591687</v>
      </c>
      <c r="CS62" s="99">
        <v>7458.5473318017648</v>
      </c>
      <c r="CT62" s="99">
        <v>3.2909042136691777</v>
      </c>
      <c r="CU62" s="99">
        <v>5493.1773134565919</v>
      </c>
    </row>
    <row r="63" spans="2:99">
      <c r="C63" s="98" t="s">
        <v>229</v>
      </c>
      <c r="D63" s="99">
        <v>1.1488512498874281</v>
      </c>
      <c r="E63" s="99">
        <v>914.02605441043784</v>
      </c>
      <c r="F63" s="99">
        <v>0.6385663474732437</v>
      </c>
      <c r="G63" s="99">
        <v>508.04338604971269</v>
      </c>
      <c r="H63" s="99">
        <v>3.2771917641125445</v>
      </c>
      <c r="I63" s="99">
        <v>2607.3337675279404</v>
      </c>
      <c r="J63" s="99">
        <v>0.82851358685616672</v>
      </c>
      <c r="K63" s="99">
        <v>659.16540970276628</v>
      </c>
      <c r="L63" s="99">
        <v>6</v>
      </c>
      <c r="M63" s="99">
        <v>4773.6000000000004</v>
      </c>
      <c r="N63" s="99">
        <v>5</v>
      </c>
      <c r="O63" s="99">
        <v>3978</v>
      </c>
      <c r="P63" s="99">
        <v>8</v>
      </c>
      <c r="Q63" s="99">
        <v>6364.8</v>
      </c>
      <c r="R63" s="99">
        <v>8</v>
      </c>
      <c r="S63" s="99">
        <v>6364.8</v>
      </c>
      <c r="T63" s="99">
        <v>9</v>
      </c>
      <c r="U63" s="99">
        <v>7160.4000000000005</v>
      </c>
      <c r="V63" s="99">
        <v>6</v>
      </c>
      <c r="W63" s="99">
        <v>4773.6000000000004</v>
      </c>
      <c r="X63" s="99">
        <v>5</v>
      </c>
      <c r="Y63" s="99">
        <v>3978</v>
      </c>
      <c r="Z63" s="99">
        <v>8</v>
      </c>
      <c r="AA63" s="99">
        <v>6364.8</v>
      </c>
      <c r="AB63" s="99">
        <v>8</v>
      </c>
      <c r="AC63" s="99">
        <v>6364.8</v>
      </c>
      <c r="AD63" s="99">
        <v>8</v>
      </c>
      <c r="AE63" s="99">
        <v>6364.8</v>
      </c>
      <c r="AF63" s="99">
        <v>3.7026173145886547</v>
      </c>
      <c r="AG63" s="99">
        <v>2945.8023354867337</v>
      </c>
      <c r="AH63" s="99">
        <v>6.2723128340494059</v>
      </c>
      <c r="AI63" s="99">
        <v>4990.2520907697071</v>
      </c>
      <c r="AJ63" s="99">
        <v>10</v>
      </c>
      <c r="AK63" s="99">
        <v>7956</v>
      </c>
      <c r="AL63" s="99">
        <v>6.8757480431697156</v>
      </c>
      <c r="AM63" s="99">
        <v>5470.3451431458261</v>
      </c>
      <c r="AN63" s="99">
        <v>8.0644022152063766</v>
      </c>
      <c r="AO63" s="99">
        <v>6416.0384024181931</v>
      </c>
      <c r="AP63" s="99">
        <v>0.84966832126472824</v>
      </c>
      <c r="AQ63" s="99">
        <v>675.99611639821785</v>
      </c>
      <c r="AR63" s="99">
        <v>8</v>
      </c>
      <c r="AS63" s="99">
        <v>6364.8</v>
      </c>
      <c r="AT63" s="99">
        <v>5</v>
      </c>
      <c r="AU63" s="99">
        <v>3978</v>
      </c>
      <c r="AV63" s="99">
        <v>7</v>
      </c>
      <c r="AW63" s="99">
        <v>5569.2</v>
      </c>
      <c r="AX63" s="99">
        <v>5</v>
      </c>
      <c r="AY63" s="99">
        <v>3978</v>
      </c>
      <c r="AZ63" s="99">
        <v>7</v>
      </c>
      <c r="BA63" s="99">
        <v>5569.2</v>
      </c>
      <c r="BB63" s="99">
        <v>5</v>
      </c>
      <c r="BC63" s="99">
        <v>3978</v>
      </c>
      <c r="BD63" s="99">
        <v>5</v>
      </c>
      <c r="BE63" s="99">
        <v>3978</v>
      </c>
      <c r="BF63" s="99">
        <v>7</v>
      </c>
      <c r="BG63" s="99">
        <v>5569.2</v>
      </c>
      <c r="BH63" s="99">
        <v>7.5030310731689864</v>
      </c>
      <c r="BI63" s="99">
        <v>5969.4115218132456</v>
      </c>
      <c r="BJ63" s="99">
        <v>5.6046141498233348</v>
      </c>
      <c r="BK63" s="99">
        <v>4459.0310175994455</v>
      </c>
      <c r="BL63" s="99">
        <v>6.1466006927495416</v>
      </c>
      <c r="BM63" s="99">
        <v>4890.2355111515353</v>
      </c>
      <c r="BN63" s="99">
        <v>5.4835803819344004</v>
      </c>
      <c r="BO63" s="99">
        <v>4362.7365518670094</v>
      </c>
      <c r="BP63" s="99">
        <v>6.7673341173468069</v>
      </c>
      <c r="BQ63" s="99">
        <v>5384.0910237611197</v>
      </c>
      <c r="BR63" s="99">
        <v>3.970425603500388</v>
      </c>
      <c r="BS63" s="99">
        <v>3158.8706101449088</v>
      </c>
      <c r="BT63" s="99">
        <v>6.5890801193281607</v>
      </c>
      <c r="BU63" s="99">
        <v>5242.2721429374851</v>
      </c>
      <c r="BV63" s="99">
        <v>1.1030646292812647</v>
      </c>
      <c r="BW63" s="99">
        <v>877.59821905617423</v>
      </c>
      <c r="BX63" s="99">
        <v>6.1494491786140859</v>
      </c>
      <c r="BY63" s="99">
        <v>4892.5017665053665</v>
      </c>
      <c r="BZ63" s="99">
        <v>6.4648910411422102</v>
      </c>
      <c r="CA63" s="99">
        <v>5143.4673123327429</v>
      </c>
      <c r="CB63" s="99">
        <v>3.0333265302076171</v>
      </c>
      <c r="CC63" s="99">
        <v>2413.3145874331803</v>
      </c>
      <c r="CD63" s="99">
        <v>5.0210591928535884</v>
      </c>
      <c r="CE63" s="99">
        <v>3994.7546938343148</v>
      </c>
      <c r="CF63" s="99">
        <v>5</v>
      </c>
      <c r="CG63" s="99">
        <v>3978</v>
      </c>
      <c r="CH63" s="99">
        <v>7</v>
      </c>
      <c r="CI63" s="99">
        <v>5569.2</v>
      </c>
      <c r="CJ63" s="99">
        <v>6</v>
      </c>
      <c r="CK63" s="99">
        <v>4773.6000000000004</v>
      </c>
      <c r="CL63" s="99">
        <v>7.2368618599709089</v>
      </c>
      <c r="CM63" s="99">
        <v>5757.6472957928554</v>
      </c>
      <c r="CN63" s="99">
        <v>1.618212003434008</v>
      </c>
      <c r="CO63" s="99">
        <v>1287.4494699320967</v>
      </c>
      <c r="CP63" s="99">
        <v>5</v>
      </c>
      <c r="CQ63" s="99">
        <v>3978</v>
      </c>
      <c r="CR63" s="99">
        <v>5.8069088605611228</v>
      </c>
      <c r="CS63" s="99">
        <v>4619.976689462429</v>
      </c>
      <c r="CT63" s="99">
        <v>5.6225742669474696</v>
      </c>
      <c r="CU63" s="99">
        <v>4473.3200867834066</v>
      </c>
    </row>
    <row r="64" spans="2:99">
      <c r="C64" s="98" t="s">
        <v>230</v>
      </c>
      <c r="D64" s="99">
        <v>1.1488512498874281</v>
      </c>
      <c r="E64" s="99">
        <v>1159.4206813863923</v>
      </c>
      <c r="F64" s="99">
        <v>0.74499407205211765</v>
      </c>
      <c r="G64" s="99">
        <v>751.84801751499697</v>
      </c>
      <c r="H64" s="99">
        <v>3.9326301169350533</v>
      </c>
      <c r="I64" s="99">
        <v>3968.8103140108551</v>
      </c>
      <c r="J64" s="99">
        <v>0.82851358685616672</v>
      </c>
      <c r="K64" s="99">
        <v>836.13591185524331</v>
      </c>
      <c r="L64" s="99">
        <v>6</v>
      </c>
      <c r="M64" s="99">
        <v>6055.1999999999989</v>
      </c>
      <c r="N64" s="99">
        <v>5</v>
      </c>
      <c r="O64" s="99">
        <v>5045.9999999999991</v>
      </c>
      <c r="P64" s="99">
        <v>9</v>
      </c>
      <c r="Q64" s="99">
        <v>9082.7999999999993</v>
      </c>
      <c r="R64" s="99">
        <v>8</v>
      </c>
      <c r="S64" s="99">
        <v>8073.5999999999985</v>
      </c>
      <c r="T64" s="99">
        <v>9</v>
      </c>
      <c r="U64" s="99">
        <v>9082.7999999999993</v>
      </c>
      <c r="V64" s="99">
        <v>6</v>
      </c>
      <c r="W64" s="99">
        <v>6055.1999999999989</v>
      </c>
      <c r="X64" s="99">
        <v>5</v>
      </c>
      <c r="Y64" s="99">
        <v>5045.9999999999991</v>
      </c>
      <c r="Z64" s="99">
        <v>9</v>
      </c>
      <c r="AA64" s="99">
        <v>9082.7999999999993</v>
      </c>
      <c r="AB64" s="99">
        <v>8</v>
      </c>
      <c r="AC64" s="99">
        <v>8073.5999999999985</v>
      </c>
      <c r="AD64" s="99">
        <v>8</v>
      </c>
      <c r="AE64" s="99">
        <v>8073.5999999999985</v>
      </c>
      <c r="AF64" s="99">
        <v>3.7026173145886547</v>
      </c>
      <c r="AG64" s="99">
        <v>3736.6813938828695</v>
      </c>
      <c r="AH64" s="99">
        <v>6.2723128340494059</v>
      </c>
      <c r="AI64" s="99">
        <v>6330.0181121226597</v>
      </c>
      <c r="AJ64" s="99">
        <v>9</v>
      </c>
      <c r="AK64" s="99">
        <v>9082.7999999999993</v>
      </c>
      <c r="AL64" s="99">
        <v>6.0162795377735012</v>
      </c>
      <c r="AM64" s="99">
        <v>6071.6293095210167</v>
      </c>
      <c r="AN64" s="99">
        <v>6.272312834049405</v>
      </c>
      <c r="AO64" s="99">
        <v>6330.0181121226587</v>
      </c>
      <c r="AP64" s="99">
        <v>0.84966832126472824</v>
      </c>
      <c r="AQ64" s="99">
        <v>857.48526982036356</v>
      </c>
      <c r="AR64" s="99">
        <v>9</v>
      </c>
      <c r="AS64" s="99">
        <v>9082.7999999999993</v>
      </c>
      <c r="AT64" s="99">
        <v>6</v>
      </c>
      <c r="AU64" s="99">
        <v>6055.1999999999989</v>
      </c>
      <c r="AV64" s="99">
        <v>7</v>
      </c>
      <c r="AW64" s="99">
        <v>7064.3999999999987</v>
      </c>
      <c r="AX64" s="99">
        <v>5</v>
      </c>
      <c r="AY64" s="99">
        <v>5045.9999999999991</v>
      </c>
      <c r="AZ64" s="99">
        <v>6</v>
      </c>
      <c r="BA64" s="99">
        <v>6055.1999999999989</v>
      </c>
      <c r="BB64" s="99">
        <v>5</v>
      </c>
      <c r="BC64" s="99">
        <v>5045.9999999999991</v>
      </c>
      <c r="BD64" s="99">
        <v>5</v>
      </c>
      <c r="BE64" s="99">
        <v>5045.9999999999991</v>
      </c>
      <c r="BF64" s="99">
        <v>7</v>
      </c>
      <c r="BG64" s="99">
        <v>7064.3999999999987</v>
      </c>
      <c r="BH64" s="99">
        <v>6.6693609539279874</v>
      </c>
      <c r="BI64" s="99">
        <v>6730.7190747041241</v>
      </c>
      <c r="BJ64" s="99">
        <v>5.6046141498233348</v>
      </c>
      <c r="BK64" s="99">
        <v>5656.1766000017087</v>
      </c>
      <c r="BL64" s="99">
        <v>7.0246865059994761</v>
      </c>
      <c r="BM64" s="99">
        <v>7089.3136218546697</v>
      </c>
      <c r="BN64" s="99">
        <v>6.2669490079250281</v>
      </c>
      <c r="BO64" s="99">
        <v>6324.6049387979374</v>
      </c>
      <c r="BP64" s="99">
        <v>6.7673341173468069</v>
      </c>
      <c r="BQ64" s="99">
        <v>6829.5935912263967</v>
      </c>
      <c r="BR64" s="99">
        <v>3.970425603500388</v>
      </c>
      <c r="BS64" s="99">
        <v>4006.9535190525908</v>
      </c>
      <c r="BT64" s="99">
        <v>5.8569601060694767</v>
      </c>
      <c r="BU64" s="99">
        <v>5910.8441390453145</v>
      </c>
      <c r="BV64" s="99">
        <v>1.1030646292812647</v>
      </c>
      <c r="BW64" s="99">
        <v>1113.2128238706521</v>
      </c>
      <c r="BX64" s="99">
        <v>6.1494491786140859</v>
      </c>
      <c r="BY64" s="99">
        <v>6206.0241110573343</v>
      </c>
      <c r="BZ64" s="99">
        <v>7.4648910411422102</v>
      </c>
      <c r="CA64" s="99">
        <v>7533.5680387207176</v>
      </c>
      <c r="CB64" s="99">
        <v>3.0173342138226995</v>
      </c>
      <c r="CC64" s="99">
        <v>3045.0936885898677</v>
      </c>
      <c r="CD64" s="99">
        <v>5.0210591928535884</v>
      </c>
      <c r="CE64" s="99">
        <v>5067.2529374278402</v>
      </c>
      <c r="CF64" s="99">
        <v>4</v>
      </c>
      <c r="CG64" s="99">
        <v>4036.7999999999993</v>
      </c>
      <c r="CH64" s="99">
        <v>7</v>
      </c>
      <c r="CI64" s="99">
        <v>7064.3999999999987</v>
      </c>
      <c r="CJ64" s="99">
        <v>6</v>
      </c>
      <c r="CK64" s="99">
        <v>6055.1999999999989</v>
      </c>
      <c r="CL64" s="99">
        <v>8.236861859970908</v>
      </c>
      <c r="CM64" s="99">
        <v>8312.640989082638</v>
      </c>
      <c r="CN64" s="99">
        <v>1.618212003434008</v>
      </c>
      <c r="CO64" s="99">
        <v>1633.0995538656005</v>
      </c>
      <c r="CP64" s="99">
        <v>5</v>
      </c>
      <c r="CQ64" s="99">
        <v>5045.9999999999991</v>
      </c>
      <c r="CR64" s="99">
        <v>4.9773504519095342</v>
      </c>
      <c r="CS64" s="99">
        <v>5023.1420760671008</v>
      </c>
      <c r="CT64" s="99">
        <v>5.6225742669474696</v>
      </c>
      <c r="CU64" s="99">
        <v>5674.3019502033858</v>
      </c>
    </row>
    <row r="65" spans="2:99">
      <c r="C65" s="98" t="s">
        <v>231</v>
      </c>
      <c r="D65" s="99">
        <v>1.0212011110110473</v>
      </c>
      <c r="E65" s="99">
        <v>1047.7523398973344</v>
      </c>
      <c r="F65" s="99">
        <v>0.6385663474732437</v>
      </c>
      <c r="G65" s="99">
        <v>655.16907250754798</v>
      </c>
      <c r="H65" s="99">
        <v>3.9326301169350533</v>
      </c>
      <c r="I65" s="99">
        <v>4034.8784999753648</v>
      </c>
      <c r="J65" s="99">
        <v>0.7101545030195715</v>
      </c>
      <c r="K65" s="99">
        <v>728.61852009808035</v>
      </c>
      <c r="L65" s="99">
        <v>6</v>
      </c>
      <c r="M65" s="99">
        <v>6156</v>
      </c>
      <c r="N65" s="99">
        <v>5</v>
      </c>
      <c r="O65" s="99">
        <v>5130</v>
      </c>
      <c r="P65" s="99">
        <v>8</v>
      </c>
      <c r="Q65" s="99">
        <v>8208</v>
      </c>
      <c r="R65" s="99">
        <v>8</v>
      </c>
      <c r="S65" s="99">
        <v>8208</v>
      </c>
      <c r="T65" s="99">
        <v>9</v>
      </c>
      <c r="U65" s="99">
        <v>9234</v>
      </c>
      <c r="V65" s="99">
        <v>6</v>
      </c>
      <c r="W65" s="99">
        <v>6156</v>
      </c>
      <c r="X65" s="99">
        <v>4</v>
      </c>
      <c r="Y65" s="99">
        <v>4104</v>
      </c>
      <c r="Z65" s="99">
        <v>9</v>
      </c>
      <c r="AA65" s="99">
        <v>9234</v>
      </c>
      <c r="AB65" s="99">
        <v>8</v>
      </c>
      <c r="AC65" s="99">
        <v>8208</v>
      </c>
      <c r="AD65" s="99">
        <v>8</v>
      </c>
      <c r="AE65" s="99">
        <v>8208</v>
      </c>
      <c r="AF65" s="99">
        <v>3.7026173145886547</v>
      </c>
      <c r="AG65" s="99">
        <v>3798.8853647679598</v>
      </c>
      <c r="AH65" s="99">
        <v>6.2723128340494059</v>
      </c>
      <c r="AI65" s="99">
        <v>6435.3929677346905</v>
      </c>
      <c r="AJ65" s="99">
        <v>9</v>
      </c>
      <c r="AK65" s="99">
        <v>9234</v>
      </c>
      <c r="AL65" s="99">
        <v>6.0162795377735012</v>
      </c>
      <c r="AM65" s="99">
        <v>6172.7028057556126</v>
      </c>
      <c r="AN65" s="99">
        <v>7.1683575246278908</v>
      </c>
      <c r="AO65" s="99">
        <v>7354.734820268216</v>
      </c>
      <c r="AP65" s="99">
        <v>0.84966832126472824</v>
      </c>
      <c r="AQ65" s="99">
        <v>871.75969761761121</v>
      </c>
      <c r="AR65" s="99">
        <v>9</v>
      </c>
      <c r="AS65" s="99">
        <v>9234</v>
      </c>
      <c r="AT65" s="99">
        <v>6</v>
      </c>
      <c r="AU65" s="99">
        <v>6156</v>
      </c>
      <c r="AV65" s="99">
        <v>7</v>
      </c>
      <c r="AW65" s="99">
        <v>7182</v>
      </c>
      <c r="AX65" s="99">
        <v>5</v>
      </c>
      <c r="AY65" s="99">
        <v>5130</v>
      </c>
      <c r="AZ65" s="99">
        <v>6</v>
      </c>
      <c r="BA65" s="99">
        <v>6156</v>
      </c>
      <c r="BB65" s="99">
        <v>5</v>
      </c>
      <c r="BC65" s="99">
        <v>5130</v>
      </c>
      <c r="BD65" s="99">
        <v>5</v>
      </c>
      <c r="BE65" s="99">
        <v>5130</v>
      </c>
      <c r="BF65" s="99">
        <v>6</v>
      </c>
      <c r="BG65" s="99">
        <v>6156</v>
      </c>
      <c r="BH65" s="99">
        <v>7.5030310731689864</v>
      </c>
      <c r="BI65" s="99">
        <v>7698.1098810713802</v>
      </c>
      <c r="BJ65" s="99">
        <v>6.5387165081272238</v>
      </c>
      <c r="BK65" s="99">
        <v>6708.7231373385321</v>
      </c>
      <c r="BL65" s="99">
        <v>7.0246865059994761</v>
      </c>
      <c r="BM65" s="99">
        <v>7207.3283551554623</v>
      </c>
      <c r="BN65" s="99">
        <v>5.4835803819344004</v>
      </c>
      <c r="BO65" s="99">
        <v>5626.1534718646944</v>
      </c>
      <c r="BP65" s="99">
        <v>7.6132508820151577</v>
      </c>
      <c r="BQ65" s="99">
        <v>7811.1954049475517</v>
      </c>
      <c r="BR65" s="99">
        <v>3.970425603500388</v>
      </c>
      <c r="BS65" s="99">
        <v>4073.6566691913981</v>
      </c>
      <c r="BT65" s="99">
        <v>5.8569601060694767</v>
      </c>
      <c r="BU65" s="99">
        <v>6009.241068827283</v>
      </c>
      <c r="BV65" s="99">
        <v>1.1030646292812647</v>
      </c>
      <c r="BW65" s="99">
        <v>1131.7443096425775</v>
      </c>
      <c r="BX65" s="99">
        <v>6.9181303259408464</v>
      </c>
      <c r="BY65" s="99">
        <v>7098.001714415308</v>
      </c>
      <c r="BZ65" s="99">
        <v>6.4226282192201909</v>
      </c>
      <c r="CA65" s="99">
        <v>6589.6165529199161</v>
      </c>
      <c r="CB65" s="99">
        <v>3.0013418974377815</v>
      </c>
      <c r="CC65" s="99">
        <v>3079.3767867711636</v>
      </c>
      <c r="CD65" s="99">
        <v>5.0210591928535884</v>
      </c>
      <c r="CE65" s="99">
        <v>5151.6067318677815</v>
      </c>
      <c r="CF65" s="99">
        <v>5</v>
      </c>
      <c r="CG65" s="99">
        <v>5130</v>
      </c>
      <c r="CH65" s="99">
        <v>7</v>
      </c>
      <c r="CI65" s="99">
        <v>7182</v>
      </c>
      <c r="CJ65" s="99">
        <v>7</v>
      </c>
      <c r="CK65" s="99">
        <v>7182</v>
      </c>
      <c r="CL65" s="99">
        <v>7.2368618599709089</v>
      </c>
      <c r="CM65" s="99">
        <v>7425.0202683301522</v>
      </c>
      <c r="CN65" s="99">
        <v>1.618212003434008</v>
      </c>
      <c r="CO65" s="99">
        <v>1660.2855155232921</v>
      </c>
      <c r="CP65" s="99">
        <v>4</v>
      </c>
      <c r="CQ65" s="99">
        <v>4104</v>
      </c>
      <c r="CR65" s="99">
        <v>5.8069088605611228</v>
      </c>
      <c r="CS65" s="99">
        <v>5957.8884909357121</v>
      </c>
      <c r="CT65" s="99">
        <v>6.325396050315903</v>
      </c>
      <c r="CU65" s="99">
        <v>6489.8563476241161</v>
      </c>
    </row>
    <row r="66" spans="2:99">
      <c r="C66" s="98" t="s">
        <v>232</v>
      </c>
      <c r="D66" s="99">
        <v>1.1488512498874281</v>
      </c>
      <c r="E66" s="99">
        <v>1367.5925278659943</v>
      </c>
      <c r="F66" s="99">
        <v>0.6385663474732437</v>
      </c>
      <c r="G66" s="99">
        <v>760.14938003214922</v>
      </c>
      <c r="H66" s="99">
        <v>3.2771917641125445</v>
      </c>
      <c r="I66" s="99">
        <v>3901.1690759995727</v>
      </c>
      <c r="J66" s="99">
        <v>0.82851358685616672</v>
      </c>
      <c r="K66" s="99">
        <v>986.26257379358071</v>
      </c>
      <c r="L66" s="99">
        <v>5</v>
      </c>
      <c r="M66" s="99">
        <v>5951.9999999999991</v>
      </c>
      <c r="N66" s="99">
        <v>5</v>
      </c>
      <c r="O66" s="99">
        <v>5951.9999999999991</v>
      </c>
      <c r="P66" s="99">
        <v>8</v>
      </c>
      <c r="Q66" s="99">
        <v>9523.1999999999989</v>
      </c>
      <c r="R66" s="99">
        <v>7</v>
      </c>
      <c r="S66" s="99">
        <v>8332.7999999999993</v>
      </c>
      <c r="T66" s="99">
        <v>8</v>
      </c>
      <c r="U66" s="99">
        <v>9523.1999999999989</v>
      </c>
      <c r="V66" s="99">
        <v>6</v>
      </c>
      <c r="W66" s="99">
        <v>7142.4</v>
      </c>
      <c r="X66" s="99">
        <v>5</v>
      </c>
      <c r="Y66" s="99">
        <v>5951.9999999999991</v>
      </c>
      <c r="Z66" s="99">
        <v>8</v>
      </c>
      <c r="AA66" s="99">
        <v>9523.1999999999989</v>
      </c>
      <c r="AB66" s="99">
        <v>8</v>
      </c>
      <c r="AC66" s="99">
        <v>9523.1999999999989</v>
      </c>
      <c r="AD66" s="99">
        <v>8</v>
      </c>
      <c r="AE66" s="99">
        <v>9523.1999999999989</v>
      </c>
      <c r="AF66" s="99">
        <v>4.6282716432358182</v>
      </c>
      <c r="AG66" s="99">
        <v>5509.4945641079175</v>
      </c>
      <c r="AH66" s="99">
        <v>6.2723128340494059</v>
      </c>
      <c r="AI66" s="99">
        <v>7466.5611976524115</v>
      </c>
      <c r="AJ66" s="99">
        <v>9</v>
      </c>
      <c r="AK66" s="99">
        <v>10713.599999999999</v>
      </c>
      <c r="AL66" s="99">
        <v>6.0162795377735012</v>
      </c>
      <c r="AM66" s="99">
        <v>7161.7791617655748</v>
      </c>
      <c r="AN66" s="99">
        <v>8.0644022152063766</v>
      </c>
      <c r="AO66" s="99">
        <v>9599.8643969816694</v>
      </c>
      <c r="AP66" s="99">
        <v>0.84966832126472824</v>
      </c>
      <c r="AQ66" s="99">
        <v>1011.4451696335324</v>
      </c>
      <c r="AR66" s="99">
        <v>9</v>
      </c>
      <c r="AS66" s="99">
        <v>10713.599999999999</v>
      </c>
      <c r="AT66" s="99">
        <v>5</v>
      </c>
      <c r="AU66" s="99">
        <v>5951.9999999999991</v>
      </c>
      <c r="AV66" s="99">
        <v>8</v>
      </c>
      <c r="AW66" s="99">
        <v>9523.1999999999989</v>
      </c>
      <c r="AX66" s="99">
        <v>5</v>
      </c>
      <c r="AY66" s="99">
        <v>5951.9999999999991</v>
      </c>
      <c r="AZ66" s="99">
        <v>6</v>
      </c>
      <c r="BA66" s="99">
        <v>7142.4</v>
      </c>
      <c r="BB66" s="99">
        <v>5</v>
      </c>
      <c r="BC66" s="99">
        <v>5951.9999999999991</v>
      </c>
      <c r="BD66" s="99">
        <v>5</v>
      </c>
      <c r="BE66" s="99">
        <v>5951.9999999999991</v>
      </c>
      <c r="BF66" s="99">
        <v>6</v>
      </c>
      <c r="BG66" s="99">
        <v>7142.4</v>
      </c>
      <c r="BH66" s="99">
        <v>7.5030310731689864</v>
      </c>
      <c r="BI66" s="99">
        <v>8931.6081895003608</v>
      </c>
      <c r="BJ66" s="99">
        <v>6.5387165081272238</v>
      </c>
      <c r="BK66" s="99">
        <v>7783.6881312746464</v>
      </c>
      <c r="BL66" s="99">
        <v>6.1466006927495416</v>
      </c>
      <c r="BM66" s="99">
        <v>7316.9134646490538</v>
      </c>
      <c r="BN66" s="99">
        <v>6.2669490079250281</v>
      </c>
      <c r="BO66" s="99">
        <v>7460.1760990339526</v>
      </c>
      <c r="BP66" s="99">
        <v>6.7673341173468069</v>
      </c>
      <c r="BQ66" s="99">
        <v>8055.8345332896379</v>
      </c>
      <c r="BR66" s="99">
        <v>3.970425603500388</v>
      </c>
      <c r="BS66" s="99">
        <v>4726.3946384068613</v>
      </c>
      <c r="BT66" s="99">
        <v>6.5890801193281607</v>
      </c>
      <c r="BU66" s="99">
        <v>7843.6409740482413</v>
      </c>
      <c r="BV66" s="99">
        <v>0.94548396795536971</v>
      </c>
      <c r="BW66" s="99">
        <v>1125.504115454072</v>
      </c>
      <c r="BX66" s="99">
        <v>6.9181303259408464</v>
      </c>
      <c r="BY66" s="99">
        <v>8235.3423399999829</v>
      </c>
      <c r="BZ66" s="99">
        <v>6.4648910411422102</v>
      </c>
      <c r="CA66" s="99">
        <v>7695.8062953756862</v>
      </c>
      <c r="CB66" s="99">
        <v>2.4298596874430767</v>
      </c>
      <c r="CC66" s="99">
        <v>2892.5049719322383</v>
      </c>
      <c r="CD66" s="99">
        <v>5.0210591928535884</v>
      </c>
      <c r="CE66" s="99">
        <v>5977.0688631729108</v>
      </c>
      <c r="CF66" s="99">
        <v>4</v>
      </c>
      <c r="CG66" s="99">
        <v>4761.5999999999995</v>
      </c>
      <c r="CH66" s="99">
        <v>6</v>
      </c>
      <c r="CI66" s="99">
        <v>7142.4</v>
      </c>
      <c r="CJ66" s="99">
        <v>7</v>
      </c>
      <c r="CK66" s="99">
        <v>8332.7999999999993</v>
      </c>
      <c r="CL66" s="99">
        <v>7.2368618599709089</v>
      </c>
      <c r="CM66" s="99">
        <v>8614.7603581093681</v>
      </c>
      <c r="CN66" s="99">
        <v>1.2945696027472064</v>
      </c>
      <c r="CO66" s="99">
        <v>1541.0556551102743</v>
      </c>
      <c r="CP66" s="99">
        <v>5</v>
      </c>
      <c r="CQ66" s="99">
        <v>5951.9999999999991</v>
      </c>
      <c r="CR66" s="99">
        <v>4.9773504519095342</v>
      </c>
      <c r="CS66" s="99">
        <v>5925.0379779531086</v>
      </c>
      <c r="CT66" s="99">
        <v>4.9197524835790354</v>
      </c>
      <c r="CU66" s="99">
        <v>5856.4733564524831</v>
      </c>
    </row>
    <row r="67" spans="2:99">
      <c r="C67" s="98" t="s">
        <v>233</v>
      </c>
      <c r="D67" s="99">
        <v>1.1488512498874281</v>
      </c>
      <c r="E67" s="99">
        <v>1290.3897238735594</v>
      </c>
      <c r="F67" s="99">
        <v>0.74499407205211765</v>
      </c>
      <c r="G67" s="99">
        <v>836.77734172893861</v>
      </c>
      <c r="H67" s="99">
        <v>3.2771917641125445</v>
      </c>
      <c r="I67" s="99">
        <v>3680.9417894512103</v>
      </c>
      <c r="J67" s="99">
        <v>0.7101545030195715</v>
      </c>
      <c r="K67" s="99">
        <v>797.6455377915828</v>
      </c>
      <c r="L67" s="99">
        <v>6</v>
      </c>
      <c r="M67" s="99">
        <v>6739.2000000000007</v>
      </c>
      <c r="N67" s="99">
        <v>5</v>
      </c>
      <c r="O67" s="99">
        <v>5616</v>
      </c>
      <c r="P67" s="99">
        <v>8</v>
      </c>
      <c r="Q67" s="99">
        <v>8985.6</v>
      </c>
      <c r="R67" s="99">
        <v>8</v>
      </c>
      <c r="S67" s="99">
        <v>8985.6</v>
      </c>
      <c r="T67" s="99">
        <v>9</v>
      </c>
      <c r="U67" s="99">
        <v>10108.800000000001</v>
      </c>
      <c r="V67" s="99">
        <v>6</v>
      </c>
      <c r="W67" s="99">
        <v>6739.2000000000007</v>
      </c>
      <c r="X67" s="99">
        <v>5</v>
      </c>
      <c r="Y67" s="99">
        <v>5616</v>
      </c>
      <c r="Z67" s="99">
        <v>9</v>
      </c>
      <c r="AA67" s="99">
        <v>10108.800000000001</v>
      </c>
      <c r="AB67" s="99">
        <v>9</v>
      </c>
      <c r="AC67" s="99">
        <v>10108.800000000001</v>
      </c>
      <c r="AD67" s="99">
        <v>8</v>
      </c>
      <c r="AE67" s="99">
        <v>8985.6</v>
      </c>
      <c r="AF67" s="99">
        <v>4.6282716432358182</v>
      </c>
      <c r="AG67" s="99">
        <v>5198.4747096824713</v>
      </c>
      <c r="AH67" s="99">
        <v>6.2723128340494059</v>
      </c>
      <c r="AI67" s="99">
        <v>7045.0617752042926</v>
      </c>
      <c r="AJ67" s="99">
        <v>9</v>
      </c>
      <c r="AK67" s="99">
        <v>10108.800000000001</v>
      </c>
      <c r="AL67" s="99">
        <v>6.0162795377735012</v>
      </c>
      <c r="AM67" s="99">
        <v>6757.4851768271965</v>
      </c>
      <c r="AN67" s="99">
        <v>6.272312834049405</v>
      </c>
      <c r="AO67" s="99">
        <v>7045.0617752042917</v>
      </c>
      <c r="AP67" s="99">
        <v>0.84966832126472824</v>
      </c>
      <c r="AQ67" s="99">
        <v>954.34745844454278</v>
      </c>
      <c r="AR67" s="99">
        <v>8</v>
      </c>
      <c r="AS67" s="99">
        <v>8985.6</v>
      </c>
      <c r="AT67" s="99">
        <v>6</v>
      </c>
      <c r="AU67" s="99">
        <v>6739.2000000000007</v>
      </c>
      <c r="AV67" s="99">
        <v>8</v>
      </c>
      <c r="AW67" s="99">
        <v>8985.6</v>
      </c>
      <c r="AX67" s="99">
        <v>5</v>
      </c>
      <c r="AY67" s="99">
        <v>5616</v>
      </c>
      <c r="AZ67" s="99">
        <v>7</v>
      </c>
      <c r="BA67" s="99">
        <v>7862.4000000000005</v>
      </c>
      <c r="BB67" s="99">
        <v>5</v>
      </c>
      <c r="BC67" s="99">
        <v>5616</v>
      </c>
      <c r="BD67" s="99">
        <v>5</v>
      </c>
      <c r="BE67" s="99">
        <v>5616</v>
      </c>
      <c r="BF67" s="99">
        <v>6</v>
      </c>
      <c r="BG67" s="99">
        <v>6739.2000000000007</v>
      </c>
      <c r="BH67" s="99">
        <v>6.6693609539279874</v>
      </c>
      <c r="BI67" s="99">
        <v>7491.0262234519159</v>
      </c>
      <c r="BJ67" s="99">
        <v>5.6046141498233348</v>
      </c>
      <c r="BK67" s="99">
        <v>6295.1026130815699</v>
      </c>
      <c r="BL67" s="99">
        <v>6.1466006927495416</v>
      </c>
      <c r="BM67" s="99">
        <v>6903.8618980962856</v>
      </c>
      <c r="BN67" s="99">
        <v>5.4835803819344004</v>
      </c>
      <c r="BO67" s="99">
        <v>6159.1574849887193</v>
      </c>
      <c r="BP67" s="99">
        <v>6.7673341173468069</v>
      </c>
      <c r="BQ67" s="99">
        <v>7601.0696806039341</v>
      </c>
      <c r="BR67" s="99">
        <v>3.970425603500388</v>
      </c>
      <c r="BS67" s="99">
        <v>4459.5820378516355</v>
      </c>
      <c r="BT67" s="99">
        <v>6.5890801193281607</v>
      </c>
      <c r="BU67" s="99">
        <v>7400.8547900293906</v>
      </c>
      <c r="BV67" s="99">
        <v>1.1030646292812647</v>
      </c>
      <c r="BW67" s="99">
        <v>1238.9621916087165</v>
      </c>
      <c r="BX67" s="99">
        <v>6.9181303259408464</v>
      </c>
      <c r="BY67" s="99">
        <v>7770.4439820967591</v>
      </c>
      <c r="BZ67" s="99">
        <v>6.4226282192201909</v>
      </c>
      <c r="CA67" s="99">
        <v>7213.8960158281188</v>
      </c>
      <c r="CB67" s="99">
        <v>3.0013418974377815</v>
      </c>
      <c r="CC67" s="99">
        <v>3371.1072192021161</v>
      </c>
      <c r="CD67" s="99">
        <v>5.0210591928535884</v>
      </c>
      <c r="CE67" s="99">
        <v>5639.6536854131509</v>
      </c>
      <c r="CF67" s="99">
        <v>5</v>
      </c>
      <c r="CG67" s="99">
        <v>5616</v>
      </c>
      <c r="CH67" s="99">
        <v>7</v>
      </c>
      <c r="CI67" s="99">
        <v>7862.4000000000005</v>
      </c>
      <c r="CJ67" s="99">
        <v>6</v>
      </c>
      <c r="CK67" s="99">
        <v>6739.2000000000007</v>
      </c>
      <c r="CL67" s="99">
        <v>7.2368618599709089</v>
      </c>
      <c r="CM67" s="99">
        <v>8128.4432411193256</v>
      </c>
      <c r="CN67" s="99">
        <v>1.618212003434008</v>
      </c>
      <c r="CO67" s="99">
        <v>1817.5757222570778</v>
      </c>
      <c r="CP67" s="99">
        <v>4</v>
      </c>
      <c r="CQ67" s="99">
        <v>4492.8</v>
      </c>
      <c r="CR67" s="99">
        <v>4.9773504519095342</v>
      </c>
      <c r="CS67" s="99">
        <v>5590.5600275847892</v>
      </c>
      <c r="CT67" s="99">
        <v>6.325396050315903</v>
      </c>
      <c r="CU67" s="99">
        <v>7104.6848437148228</v>
      </c>
    </row>
    <row r="68" spans="2:99">
      <c r="C68" s="98" t="s">
        <v>234</v>
      </c>
      <c r="D68" s="99">
        <v>1.0212011110110473</v>
      </c>
      <c r="E68" s="99">
        <v>1055.1049878966141</v>
      </c>
      <c r="F68" s="99">
        <v>0.74499407205211765</v>
      </c>
      <c r="G68" s="99">
        <v>769.72787524424803</v>
      </c>
      <c r="H68" s="99">
        <v>3.2771917641125445</v>
      </c>
      <c r="I68" s="99">
        <v>3385.994530681081</v>
      </c>
      <c r="J68" s="99">
        <v>0.82851358685616672</v>
      </c>
      <c r="K68" s="99">
        <v>856.02023793979151</v>
      </c>
      <c r="L68" s="99">
        <v>6</v>
      </c>
      <c r="M68" s="99">
        <v>6199.2000000000007</v>
      </c>
      <c r="N68" s="99">
        <v>5</v>
      </c>
      <c r="O68" s="99">
        <v>5166</v>
      </c>
      <c r="P68" s="99">
        <v>8</v>
      </c>
      <c r="Q68" s="99">
        <v>8265.6</v>
      </c>
      <c r="R68" s="99">
        <v>8</v>
      </c>
      <c r="S68" s="99">
        <v>8265.6</v>
      </c>
      <c r="T68" s="99">
        <v>8</v>
      </c>
      <c r="U68" s="99">
        <v>8265.6</v>
      </c>
      <c r="V68" s="99">
        <v>7</v>
      </c>
      <c r="W68" s="99">
        <v>7232.4000000000005</v>
      </c>
      <c r="X68" s="99">
        <v>5</v>
      </c>
      <c r="Y68" s="99">
        <v>5166</v>
      </c>
      <c r="Z68" s="99">
        <v>8</v>
      </c>
      <c r="AA68" s="99">
        <v>8265.6</v>
      </c>
      <c r="AB68" s="99">
        <v>9</v>
      </c>
      <c r="AC68" s="99">
        <v>9298.8000000000011</v>
      </c>
      <c r="AD68" s="99">
        <v>8</v>
      </c>
      <c r="AE68" s="99">
        <v>8265.6</v>
      </c>
      <c r="AF68" s="99">
        <v>4.6282716432358182</v>
      </c>
      <c r="AG68" s="99">
        <v>4781.9302617912472</v>
      </c>
      <c r="AH68" s="99">
        <v>6.2723128340494059</v>
      </c>
      <c r="AI68" s="99">
        <v>6480.5536201398463</v>
      </c>
      <c r="AJ68" s="99">
        <v>8</v>
      </c>
      <c r="AK68" s="99">
        <v>8265.6</v>
      </c>
      <c r="AL68" s="99">
        <v>6.8757480431697156</v>
      </c>
      <c r="AM68" s="99">
        <v>7104.0228782029508</v>
      </c>
      <c r="AN68" s="99">
        <v>6.272312834049405</v>
      </c>
      <c r="AO68" s="99">
        <v>6480.5536201398454</v>
      </c>
      <c r="AP68" s="99">
        <v>0.84966832126472824</v>
      </c>
      <c r="AQ68" s="99">
        <v>877.8773095307173</v>
      </c>
      <c r="AR68" s="99">
        <v>8</v>
      </c>
      <c r="AS68" s="99">
        <v>8265.6</v>
      </c>
      <c r="AT68" s="99">
        <v>5</v>
      </c>
      <c r="AU68" s="99">
        <v>5166</v>
      </c>
      <c r="AV68" s="99">
        <v>7</v>
      </c>
      <c r="AW68" s="99">
        <v>7232.4000000000005</v>
      </c>
      <c r="AX68" s="99">
        <v>5</v>
      </c>
      <c r="AY68" s="99">
        <v>5166</v>
      </c>
      <c r="AZ68" s="99">
        <v>6</v>
      </c>
      <c r="BA68" s="99">
        <v>6199.2000000000007</v>
      </c>
      <c r="BB68" s="99">
        <v>5</v>
      </c>
      <c r="BC68" s="99">
        <v>5166</v>
      </c>
      <c r="BD68" s="99">
        <v>4</v>
      </c>
      <c r="BE68" s="99">
        <v>4132.8</v>
      </c>
      <c r="BF68" s="99">
        <v>7</v>
      </c>
      <c r="BG68" s="99">
        <v>7232.4000000000005</v>
      </c>
      <c r="BH68" s="99">
        <v>7.5030310731689864</v>
      </c>
      <c r="BI68" s="99">
        <v>7752.1317047981975</v>
      </c>
      <c r="BJ68" s="99">
        <v>6.5387165081272238</v>
      </c>
      <c r="BK68" s="99">
        <v>6755.8018961970483</v>
      </c>
      <c r="BL68" s="99">
        <v>6.1466006927495416</v>
      </c>
      <c r="BM68" s="99">
        <v>6350.6678357488263</v>
      </c>
      <c r="BN68" s="99">
        <v>5.4835803819344004</v>
      </c>
      <c r="BO68" s="99">
        <v>5665.6352506146231</v>
      </c>
      <c r="BP68" s="99">
        <v>6.7673341173468069</v>
      </c>
      <c r="BQ68" s="99">
        <v>6992.0096100427209</v>
      </c>
      <c r="BR68" s="99">
        <v>4.7645107242004654</v>
      </c>
      <c r="BS68" s="99">
        <v>4922.6924802439207</v>
      </c>
      <c r="BT68" s="99">
        <v>5.8569601060694767</v>
      </c>
      <c r="BU68" s="99">
        <v>6051.4111815909837</v>
      </c>
      <c r="BV68" s="99">
        <v>1.1030646292812647</v>
      </c>
      <c r="BW68" s="99">
        <v>1139.6863749734027</v>
      </c>
      <c r="BX68" s="99">
        <v>6.9181303259408464</v>
      </c>
      <c r="BY68" s="99">
        <v>7147.8122527620826</v>
      </c>
      <c r="BZ68" s="99">
        <v>6.4226282192201909</v>
      </c>
      <c r="CA68" s="99">
        <v>6635.8594760983015</v>
      </c>
      <c r="CB68" s="99">
        <v>3.0013418974377815</v>
      </c>
      <c r="CC68" s="99">
        <v>3100.9864484327159</v>
      </c>
      <c r="CD68" s="99">
        <v>4.1842159940446564</v>
      </c>
      <c r="CE68" s="99">
        <v>4323.1319650469395</v>
      </c>
      <c r="CF68" s="99">
        <v>4</v>
      </c>
      <c r="CG68" s="99">
        <v>4132.8</v>
      </c>
      <c r="CH68" s="99">
        <v>6</v>
      </c>
      <c r="CI68" s="99">
        <v>6199.2000000000007</v>
      </c>
      <c r="CJ68" s="99">
        <v>6</v>
      </c>
      <c r="CK68" s="99">
        <v>6199.2000000000007</v>
      </c>
      <c r="CL68" s="99">
        <v>7.2368618599709089</v>
      </c>
      <c r="CM68" s="99">
        <v>7477.1256737219437</v>
      </c>
      <c r="CN68" s="99">
        <v>1.618212003434008</v>
      </c>
      <c r="CO68" s="99">
        <v>1671.936641948017</v>
      </c>
      <c r="CP68" s="99">
        <v>4</v>
      </c>
      <c r="CQ68" s="99">
        <v>4132.8</v>
      </c>
      <c r="CR68" s="99">
        <v>5.8069088605611228</v>
      </c>
      <c r="CS68" s="99">
        <v>5999.6982347317526</v>
      </c>
      <c r="CT68" s="99">
        <v>5.6225742669474696</v>
      </c>
      <c r="CU68" s="99">
        <v>5809.2437326101262</v>
      </c>
    </row>
    <row r="69" spans="2:99">
      <c r="C69" s="98" t="s">
        <v>235</v>
      </c>
      <c r="D69" s="99">
        <v>1.1488512498874281</v>
      </c>
      <c r="E69" s="99">
        <v>871.28878791462546</v>
      </c>
      <c r="F69" s="99">
        <v>0.74499407205211765</v>
      </c>
      <c r="G69" s="99">
        <v>565.003504244326</v>
      </c>
      <c r="H69" s="99">
        <v>3.9326301169350533</v>
      </c>
      <c r="I69" s="99">
        <v>2982.5066806835443</v>
      </c>
      <c r="J69" s="99">
        <v>0.94687267069276193</v>
      </c>
      <c r="K69" s="99">
        <v>718.10823345339065</v>
      </c>
      <c r="L69" s="99">
        <v>6</v>
      </c>
      <c r="M69" s="99">
        <v>4550.3999999999996</v>
      </c>
      <c r="N69" s="99">
        <v>6</v>
      </c>
      <c r="O69" s="99">
        <v>4550.3999999999996</v>
      </c>
      <c r="P69" s="99">
        <v>8</v>
      </c>
      <c r="Q69" s="99">
        <v>6067.2</v>
      </c>
      <c r="R69" s="99">
        <v>8</v>
      </c>
      <c r="S69" s="99">
        <v>6067.2</v>
      </c>
      <c r="T69" s="99">
        <v>9</v>
      </c>
      <c r="U69" s="99">
        <v>6825.5999999999995</v>
      </c>
      <c r="V69" s="99">
        <v>6</v>
      </c>
      <c r="W69" s="99">
        <v>4550.3999999999996</v>
      </c>
      <c r="X69" s="99">
        <v>5</v>
      </c>
      <c r="Y69" s="99">
        <v>3792</v>
      </c>
      <c r="Z69" s="99">
        <v>8</v>
      </c>
      <c r="AA69" s="99">
        <v>6067.2</v>
      </c>
      <c r="AB69" s="99">
        <v>10</v>
      </c>
      <c r="AC69" s="99">
        <v>7584</v>
      </c>
      <c r="AD69" s="99">
        <v>8</v>
      </c>
      <c r="AE69" s="99">
        <v>6067.2</v>
      </c>
      <c r="AF69" s="99">
        <v>3.7026173145886547</v>
      </c>
      <c r="AG69" s="99">
        <v>2808.0649713840357</v>
      </c>
      <c r="AH69" s="99">
        <v>5.3762681434709192</v>
      </c>
      <c r="AI69" s="99">
        <v>4077.3617600083448</v>
      </c>
      <c r="AJ69" s="99">
        <v>9</v>
      </c>
      <c r="AK69" s="99">
        <v>6825.5999999999995</v>
      </c>
      <c r="AL69" s="99">
        <v>6.0162795377735012</v>
      </c>
      <c r="AM69" s="99">
        <v>4562.7464014474235</v>
      </c>
      <c r="AN69" s="99">
        <v>7.1683575246278908</v>
      </c>
      <c r="AO69" s="99">
        <v>5436.4823466777925</v>
      </c>
      <c r="AP69" s="99">
        <v>0.84966832126472824</v>
      </c>
      <c r="AQ69" s="99">
        <v>644.3884548471699</v>
      </c>
      <c r="AR69" s="99">
        <v>8</v>
      </c>
      <c r="AS69" s="99">
        <v>6067.2</v>
      </c>
      <c r="AT69" s="99">
        <v>5</v>
      </c>
      <c r="AU69" s="99">
        <v>3792</v>
      </c>
      <c r="AV69" s="99">
        <v>8</v>
      </c>
      <c r="AW69" s="99">
        <v>6067.2</v>
      </c>
      <c r="AX69" s="99">
        <v>5</v>
      </c>
      <c r="AY69" s="99">
        <v>3792</v>
      </c>
      <c r="AZ69" s="99">
        <v>6</v>
      </c>
      <c r="BA69" s="99">
        <v>4550.3999999999996</v>
      </c>
      <c r="BB69" s="99">
        <v>5</v>
      </c>
      <c r="BC69" s="99">
        <v>3792</v>
      </c>
      <c r="BD69" s="99">
        <v>5</v>
      </c>
      <c r="BE69" s="99">
        <v>3792</v>
      </c>
      <c r="BF69" s="99">
        <v>6</v>
      </c>
      <c r="BG69" s="99">
        <v>4550.3999999999996</v>
      </c>
      <c r="BH69" s="99">
        <v>7.5030310731689864</v>
      </c>
      <c r="BI69" s="99">
        <v>5690.2987658913589</v>
      </c>
      <c r="BJ69" s="99">
        <v>5.6046141498233348</v>
      </c>
      <c r="BK69" s="99">
        <v>4250.5393712260175</v>
      </c>
      <c r="BL69" s="99">
        <v>7.0246865059994761</v>
      </c>
      <c r="BM69" s="99">
        <v>5327.5222461500025</v>
      </c>
      <c r="BN69" s="99">
        <v>6.2669490079250281</v>
      </c>
      <c r="BO69" s="99">
        <v>4752.8541276103415</v>
      </c>
      <c r="BP69" s="99">
        <v>5.9214173526784561</v>
      </c>
      <c r="BQ69" s="99">
        <v>4490.8029202713406</v>
      </c>
      <c r="BR69" s="99">
        <v>4.7645107242004654</v>
      </c>
      <c r="BS69" s="99">
        <v>3613.4049332336331</v>
      </c>
      <c r="BT69" s="99">
        <v>6.5890801193281607</v>
      </c>
      <c r="BU69" s="99">
        <v>4997.1583624984769</v>
      </c>
      <c r="BV69" s="99">
        <v>0.94548396795536971</v>
      </c>
      <c r="BW69" s="99">
        <v>717.05504129735232</v>
      </c>
      <c r="BX69" s="99">
        <v>6.9181303259408464</v>
      </c>
      <c r="BY69" s="99">
        <v>5246.7100391935373</v>
      </c>
      <c r="BZ69" s="99">
        <v>7.4226282192201909</v>
      </c>
      <c r="CA69" s="99">
        <v>5629.3212414565924</v>
      </c>
      <c r="CB69" s="99">
        <v>3.0333265302076171</v>
      </c>
      <c r="CC69" s="99">
        <v>2300.474840509457</v>
      </c>
      <c r="CD69" s="99">
        <v>4.1842159940446564</v>
      </c>
      <c r="CE69" s="99">
        <v>3173.3094098834672</v>
      </c>
      <c r="CF69" s="99">
        <v>5</v>
      </c>
      <c r="CG69" s="99">
        <v>3792</v>
      </c>
      <c r="CH69" s="99">
        <v>7</v>
      </c>
      <c r="CI69" s="99">
        <v>5308.8</v>
      </c>
      <c r="CJ69" s="99">
        <v>6</v>
      </c>
      <c r="CK69" s="99">
        <v>4550.3999999999996</v>
      </c>
      <c r="CL69" s="99">
        <v>7.2368618599709089</v>
      </c>
      <c r="CM69" s="99">
        <v>5488.4360346019375</v>
      </c>
      <c r="CN69" s="99">
        <v>1.618212003434008</v>
      </c>
      <c r="CO69" s="99">
        <v>1227.2519834043517</v>
      </c>
      <c r="CP69" s="99">
        <v>5</v>
      </c>
      <c r="CQ69" s="99">
        <v>3792</v>
      </c>
      <c r="CR69" s="99">
        <v>4.9773504519095342</v>
      </c>
      <c r="CS69" s="99">
        <v>3774.8225827281908</v>
      </c>
      <c r="CT69" s="99">
        <v>6.325396050315903</v>
      </c>
      <c r="CU69" s="99">
        <v>4797.180364559581</v>
      </c>
    </row>
    <row r="70" spans="2:99">
      <c r="C70" s="98" t="s">
        <v>236</v>
      </c>
      <c r="D70" s="99">
        <v>1.0212011110110473</v>
      </c>
      <c r="E70" s="99">
        <v>546.54683461311242</v>
      </c>
      <c r="F70" s="99">
        <v>0.6385663474732437</v>
      </c>
      <c r="G70" s="99">
        <v>341.76070916767998</v>
      </c>
      <c r="H70" s="99">
        <v>3.9326301169350533</v>
      </c>
      <c r="I70" s="99">
        <v>2104.7436385836404</v>
      </c>
      <c r="J70" s="99">
        <v>0.94687267069276193</v>
      </c>
      <c r="K70" s="99">
        <v>506.76625335476609</v>
      </c>
      <c r="L70" s="99">
        <v>6</v>
      </c>
      <c r="M70" s="99">
        <v>3211.2</v>
      </c>
      <c r="N70" s="99">
        <v>6</v>
      </c>
      <c r="O70" s="99">
        <v>3211.2</v>
      </c>
      <c r="P70" s="99">
        <v>8</v>
      </c>
      <c r="Q70" s="99">
        <v>4281.5999999999995</v>
      </c>
      <c r="R70" s="99">
        <v>9</v>
      </c>
      <c r="S70" s="99">
        <v>4816.7999999999993</v>
      </c>
      <c r="T70" s="99">
        <v>9</v>
      </c>
      <c r="U70" s="99">
        <v>4816.7999999999993</v>
      </c>
      <c r="V70" s="99">
        <v>7</v>
      </c>
      <c r="W70" s="99">
        <v>3746.3999999999996</v>
      </c>
      <c r="X70" s="99">
        <v>5</v>
      </c>
      <c r="Y70" s="99">
        <v>2675.9999999999995</v>
      </c>
      <c r="Z70" s="99">
        <v>9</v>
      </c>
      <c r="AA70" s="99">
        <v>4816.7999999999993</v>
      </c>
      <c r="AB70" s="99">
        <v>10</v>
      </c>
      <c r="AC70" s="99">
        <v>5351.9999999999991</v>
      </c>
      <c r="AD70" s="99">
        <v>8</v>
      </c>
      <c r="AE70" s="99">
        <v>4281.5999999999995</v>
      </c>
      <c r="AF70" s="99">
        <v>4.6282716432358182</v>
      </c>
      <c r="AG70" s="99">
        <v>2477.0509834598097</v>
      </c>
      <c r="AH70" s="99">
        <v>5.3762681434709192</v>
      </c>
      <c r="AI70" s="99">
        <v>2877.3787103856357</v>
      </c>
      <c r="AJ70" s="99">
        <v>9</v>
      </c>
      <c r="AK70" s="99">
        <v>4816.7999999999993</v>
      </c>
      <c r="AL70" s="99">
        <v>6.0162795377735012</v>
      </c>
      <c r="AM70" s="99">
        <v>3219.9128086163773</v>
      </c>
      <c r="AN70" s="99">
        <v>7.1683575246278908</v>
      </c>
      <c r="AO70" s="99">
        <v>3836.5049471808466</v>
      </c>
      <c r="AP70" s="99">
        <v>0.99127970814218314</v>
      </c>
      <c r="AQ70" s="99">
        <v>530.53289979769636</v>
      </c>
      <c r="AR70" s="99">
        <v>9</v>
      </c>
      <c r="AS70" s="99">
        <v>4816.7999999999993</v>
      </c>
      <c r="AT70" s="99">
        <v>6</v>
      </c>
      <c r="AU70" s="99">
        <v>3211.2</v>
      </c>
      <c r="AV70" s="99">
        <v>7</v>
      </c>
      <c r="AW70" s="99">
        <v>3746.3999999999996</v>
      </c>
      <c r="AX70" s="99">
        <v>5</v>
      </c>
      <c r="AY70" s="99">
        <v>2675.9999999999995</v>
      </c>
      <c r="AZ70" s="99">
        <v>6</v>
      </c>
      <c r="BA70" s="99">
        <v>3211.2</v>
      </c>
      <c r="BB70" s="99">
        <v>5</v>
      </c>
      <c r="BC70" s="99">
        <v>2675.9999999999995</v>
      </c>
      <c r="BD70" s="99">
        <v>5</v>
      </c>
      <c r="BE70" s="99">
        <v>2675.9999999999995</v>
      </c>
      <c r="BF70" s="99">
        <v>7</v>
      </c>
      <c r="BG70" s="99">
        <v>3746.3999999999996</v>
      </c>
      <c r="BH70" s="99">
        <v>6.6693609539279874</v>
      </c>
      <c r="BI70" s="99">
        <v>3569.4419825422583</v>
      </c>
      <c r="BJ70" s="99">
        <v>6.5387165081272238</v>
      </c>
      <c r="BK70" s="99">
        <v>3499.5210751496898</v>
      </c>
      <c r="BL70" s="99">
        <v>7.9027723192494106</v>
      </c>
      <c r="BM70" s="99">
        <v>4229.5637452622841</v>
      </c>
      <c r="BN70" s="99">
        <v>5.4835803819344004</v>
      </c>
      <c r="BO70" s="99">
        <v>2934.8122204112906</v>
      </c>
      <c r="BP70" s="99">
        <v>6.7673341173468069</v>
      </c>
      <c r="BQ70" s="99">
        <v>3621.8772196040104</v>
      </c>
      <c r="BR70" s="99">
        <v>3.970425603500388</v>
      </c>
      <c r="BS70" s="99">
        <v>2124.9717829934075</v>
      </c>
      <c r="BT70" s="99">
        <v>7.3212001325868457</v>
      </c>
      <c r="BU70" s="99">
        <v>3918.3063109604791</v>
      </c>
      <c r="BV70" s="99">
        <v>1.1030646292812647</v>
      </c>
      <c r="BW70" s="99">
        <v>590.36018959133276</v>
      </c>
      <c r="BX70" s="99">
        <v>6.9181303259408464</v>
      </c>
      <c r="BY70" s="99">
        <v>3702.5833504435404</v>
      </c>
      <c r="BZ70" s="99">
        <v>6.4648910411422102</v>
      </c>
      <c r="CA70" s="99">
        <v>3460.0096852193105</v>
      </c>
      <c r="CB70" s="99">
        <v>3.0173342138226995</v>
      </c>
      <c r="CC70" s="99">
        <v>1614.8772712379086</v>
      </c>
      <c r="CD70" s="99">
        <v>5.0210591928535884</v>
      </c>
      <c r="CE70" s="99">
        <v>2687.27088001524</v>
      </c>
      <c r="CF70" s="99">
        <v>5</v>
      </c>
      <c r="CG70" s="99">
        <v>2675.9999999999995</v>
      </c>
      <c r="CH70" s="99">
        <v>7</v>
      </c>
      <c r="CI70" s="99">
        <v>3746.3999999999996</v>
      </c>
      <c r="CJ70" s="99">
        <v>6</v>
      </c>
      <c r="CK70" s="99">
        <v>3211.2</v>
      </c>
      <c r="CL70" s="99">
        <v>7.2368618599709089</v>
      </c>
      <c r="CM70" s="99">
        <v>3873.1684674564299</v>
      </c>
      <c r="CN70" s="99">
        <v>1.9418544041208099</v>
      </c>
      <c r="CO70" s="99">
        <v>1039.2804770854573</v>
      </c>
      <c r="CP70" s="99">
        <v>5</v>
      </c>
      <c r="CQ70" s="99">
        <v>2675.9999999999995</v>
      </c>
      <c r="CR70" s="99">
        <v>4.9773504519095342</v>
      </c>
      <c r="CS70" s="99">
        <v>2663.8779618619824</v>
      </c>
      <c r="CT70" s="99">
        <v>6.325396050315903</v>
      </c>
      <c r="CU70" s="99">
        <v>3385.3519661290707</v>
      </c>
    </row>
    <row r="71" spans="2:99">
      <c r="B71" s="98" t="s">
        <v>130</v>
      </c>
      <c r="C71" s="98" t="s">
        <v>237</v>
      </c>
      <c r="D71" s="99">
        <v>0.69518157060541208</v>
      </c>
      <c r="E71" s="99">
        <v>392.08240582145243</v>
      </c>
      <c r="F71" s="99">
        <v>0.5244810016405782</v>
      </c>
      <c r="G71" s="99">
        <v>295.80728492528613</v>
      </c>
      <c r="H71" s="99">
        <v>4.334513552631682</v>
      </c>
      <c r="I71" s="99">
        <v>2444.6656436842686</v>
      </c>
      <c r="J71" s="99">
        <v>0.99150140931057951</v>
      </c>
      <c r="K71" s="99">
        <v>559.20679485116682</v>
      </c>
      <c r="L71" s="99">
        <v>1.3227611821687792</v>
      </c>
      <c r="M71" s="99">
        <v>746.03730674319149</v>
      </c>
      <c r="N71" s="99">
        <v>8</v>
      </c>
      <c r="O71" s="99">
        <v>4512</v>
      </c>
      <c r="P71" s="99">
        <v>4</v>
      </c>
      <c r="Q71" s="99">
        <v>2256</v>
      </c>
      <c r="R71" s="99">
        <v>7</v>
      </c>
      <c r="S71" s="99">
        <v>3948</v>
      </c>
      <c r="T71" s="99">
        <v>6</v>
      </c>
      <c r="U71" s="99">
        <v>3384</v>
      </c>
      <c r="V71" s="99">
        <v>8</v>
      </c>
      <c r="W71" s="99">
        <v>4512</v>
      </c>
      <c r="X71" s="99">
        <v>7</v>
      </c>
      <c r="Y71" s="99">
        <v>3948</v>
      </c>
      <c r="Z71" s="99">
        <v>10</v>
      </c>
      <c r="AA71" s="99">
        <v>5640</v>
      </c>
      <c r="AB71" s="99">
        <v>7</v>
      </c>
      <c r="AC71" s="99">
        <v>3948</v>
      </c>
      <c r="AD71" s="99">
        <v>5</v>
      </c>
      <c r="AE71" s="99">
        <v>2820</v>
      </c>
      <c r="AF71" s="99">
        <v>6</v>
      </c>
      <c r="AG71" s="99">
        <v>3384</v>
      </c>
      <c r="AH71" s="99">
        <v>8</v>
      </c>
      <c r="AI71" s="99">
        <v>4512</v>
      </c>
      <c r="AJ71" s="99">
        <v>5</v>
      </c>
      <c r="AK71" s="99">
        <v>2820</v>
      </c>
      <c r="AL71" s="99">
        <v>7</v>
      </c>
      <c r="AM71" s="99">
        <v>3948</v>
      </c>
      <c r="AN71" s="99">
        <v>10</v>
      </c>
      <c r="AO71" s="99">
        <v>5640</v>
      </c>
      <c r="AP71" s="99">
        <v>7</v>
      </c>
      <c r="AQ71" s="99">
        <v>3948</v>
      </c>
      <c r="AR71" s="99">
        <v>9</v>
      </c>
      <c r="AS71" s="99">
        <v>5076</v>
      </c>
      <c r="AT71" s="99">
        <v>6</v>
      </c>
      <c r="AU71" s="99">
        <v>3384</v>
      </c>
      <c r="AV71" s="99">
        <v>6</v>
      </c>
      <c r="AW71" s="99">
        <v>3384</v>
      </c>
      <c r="AX71" s="99">
        <v>9</v>
      </c>
      <c r="AY71" s="99">
        <v>5076</v>
      </c>
      <c r="AZ71" s="99">
        <v>8.6454574294228852</v>
      </c>
      <c r="BA71" s="99">
        <v>4876.0379901945071</v>
      </c>
      <c r="BB71" s="99">
        <v>8</v>
      </c>
      <c r="BC71" s="99">
        <v>4512</v>
      </c>
      <c r="BD71" s="99">
        <v>6</v>
      </c>
      <c r="BE71" s="99">
        <v>3384</v>
      </c>
      <c r="BF71" s="99">
        <v>6</v>
      </c>
      <c r="BG71" s="99">
        <v>3384</v>
      </c>
      <c r="BH71" s="99">
        <v>9</v>
      </c>
      <c r="BI71" s="99">
        <v>5076</v>
      </c>
      <c r="BJ71" s="99">
        <v>7</v>
      </c>
      <c r="BK71" s="99">
        <v>3948</v>
      </c>
      <c r="BL71" s="99">
        <v>9</v>
      </c>
      <c r="BM71" s="99">
        <v>5076</v>
      </c>
      <c r="BN71" s="99">
        <v>9</v>
      </c>
      <c r="BO71" s="99">
        <v>5076</v>
      </c>
      <c r="BP71" s="99">
        <v>8</v>
      </c>
      <c r="BQ71" s="99">
        <v>4512</v>
      </c>
      <c r="BR71" s="99">
        <v>9</v>
      </c>
      <c r="BS71" s="99">
        <v>5076</v>
      </c>
      <c r="BT71" s="99">
        <v>6.286044112710977</v>
      </c>
      <c r="BU71" s="99">
        <v>3545.3288795689909</v>
      </c>
      <c r="BV71" s="99">
        <v>8</v>
      </c>
      <c r="BW71" s="99">
        <v>4512</v>
      </c>
      <c r="BX71" s="99">
        <v>9</v>
      </c>
      <c r="BY71" s="99">
        <v>5076</v>
      </c>
      <c r="BZ71" s="99">
        <v>7</v>
      </c>
      <c r="CA71" s="99">
        <v>3948</v>
      </c>
      <c r="CB71" s="99">
        <v>6</v>
      </c>
      <c r="CC71" s="99">
        <v>3384</v>
      </c>
      <c r="CD71" s="99">
        <v>6</v>
      </c>
      <c r="CE71" s="99">
        <v>3384</v>
      </c>
      <c r="CF71" s="99">
        <v>9</v>
      </c>
      <c r="CG71" s="99">
        <v>5076</v>
      </c>
      <c r="CH71" s="99">
        <v>9</v>
      </c>
      <c r="CI71" s="99">
        <v>5076</v>
      </c>
      <c r="CJ71" s="99">
        <v>6</v>
      </c>
      <c r="CK71" s="99">
        <v>3384</v>
      </c>
      <c r="CL71" s="99">
        <v>7</v>
      </c>
      <c r="CM71" s="99">
        <v>3948</v>
      </c>
      <c r="CN71" s="99">
        <v>7</v>
      </c>
      <c r="CO71" s="99">
        <v>3948</v>
      </c>
      <c r="CP71" s="99">
        <v>9</v>
      </c>
      <c r="CQ71" s="99">
        <v>5076</v>
      </c>
      <c r="CR71" s="99">
        <v>6</v>
      </c>
      <c r="CS71" s="99">
        <v>3384</v>
      </c>
      <c r="CT71" s="99">
        <v>5</v>
      </c>
      <c r="CU71" s="99">
        <v>2820</v>
      </c>
    </row>
    <row r="72" spans="2:99">
      <c r="C72" s="98" t="s">
        <v>238</v>
      </c>
      <c r="D72" s="99">
        <v>0.82929317613539866</v>
      </c>
      <c r="E72" s="99">
        <v>61.699412304473654</v>
      </c>
      <c r="F72" s="99">
        <v>0.5244810016405782</v>
      </c>
      <c r="G72" s="99">
        <v>39.021386522059011</v>
      </c>
      <c r="H72" s="99">
        <v>4.334513552631682</v>
      </c>
      <c r="I72" s="99">
        <v>322.48780831579711</v>
      </c>
      <c r="J72" s="99">
        <v>1.2747875262564594</v>
      </c>
      <c r="K72" s="99">
        <v>94.844191953480575</v>
      </c>
      <c r="L72" s="99">
        <v>1.3227611821687792</v>
      </c>
      <c r="M72" s="99">
        <v>98.413431953357161</v>
      </c>
      <c r="N72" s="99">
        <v>8</v>
      </c>
      <c r="O72" s="99">
        <v>595.19999999999993</v>
      </c>
      <c r="P72" s="99">
        <v>5</v>
      </c>
      <c r="Q72" s="99">
        <v>371.99999999999994</v>
      </c>
      <c r="R72" s="99">
        <v>6</v>
      </c>
      <c r="S72" s="99">
        <v>446.4</v>
      </c>
      <c r="T72" s="99">
        <v>6</v>
      </c>
      <c r="U72" s="99">
        <v>446.4</v>
      </c>
      <c r="V72" s="99">
        <v>9</v>
      </c>
      <c r="W72" s="99">
        <v>669.59999999999991</v>
      </c>
      <c r="X72" s="99">
        <v>7</v>
      </c>
      <c r="Y72" s="99">
        <v>520.79999999999995</v>
      </c>
      <c r="Z72" s="99">
        <v>10</v>
      </c>
      <c r="AA72" s="99">
        <v>743.99999999999989</v>
      </c>
      <c r="AB72" s="99">
        <v>7</v>
      </c>
      <c r="AC72" s="99">
        <v>520.79999999999995</v>
      </c>
      <c r="AD72" s="99">
        <v>5</v>
      </c>
      <c r="AE72" s="99">
        <v>371.99999999999994</v>
      </c>
      <c r="AF72" s="99">
        <v>7</v>
      </c>
      <c r="AG72" s="99">
        <v>520.79999999999995</v>
      </c>
      <c r="AH72" s="99">
        <v>9</v>
      </c>
      <c r="AI72" s="99">
        <v>669.59999999999991</v>
      </c>
      <c r="AJ72" s="99">
        <v>5</v>
      </c>
      <c r="AK72" s="99">
        <v>371.99999999999994</v>
      </c>
      <c r="AL72" s="99">
        <v>7</v>
      </c>
      <c r="AM72" s="99">
        <v>520.79999999999995</v>
      </c>
      <c r="AN72" s="99">
        <v>10</v>
      </c>
      <c r="AO72" s="99">
        <v>743.99999999999989</v>
      </c>
      <c r="AP72" s="99">
        <v>7</v>
      </c>
      <c r="AQ72" s="99">
        <v>520.79999999999995</v>
      </c>
      <c r="AR72" s="99">
        <v>8</v>
      </c>
      <c r="AS72" s="99">
        <v>595.19999999999993</v>
      </c>
      <c r="AT72" s="99">
        <v>6</v>
      </c>
      <c r="AU72" s="99">
        <v>446.4</v>
      </c>
      <c r="AV72" s="99">
        <v>6</v>
      </c>
      <c r="AW72" s="99">
        <v>446.4</v>
      </c>
      <c r="AX72" s="99">
        <v>11</v>
      </c>
      <c r="AY72" s="99">
        <v>818.39999999999986</v>
      </c>
      <c r="AZ72" s="99">
        <v>9</v>
      </c>
      <c r="BA72" s="99">
        <v>669.59999999999991</v>
      </c>
      <c r="BB72" s="99">
        <v>8</v>
      </c>
      <c r="BC72" s="99">
        <v>595.19999999999993</v>
      </c>
      <c r="BD72" s="99">
        <v>7</v>
      </c>
      <c r="BE72" s="99">
        <v>520.79999999999995</v>
      </c>
      <c r="BF72" s="99">
        <v>6</v>
      </c>
      <c r="BG72" s="99">
        <v>446.4</v>
      </c>
      <c r="BH72" s="99">
        <v>10</v>
      </c>
      <c r="BI72" s="99">
        <v>743.99999999999989</v>
      </c>
      <c r="BJ72" s="99">
        <v>7</v>
      </c>
      <c r="BK72" s="99">
        <v>520.79999999999995</v>
      </c>
      <c r="BL72" s="99">
        <v>10</v>
      </c>
      <c r="BM72" s="99">
        <v>743.99999999999989</v>
      </c>
      <c r="BN72" s="99">
        <v>9</v>
      </c>
      <c r="BO72" s="99">
        <v>669.59999999999991</v>
      </c>
      <c r="BP72" s="99">
        <v>9</v>
      </c>
      <c r="BQ72" s="99">
        <v>669.59999999999991</v>
      </c>
      <c r="BR72" s="99">
        <v>9</v>
      </c>
      <c r="BS72" s="99">
        <v>669.59999999999991</v>
      </c>
      <c r="BT72" s="99">
        <v>6.3064758350474754</v>
      </c>
      <c r="BU72" s="99">
        <v>469.20180212753212</v>
      </c>
      <c r="BV72" s="99">
        <v>9</v>
      </c>
      <c r="BW72" s="99">
        <v>669.59999999999991</v>
      </c>
      <c r="BX72" s="99">
        <v>9</v>
      </c>
      <c r="BY72" s="99">
        <v>669.59999999999991</v>
      </c>
      <c r="BZ72" s="99">
        <v>8</v>
      </c>
      <c r="CA72" s="99">
        <v>595.19999999999993</v>
      </c>
      <c r="CB72" s="99">
        <v>7</v>
      </c>
      <c r="CC72" s="99">
        <v>520.79999999999995</v>
      </c>
      <c r="CD72" s="99">
        <v>6</v>
      </c>
      <c r="CE72" s="99">
        <v>446.4</v>
      </c>
      <c r="CF72" s="99">
        <v>9</v>
      </c>
      <c r="CG72" s="99">
        <v>669.59999999999991</v>
      </c>
      <c r="CH72" s="99">
        <v>9</v>
      </c>
      <c r="CI72" s="99">
        <v>669.59999999999991</v>
      </c>
      <c r="CJ72" s="99">
        <v>6</v>
      </c>
      <c r="CK72" s="99">
        <v>446.4</v>
      </c>
      <c r="CL72" s="99">
        <v>8</v>
      </c>
      <c r="CM72" s="99">
        <v>595.19999999999993</v>
      </c>
      <c r="CN72" s="99">
        <v>7.2786821142461378</v>
      </c>
      <c r="CO72" s="99">
        <v>541.53394929991259</v>
      </c>
      <c r="CP72" s="99">
        <v>9</v>
      </c>
      <c r="CQ72" s="99">
        <v>669.59999999999991</v>
      </c>
      <c r="CR72" s="99">
        <v>5</v>
      </c>
      <c r="CS72" s="99">
        <v>371.99999999999994</v>
      </c>
      <c r="CT72" s="99">
        <v>5</v>
      </c>
      <c r="CU72" s="99">
        <v>371.99999999999994</v>
      </c>
    </row>
    <row r="73" spans="2:99">
      <c r="C73" s="98" t="s">
        <v>239</v>
      </c>
      <c r="D73" s="99">
        <v>0.82655722691812328</v>
      </c>
      <c r="E73" s="99">
        <v>462.21080129261446</v>
      </c>
      <c r="F73" s="99">
        <v>0.5244810016405782</v>
      </c>
      <c r="G73" s="99">
        <v>293.28977611741129</v>
      </c>
      <c r="H73" s="99">
        <v>4.334513552631682</v>
      </c>
      <c r="I73" s="99">
        <v>2423.8599786316363</v>
      </c>
      <c r="J73" s="99">
        <v>1.1331444677835194</v>
      </c>
      <c r="K73" s="99">
        <v>633.65438638454395</v>
      </c>
      <c r="L73" s="99">
        <v>1.3227611821687792</v>
      </c>
      <c r="M73" s="99">
        <v>739.6880530687813</v>
      </c>
      <c r="N73" s="99">
        <v>7</v>
      </c>
      <c r="O73" s="99">
        <v>3914.3999999999996</v>
      </c>
      <c r="P73" s="99">
        <v>4</v>
      </c>
      <c r="Q73" s="99">
        <v>2236.7999999999997</v>
      </c>
      <c r="R73" s="99">
        <v>6</v>
      </c>
      <c r="S73" s="99">
        <v>3355.2</v>
      </c>
      <c r="T73" s="99">
        <v>6</v>
      </c>
      <c r="U73" s="99">
        <v>3355.2</v>
      </c>
      <c r="V73" s="99">
        <v>9</v>
      </c>
      <c r="W73" s="99">
        <v>5032.7999999999993</v>
      </c>
      <c r="X73" s="99">
        <v>7</v>
      </c>
      <c r="Y73" s="99">
        <v>3914.3999999999996</v>
      </c>
      <c r="Z73" s="99">
        <v>9</v>
      </c>
      <c r="AA73" s="99">
        <v>5032.7999999999993</v>
      </c>
      <c r="AB73" s="99">
        <v>7</v>
      </c>
      <c r="AC73" s="99">
        <v>3914.3999999999996</v>
      </c>
      <c r="AD73" s="99">
        <v>4</v>
      </c>
      <c r="AE73" s="99">
        <v>2236.7999999999997</v>
      </c>
      <c r="AF73" s="99">
        <v>7</v>
      </c>
      <c r="AG73" s="99">
        <v>3914.3999999999996</v>
      </c>
      <c r="AH73" s="99">
        <v>8</v>
      </c>
      <c r="AI73" s="99">
        <v>4473.5999999999995</v>
      </c>
      <c r="AJ73" s="99">
        <v>5</v>
      </c>
      <c r="AK73" s="99">
        <v>2795.9999999999995</v>
      </c>
      <c r="AL73" s="99">
        <v>7</v>
      </c>
      <c r="AM73" s="99">
        <v>3914.3999999999996</v>
      </c>
      <c r="AN73" s="99">
        <v>9</v>
      </c>
      <c r="AO73" s="99">
        <v>5032.7999999999993</v>
      </c>
      <c r="AP73" s="99">
        <v>8</v>
      </c>
      <c r="AQ73" s="99">
        <v>4473.5999999999995</v>
      </c>
      <c r="AR73" s="99">
        <v>7</v>
      </c>
      <c r="AS73" s="99">
        <v>3914.3999999999996</v>
      </c>
      <c r="AT73" s="99">
        <v>6</v>
      </c>
      <c r="AU73" s="99">
        <v>3355.2</v>
      </c>
      <c r="AV73" s="99">
        <v>6</v>
      </c>
      <c r="AW73" s="99">
        <v>3355.2</v>
      </c>
      <c r="AX73" s="99">
        <v>9</v>
      </c>
      <c r="AY73" s="99">
        <v>5032.7999999999993</v>
      </c>
      <c r="AZ73" s="99">
        <v>9.6454574294228852</v>
      </c>
      <c r="BA73" s="99">
        <v>5393.7397945332768</v>
      </c>
      <c r="BB73" s="99">
        <v>8</v>
      </c>
      <c r="BC73" s="99">
        <v>4473.5999999999995</v>
      </c>
      <c r="BD73" s="99">
        <v>7</v>
      </c>
      <c r="BE73" s="99">
        <v>3914.3999999999996</v>
      </c>
      <c r="BF73" s="99">
        <v>6</v>
      </c>
      <c r="BG73" s="99">
        <v>3355.2</v>
      </c>
      <c r="BH73" s="99">
        <v>10</v>
      </c>
      <c r="BI73" s="99">
        <v>5591.9999999999991</v>
      </c>
      <c r="BJ73" s="99">
        <v>7</v>
      </c>
      <c r="BK73" s="99">
        <v>3914.3999999999996</v>
      </c>
      <c r="BL73" s="99">
        <v>9</v>
      </c>
      <c r="BM73" s="99">
        <v>5032.7999999999993</v>
      </c>
      <c r="BN73" s="99">
        <v>8</v>
      </c>
      <c r="BO73" s="99">
        <v>4473.5999999999995</v>
      </c>
      <c r="BP73" s="99">
        <v>9</v>
      </c>
      <c r="BQ73" s="99">
        <v>5032.7999999999993</v>
      </c>
      <c r="BR73" s="99">
        <v>8</v>
      </c>
      <c r="BS73" s="99">
        <v>4473.5999999999995</v>
      </c>
      <c r="BT73" s="99">
        <v>6.286044112710977</v>
      </c>
      <c r="BU73" s="99">
        <v>3515.155867827978</v>
      </c>
      <c r="BV73" s="99">
        <v>9</v>
      </c>
      <c r="BW73" s="99">
        <v>5032.7999999999993</v>
      </c>
      <c r="BX73" s="99">
        <v>10</v>
      </c>
      <c r="BY73" s="99">
        <v>5591.9999999999991</v>
      </c>
      <c r="BZ73" s="99">
        <v>8</v>
      </c>
      <c r="CA73" s="99">
        <v>4473.5999999999995</v>
      </c>
      <c r="CB73" s="99">
        <v>6</v>
      </c>
      <c r="CC73" s="99">
        <v>3355.2</v>
      </c>
      <c r="CD73" s="99">
        <v>6</v>
      </c>
      <c r="CE73" s="99">
        <v>3355.2</v>
      </c>
      <c r="CF73" s="99">
        <v>9</v>
      </c>
      <c r="CG73" s="99">
        <v>5032.7999999999993</v>
      </c>
      <c r="CH73" s="99">
        <v>9</v>
      </c>
      <c r="CI73" s="99">
        <v>5032.7999999999993</v>
      </c>
      <c r="CJ73" s="99">
        <v>6</v>
      </c>
      <c r="CK73" s="99">
        <v>3355.2</v>
      </c>
      <c r="CL73" s="99">
        <v>7</v>
      </c>
      <c r="CM73" s="99">
        <v>3914.3999999999996</v>
      </c>
      <c r="CN73" s="99">
        <v>8</v>
      </c>
      <c r="CO73" s="99">
        <v>4473.5999999999995</v>
      </c>
      <c r="CP73" s="99">
        <v>8</v>
      </c>
      <c r="CQ73" s="99">
        <v>4473.5999999999995</v>
      </c>
      <c r="CR73" s="99">
        <v>6</v>
      </c>
      <c r="CS73" s="99">
        <v>3355.2</v>
      </c>
      <c r="CT73" s="99">
        <v>5</v>
      </c>
      <c r="CU73" s="99">
        <v>2795.9999999999995</v>
      </c>
    </row>
    <row r="74" spans="2:99">
      <c r="C74" s="98" t="s">
        <v>240</v>
      </c>
      <c r="D74" s="99">
        <v>0.82929317613539866</v>
      </c>
      <c r="E74" s="99">
        <v>334.37100861779271</v>
      </c>
      <c r="F74" s="99">
        <v>0.5244810016405782</v>
      </c>
      <c r="G74" s="99">
        <v>211.47073986148112</v>
      </c>
      <c r="H74" s="99">
        <v>4.334513552631682</v>
      </c>
      <c r="I74" s="99">
        <v>1747.675864421094</v>
      </c>
      <c r="J74" s="99">
        <v>1.1331444677835194</v>
      </c>
      <c r="K74" s="99">
        <v>456.88384941031501</v>
      </c>
      <c r="L74" s="99">
        <v>1.3227611821687792</v>
      </c>
      <c r="M74" s="99">
        <v>533.33730865045175</v>
      </c>
      <c r="N74" s="99">
        <v>8</v>
      </c>
      <c r="O74" s="99">
        <v>3225.6</v>
      </c>
      <c r="P74" s="99">
        <v>5</v>
      </c>
      <c r="Q74" s="99">
        <v>2016</v>
      </c>
      <c r="R74" s="99">
        <v>7</v>
      </c>
      <c r="S74" s="99">
        <v>2822.4</v>
      </c>
      <c r="T74" s="99">
        <v>6</v>
      </c>
      <c r="U74" s="99">
        <v>2419.1999999999998</v>
      </c>
      <c r="V74" s="99">
        <v>8</v>
      </c>
      <c r="W74" s="99">
        <v>3225.6</v>
      </c>
      <c r="X74" s="99">
        <v>7</v>
      </c>
      <c r="Y74" s="99">
        <v>2822.4</v>
      </c>
      <c r="Z74" s="99">
        <v>8</v>
      </c>
      <c r="AA74" s="99">
        <v>3225.6</v>
      </c>
      <c r="AB74" s="99">
        <v>7</v>
      </c>
      <c r="AC74" s="99">
        <v>2822.4</v>
      </c>
      <c r="AD74" s="99">
        <v>5</v>
      </c>
      <c r="AE74" s="99">
        <v>2016</v>
      </c>
      <c r="AF74" s="99">
        <v>8</v>
      </c>
      <c r="AG74" s="99">
        <v>3225.6</v>
      </c>
      <c r="AH74" s="99">
        <v>8</v>
      </c>
      <c r="AI74" s="99">
        <v>3225.6</v>
      </c>
      <c r="AJ74" s="99">
        <v>6</v>
      </c>
      <c r="AK74" s="99">
        <v>2419.1999999999998</v>
      </c>
      <c r="AL74" s="99">
        <v>7</v>
      </c>
      <c r="AM74" s="99">
        <v>2822.4</v>
      </c>
      <c r="AN74" s="99">
        <v>9</v>
      </c>
      <c r="AO74" s="99">
        <v>3628.7999999999997</v>
      </c>
      <c r="AP74" s="99">
        <v>7</v>
      </c>
      <c r="AQ74" s="99">
        <v>2822.4</v>
      </c>
      <c r="AR74" s="99">
        <v>8</v>
      </c>
      <c r="AS74" s="99">
        <v>3225.6</v>
      </c>
      <c r="AT74" s="99">
        <v>7</v>
      </c>
      <c r="AU74" s="99">
        <v>2822.4</v>
      </c>
      <c r="AV74" s="99">
        <v>6</v>
      </c>
      <c r="AW74" s="99">
        <v>2419.1999999999998</v>
      </c>
      <c r="AX74" s="99">
        <v>10</v>
      </c>
      <c r="AY74" s="99">
        <v>4032</v>
      </c>
      <c r="AZ74" s="99">
        <v>8.695108000916953</v>
      </c>
      <c r="BA74" s="99">
        <v>3505.8675459697151</v>
      </c>
      <c r="BB74" s="99">
        <v>8</v>
      </c>
      <c r="BC74" s="99">
        <v>3225.6</v>
      </c>
      <c r="BD74" s="99">
        <v>6</v>
      </c>
      <c r="BE74" s="99">
        <v>2419.1999999999998</v>
      </c>
      <c r="BF74" s="99">
        <v>6</v>
      </c>
      <c r="BG74" s="99">
        <v>2419.1999999999998</v>
      </c>
      <c r="BH74" s="99">
        <v>8</v>
      </c>
      <c r="BI74" s="99">
        <v>3225.6</v>
      </c>
      <c r="BJ74" s="99">
        <v>7</v>
      </c>
      <c r="BK74" s="99">
        <v>2822.4</v>
      </c>
      <c r="BL74" s="99">
        <v>10</v>
      </c>
      <c r="BM74" s="99">
        <v>4032</v>
      </c>
      <c r="BN74" s="99">
        <v>8</v>
      </c>
      <c r="BO74" s="99">
        <v>3225.6</v>
      </c>
      <c r="BP74" s="99">
        <v>10</v>
      </c>
      <c r="BQ74" s="99">
        <v>4032</v>
      </c>
      <c r="BR74" s="99">
        <v>10</v>
      </c>
      <c r="BS74" s="99">
        <v>4032</v>
      </c>
      <c r="BT74" s="99">
        <v>6.3269075573839739</v>
      </c>
      <c r="BU74" s="99">
        <v>2551.009127137218</v>
      </c>
      <c r="BV74" s="99">
        <v>9</v>
      </c>
      <c r="BW74" s="99">
        <v>3628.7999999999997</v>
      </c>
      <c r="BX74" s="99">
        <v>9</v>
      </c>
      <c r="BY74" s="99">
        <v>3628.7999999999997</v>
      </c>
      <c r="BZ74" s="99">
        <v>8</v>
      </c>
      <c r="CA74" s="99">
        <v>3225.6</v>
      </c>
      <c r="CB74" s="99">
        <v>6</v>
      </c>
      <c r="CC74" s="99">
        <v>2419.1999999999998</v>
      </c>
      <c r="CD74" s="99">
        <v>6</v>
      </c>
      <c r="CE74" s="99">
        <v>2419.1999999999998</v>
      </c>
      <c r="CF74" s="99">
        <v>8</v>
      </c>
      <c r="CG74" s="99">
        <v>3225.6</v>
      </c>
      <c r="CH74" s="99">
        <v>9</v>
      </c>
      <c r="CI74" s="99">
        <v>3628.7999999999997</v>
      </c>
      <c r="CJ74" s="99">
        <v>7</v>
      </c>
      <c r="CK74" s="99">
        <v>2822.4</v>
      </c>
      <c r="CL74" s="99">
        <v>7</v>
      </c>
      <c r="CM74" s="99">
        <v>2822.4</v>
      </c>
      <c r="CN74" s="99">
        <v>7</v>
      </c>
      <c r="CO74" s="99">
        <v>2822.4</v>
      </c>
      <c r="CP74" s="99">
        <v>9</v>
      </c>
      <c r="CQ74" s="99">
        <v>3628.7999999999997</v>
      </c>
      <c r="CR74" s="99">
        <v>5</v>
      </c>
      <c r="CS74" s="99">
        <v>2016</v>
      </c>
      <c r="CT74" s="99">
        <v>5</v>
      </c>
      <c r="CU74" s="99">
        <v>2016</v>
      </c>
    </row>
    <row r="75" spans="2:99">
      <c r="C75" s="98" t="s">
        <v>241</v>
      </c>
      <c r="D75" s="99">
        <v>0.82929317613539866</v>
      </c>
      <c r="E75" s="99">
        <v>533.40137089028838</v>
      </c>
      <c r="F75" s="99">
        <v>0.62937720196869396</v>
      </c>
      <c r="G75" s="99">
        <v>404.8154163062639</v>
      </c>
      <c r="H75" s="99">
        <v>4.334513552631682</v>
      </c>
      <c r="I75" s="99">
        <v>2787.9591170526974</v>
      </c>
      <c r="J75" s="99">
        <v>1.2747875262564594</v>
      </c>
      <c r="K75" s="99">
        <v>819.94333688815459</v>
      </c>
      <c r="L75" s="99">
        <v>1.0582089457350234</v>
      </c>
      <c r="M75" s="99">
        <v>680.63999389676701</v>
      </c>
      <c r="N75" s="99">
        <v>7</v>
      </c>
      <c r="O75" s="99">
        <v>4502.3999999999996</v>
      </c>
      <c r="P75" s="99">
        <v>5</v>
      </c>
      <c r="Q75" s="99">
        <v>3215.9999999999995</v>
      </c>
      <c r="R75" s="99">
        <v>7</v>
      </c>
      <c r="S75" s="99">
        <v>4502.3999999999996</v>
      </c>
      <c r="T75" s="99">
        <v>6</v>
      </c>
      <c r="U75" s="99">
        <v>3859.2</v>
      </c>
      <c r="V75" s="99">
        <v>7</v>
      </c>
      <c r="W75" s="99">
        <v>4502.3999999999996</v>
      </c>
      <c r="X75" s="99">
        <v>7</v>
      </c>
      <c r="Y75" s="99">
        <v>4502.3999999999996</v>
      </c>
      <c r="Z75" s="99">
        <v>9</v>
      </c>
      <c r="AA75" s="99">
        <v>5788.7999999999993</v>
      </c>
      <c r="AB75" s="99">
        <v>7</v>
      </c>
      <c r="AC75" s="99">
        <v>4502.3999999999996</v>
      </c>
      <c r="AD75" s="99">
        <v>5</v>
      </c>
      <c r="AE75" s="99">
        <v>3215.9999999999995</v>
      </c>
      <c r="AF75" s="99">
        <v>7</v>
      </c>
      <c r="AG75" s="99">
        <v>4502.3999999999996</v>
      </c>
      <c r="AH75" s="99">
        <v>9</v>
      </c>
      <c r="AI75" s="99">
        <v>5788.7999999999993</v>
      </c>
      <c r="AJ75" s="99">
        <v>5</v>
      </c>
      <c r="AK75" s="99">
        <v>3215.9999999999995</v>
      </c>
      <c r="AL75" s="99">
        <v>7</v>
      </c>
      <c r="AM75" s="99">
        <v>4502.3999999999996</v>
      </c>
      <c r="AN75" s="99">
        <v>8</v>
      </c>
      <c r="AO75" s="99">
        <v>5145.5999999999995</v>
      </c>
      <c r="AP75" s="99">
        <v>7</v>
      </c>
      <c r="AQ75" s="99">
        <v>4502.3999999999996</v>
      </c>
      <c r="AR75" s="99">
        <v>8</v>
      </c>
      <c r="AS75" s="99">
        <v>5145.5999999999995</v>
      </c>
      <c r="AT75" s="99">
        <v>6</v>
      </c>
      <c r="AU75" s="99">
        <v>3859.2</v>
      </c>
      <c r="AV75" s="99">
        <v>6</v>
      </c>
      <c r="AW75" s="99">
        <v>3859.2</v>
      </c>
      <c r="AX75" s="99">
        <v>9</v>
      </c>
      <c r="AY75" s="99">
        <v>5788.7999999999993</v>
      </c>
      <c r="AZ75" s="99">
        <v>8.6454574294228852</v>
      </c>
      <c r="BA75" s="99">
        <v>5560.7582186047994</v>
      </c>
      <c r="BB75" s="99">
        <v>7</v>
      </c>
      <c r="BC75" s="99">
        <v>4502.3999999999996</v>
      </c>
      <c r="BD75" s="99">
        <v>6</v>
      </c>
      <c r="BE75" s="99">
        <v>3859.2</v>
      </c>
      <c r="BF75" s="99">
        <v>5</v>
      </c>
      <c r="BG75" s="99">
        <v>3215.9999999999995</v>
      </c>
      <c r="BH75" s="99">
        <v>10</v>
      </c>
      <c r="BI75" s="99">
        <v>6431.9999999999991</v>
      </c>
      <c r="BJ75" s="99">
        <v>8</v>
      </c>
      <c r="BK75" s="99">
        <v>5145.5999999999995</v>
      </c>
      <c r="BL75" s="99">
        <v>9</v>
      </c>
      <c r="BM75" s="99">
        <v>5788.7999999999993</v>
      </c>
      <c r="BN75" s="99">
        <v>9</v>
      </c>
      <c r="BO75" s="99">
        <v>5788.7999999999993</v>
      </c>
      <c r="BP75" s="99">
        <v>9</v>
      </c>
      <c r="BQ75" s="99">
        <v>5788.7999999999993</v>
      </c>
      <c r="BR75" s="99">
        <v>9</v>
      </c>
      <c r="BS75" s="99">
        <v>5788.7999999999993</v>
      </c>
      <c r="BT75" s="99">
        <v>6.3064758350474754</v>
      </c>
      <c r="BU75" s="99">
        <v>4056.3252571025359</v>
      </c>
      <c r="BV75" s="99">
        <v>9</v>
      </c>
      <c r="BW75" s="99">
        <v>5788.7999999999993</v>
      </c>
      <c r="BX75" s="99">
        <v>8</v>
      </c>
      <c r="BY75" s="99">
        <v>5145.5999999999995</v>
      </c>
      <c r="BZ75" s="99">
        <v>8</v>
      </c>
      <c r="CA75" s="99">
        <v>5145.5999999999995</v>
      </c>
      <c r="CB75" s="99">
        <v>6</v>
      </c>
      <c r="CC75" s="99">
        <v>3859.2</v>
      </c>
      <c r="CD75" s="99">
        <v>6</v>
      </c>
      <c r="CE75" s="99">
        <v>3859.2</v>
      </c>
      <c r="CF75" s="99">
        <v>8</v>
      </c>
      <c r="CG75" s="99">
        <v>5145.5999999999995</v>
      </c>
      <c r="CH75" s="99">
        <v>9</v>
      </c>
      <c r="CI75" s="99">
        <v>5788.7999999999993</v>
      </c>
      <c r="CJ75" s="99">
        <v>6</v>
      </c>
      <c r="CK75" s="99">
        <v>3859.2</v>
      </c>
      <c r="CL75" s="99">
        <v>7</v>
      </c>
      <c r="CM75" s="99">
        <v>4502.3999999999996</v>
      </c>
      <c r="CN75" s="99">
        <v>7</v>
      </c>
      <c r="CO75" s="99">
        <v>4502.3999999999996</v>
      </c>
      <c r="CP75" s="99">
        <v>9</v>
      </c>
      <c r="CQ75" s="99">
        <v>5788.7999999999993</v>
      </c>
      <c r="CR75" s="99">
        <v>5</v>
      </c>
      <c r="CS75" s="99">
        <v>3215.9999999999995</v>
      </c>
      <c r="CT75" s="99">
        <v>5</v>
      </c>
      <c r="CU75" s="99">
        <v>3215.9999999999995</v>
      </c>
    </row>
    <row r="76" spans="2:99">
      <c r="C76" s="98" t="s">
        <v>242</v>
      </c>
      <c r="D76" s="99">
        <v>0.69518157060541208</v>
      </c>
      <c r="E76" s="99">
        <v>541.40740718749487</v>
      </c>
      <c r="F76" s="99">
        <v>0.5244810016405782</v>
      </c>
      <c r="G76" s="99">
        <v>408.46580407768226</v>
      </c>
      <c r="H76" s="99">
        <v>3.6120946271930685</v>
      </c>
      <c r="I76" s="99">
        <v>2813.0992956579616</v>
      </c>
      <c r="J76" s="99">
        <v>0.99150140931057951</v>
      </c>
      <c r="K76" s="99">
        <v>772.18129757107931</v>
      </c>
      <c r="L76" s="99">
        <v>1.3227611821687792</v>
      </c>
      <c r="M76" s="99">
        <v>1030.1664086730452</v>
      </c>
      <c r="N76" s="99">
        <v>7</v>
      </c>
      <c r="O76" s="99">
        <v>5451.5999999999995</v>
      </c>
      <c r="P76" s="99">
        <v>5</v>
      </c>
      <c r="Q76" s="99">
        <v>3894</v>
      </c>
      <c r="R76" s="99">
        <v>6</v>
      </c>
      <c r="S76" s="99">
        <v>4672.7999999999993</v>
      </c>
      <c r="T76" s="99">
        <v>5</v>
      </c>
      <c r="U76" s="99">
        <v>3894</v>
      </c>
      <c r="V76" s="99">
        <v>9</v>
      </c>
      <c r="W76" s="99">
        <v>7009.2</v>
      </c>
      <c r="X76" s="99">
        <v>6</v>
      </c>
      <c r="Y76" s="99">
        <v>4672.7999999999993</v>
      </c>
      <c r="Z76" s="99">
        <v>9</v>
      </c>
      <c r="AA76" s="99">
        <v>7009.2</v>
      </c>
      <c r="AB76" s="99">
        <v>7</v>
      </c>
      <c r="AC76" s="99">
        <v>5451.5999999999995</v>
      </c>
      <c r="AD76" s="99">
        <v>5</v>
      </c>
      <c r="AE76" s="99">
        <v>3894</v>
      </c>
      <c r="AF76" s="99">
        <v>8</v>
      </c>
      <c r="AG76" s="99">
        <v>6230.4</v>
      </c>
      <c r="AH76" s="99">
        <v>8</v>
      </c>
      <c r="AI76" s="99">
        <v>6230.4</v>
      </c>
      <c r="AJ76" s="99">
        <v>5</v>
      </c>
      <c r="AK76" s="99">
        <v>3894</v>
      </c>
      <c r="AL76" s="99">
        <v>7</v>
      </c>
      <c r="AM76" s="99">
        <v>5451.5999999999995</v>
      </c>
      <c r="AN76" s="99">
        <v>10</v>
      </c>
      <c r="AO76" s="99">
        <v>7788</v>
      </c>
      <c r="AP76" s="99">
        <v>8</v>
      </c>
      <c r="AQ76" s="99">
        <v>6230.4</v>
      </c>
      <c r="AR76" s="99">
        <v>8</v>
      </c>
      <c r="AS76" s="99">
        <v>6230.4</v>
      </c>
      <c r="AT76" s="99">
        <v>6</v>
      </c>
      <c r="AU76" s="99">
        <v>4672.7999999999993</v>
      </c>
      <c r="AV76" s="99">
        <v>7</v>
      </c>
      <c r="AW76" s="99">
        <v>5451.5999999999995</v>
      </c>
      <c r="AX76" s="99">
        <v>8</v>
      </c>
      <c r="AY76" s="99">
        <v>6230.4</v>
      </c>
      <c r="AZ76" s="99">
        <v>8.695108000916953</v>
      </c>
      <c r="BA76" s="99">
        <v>6771.7501111141228</v>
      </c>
      <c r="BB76" s="99">
        <v>8</v>
      </c>
      <c r="BC76" s="99">
        <v>6230.4</v>
      </c>
      <c r="BD76" s="99">
        <v>6</v>
      </c>
      <c r="BE76" s="99">
        <v>4672.7999999999993</v>
      </c>
      <c r="BF76" s="99">
        <v>5</v>
      </c>
      <c r="BG76" s="99">
        <v>3894</v>
      </c>
      <c r="BH76" s="99">
        <v>9</v>
      </c>
      <c r="BI76" s="99">
        <v>7009.2</v>
      </c>
      <c r="BJ76" s="99">
        <v>7</v>
      </c>
      <c r="BK76" s="99">
        <v>5451.5999999999995</v>
      </c>
      <c r="BL76" s="99">
        <v>8</v>
      </c>
      <c r="BM76" s="99">
        <v>6230.4</v>
      </c>
      <c r="BN76" s="99">
        <v>9</v>
      </c>
      <c r="BO76" s="99">
        <v>7009.2</v>
      </c>
      <c r="BP76" s="99">
        <v>9</v>
      </c>
      <c r="BQ76" s="99">
        <v>7009.2</v>
      </c>
      <c r="BR76" s="99">
        <v>9</v>
      </c>
      <c r="BS76" s="99">
        <v>7009.2</v>
      </c>
      <c r="BT76" s="99">
        <v>6.286044112710977</v>
      </c>
      <c r="BU76" s="99">
        <v>4895.5711549793086</v>
      </c>
      <c r="BV76" s="99">
        <v>8</v>
      </c>
      <c r="BW76" s="99">
        <v>6230.4</v>
      </c>
      <c r="BX76" s="99">
        <v>10</v>
      </c>
      <c r="BY76" s="99">
        <v>7788</v>
      </c>
      <c r="BZ76" s="99">
        <v>7</v>
      </c>
      <c r="CA76" s="99">
        <v>5451.5999999999995</v>
      </c>
      <c r="CB76" s="99">
        <v>5</v>
      </c>
      <c r="CC76" s="99">
        <v>3894</v>
      </c>
      <c r="CD76" s="99">
        <v>6</v>
      </c>
      <c r="CE76" s="99">
        <v>4672.7999999999993</v>
      </c>
      <c r="CF76" s="99">
        <v>9</v>
      </c>
      <c r="CG76" s="99">
        <v>7009.2</v>
      </c>
      <c r="CH76" s="99">
        <v>9</v>
      </c>
      <c r="CI76" s="99">
        <v>7009.2</v>
      </c>
      <c r="CJ76" s="99">
        <v>6</v>
      </c>
      <c r="CK76" s="99">
        <v>4672.7999999999993</v>
      </c>
      <c r="CL76" s="99">
        <v>7</v>
      </c>
      <c r="CM76" s="99">
        <v>5451.5999999999995</v>
      </c>
      <c r="CN76" s="99">
        <v>8</v>
      </c>
      <c r="CO76" s="99">
        <v>6230.4</v>
      </c>
      <c r="CP76" s="99">
        <v>9</v>
      </c>
      <c r="CQ76" s="99">
        <v>7009.2</v>
      </c>
      <c r="CR76" s="99">
        <v>5</v>
      </c>
      <c r="CS76" s="99">
        <v>3894</v>
      </c>
      <c r="CT76" s="99">
        <v>5</v>
      </c>
      <c r="CU76" s="99">
        <v>3894</v>
      </c>
    </row>
    <row r="77" spans="2:99">
      <c r="C77" s="98" t="s">
        <v>243</v>
      </c>
      <c r="D77" s="99">
        <v>0.96340478166538535</v>
      </c>
      <c r="E77" s="99">
        <v>268.21189121564328</v>
      </c>
      <c r="F77" s="99">
        <v>0.5244810016405782</v>
      </c>
      <c r="G77" s="99">
        <v>146.01551085673697</v>
      </c>
      <c r="H77" s="99">
        <v>4.334513552631682</v>
      </c>
      <c r="I77" s="99">
        <v>1206.7285730526601</v>
      </c>
      <c r="J77" s="99">
        <v>1.2747875262564594</v>
      </c>
      <c r="K77" s="99">
        <v>354.90084730979828</v>
      </c>
      <c r="L77" s="99">
        <v>1.3227611821687792</v>
      </c>
      <c r="M77" s="99">
        <v>368.2567131157881</v>
      </c>
      <c r="N77" s="99">
        <v>7</v>
      </c>
      <c r="O77" s="99">
        <v>1948.7999999999997</v>
      </c>
      <c r="P77" s="99">
        <v>5</v>
      </c>
      <c r="Q77" s="99">
        <v>1392</v>
      </c>
      <c r="R77" s="99">
        <v>7</v>
      </c>
      <c r="S77" s="99">
        <v>1948.7999999999997</v>
      </c>
      <c r="T77" s="99">
        <v>6</v>
      </c>
      <c r="U77" s="99">
        <v>1670.3999999999999</v>
      </c>
      <c r="V77" s="99">
        <v>8</v>
      </c>
      <c r="W77" s="99">
        <v>2227.1999999999998</v>
      </c>
      <c r="X77" s="99">
        <v>7</v>
      </c>
      <c r="Y77" s="99">
        <v>1948.7999999999997</v>
      </c>
      <c r="Z77" s="99">
        <v>8</v>
      </c>
      <c r="AA77" s="99">
        <v>2227.1999999999998</v>
      </c>
      <c r="AB77" s="99">
        <v>7</v>
      </c>
      <c r="AC77" s="99">
        <v>1948.7999999999997</v>
      </c>
      <c r="AD77" s="99">
        <v>5</v>
      </c>
      <c r="AE77" s="99">
        <v>1392</v>
      </c>
      <c r="AF77" s="99">
        <v>8</v>
      </c>
      <c r="AG77" s="99">
        <v>2227.1999999999998</v>
      </c>
      <c r="AH77" s="99">
        <v>9</v>
      </c>
      <c r="AI77" s="99">
        <v>2505.6</v>
      </c>
      <c r="AJ77" s="99">
        <v>5</v>
      </c>
      <c r="AK77" s="99">
        <v>1392</v>
      </c>
      <c r="AL77" s="99">
        <v>7</v>
      </c>
      <c r="AM77" s="99">
        <v>1948.7999999999997</v>
      </c>
      <c r="AN77" s="99">
        <v>10</v>
      </c>
      <c r="AO77" s="99">
        <v>2784</v>
      </c>
      <c r="AP77" s="99">
        <v>8</v>
      </c>
      <c r="AQ77" s="99">
        <v>2227.1999999999998</v>
      </c>
      <c r="AR77" s="99">
        <v>9</v>
      </c>
      <c r="AS77" s="99">
        <v>2505.6</v>
      </c>
      <c r="AT77" s="99">
        <v>6</v>
      </c>
      <c r="AU77" s="99">
        <v>1670.3999999999999</v>
      </c>
      <c r="AV77" s="99">
        <v>6</v>
      </c>
      <c r="AW77" s="99">
        <v>1670.3999999999999</v>
      </c>
      <c r="AX77" s="99">
        <v>10</v>
      </c>
      <c r="AY77" s="99">
        <v>2784</v>
      </c>
      <c r="AZ77" s="99">
        <v>8.695108000916953</v>
      </c>
      <c r="BA77" s="99">
        <v>2420.7180674552797</v>
      </c>
      <c r="BB77" s="99">
        <v>8</v>
      </c>
      <c r="BC77" s="99">
        <v>2227.1999999999998</v>
      </c>
      <c r="BD77" s="99">
        <v>7</v>
      </c>
      <c r="BE77" s="99">
        <v>1948.7999999999997</v>
      </c>
      <c r="BF77" s="99">
        <v>6</v>
      </c>
      <c r="BG77" s="99">
        <v>1670.3999999999999</v>
      </c>
      <c r="BH77" s="99">
        <v>10</v>
      </c>
      <c r="BI77" s="99">
        <v>2784</v>
      </c>
      <c r="BJ77" s="99">
        <v>7</v>
      </c>
      <c r="BK77" s="99">
        <v>1948.7999999999997</v>
      </c>
      <c r="BL77" s="99">
        <v>10</v>
      </c>
      <c r="BM77" s="99">
        <v>2784</v>
      </c>
      <c r="BN77" s="99">
        <v>9</v>
      </c>
      <c r="BO77" s="99">
        <v>2505.6</v>
      </c>
      <c r="BP77" s="99">
        <v>10</v>
      </c>
      <c r="BQ77" s="99">
        <v>2784</v>
      </c>
      <c r="BR77" s="99">
        <v>8</v>
      </c>
      <c r="BS77" s="99">
        <v>2227.1999999999998</v>
      </c>
      <c r="BT77" s="99">
        <v>6.3473392797204724</v>
      </c>
      <c r="BU77" s="99">
        <v>1767.0992554741795</v>
      </c>
      <c r="BV77" s="99">
        <v>8</v>
      </c>
      <c r="BW77" s="99">
        <v>2227.1999999999998</v>
      </c>
      <c r="BX77" s="99">
        <v>10</v>
      </c>
      <c r="BY77" s="99">
        <v>2784</v>
      </c>
      <c r="BZ77" s="99">
        <v>7</v>
      </c>
      <c r="CA77" s="99">
        <v>1948.7999999999997</v>
      </c>
      <c r="CB77" s="99">
        <v>6</v>
      </c>
      <c r="CC77" s="99">
        <v>1670.3999999999999</v>
      </c>
      <c r="CD77" s="99">
        <v>6</v>
      </c>
      <c r="CE77" s="99">
        <v>1670.3999999999999</v>
      </c>
      <c r="CF77" s="99">
        <v>9</v>
      </c>
      <c r="CG77" s="99">
        <v>2505.6</v>
      </c>
      <c r="CH77" s="99">
        <v>10</v>
      </c>
      <c r="CI77" s="99">
        <v>2784</v>
      </c>
      <c r="CJ77" s="99">
        <v>7</v>
      </c>
      <c r="CK77" s="99">
        <v>1948.7999999999997</v>
      </c>
      <c r="CL77" s="99">
        <v>7</v>
      </c>
      <c r="CM77" s="99">
        <v>1948.7999999999997</v>
      </c>
      <c r="CN77" s="99">
        <v>8</v>
      </c>
      <c r="CO77" s="99">
        <v>2227.1999999999998</v>
      </c>
      <c r="CP77" s="99">
        <v>10</v>
      </c>
      <c r="CQ77" s="99">
        <v>2784</v>
      </c>
      <c r="CR77" s="99">
        <v>6</v>
      </c>
      <c r="CS77" s="99">
        <v>1670.3999999999999</v>
      </c>
      <c r="CT77" s="99">
        <v>5</v>
      </c>
      <c r="CU77" s="99">
        <v>1392</v>
      </c>
    </row>
    <row r="78" spans="2:99">
      <c r="C78" s="98" t="s">
        <v>244</v>
      </c>
      <c r="D78" s="99">
        <v>0.69518157060541208</v>
      </c>
      <c r="E78" s="99">
        <v>383.74022697418746</v>
      </c>
      <c r="F78" s="99">
        <v>0.5244810016405782</v>
      </c>
      <c r="G78" s="99">
        <v>289.51351290559916</v>
      </c>
      <c r="H78" s="99">
        <v>3.6120946271930685</v>
      </c>
      <c r="I78" s="99">
        <v>1993.8762342105738</v>
      </c>
      <c r="J78" s="99">
        <v>1.1331444677835194</v>
      </c>
      <c r="K78" s="99">
        <v>625.49574621650277</v>
      </c>
      <c r="L78" s="99">
        <v>1.3227611821687792</v>
      </c>
      <c r="M78" s="99">
        <v>730.16417255716613</v>
      </c>
      <c r="N78" s="99">
        <v>7</v>
      </c>
      <c r="O78" s="99">
        <v>3864</v>
      </c>
      <c r="P78" s="99">
        <v>5</v>
      </c>
      <c r="Q78" s="99">
        <v>2760</v>
      </c>
      <c r="R78" s="99">
        <v>7</v>
      </c>
      <c r="S78" s="99">
        <v>3864</v>
      </c>
      <c r="T78" s="99">
        <v>6</v>
      </c>
      <c r="U78" s="99">
        <v>3312</v>
      </c>
      <c r="V78" s="99">
        <v>8</v>
      </c>
      <c r="W78" s="99">
        <v>4416</v>
      </c>
      <c r="X78" s="99">
        <v>8</v>
      </c>
      <c r="Y78" s="99">
        <v>4416</v>
      </c>
      <c r="Z78" s="99">
        <v>8</v>
      </c>
      <c r="AA78" s="99">
        <v>4416</v>
      </c>
      <c r="AB78" s="99">
        <v>7</v>
      </c>
      <c r="AC78" s="99">
        <v>3864</v>
      </c>
      <c r="AD78" s="99">
        <v>5</v>
      </c>
      <c r="AE78" s="99">
        <v>2760</v>
      </c>
      <c r="AF78" s="99">
        <v>8</v>
      </c>
      <c r="AG78" s="99">
        <v>4416</v>
      </c>
      <c r="AH78" s="99">
        <v>9</v>
      </c>
      <c r="AI78" s="99">
        <v>4968</v>
      </c>
      <c r="AJ78" s="99">
        <v>5</v>
      </c>
      <c r="AK78" s="99">
        <v>2760</v>
      </c>
      <c r="AL78" s="99">
        <v>7</v>
      </c>
      <c r="AM78" s="99">
        <v>3864</v>
      </c>
      <c r="AN78" s="99">
        <v>10</v>
      </c>
      <c r="AO78" s="99">
        <v>5520</v>
      </c>
      <c r="AP78" s="99">
        <v>8</v>
      </c>
      <c r="AQ78" s="99">
        <v>4416</v>
      </c>
      <c r="AR78" s="99">
        <v>9</v>
      </c>
      <c r="AS78" s="99">
        <v>4968</v>
      </c>
      <c r="AT78" s="99">
        <v>7</v>
      </c>
      <c r="AU78" s="99">
        <v>3864</v>
      </c>
      <c r="AV78" s="99">
        <v>6</v>
      </c>
      <c r="AW78" s="99">
        <v>3312</v>
      </c>
      <c r="AX78" s="99">
        <v>8</v>
      </c>
      <c r="AY78" s="99">
        <v>4416</v>
      </c>
      <c r="AZ78" s="99">
        <v>8.6454574294228852</v>
      </c>
      <c r="BA78" s="99">
        <v>4772.2925010414328</v>
      </c>
      <c r="BB78" s="99">
        <v>8</v>
      </c>
      <c r="BC78" s="99">
        <v>4416</v>
      </c>
      <c r="BD78" s="99">
        <v>7</v>
      </c>
      <c r="BE78" s="99">
        <v>3864</v>
      </c>
      <c r="BF78" s="99">
        <v>6</v>
      </c>
      <c r="BG78" s="99">
        <v>3312</v>
      </c>
      <c r="BH78" s="99">
        <v>9</v>
      </c>
      <c r="BI78" s="99">
        <v>4968</v>
      </c>
      <c r="BJ78" s="99">
        <v>7</v>
      </c>
      <c r="BK78" s="99">
        <v>3864</v>
      </c>
      <c r="BL78" s="99">
        <v>10</v>
      </c>
      <c r="BM78" s="99">
        <v>5520</v>
      </c>
      <c r="BN78" s="99">
        <v>9</v>
      </c>
      <c r="BO78" s="99">
        <v>4968</v>
      </c>
      <c r="BP78" s="99">
        <v>9</v>
      </c>
      <c r="BQ78" s="99">
        <v>4968</v>
      </c>
      <c r="BR78" s="99">
        <v>9</v>
      </c>
      <c r="BS78" s="99">
        <v>4968</v>
      </c>
      <c r="BT78" s="99">
        <v>6.3064758350474754</v>
      </c>
      <c r="BU78" s="99">
        <v>3481.1746609462066</v>
      </c>
      <c r="BV78" s="99">
        <v>8</v>
      </c>
      <c r="BW78" s="99">
        <v>4416</v>
      </c>
      <c r="BX78" s="99">
        <v>10</v>
      </c>
      <c r="BY78" s="99">
        <v>5520</v>
      </c>
      <c r="BZ78" s="99">
        <v>7</v>
      </c>
      <c r="CA78" s="99">
        <v>3864</v>
      </c>
      <c r="CB78" s="99">
        <v>6</v>
      </c>
      <c r="CC78" s="99">
        <v>3312</v>
      </c>
      <c r="CD78" s="99">
        <v>5</v>
      </c>
      <c r="CE78" s="99">
        <v>2760</v>
      </c>
      <c r="CF78" s="99">
        <v>9</v>
      </c>
      <c r="CG78" s="99">
        <v>4968</v>
      </c>
      <c r="CH78" s="99">
        <v>9</v>
      </c>
      <c r="CI78" s="99">
        <v>4968</v>
      </c>
      <c r="CJ78" s="99">
        <v>6</v>
      </c>
      <c r="CK78" s="99">
        <v>3312</v>
      </c>
      <c r="CL78" s="99">
        <v>7</v>
      </c>
      <c r="CM78" s="99">
        <v>3864</v>
      </c>
      <c r="CN78" s="99">
        <v>7</v>
      </c>
      <c r="CO78" s="99">
        <v>3864</v>
      </c>
      <c r="CP78" s="99">
        <v>9</v>
      </c>
      <c r="CQ78" s="99">
        <v>4968</v>
      </c>
      <c r="CR78" s="99">
        <v>5</v>
      </c>
      <c r="CS78" s="99">
        <v>2760</v>
      </c>
      <c r="CT78" s="99">
        <v>5</v>
      </c>
      <c r="CU78" s="99">
        <v>2760</v>
      </c>
    </row>
    <row r="79" spans="2:99">
      <c r="C79" s="98" t="s">
        <v>245</v>
      </c>
      <c r="D79" s="99">
        <v>0.82655722691812328</v>
      </c>
      <c r="E79" s="99">
        <v>625.86913222240287</v>
      </c>
      <c r="F79" s="99">
        <v>0.5244810016405782</v>
      </c>
      <c r="G79" s="99">
        <v>397.1370144422458</v>
      </c>
      <c r="H79" s="99">
        <v>3.6120946271930685</v>
      </c>
      <c r="I79" s="99">
        <v>2735.0780517105914</v>
      </c>
      <c r="J79" s="99">
        <v>1.1331444677835194</v>
      </c>
      <c r="K79" s="99">
        <v>858.01699100568078</v>
      </c>
      <c r="L79" s="99">
        <v>1.3227611821687792</v>
      </c>
      <c r="M79" s="99">
        <v>1001.5947671381996</v>
      </c>
      <c r="N79" s="99">
        <v>8</v>
      </c>
      <c r="O79" s="99">
        <v>6057.5999999999995</v>
      </c>
      <c r="P79" s="99">
        <v>5</v>
      </c>
      <c r="Q79" s="99">
        <v>3785.9999999999995</v>
      </c>
      <c r="R79" s="99">
        <v>7</v>
      </c>
      <c r="S79" s="99">
        <v>5300.4</v>
      </c>
      <c r="T79" s="99">
        <v>6</v>
      </c>
      <c r="U79" s="99">
        <v>4543.2</v>
      </c>
      <c r="V79" s="99">
        <v>8</v>
      </c>
      <c r="W79" s="99">
        <v>6057.5999999999995</v>
      </c>
      <c r="X79" s="99">
        <v>7</v>
      </c>
      <c r="Y79" s="99">
        <v>5300.4</v>
      </c>
      <c r="Z79" s="99">
        <v>9</v>
      </c>
      <c r="AA79" s="99">
        <v>6814.7999999999993</v>
      </c>
      <c r="AB79" s="99">
        <v>7</v>
      </c>
      <c r="AC79" s="99">
        <v>5300.4</v>
      </c>
      <c r="AD79" s="99">
        <v>5</v>
      </c>
      <c r="AE79" s="99">
        <v>3785.9999999999995</v>
      </c>
      <c r="AF79" s="99">
        <v>7</v>
      </c>
      <c r="AG79" s="99">
        <v>5300.4</v>
      </c>
      <c r="AH79" s="99">
        <v>8</v>
      </c>
      <c r="AI79" s="99">
        <v>6057.5999999999995</v>
      </c>
      <c r="AJ79" s="99">
        <v>5</v>
      </c>
      <c r="AK79" s="99">
        <v>3785.9999999999995</v>
      </c>
      <c r="AL79" s="99">
        <v>8</v>
      </c>
      <c r="AM79" s="99">
        <v>6057.5999999999995</v>
      </c>
      <c r="AN79" s="99">
        <v>9</v>
      </c>
      <c r="AO79" s="99">
        <v>6814.7999999999993</v>
      </c>
      <c r="AP79" s="99">
        <v>7</v>
      </c>
      <c r="AQ79" s="99">
        <v>5300.4</v>
      </c>
      <c r="AR79" s="99">
        <v>8</v>
      </c>
      <c r="AS79" s="99">
        <v>6057.5999999999995</v>
      </c>
      <c r="AT79" s="99">
        <v>6</v>
      </c>
      <c r="AU79" s="99">
        <v>4543.2</v>
      </c>
      <c r="AV79" s="99">
        <v>6</v>
      </c>
      <c r="AW79" s="99">
        <v>4543.2</v>
      </c>
      <c r="AX79" s="99">
        <v>10</v>
      </c>
      <c r="AY79" s="99">
        <v>7571.9999999999991</v>
      </c>
      <c r="AZ79" s="99">
        <v>7.6454574294228852</v>
      </c>
      <c r="BA79" s="99">
        <v>5789.1403655590084</v>
      </c>
      <c r="BB79" s="99">
        <v>7</v>
      </c>
      <c r="BC79" s="99">
        <v>5300.4</v>
      </c>
      <c r="BD79" s="99">
        <v>6</v>
      </c>
      <c r="BE79" s="99">
        <v>4543.2</v>
      </c>
      <c r="BF79" s="99">
        <v>6</v>
      </c>
      <c r="BG79" s="99">
        <v>4543.2</v>
      </c>
      <c r="BH79" s="99">
        <v>8</v>
      </c>
      <c r="BI79" s="99">
        <v>6057.5999999999995</v>
      </c>
      <c r="BJ79" s="99">
        <v>7</v>
      </c>
      <c r="BK79" s="99">
        <v>5300.4</v>
      </c>
      <c r="BL79" s="99">
        <v>9</v>
      </c>
      <c r="BM79" s="99">
        <v>6814.7999999999993</v>
      </c>
      <c r="BN79" s="99">
        <v>9</v>
      </c>
      <c r="BO79" s="99">
        <v>6814.7999999999993</v>
      </c>
      <c r="BP79" s="99">
        <v>9</v>
      </c>
      <c r="BQ79" s="99">
        <v>6814.7999999999993</v>
      </c>
      <c r="BR79" s="99">
        <v>9</v>
      </c>
      <c r="BS79" s="99">
        <v>6814.7999999999993</v>
      </c>
      <c r="BT79" s="99">
        <v>6.286044112710977</v>
      </c>
      <c r="BU79" s="99">
        <v>4759.7926021447511</v>
      </c>
      <c r="BV79" s="99">
        <v>9</v>
      </c>
      <c r="BW79" s="99">
        <v>6814.7999999999993</v>
      </c>
      <c r="BX79" s="99">
        <v>10</v>
      </c>
      <c r="BY79" s="99">
        <v>7571.9999999999991</v>
      </c>
      <c r="BZ79" s="99">
        <v>8</v>
      </c>
      <c r="CA79" s="99">
        <v>6057.5999999999995</v>
      </c>
      <c r="CB79" s="99">
        <v>6</v>
      </c>
      <c r="CC79" s="99">
        <v>4543.2</v>
      </c>
      <c r="CD79" s="99">
        <v>5</v>
      </c>
      <c r="CE79" s="99">
        <v>3785.9999999999995</v>
      </c>
      <c r="CF79" s="99">
        <v>10</v>
      </c>
      <c r="CG79" s="99">
        <v>7571.9999999999991</v>
      </c>
      <c r="CH79" s="99">
        <v>9</v>
      </c>
      <c r="CI79" s="99">
        <v>6814.7999999999993</v>
      </c>
      <c r="CJ79" s="99">
        <v>6</v>
      </c>
      <c r="CK79" s="99">
        <v>4543.2</v>
      </c>
      <c r="CL79" s="99">
        <v>7</v>
      </c>
      <c r="CM79" s="99">
        <v>5300.4</v>
      </c>
      <c r="CN79" s="99">
        <v>8</v>
      </c>
      <c r="CO79" s="99">
        <v>6057.5999999999995</v>
      </c>
      <c r="CP79" s="99">
        <v>9</v>
      </c>
      <c r="CQ79" s="99">
        <v>6814.7999999999993</v>
      </c>
      <c r="CR79" s="99">
        <v>5</v>
      </c>
      <c r="CS79" s="99">
        <v>3785.9999999999995</v>
      </c>
      <c r="CT79" s="99">
        <v>5</v>
      </c>
      <c r="CU79" s="99">
        <v>3785.9999999999995</v>
      </c>
    </row>
    <row r="80" spans="2:99">
      <c r="C80" s="98" t="s">
        <v>246</v>
      </c>
      <c r="D80" s="99">
        <v>0.6924456213881367</v>
      </c>
      <c r="E80" s="99">
        <v>557.55721434172767</v>
      </c>
      <c r="F80" s="99">
        <v>0.5244810016405782</v>
      </c>
      <c r="G80" s="99">
        <v>422.31210252099351</v>
      </c>
      <c r="H80" s="99">
        <v>4.334513552631682</v>
      </c>
      <c r="I80" s="99">
        <v>3490.15031257903</v>
      </c>
      <c r="J80" s="99">
        <v>1.2747875262564594</v>
      </c>
      <c r="K80" s="99">
        <v>1026.4589161417011</v>
      </c>
      <c r="L80" s="99">
        <v>1.3227611821687792</v>
      </c>
      <c r="M80" s="99">
        <v>1065.0873038823011</v>
      </c>
      <c r="N80" s="99">
        <v>8</v>
      </c>
      <c r="O80" s="99">
        <v>6441.5999999999995</v>
      </c>
      <c r="P80" s="99">
        <v>5</v>
      </c>
      <c r="Q80" s="99">
        <v>4025.9999999999995</v>
      </c>
      <c r="R80" s="99">
        <v>6</v>
      </c>
      <c r="S80" s="99">
        <v>4831.2</v>
      </c>
      <c r="T80" s="99">
        <v>6</v>
      </c>
      <c r="U80" s="99">
        <v>4831.2</v>
      </c>
      <c r="V80" s="99">
        <v>7</v>
      </c>
      <c r="W80" s="99">
        <v>5636.4</v>
      </c>
      <c r="X80" s="99">
        <v>7</v>
      </c>
      <c r="Y80" s="99">
        <v>5636.4</v>
      </c>
      <c r="Z80" s="99">
        <v>8</v>
      </c>
      <c r="AA80" s="99">
        <v>6441.5999999999995</v>
      </c>
      <c r="AB80" s="99">
        <v>7</v>
      </c>
      <c r="AC80" s="99">
        <v>5636.4</v>
      </c>
      <c r="AD80" s="99">
        <v>5</v>
      </c>
      <c r="AE80" s="99">
        <v>4025.9999999999995</v>
      </c>
      <c r="AF80" s="99">
        <v>7</v>
      </c>
      <c r="AG80" s="99">
        <v>5636.4</v>
      </c>
      <c r="AH80" s="99">
        <v>8</v>
      </c>
      <c r="AI80" s="99">
        <v>6441.5999999999995</v>
      </c>
      <c r="AJ80" s="99">
        <v>5</v>
      </c>
      <c r="AK80" s="99">
        <v>4025.9999999999995</v>
      </c>
      <c r="AL80" s="99">
        <v>7</v>
      </c>
      <c r="AM80" s="99">
        <v>5636.4</v>
      </c>
      <c r="AN80" s="99">
        <v>8</v>
      </c>
      <c r="AO80" s="99">
        <v>6441.5999999999995</v>
      </c>
      <c r="AP80" s="99">
        <v>7</v>
      </c>
      <c r="AQ80" s="99">
        <v>5636.4</v>
      </c>
      <c r="AR80" s="99">
        <v>8</v>
      </c>
      <c r="AS80" s="99">
        <v>6441.5999999999995</v>
      </c>
      <c r="AT80" s="99">
        <v>6</v>
      </c>
      <c r="AU80" s="99">
        <v>4831.2</v>
      </c>
      <c r="AV80" s="99">
        <v>6</v>
      </c>
      <c r="AW80" s="99">
        <v>4831.2</v>
      </c>
      <c r="AX80" s="99">
        <v>9</v>
      </c>
      <c r="AY80" s="99">
        <v>7246.7999999999993</v>
      </c>
      <c r="AZ80" s="99">
        <v>8.695108000916953</v>
      </c>
      <c r="BA80" s="99">
        <v>7001.3009623383296</v>
      </c>
      <c r="BB80" s="99">
        <v>8</v>
      </c>
      <c r="BC80" s="99">
        <v>6441.5999999999995</v>
      </c>
      <c r="BD80" s="99">
        <v>7</v>
      </c>
      <c r="BE80" s="99">
        <v>5636.4</v>
      </c>
      <c r="BF80" s="99">
        <v>5</v>
      </c>
      <c r="BG80" s="99">
        <v>4025.9999999999995</v>
      </c>
      <c r="BH80" s="99">
        <v>9</v>
      </c>
      <c r="BI80" s="99">
        <v>7246.7999999999993</v>
      </c>
      <c r="BJ80" s="99">
        <v>7</v>
      </c>
      <c r="BK80" s="99">
        <v>5636.4</v>
      </c>
      <c r="BL80" s="99">
        <v>8</v>
      </c>
      <c r="BM80" s="99">
        <v>6441.5999999999995</v>
      </c>
      <c r="BN80" s="99">
        <v>8</v>
      </c>
      <c r="BO80" s="99">
        <v>6441.5999999999995</v>
      </c>
      <c r="BP80" s="99">
        <v>10</v>
      </c>
      <c r="BQ80" s="99">
        <v>8051.9999999999991</v>
      </c>
      <c r="BR80" s="99">
        <v>9</v>
      </c>
      <c r="BS80" s="99">
        <v>7246.7999999999993</v>
      </c>
      <c r="BT80" s="99">
        <v>6.286044112710977</v>
      </c>
      <c r="BU80" s="99">
        <v>5061.5227195548778</v>
      </c>
      <c r="BV80" s="99">
        <v>9</v>
      </c>
      <c r="BW80" s="99">
        <v>7246.7999999999993</v>
      </c>
      <c r="BX80" s="99">
        <v>10</v>
      </c>
      <c r="BY80" s="99">
        <v>8051.9999999999991</v>
      </c>
      <c r="BZ80" s="99">
        <v>8</v>
      </c>
      <c r="CA80" s="99">
        <v>6441.5999999999995</v>
      </c>
      <c r="CB80" s="99">
        <v>5</v>
      </c>
      <c r="CC80" s="99">
        <v>4025.9999999999995</v>
      </c>
      <c r="CD80" s="99">
        <v>5</v>
      </c>
      <c r="CE80" s="99">
        <v>4025.9999999999995</v>
      </c>
      <c r="CF80" s="99">
        <v>9</v>
      </c>
      <c r="CG80" s="99">
        <v>7246.7999999999993</v>
      </c>
      <c r="CH80" s="99">
        <v>10</v>
      </c>
      <c r="CI80" s="99">
        <v>8051.9999999999991</v>
      </c>
      <c r="CJ80" s="99">
        <v>6</v>
      </c>
      <c r="CK80" s="99">
        <v>4831.2</v>
      </c>
      <c r="CL80" s="99">
        <v>7</v>
      </c>
      <c r="CM80" s="99">
        <v>5636.4</v>
      </c>
      <c r="CN80" s="99">
        <v>8</v>
      </c>
      <c r="CO80" s="99">
        <v>6441.5999999999995</v>
      </c>
      <c r="CP80" s="99">
        <v>9</v>
      </c>
      <c r="CQ80" s="99">
        <v>7246.7999999999993</v>
      </c>
      <c r="CR80" s="99">
        <v>5</v>
      </c>
      <c r="CS80" s="99">
        <v>4025.9999999999995</v>
      </c>
      <c r="CT80" s="99">
        <v>5</v>
      </c>
      <c r="CU80" s="99">
        <v>4025.9999999999995</v>
      </c>
    </row>
    <row r="81" spans="2:99">
      <c r="C81" s="98" t="s">
        <v>247</v>
      </c>
      <c r="D81" s="99">
        <v>0.82655722691812328</v>
      </c>
      <c r="E81" s="99">
        <v>622.89352620549766</v>
      </c>
      <c r="F81" s="99">
        <v>0.5244810016405782</v>
      </c>
      <c r="G81" s="99">
        <v>395.24888283633976</v>
      </c>
      <c r="H81" s="99">
        <v>4.334513552631682</v>
      </c>
      <c r="I81" s="99">
        <v>3266.4894132632357</v>
      </c>
      <c r="J81" s="99">
        <v>0.99150140931057951</v>
      </c>
      <c r="K81" s="99">
        <v>747.1954620564527</v>
      </c>
      <c r="L81" s="99">
        <v>1.0582089457350234</v>
      </c>
      <c r="M81" s="99">
        <v>797.46626150591374</v>
      </c>
      <c r="N81" s="99">
        <v>8</v>
      </c>
      <c r="O81" s="99">
        <v>6028.8</v>
      </c>
      <c r="P81" s="99">
        <v>4</v>
      </c>
      <c r="Q81" s="99">
        <v>3014.4</v>
      </c>
      <c r="R81" s="99">
        <v>7</v>
      </c>
      <c r="S81" s="99">
        <v>5275.2</v>
      </c>
      <c r="T81" s="99">
        <v>6</v>
      </c>
      <c r="U81" s="99">
        <v>4521.6000000000004</v>
      </c>
      <c r="V81" s="99">
        <v>8</v>
      </c>
      <c r="W81" s="99">
        <v>6028.8</v>
      </c>
      <c r="X81" s="99">
        <v>7</v>
      </c>
      <c r="Y81" s="99">
        <v>5275.2</v>
      </c>
      <c r="Z81" s="99">
        <v>9</v>
      </c>
      <c r="AA81" s="99">
        <v>6782.4000000000005</v>
      </c>
      <c r="AB81" s="99">
        <v>7</v>
      </c>
      <c r="AC81" s="99">
        <v>5275.2</v>
      </c>
      <c r="AD81" s="99">
        <v>5</v>
      </c>
      <c r="AE81" s="99">
        <v>3768</v>
      </c>
      <c r="AF81" s="99">
        <v>7</v>
      </c>
      <c r="AG81" s="99">
        <v>5275.2</v>
      </c>
      <c r="AH81" s="99">
        <v>8</v>
      </c>
      <c r="AI81" s="99">
        <v>6028.8</v>
      </c>
      <c r="AJ81" s="99">
        <v>5</v>
      </c>
      <c r="AK81" s="99">
        <v>3768</v>
      </c>
      <c r="AL81" s="99">
        <v>7</v>
      </c>
      <c r="AM81" s="99">
        <v>5275.2</v>
      </c>
      <c r="AN81" s="99">
        <v>8</v>
      </c>
      <c r="AO81" s="99">
        <v>6028.8</v>
      </c>
      <c r="AP81" s="99">
        <v>7</v>
      </c>
      <c r="AQ81" s="99">
        <v>5275.2</v>
      </c>
      <c r="AR81" s="99">
        <v>7</v>
      </c>
      <c r="AS81" s="99">
        <v>5275.2</v>
      </c>
      <c r="AT81" s="99">
        <v>6</v>
      </c>
      <c r="AU81" s="99">
        <v>4521.6000000000004</v>
      </c>
      <c r="AV81" s="99">
        <v>7</v>
      </c>
      <c r="AW81" s="99">
        <v>5275.2</v>
      </c>
      <c r="AX81" s="99">
        <v>9</v>
      </c>
      <c r="AY81" s="99">
        <v>6782.4000000000005</v>
      </c>
      <c r="AZ81" s="99">
        <v>9.695108000916953</v>
      </c>
      <c r="BA81" s="99">
        <v>7306.2333894910162</v>
      </c>
      <c r="BB81" s="99">
        <v>8</v>
      </c>
      <c r="BC81" s="99">
        <v>6028.8</v>
      </c>
      <c r="BD81" s="99">
        <v>7</v>
      </c>
      <c r="BE81" s="99">
        <v>5275.2</v>
      </c>
      <c r="BF81" s="99">
        <v>5</v>
      </c>
      <c r="BG81" s="99">
        <v>3768</v>
      </c>
      <c r="BH81" s="99">
        <v>9</v>
      </c>
      <c r="BI81" s="99">
        <v>6782.4000000000005</v>
      </c>
      <c r="BJ81" s="99">
        <v>6</v>
      </c>
      <c r="BK81" s="99">
        <v>4521.6000000000004</v>
      </c>
      <c r="BL81" s="99">
        <v>9</v>
      </c>
      <c r="BM81" s="99">
        <v>6782.4000000000005</v>
      </c>
      <c r="BN81" s="99">
        <v>8</v>
      </c>
      <c r="BO81" s="99">
        <v>6028.8</v>
      </c>
      <c r="BP81" s="99">
        <v>8</v>
      </c>
      <c r="BQ81" s="99">
        <v>6028.8</v>
      </c>
      <c r="BR81" s="99">
        <v>9</v>
      </c>
      <c r="BS81" s="99">
        <v>6782.4000000000005</v>
      </c>
      <c r="BT81" s="99">
        <v>6.3269075573839739</v>
      </c>
      <c r="BU81" s="99">
        <v>4767.9575352445627</v>
      </c>
      <c r="BV81" s="99">
        <v>8</v>
      </c>
      <c r="BW81" s="99">
        <v>6028.8</v>
      </c>
      <c r="BX81" s="99">
        <v>9</v>
      </c>
      <c r="BY81" s="99">
        <v>6782.4000000000005</v>
      </c>
      <c r="BZ81" s="99">
        <v>7</v>
      </c>
      <c r="CA81" s="99">
        <v>5275.2</v>
      </c>
      <c r="CB81" s="99">
        <v>6</v>
      </c>
      <c r="CC81" s="99">
        <v>4521.6000000000004</v>
      </c>
      <c r="CD81" s="99">
        <v>6</v>
      </c>
      <c r="CE81" s="99">
        <v>4521.6000000000004</v>
      </c>
      <c r="CF81" s="99">
        <v>9</v>
      </c>
      <c r="CG81" s="99">
        <v>6782.4000000000005</v>
      </c>
      <c r="CH81" s="99">
        <v>9</v>
      </c>
      <c r="CI81" s="99">
        <v>6782.4000000000005</v>
      </c>
      <c r="CJ81" s="99">
        <v>6</v>
      </c>
      <c r="CK81" s="99">
        <v>4521.6000000000004</v>
      </c>
      <c r="CL81" s="99">
        <v>7</v>
      </c>
      <c r="CM81" s="99">
        <v>5275.2</v>
      </c>
      <c r="CN81" s="99">
        <v>8</v>
      </c>
      <c r="CO81" s="99">
        <v>6028.8</v>
      </c>
      <c r="CP81" s="99">
        <v>10</v>
      </c>
      <c r="CQ81" s="99">
        <v>7536</v>
      </c>
      <c r="CR81" s="99">
        <v>5</v>
      </c>
      <c r="CS81" s="99">
        <v>3768</v>
      </c>
      <c r="CT81" s="99">
        <v>5</v>
      </c>
      <c r="CU81" s="99">
        <v>3768</v>
      </c>
    </row>
    <row r="82" spans="2:99">
      <c r="C82" s="98" t="s">
        <v>248</v>
      </c>
      <c r="D82" s="99">
        <v>0.82929317613539866</v>
      </c>
      <c r="E82" s="99">
        <v>421.94436801769075</v>
      </c>
      <c r="F82" s="99">
        <v>0.5244810016405782</v>
      </c>
      <c r="G82" s="99">
        <v>266.85593363472611</v>
      </c>
      <c r="H82" s="99">
        <v>4.334513552631682</v>
      </c>
      <c r="I82" s="99">
        <v>2205.4004955789992</v>
      </c>
      <c r="J82" s="99">
        <v>1.2747875262564594</v>
      </c>
      <c r="K82" s="99">
        <v>648.61189335928646</v>
      </c>
      <c r="L82" s="99">
        <v>1.3227611821687792</v>
      </c>
      <c r="M82" s="99">
        <v>673.02088948747473</v>
      </c>
      <c r="N82" s="99">
        <v>7</v>
      </c>
      <c r="O82" s="99">
        <v>3561.5999999999995</v>
      </c>
      <c r="P82" s="99">
        <v>5</v>
      </c>
      <c r="Q82" s="99">
        <v>2543.9999999999995</v>
      </c>
      <c r="R82" s="99">
        <v>7</v>
      </c>
      <c r="S82" s="99">
        <v>3561.5999999999995</v>
      </c>
      <c r="T82" s="99">
        <v>6</v>
      </c>
      <c r="U82" s="99">
        <v>3052.7999999999993</v>
      </c>
      <c r="V82" s="99">
        <v>8</v>
      </c>
      <c r="W82" s="99">
        <v>4070.3999999999992</v>
      </c>
      <c r="X82" s="99">
        <v>7</v>
      </c>
      <c r="Y82" s="99">
        <v>3561.5999999999995</v>
      </c>
      <c r="Z82" s="99">
        <v>10</v>
      </c>
      <c r="AA82" s="99">
        <v>5087.9999999999991</v>
      </c>
      <c r="AB82" s="99">
        <v>7</v>
      </c>
      <c r="AC82" s="99">
        <v>3561.5999999999995</v>
      </c>
      <c r="AD82" s="99">
        <v>5</v>
      </c>
      <c r="AE82" s="99">
        <v>2543.9999999999995</v>
      </c>
      <c r="AF82" s="99">
        <v>8</v>
      </c>
      <c r="AG82" s="99">
        <v>4070.3999999999992</v>
      </c>
      <c r="AH82" s="99">
        <v>9</v>
      </c>
      <c r="AI82" s="99">
        <v>4579.1999999999989</v>
      </c>
      <c r="AJ82" s="99">
        <v>5</v>
      </c>
      <c r="AK82" s="99">
        <v>2543.9999999999995</v>
      </c>
      <c r="AL82" s="99">
        <v>8</v>
      </c>
      <c r="AM82" s="99">
        <v>4070.3999999999992</v>
      </c>
      <c r="AN82" s="99">
        <v>8</v>
      </c>
      <c r="AO82" s="99">
        <v>4070.3999999999992</v>
      </c>
      <c r="AP82" s="99">
        <v>7</v>
      </c>
      <c r="AQ82" s="99">
        <v>3561.5999999999995</v>
      </c>
      <c r="AR82" s="99">
        <v>8</v>
      </c>
      <c r="AS82" s="99">
        <v>4070.3999999999992</v>
      </c>
      <c r="AT82" s="99">
        <v>7</v>
      </c>
      <c r="AU82" s="99">
        <v>3561.5999999999995</v>
      </c>
      <c r="AV82" s="99">
        <v>7</v>
      </c>
      <c r="AW82" s="99">
        <v>3561.5999999999995</v>
      </c>
      <c r="AX82" s="99">
        <v>9</v>
      </c>
      <c r="AY82" s="99">
        <v>4579.1999999999989</v>
      </c>
      <c r="AZ82" s="99">
        <v>8.6454574294228852</v>
      </c>
      <c r="BA82" s="99">
        <v>4398.8087400903632</v>
      </c>
      <c r="BB82" s="99">
        <v>8</v>
      </c>
      <c r="BC82" s="99">
        <v>4070.3999999999992</v>
      </c>
      <c r="BD82" s="99">
        <v>6</v>
      </c>
      <c r="BE82" s="99">
        <v>3052.7999999999993</v>
      </c>
      <c r="BF82" s="99">
        <v>6</v>
      </c>
      <c r="BG82" s="99">
        <v>3052.7999999999993</v>
      </c>
      <c r="BH82" s="99">
        <v>10</v>
      </c>
      <c r="BI82" s="99">
        <v>5087.9999999999991</v>
      </c>
      <c r="BJ82" s="99">
        <v>7</v>
      </c>
      <c r="BK82" s="99">
        <v>3561.5999999999995</v>
      </c>
      <c r="BL82" s="99">
        <v>9</v>
      </c>
      <c r="BM82" s="99">
        <v>4579.1999999999989</v>
      </c>
      <c r="BN82" s="99">
        <v>8</v>
      </c>
      <c r="BO82" s="99">
        <v>4070.3999999999992</v>
      </c>
      <c r="BP82" s="99">
        <v>9</v>
      </c>
      <c r="BQ82" s="99">
        <v>4579.1999999999989</v>
      </c>
      <c r="BR82" s="99">
        <v>9</v>
      </c>
      <c r="BS82" s="99">
        <v>4579.1999999999989</v>
      </c>
      <c r="BT82" s="99">
        <v>6.3064758350474754</v>
      </c>
      <c r="BU82" s="99">
        <v>3208.7349048721549</v>
      </c>
      <c r="BV82" s="99">
        <v>8</v>
      </c>
      <c r="BW82" s="99">
        <v>4070.3999999999992</v>
      </c>
      <c r="BX82" s="99">
        <v>9</v>
      </c>
      <c r="BY82" s="99">
        <v>4579.1999999999989</v>
      </c>
      <c r="BZ82" s="99">
        <v>8</v>
      </c>
      <c r="CA82" s="99">
        <v>4070.3999999999992</v>
      </c>
      <c r="CB82" s="99">
        <v>5</v>
      </c>
      <c r="CC82" s="99">
        <v>2543.9999999999995</v>
      </c>
      <c r="CD82" s="99">
        <v>6</v>
      </c>
      <c r="CE82" s="99">
        <v>3052.7999999999993</v>
      </c>
      <c r="CF82" s="99">
        <v>9</v>
      </c>
      <c r="CG82" s="99">
        <v>4579.1999999999989</v>
      </c>
      <c r="CH82" s="99">
        <v>9</v>
      </c>
      <c r="CI82" s="99">
        <v>4579.1999999999989</v>
      </c>
      <c r="CJ82" s="99">
        <v>6</v>
      </c>
      <c r="CK82" s="99">
        <v>3052.7999999999993</v>
      </c>
      <c r="CL82" s="99">
        <v>7</v>
      </c>
      <c r="CM82" s="99">
        <v>3561.5999999999995</v>
      </c>
      <c r="CN82" s="99">
        <v>7</v>
      </c>
      <c r="CO82" s="99">
        <v>3561.5999999999995</v>
      </c>
      <c r="CP82" s="99">
        <v>10</v>
      </c>
      <c r="CQ82" s="99">
        <v>5087.9999999999991</v>
      </c>
      <c r="CR82" s="99">
        <v>5</v>
      </c>
      <c r="CS82" s="99">
        <v>2543.9999999999995</v>
      </c>
      <c r="CT82" s="99">
        <v>5</v>
      </c>
      <c r="CU82" s="99">
        <v>2543.9999999999995</v>
      </c>
    </row>
    <row r="83" spans="2:99">
      <c r="C83" s="98" t="s">
        <v>249</v>
      </c>
      <c r="D83" s="99">
        <v>0.82655722691812328</v>
      </c>
      <c r="E83" s="99">
        <v>711.16983804035328</v>
      </c>
      <c r="F83" s="99">
        <v>0.5244810016405782</v>
      </c>
      <c r="G83" s="99">
        <v>451.26345381155346</v>
      </c>
      <c r="H83" s="99">
        <v>4.334513552631682</v>
      </c>
      <c r="I83" s="99">
        <v>3729.415460684299</v>
      </c>
      <c r="J83" s="99">
        <v>1.2747875262564594</v>
      </c>
      <c r="K83" s="99">
        <v>1096.8271875910577</v>
      </c>
      <c r="L83" s="99">
        <v>1.3227611821687792</v>
      </c>
      <c r="M83" s="99">
        <v>1138.1037211380176</v>
      </c>
      <c r="N83" s="99">
        <v>7</v>
      </c>
      <c r="O83" s="99">
        <v>6022.8</v>
      </c>
      <c r="P83" s="99">
        <v>5</v>
      </c>
      <c r="Q83" s="99">
        <v>4302</v>
      </c>
      <c r="R83" s="99">
        <v>6</v>
      </c>
      <c r="S83" s="99">
        <v>5162.3999999999996</v>
      </c>
      <c r="T83" s="99">
        <v>5</v>
      </c>
      <c r="U83" s="99">
        <v>4302</v>
      </c>
      <c r="V83" s="99">
        <v>8</v>
      </c>
      <c r="W83" s="99">
        <v>6883.2</v>
      </c>
      <c r="X83" s="99">
        <v>7</v>
      </c>
      <c r="Y83" s="99">
        <v>6022.8</v>
      </c>
      <c r="Z83" s="99">
        <v>8</v>
      </c>
      <c r="AA83" s="99">
        <v>6883.2</v>
      </c>
      <c r="AB83" s="99">
        <v>7</v>
      </c>
      <c r="AC83" s="99">
        <v>6022.8</v>
      </c>
      <c r="AD83" s="99">
        <v>5</v>
      </c>
      <c r="AE83" s="99">
        <v>4302</v>
      </c>
      <c r="AF83" s="99">
        <v>7</v>
      </c>
      <c r="AG83" s="99">
        <v>6022.8</v>
      </c>
      <c r="AH83" s="99">
        <v>7</v>
      </c>
      <c r="AI83" s="99">
        <v>6022.8</v>
      </c>
      <c r="AJ83" s="99">
        <v>5</v>
      </c>
      <c r="AK83" s="99">
        <v>4302</v>
      </c>
      <c r="AL83" s="99">
        <v>8</v>
      </c>
      <c r="AM83" s="99">
        <v>6883.2</v>
      </c>
      <c r="AN83" s="99">
        <v>10</v>
      </c>
      <c r="AO83" s="99">
        <v>8604</v>
      </c>
      <c r="AP83" s="99">
        <v>7</v>
      </c>
      <c r="AQ83" s="99">
        <v>6022.8</v>
      </c>
      <c r="AR83" s="99">
        <v>8</v>
      </c>
      <c r="AS83" s="99">
        <v>6883.2</v>
      </c>
      <c r="AT83" s="99">
        <v>6</v>
      </c>
      <c r="AU83" s="99">
        <v>5162.3999999999996</v>
      </c>
      <c r="AV83" s="99">
        <v>6</v>
      </c>
      <c r="AW83" s="99">
        <v>5162.3999999999996</v>
      </c>
      <c r="AX83" s="99">
        <v>10</v>
      </c>
      <c r="AY83" s="99">
        <v>8604</v>
      </c>
      <c r="AZ83" s="99">
        <v>8.6454574294228852</v>
      </c>
      <c r="BA83" s="99">
        <v>7438.5515722754499</v>
      </c>
      <c r="BB83" s="99">
        <v>7</v>
      </c>
      <c r="BC83" s="99">
        <v>6022.8</v>
      </c>
      <c r="BD83" s="99">
        <v>6</v>
      </c>
      <c r="BE83" s="99">
        <v>5162.3999999999996</v>
      </c>
      <c r="BF83" s="99">
        <v>5</v>
      </c>
      <c r="BG83" s="99">
        <v>4302</v>
      </c>
      <c r="BH83" s="99">
        <v>10</v>
      </c>
      <c r="BI83" s="99">
        <v>8604</v>
      </c>
      <c r="BJ83" s="99">
        <v>8</v>
      </c>
      <c r="BK83" s="99">
        <v>6883.2</v>
      </c>
      <c r="BL83" s="99">
        <v>9</v>
      </c>
      <c r="BM83" s="99">
        <v>7743.5999999999995</v>
      </c>
      <c r="BN83" s="99">
        <v>8</v>
      </c>
      <c r="BO83" s="99">
        <v>6883.2</v>
      </c>
      <c r="BP83" s="99">
        <v>9</v>
      </c>
      <c r="BQ83" s="99">
        <v>7743.5999999999995</v>
      </c>
      <c r="BR83" s="99">
        <v>9</v>
      </c>
      <c r="BS83" s="99">
        <v>7743.5999999999995</v>
      </c>
      <c r="BT83" s="99">
        <v>6.286044112710977</v>
      </c>
      <c r="BU83" s="99">
        <v>5408.5123545765246</v>
      </c>
      <c r="BV83" s="99">
        <v>9</v>
      </c>
      <c r="BW83" s="99">
        <v>7743.5999999999995</v>
      </c>
      <c r="BX83" s="99">
        <v>10</v>
      </c>
      <c r="BY83" s="99">
        <v>8604</v>
      </c>
      <c r="BZ83" s="99">
        <v>8</v>
      </c>
      <c r="CA83" s="99">
        <v>6883.2</v>
      </c>
      <c r="CB83" s="99">
        <v>6</v>
      </c>
      <c r="CC83" s="99">
        <v>5162.3999999999996</v>
      </c>
      <c r="CD83" s="99">
        <v>6</v>
      </c>
      <c r="CE83" s="99">
        <v>5162.3999999999996</v>
      </c>
      <c r="CF83" s="99">
        <v>9</v>
      </c>
      <c r="CG83" s="99">
        <v>7743.5999999999995</v>
      </c>
      <c r="CH83" s="99">
        <v>10</v>
      </c>
      <c r="CI83" s="99">
        <v>8604</v>
      </c>
      <c r="CJ83" s="99">
        <v>6</v>
      </c>
      <c r="CK83" s="99">
        <v>5162.3999999999996</v>
      </c>
      <c r="CL83" s="99">
        <v>7</v>
      </c>
      <c r="CM83" s="99">
        <v>6022.8</v>
      </c>
      <c r="CN83" s="99">
        <v>7</v>
      </c>
      <c r="CO83" s="99">
        <v>6022.8</v>
      </c>
      <c r="CP83" s="99">
        <v>8</v>
      </c>
      <c r="CQ83" s="99">
        <v>6883.2</v>
      </c>
      <c r="CR83" s="99">
        <v>5</v>
      </c>
      <c r="CS83" s="99">
        <v>4302</v>
      </c>
      <c r="CT83" s="99">
        <v>4</v>
      </c>
      <c r="CU83" s="99">
        <v>3441.6</v>
      </c>
    </row>
    <row r="84" spans="2:99">
      <c r="C84" s="98" t="s">
        <v>250</v>
      </c>
      <c r="D84" s="99">
        <v>0.82655722691812328</v>
      </c>
      <c r="E84" s="99">
        <v>645.7065056684379</v>
      </c>
      <c r="F84" s="99">
        <v>0.62937720196869396</v>
      </c>
      <c r="G84" s="99">
        <v>491.66947017794365</v>
      </c>
      <c r="H84" s="99">
        <v>4.334513552631682</v>
      </c>
      <c r="I84" s="99">
        <v>3386.1219873158698</v>
      </c>
      <c r="J84" s="99">
        <v>1.2747875262564594</v>
      </c>
      <c r="K84" s="99">
        <v>995.86401551154597</v>
      </c>
      <c r="L84" s="99">
        <v>1.3227611821687792</v>
      </c>
      <c r="M84" s="99">
        <v>1033.3410355102503</v>
      </c>
      <c r="N84" s="99">
        <v>7</v>
      </c>
      <c r="O84" s="99">
        <v>5468.4</v>
      </c>
      <c r="P84" s="99">
        <v>5</v>
      </c>
      <c r="Q84" s="99">
        <v>3905.9999999999995</v>
      </c>
      <c r="R84" s="99">
        <v>7</v>
      </c>
      <c r="S84" s="99">
        <v>5468.4</v>
      </c>
      <c r="T84" s="99">
        <v>6</v>
      </c>
      <c r="U84" s="99">
        <v>4687.2</v>
      </c>
      <c r="V84" s="99">
        <v>8</v>
      </c>
      <c r="W84" s="99">
        <v>6249.5999999999995</v>
      </c>
      <c r="X84" s="99">
        <v>7</v>
      </c>
      <c r="Y84" s="99">
        <v>5468.4</v>
      </c>
      <c r="Z84" s="99">
        <v>8</v>
      </c>
      <c r="AA84" s="99">
        <v>6249.5999999999995</v>
      </c>
      <c r="AB84" s="99">
        <v>7</v>
      </c>
      <c r="AC84" s="99">
        <v>5468.4</v>
      </c>
      <c r="AD84" s="99">
        <v>5</v>
      </c>
      <c r="AE84" s="99">
        <v>3905.9999999999995</v>
      </c>
      <c r="AF84" s="99">
        <v>6</v>
      </c>
      <c r="AG84" s="99">
        <v>4687.2</v>
      </c>
      <c r="AH84" s="99">
        <v>8</v>
      </c>
      <c r="AI84" s="99">
        <v>6249.5999999999995</v>
      </c>
      <c r="AJ84" s="99">
        <v>5</v>
      </c>
      <c r="AK84" s="99">
        <v>3905.9999999999995</v>
      </c>
      <c r="AL84" s="99">
        <v>7</v>
      </c>
      <c r="AM84" s="99">
        <v>5468.4</v>
      </c>
      <c r="AN84" s="99">
        <v>9</v>
      </c>
      <c r="AO84" s="99">
        <v>7030.7999999999993</v>
      </c>
      <c r="AP84" s="99">
        <v>7</v>
      </c>
      <c r="AQ84" s="99">
        <v>5468.4</v>
      </c>
      <c r="AR84" s="99">
        <v>8</v>
      </c>
      <c r="AS84" s="99">
        <v>6249.5999999999995</v>
      </c>
      <c r="AT84" s="99">
        <v>6</v>
      </c>
      <c r="AU84" s="99">
        <v>4687.2</v>
      </c>
      <c r="AV84" s="99">
        <v>7</v>
      </c>
      <c r="AW84" s="99">
        <v>5468.4</v>
      </c>
      <c r="AX84" s="99">
        <v>10</v>
      </c>
      <c r="AY84" s="99">
        <v>7811.9999999999991</v>
      </c>
      <c r="AZ84" s="99">
        <v>9.6454574294228852</v>
      </c>
      <c r="BA84" s="99">
        <v>7535.0313438651574</v>
      </c>
      <c r="BB84" s="99">
        <v>7</v>
      </c>
      <c r="BC84" s="99">
        <v>5468.4</v>
      </c>
      <c r="BD84" s="99">
        <v>7</v>
      </c>
      <c r="BE84" s="99">
        <v>5468.4</v>
      </c>
      <c r="BF84" s="99">
        <v>5</v>
      </c>
      <c r="BG84" s="99">
        <v>3905.9999999999995</v>
      </c>
      <c r="BH84" s="99">
        <v>9</v>
      </c>
      <c r="BI84" s="99">
        <v>7030.7999999999993</v>
      </c>
      <c r="BJ84" s="99">
        <v>7</v>
      </c>
      <c r="BK84" s="99">
        <v>5468.4</v>
      </c>
      <c r="BL84" s="99">
        <v>10</v>
      </c>
      <c r="BM84" s="99">
        <v>7811.9999999999991</v>
      </c>
      <c r="BN84" s="99">
        <v>8</v>
      </c>
      <c r="BO84" s="99">
        <v>6249.5999999999995</v>
      </c>
      <c r="BP84" s="99">
        <v>9</v>
      </c>
      <c r="BQ84" s="99">
        <v>7030.7999999999993</v>
      </c>
      <c r="BR84" s="99">
        <v>9</v>
      </c>
      <c r="BS84" s="99">
        <v>7030.7999999999993</v>
      </c>
      <c r="BT84" s="99">
        <v>6.286044112710977</v>
      </c>
      <c r="BU84" s="99">
        <v>4910.6576608498144</v>
      </c>
      <c r="BV84" s="99">
        <v>9</v>
      </c>
      <c r="BW84" s="99">
        <v>7030.7999999999993</v>
      </c>
      <c r="BX84" s="99">
        <v>8</v>
      </c>
      <c r="BY84" s="99">
        <v>6249.5999999999995</v>
      </c>
      <c r="BZ84" s="99">
        <v>7</v>
      </c>
      <c r="CA84" s="99">
        <v>5468.4</v>
      </c>
      <c r="CB84" s="99">
        <v>6</v>
      </c>
      <c r="CC84" s="99">
        <v>4687.2</v>
      </c>
      <c r="CD84" s="99">
        <v>5</v>
      </c>
      <c r="CE84" s="99">
        <v>3905.9999999999995</v>
      </c>
      <c r="CF84" s="99">
        <v>9</v>
      </c>
      <c r="CG84" s="99">
        <v>7030.7999999999993</v>
      </c>
      <c r="CH84" s="99">
        <v>9</v>
      </c>
      <c r="CI84" s="99">
        <v>7030.7999999999993</v>
      </c>
      <c r="CJ84" s="99">
        <v>6</v>
      </c>
      <c r="CK84" s="99">
        <v>4687.2</v>
      </c>
      <c r="CL84" s="99">
        <v>7</v>
      </c>
      <c r="CM84" s="99">
        <v>5468.4</v>
      </c>
      <c r="CN84" s="99">
        <v>8</v>
      </c>
      <c r="CO84" s="99">
        <v>6249.5999999999995</v>
      </c>
      <c r="CP84" s="99">
        <v>9</v>
      </c>
      <c r="CQ84" s="99">
        <v>7030.7999999999993</v>
      </c>
      <c r="CR84" s="99">
        <v>5</v>
      </c>
      <c r="CS84" s="99">
        <v>3905.9999999999995</v>
      </c>
      <c r="CT84" s="99">
        <v>5</v>
      </c>
      <c r="CU84" s="99">
        <v>3905.9999999999995</v>
      </c>
    </row>
    <row r="85" spans="2:99">
      <c r="C85" s="98" t="s">
        <v>251</v>
      </c>
      <c r="D85" s="99">
        <v>0.82655722691812328</v>
      </c>
      <c r="E85" s="99">
        <v>123.98358403771849</v>
      </c>
      <c r="F85" s="99">
        <v>0.5244810016405782</v>
      </c>
      <c r="G85" s="99">
        <v>78.67215024608673</v>
      </c>
      <c r="H85" s="99">
        <v>5.056932478070296</v>
      </c>
      <c r="I85" s="99">
        <v>758.53987171054439</v>
      </c>
      <c r="J85" s="99">
        <v>1.2747875262564594</v>
      </c>
      <c r="K85" s="99">
        <v>191.21812893846891</v>
      </c>
      <c r="L85" s="99">
        <v>1.3227611821687792</v>
      </c>
      <c r="M85" s="99">
        <v>198.4141773253169</v>
      </c>
      <c r="N85" s="99">
        <v>7</v>
      </c>
      <c r="O85" s="99">
        <v>1050</v>
      </c>
      <c r="P85" s="99">
        <v>5</v>
      </c>
      <c r="Q85" s="99">
        <v>750</v>
      </c>
      <c r="R85" s="99">
        <v>7</v>
      </c>
      <c r="S85" s="99">
        <v>1050</v>
      </c>
      <c r="T85" s="99">
        <v>6</v>
      </c>
      <c r="U85" s="99">
        <v>900</v>
      </c>
      <c r="V85" s="99">
        <v>8</v>
      </c>
      <c r="W85" s="99">
        <v>1200</v>
      </c>
      <c r="X85" s="99">
        <v>7</v>
      </c>
      <c r="Y85" s="99">
        <v>1050</v>
      </c>
      <c r="Z85" s="99">
        <v>9</v>
      </c>
      <c r="AA85" s="99">
        <v>1350</v>
      </c>
      <c r="AB85" s="99">
        <v>7</v>
      </c>
      <c r="AC85" s="99">
        <v>1050</v>
      </c>
      <c r="AD85" s="99">
        <v>5</v>
      </c>
      <c r="AE85" s="99">
        <v>750</v>
      </c>
      <c r="AF85" s="99">
        <v>7</v>
      </c>
      <c r="AG85" s="99">
        <v>1050</v>
      </c>
      <c r="AH85" s="99">
        <v>9</v>
      </c>
      <c r="AI85" s="99">
        <v>1350</v>
      </c>
      <c r="AJ85" s="99">
        <v>5</v>
      </c>
      <c r="AK85" s="99">
        <v>750</v>
      </c>
      <c r="AL85" s="99">
        <v>8</v>
      </c>
      <c r="AM85" s="99">
        <v>1200</v>
      </c>
      <c r="AN85" s="99">
        <v>10</v>
      </c>
      <c r="AO85" s="99">
        <v>1500</v>
      </c>
      <c r="AP85" s="99">
        <v>7</v>
      </c>
      <c r="AQ85" s="99">
        <v>1050</v>
      </c>
      <c r="AR85" s="99">
        <v>9</v>
      </c>
      <c r="AS85" s="99">
        <v>1350</v>
      </c>
      <c r="AT85" s="99">
        <v>6</v>
      </c>
      <c r="AU85" s="99">
        <v>900</v>
      </c>
      <c r="AV85" s="99">
        <v>7</v>
      </c>
      <c r="AW85" s="99">
        <v>1050</v>
      </c>
      <c r="AX85" s="99">
        <v>9</v>
      </c>
      <c r="AY85" s="99">
        <v>1350</v>
      </c>
      <c r="AZ85" s="99">
        <v>8.695108000916953</v>
      </c>
      <c r="BA85" s="99">
        <v>1304.2662001375429</v>
      </c>
      <c r="BB85" s="99">
        <v>7</v>
      </c>
      <c r="BC85" s="99">
        <v>1050</v>
      </c>
      <c r="BD85" s="99">
        <v>7</v>
      </c>
      <c r="BE85" s="99">
        <v>1050</v>
      </c>
      <c r="BF85" s="99">
        <v>6</v>
      </c>
      <c r="BG85" s="99">
        <v>900</v>
      </c>
      <c r="BH85" s="99">
        <v>9</v>
      </c>
      <c r="BI85" s="99">
        <v>1350</v>
      </c>
      <c r="BJ85" s="99">
        <v>7</v>
      </c>
      <c r="BK85" s="99">
        <v>1050</v>
      </c>
      <c r="BL85" s="99">
        <v>9</v>
      </c>
      <c r="BM85" s="99">
        <v>1350</v>
      </c>
      <c r="BN85" s="99">
        <v>9</v>
      </c>
      <c r="BO85" s="99">
        <v>1350</v>
      </c>
      <c r="BP85" s="99">
        <v>9</v>
      </c>
      <c r="BQ85" s="99">
        <v>1350</v>
      </c>
      <c r="BR85" s="99">
        <v>9</v>
      </c>
      <c r="BS85" s="99">
        <v>1350</v>
      </c>
      <c r="BT85" s="99">
        <v>6.3064758350474754</v>
      </c>
      <c r="BU85" s="99">
        <v>945.97137525712128</v>
      </c>
      <c r="BV85" s="99">
        <v>9</v>
      </c>
      <c r="BW85" s="99">
        <v>1350</v>
      </c>
      <c r="BX85" s="99">
        <v>9</v>
      </c>
      <c r="BY85" s="99">
        <v>1350</v>
      </c>
      <c r="BZ85" s="99">
        <v>8</v>
      </c>
      <c r="CA85" s="99">
        <v>1200</v>
      </c>
      <c r="CB85" s="99">
        <v>6</v>
      </c>
      <c r="CC85" s="99">
        <v>900</v>
      </c>
      <c r="CD85" s="99">
        <v>5</v>
      </c>
      <c r="CE85" s="99">
        <v>750</v>
      </c>
      <c r="CF85" s="99">
        <v>9</v>
      </c>
      <c r="CG85" s="99">
        <v>1350</v>
      </c>
      <c r="CH85" s="99">
        <v>9</v>
      </c>
      <c r="CI85" s="99">
        <v>1350</v>
      </c>
      <c r="CJ85" s="99">
        <v>6</v>
      </c>
      <c r="CK85" s="99">
        <v>900</v>
      </c>
      <c r="CL85" s="99">
        <v>7</v>
      </c>
      <c r="CM85" s="99">
        <v>1050</v>
      </c>
      <c r="CN85" s="99">
        <v>7</v>
      </c>
      <c r="CO85" s="99">
        <v>1050</v>
      </c>
      <c r="CP85" s="99">
        <v>8</v>
      </c>
      <c r="CQ85" s="99">
        <v>1200</v>
      </c>
      <c r="CR85" s="99">
        <v>6</v>
      </c>
      <c r="CS85" s="99">
        <v>900</v>
      </c>
      <c r="CT85" s="99">
        <v>5</v>
      </c>
      <c r="CU85" s="99">
        <v>750</v>
      </c>
    </row>
    <row r="86" spans="2:99">
      <c r="C86" s="98" t="s">
        <v>252</v>
      </c>
      <c r="D86" s="99">
        <v>0.82655722691812328</v>
      </c>
      <c r="E86" s="99">
        <v>446.3409025357866</v>
      </c>
      <c r="F86" s="99">
        <v>0.5244810016405782</v>
      </c>
      <c r="G86" s="99">
        <v>283.21974088591224</v>
      </c>
      <c r="H86" s="99">
        <v>4.334513552631682</v>
      </c>
      <c r="I86" s="99">
        <v>2340.6373184211084</v>
      </c>
      <c r="J86" s="99">
        <v>1.1331444677835194</v>
      </c>
      <c r="K86" s="99">
        <v>611.89801260310048</v>
      </c>
      <c r="L86" s="99">
        <v>1.3227611821687792</v>
      </c>
      <c r="M86" s="99">
        <v>714.29103837114076</v>
      </c>
      <c r="N86" s="99">
        <v>8</v>
      </c>
      <c r="O86" s="99">
        <v>4320</v>
      </c>
      <c r="P86" s="99">
        <v>4</v>
      </c>
      <c r="Q86" s="99">
        <v>2160</v>
      </c>
      <c r="R86" s="99">
        <v>6</v>
      </c>
      <c r="S86" s="99">
        <v>3240</v>
      </c>
      <c r="T86" s="99">
        <v>7</v>
      </c>
      <c r="U86" s="99">
        <v>3780</v>
      </c>
      <c r="V86" s="99">
        <v>8</v>
      </c>
      <c r="W86" s="99">
        <v>4320</v>
      </c>
      <c r="X86" s="99">
        <v>7</v>
      </c>
      <c r="Y86" s="99">
        <v>3780</v>
      </c>
      <c r="Z86" s="99">
        <v>9</v>
      </c>
      <c r="AA86" s="99">
        <v>4860</v>
      </c>
      <c r="AB86" s="99">
        <v>7</v>
      </c>
      <c r="AC86" s="99">
        <v>3780</v>
      </c>
      <c r="AD86" s="99">
        <v>4</v>
      </c>
      <c r="AE86" s="99">
        <v>2160</v>
      </c>
      <c r="AF86" s="99">
        <v>7</v>
      </c>
      <c r="AG86" s="99">
        <v>3780</v>
      </c>
      <c r="AH86" s="99">
        <v>9</v>
      </c>
      <c r="AI86" s="99">
        <v>4860</v>
      </c>
      <c r="AJ86" s="99">
        <v>5</v>
      </c>
      <c r="AK86" s="99">
        <v>2700</v>
      </c>
      <c r="AL86" s="99">
        <v>7</v>
      </c>
      <c r="AM86" s="99">
        <v>3780</v>
      </c>
      <c r="AN86" s="99">
        <v>9</v>
      </c>
      <c r="AO86" s="99">
        <v>4860</v>
      </c>
      <c r="AP86" s="99">
        <v>7</v>
      </c>
      <c r="AQ86" s="99">
        <v>3780</v>
      </c>
      <c r="AR86" s="99">
        <v>9</v>
      </c>
      <c r="AS86" s="99">
        <v>4860</v>
      </c>
      <c r="AT86" s="99">
        <v>6</v>
      </c>
      <c r="AU86" s="99">
        <v>3240</v>
      </c>
      <c r="AV86" s="99">
        <v>6</v>
      </c>
      <c r="AW86" s="99">
        <v>3240</v>
      </c>
      <c r="AX86" s="99">
        <v>10</v>
      </c>
      <c r="AY86" s="99">
        <v>5400</v>
      </c>
      <c r="AZ86" s="99">
        <v>8</v>
      </c>
      <c r="BA86" s="99">
        <v>4320</v>
      </c>
      <c r="BB86" s="99">
        <v>8</v>
      </c>
      <c r="BC86" s="99">
        <v>4320</v>
      </c>
      <c r="BD86" s="99">
        <v>6</v>
      </c>
      <c r="BE86" s="99">
        <v>3240</v>
      </c>
      <c r="BF86" s="99">
        <v>5</v>
      </c>
      <c r="BG86" s="99">
        <v>2700</v>
      </c>
      <c r="BH86" s="99">
        <v>9</v>
      </c>
      <c r="BI86" s="99">
        <v>4860</v>
      </c>
      <c r="BJ86" s="99">
        <v>7</v>
      </c>
      <c r="BK86" s="99">
        <v>3780</v>
      </c>
      <c r="BL86" s="99">
        <v>9</v>
      </c>
      <c r="BM86" s="99">
        <v>4860</v>
      </c>
      <c r="BN86" s="99">
        <v>8</v>
      </c>
      <c r="BO86" s="99">
        <v>4320</v>
      </c>
      <c r="BP86" s="99">
        <v>9</v>
      </c>
      <c r="BQ86" s="99">
        <v>4860</v>
      </c>
      <c r="BR86" s="99">
        <v>8</v>
      </c>
      <c r="BS86" s="99">
        <v>4320</v>
      </c>
      <c r="BT86" s="99">
        <v>6.3064758350474754</v>
      </c>
      <c r="BU86" s="99">
        <v>3405.4969509256366</v>
      </c>
      <c r="BV86" s="99">
        <v>9</v>
      </c>
      <c r="BW86" s="99">
        <v>4860</v>
      </c>
      <c r="BX86" s="99">
        <v>9</v>
      </c>
      <c r="BY86" s="99">
        <v>4860</v>
      </c>
      <c r="BZ86" s="99">
        <v>7</v>
      </c>
      <c r="CA86" s="99">
        <v>3780</v>
      </c>
      <c r="CB86" s="99">
        <v>6</v>
      </c>
      <c r="CC86" s="99">
        <v>3240</v>
      </c>
      <c r="CD86" s="99">
        <v>5</v>
      </c>
      <c r="CE86" s="99">
        <v>2700</v>
      </c>
      <c r="CF86" s="99">
        <v>9</v>
      </c>
      <c r="CG86" s="99">
        <v>4860</v>
      </c>
      <c r="CH86" s="99">
        <v>9</v>
      </c>
      <c r="CI86" s="99">
        <v>4860</v>
      </c>
      <c r="CJ86" s="99">
        <v>6</v>
      </c>
      <c r="CK86" s="99">
        <v>3240</v>
      </c>
      <c r="CL86" s="99">
        <v>7</v>
      </c>
      <c r="CM86" s="99">
        <v>3780</v>
      </c>
      <c r="CN86" s="99">
        <v>7</v>
      </c>
      <c r="CO86" s="99">
        <v>3780</v>
      </c>
      <c r="CP86" s="99">
        <v>9</v>
      </c>
      <c r="CQ86" s="99">
        <v>4860</v>
      </c>
      <c r="CR86" s="99">
        <v>5</v>
      </c>
      <c r="CS86" s="99">
        <v>2700</v>
      </c>
      <c r="CT86" s="99">
        <v>5.743163225663789</v>
      </c>
      <c r="CU86" s="99">
        <v>3101.3081418584461</v>
      </c>
    </row>
    <row r="87" spans="2:99">
      <c r="B87" s="98" t="s">
        <v>131</v>
      </c>
      <c r="C87" s="98" t="s">
        <v>253</v>
      </c>
      <c r="D87" s="99">
        <v>1.2784855507276747</v>
      </c>
      <c r="E87" s="99">
        <v>1373.0934814815225</v>
      </c>
      <c r="F87" s="99">
        <v>1.0866021751461277</v>
      </c>
      <c r="G87" s="99">
        <v>1167.0107361069411</v>
      </c>
      <c r="H87" s="99">
        <v>4.8626413473599959</v>
      </c>
      <c r="I87" s="99">
        <v>5222.476807064636</v>
      </c>
      <c r="J87" s="99">
        <v>3.921848332452222</v>
      </c>
      <c r="K87" s="99">
        <v>4212.0651090536867</v>
      </c>
      <c r="L87" s="99">
        <v>6</v>
      </c>
      <c r="M87" s="99">
        <v>6444</v>
      </c>
      <c r="N87" s="99">
        <v>6</v>
      </c>
      <c r="O87" s="99">
        <v>6444</v>
      </c>
      <c r="P87" s="99">
        <v>5.0663253438940199</v>
      </c>
      <c r="Q87" s="99">
        <v>5441.2334193421775</v>
      </c>
      <c r="R87" s="99">
        <v>3.472021209673255</v>
      </c>
      <c r="S87" s="99">
        <v>3728.950779189076</v>
      </c>
      <c r="T87" s="99">
        <v>8</v>
      </c>
      <c r="U87" s="99">
        <v>8592</v>
      </c>
      <c r="V87" s="99">
        <v>7</v>
      </c>
      <c r="W87" s="99">
        <v>7518</v>
      </c>
      <c r="X87" s="99">
        <v>4.3108121561287751</v>
      </c>
      <c r="Y87" s="99">
        <v>4629.8122556823046</v>
      </c>
      <c r="Z87" s="99">
        <v>7</v>
      </c>
      <c r="AA87" s="99">
        <v>7518</v>
      </c>
      <c r="AB87" s="99">
        <v>9.0390033381612742</v>
      </c>
      <c r="AC87" s="99">
        <v>9707.8895851852085</v>
      </c>
      <c r="AD87" s="99">
        <v>4.5303054037133998</v>
      </c>
      <c r="AE87" s="99">
        <v>4865.548003588191</v>
      </c>
      <c r="AF87" s="99">
        <v>4.3235644571098266</v>
      </c>
      <c r="AG87" s="99">
        <v>4643.5082269359536</v>
      </c>
      <c r="AH87" s="99">
        <v>6.9553075578235282</v>
      </c>
      <c r="AI87" s="99">
        <v>7470.0003171024691</v>
      </c>
      <c r="AJ87" s="99">
        <v>7.6704065809036521</v>
      </c>
      <c r="AK87" s="99">
        <v>8238.0166678905225</v>
      </c>
      <c r="AL87" s="99">
        <v>7</v>
      </c>
      <c r="AM87" s="99">
        <v>7518</v>
      </c>
      <c r="AN87" s="99">
        <v>9.1457020183025808</v>
      </c>
      <c r="AO87" s="99">
        <v>9822.4839676569718</v>
      </c>
      <c r="AP87" s="99">
        <v>8.909953485292629</v>
      </c>
      <c r="AQ87" s="99">
        <v>9569.2900432042843</v>
      </c>
      <c r="AR87" s="99">
        <v>4.2566104312854405</v>
      </c>
      <c r="AS87" s="99">
        <v>4571.5996032005633</v>
      </c>
      <c r="AT87" s="99">
        <v>4.6108441664460829</v>
      </c>
      <c r="AU87" s="99">
        <v>4952.0466347630927</v>
      </c>
      <c r="AV87" s="99">
        <v>9.178451834101951</v>
      </c>
      <c r="AW87" s="99">
        <v>9857.657269825495</v>
      </c>
      <c r="AX87" s="99">
        <v>5.6323756592874004</v>
      </c>
      <c r="AY87" s="99">
        <v>6049.1714580746684</v>
      </c>
      <c r="AZ87" s="99">
        <v>7.7119765460936218</v>
      </c>
      <c r="BA87" s="99">
        <v>8282.6628105045493</v>
      </c>
      <c r="BB87" s="99">
        <v>7.6428614767587204</v>
      </c>
      <c r="BC87" s="99">
        <v>8208.4332260388655</v>
      </c>
      <c r="BD87" s="99">
        <v>4.2145431795493709</v>
      </c>
      <c r="BE87" s="99">
        <v>4526.419374836024</v>
      </c>
      <c r="BF87" s="99">
        <v>7.0575409266507538</v>
      </c>
      <c r="BG87" s="99">
        <v>7579.7989552229092</v>
      </c>
      <c r="BH87" s="99">
        <v>4.8976342759289322</v>
      </c>
      <c r="BI87" s="99">
        <v>5260.0592123476736</v>
      </c>
      <c r="BJ87" s="99">
        <v>6</v>
      </c>
      <c r="BK87" s="99">
        <v>6444</v>
      </c>
      <c r="BL87" s="99">
        <v>6.0355068131051546</v>
      </c>
      <c r="BM87" s="99">
        <v>6482.1343172749357</v>
      </c>
      <c r="BN87" s="99">
        <v>6.4735299333156027</v>
      </c>
      <c r="BO87" s="99">
        <v>6952.5711483809573</v>
      </c>
      <c r="BP87" s="99">
        <v>5.9883296867167157</v>
      </c>
      <c r="BQ87" s="99">
        <v>6431.4660835337527</v>
      </c>
      <c r="BR87" s="99">
        <v>2.7772675469572925</v>
      </c>
      <c r="BS87" s="99">
        <v>2982.7853454321321</v>
      </c>
      <c r="BT87" s="99">
        <v>8.0738288180510942</v>
      </c>
      <c r="BU87" s="99">
        <v>8671.2921505868744</v>
      </c>
      <c r="BV87" s="99">
        <v>6.8566819241252439</v>
      </c>
      <c r="BW87" s="99">
        <v>7364.0763865105118</v>
      </c>
      <c r="BX87" s="99">
        <v>5.4301689983900774</v>
      </c>
      <c r="BY87" s="99">
        <v>5832.0015042709429</v>
      </c>
      <c r="BZ87" s="99">
        <v>2.1312222753091228</v>
      </c>
      <c r="CA87" s="99">
        <v>2288.9327236819977</v>
      </c>
      <c r="CB87" s="99">
        <v>8.1821483118525222</v>
      </c>
      <c r="CC87" s="99">
        <v>8787.6272869296081</v>
      </c>
      <c r="CD87" s="99">
        <v>6.7417829861167373</v>
      </c>
      <c r="CE87" s="99">
        <v>7240.6749270893761</v>
      </c>
      <c r="CF87" s="99">
        <v>6</v>
      </c>
      <c r="CG87" s="99">
        <v>6444</v>
      </c>
      <c r="CH87" s="99">
        <v>6.802933692448506</v>
      </c>
      <c r="CI87" s="99">
        <v>7306.3507856896958</v>
      </c>
      <c r="CJ87" s="99">
        <v>6.0415772242815864</v>
      </c>
      <c r="CK87" s="99">
        <v>6488.653938878424</v>
      </c>
      <c r="CL87" s="99">
        <v>6.3857060686865017</v>
      </c>
      <c r="CM87" s="99">
        <v>6858.248317769303</v>
      </c>
      <c r="CN87" s="99">
        <v>4.98828022196638</v>
      </c>
      <c r="CO87" s="99">
        <v>5357.4129583918921</v>
      </c>
      <c r="CP87" s="99">
        <v>7</v>
      </c>
      <c r="CQ87" s="99">
        <v>7518</v>
      </c>
      <c r="CR87" s="99">
        <v>5.9232581185013249</v>
      </c>
      <c r="CS87" s="99">
        <v>6361.579219270423</v>
      </c>
      <c r="CT87" s="99">
        <v>2.8795411869605307</v>
      </c>
      <c r="CU87" s="99">
        <v>3092.6272347956101</v>
      </c>
    </row>
    <row r="88" spans="2:99">
      <c r="C88" s="98" t="s">
        <v>254</v>
      </c>
      <c r="D88" s="99">
        <v>1.2784855507276747</v>
      </c>
      <c r="E88" s="99">
        <v>1268.7690605421444</v>
      </c>
      <c r="F88" s="99">
        <v>1.0866021751461277</v>
      </c>
      <c r="G88" s="99">
        <v>1078.343998615017</v>
      </c>
      <c r="H88" s="99">
        <v>5.5177407512046859</v>
      </c>
      <c r="I88" s="99">
        <v>5475.8059214955301</v>
      </c>
      <c r="J88" s="99">
        <v>3.921848332452222</v>
      </c>
      <c r="K88" s="99">
        <v>3892.0422851255848</v>
      </c>
      <c r="L88" s="99">
        <v>7</v>
      </c>
      <c r="M88" s="99">
        <v>6946.8</v>
      </c>
      <c r="N88" s="99">
        <v>7</v>
      </c>
      <c r="O88" s="99">
        <v>6946.8</v>
      </c>
      <c r="P88" s="99">
        <v>5.8786468297352323</v>
      </c>
      <c r="Q88" s="99">
        <v>5833.9691138292446</v>
      </c>
      <c r="R88" s="99">
        <v>3.472021209673255</v>
      </c>
      <c r="S88" s="99">
        <v>3445.6338484797384</v>
      </c>
      <c r="T88" s="99">
        <v>9</v>
      </c>
      <c r="U88" s="99">
        <v>8931.6</v>
      </c>
      <c r="V88" s="99">
        <v>7</v>
      </c>
      <c r="W88" s="99">
        <v>6946.8</v>
      </c>
      <c r="X88" s="99">
        <v>4.9266424641471707</v>
      </c>
      <c r="Y88" s="99">
        <v>4889.1999814196524</v>
      </c>
      <c r="Z88" s="99">
        <v>7</v>
      </c>
      <c r="AA88" s="99">
        <v>6946.8</v>
      </c>
      <c r="AB88" s="99">
        <v>9.0390033381612742</v>
      </c>
      <c r="AC88" s="99">
        <v>8970.3069127912477</v>
      </c>
      <c r="AD88" s="99">
        <v>4.5303054037133998</v>
      </c>
      <c r="AE88" s="99">
        <v>4495.8750826451778</v>
      </c>
      <c r="AF88" s="99">
        <v>4.3235644571098266</v>
      </c>
      <c r="AG88" s="99">
        <v>4290.7053672357915</v>
      </c>
      <c r="AH88" s="99">
        <v>6.9553075578235282</v>
      </c>
      <c r="AI88" s="99">
        <v>6902.4472203840696</v>
      </c>
      <c r="AJ88" s="99">
        <v>8.6292074035166078</v>
      </c>
      <c r="AK88" s="99">
        <v>8563.6254272498809</v>
      </c>
      <c r="AL88" s="99">
        <v>8</v>
      </c>
      <c r="AM88" s="99">
        <v>7939.2</v>
      </c>
      <c r="AN88" s="99">
        <v>9.1457020183025808</v>
      </c>
      <c r="AO88" s="99">
        <v>9076.1946829634817</v>
      </c>
      <c r="AP88" s="99">
        <v>8.0999577139023913</v>
      </c>
      <c r="AQ88" s="99">
        <v>8038.398035276733</v>
      </c>
      <c r="AR88" s="99">
        <v>5.1079325175425279</v>
      </c>
      <c r="AS88" s="99">
        <v>5069.1122304092041</v>
      </c>
      <c r="AT88" s="99">
        <v>5.1231601849400921</v>
      </c>
      <c r="AU88" s="99">
        <v>5084.2241675345476</v>
      </c>
      <c r="AV88" s="99">
        <v>8.2606066506917557</v>
      </c>
      <c r="AW88" s="99">
        <v>8197.8260401464977</v>
      </c>
      <c r="AX88" s="99">
        <v>5.6323756592874004</v>
      </c>
      <c r="AY88" s="99">
        <v>5589.5696042768159</v>
      </c>
      <c r="AZ88" s="99">
        <v>7.7119765460936218</v>
      </c>
      <c r="BA88" s="99">
        <v>7653.3655243433104</v>
      </c>
      <c r="BB88" s="99">
        <v>6.7936546460077523</v>
      </c>
      <c r="BC88" s="99">
        <v>6742.0228706980934</v>
      </c>
      <c r="BD88" s="99">
        <v>4.2145431795493709</v>
      </c>
      <c r="BE88" s="99">
        <v>4182.5126513847954</v>
      </c>
      <c r="BF88" s="99">
        <v>7.0575409266507538</v>
      </c>
      <c r="BG88" s="99">
        <v>7003.9036156082084</v>
      </c>
      <c r="BH88" s="99">
        <v>4.8976342759289322</v>
      </c>
      <c r="BI88" s="99">
        <v>4860.4122554318719</v>
      </c>
      <c r="BJ88" s="99">
        <v>6</v>
      </c>
      <c r="BK88" s="99">
        <v>5954.4</v>
      </c>
      <c r="BL88" s="99">
        <v>5.8355278988440062</v>
      </c>
      <c r="BM88" s="99">
        <v>5791.1778868127913</v>
      </c>
      <c r="BN88" s="99">
        <v>5.8419294483582425</v>
      </c>
      <c r="BO88" s="99">
        <v>5797.5307845507195</v>
      </c>
      <c r="BP88" s="99">
        <v>5.3296243086447461</v>
      </c>
      <c r="BQ88" s="99">
        <v>5289.1191638990458</v>
      </c>
      <c r="BR88" s="99">
        <v>3.240145471450175</v>
      </c>
      <c r="BS88" s="99">
        <v>3215.5203658671535</v>
      </c>
      <c r="BT88" s="99">
        <v>7.1767367271565288</v>
      </c>
      <c r="BU88" s="99">
        <v>7122.1935280301386</v>
      </c>
      <c r="BV88" s="99">
        <v>6.1710137317127192</v>
      </c>
      <c r="BW88" s="99">
        <v>6124.1140273517021</v>
      </c>
      <c r="BX88" s="99">
        <v>6.0485228941654201</v>
      </c>
      <c r="BY88" s="99">
        <v>6002.5541201697624</v>
      </c>
      <c r="BZ88" s="99">
        <v>2.1312222753091228</v>
      </c>
      <c r="CA88" s="99">
        <v>2115.0249860167733</v>
      </c>
      <c r="CB88" s="99">
        <v>8.9720878307424048</v>
      </c>
      <c r="CC88" s="99">
        <v>8903.8999632287614</v>
      </c>
      <c r="CD88" s="99">
        <v>6.7417829861167373</v>
      </c>
      <c r="CE88" s="99">
        <v>6690.5454354222502</v>
      </c>
      <c r="CF88" s="99">
        <v>6</v>
      </c>
      <c r="CG88" s="99">
        <v>5954.4</v>
      </c>
      <c r="CH88" s="99">
        <v>6.802933692448506</v>
      </c>
      <c r="CI88" s="99">
        <v>6751.2313963858969</v>
      </c>
      <c r="CJ88" s="99">
        <v>6.0415772242815864</v>
      </c>
      <c r="CK88" s="99">
        <v>5995.6612373770458</v>
      </c>
      <c r="CL88" s="99">
        <v>6.6731739002969777</v>
      </c>
      <c r="CM88" s="99">
        <v>6622.4577786547206</v>
      </c>
      <c r="CN88" s="99">
        <v>4.98828022196638</v>
      </c>
      <c r="CO88" s="99">
        <v>4950.3692922794353</v>
      </c>
      <c r="CP88" s="99">
        <v>7</v>
      </c>
      <c r="CQ88" s="99">
        <v>6946.8</v>
      </c>
      <c r="CR88" s="99">
        <v>5.1957973230302468</v>
      </c>
      <c r="CS88" s="99">
        <v>5156.3092633752167</v>
      </c>
      <c r="CT88" s="99">
        <v>2.8795411869605307</v>
      </c>
      <c r="CU88" s="99">
        <v>2857.6566739396308</v>
      </c>
    </row>
    <row r="89" spans="2:99">
      <c r="C89" s="98" t="s">
        <v>255</v>
      </c>
      <c r="D89" s="99">
        <v>1.1321397479191009</v>
      </c>
      <c r="E89" s="99">
        <v>1202.3324122900851</v>
      </c>
      <c r="F89" s="99">
        <v>0.97260566749554944</v>
      </c>
      <c r="G89" s="99">
        <v>1032.9072188802736</v>
      </c>
      <c r="H89" s="99">
        <v>5.5680944821950797</v>
      </c>
      <c r="I89" s="99">
        <v>5913.3163400911744</v>
      </c>
      <c r="J89" s="99">
        <v>3.921848332452222</v>
      </c>
      <c r="K89" s="99">
        <v>4165.0029290642597</v>
      </c>
      <c r="L89" s="99">
        <v>6</v>
      </c>
      <c r="M89" s="99">
        <v>6372</v>
      </c>
      <c r="N89" s="99">
        <v>7</v>
      </c>
      <c r="O89" s="99">
        <v>7434</v>
      </c>
      <c r="P89" s="99">
        <v>5.8786468297352323</v>
      </c>
      <c r="Q89" s="99">
        <v>6243.1229331788163</v>
      </c>
      <c r="R89" s="99">
        <v>4.166425451607906</v>
      </c>
      <c r="S89" s="99">
        <v>4424.7438296075961</v>
      </c>
      <c r="T89" s="99">
        <v>9</v>
      </c>
      <c r="U89" s="99">
        <v>9558</v>
      </c>
      <c r="V89" s="99">
        <v>7</v>
      </c>
      <c r="W89" s="99">
        <v>7434</v>
      </c>
      <c r="X89" s="99">
        <v>4.9266424641471707</v>
      </c>
      <c r="Y89" s="99">
        <v>5232.0942969242951</v>
      </c>
      <c r="Z89" s="99">
        <v>8</v>
      </c>
      <c r="AA89" s="99">
        <v>8496</v>
      </c>
      <c r="AB89" s="99">
        <v>8.1351030043451455</v>
      </c>
      <c r="AC89" s="99">
        <v>8639.4793906145442</v>
      </c>
      <c r="AD89" s="99">
        <v>4.0269381366341328</v>
      </c>
      <c r="AE89" s="99">
        <v>4276.6083011054488</v>
      </c>
      <c r="AF89" s="99">
        <v>4.3235644571098266</v>
      </c>
      <c r="AG89" s="99">
        <v>4591.6254534506361</v>
      </c>
      <c r="AH89" s="99">
        <v>6.0858941130955868</v>
      </c>
      <c r="AI89" s="99">
        <v>6463.2195481075132</v>
      </c>
      <c r="AJ89" s="99">
        <v>7.6704065809036521</v>
      </c>
      <c r="AK89" s="99">
        <v>8145.9717889196781</v>
      </c>
      <c r="AL89" s="99">
        <v>8</v>
      </c>
      <c r="AM89" s="99">
        <v>8496</v>
      </c>
      <c r="AN89" s="99">
        <v>9.1457020183025808</v>
      </c>
      <c r="AO89" s="99">
        <v>9712.7355434373403</v>
      </c>
      <c r="AP89" s="99">
        <v>7.2899619425121527</v>
      </c>
      <c r="AQ89" s="99">
        <v>7741.9395829479063</v>
      </c>
      <c r="AR89" s="99">
        <v>4.2566104312854405</v>
      </c>
      <c r="AS89" s="99">
        <v>4520.5202780251375</v>
      </c>
      <c r="AT89" s="99">
        <v>4.6108441664460829</v>
      </c>
      <c r="AU89" s="99">
        <v>4896.71650476574</v>
      </c>
      <c r="AV89" s="99">
        <v>8.2606066506917557</v>
      </c>
      <c r="AW89" s="99">
        <v>8772.7642630346454</v>
      </c>
      <c r="AX89" s="99">
        <v>5.6323756592874004</v>
      </c>
      <c r="AY89" s="99">
        <v>5981.5829501632188</v>
      </c>
      <c r="AZ89" s="99">
        <v>7.0108877691760201</v>
      </c>
      <c r="BA89" s="99">
        <v>7445.5628108649335</v>
      </c>
      <c r="BB89" s="99">
        <v>6.7936546460077523</v>
      </c>
      <c r="BC89" s="99">
        <v>7214.8612340602331</v>
      </c>
      <c r="BD89" s="99">
        <v>4.2145431795493709</v>
      </c>
      <c r="BE89" s="99">
        <v>4475.8448566814322</v>
      </c>
      <c r="BF89" s="99">
        <v>7.9397335424820978</v>
      </c>
      <c r="BG89" s="99">
        <v>8431.9970221159874</v>
      </c>
      <c r="BH89" s="99">
        <v>4.285429991437816</v>
      </c>
      <c r="BI89" s="99">
        <v>4551.126650906961</v>
      </c>
      <c r="BJ89" s="99">
        <v>7</v>
      </c>
      <c r="BK89" s="99">
        <v>7434</v>
      </c>
      <c r="BL89" s="99">
        <v>5.1060869114885055</v>
      </c>
      <c r="BM89" s="99">
        <v>5422.6643000007925</v>
      </c>
      <c r="BN89" s="99">
        <v>5.8419294483582425</v>
      </c>
      <c r="BO89" s="99">
        <v>6204.1290741564535</v>
      </c>
      <c r="BP89" s="99">
        <v>5.3896055927137319</v>
      </c>
      <c r="BQ89" s="99">
        <v>5723.7611394619835</v>
      </c>
      <c r="BR89" s="99">
        <v>3.240145471450175</v>
      </c>
      <c r="BS89" s="99">
        <v>3441.0344906800856</v>
      </c>
      <c r="BT89" s="99">
        <v>7.1767367271565288</v>
      </c>
      <c r="BU89" s="99">
        <v>7621.6944042402338</v>
      </c>
      <c r="BV89" s="99">
        <v>6.1710137317127192</v>
      </c>
      <c r="BW89" s="99">
        <v>6553.6165830789078</v>
      </c>
      <c r="BX89" s="99">
        <v>6.0753749959536059</v>
      </c>
      <c r="BY89" s="99">
        <v>6452.0482457027292</v>
      </c>
      <c r="BZ89" s="99">
        <v>2.1312222753091228</v>
      </c>
      <c r="CA89" s="99">
        <v>2263.3580563782884</v>
      </c>
      <c r="CB89" s="99">
        <v>7.3922087929626388</v>
      </c>
      <c r="CC89" s="99">
        <v>7850.5257381263227</v>
      </c>
      <c r="CD89" s="99">
        <v>6.7417829861167373</v>
      </c>
      <c r="CE89" s="99">
        <v>7159.7735312559753</v>
      </c>
      <c r="CF89" s="99">
        <v>7</v>
      </c>
      <c r="CG89" s="99">
        <v>7434</v>
      </c>
      <c r="CH89" s="99">
        <v>6.802933692448506</v>
      </c>
      <c r="CI89" s="99">
        <v>7224.7155813803138</v>
      </c>
      <c r="CJ89" s="99">
        <v>5.4374195018534284</v>
      </c>
      <c r="CK89" s="99">
        <v>5774.5395109683413</v>
      </c>
      <c r="CL89" s="99">
        <v>6.6731739002969777</v>
      </c>
      <c r="CM89" s="99">
        <v>7086.91068211539</v>
      </c>
      <c r="CN89" s="99">
        <v>4.3647451942205837</v>
      </c>
      <c r="CO89" s="99">
        <v>4635.3593962622599</v>
      </c>
      <c r="CP89" s="99">
        <v>6</v>
      </c>
      <c r="CQ89" s="99">
        <v>6372</v>
      </c>
      <c r="CR89" s="99">
        <v>5.8887342002570913</v>
      </c>
      <c r="CS89" s="99">
        <v>6253.8357206730307</v>
      </c>
      <c r="CT89" s="99">
        <v>2.4681781602518837</v>
      </c>
      <c r="CU89" s="99">
        <v>2621.2052061875006</v>
      </c>
    </row>
    <row r="90" spans="2:99">
      <c r="C90" s="98" t="s">
        <v>256</v>
      </c>
      <c r="D90" s="99">
        <v>1.1244455244720235</v>
      </c>
      <c r="E90" s="99">
        <v>1246.7851975345795</v>
      </c>
      <c r="F90" s="99">
        <v>0.96881606710236667</v>
      </c>
      <c r="G90" s="99">
        <v>1074.2232552031041</v>
      </c>
      <c r="H90" s="99">
        <v>4.8626413473599959</v>
      </c>
      <c r="I90" s="99">
        <v>5391.6967259527628</v>
      </c>
      <c r="J90" s="99">
        <v>3.921848332452222</v>
      </c>
      <c r="K90" s="99">
        <v>4348.5454310230234</v>
      </c>
      <c r="L90" s="99">
        <v>6</v>
      </c>
      <c r="M90" s="99">
        <v>6652.7999999999993</v>
      </c>
      <c r="N90" s="99">
        <v>6</v>
      </c>
      <c r="O90" s="99">
        <v>6652.7999999999993</v>
      </c>
      <c r="P90" s="99">
        <v>5.8786468297352323</v>
      </c>
      <c r="Q90" s="99">
        <v>6518.2436048104255</v>
      </c>
      <c r="R90" s="99">
        <v>3.472021209673255</v>
      </c>
      <c r="S90" s="99">
        <v>3849.7771172857051</v>
      </c>
      <c r="T90" s="99">
        <v>9</v>
      </c>
      <c r="U90" s="99">
        <v>9979.1999999999989</v>
      </c>
      <c r="V90" s="99">
        <v>7</v>
      </c>
      <c r="W90" s="99">
        <v>7761.5999999999995</v>
      </c>
      <c r="X90" s="99">
        <v>4.3108121561287751</v>
      </c>
      <c r="Y90" s="99">
        <v>4779.8285187155852</v>
      </c>
      <c r="Z90" s="99">
        <v>8</v>
      </c>
      <c r="AA90" s="99">
        <v>8870.4</v>
      </c>
      <c r="AB90" s="99">
        <v>9.0390033381612742</v>
      </c>
      <c r="AC90" s="99">
        <v>10022.44690135322</v>
      </c>
      <c r="AD90" s="99">
        <v>4.5303054037133998</v>
      </c>
      <c r="AE90" s="99">
        <v>5023.2026316374177</v>
      </c>
      <c r="AF90" s="99">
        <v>4.3235644571098266</v>
      </c>
      <c r="AG90" s="99">
        <v>4793.9682700433759</v>
      </c>
      <c r="AH90" s="99">
        <v>6.0858941130955868</v>
      </c>
      <c r="AI90" s="99">
        <v>6748.0393926003862</v>
      </c>
      <c r="AJ90" s="99">
        <v>7.6704065809036521</v>
      </c>
      <c r="AK90" s="99">
        <v>8504.9468169059692</v>
      </c>
      <c r="AL90" s="99">
        <v>8</v>
      </c>
      <c r="AM90" s="99">
        <v>8870.4</v>
      </c>
      <c r="AN90" s="99">
        <v>8.2311318164723204</v>
      </c>
      <c r="AO90" s="99">
        <v>9126.6789581045086</v>
      </c>
      <c r="AP90" s="99">
        <v>7.2899619425121527</v>
      </c>
      <c r="AQ90" s="99">
        <v>8083.1098018574748</v>
      </c>
      <c r="AR90" s="99">
        <v>4.2566104312854405</v>
      </c>
      <c r="AS90" s="99">
        <v>4719.7296462092963</v>
      </c>
      <c r="AT90" s="99">
        <v>5.1231601849400921</v>
      </c>
      <c r="AU90" s="99">
        <v>5680.560013061574</v>
      </c>
      <c r="AV90" s="99">
        <v>9.178451834101951</v>
      </c>
      <c r="AW90" s="99">
        <v>10177.067393652243</v>
      </c>
      <c r="AX90" s="99">
        <v>4.9283287018764756</v>
      </c>
      <c r="AY90" s="99">
        <v>5464.5308646406356</v>
      </c>
      <c r="AZ90" s="99">
        <v>7.7119765460936218</v>
      </c>
      <c r="BA90" s="99">
        <v>8551.0395943086078</v>
      </c>
      <c r="BB90" s="99">
        <v>7.6178006595838932</v>
      </c>
      <c r="BC90" s="99">
        <v>8446.6173713466196</v>
      </c>
      <c r="BD90" s="99">
        <v>4.2145431795493709</v>
      </c>
      <c r="BE90" s="99">
        <v>4673.0854774843419</v>
      </c>
      <c r="BF90" s="99">
        <v>7.0575409266507538</v>
      </c>
      <c r="BG90" s="99">
        <v>7825.4013794703551</v>
      </c>
      <c r="BH90" s="99">
        <v>4.285429991437816</v>
      </c>
      <c r="BI90" s="99">
        <v>4751.6847745062505</v>
      </c>
      <c r="BJ90" s="99">
        <v>6</v>
      </c>
      <c r="BK90" s="99">
        <v>6652.7999999999993</v>
      </c>
      <c r="BL90" s="99">
        <v>5.1060869114885055</v>
      </c>
      <c r="BM90" s="99">
        <v>5661.6291674584545</v>
      </c>
      <c r="BN90" s="99">
        <v>5.8326632669616547</v>
      </c>
      <c r="BO90" s="99">
        <v>6467.2570304070823</v>
      </c>
      <c r="BP90" s="99">
        <v>6.0183203287512095</v>
      </c>
      <c r="BQ90" s="99">
        <v>6673.1135805193408</v>
      </c>
      <c r="BR90" s="99">
        <v>3.240145471450175</v>
      </c>
      <c r="BS90" s="99">
        <v>3592.6732987439536</v>
      </c>
      <c r="BT90" s="99">
        <v>8.0738288180510942</v>
      </c>
      <c r="BU90" s="99">
        <v>8952.2613934550536</v>
      </c>
      <c r="BV90" s="99">
        <v>6.1710137317127192</v>
      </c>
      <c r="BW90" s="99">
        <v>6842.4200257230623</v>
      </c>
      <c r="BX90" s="99">
        <v>6.0753749959536059</v>
      </c>
      <c r="BY90" s="99">
        <v>6736.3757955133578</v>
      </c>
      <c r="BZ90" s="99">
        <v>2.3976250597227633</v>
      </c>
      <c r="CA90" s="99">
        <v>2658.4866662206</v>
      </c>
      <c r="CB90" s="99">
        <v>7.8993951888988274</v>
      </c>
      <c r="CC90" s="99">
        <v>8758.8493854510198</v>
      </c>
      <c r="CD90" s="99">
        <v>6.7417829861167373</v>
      </c>
      <c r="CE90" s="99">
        <v>7475.2889750062377</v>
      </c>
      <c r="CF90" s="99">
        <v>6</v>
      </c>
      <c r="CG90" s="99">
        <v>6652.7999999999993</v>
      </c>
      <c r="CH90" s="99">
        <v>6.802933692448506</v>
      </c>
      <c r="CI90" s="99">
        <v>7543.0928781869034</v>
      </c>
      <c r="CJ90" s="99">
        <v>6.0415772242815864</v>
      </c>
      <c r="CK90" s="99">
        <v>6698.9008262834232</v>
      </c>
      <c r="CL90" s="99">
        <v>6.6731739002969777</v>
      </c>
      <c r="CM90" s="99">
        <v>7399.2152206492883</v>
      </c>
      <c r="CN90" s="99">
        <v>4.98828022196638</v>
      </c>
      <c r="CO90" s="99">
        <v>5531.0051101163217</v>
      </c>
      <c r="CP90" s="99">
        <v>7</v>
      </c>
      <c r="CQ90" s="99">
        <v>7761.5999999999995</v>
      </c>
      <c r="CR90" s="99">
        <v>5.9232581185013249</v>
      </c>
      <c r="CS90" s="99">
        <v>6567.7086017942684</v>
      </c>
      <c r="CT90" s="99">
        <v>2.8795411869605307</v>
      </c>
      <c r="CU90" s="99">
        <v>3192.8352681018364</v>
      </c>
    </row>
    <row r="91" spans="2:99">
      <c r="C91" s="98" t="s">
        <v>257</v>
      </c>
      <c r="D91" s="99">
        <v>1.2784855507276747</v>
      </c>
      <c r="E91" s="99">
        <v>1452.8709798469292</v>
      </c>
      <c r="F91" s="99">
        <v>0.96502646670918413</v>
      </c>
      <c r="G91" s="99">
        <v>1096.6560767683168</v>
      </c>
      <c r="H91" s="99">
        <v>5.5429176166998824</v>
      </c>
      <c r="I91" s="99">
        <v>6298.9715796177452</v>
      </c>
      <c r="J91" s="99">
        <v>3.921848332452222</v>
      </c>
      <c r="K91" s="99">
        <v>4456.7884449987041</v>
      </c>
      <c r="L91" s="99">
        <v>6</v>
      </c>
      <c r="M91" s="99">
        <v>6818.4</v>
      </c>
      <c r="N91" s="99">
        <v>7</v>
      </c>
      <c r="O91" s="99">
        <v>7954.7999999999993</v>
      </c>
      <c r="P91" s="99">
        <v>5.8786468297352323</v>
      </c>
      <c r="Q91" s="99">
        <v>6680.4942573111175</v>
      </c>
      <c r="R91" s="99">
        <v>4.166425451607906</v>
      </c>
      <c r="S91" s="99">
        <v>4734.7258832072239</v>
      </c>
      <c r="T91" s="99">
        <v>8</v>
      </c>
      <c r="U91" s="99">
        <v>9091.1999999999989</v>
      </c>
      <c r="V91" s="99">
        <v>7.2399265381083557</v>
      </c>
      <c r="W91" s="99">
        <v>8227.4525179063348</v>
      </c>
      <c r="X91" s="99">
        <v>4.3108121561287751</v>
      </c>
      <c r="Y91" s="99">
        <v>4898.8069342247391</v>
      </c>
      <c r="Z91" s="99">
        <v>7</v>
      </c>
      <c r="AA91" s="99">
        <v>7954.7999999999993</v>
      </c>
      <c r="AB91" s="99">
        <v>9.0390033381612742</v>
      </c>
      <c r="AC91" s="99">
        <v>10271.923393486471</v>
      </c>
      <c r="AD91" s="99">
        <v>4.5303054037133998</v>
      </c>
      <c r="AE91" s="99">
        <v>5148.239060779907</v>
      </c>
      <c r="AF91" s="99">
        <v>4.3235644571098266</v>
      </c>
      <c r="AG91" s="99">
        <v>4913.2986490596068</v>
      </c>
      <c r="AH91" s="99">
        <v>6.0858941130955868</v>
      </c>
      <c r="AI91" s="99">
        <v>6916.0100701218244</v>
      </c>
      <c r="AJ91" s="99">
        <v>8.6292074035166078</v>
      </c>
      <c r="AK91" s="99">
        <v>9806.2312933562716</v>
      </c>
      <c r="AL91" s="99">
        <v>7</v>
      </c>
      <c r="AM91" s="99">
        <v>7954.7999999999993</v>
      </c>
      <c r="AN91" s="99">
        <v>9.1457020183025808</v>
      </c>
      <c r="AO91" s="99">
        <v>10393.175773599052</v>
      </c>
      <c r="AP91" s="99">
        <v>7.2899619425121527</v>
      </c>
      <c r="AQ91" s="99">
        <v>8284.3127514708085</v>
      </c>
      <c r="AR91" s="99">
        <v>5.1079325175425279</v>
      </c>
      <c r="AS91" s="99">
        <v>5804.6545129353281</v>
      </c>
      <c r="AT91" s="99">
        <v>5.1231601849400921</v>
      </c>
      <c r="AU91" s="99">
        <v>5821.95923416592</v>
      </c>
      <c r="AV91" s="99">
        <v>9.178451834101951</v>
      </c>
      <c r="AW91" s="99">
        <v>10430.392664273455</v>
      </c>
      <c r="AX91" s="99">
        <v>5.6323756592874004</v>
      </c>
      <c r="AY91" s="99">
        <v>6400.631699214201</v>
      </c>
      <c r="AZ91" s="99">
        <v>7.7119765460936218</v>
      </c>
      <c r="BA91" s="99">
        <v>8763.8901469807915</v>
      </c>
      <c r="BB91" s="99">
        <v>7.5927398424090651</v>
      </c>
      <c r="BC91" s="99">
        <v>8628.3895569136603</v>
      </c>
      <c r="BD91" s="99">
        <v>3.5121193162911419</v>
      </c>
      <c r="BE91" s="99">
        <v>3991.172391033253</v>
      </c>
      <c r="BF91" s="99">
        <v>7.9397335424820978</v>
      </c>
      <c r="BG91" s="99">
        <v>9022.7131976766541</v>
      </c>
      <c r="BH91" s="99">
        <v>4.285429991437816</v>
      </c>
      <c r="BI91" s="99">
        <v>4869.9626422699339</v>
      </c>
      <c r="BJ91" s="99">
        <v>7</v>
      </c>
      <c r="BK91" s="99">
        <v>7954.7999999999993</v>
      </c>
      <c r="BL91" s="99">
        <v>5.1060869114885055</v>
      </c>
      <c r="BM91" s="99">
        <v>5802.5571662155371</v>
      </c>
      <c r="BN91" s="99">
        <v>6.4827961147121913</v>
      </c>
      <c r="BO91" s="99">
        <v>7367.0495047589329</v>
      </c>
      <c r="BP91" s="99">
        <v>5.359614950679239</v>
      </c>
      <c r="BQ91" s="99">
        <v>6090.6664299518861</v>
      </c>
      <c r="BR91" s="99">
        <v>3.240145471450175</v>
      </c>
      <c r="BS91" s="99">
        <v>3682.1013137559785</v>
      </c>
      <c r="BT91" s="99">
        <v>7.1767367271565288</v>
      </c>
      <c r="BU91" s="99">
        <v>8155.6436167406782</v>
      </c>
      <c r="BV91" s="99">
        <v>6.1710137317127192</v>
      </c>
      <c r="BW91" s="99">
        <v>7012.7400047183328</v>
      </c>
      <c r="BX91" s="99">
        <v>5.4301689983900774</v>
      </c>
      <c r="BY91" s="99">
        <v>6170.8440497704833</v>
      </c>
      <c r="BZ91" s="99">
        <v>2.3976250597227633</v>
      </c>
      <c r="CA91" s="99">
        <v>2724.6611178689477</v>
      </c>
      <c r="CB91" s="99">
        <v>8.1386478313981083</v>
      </c>
      <c r="CC91" s="99">
        <v>9248.7593956008095</v>
      </c>
      <c r="CD91" s="99">
        <v>6.7417829861167373</v>
      </c>
      <c r="CE91" s="99">
        <v>7661.3621854230596</v>
      </c>
      <c r="CF91" s="99">
        <v>6.1948585437346644</v>
      </c>
      <c r="CG91" s="99">
        <v>7039.8372491000719</v>
      </c>
      <c r="CH91" s="99">
        <v>6.802933692448506</v>
      </c>
      <c r="CI91" s="99">
        <v>7730.8538480984816</v>
      </c>
      <c r="CJ91" s="99">
        <v>6.6457349467097453</v>
      </c>
      <c r="CK91" s="99">
        <v>7552.2131934409535</v>
      </c>
      <c r="CL91" s="99">
        <v>5.5874928101006889</v>
      </c>
      <c r="CM91" s="99">
        <v>6349.6268293984222</v>
      </c>
      <c r="CN91" s="99">
        <v>4.3647451942205837</v>
      </c>
      <c r="CO91" s="99">
        <v>4960.0964387122704</v>
      </c>
      <c r="CP91" s="99">
        <v>6</v>
      </c>
      <c r="CQ91" s="99">
        <v>6818.4</v>
      </c>
      <c r="CR91" s="99">
        <v>5.8887342002570913</v>
      </c>
      <c r="CS91" s="99">
        <v>6691.9575451721576</v>
      </c>
      <c r="CT91" s="99">
        <v>2.8795411869605307</v>
      </c>
      <c r="CU91" s="99">
        <v>3272.3106048619466</v>
      </c>
    </row>
    <row r="92" spans="2:99">
      <c r="C92" s="98" t="s">
        <v>258</v>
      </c>
      <c r="D92" s="99">
        <v>1.1321397479191009</v>
      </c>
      <c r="E92" s="99">
        <v>888.50327416691027</v>
      </c>
      <c r="F92" s="99">
        <v>1.0903917755393102</v>
      </c>
      <c r="G92" s="99">
        <v>855.73946544325065</v>
      </c>
      <c r="H92" s="99">
        <v>5.5429176166998824</v>
      </c>
      <c r="I92" s="99">
        <v>4350.0817455860679</v>
      </c>
      <c r="J92" s="99">
        <v>3.921848332452222</v>
      </c>
      <c r="K92" s="99">
        <v>3077.8665713085038</v>
      </c>
      <c r="L92" s="99">
        <v>7</v>
      </c>
      <c r="M92" s="99">
        <v>5493.5999999999995</v>
      </c>
      <c r="N92" s="99">
        <v>7</v>
      </c>
      <c r="O92" s="99">
        <v>5493.5999999999995</v>
      </c>
      <c r="P92" s="99">
        <v>5.8401675439658822</v>
      </c>
      <c r="Q92" s="99">
        <v>4583.3634885044239</v>
      </c>
      <c r="R92" s="99">
        <v>3.472021209673255</v>
      </c>
      <c r="S92" s="99">
        <v>2724.8422453515705</v>
      </c>
      <c r="T92" s="99">
        <v>9</v>
      </c>
      <c r="U92" s="99">
        <v>7063.2</v>
      </c>
      <c r="V92" s="99">
        <v>7</v>
      </c>
      <c r="W92" s="99">
        <v>5493.5999999999995</v>
      </c>
      <c r="X92" s="99">
        <v>4.3108121561287751</v>
      </c>
      <c r="Y92" s="99">
        <v>3383.1253801298626</v>
      </c>
      <c r="Z92" s="99">
        <v>8</v>
      </c>
      <c r="AA92" s="99">
        <v>6278.4</v>
      </c>
      <c r="AB92" s="99">
        <v>9.0390033381612742</v>
      </c>
      <c r="AC92" s="99">
        <v>7093.8098197889676</v>
      </c>
      <c r="AD92" s="99">
        <v>4.0269381366341328</v>
      </c>
      <c r="AE92" s="99">
        <v>3160.3410496304673</v>
      </c>
      <c r="AF92" s="99">
        <v>4.3235644571098266</v>
      </c>
      <c r="AG92" s="99">
        <v>3393.1333859397919</v>
      </c>
      <c r="AH92" s="99">
        <v>6.0858941130955868</v>
      </c>
      <c r="AI92" s="99">
        <v>4776.209699957416</v>
      </c>
      <c r="AJ92" s="99">
        <v>8.6292074035166078</v>
      </c>
      <c r="AK92" s="99">
        <v>6772.2019702798334</v>
      </c>
      <c r="AL92" s="99">
        <v>8</v>
      </c>
      <c r="AM92" s="99">
        <v>6278.4</v>
      </c>
      <c r="AN92" s="99">
        <v>9.1457020183025808</v>
      </c>
      <c r="AO92" s="99">
        <v>7177.5469439638646</v>
      </c>
      <c r="AP92" s="99">
        <v>8.0999577139023913</v>
      </c>
      <c r="AQ92" s="99">
        <v>6356.8468138705966</v>
      </c>
      <c r="AR92" s="99">
        <v>4.2566104312854405</v>
      </c>
      <c r="AS92" s="99">
        <v>3340.5878664728134</v>
      </c>
      <c r="AT92" s="99">
        <v>5.1231601849400921</v>
      </c>
      <c r="AU92" s="99">
        <v>4020.656113140984</v>
      </c>
      <c r="AV92" s="99">
        <v>8.2606066506917557</v>
      </c>
      <c r="AW92" s="99">
        <v>6482.9240994628899</v>
      </c>
      <c r="AX92" s="99">
        <v>5.6323756592874004</v>
      </c>
      <c r="AY92" s="99">
        <v>4420.2884174087512</v>
      </c>
      <c r="AZ92" s="99">
        <v>7.0108877691760201</v>
      </c>
      <c r="BA92" s="99">
        <v>5502.1447212493404</v>
      </c>
      <c r="BB92" s="99">
        <v>7.6178006595838932</v>
      </c>
      <c r="BC92" s="99">
        <v>5978.4499576414391</v>
      </c>
      <c r="BD92" s="99">
        <v>3.5121193162911419</v>
      </c>
      <c r="BE92" s="99">
        <v>2756.311239425288</v>
      </c>
      <c r="BF92" s="99">
        <v>7.9397335424820978</v>
      </c>
      <c r="BG92" s="99">
        <v>6231.1028841399502</v>
      </c>
      <c r="BH92" s="99">
        <v>4.8976342759289322</v>
      </c>
      <c r="BI92" s="99">
        <v>3843.6633797490258</v>
      </c>
      <c r="BJ92" s="99">
        <v>7</v>
      </c>
      <c r="BK92" s="99">
        <v>5493.5999999999995</v>
      </c>
      <c r="BL92" s="99">
        <v>5.1060869114885055</v>
      </c>
      <c r="BM92" s="99">
        <v>4007.2570081361787</v>
      </c>
      <c r="BN92" s="99">
        <v>5.8326632669616547</v>
      </c>
      <c r="BO92" s="99">
        <v>4577.4741319115064</v>
      </c>
      <c r="BP92" s="99">
        <v>5.9883296867167157</v>
      </c>
      <c r="BQ92" s="99">
        <v>4699.6411381352782</v>
      </c>
      <c r="BR92" s="99">
        <v>3.240145471450175</v>
      </c>
      <c r="BS92" s="99">
        <v>2542.8661659940972</v>
      </c>
      <c r="BT92" s="99">
        <v>8.0738288180510942</v>
      </c>
      <c r="BU92" s="99">
        <v>6336.3408564064985</v>
      </c>
      <c r="BV92" s="99">
        <v>6.1710137317127192</v>
      </c>
      <c r="BW92" s="99">
        <v>4843.0115766481413</v>
      </c>
      <c r="BX92" s="99">
        <v>5.4301689983900774</v>
      </c>
      <c r="BY92" s="99">
        <v>4261.5966299365327</v>
      </c>
      <c r="BZ92" s="99">
        <v>2.6640278441364034</v>
      </c>
      <c r="CA92" s="99">
        <v>2090.7290520782494</v>
      </c>
      <c r="CB92" s="99">
        <v>7.8993951888988274</v>
      </c>
      <c r="CC92" s="99">
        <v>6199.4453442477998</v>
      </c>
      <c r="CD92" s="99">
        <v>7.5845058593813288</v>
      </c>
      <c r="CE92" s="99">
        <v>5952.3201984424668</v>
      </c>
      <c r="CF92" s="99">
        <v>6</v>
      </c>
      <c r="CG92" s="99">
        <v>4708.7999999999993</v>
      </c>
      <c r="CH92" s="99">
        <v>8.1635204309382079</v>
      </c>
      <c r="CI92" s="99">
        <v>6406.7308342003053</v>
      </c>
      <c r="CJ92" s="99">
        <v>6.0415772242815864</v>
      </c>
      <c r="CK92" s="99">
        <v>4741.4298056161888</v>
      </c>
      <c r="CL92" s="99">
        <v>6.3857060686865017</v>
      </c>
      <c r="CM92" s="99">
        <v>5011.5021227051666</v>
      </c>
      <c r="CN92" s="99">
        <v>4.98828022196638</v>
      </c>
      <c r="CO92" s="99">
        <v>3914.8023181992148</v>
      </c>
      <c r="CP92" s="99">
        <v>6</v>
      </c>
      <c r="CQ92" s="99">
        <v>4708.7999999999993</v>
      </c>
      <c r="CR92" s="99">
        <v>5.8887342002570913</v>
      </c>
      <c r="CS92" s="99">
        <v>4621.4786003617646</v>
      </c>
      <c r="CT92" s="99">
        <v>2.4681781602518837</v>
      </c>
      <c r="CU92" s="99">
        <v>1937.0262201656783</v>
      </c>
    </row>
    <row r="93" spans="2:99">
      <c r="C93" s="98" t="s">
        <v>259</v>
      </c>
      <c r="D93" s="99">
        <v>1.1321397479191009</v>
      </c>
      <c r="E93" s="99">
        <v>785.2521291566884</v>
      </c>
      <c r="F93" s="99">
        <v>1.0903917755393102</v>
      </c>
      <c r="G93" s="99">
        <v>756.29573551406554</v>
      </c>
      <c r="H93" s="99">
        <v>5.5680944821950797</v>
      </c>
      <c r="I93" s="99">
        <v>3862.0303328505074</v>
      </c>
      <c r="J93" s="99">
        <v>3.921848332452222</v>
      </c>
      <c r="K93" s="99">
        <v>2720.1940033888613</v>
      </c>
      <c r="L93" s="99">
        <v>6</v>
      </c>
      <c r="M93" s="99">
        <v>4161.6000000000004</v>
      </c>
      <c r="N93" s="99">
        <v>7</v>
      </c>
      <c r="O93" s="99">
        <v>4855.2</v>
      </c>
      <c r="P93" s="99">
        <v>5.8786468297352323</v>
      </c>
      <c r="Q93" s="99">
        <v>4077.4294411043575</v>
      </c>
      <c r="R93" s="99">
        <v>4.166425451607906</v>
      </c>
      <c r="S93" s="99">
        <v>2889.8326932352438</v>
      </c>
      <c r="T93" s="99">
        <v>10</v>
      </c>
      <c r="U93" s="99">
        <v>6936</v>
      </c>
      <c r="V93" s="99">
        <v>7</v>
      </c>
      <c r="W93" s="99">
        <v>4855.2</v>
      </c>
      <c r="X93" s="99">
        <v>4.9266424641471707</v>
      </c>
      <c r="Y93" s="99">
        <v>3417.1192131324779</v>
      </c>
      <c r="Z93" s="99">
        <v>8</v>
      </c>
      <c r="AA93" s="99">
        <v>5548.8</v>
      </c>
      <c r="AB93" s="99">
        <v>9.0390033381612742</v>
      </c>
      <c r="AC93" s="99">
        <v>6269.4527153486597</v>
      </c>
      <c r="AD93" s="99">
        <v>4.0269381366341328</v>
      </c>
      <c r="AE93" s="99">
        <v>2793.0842915694348</v>
      </c>
      <c r="AF93" s="99">
        <v>4.3235644571098266</v>
      </c>
      <c r="AG93" s="99">
        <v>2998.8243074513757</v>
      </c>
      <c r="AH93" s="99">
        <v>6.9553075578235282</v>
      </c>
      <c r="AI93" s="99">
        <v>4824.2013221063989</v>
      </c>
      <c r="AJ93" s="99">
        <v>7.6704065809036521</v>
      </c>
      <c r="AK93" s="99">
        <v>5320.194004514773</v>
      </c>
      <c r="AL93" s="99">
        <v>8</v>
      </c>
      <c r="AM93" s="99">
        <v>5548.8</v>
      </c>
      <c r="AN93" s="99">
        <v>9.1457020183025808</v>
      </c>
      <c r="AO93" s="99">
        <v>6343.4589198946705</v>
      </c>
      <c r="AP93" s="99">
        <v>8.0999577139023913</v>
      </c>
      <c r="AQ93" s="99">
        <v>5618.1306703626988</v>
      </c>
      <c r="AR93" s="99">
        <v>4.2566104312854405</v>
      </c>
      <c r="AS93" s="99">
        <v>2952.3849951395814</v>
      </c>
      <c r="AT93" s="99">
        <v>5.6354762034341013</v>
      </c>
      <c r="AU93" s="99">
        <v>3908.7662947018925</v>
      </c>
      <c r="AV93" s="99">
        <v>9.178451834101951</v>
      </c>
      <c r="AW93" s="99">
        <v>6366.1741921331131</v>
      </c>
      <c r="AX93" s="99">
        <v>4.9283287018764756</v>
      </c>
      <c r="AY93" s="99">
        <v>3418.2887876215236</v>
      </c>
      <c r="AZ93" s="99">
        <v>7.7119765460936218</v>
      </c>
      <c r="BA93" s="99">
        <v>5349.0269323705361</v>
      </c>
      <c r="BB93" s="99">
        <v>7.6428614767587204</v>
      </c>
      <c r="BC93" s="99">
        <v>5301.0887202798485</v>
      </c>
      <c r="BD93" s="99">
        <v>3.5121193162911419</v>
      </c>
      <c r="BE93" s="99">
        <v>2436.0059577795359</v>
      </c>
      <c r="BF93" s="99">
        <v>7.9397335424820978</v>
      </c>
      <c r="BG93" s="99">
        <v>5506.9991850655833</v>
      </c>
      <c r="BH93" s="99">
        <v>4.8976342759289322</v>
      </c>
      <c r="BI93" s="99">
        <v>3396.9991337843076</v>
      </c>
      <c r="BJ93" s="99">
        <v>7</v>
      </c>
      <c r="BK93" s="99">
        <v>4855.2</v>
      </c>
      <c r="BL93" s="99">
        <v>5.1060869114885055</v>
      </c>
      <c r="BM93" s="99">
        <v>3541.5818818084276</v>
      </c>
      <c r="BN93" s="99">
        <v>5.8419294483582425</v>
      </c>
      <c r="BO93" s="99">
        <v>4051.9622653812771</v>
      </c>
      <c r="BP93" s="99">
        <v>5.3296243086447461</v>
      </c>
      <c r="BQ93" s="99">
        <v>3696.6274204759961</v>
      </c>
      <c r="BR93" s="99">
        <v>3.703023395943057</v>
      </c>
      <c r="BS93" s="99">
        <v>2568.4170274261046</v>
      </c>
      <c r="BT93" s="99">
        <v>8.0738288180510942</v>
      </c>
      <c r="BU93" s="99">
        <v>5600.0076682002391</v>
      </c>
      <c r="BV93" s="99">
        <v>6.1710137317127192</v>
      </c>
      <c r="BW93" s="99">
        <v>4280.2151243159424</v>
      </c>
      <c r="BX93" s="99">
        <v>5.4570211001782631</v>
      </c>
      <c r="BY93" s="99">
        <v>3784.9898350836434</v>
      </c>
      <c r="BZ93" s="99">
        <v>2.3976250597227633</v>
      </c>
      <c r="CA93" s="99">
        <v>1662.9927414237086</v>
      </c>
      <c r="CB93" s="99">
        <v>8.6893347077887082</v>
      </c>
      <c r="CC93" s="99">
        <v>6026.9225533222479</v>
      </c>
      <c r="CD93" s="99">
        <v>5.899060112852144</v>
      </c>
      <c r="CE93" s="99">
        <v>4091.5880942742474</v>
      </c>
      <c r="CF93" s="99">
        <v>7</v>
      </c>
      <c r="CG93" s="99">
        <v>4855.2</v>
      </c>
      <c r="CH93" s="99">
        <v>8.1635204309382079</v>
      </c>
      <c r="CI93" s="99">
        <v>5662.217770898741</v>
      </c>
      <c r="CJ93" s="99">
        <v>5.4374195018534284</v>
      </c>
      <c r="CK93" s="99">
        <v>3771.3941664855379</v>
      </c>
      <c r="CL93" s="99">
        <v>7.1839193272723145</v>
      </c>
      <c r="CM93" s="99">
        <v>4982.7664453960779</v>
      </c>
      <c r="CN93" s="99">
        <v>4.98828022196638</v>
      </c>
      <c r="CO93" s="99">
        <v>3459.8711619558812</v>
      </c>
      <c r="CP93" s="99">
        <v>7</v>
      </c>
      <c r="CQ93" s="99">
        <v>4855.2</v>
      </c>
      <c r="CR93" s="99">
        <v>5.1957973230302468</v>
      </c>
      <c r="CS93" s="99">
        <v>3603.8050232537794</v>
      </c>
      <c r="CT93" s="99">
        <v>2.8795411869605307</v>
      </c>
      <c r="CU93" s="99">
        <v>1997.2497672758243</v>
      </c>
    </row>
    <row r="94" spans="2:99">
      <c r="C94" s="98" t="s">
        <v>260</v>
      </c>
      <c r="D94" s="99">
        <v>1.1244455244720235</v>
      </c>
      <c r="E94" s="99">
        <v>1341.2386215902295</v>
      </c>
      <c r="F94" s="99">
        <v>1.0903917755393102</v>
      </c>
      <c r="G94" s="99">
        <v>1300.6193098632891</v>
      </c>
      <c r="H94" s="99">
        <v>5.5177407512046859</v>
      </c>
      <c r="I94" s="99">
        <v>6581.5611680369493</v>
      </c>
      <c r="J94" s="99">
        <v>3.921848332452222</v>
      </c>
      <c r="K94" s="99">
        <v>4677.9806909490098</v>
      </c>
      <c r="L94" s="99">
        <v>7</v>
      </c>
      <c r="M94" s="99">
        <v>8349.6</v>
      </c>
      <c r="N94" s="99">
        <v>6</v>
      </c>
      <c r="O94" s="99">
        <v>7156.7999999999993</v>
      </c>
      <c r="P94" s="99">
        <v>5.0663253438940199</v>
      </c>
      <c r="Q94" s="99">
        <v>6043.1128701967864</v>
      </c>
      <c r="R94" s="99">
        <v>3.472021209673255</v>
      </c>
      <c r="S94" s="99">
        <v>4141.4268988982585</v>
      </c>
      <c r="T94" s="99">
        <v>9</v>
      </c>
      <c r="U94" s="99">
        <v>10735.199999999999</v>
      </c>
      <c r="V94" s="99">
        <v>7</v>
      </c>
      <c r="W94" s="99">
        <v>8349.6</v>
      </c>
      <c r="X94" s="99">
        <v>4.9266424641471707</v>
      </c>
      <c r="Y94" s="99">
        <v>5876.4991312347447</v>
      </c>
      <c r="Z94" s="99">
        <v>8</v>
      </c>
      <c r="AA94" s="99">
        <v>9542.4</v>
      </c>
      <c r="AB94" s="99">
        <v>9.9429036719773993</v>
      </c>
      <c r="AC94" s="99">
        <v>11859.895499934641</v>
      </c>
      <c r="AD94" s="99">
        <v>4.0269381366341328</v>
      </c>
      <c r="AE94" s="99">
        <v>4803.3318093771932</v>
      </c>
      <c r="AF94" s="99">
        <v>4.3235644571098266</v>
      </c>
      <c r="AG94" s="99">
        <v>5157.1476844406006</v>
      </c>
      <c r="AH94" s="99">
        <v>6.9553075578235282</v>
      </c>
      <c r="AI94" s="99">
        <v>8296.2908549719032</v>
      </c>
      <c r="AJ94" s="99">
        <v>8.6292074035166078</v>
      </c>
      <c r="AK94" s="99">
        <v>10292.918590914609</v>
      </c>
      <c r="AL94" s="99">
        <v>7</v>
      </c>
      <c r="AM94" s="99">
        <v>8349.6</v>
      </c>
      <c r="AN94" s="99">
        <v>8.2311318164723204</v>
      </c>
      <c r="AO94" s="99">
        <v>9818.0940306881839</v>
      </c>
      <c r="AP94" s="99">
        <v>8.0999577139023913</v>
      </c>
      <c r="AQ94" s="99">
        <v>9661.6295611427722</v>
      </c>
      <c r="AR94" s="99">
        <v>4.2566104312854405</v>
      </c>
      <c r="AS94" s="99">
        <v>5077.2849224372731</v>
      </c>
      <c r="AT94" s="99">
        <v>4.6108441664460829</v>
      </c>
      <c r="AU94" s="99">
        <v>5499.8149217368873</v>
      </c>
      <c r="AV94" s="99">
        <v>9.178451834101951</v>
      </c>
      <c r="AW94" s="99">
        <v>10948.057347716807</v>
      </c>
      <c r="AX94" s="99">
        <v>5.6323756592874004</v>
      </c>
      <c r="AY94" s="99">
        <v>6718.2976863980111</v>
      </c>
      <c r="AZ94" s="99">
        <v>6.3097989922584166</v>
      </c>
      <c r="BA94" s="99">
        <v>7526.3282379658394</v>
      </c>
      <c r="BB94" s="99">
        <v>6.7936546460077523</v>
      </c>
      <c r="BC94" s="99">
        <v>8103.4712617580462</v>
      </c>
      <c r="BD94" s="99">
        <v>3.5121193162911419</v>
      </c>
      <c r="BE94" s="99">
        <v>4189.2559204720737</v>
      </c>
      <c r="BF94" s="99">
        <v>7.9397335424820978</v>
      </c>
      <c r="BG94" s="99">
        <v>9470.5141694726462</v>
      </c>
      <c r="BH94" s="99">
        <v>4.285429991437816</v>
      </c>
      <c r="BI94" s="99">
        <v>5111.6608937870269</v>
      </c>
      <c r="BJ94" s="99">
        <v>6</v>
      </c>
      <c r="BK94" s="99">
        <v>7156.7999999999993</v>
      </c>
      <c r="BL94" s="99">
        <v>5.1060869114885055</v>
      </c>
      <c r="BM94" s="99">
        <v>6090.5404680234888</v>
      </c>
      <c r="BN94" s="99">
        <v>5.8326632669616547</v>
      </c>
      <c r="BO94" s="99">
        <v>6957.2007448318618</v>
      </c>
      <c r="BP94" s="99">
        <v>5.3296243086447461</v>
      </c>
      <c r="BQ94" s="99">
        <v>6357.1758753514532</v>
      </c>
      <c r="BR94" s="99">
        <v>3.240145471450175</v>
      </c>
      <c r="BS94" s="99">
        <v>3864.8455183457686</v>
      </c>
      <c r="BT94" s="99">
        <v>7.1767367271565288</v>
      </c>
      <c r="BU94" s="99">
        <v>8560.4115681523072</v>
      </c>
      <c r="BV94" s="99">
        <v>6.1710137317127192</v>
      </c>
      <c r="BW94" s="99">
        <v>7360.7851791869307</v>
      </c>
      <c r="BX94" s="99">
        <v>5.4033168966018916</v>
      </c>
      <c r="BY94" s="99">
        <v>6445.0763942667363</v>
      </c>
      <c r="BZ94" s="99">
        <v>2.3976250597227633</v>
      </c>
      <c r="CA94" s="99">
        <v>2859.887171237312</v>
      </c>
      <c r="CB94" s="99">
        <v>7.3704585527354327</v>
      </c>
      <c r="CC94" s="99">
        <v>8791.4829617028245</v>
      </c>
      <c r="CD94" s="99">
        <v>5.899060112852144</v>
      </c>
      <c r="CE94" s="99">
        <v>7036.3989026100371</v>
      </c>
      <c r="CF94" s="99">
        <v>7</v>
      </c>
      <c r="CG94" s="99">
        <v>8349.6</v>
      </c>
      <c r="CH94" s="99">
        <v>7.4832270616933574</v>
      </c>
      <c r="CI94" s="99">
        <v>8925.9932391878356</v>
      </c>
      <c r="CJ94" s="99">
        <v>5.4374195018534284</v>
      </c>
      <c r="CK94" s="99">
        <v>6485.7539818107689</v>
      </c>
      <c r="CL94" s="99">
        <v>6.6731739002969777</v>
      </c>
      <c r="CM94" s="99">
        <v>7959.7618282742351</v>
      </c>
      <c r="CN94" s="99">
        <v>4.3647451942205837</v>
      </c>
      <c r="CO94" s="99">
        <v>5206.2680676663122</v>
      </c>
      <c r="CP94" s="99">
        <v>6</v>
      </c>
      <c r="CQ94" s="99">
        <v>7156.7999999999993</v>
      </c>
      <c r="CR94" s="99">
        <v>5.1957973230302468</v>
      </c>
      <c r="CS94" s="99">
        <v>6197.5470469104785</v>
      </c>
      <c r="CT94" s="99">
        <v>2.4681781602518837</v>
      </c>
      <c r="CU94" s="99">
        <v>2944.0429095484469</v>
      </c>
    </row>
    <row r="95" spans="2:99">
      <c r="B95" s="98" t="s">
        <v>132</v>
      </c>
      <c r="C95" s="98" t="s">
        <v>261</v>
      </c>
      <c r="D95" s="99">
        <v>1.4479140238774808</v>
      </c>
      <c r="E95" s="99">
        <v>476.0741310509157</v>
      </c>
      <c r="F95" s="99">
        <v>1.2956471884813707</v>
      </c>
      <c r="G95" s="99">
        <v>426.00879557267473</v>
      </c>
      <c r="H95" s="99">
        <v>8.0626077700978556</v>
      </c>
      <c r="I95" s="99">
        <v>2650.9854348081749</v>
      </c>
      <c r="J95" s="99">
        <v>7.0593269984139999</v>
      </c>
      <c r="K95" s="99">
        <v>2321.1067170785232</v>
      </c>
      <c r="L95" s="99">
        <v>8</v>
      </c>
      <c r="M95" s="99">
        <v>2630.4</v>
      </c>
      <c r="N95" s="99">
        <v>10</v>
      </c>
      <c r="O95" s="99">
        <v>3288</v>
      </c>
      <c r="P95" s="99">
        <v>12.920185201920697</v>
      </c>
      <c r="Q95" s="99">
        <v>4248.1568943915254</v>
      </c>
      <c r="R95" s="99">
        <v>6.2496381774118595</v>
      </c>
      <c r="S95" s="99">
        <v>2054.8810327330193</v>
      </c>
      <c r="T95" s="99">
        <v>9</v>
      </c>
      <c r="U95" s="99">
        <v>2959.2000000000003</v>
      </c>
      <c r="V95" s="99">
        <v>10.21593388429752</v>
      </c>
      <c r="W95" s="99">
        <v>3358.9990611570247</v>
      </c>
      <c r="X95" s="99">
        <v>10.46911523631274</v>
      </c>
      <c r="Y95" s="99">
        <v>3442.2450896996293</v>
      </c>
      <c r="Z95" s="99">
        <v>12</v>
      </c>
      <c r="AA95" s="99">
        <v>3945.6000000000004</v>
      </c>
      <c r="AB95" s="99">
        <v>10.846804005793528</v>
      </c>
      <c r="AC95" s="99">
        <v>3566.4291571049121</v>
      </c>
      <c r="AD95" s="99">
        <v>7.0471417391097333</v>
      </c>
      <c r="AE95" s="99">
        <v>2317.1002038192805</v>
      </c>
      <c r="AF95" s="99">
        <v>12.97069337132948</v>
      </c>
      <c r="AG95" s="99">
        <v>4264.7639804931332</v>
      </c>
      <c r="AH95" s="99">
        <v>6.9553075578235282</v>
      </c>
      <c r="AI95" s="99">
        <v>2286.9051250123762</v>
      </c>
      <c r="AJ95" s="99">
        <v>10.546809048742521</v>
      </c>
      <c r="AK95" s="99">
        <v>3467.7908152265409</v>
      </c>
      <c r="AL95" s="99">
        <v>9</v>
      </c>
      <c r="AM95" s="99">
        <v>2959.2000000000003</v>
      </c>
      <c r="AN95" s="99">
        <v>10.974842421963096</v>
      </c>
      <c r="AO95" s="99">
        <v>3608.5281883414664</v>
      </c>
      <c r="AP95" s="99">
        <v>8.0999577139023913</v>
      </c>
      <c r="AQ95" s="99">
        <v>2663.2660963311064</v>
      </c>
      <c r="AR95" s="99">
        <v>10.215865035085056</v>
      </c>
      <c r="AS95" s="99">
        <v>3358.9764235359667</v>
      </c>
      <c r="AT95" s="99">
        <v>7.172424258916128</v>
      </c>
      <c r="AU95" s="99">
        <v>2358.293096331623</v>
      </c>
      <c r="AV95" s="99">
        <v>11.931987384332535</v>
      </c>
      <c r="AW95" s="99">
        <v>3923.2374519685377</v>
      </c>
      <c r="AX95" s="99">
        <v>9.8566574037529513</v>
      </c>
      <c r="AY95" s="99">
        <v>3240.8689543539704</v>
      </c>
      <c r="AZ95" s="99">
        <v>9.8152428768464262</v>
      </c>
      <c r="BA95" s="99">
        <v>3227.2518579071052</v>
      </c>
      <c r="BB95" s="99">
        <v>9.8897521629136911</v>
      </c>
      <c r="BC95" s="99">
        <v>3251.7505111660216</v>
      </c>
      <c r="BD95" s="99">
        <v>9.1315102223569706</v>
      </c>
      <c r="BE95" s="99">
        <v>3002.4405611109719</v>
      </c>
      <c r="BF95" s="99">
        <v>12.350696621638818</v>
      </c>
      <c r="BG95" s="99">
        <v>4060.9090491948436</v>
      </c>
      <c r="BH95" s="99">
        <v>7.9586556983845149</v>
      </c>
      <c r="BI95" s="99">
        <v>2616.8059936288287</v>
      </c>
      <c r="BJ95" s="99">
        <v>10</v>
      </c>
      <c r="BK95" s="99">
        <v>3288</v>
      </c>
      <c r="BL95" s="99">
        <v>13.129937772399016</v>
      </c>
      <c r="BM95" s="99">
        <v>4317.1235395647964</v>
      </c>
      <c r="BN95" s="99">
        <v>5.767799997185536</v>
      </c>
      <c r="BO95" s="99">
        <v>1896.4526390746043</v>
      </c>
      <c r="BP95" s="99">
        <v>9.7006368188725958</v>
      </c>
      <c r="BQ95" s="99">
        <v>3189.5693860453098</v>
      </c>
      <c r="BR95" s="99">
        <v>4.165901320435939</v>
      </c>
      <c r="BS95" s="99">
        <v>1369.7483541593367</v>
      </c>
      <c r="BT95" s="99">
        <v>8.0738288180510942</v>
      </c>
      <c r="BU95" s="99">
        <v>2654.6749153751998</v>
      </c>
      <c r="BV95" s="99">
        <v>9.5993546937753411</v>
      </c>
      <c r="BW95" s="99">
        <v>3156.2678233133324</v>
      </c>
      <c r="BX95" s="99">
        <v>11.317579281826388</v>
      </c>
      <c r="BY95" s="99">
        <v>3721.2200678645167</v>
      </c>
      <c r="BZ95" s="99">
        <v>3.9960417662046051</v>
      </c>
      <c r="CA95" s="99">
        <v>1313.8985327280741</v>
      </c>
      <c r="CB95" s="99">
        <v>7.8993951888988274</v>
      </c>
      <c r="CC95" s="99">
        <v>2597.3211381099345</v>
      </c>
      <c r="CD95" s="99">
        <v>10.955397352439698</v>
      </c>
      <c r="CE95" s="99">
        <v>3602.1346494821728</v>
      </c>
      <c r="CF95" s="99">
        <v>10</v>
      </c>
      <c r="CG95" s="99">
        <v>3288</v>
      </c>
      <c r="CH95" s="99">
        <v>11.56498727716246</v>
      </c>
      <c r="CI95" s="99">
        <v>3802.567816731017</v>
      </c>
      <c r="CJ95" s="99">
        <v>7.2498926691379033</v>
      </c>
      <c r="CK95" s="99">
        <v>2383.7647096125429</v>
      </c>
      <c r="CL95" s="99">
        <v>10.376772361615565</v>
      </c>
      <c r="CM95" s="99">
        <v>3411.882752499198</v>
      </c>
      <c r="CN95" s="99">
        <v>9.3530254161869646</v>
      </c>
      <c r="CO95" s="99">
        <v>3075.2747568422742</v>
      </c>
      <c r="CP95" s="99">
        <v>11</v>
      </c>
      <c r="CQ95" s="99">
        <v>3616.8</v>
      </c>
      <c r="CR95" s="99">
        <v>11.432229218071846</v>
      </c>
      <c r="CS95" s="99">
        <v>3758.916966902023</v>
      </c>
      <c r="CT95" s="99">
        <v>6.5818084273383555</v>
      </c>
      <c r="CU95" s="99">
        <v>2164.0986109088512</v>
      </c>
    </row>
    <row r="96" spans="2:99">
      <c r="C96" s="98" t="s">
        <v>262</v>
      </c>
      <c r="D96" s="99">
        <v>1.6096482735802096</v>
      </c>
      <c r="E96" s="99">
        <v>1118.3836204835295</v>
      </c>
      <c r="F96" s="99">
        <v>1.2956471884813707</v>
      </c>
      <c r="G96" s="99">
        <v>900.21566655685638</v>
      </c>
      <c r="H96" s="99">
        <v>6.7272320969132791</v>
      </c>
      <c r="I96" s="99">
        <v>4674.0808609353462</v>
      </c>
      <c r="J96" s="99">
        <v>7.0593269984139999</v>
      </c>
      <c r="K96" s="99">
        <v>4904.8203984980464</v>
      </c>
      <c r="L96" s="99">
        <v>9</v>
      </c>
      <c r="M96" s="99">
        <v>6253.2</v>
      </c>
      <c r="N96" s="99">
        <v>10</v>
      </c>
      <c r="O96" s="99">
        <v>6948</v>
      </c>
      <c r="P96" s="99">
        <v>12.107863716079486</v>
      </c>
      <c r="Q96" s="99">
        <v>8412.5437099320261</v>
      </c>
      <c r="R96" s="99">
        <v>6.94404241934651</v>
      </c>
      <c r="S96" s="99">
        <v>4824.7206729619547</v>
      </c>
      <c r="T96" s="99">
        <v>8</v>
      </c>
      <c r="U96" s="99">
        <v>5558.4</v>
      </c>
      <c r="V96" s="99">
        <v>10.191941230486686</v>
      </c>
      <c r="W96" s="99">
        <v>7081.360766942149</v>
      </c>
      <c r="X96" s="99">
        <v>9.8532849282943413</v>
      </c>
      <c r="Y96" s="99">
        <v>6846.0623681789075</v>
      </c>
      <c r="Z96" s="99">
        <v>12</v>
      </c>
      <c r="AA96" s="99">
        <v>8337.5999999999985</v>
      </c>
      <c r="AB96" s="99">
        <v>10.846804005793528</v>
      </c>
      <c r="AC96" s="99">
        <v>7536.3594232253427</v>
      </c>
      <c r="AD96" s="99">
        <v>7.0471417391097333</v>
      </c>
      <c r="AE96" s="99">
        <v>4896.3540803334427</v>
      </c>
      <c r="AF96" s="99">
        <v>12.105980479907513</v>
      </c>
      <c r="AG96" s="99">
        <v>8411.2352374397396</v>
      </c>
      <c r="AH96" s="99">
        <v>7.8247210025514695</v>
      </c>
      <c r="AI96" s="99">
        <v>5436.6161525727603</v>
      </c>
      <c r="AJ96" s="99">
        <v>8.6292074035166078</v>
      </c>
      <c r="AK96" s="99">
        <v>5995.5733039633387</v>
      </c>
      <c r="AL96" s="99">
        <v>9</v>
      </c>
      <c r="AM96" s="99">
        <v>6253.2</v>
      </c>
      <c r="AN96" s="99">
        <v>10.974842421963096</v>
      </c>
      <c r="AO96" s="99">
        <v>7625.320514779959</v>
      </c>
      <c r="AP96" s="99">
        <v>8.0999577139023913</v>
      </c>
      <c r="AQ96" s="99">
        <v>5627.8506196193812</v>
      </c>
      <c r="AR96" s="99">
        <v>11.918509207599232</v>
      </c>
      <c r="AS96" s="99">
        <v>8280.9801974399452</v>
      </c>
      <c r="AT96" s="99">
        <v>6.1477922219281105</v>
      </c>
      <c r="AU96" s="99">
        <v>4271.4860357956513</v>
      </c>
      <c r="AV96" s="99">
        <v>12.84983256774273</v>
      </c>
      <c r="AW96" s="99">
        <v>8928.0636680676489</v>
      </c>
      <c r="AX96" s="99">
        <v>11.264751318574801</v>
      </c>
      <c r="AY96" s="99">
        <v>7826.7492161457712</v>
      </c>
      <c r="AZ96" s="99">
        <v>9.8152428768464262</v>
      </c>
      <c r="BA96" s="99">
        <v>6819.6307508328964</v>
      </c>
      <c r="BB96" s="99">
        <v>8.241460135761411</v>
      </c>
      <c r="BC96" s="99">
        <v>5726.166502327028</v>
      </c>
      <c r="BD96" s="99">
        <v>9.1315102223569706</v>
      </c>
      <c r="BE96" s="99">
        <v>6344.5733024936226</v>
      </c>
      <c r="BF96" s="99">
        <v>10.58631138997613</v>
      </c>
      <c r="BG96" s="99">
        <v>7355.3691537554141</v>
      </c>
      <c r="BH96" s="99">
        <v>7.9586556983845149</v>
      </c>
      <c r="BI96" s="99">
        <v>5529.6739792375602</v>
      </c>
      <c r="BJ96" s="99">
        <v>10</v>
      </c>
      <c r="BK96" s="99">
        <v>6948</v>
      </c>
      <c r="BL96" s="99">
        <v>12.580477807878548</v>
      </c>
      <c r="BM96" s="99">
        <v>8740.9159809140147</v>
      </c>
      <c r="BN96" s="99">
        <v>5.1269333308315881</v>
      </c>
      <c r="BO96" s="99">
        <v>3562.1932782617873</v>
      </c>
      <c r="BP96" s="99">
        <v>10.329351554910073</v>
      </c>
      <c r="BQ96" s="99">
        <v>7176.8334603515177</v>
      </c>
      <c r="BR96" s="99">
        <v>4.165901320435939</v>
      </c>
      <c r="BS96" s="99">
        <v>2894.4682374388904</v>
      </c>
      <c r="BT96" s="99">
        <v>8.0738288180510942</v>
      </c>
      <c r="BU96" s="99">
        <v>5609.6962627819003</v>
      </c>
      <c r="BV96" s="99">
        <v>10.970691078600391</v>
      </c>
      <c r="BW96" s="99">
        <v>7622.4361614115505</v>
      </c>
      <c r="BX96" s="99">
        <v>10.672373284262861</v>
      </c>
      <c r="BY96" s="99">
        <v>7415.1649579058349</v>
      </c>
      <c r="BZ96" s="99">
        <v>4.7952501194455266</v>
      </c>
      <c r="CA96" s="99">
        <v>3331.7397829907518</v>
      </c>
      <c r="CB96" s="99">
        <v>7.8993951888988274</v>
      </c>
      <c r="CC96" s="99">
        <v>5488.4997772469051</v>
      </c>
      <c r="CD96" s="99">
        <v>8.4272287326459203</v>
      </c>
      <c r="CE96" s="99">
        <v>5855.2385234423855</v>
      </c>
      <c r="CF96" s="99">
        <v>9</v>
      </c>
      <c r="CG96" s="99">
        <v>6253.2</v>
      </c>
      <c r="CH96" s="99">
        <v>10.88469390791761</v>
      </c>
      <c r="CI96" s="99">
        <v>7562.6853272211547</v>
      </c>
      <c r="CJ96" s="99">
        <v>8.4582081139942211</v>
      </c>
      <c r="CK96" s="99">
        <v>5876.7629976031849</v>
      </c>
      <c r="CL96" s="99">
        <v>9.5785591030297521</v>
      </c>
      <c r="CM96" s="99">
        <v>6655.1828647850716</v>
      </c>
      <c r="CN96" s="99">
        <v>9.97656044393276</v>
      </c>
      <c r="CO96" s="99">
        <v>6931.7141964444809</v>
      </c>
      <c r="CP96" s="99">
        <v>10</v>
      </c>
      <c r="CQ96" s="99">
        <v>6948</v>
      </c>
      <c r="CR96" s="99">
        <v>11.432229218071846</v>
      </c>
      <c r="CS96" s="99">
        <v>7943.1128607163182</v>
      </c>
      <c r="CT96" s="99">
        <v>6.170445400629708</v>
      </c>
      <c r="CU96" s="99">
        <v>4287.2254643575207</v>
      </c>
    </row>
    <row r="97" spans="2:99">
      <c r="C97" s="98" t="s">
        <v>263</v>
      </c>
      <c r="D97" s="99">
        <v>1.6019540501331322</v>
      </c>
      <c r="E97" s="99">
        <v>628.60676927224108</v>
      </c>
      <c r="F97" s="99">
        <v>1.2956471884813707</v>
      </c>
      <c r="G97" s="99">
        <v>508.41195676008982</v>
      </c>
      <c r="H97" s="99">
        <v>8.0626077700978556</v>
      </c>
      <c r="I97" s="99">
        <v>3163.7672889863984</v>
      </c>
      <c r="J97" s="99">
        <v>7.8436966649044439</v>
      </c>
      <c r="K97" s="99">
        <v>3077.8665713085038</v>
      </c>
      <c r="L97" s="99">
        <v>8</v>
      </c>
      <c r="M97" s="99">
        <v>3139.2</v>
      </c>
      <c r="N97" s="99">
        <v>10</v>
      </c>
      <c r="O97" s="99">
        <v>3924</v>
      </c>
      <c r="P97" s="99">
        <v>11.607633001077945</v>
      </c>
      <c r="Q97" s="99">
        <v>4554.8351896229851</v>
      </c>
      <c r="R97" s="99">
        <v>6.94404241934651</v>
      </c>
      <c r="S97" s="99">
        <v>2724.8422453515705</v>
      </c>
      <c r="T97" s="99">
        <v>9</v>
      </c>
      <c r="U97" s="99">
        <v>3531.6</v>
      </c>
      <c r="V97" s="99">
        <v>10.239926538108357</v>
      </c>
      <c r="W97" s="99">
        <v>4018.1471735537189</v>
      </c>
      <c r="X97" s="99">
        <v>9.8532849282943413</v>
      </c>
      <c r="Y97" s="99">
        <v>3866.4290058626993</v>
      </c>
      <c r="Z97" s="99">
        <v>12</v>
      </c>
      <c r="AA97" s="99">
        <v>4708.7999999999993</v>
      </c>
      <c r="AB97" s="99">
        <v>10.846804005793528</v>
      </c>
      <c r="AC97" s="99">
        <v>4256.28589187338</v>
      </c>
      <c r="AD97" s="99">
        <v>6.5437744720304671</v>
      </c>
      <c r="AE97" s="99">
        <v>2567.7771028247553</v>
      </c>
      <c r="AF97" s="99">
        <v>12.97069337132948</v>
      </c>
      <c r="AG97" s="99">
        <v>5089.7000789096874</v>
      </c>
      <c r="AH97" s="99">
        <v>8.69413444727941</v>
      </c>
      <c r="AI97" s="99">
        <v>3411.5783571124402</v>
      </c>
      <c r="AJ97" s="99">
        <v>9.5880082261295634</v>
      </c>
      <c r="AK97" s="99">
        <v>3762.3344279332405</v>
      </c>
      <c r="AL97" s="99">
        <v>10</v>
      </c>
      <c r="AM97" s="99">
        <v>3924</v>
      </c>
      <c r="AN97" s="99">
        <v>9.1457020183025808</v>
      </c>
      <c r="AO97" s="99">
        <v>3588.7734719819323</v>
      </c>
      <c r="AP97" s="99">
        <v>8.909953485292629</v>
      </c>
      <c r="AQ97" s="99">
        <v>3496.2657476288273</v>
      </c>
      <c r="AR97" s="99">
        <v>11.918509207599232</v>
      </c>
      <c r="AS97" s="99">
        <v>4676.8230130619386</v>
      </c>
      <c r="AT97" s="99">
        <v>6.6601082404221188</v>
      </c>
      <c r="AU97" s="99">
        <v>2613.4264735416391</v>
      </c>
      <c r="AV97" s="99">
        <v>11.931987384332535</v>
      </c>
      <c r="AW97" s="99">
        <v>4682.1118496120862</v>
      </c>
      <c r="AX97" s="99">
        <v>11.264751318574801</v>
      </c>
      <c r="AY97" s="99">
        <v>4420.2884174087512</v>
      </c>
      <c r="AZ97" s="99">
        <v>9.8152428768464262</v>
      </c>
      <c r="BA97" s="99">
        <v>3851.5013048745373</v>
      </c>
      <c r="BB97" s="99">
        <v>9.8897521629136911</v>
      </c>
      <c r="BC97" s="99">
        <v>3880.7387487273322</v>
      </c>
      <c r="BD97" s="99">
        <v>9.1315102223569706</v>
      </c>
      <c r="BE97" s="99">
        <v>3583.2046112528751</v>
      </c>
      <c r="BF97" s="99">
        <v>11.468504005807473</v>
      </c>
      <c r="BG97" s="99">
        <v>4500.2409718788522</v>
      </c>
      <c r="BH97" s="99">
        <v>7.9586556983845149</v>
      </c>
      <c r="BI97" s="99">
        <v>3122.9764960460834</v>
      </c>
      <c r="BJ97" s="99">
        <v>12</v>
      </c>
      <c r="BK97" s="99">
        <v>4708.7999999999993</v>
      </c>
      <c r="BL97" s="99">
        <v>11.671055797688012</v>
      </c>
      <c r="BM97" s="99">
        <v>4579.7222950127762</v>
      </c>
      <c r="BN97" s="99">
        <v>5.1269333308315881</v>
      </c>
      <c r="BO97" s="99">
        <v>2011.808639018315</v>
      </c>
      <c r="BP97" s="99">
        <v>10.958066290947551</v>
      </c>
      <c r="BQ97" s="99">
        <v>4299.945212567819</v>
      </c>
      <c r="BR97" s="99">
        <v>4.165901320435939</v>
      </c>
      <c r="BS97" s="99">
        <v>1634.6996781390624</v>
      </c>
      <c r="BT97" s="99">
        <v>8.9709209089456614</v>
      </c>
      <c r="BU97" s="99">
        <v>3520.1893646702774</v>
      </c>
      <c r="BV97" s="99">
        <v>10.285022886187866</v>
      </c>
      <c r="BW97" s="99">
        <v>4035.8429805401183</v>
      </c>
      <c r="BX97" s="99">
        <v>10.000315184911145</v>
      </c>
      <c r="BY97" s="99">
        <v>3924.1236785591332</v>
      </c>
      <c r="BZ97" s="99">
        <v>4.5288473350318856</v>
      </c>
      <c r="CA97" s="99">
        <v>1777.1196942665117</v>
      </c>
      <c r="CB97" s="99">
        <v>8.6893347077887082</v>
      </c>
      <c r="CC97" s="99">
        <v>3409.6949393362888</v>
      </c>
      <c r="CD97" s="99">
        <v>10.112674479175105</v>
      </c>
      <c r="CE97" s="99">
        <v>3968.213465628311</v>
      </c>
      <c r="CF97" s="99">
        <v>10</v>
      </c>
      <c r="CG97" s="99">
        <v>3924</v>
      </c>
      <c r="CH97" s="99">
        <v>10.88469390791761</v>
      </c>
      <c r="CI97" s="99">
        <v>4271.1538894668702</v>
      </c>
      <c r="CJ97" s="99">
        <v>7.8540503915660622</v>
      </c>
      <c r="CK97" s="99">
        <v>3081.9293736505228</v>
      </c>
      <c r="CL97" s="99">
        <v>8.7803458444439393</v>
      </c>
      <c r="CM97" s="99">
        <v>3445.4077093598016</v>
      </c>
      <c r="CN97" s="99">
        <v>9.97656044393276</v>
      </c>
      <c r="CO97" s="99">
        <v>3914.8023181992148</v>
      </c>
      <c r="CP97" s="99">
        <v>10</v>
      </c>
      <c r="CQ97" s="99">
        <v>3924</v>
      </c>
      <c r="CR97" s="99">
        <v>11.432229218071846</v>
      </c>
      <c r="CS97" s="99">
        <v>4486.0067451713921</v>
      </c>
      <c r="CT97" s="99">
        <v>6.170445400629708</v>
      </c>
      <c r="CU97" s="99">
        <v>2421.2827752070971</v>
      </c>
    </row>
    <row r="98" spans="2:99">
      <c r="C98" s="98" t="s">
        <v>264</v>
      </c>
      <c r="D98" s="99">
        <v>1.6019540501331322</v>
      </c>
      <c r="E98" s="99">
        <v>841.98704874997429</v>
      </c>
      <c r="F98" s="99">
        <v>1.2956471884813707</v>
      </c>
      <c r="G98" s="99">
        <v>680.99216226580847</v>
      </c>
      <c r="H98" s="99">
        <v>8.0626077700978556</v>
      </c>
      <c r="I98" s="99">
        <v>4237.7066439634327</v>
      </c>
      <c r="J98" s="99">
        <v>7.8436966649044439</v>
      </c>
      <c r="K98" s="99">
        <v>4122.6469670737761</v>
      </c>
      <c r="L98" s="99">
        <v>9</v>
      </c>
      <c r="M98" s="99">
        <v>4730.4000000000005</v>
      </c>
      <c r="N98" s="99">
        <v>11</v>
      </c>
      <c r="O98" s="99">
        <v>5781.6</v>
      </c>
      <c r="P98" s="99">
        <v>13.617068830453862</v>
      </c>
      <c r="Q98" s="99">
        <v>7157.1313772865497</v>
      </c>
      <c r="R98" s="99">
        <v>6.94404241934651</v>
      </c>
      <c r="S98" s="99">
        <v>3649.7886956085258</v>
      </c>
      <c r="T98" s="99">
        <v>9</v>
      </c>
      <c r="U98" s="99">
        <v>4730.4000000000005</v>
      </c>
      <c r="V98" s="99">
        <v>11.21593388429752</v>
      </c>
      <c r="W98" s="99">
        <v>5895.0948495867769</v>
      </c>
      <c r="X98" s="99">
        <v>10.46911523631274</v>
      </c>
      <c r="Y98" s="99">
        <v>5502.566968205977</v>
      </c>
      <c r="Z98" s="99">
        <v>12</v>
      </c>
      <c r="AA98" s="99">
        <v>6307.2000000000007</v>
      </c>
      <c r="AB98" s="99">
        <v>12.654604673425784</v>
      </c>
      <c r="AC98" s="99">
        <v>6651.2602163525917</v>
      </c>
      <c r="AD98" s="99">
        <v>7.0471417391097333</v>
      </c>
      <c r="AE98" s="99">
        <v>3703.9776980760762</v>
      </c>
      <c r="AF98" s="99">
        <v>12.105980479907513</v>
      </c>
      <c r="AG98" s="99">
        <v>6362.9033402393898</v>
      </c>
      <c r="AH98" s="99">
        <v>8.69413444727941</v>
      </c>
      <c r="AI98" s="99">
        <v>4569.6370654900584</v>
      </c>
      <c r="AJ98" s="99">
        <v>9.5880082261295634</v>
      </c>
      <c r="AK98" s="99">
        <v>5039.4571236536985</v>
      </c>
      <c r="AL98" s="99">
        <v>9</v>
      </c>
      <c r="AM98" s="99">
        <v>4730.4000000000005</v>
      </c>
      <c r="AN98" s="99">
        <v>10.974842421963096</v>
      </c>
      <c r="AO98" s="99">
        <v>5768.377176983804</v>
      </c>
      <c r="AP98" s="99">
        <v>9.7199492566828702</v>
      </c>
      <c r="AQ98" s="99">
        <v>5108.8053293125167</v>
      </c>
      <c r="AR98" s="99">
        <v>11.067187121342146</v>
      </c>
      <c r="AS98" s="99">
        <v>5816.9135509774324</v>
      </c>
      <c r="AT98" s="99">
        <v>5.6354762034341013</v>
      </c>
      <c r="AU98" s="99">
        <v>2962.0062925249636</v>
      </c>
      <c r="AV98" s="99">
        <v>12.84983256774273</v>
      </c>
      <c r="AW98" s="99">
        <v>6753.8719976055791</v>
      </c>
      <c r="AX98" s="99">
        <v>10.560704361163879</v>
      </c>
      <c r="AY98" s="99">
        <v>5550.7062122277348</v>
      </c>
      <c r="AZ98" s="99">
        <v>9.8152428768464262</v>
      </c>
      <c r="BA98" s="99">
        <v>5158.891656070482</v>
      </c>
      <c r="BB98" s="99">
        <v>9.065606149337551</v>
      </c>
      <c r="BC98" s="99">
        <v>4764.8825920918171</v>
      </c>
      <c r="BD98" s="99">
        <v>9.1315102223569706</v>
      </c>
      <c r="BE98" s="99">
        <v>4799.521772870824</v>
      </c>
      <c r="BF98" s="99">
        <v>12.350696621638818</v>
      </c>
      <c r="BG98" s="99">
        <v>6491.5261443333629</v>
      </c>
      <c r="BH98" s="99">
        <v>8.570859982875632</v>
      </c>
      <c r="BI98" s="99">
        <v>4504.8440069994322</v>
      </c>
      <c r="BJ98" s="99">
        <v>12</v>
      </c>
      <c r="BK98" s="99">
        <v>6307.2000000000007</v>
      </c>
      <c r="BL98" s="99">
        <v>12.400496785043513</v>
      </c>
      <c r="BM98" s="99">
        <v>6517.7011102188708</v>
      </c>
      <c r="BN98" s="99">
        <v>5.1269333308315881</v>
      </c>
      <c r="BO98" s="99">
        <v>2694.716158685083</v>
      </c>
      <c r="BP98" s="99">
        <v>10.988056932982042</v>
      </c>
      <c r="BQ98" s="99">
        <v>5775.3227239753614</v>
      </c>
      <c r="BR98" s="99">
        <v>4.165901320435939</v>
      </c>
      <c r="BS98" s="99">
        <v>2189.5977340211298</v>
      </c>
      <c r="BT98" s="99">
        <v>7.1767367271565288</v>
      </c>
      <c r="BU98" s="99">
        <v>3772.0928237934718</v>
      </c>
      <c r="BV98" s="99">
        <v>10.285022886187866</v>
      </c>
      <c r="BW98" s="99">
        <v>5405.8080289803429</v>
      </c>
      <c r="BX98" s="99">
        <v>9.381961289135802</v>
      </c>
      <c r="BY98" s="99">
        <v>4931.1588535697774</v>
      </c>
      <c r="BZ98" s="99">
        <v>4.7952501194455266</v>
      </c>
      <c r="CA98" s="99">
        <v>2520.3834627805691</v>
      </c>
      <c r="CB98" s="99">
        <v>9.4792742266785925</v>
      </c>
      <c r="CC98" s="99">
        <v>4982.3065335422689</v>
      </c>
      <c r="CD98" s="99">
        <v>10.112674479175105</v>
      </c>
      <c r="CE98" s="99">
        <v>5315.221706254435</v>
      </c>
      <c r="CF98" s="99">
        <v>10</v>
      </c>
      <c r="CG98" s="99">
        <v>5256</v>
      </c>
      <c r="CH98" s="99">
        <v>10.88469390791761</v>
      </c>
      <c r="CI98" s="99">
        <v>5720.9951180014959</v>
      </c>
      <c r="CJ98" s="99">
        <v>7.8540503915660622</v>
      </c>
      <c r="CK98" s="99">
        <v>4128.0888858071221</v>
      </c>
      <c r="CL98" s="99">
        <v>8.7803458444439393</v>
      </c>
      <c r="CM98" s="99">
        <v>4614.9497758397347</v>
      </c>
      <c r="CN98" s="99">
        <v>9.3530254161869646</v>
      </c>
      <c r="CO98" s="99">
        <v>4915.950158747869</v>
      </c>
      <c r="CP98" s="99">
        <v>10.055375012568119</v>
      </c>
      <c r="CQ98" s="99">
        <v>5285.1051066058035</v>
      </c>
      <c r="CR98" s="99">
        <v>11.432229218071846</v>
      </c>
      <c r="CS98" s="99">
        <v>6008.7796770185623</v>
      </c>
      <c r="CT98" s="99">
        <v>6.5818084273383555</v>
      </c>
      <c r="CU98" s="99">
        <v>3459.3985094090399</v>
      </c>
    </row>
    <row r="99" spans="2:99">
      <c r="C99" s="98" t="s">
        <v>265</v>
      </c>
      <c r="D99" s="99">
        <v>1.1321397479191009</v>
      </c>
      <c r="E99" s="99">
        <v>4764.496915142744</v>
      </c>
      <c r="F99" s="99">
        <v>0.94228886435008785</v>
      </c>
      <c r="G99" s="99">
        <v>3965.5284567309095</v>
      </c>
      <c r="H99" s="99">
        <v>5.417033289223899</v>
      </c>
      <c r="I99" s="99">
        <v>22797.042894369853</v>
      </c>
      <c r="J99" s="99">
        <v>5.4905876654331109</v>
      </c>
      <c r="K99" s="99">
        <v>23106.589131208701</v>
      </c>
      <c r="L99" s="99">
        <v>7</v>
      </c>
      <c r="M99" s="99">
        <v>29458.799999999996</v>
      </c>
      <c r="N99" s="99">
        <v>8</v>
      </c>
      <c r="O99" s="99">
        <v>33667.199999999997</v>
      </c>
      <c r="P99" s="99">
        <v>9.2861064008623551</v>
      </c>
      <c r="Q99" s="99">
        <v>39079.650177389129</v>
      </c>
      <c r="R99" s="99">
        <v>6.2496381774118595</v>
      </c>
      <c r="S99" s="99">
        <v>26300.977305820066</v>
      </c>
      <c r="T99" s="99">
        <v>6</v>
      </c>
      <c r="U99" s="99">
        <v>25250.399999999998</v>
      </c>
      <c r="V99" s="99">
        <v>8</v>
      </c>
      <c r="W99" s="99">
        <v>33667.199999999997</v>
      </c>
      <c r="X99" s="99">
        <v>7.3899636962207573</v>
      </c>
      <c r="Y99" s="99">
        <v>31099.923219175431</v>
      </c>
      <c r="Z99" s="99">
        <v>10</v>
      </c>
      <c r="AA99" s="99">
        <v>42084</v>
      </c>
      <c r="AB99" s="99">
        <v>8.1351030043451455</v>
      </c>
      <c r="AC99" s="99">
        <v>34235.76748348611</v>
      </c>
      <c r="AD99" s="99">
        <v>5.033672670792666</v>
      </c>
      <c r="AE99" s="99">
        <v>21183.708067763855</v>
      </c>
      <c r="AF99" s="99">
        <v>10.376554697063584</v>
      </c>
      <c r="AG99" s="99">
        <v>43668.692787122382</v>
      </c>
      <c r="AH99" s="99">
        <v>6.0858941130955868</v>
      </c>
      <c r="AI99" s="99">
        <v>25611.876785551467</v>
      </c>
      <c r="AJ99" s="99">
        <v>7.6704065809036521</v>
      </c>
      <c r="AK99" s="99">
        <v>32280.139055074927</v>
      </c>
      <c r="AL99" s="99">
        <v>8</v>
      </c>
      <c r="AM99" s="99">
        <v>33667.199999999997</v>
      </c>
      <c r="AN99" s="99">
        <v>8.2311318164723204</v>
      </c>
      <c r="AO99" s="99">
        <v>34639.895136442108</v>
      </c>
      <c r="AP99" s="99">
        <v>7.2899619425121527</v>
      </c>
      <c r="AQ99" s="99">
        <v>30679.075838868142</v>
      </c>
      <c r="AR99" s="99">
        <v>8.513220862570881</v>
      </c>
      <c r="AS99" s="99">
        <v>35827.038678043289</v>
      </c>
      <c r="AT99" s="99">
        <v>5.1231601849400921</v>
      </c>
      <c r="AU99" s="99">
        <v>21560.30732230188</v>
      </c>
      <c r="AV99" s="99">
        <v>11.014142200922342</v>
      </c>
      <c r="AW99" s="99">
        <v>46351.916038361574</v>
      </c>
      <c r="AX99" s="99">
        <v>8.4485634889311019</v>
      </c>
      <c r="AY99" s="99">
        <v>35554.934586817646</v>
      </c>
      <c r="AZ99" s="99">
        <v>7.0108877691760201</v>
      </c>
      <c r="BA99" s="99">
        <v>29504.620087800362</v>
      </c>
      <c r="BB99" s="99">
        <v>8.241460135761411</v>
      </c>
      <c r="BC99" s="99">
        <v>34683.360835338317</v>
      </c>
      <c r="BD99" s="99">
        <v>7.0242386325822839</v>
      </c>
      <c r="BE99" s="99">
        <v>29560.80586135928</v>
      </c>
      <c r="BF99" s="99">
        <v>9.704118774144785</v>
      </c>
      <c r="BG99" s="99">
        <v>40838.813449110909</v>
      </c>
      <c r="BH99" s="99">
        <v>6.1220428449111655</v>
      </c>
      <c r="BI99" s="99">
        <v>25764.005108524147</v>
      </c>
      <c r="BJ99" s="99">
        <v>9</v>
      </c>
      <c r="BK99" s="99">
        <v>37875.599999999999</v>
      </c>
      <c r="BL99" s="99">
        <v>8.7532918482660094</v>
      </c>
      <c r="BM99" s="99">
        <v>36837.353414242672</v>
      </c>
      <c r="BN99" s="99">
        <v>3.8451999981236908</v>
      </c>
      <c r="BO99" s="99">
        <v>16182.13967210374</v>
      </c>
      <c r="BP99" s="99">
        <v>8.4132167047631476</v>
      </c>
      <c r="BQ99" s="99">
        <v>35406.181180325228</v>
      </c>
      <c r="BR99" s="99">
        <v>3.703023395943057</v>
      </c>
      <c r="BS99" s="99">
        <v>15583.803659486759</v>
      </c>
      <c r="BT99" s="99">
        <v>7.1767367271565288</v>
      </c>
      <c r="BU99" s="99">
        <v>30202.578842565534</v>
      </c>
      <c r="BV99" s="99">
        <v>6.8566819241252439</v>
      </c>
      <c r="BW99" s="99">
        <v>28855.660209488673</v>
      </c>
      <c r="BX99" s="99">
        <v>8.656198986207718</v>
      </c>
      <c r="BY99" s="99">
        <v>36428.747813556554</v>
      </c>
      <c r="BZ99" s="99">
        <v>3.729638981790965</v>
      </c>
      <c r="CA99" s="99">
        <v>15695.812690969096</v>
      </c>
      <c r="CB99" s="99">
        <v>7.109455670008944</v>
      </c>
      <c r="CC99" s="99">
        <v>29919.433241665636</v>
      </c>
      <c r="CD99" s="99">
        <v>7.5845058593813288</v>
      </c>
      <c r="CE99" s="99">
        <v>31918.634458620381</v>
      </c>
      <c r="CF99" s="99">
        <v>7</v>
      </c>
      <c r="CG99" s="99">
        <v>29458.799999999996</v>
      </c>
      <c r="CH99" s="99">
        <v>8.8438138001830584</v>
      </c>
      <c r="CI99" s="99">
        <v>37218.305996690382</v>
      </c>
      <c r="CJ99" s="99">
        <v>6.0415772242815864</v>
      </c>
      <c r="CK99" s="99">
        <v>25425.373590666626</v>
      </c>
      <c r="CL99" s="99">
        <v>7.9821325858581265</v>
      </c>
      <c r="CM99" s="99">
        <v>33592.006774325338</v>
      </c>
      <c r="CN99" s="99">
        <v>8.1059553606953685</v>
      </c>
      <c r="CO99" s="99">
        <v>34113.102539950385</v>
      </c>
      <c r="CP99" s="99">
        <v>9</v>
      </c>
      <c r="CQ99" s="99">
        <v>37875.599999999999</v>
      </c>
      <c r="CR99" s="99">
        <v>8.5914338726760029</v>
      </c>
      <c r="CS99" s="99">
        <v>36156.190309769685</v>
      </c>
      <c r="CT99" s="99">
        <v>5.347719347212414</v>
      </c>
      <c r="CU99" s="99">
        <v>22505.342100808721</v>
      </c>
    </row>
    <row r="100" spans="2:99">
      <c r="C100" s="98" t="s">
        <v>266</v>
      </c>
      <c r="D100" s="99">
        <v>1.6096482735802096</v>
      </c>
      <c r="E100" s="99">
        <v>521.52604063998785</v>
      </c>
      <c r="F100" s="99">
        <v>1.4134332965251317</v>
      </c>
      <c r="G100" s="99">
        <v>457.95238807414268</v>
      </c>
      <c r="H100" s="99">
        <v>7.38233150075797</v>
      </c>
      <c r="I100" s="99">
        <v>2391.8754062455823</v>
      </c>
      <c r="J100" s="99">
        <v>7.0593269984139999</v>
      </c>
      <c r="K100" s="99">
        <v>2287.2219474861358</v>
      </c>
      <c r="L100" s="99">
        <v>9</v>
      </c>
      <c r="M100" s="99">
        <v>2916</v>
      </c>
      <c r="N100" s="99">
        <v>11</v>
      </c>
      <c r="O100" s="99">
        <v>3564</v>
      </c>
      <c r="P100" s="99">
        <v>13.69402740199256</v>
      </c>
      <c r="Q100" s="99">
        <v>4436.8648782455894</v>
      </c>
      <c r="R100" s="99">
        <v>6.94404241934651</v>
      </c>
      <c r="S100" s="99">
        <v>2249.8697438682693</v>
      </c>
      <c r="T100" s="99">
        <v>9</v>
      </c>
      <c r="U100" s="99">
        <v>2916</v>
      </c>
      <c r="V100" s="99">
        <v>10.21593388429752</v>
      </c>
      <c r="W100" s="99">
        <v>3309.9625785123967</v>
      </c>
      <c r="X100" s="99">
        <v>11.084945544331136</v>
      </c>
      <c r="Y100" s="99">
        <v>3591.5223563632881</v>
      </c>
      <c r="Z100" s="99">
        <v>13</v>
      </c>
      <c r="AA100" s="99">
        <v>4212</v>
      </c>
      <c r="AB100" s="99">
        <v>11.750704339609655</v>
      </c>
      <c r="AC100" s="99">
        <v>3807.2282060335283</v>
      </c>
      <c r="AD100" s="99">
        <v>6.5437744720304671</v>
      </c>
      <c r="AE100" s="99">
        <v>2120.1829289378716</v>
      </c>
      <c r="AF100" s="99">
        <v>14.700119154173411</v>
      </c>
      <c r="AG100" s="99">
        <v>4762.8386059521854</v>
      </c>
      <c r="AH100" s="99">
        <v>7.8247210025514695</v>
      </c>
      <c r="AI100" s="99">
        <v>2535.2096048266762</v>
      </c>
      <c r="AJ100" s="99">
        <v>10.546809048742521</v>
      </c>
      <c r="AK100" s="99">
        <v>3417.1661317925768</v>
      </c>
      <c r="AL100" s="99">
        <v>10</v>
      </c>
      <c r="AM100" s="99">
        <v>3240</v>
      </c>
      <c r="AN100" s="99">
        <v>9.1457020183025808</v>
      </c>
      <c r="AO100" s="99">
        <v>2963.2074539300361</v>
      </c>
      <c r="AP100" s="99">
        <v>9.7199492566828702</v>
      </c>
      <c r="AQ100" s="99">
        <v>3149.2635591652502</v>
      </c>
      <c r="AR100" s="99">
        <v>10.215865035085056</v>
      </c>
      <c r="AS100" s="99">
        <v>3309.9402713675581</v>
      </c>
      <c r="AT100" s="99">
        <v>7.172424258916128</v>
      </c>
      <c r="AU100" s="99">
        <v>2323.8654598888256</v>
      </c>
      <c r="AV100" s="99">
        <v>11.931987384332535</v>
      </c>
      <c r="AW100" s="99">
        <v>3865.9639125237413</v>
      </c>
      <c r="AX100" s="99">
        <v>11.264751318574801</v>
      </c>
      <c r="AY100" s="99">
        <v>3649.7794272182355</v>
      </c>
      <c r="AZ100" s="99">
        <v>9.1141540999288253</v>
      </c>
      <c r="BA100" s="99">
        <v>2952.9859283769392</v>
      </c>
      <c r="BB100" s="99">
        <v>9.8897521629136911</v>
      </c>
      <c r="BC100" s="99">
        <v>3204.2797007840359</v>
      </c>
      <c r="BD100" s="99">
        <v>9.1315102223569706</v>
      </c>
      <c r="BE100" s="99">
        <v>2958.6093120436585</v>
      </c>
      <c r="BF100" s="99">
        <v>13.232889237470161</v>
      </c>
      <c r="BG100" s="99">
        <v>4287.4561129403319</v>
      </c>
      <c r="BH100" s="99">
        <v>8.570859982875632</v>
      </c>
      <c r="BI100" s="99">
        <v>2776.9586344517047</v>
      </c>
      <c r="BJ100" s="99">
        <v>10</v>
      </c>
      <c r="BK100" s="99">
        <v>3240</v>
      </c>
      <c r="BL100" s="99">
        <v>11.671055797688012</v>
      </c>
      <c r="BM100" s="99">
        <v>3781.4220784509162</v>
      </c>
      <c r="BN100" s="99">
        <v>5.1269333308315881</v>
      </c>
      <c r="BO100" s="99">
        <v>1661.1263991894346</v>
      </c>
      <c r="BP100" s="99">
        <v>10.958066290947551</v>
      </c>
      <c r="BQ100" s="99">
        <v>3550.4134782670067</v>
      </c>
      <c r="BR100" s="99">
        <v>4.165901320435939</v>
      </c>
      <c r="BS100" s="99">
        <v>1349.7520278212442</v>
      </c>
      <c r="BT100" s="99">
        <v>8.9709209089456614</v>
      </c>
      <c r="BU100" s="99">
        <v>2906.5783744983942</v>
      </c>
      <c r="BV100" s="99">
        <v>10.285022886187866</v>
      </c>
      <c r="BW100" s="99">
        <v>3332.3474151248683</v>
      </c>
      <c r="BX100" s="99">
        <v>10.645521182474674</v>
      </c>
      <c r="BY100" s="99">
        <v>3449.1488631217944</v>
      </c>
      <c r="BZ100" s="99">
        <v>4.2624445506182456</v>
      </c>
      <c r="CA100" s="99">
        <v>1381.0320344003117</v>
      </c>
      <c r="CB100" s="99">
        <v>8.6893347077887082</v>
      </c>
      <c r="CC100" s="99">
        <v>2815.3444453235415</v>
      </c>
      <c r="CD100" s="99">
        <v>10.112674479175105</v>
      </c>
      <c r="CE100" s="99">
        <v>3276.506531252734</v>
      </c>
      <c r="CF100" s="99">
        <v>9</v>
      </c>
      <c r="CG100" s="99">
        <v>2916</v>
      </c>
      <c r="CH100" s="99">
        <v>10.204400538672759</v>
      </c>
      <c r="CI100" s="99">
        <v>3306.2257745299739</v>
      </c>
      <c r="CJ100" s="99">
        <v>7.8540503915660622</v>
      </c>
      <c r="CK100" s="99">
        <v>2544.712326867404</v>
      </c>
      <c r="CL100" s="99">
        <v>9.5785591030297521</v>
      </c>
      <c r="CM100" s="99">
        <v>3103.4531493816398</v>
      </c>
      <c r="CN100" s="99">
        <v>10.600095471678559</v>
      </c>
      <c r="CO100" s="99">
        <v>3434.4309328238533</v>
      </c>
      <c r="CP100" s="99">
        <v>10</v>
      </c>
      <c r="CQ100" s="99">
        <v>3240</v>
      </c>
      <c r="CR100" s="99">
        <v>10.739292340845003</v>
      </c>
      <c r="CS100" s="99">
        <v>3479.5307184337807</v>
      </c>
      <c r="CT100" s="99">
        <v>5.7590823739210615</v>
      </c>
      <c r="CU100" s="99">
        <v>1865.942689150424</v>
      </c>
    </row>
    <row r="101" spans="2:99">
      <c r="C101" s="98" t="s">
        <v>267</v>
      </c>
      <c r="D101" s="99">
        <v>1.4479140238774808</v>
      </c>
      <c r="E101" s="99">
        <v>1047.7105876777453</v>
      </c>
      <c r="F101" s="99">
        <v>1.4134332965251317</v>
      </c>
      <c r="G101" s="99">
        <v>1022.7603333655853</v>
      </c>
      <c r="H101" s="99">
        <v>8.03743090460266</v>
      </c>
      <c r="I101" s="99">
        <v>5815.8850025704851</v>
      </c>
      <c r="J101" s="99">
        <v>7.8436966649044439</v>
      </c>
      <c r="K101" s="99">
        <v>5675.698906724856</v>
      </c>
      <c r="L101" s="99">
        <v>8</v>
      </c>
      <c r="M101" s="99">
        <v>5788.8</v>
      </c>
      <c r="N101" s="99">
        <v>9</v>
      </c>
      <c r="O101" s="99">
        <v>6512.4000000000005</v>
      </c>
      <c r="P101" s="99">
        <v>11.334021516007622</v>
      </c>
      <c r="Q101" s="99">
        <v>8201.2979689831154</v>
      </c>
      <c r="R101" s="99">
        <v>6.2496381774118595</v>
      </c>
      <c r="S101" s="99">
        <v>4522.2381851752216</v>
      </c>
      <c r="T101" s="99">
        <v>9</v>
      </c>
      <c r="U101" s="99">
        <v>6512.4000000000005</v>
      </c>
      <c r="V101" s="99">
        <v>11.21593388429752</v>
      </c>
      <c r="W101" s="99">
        <v>8115.8497586776857</v>
      </c>
      <c r="X101" s="99">
        <v>10.46911523631274</v>
      </c>
      <c r="Y101" s="99">
        <v>7575.4517849958993</v>
      </c>
      <c r="Z101" s="99">
        <v>12</v>
      </c>
      <c r="AA101" s="99">
        <v>8683.2000000000007</v>
      </c>
      <c r="AB101" s="99">
        <v>10.846804005793528</v>
      </c>
      <c r="AC101" s="99">
        <v>7848.7473785921975</v>
      </c>
      <c r="AD101" s="99">
        <v>6.5437744720304671</v>
      </c>
      <c r="AE101" s="99">
        <v>4735.0752079612457</v>
      </c>
      <c r="AF101" s="99">
        <v>12.105980479907513</v>
      </c>
      <c r="AG101" s="99">
        <v>8759.8874752610773</v>
      </c>
      <c r="AH101" s="99">
        <v>8.69413444727941</v>
      </c>
      <c r="AI101" s="99">
        <v>6291.0756860513811</v>
      </c>
      <c r="AJ101" s="99">
        <v>8.6292074035166078</v>
      </c>
      <c r="AK101" s="99">
        <v>6244.094477184618</v>
      </c>
      <c r="AL101" s="99">
        <v>8</v>
      </c>
      <c r="AM101" s="99">
        <v>5788.8</v>
      </c>
      <c r="AN101" s="99">
        <v>10.060272220132838</v>
      </c>
      <c r="AO101" s="99">
        <v>7279.6129784881214</v>
      </c>
      <c r="AP101" s="99">
        <v>8.0999577139023913</v>
      </c>
      <c r="AQ101" s="99">
        <v>5861.1294017797709</v>
      </c>
      <c r="AR101" s="99">
        <v>10.215865035085056</v>
      </c>
      <c r="AS101" s="99">
        <v>7392.1999393875467</v>
      </c>
      <c r="AT101" s="99">
        <v>6.6601082404221188</v>
      </c>
      <c r="AU101" s="99">
        <v>4819.254322769445</v>
      </c>
      <c r="AV101" s="99">
        <v>12.84983256774273</v>
      </c>
      <c r="AW101" s="99">
        <v>9298.1388460186408</v>
      </c>
      <c r="AX101" s="99">
        <v>10.560704361163879</v>
      </c>
      <c r="AY101" s="99">
        <v>7641.7256757381829</v>
      </c>
      <c r="AZ101" s="99">
        <v>8.4130653230112227</v>
      </c>
      <c r="BA101" s="99">
        <v>6087.6940677309212</v>
      </c>
      <c r="BB101" s="99">
        <v>9.065606149337551</v>
      </c>
      <c r="BC101" s="99">
        <v>6559.8726096606524</v>
      </c>
      <c r="BD101" s="99">
        <v>9.1315102223569706</v>
      </c>
      <c r="BE101" s="99">
        <v>6607.5607968975046</v>
      </c>
      <c r="BF101" s="99">
        <v>10.58631138997613</v>
      </c>
      <c r="BG101" s="99">
        <v>7660.2549217867281</v>
      </c>
      <c r="BH101" s="99">
        <v>7.9586556983845149</v>
      </c>
      <c r="BI101" s="99">
        <v>5758.8832633510356</v>
      </c>
      <c r="BJ101" s="99">
        <v>10</v>
      </c>
      <c r="BK101" s="99">
        <v>7236</v>
      </c>
      <c r="BL101" s="99">
        <v>11.671055797688012</v>
      </c>
      <c r="BM101" s="99">
        <v>8445.1759752070466</v>
      </c>
      <c r="BN101" s="99">
        <v>5.1269333308315881</v>
      </c>
      <c r="BO101" s="99">
        <v>3709.8489581897375</v>
      </c>
      <c r="BP101" s="99">
        <v>9.7006368188725958</v>
      </c>
      <c r="BQ101" s="99">
        <v>7019.3808021362101</v>
      </c>
      <c r="BR101" s="99">
        <v>4.628779244928821</v>
      </c>
      <c r="BS101" s="99">
        <v>3349.384661630495</v>
      </c>
      <c r="BT101" s="99">
        <v>8.0738288180510942</v>
      </c>
      <c r="BU101" s="99">
        <v>5842.2225327417718</v>
      </c>
      <c r="BV101" s="99">
        <v>9.5993546937753411</v>
      </c>
      <c r="BW101" s="99">
        <v>6946.0930564158371</v>
      </c>
      <c r="BX101" s="99">
        <v>9.381961289135802</v>
      </c>
      <c r="BY101" s="99">
        <v>6788.7871888186664</v>
      </c>
      <c r="BZ101" s="99">
        <v>4.2624445506182456</v>
      </c>
      <c r="CA101" s="99">
        <v>3084.3048768273625</v>
      </c>
      <c r="CB101" s="99">
        <v>8.6893347077887082</v>
      </c>
      <c r="CC101" s="99">
        <v>6287.6025945559095</v>
      </c>
      <c r="CD101" s="99">
        <v>9.2699516059105118</v>
      </c>
      <c r="CE101" s="99">
        <v>6707.7369820368467</v>
      </c>
      <c r="CF101" s="99">
        <v>9</v>
      </c>
      <c r="CG101" s="99">
        <v>6512.4000000000005</v>
      </c>
      <c r="CH101" s="99">
        <v>11.56498727716246</v>
      </c>
      <c r="CI101" s="99">
        <v>8368.424793754757</v>
      </c>
      <c r="CJ101" s="99">
        <v>7.2498926691379033</v>
      </c>
      <c r="CK101" s="99">
        <v>5246.0223353881865</v>
      </c>
      <c r="CL101" s="99">
        <v>9.5785591030297521</v>
      </c>
      <c r="CM101" s="99">
        <v>6931.0453669523285</v>
      </c>
      <c r="CN101" s="99">
        <v>9.97656044393276</v>
      </c>
      <c r="CO101" s="99">
        <v>7219.0391372297454</v>
      </c>
      <c r="CP101" s="99">
        <v>10</v>
      </c>
      <c r="CQ101" s="99">
        <v>7236</v>
      </c>
      <c r="CR101" s="99">
        <v>12.090642177054459</v>
      </c>
      <c r="CS101" s="99">
        <v>8748.7886793166072</v>
      </c>
      <c r="CT101" s="99">
        <v>6.170445400629708</v>
      </c>
      <c r="CU101" s="99">
        <v>4464.9342918956572</v>
      </c>
    </row>
    <row r="102" spans="2:99">
      <c r="C102" s="98" t="s">
        <v>268</v>
      </c>
      <c r="D102" s="99">
        <v>1.4479140238774808</v>
      </c>
      <c r="E102" s="99">
        <v>769.7110950932688</v>
      </c>
      <c r="F102" s="99">
        <v>1.4134332965251317</v>
      </c>
      <c r="G102" s="99">
        <v>751.38114043276005</v>
      </c>
      <c r="H102" s="99">
        <v>7.38233150075797</v>
      </c>
      <c r="I102" s="99">
        <v>3924.4474258029368</v>
      </c>
      <c r="J102" s="99">
        <v>7.0593269984139999</v>
      </c>
      <c r="K102" s="99">
        <v>3752.7382323568827</v>
      </c>
      <c r="L102" s="99">
        <v>8</v>
      </c>
      <c r="M102" s="99">
        <v>4252.8</v>
      </c>
      <c r="N102" s="99">
        <v>10</v>
      </c>
      <c r="O102" s="99">
        <v>5316</v>
      </c>
      <c r="P102" s="99">
        <v>11.295542230238272</v>
      </c>
      <c r="Q102" s="99">
        <v>6004.7102495946656</v>
      </c>
      <c r="R102" s="99">
        <v>7.6384466612811615</v>
      </c>
      <c r="S102" s="99">
        <v>4060.5982451370655</v>
      </c>
      <c r="T102" s="99">
        <v>8</v>
      </c>
      <c r="U102" s="99">
        <v>4252.8</v>
      </c>
      <c r="V102" s="99">
        <v>10.21593388429752</v>
      </c>
      <c r="W102" s="99">
        <v>5430.7904528925619</v>
      </c>
      <c r="X102" s="99">
        <v>9.8532849282943413</v>
      </c>
      <c r="Y102" s="99">
        <v>5238.0062678812719</v>
      </c>
      <c r="Z102" s="99">
        <v>11</v>
      </c>
      <c r="AA102" s="99">
        <v>5847.6</v>
      </c>
      <c r="AB102" s="99">
        <v>10.846804005793528</v>
      </c>
      <c r="AC102" s="99">
        <v>5766.1610094798398</v>
      </c>
      <c r="AD102" s="99">
        <v>7.5505090061890003</v>
      </c>
      <c r="AE102" s="99">
        <v>4013.8505876900726</v>
      </c>
      <c r="AF102" s="99">
        <v>13.835406262751444</v>
      </c>
      <c r="AG102" s="99">
        <v>7354.9019692786678</v>
      </c>
      <c r="AH102" s="99">
        <v>6.9553075578235282</v>
      </c>
      <c r="AI102" s="99">
        <v>3697.4414977389879</v>
      </c>
      <c r="AJ102" s="99">
        <v>10.546809048742521</v>
      </c>
      <c r="AK102" s="99">
        <v>5606.6836903115245</v>
      </c>
      <c r="AL102" s="99">
        <v>10</v>
      </c>
      <c r="AM102" s="99">
        <v>5316</v>
      </c>
      <c r="AN102" s="99">
        <v>9.1457020183025808</v>
      </c>
      <c r="AO102" s="99">
        <v>4861.8551929296518</v>
      </c>
      <c r="AP102" s="99">
        <v>8.0999577139023913</v>
      </c>
      <c r="AQ102" s="99">
        <v>4305.9375207105113</v>
      </c>
      <c r="AR102" s="99">
        <v>11.067187121342146</v>
      </c>
      <c r="AS102" s="99">
        <v>5883.3166737054853</v>
      </c>
      <c r="AT102" s="99">
        <v>6.6601082404221188</v>
      </c>
      <c r="AU102" s="99">
        <v>3540.5135406083987</v>
      </c>
      <c r="AV102" s="99">
        <v>12.84983256774273</v>
      </c>
      <c r="AW102" s="99">
        <v>6830.9709930120362</v>
      </c>
      <c r="AX102" s="99">
        <v>9.8566574037529513</v>
      </c>
      <c r="AY102" s="99">
        <v>5239.7990758350688</v>
      </c>
      <c r="AZ102" s="99">
        <v>9.1141540999288253</v>
      </c>
      <c r="BA102" s="99">
        <v>4845.0843195221642</v>
      </c>
      <c r="BB102" s="99">
        <v>8.241460135761411</v>
      </c>
      <c r="BC102" s="99">
        <v>4381.1602081707661</v>
      </c>
      <c r="BD102" s="99">
        <v>8.4290863590987417</v>
      </c>
      <c r="BE102" s="99">
        <v>4480.9023084968912</v>
      </c>
      <c r="BF102" s="99">
        <v>12.350696621638818</v>
      </c>
      <c r="BG102" s="99">
        <v>6565.630324063196</v>
      </c>
      <c r="BH102" s="99">
        <v>7.3464514138933987</v>
      </c>
      <c r="BI102" s="99">
        <v>3905.3735716257311</v>
      </c>
      <c r="BJ102" s="99">
        <v>10</v>
      </c>
      <c r="BK102" s="99">
        <v>5316</v>
      </c>
      <c r="BL102" s="99">
        <v>12.400496785043513</v>
      </c>
      <c r="BM102" s="99">
        <v>6592.1040909291323</v>
      </c>
      <c r="BN102" s="99">
        <v>6.4086666635394849</v>
      </c>
      <c r="BO102" s="99">
        <v>3406.8471983375903</v>
      </c>
      <c r="BP102" s="99">
        <v>10.928075648913058</v>
      </c>
      <c r="BQ102" s="99">
        <v>5809.3650149621817</v>
      </c>
      <c r="BR102" s="99">
        <v>4.165901320435939</v>
      </c>
      <c r="BS102" s="99">
        <v>2214.5931419437452</v>
      </c>
      <c r="BT102" s="99">
        <v>8.0738288180510942</v>
      </c>
      <c r="BU102" s="99">
        <v>4292.047399675962</v>
      </c>
      <c r="BV102" s="99">
        <v>10.285022886187866</v>
      </c>
      <c r="BW102" s="99">
        <v>5467.5181662974701</v>
      </c>
      <c r="BX102" s="99">
        <v>10.054019388487516</v>
      </c>
      <c r="BY102" s="99">
        <v>5344.7167069199641</v>
      </c>
      <c r="BZ102" s="99">
        <v>4.2624445506182456</v>
      </c>
      <c r="CA102" s="99">
        <v>2265.9155231086593</v>
      </c>
      <c r="CB102" s="99">
        <v>9.4792742266785925</v>
      </c>
      <c r="CC102" s="99">
        <v>5039.1821789023397</v>
      </c>
      <c r="CD102" s="99">
        <v>10.112674479175105</v>
      </c>
      <c r="CE102" s="99">
        <v>5375.8977531294859</v>
      </c>
      <c r="CF102" s="99">
        <v>9</v>
      </c>
      <c r="CG102" s="99">
        <v>4784.4000000000005</v>
      </c>
      <c r="CH102" s="99">
        <v>12.245280646407311</v>
      </c>
      <c r="CI102" s="99">
        <v>6509.5911916301266</v>
      </c>
      <c r="CJ102" s="99">
        <v>7.8540503915660622</v>
      </c>
      <c r="CK102" s="99">
        <v>4175.2131881565192</v>
      </c>
      <c r="CL102" s="99">
        <v>10.376772361615565</v>
      </c>
      <c r="CM102" s="99">
        <v>5516.2921874348349</v>
      </c>
      <c r="CN102" s="99">
        <v>10.600095471678559</v>
      </c>
      <c r="CO102" s="99">
        <v>5635.0107527443224</v>
      </c>
      <c r="CP102" s="99">
        <v>11.063285728649278</v>
      </c>
      <c r="CQ102" s="99">
        <v>5881.2426933499564</v>
      </c>
      <c r="CR102" s="99">
        <v>10.739292340845003</v>
      </c>
      <c r="CS102" s="99">
        <v>5709.007808393204</v>
      </c>
      <c r="CT102" s="99">
        <v>6.170445400629708</v>
      </c>
      <c r="CU102" s="99">
        <v>3280.2087749747529</v>
      </c>
    </row>
    <row r="103" spans="2:99">
      <c r="C103" s="98" t="s">
        <v>269</v>
      </c>
      <c r="D103" s="99">
        <v>1.6019540501331322</v>
      </c>
      <c r="E103" s="99">
        <v>943.87132633844135</v>
      </c>
      <c r="F103" s="99">
        <v>1.2956471884813707</v>
      </c>
      <c r="G103" s="99">
        <v>763.39532345322357</v>
      </c>
      <c r="H103" s="99">
        <v>8.03743090460266</v>
      </c>
      <c r="I103" s="99">
        <v>4735.6542889918865</v>
      </c>
      <c r="J103" s="99">
        <v>7.8436966649044439</v>
      </c>
      <c r="K103" s="99">
        <v>4621.5060749616978</v>
      </c>
      <c r="L103" s="99">
        <v>8</v>
      </c>
      <c r="M103" s="99">
        <v>4713.5999999999995</v>
      </c>
      <c r="N103" s="99">
        <v>10</v>
      </c>
      <c r="O103" s="99">
        <v>5891.9999999999991</v>
      </c>
      <c r="P103" s="99">
        <v>11.295542230238272</v>
      </c>
      <c r="Q103" s="99">
        <v>6655.3334820563896</v>
      </c>
      <c r="R103" s="99">
        <v>7.6384466612811615</v>
      </c>
      <c r="S103" s="99">
        <v>4500.5727728268594</v>
      </c>
      <c r="T103" s="99">
        <v>9</v>
      </c>
      <c r="U103" s="99">
        <v>5302.7999999999993</v>
      </c>
      <c r="V103" s="99">
        <v>10.191941230486686</v>
      </c>
      <c r="W103" s="99">
        <v>6005.0917730027541</v>
      </c>
      <c r="X103" s="99">
        <v>9.8532849282943413</v>
      </c>
      <c r="Y103" s="99">
        <v>5805.5554797510249</v>
      </c>
      <c r="Z103" s="99">
        <v>13</v>
      </c>
      <c r="AA103" s="99">
        <v>7659.5999999999995</v>
      </c>
      <c r="AB103" s="99">
        <v>12.654604673425784</v>
      </c>
      <c r="AC103" s="99">
        <v>7456.0930735824704</v>
      </c>
      <c r="AD103" s="99">
        <v>7.0471417391097333</v>
      </c>
      <c r="AE103" s="99">
        <v>4152.175912683454</v>
      </c>
      <c r="AF103" s="99">
        <v>13.835406262751444</v>
      </c>
      <c r="AG103" s="99">
        <v>8151.82137001315</v>
      </c>
      <c r="AH103" s="99">
        <v>8.69413444727941</v>
      </c>
      <c r="AI103" s="99">
        <v>5122.5840163370276</v>
      </c>
      <c r="AJ103" s="99">
        <v>9.5880082261295634</v>
      </c>
      <c r="AK103" s="99">
        <v>5649.2544468355381</v>
      </c>
      <c r="AL103" s="99">
        <v>10</v>
      </c>
      <c r="AM103" s="99">
        <v>5891.9999999999991</v>
      </c>
      <c r="AN103" s="99">
        <v>10.060272220132838</v>
      </c>
      <c r="AO103" s="99">
        <v>5927.5123921022669</v>
      </c>
      <c r="AP103" s="99">
        <v>8.909953485292629</v>
      </c>
      <c r="AQ103" s="99">
        <v>5249.7445935344167</v>
      </c>
      <c r="AR103" s="99">
        <v>11.067187121342146</v>
      </c>
      <c r="AS103" s="99">
        <v>6520.7866518947912</v>
      </c>
      <c r="AT103" s="99">
        <v>6.1477922219281105</v>
      </c>
      <c r="AU103" s="99">
        <v>3622.2791771600423</v>
      </c>
      <c r="AV103" s="99">
        <v>11.931987384332535</v>
      </c>
      <c r="AW103" s="99">
        <v>7030.3269668487292</v>
      </c>
      <c r="AX103" s="99">
        <v>11.264751318574801</v>
      </c>
      <c r="AY103" s="99">
        <v>6637.1914769042714</v>
      </c>
      <c r="AZ103" s="99">
        <v>9.1141540999288253</v>
      </c>
      <c r="BA103" s="99">
        <v>5370.0595956780635</v>
      </c>
      <c r="BB103" s="99">
        <v>8.241460135761411</v>
      </c>
      <c r="BC103" s="99">
        <v>4855.8683119906227</v>
      </c>
      <c r="BD103" s="99">
        <v>8.4290863590987417</v>
      </c>
      <c r="BE103" s="99">
        <v>4966.4176827809779</v>
      </c>
      <c r="BF103" s="99">
        <v>11.468504005807473</v>
      </c>
      <c r="BG103" s="99">
        <v>6757.2425602217627</v>
      </c>
      <c r="BH103" s="99">
        <v>7.9586556983845149</v>
      </c>
      <c r="BI103" s="99">
        <v>4689.2399374881561</v>
      </c>
      <c r="BJ103" s="99">
        <v>10</v>
      </c>
      <c r="BK103" s="99">
        <v>5891.9999999999991</v>
      </c>
      <c r="BL103" s="99">
        <v>13.129937772399016</v>
      </c>
      <c r="BM103" s="99">
        <v>7736.1593354974993</v>
      </c>
      <c r="BN103" s="99">
        <v>5.1269333308315881</v>
      </c>
      <c r="BO103" s="99">
        <v>3020.7891185259714</v>
      </c>
      <c r="BP103" s="99">
        <v>9.6706461768381011</v>
      </c>
      <c r="BQ103" s="99">
        <v>5697.9447273930082</v>
      </c>
      <c r="BR103" s="99">
        <v>4.165901320435939</v>
      </c>
      <c r="BS103" s="99">
        <v>2454.549058000855</v>
      </c>
      <c r="BT103" s="99">
        <v>8.9709209089456614</v>
      </c>
      <c r="BU103" s="99">
        <v>5285.6665995507828</v>
      </c>
      <c r="BV103" s="99">
        <v>9.5993546937753411</v>
      </c>
      <c r="BW103" s="99">
        <v>5655.9397855724301</v>
      </c>
      <c r="BX103" s="99">
        <v>10.000315184911145</v>
      </c>
      <c r="BY103" s="99">
        <v>5892.1857069496455</v>
      </c>
      <c r="BZ103" s="99">
        <v>4.2624445506182456</v>
      </c>
      <c r="CA103" s="99">
        <v>2511.4323292242698</v>
      </c>
      <c r="CB103" s="99">
        <v>7.8993951888988274</v>
      </c>
      <c r="CC103" s="99">
        <v>4654.3236452991887</v>
      </c>
      <c r="CD103" s="99">
        <v>9.2699516059105118</v>
      </c>
      <c r="CE103" s="99">
        <v>5461.855486202473</v>
      </c>
      <c r="CF103" s="99">
        <v>9</v>
      </c>
      <c r="CG103" s="99">
        <v>5302.7999999999993</v>
      </c>
      <c r="CH103" s="99">
        <v>10.204400538672759</v>
      </c>
      <c r="CI103" s="99">
        <v>6012.432797385989</v>
      </c>
      <c r="CJ103" s="99">
        <v>7.8540503915660622</v>
      </c>
      <c r="CK103" s="99">
        <v>4627.6064907107229</v>
      </c>
      <c r="CL103" s="99">
        <v>9.5785591030297521</v>
      </c>
      <c r="CM103" s="99">
        <v>5643.6870235051292</v>
      </c>
      <c r="CN103" s="99">
        <v>9.3530254161869646</v>
      </c>
      <c r="CO103" s="99">
        <v>5510.8025752173589</v>
      </c>
      <c r="CP103" s="99">
        <v>9</v>
      </c>
      <c r="CQ103" s="99">
        <v>5302.7999999999993</v>
      </c>
      <c r="CR103" s="99">
        <v>12.090642177054459</v>
      </c>
      <c r="CS103" s="99">
        <v>7123.8063707204865</v>
      </c>
      <c r="CT103" s="99">
        <v>6.5818084273383555</v>
      </c>
      <c r="CU103" s="99">
        <v>3878.0015253877586</v>
      </c>
    </row>
    <row r="104" spans="2:99">
      <c r="C104" s="98" t="s">
        <v>270</v>
      </c>
      <c r="D104" s="99">
        <v>1.4479140238774808</v>
      </c>
      <c r="E104" s="99">
        <v>915.66082870011883</v>
      </c>
      <c r="F104" s="99">
        <v>1.4134332965251317</v>
      </c>
      <c r="G104" s="99">
        <v>893.85521672249331</v>
      </c>
      <c r="H104" s="99">
        <v>8.0626077700978556</v>
      </c>
      <c r="I104" s="99">
        <v>5098.7931538098837</v>
      </c>
      <c r="J104" s="99">
        <v>7.8436966649044439</v>
      </c>
      <c r="K104" s="99">
        <v>4960.3537708855702</v>
      </c>
      <c r="L104" s="99">
        <v>8</v>
      </c>
      <c r="M104" s="99">
        <v>5059.2</v>
      </c>
      <c r="N104" s="99">
        <v>10</v>
      </c>
      <c r="O104" s="99">
        <v>6324</v>
      </c>
      <c r="P104" s="99">
        <v>12.881705916151349</v>
      </c>
      <c r="Q104" s="99">
        <v>8146.3908213741124</v>
      </c>
      <c r="R104" s="99">
        <v>6.94404241934651</v>
      </c>
      <c r="S104" s="99">
        <v>4391.412425994733</v>
      </c>
      <c r="T104" s="99">
        <v>8</v>
      </c>
      <c r="U104" s="99">
        <v>5059.2</v>
      </c>
      <c r="V104" s="99">
        <v>11.239926538108357</v>
      </c>
      <c r="W104" s="99">
        <v>7108.1295426997249</v>
      </c>
      <c r="X104" s="99">
        <v>11.084945544331136</v>
      </c>
      <c r="Y104" s="99">
        <v>7010.1195622350106</v>
      </c>
      <c r="Z104" s="99">
        <v>12</v>
      </c>
      <c r="AA104" s="99">
        <v>7588.7999999999993</v>
      </c>
      <c r="AB104" s="99">
        <v>10.846804005793528</v>
      </c>
      <c r="AC104" s="99">
        <v>6859.5188532638267</v>
      </c>
      <c r="AD104" s="99">
        <v>7.0471417391097333</v>
      </c>
      <c r="AE104" s="99">
        <v>4456.6124358129955</v>
      </c>
      <c r="AF104" s="99">
        <v>13.835406262751444</v>
      </c>
      <c r="AG104" s="99">
        <v>8749.5109205640128</v>
      </c>
      <c r="AH104" s="99">
        <v>6.9553075578235282</v>
      </c>
      <c r="AI104" s="99">
        <v>4398.5364995675991</v>
      </c>
      <c r="AJ104" s="99">
        <v>9.5880082261295634</v>
      </c>
      <c r="AK104" s="99">
        <v>6063.456402204336</v>
      </c>
      <c r="AL104" s="99">
        <v>10</v>
      </c>
      <c r="AM104" s="99">
        <v>6324</v>
      </c>
      <c r="AN104" s="99">
        <v>9.1457020183025808</v>
      </c>
      <c r="AO104" s="99">
        <v>5783.7419563745516</v>
      </c>
      <c r="AP104" s="99">
        <v>8.0999577139023913</v>
      </c>
      <c r="AQ104" s="99">
        <v>5122.4132582718721</v>
      </c>
      <c r="AR104" s="99">
        <v>11.067187121342146</v>
      </c>
      <c r="AS104" s="99">
        <v>6998.8891355367723</v>
      </c>
      <c r="AT104" s="99">
        <v>6.1477922219281105</v>
      </c>
      <c r="AU104" s="99">
        <v>3887.8638011473367</v>
      </c>
      <c r="AV104" s="99">
        <v>11.931987384332535</v>
      </c>
      <c r="AW104" s="99">
        <v>7545.7888218518947</v>
      </c>
      <c r="AX104" s="99">
        <v>11.264751318574801</v>
      </c>
      <c r="AY104" s="99">
        <v>7123.8287338667042</v>
      </c>
      <c r="AZ104" s="99">
        <v>8.4130653230112227</v>
      </c>
      <c r="BA104" s="99">
        <v>5320.4225102722967</v>
      </c>
      <c r="BB104" s="99">
        <v>9.8897521629136911</v>
      </c>
      <c r="BC104" s="99">
        <v>6254.2792678266178</v>
      </c>
      <c r="BD104" s="99">
        <v>8.4290863590987417</v>
      </c>
      <c r="BE104" s="99">
        <v>5330.5542134940442</v>
      </c>
      <c r="BF104" s="99">
        <v>11.468504005807473</v>
      </c>
      <c r="BG104" s="99">
        <v>7252.6819332726454</v>
      </c>
      <c r="BH104" s="99">
        <v>7.3464514138933987</v>
      </c>
      <c r="BI104" s="99">
        <v>4645.8958741461856</v>
      </c>
      <c r="BJ104" s="99">
        <v>11</v>
      </c>
      <c r="BK104" s="99">
        <v>6956.4</v>
      </c>
      <c r="BL104" s="99">
        <v>13.129937772399016</v>
      </c>
      <c r="BM104" s="99">
        <v>8303.3726472651379</v>
      </c>
      <c r="BN104" s="99">
        <v>5.767799997185536</v>
      </c>
      <c r="BO104" s="99">
        <v>3647.556718220133</v>
      </c>
      <c r="BP104" s="99">
        <v>10.988056932982042</v>
      </c>
      <c r="BQ104" s="99">
        <v>6948.8472044178434</v>
      </c>
      <c r="BR104" s="99">
        <v>4.165901320435939</v>
      </c>
      <c r="BS104" s="99">
        <v>2634.5159950436878</v>
      </c>
      <c r="BT104" s="99">
        <v>8.0738288180510942</v>
      </c>
      <c r="BU104" s="99">
        <v>5105.8893445355116</v>
      </c>
      <c r="BV104" s="99">
        <v>10.285022886187866</v>
      </c>
      <c r="BW104" s="99">
        <v>6504.248473225206</v>
      </c>
      <c r="BX104" s="99">
        <v>9.4088133909239868</v>
      </c>
      <c r="BY104" s="99">
        <v>5950.133588420329</v>
      </c>
      <c r="BZ104" s="99">
        <v>4.5288473350318856</v>
      </c>
      <c r="CA104" s="99">
        <v>2864.0430546741645</v>
      </c>
      <c r="CB104" s="99">
        <v>9.4792742266785925</v>
      </c>
      <c r="CC104" s="99">
        <v>5994.6930209515413</v>
      </c>
      <c r="CD104" s="99">
        <v>9.2699516059105118</v>
      </c>
      <c r="CE104" s="99">
        <v>5862.3173955778075</v>
      </c>
      <c r="CF104" s="99">
        <v>9</v>
      </c>
      <c r="CG104" s="99">
        <v>5691.5999999999995</v>
      </c>
      <c r="CH104" s="99">
        <v>11.56498727716246</v>
      </c>
      <c r="CI104" s="99">
        <v>7313.6979540775401</v>
      </c>
      <c r="CJ104" s="99">
        <v>7.8540503915660622</v>
      </c>
      <c r="CK104" s="99">
        <v>4966.9014676263778</v>
      </c>
      <c r="CL104" s="99">
        <v>9.5785591030297521</v>
      </c>
      <c r="CM104" s="99">
        <v>6057.4807767560151</v>
      </c>
      <c r="CN104" s="99">
        <v>9.97656044393276</v>
      </c>
      <c r="CO104" s="99">
        <v>6309.1768247430773</v>
      </c>
      <c r="CP104" s="99">
        <v>11</v>
      </c>
      <c r="CQ104" s="99">
        <v>6956.4</v>
      </c>
      <c r="CR104" s="99">
        <v>10.70476842260077</v>
      </c>
      <c r="CS104" s="99">
        <v>6769.6955504527268</v>
      </c>
      <c r="CT104" s="99">
        <v>6.170445400629708</v>
      </c>
      <c r="CU104" s="99">
        <v>3902.1896713582273</v>
      </c>
    </row>
    <row r="105" spans="2:99">
      <c r="C105" s="98" t="s">
        <v>271</v>
      </c>
      <c r="D105" s="99">
        <v>1.4479140238774808</v>
      </c>
      <c r="E105" s="99">
        <v>806.19852849498125</v>
      </c>
      <c r="F105" s="99">
        <v>1.2956471884813707</v>
      </c>
      <c r="G105" s="99">
        <v>721.41635454642721</v>
      </c>
      <c r="H105" s="99">
        <v>7.38233150075797</v>
      </c>
      <c r="I105" s="99">
        <v>4110.4821796220376</v>
      </c>
      <c r="J105" s="99">
        <v>7.0593269984139999</v>
      </c>
      <c r="K105" s="99">
        <v>3930.6332727169147</v>
      </c>
      <c r="L105" s="99">
        <v>9</v>
      </c>
      <c r="M105" s="99">
        <v>5011.2</v>
      </c>
      <c r="N105" s="99">
        <v>10</v>
      </c>
      <c r="O105" s="99">
        <v>5568</v>
      </c>
      <c r="P105" s="99">
        <v>12.881705916151349</v>
      </c>
      <c r="Q105" s="99">
        <v>7172.5338541130704</v>
      </c>
      <c r="R105" s="99">
        <v>6.2496381774118595</v>
      </c>
      <c r="S105" s="99">
        <v>3479.7985371829232</v>
      </c>
      <c r="T105" s="99">
        <v>8</v>
      </c>
      <c r="U105" s="99">
        <v>4454.3999999999996</v>
      </c>
      <c r="V105" s="99">
        <v>10.21593388429752</v>
      </c>
      <c r="W105" s="99">
        <v>5688.2319867768592</v>
      </c>
      <c r="X105" s="99">
        <v>10.46911523631274</v>
      </c>
      <c r="Y105" s="99">
        <v>5829.203363578933</v>
      </c>
      <c r="Z105" s="99">
        <v>12</v>
      </c>
      <c r="AA105" s="99">
        <v>6681.5999999999995</v>
      </c>
      <c r="AB105" s="99">
        <v>10.846804005793528</v>
      </c>
      <c r="AC105" s="99">
        <v>6039.5004704258363</v>
      </c>
      <c r="AD105" s="99">
        <v>6.0404072049512001</v>
      </c>
      <c r="AE105" s="99">
        <v>3363.2987317168281</v>
      </c>
      <c r="AF105" s="99">
        <v>12.97069337132948</v>
      </c>
      <c r="AG105" s="99">
        <v>7222.082069156254</v>
      </c>
      <c r="AH105" s="99">
        <v>7.8247210025514695</v>
      </c>
      <c r="AI105" s="99">
        <v>4356.8046542206575</v>
      </c>
      <c r="AJ105" s="99">
        <v>8.6292074035166078</v>
      </c>
      <c r="AK105" s="99">
        <v>4804.7426822780471</v>
      </c>
      <c r="AL105" s="99">
        <v>10</v>
      </c>
      <c r="AM105" s="99">
        <v>5568</v>
      </c>
      <c r="AN105" s="99">
        <v>10.974842421963096</v>
      </c>
      <c r="AO105" s="99">
        <v>6110.7922605490512</v>
      </c>
      <c r="AP105" s="99">
        <v>8.909953485292629</v>
      </c>
      <c r="AQ105" s="99">
        <v>4961.062100610935</v>
      </c>
      <c r="AR105" s="99">
        <v>10.215865035085056</v>
      </c>
      <c r="AS105" s="99">
        <v>5688.1936515353582</v>
      </c>
      <c r="AT105" s="99">
        <v>6.6601082404221188</v>
      </c>
      <c r="AU105" s="99">
        <v>3708.3482682670356</v>
      </c>
      <c r="AV105" s="99">
        <v>11.931987384332535</v>
      </c>
      <c r="AW105" s="99">
        <v>6643.7305755963553</v>
      </c>
      <c r="AX105" s="99">
        <v>9.8566574037529513</v>
      </c>
      <c r="AY105" s="99">
        <v>5488.1868424096428</v>
      </c>
      <c r="AZ105" s="99">
        <v>8.4130653230112227</v>
      </c>
      <c r="BA105" s="99">
        <v>4684.3947718526488</v>
      </c>
      <c r="BB105" s="99">
        <v>9.065606149337551</v>
      </c>
      <c r="BC105" s="99">
        <v>5047.7295039511482</v>
      </c>
      <c r="BD105" s="99">
        <v>9.1315102223569706</v>
      </c>
      <c r="BE105" s="99">
        <v>5084.4248918083613</v>
      </c>
      <c r="BF105" s="99">
        <v>13.232889237470161</v>
      </c>
      <c r="BG105" s="99">
        <v>7368.072727423385</v>
      </c>
      <c r="BH105" s="99">
        <v>8.570859982875632</v>
      </c>
      <c r="BI105" s="99">
        <v>4772.2548384651518</v>
      </c>
      <c r="BJ105" s="99">
        <v>11</v>
      </c>
      <c r="BK105" s="99">
        <v>6124.7999999999993</v>
      </c>
      <c r="BL105" s="99">
        <v>12.400496785043513</v>
      </c>
      <c r="BM105" s="99">
        <v>6904.5966099122279</v>
      </c>
      <c r="BN105" s="99">
        <v>5.767799997185536</v>
      </c>
      <c r="BO105" s="99">
        <v>3211.5110384329064</v>
      </c>
      <c r="BP105" s="99">
        <v>9.071922082835119</v>
      </c>
      <c r="BQ105" s="99">
        <v>5051.2462157225937</v>
      </c>
      <c r="BR105" s="99">
        <v>3.703023395943057</v>
      </c>
      <c r="BS105" s="99">
        <v>2061.843426861094</v>
      </c>
      <c r="BT105" s="99">
        <v>8.0738288180510942</v>
      </c>
      <c r="BU105" s="99">
        <v>4495.5078858908491</v>
      </c>
      <c r="BV105" s="99">
        <v>9.7101605125921697</v>
      </c>
      <c r="BW105" s="99">
        <v>5406.6173734113199</v>
      </c>
      <c r="BX105" s="99">
        <v>10.000315184911145</v>
      </c>
      <c r="BY105" s="99">
        <v>5568.1754949585247</v>
      </c>
      <c r="BZ105" s="99">
        <v>4.5288473350318856</v>
      </c>
      <c r="CA105" s="99">
        <v>2521.6621961457536</v>
      </c>
      <c r="CB105" s="99">
        <v>8.6893347077887082</v>
      </c>
      <c r="CC105" s="99">
        <v>4838.2215652967525</v>
      </c>
      <c r="CD105" s="99">
        <v>10.112674479175105</v>
      </c>
      <c r="CE105" s="99">
        <v>5630.7371500046984</v>
      </c>
      <c r="CF105" s="99">
        <v>8</v>
      </c>
      <c r="CG105" s="99">
        <v>4454.3999999999996</v>
      </c>
      <c r="CH105" s="99">
        <v>10.204400538672759</v>
      </c>
      <c r="CI105" s="99">
        <v>5681.8102199329924</v>
      </c>
      <c r="CJ105" s="99">
        <v>7.8540503915660622</v>
      </c>
      <c r="CK105" s="99">
        <v>4373.1352580239827</v>
      </c>
      <c r="CL105" s="99">
        <v>9.5785591030297521</v>
      </c>
      <c r="CM105" s="99">
        <v>5333.3417085669653</v>
      </c>
      <c r="CN105" s="99">
        <v>9.97656044393276</v>
      </c>
      <c r="CO105" s="99">
        <v>5554.9488551817603</v>
      </c>
      <c r="CP105" s="99">
        <v>11</v>
      </c>
      <c r="CQ105" s="99">
        <v>6124.7999999999993</v>
      </c>
      <c r="CR105" s="99">
        <v>11.397705299827615</v>
      </c>
      <c r="CS105" s="99">
        <v>6346.242310944016</v>
      </c>
      <c r="CT105" s="99">
        <v>6.9931714540470029</v>
      </c>
      <c r="CU105" s="99">
        <v>3893.797865613371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140.93723909557042</v>
      </c>
      <c r="E109" s="99">
        <f>SUM(L$6:L$19)+SUM(N$6:N$19)+SUM(P$6:P$19)+SUM(R$6:R$19)</f>
        <v>539</v>
      </c>
      <c r="F109" s="99">
        <f>SUM(T$6:T$19)+SUM(V$6:V$19)+SUM(X$6:X$19)+SUM(Z$6:Z$19)</f>
        <v>489</v>
      </c>
      <c r="G109" s="99">
        <f>SUM(AB$6:AB$19)+SUM(AD$6:AD$19)+SUM(AF$6:AF$19)+SUM(AH$6:AH$19)</f>
        <v>636.22656727067408</v>
      </c>
      <c r="H109" s="99">
        <f>SUM(AJ$6:AJ$19)+SUM(AL$6:AL$19)+SUM(AN$6:AN$19)+SUM(AP$6:AP$19)</f>
        <v>452.43472731108017</v>
      </c>
      <c r="I109" s="99">
        <f>SUM(AR$6:AR$19)+SUM(AT$6:AT$19)+SUM(AV$6:AV$19)+SUM(AX$6:AX$19)</f>
        <v>649</v>
      </c>
      <c r="J109" s="99">
        <f>SUM(AZ$6:AZ$19)+SUM(BB$6:BB$19)+SUM(BD$6:BD$19)+SUM(BF$6:BF$19)</f>
        <v>638</v>
      </c>
      <c r="K109" s="99">
        <f>SUM(BH$6:BH$19)+SUM(BJ$6:BJ$19)+SUM(BL$6:BL$19)+SUM(BN$6:BN$19)</f>
        <v>612.07538521901279</v>
      </c>
      <c r="L109" s="99">
        <f>SUM(BP$6:BP$19)+SUM(BR$6:BR$19)+SUM(BT$6:BT$19)+SUM(BV$6:BV$19)</f>
        <v>398.77326861705097</v>
      </c>
      <c r="M109" s="99">
        <f>SUM(BX$6:BX$19)+SUM(BZ$6:BZ$19)+SUM(CB$6:CB$19)+SUM(CD$6:CD$19)</f>
        <v>552.22501213738883</v>
      </c>
      <c r="N109" s="99">
        <f>SUM(CF$6:CF$19)+SUM(CH$6:CH$19)+SUM(CJ$6:CJ$19)+SUM(CL$6:CL$19)</f>
        <v>759.43449696957816</v>
      </c>
      <c r="O109" s="99">
        <f>SUM(CN$6:CN$19)+SUM(CP$6:CP$19)+SUM(CR$6:CR$19)+SUM(CT$6:CT$19)</f>
        <v>491.07530561962426</v>
      </c>
    </row>
    <row r="110" spans="2:99">
      <c r="C110" s="98" t="s">
        <v>127</v>
      </c>
      <c r="D110" s="99">
        <f>SUM(D$20:D$36)+SUM(F$20:F$36)+SUM(H$20:H$36)+SUM(J$20:J$36)</f>
        <v>281.80011450173305</v>
      </c>
      <c r="E110" s="99">
        <f>SUM(L$20:L$36)+SUM(N$20:N$36)+SUM(P$20:P$36)+SUM(R$20:R$36)</f>
        <v>971</v>
      </c>
      <c r="F110" s="99">
        <f>SUM(T$20:T$36)+SUM(V$20:V$36)+SUM(X$20:X$36)+SUM(Z$20:Z$36)</f>
        <v>985</v>
      </c>
      <c r="G110" s="99">
        <f>SUM(AB$20:AB$36)+SUM(AD$20:AD$36)+SUM(AF$20:AF$36)+SUM(AH$20:AH$36)</f>
        <v>1032.0243370959045</v>
      </c>
      <c r="H110" s="99">
        <f>SUM(AJ$20:AJ$36)+SUM(AL$20:AL$36)+SUM(AN$20:AN$36)+SUM(AP$20:AP$36)</f>
        <v>728.34614124846723</v>
      </c>
      <c r="I110" s="99">
        <f>SUM(AR$20:AR$36)+SUM(AT$20:AT$36)+SUM(AV$20:AV$36)+SUM(AX$20:AX$36)</f>
        <v>1295</v>
      </c>
      <c r="J110" s="99">
        <f>SUM(AZ$20:AZ$36)+SUM(BB$20:BB$36)+SUM(BD$20:BD$36)+SUM(BF$20:BF$36)</f>
        <v>1076</v>
      </c>
      <c r="K110" s="99">
        <f>SUM(BH$20:BH$36)+SUM(BJ$20:BJ$36)+SUM(BL$20:BL$36)+SUM(BN$20:BN$36)</f>
        <v>996.49254138719971</v>
      </c>
      <c r="L110" s="99">
        <f>SUM(BP$20:BP$36)+SUM(BR$20:BR$36)+SUM(BT$20:BT$36)+SUM(BV$20:BV$36)</f>
        <v>820.65516455198633</v>
      </c>
      <c r="M110" s="99">
        <f>SUM(BX$20:BX$36)+SUM(BZ$20:BZ$36)+SUM(CB$20:CB$36)+SUM(CD$20:CD$36)</f>
        <v>921.43429213190905</v>
      </c>
      <c r="N110" s="99">
        <f>SUM(CF$20:CF$36)+SUM(CH$20:CH$36)+SUM(CJ$20:CJ$36)+SUM(CL$20:CL$36)</f>
        <v>1385</v>
      </c>
      <c r="O110" s="99">
        <f>SUM(CN$20:CN$36)+SUM(CP$20:CP$36)+SUM(CR$20:CR$36)+SUM(CT$20:CT$36)</f>
        <v>939.42085907879732</v>
      </c>
    </row>
    <row r="111" spans="2:99">
      <c r="C111" s="98" t="s">
        <v>128</v>
      </c>
      <c r="D111" s="99">
        <f>SUM(D$37:D$48)+SUM(F$37:F$48)+SUM(H$37:H$48)+SUM(J$37:J$48)</f>
        <v>112.19745981536673</v>
      </c>
      <c r="E111" s="99">
        <f>SUM(L$37:L$48)+SUM(N$37:N$48)+SUM(P$37:P$48)+SUM(R$37:R$48)</f>
        <v>538</v>
      </c>
      <c r="F111" s="99">
        <f>SUM(T$37:T$48)+SUM(V$37:V$48)+SUM(X$37:X$48)+SUM(Z$37:Z$48)</f>
        <v>542</v>
      </c>
      <c r="G111" s="99">
        <f>SUM(AB$37:AB$48)+SUM(AD$37:AD$48)+SUM(AF$37:AF$48)+SUM(AH$37:AH$48)</f>
        <v>493.74176631090427</v>
      </c>
      <c r="H111" s="99">
        <f>SUM(AJ$37:AJ$48)+SUM(AL$37:AL$48)+SUM(AN$37:AN$48)+SUM(AP$37:AP$48)</f>
        <v>267.54339465307095</v>
      </c>
      <c r="I111" s="99">
        <f>SUM(AR$37:AR$48)+SUM(AT$37:AT$48)+SUM(AV$37:AV$48)+SUM(AX$37:AX$48)</f>
        <v>491</v>
      </c>
      <c r="J111" s="99">
        <f>SUM(AZ$37:AZ$48)+SUM(BB$37:BB$48)+SUM(BD$37:BD$48)+SUM(BF$37:BF$48)</f>
        <v>483</v>
      </c>
      <c r="K111" s="99">
        <f>SUM(BH$37:BH$48)+SUM(BJ$37:BJ$48)+SUM(BL$37:BL$48)+SUM(BN$37:BN$48)</f>
        <v>383.97455566658249</v>
      </c>
      <c r="L111" s="99">
        <f>SUM(BP$37:BP$48)+SUM(BR$37:BR$48)+SUM(BT$37:BT$48)+SUM(BV$37:BV$48)</f>
        <v>358.91836108752005</v>
      </c>
      <c r="M111" s="99">
        <f>SUM(BX$37:BX$48)+SUM(BZ$37:BZ$48)+SUM(CB$37:CB$48)+SUM(CD$37:CD$48)</f>
        <v>440.66993959385275</v>
      </c>
      <c r="N111" s="99">
        <f>SUM(CF$37:CF$48)+SUM(CH$37:CH$48)+SUM(CJ$37:CJ$48)+SUM(CL$37:CL$48)</f>
        <v>481</v>
      </c>
      <c r="O111" s="99">
        <f>SUM(CN$37:CN$48)+SUM(CP$37:CP$48)+SUM(CR$37:CR$48)+SUM(CT$37:CT$48)</f>
        <v>413.037115753558</v>
      </c>
    </row>
    <row r="112" spans="2:99">
      <c r="C112" s="98" t="s">
        <v>129</v>
      </c>
      <c r="D112" s="99">
        <f>SUM(D$49:D$70)+SUM(F$49:F$70)+SUM(H$49:H$70)+SUM(J$49:J$70)</f>
        <v>150.61834371512379</v>
      </c>
      <c r="E112" s="99">
        <f>SUM(L$49:L$70)+SUM(N$49:N$70)+SUM(P$49:P$70)+SUM(R$49:R$70)</f>
        <v>593.86624848870622</v>
      </c>
      <c r="F112" s="99">
        <f>SUM(T$49:T$70)+SUM(V$49:V$70)+SUM(X$49:X$70)+SUM(Z$49:Z$70)</f>
        <v>626.73937366705763</v>
      </c>
      <c r="G112" s="99">
        <f>SUM(AB$49:AB$70)+SUM(AD$49:AD$70)+SUM(AF$49:AF$70)+SUM(AH$49:AH$70)</f>
        <v>597.19614858354043</v>
      </c>
      <c r="H112" s="99">
        <f>SUM(AJ$49:AJ$70)+SUM(AL$49:AL$70)+SUM(AN$49:AN$70)+SUM(AP$49:AP$70)</f>
        <v>536.91892545581459</v>
      </c>
      <c r="I112" s="99">
        <f>SUM(AR$49:AR$70)+SUM(AT$49:AT$70)+SUM(AV$49:AV$70)+SUM(AX$49:AX$70)</f>
        <v>572.25650784772665</v>
      </c>
      <c r="J112" s="99">
        <f>SUM(AZ$49:AZ$70)+SUM(BB$49:BB$70)+SUM(BD$49:BD$70)+SUM(BF$49:BF$70)</f>
        <v>490.75011458310394</v>
      </c>
      <c r="K112" s="99">
        <f>SUM(BH$49:BH$70)+SUM(BJ$49:BJ$70)+SUM(BL$49:BL$70)+SUM(BN$49:BN$70)</f>
        <v>574.16528069459355</v>
      </c>
      <c r="L112" s="99">
        <f>SUM(BP$49:BP$70)+SUM(BR$49:BR$70)+SUM(BT$49:BT$70)+SUM(BV$49:BV$70)</f>
        <v>434.61837545923896</v>
      </c>
      <c r="M112" s="99">
        <f>SUM(BX$49:BX$70)+SUM(BZ$49:BZ$70)+SUM(CB$49:CB$70)+SUM(CD$49:CD$70)</f>
        <v>466.12286606297175</v>
      </c>
      <c r="N112" s="99">
        <f>SUM(CF$49:CF$70)+SUM(CH$49:CH$70)+SUM(CJ$49:CJ$70)+SUM(CL$49:CL$70)</f>
        <v>547.19622630560468</v>
      </c>
      <c r="O112" s="99">
        <f>SUM(CN$49:CN$70)+SUM(CP$49:CP$70)+SUM(CR$49:CR$70)+SUM(CT$49:CT$70)</f>
        <v>397.00011934979534</v>
      </c>
    </row>
    <row r="113" spans="2:15">
      <c r="C113" s="98" t="s">
        <v>130</v>
      </c>
      <c r="D113" s="99">
        <f>SUM(D$71:D$86)+SUM(F$71:F$86)+SUM(H$71:H$86)+SUM(J$71:J$86)</f>
        <v>108.19186260287441</v>
      </c>
      <c r="E113" s="99">
        <f>SUM(L$71:L$86)+SUM(N$71:N$86)+SUM(P$71:P$86)+SUM(R$71:R$86)</f>
        <v>321.63507444183296</v>
      </c>
      <c r="F113" s="99">
        <f>SUM(T$71:T$86)+SUM(V$71:V$86)+SUM(X$71:X$86)+SUM(Z$71:Z$86)</f>
        <v>477</v>
      </c>
      <c r="G113" s="99">
        <f>SUM(AB$71:AB$86)+SUM(AD$71:AD$86)+SUM(AF$71:AF$86)+SUM(AH$71:AH$86)</f>
        <v>439</v>
      </c>
      <c r="H113" s="99">
        <f>SUM(AJ$71:AJ$86)+SUM(AL$71:AL$86)+SUM(AN$71:AN$86)+SUM(AP$71:AP$86)</f>
        <v>460</v>
      </c>
      <c r="I113" s="99">
        <f>SUM(AR$71:AR$86)+SUM(AT$71:AT$86)+SUM(AV$71:AV$86)+SUM(AX$71:AX$86)</f>
        <v>481</v>
      </c>
      <c r="J113" s="99">
        <f>SUM(AZ$71:AZ$86)+SUM(BB$71:BB$86)+SUM(BD$71:BD$86)+SUM(BF$71:BF$86)</f>
        <v>456.3343074408848</v>
      </c>
      <c r="K113" s="99">
        <f>SUM(BH$71:BH$86)+SUM(BJ$71:BJ$86)+SUM(BL$71:BL$86)+SUM(BN$71:BN$86)</f>
        <v>544</v>
      </c>
      <c r="L113" s="99">
        <f>SUM(BP$71:BP$86)+SUM(BR$71:BR$86)+SUM(BT$71:BT$86)+SUM(BV$71:BV$86)</f>
        <v>525.84231819375009</v>
      </c>
      <c r="M113" s="99">
        <f>SUM(BX$71:BX$86)+SUM(BZ$71:BZ$86)+SUM(CB$71:CB$86)+SUM(CD$71:CD$86)</f>
        <v>454</v>
      </c>
      <c r="N113" s="99">
        <f>SUM(CF$71:CF$86)+SUM(CH$71:CH$86)+SUM(CJ$71:CJ$86)+SUM(CL$71:CL$86)</f>
        <v>501</v>
      </c>
      <c r="O113" s="99">
        <f>SUM(CN$71:CN$86)+SUM(CP$71:CP$86)+SUM(CR$71:CR$86)+SUM(CT$71:CT$86)</f>
        <v>427.02184533990993</v>
      </c>
    </row>
    <row r="114" spans="2:15">
      <c r="C114" s="98" t="s">
        <v>131</v>
      </c>
      <c r="D114" s="99">
        <f>SUM(D$87:D$94)+SUM(F$87:F$94)+SUM(H$87:H$94)+SUM(J$87:J$94)</f>
        <v>92.189169877638719</v>
      </c>
      <c r="E114" s="99">
        <f>SUM(L$87:L$94)+SUM(N$87:N$94)+SUM(P$87:P$94)+SUM(R$87:R$94)</f>
        <v>179.22543478362007</v>
      </c>
      <c r="F114" s="99">
        <f>SUM(T$87:T$94)+SUM(V$87:V$94)+SUM(X$87:X$94)+SUM(Z$87:Z$94)</f>
        <v>225.18974501921215</v>
      </c>
      <c r="G114" s="99">
        <f>SUM(AB$87:AB$94)+SUM(AD$87:AD$94)+SUM(AF$87:AF$94)+SUM(AH$87:AH$94)</f>
        <v>193.29432320723538</v>
      </c>
      <c r="H114" s="99">
        <f>SUM(AJ$87:AJ$94)+SUM(AL$87:AL$94)+SUM(AN$87:AN$94)+SUM(AP$87:AP$94)</f>
        <v>260.71460184887979</v>
      </c>
      <c r="I114" s="99">
        <f>SUM(AR$87:AR$94)+SUM(AT$87:AT$94)+SUM(AV$87:AV$94)+SUM(AX$87:AX$94)</f>
        <v>190.04116754739277</v>
      </c>
      <c r="J114" s="99">
        <f>SUM(AZ$87:AZ$94)+SUM(BB$87:BB$94)+SUM(BD$87:BD$94)+SUM(BF$87:BF$94)</f>
        <v>209.1644257899209</v>
      </c>
      <c r="K114" s="99">
        <f>SUM(BH$87:BH$94)+SUM(BJ$87:BJ$94)+SUM(BL$87:BL$94)+SUM(BN$87:BN$94)</f>
        <v>179.21991744433467</v>
      </c>
      <c r="L114" s="99">
        <f>SUM(BP$87:BP$94)+SUM(BR$87:BR$94)+SUM(BT$87:BT$94)+SUM(BV$87:BV$94)</f>
        <v>181.71027717005802</v>
      </c>
      <c r="M114" s="99">
        <f>SUM(BX$87:BX$94)+SUM(BZ$87:BZ$94)+SUM(CB$87:CB$94)+SUM(CD$87:CD$94)</f>
        <v>181.63353020792459</v>
      </c>
      <c r="N114" s="99">
        <f>SUM(CF$87:CF$94)+SUM(CH$87:CH$94)+SUM(CJ$87:CJ$94)+SUM(CL$87:CL$94)</f>
        <v>208.37961715487728</v>
      </c>
      <c r="O114" s="99">
        <f>SUM(CN$87:CN$94)+SUM(CP$87:CP$94)+SUM(CR$87:CR$94)+SUM(CT$87:CT$94)</f>
        <v>156.93798791491665</v>
      </c>
    </row>
    <row r="115" spans="2:15">
      <c r="C115" s="98" t="s">
        <v>132</v>
      </c>
      <c r="D115" s="99">
        <f>SUM(D$95:D$105)+SUM(F$95:F$105)+SUM(H$95:H$105)+SUM(J$95:J$105)</f>
        <v>193.38903250623832</v>
      </c>
      <c r="E115" s="99">
        <f>SUM(L$95:L$105)+SUM(N$95:N$105)+SUM(P$95:P$105)+SUM(R$95:R$105)</f>
        <v>407.91706049011606</v>
      </c>
      <c r="F115" s="99">
        <f>SUM(T$95:T$105)+SUM(V$95:V$105)+SUM(X$95:X$105)+SUM(Z$95:Z$105)</f>
        <v>447.00879428628662</v>
      </c>
      <c r="G115" s="99">
        <f>SUM(AB$95:AB$105)+SUM(AD$95:AD$105)+SUM(AF$95:AF$105)+SUM(AH$95:AH$105)</f>
        <v>421.62969750147454</v>
      </c>
      <c r="H115" s="99">
        <f>SUM(AJ$95:AJ$105)+SUM(AL$95:AL$105)+SUM(AN$95:AN$105)+SUM(AP$95:AP$105)</f>
        <v>409.34385234126773</v>
      </c>
      <c r="I115" s="99">
        <f>SUM(AR$95:AR$105)+SUM(AT$95:AT$105)+SUM(AV$95:AV$105)+SUM(AX$95:AX$105)</f>
        <v>437.13884023043761</v>
      </c>
      <c r="J115" s="99">
        <f>SUM(AZ$95:AZ$105)+SUM(BB$95:BB$105)+SUM(BD$95:BD$105)+SUM(BF$95:BF$105)</f>
        <v>423.60737636584855</v>
      </c>
      <c r="K115" s="99">
        <f>SUM(BH$95:BH$105)+SUM(BJ$95:BJ$105)+SUM(BL$95:BL$105)+SUM(BN$95:BN$105)</f>
        <v>392.57791147299292</v>
      </c>
      <c r="L115" s="99">
        <f>SUM(BP$95:BP$105)+SUM(BR$95:BR$105)+SUM(BT$95:BT$105)+SUM(BV$95:BV$105)</f>
        <v>354.53868997120611</v>
      </c>
      <c r="M115" s="99">
        <f>SUM(BX$95:BX$105)+SUM(BZ$95:BZ$105)+SUM(CB$95:CB$105)+SUM(CD$95:CD$105)</f>
        <v>356.81503674761348</v>
      </c>
      <c r="N115" s="99">
        <f>SUM(CF$95:CF$105)+SUM(CH$95:CH$105)+SUM(CJ$95:CJ$105)+SUM(CL$95:CL$105)</f>
        <v>405.79698665151852</v>
      </c>
      <c r="O115" s="99">
        <f>SUM(CN$95:CN$105)+SUM(CP$95:CP$105)+SUM(CR$95:CR$105)+SUM(CT$95:CT$105)</f>
        <v>410.14700447702938</v>
      </c>
    </row>
    <row r="116" spans="2:15">
      <c r="C116" s="98" t="s">
        <v>278</v>
      </c>
      <c r="D116" s="99">
        <f t="shared" ref="D116:O116" si="0">SUM(D$109:D$115)</f>
        <v>1079.3232221145454</v>
      </c>
      <c r="E116" s="99">
        <f t="shared" si="0"/>
        <v>3550.6438182042752</v>
      </c>
      <c r="F116" s="99">
        <f t="shared" si="0"/>
        <v>3791.9379129725562</v>
      </c>
      <c r="G116" s="99">
        <f t="shared" si="0"/>
        <v>3813.1128399697336</v>
      </c>
      <c r="H116" s="99">
        <f t="shared" si="0"/>
        <v>3115.3016428585802</v>
      </c>
      <c r="I116" s="99">
        <f t="shared" si="0"/>
        <v>4115.4365156255571</v>
      </c>
      <c r="J116" s="99">
        <f t="shared" si="0"/>
        <v>3776.8562241797586</v>
      </c>
      <c r="K116" s="99">
        <f t="shared" si="0"/>
        <v>3682.5055918847165</v>
      </c>
      <c r="L116" s="99">
        <f t="shared" si="0"/>
        <v>3075.0564550508107</v>
      </c>
      <c r="M116" s="99">
        <f t="shared" si="0"/>
        <v>3372.9006768816607</v>
      </c>
      <c r="N116" s="99">
        <f t="shared" si="0"/>
        <v>4287.8073270815785</v>
      </c>
      <c r="O116" s="99">
        <f t="shared" si="0"/>
        <v>3234.6402375336306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D109*pricing!D24*2000</f>
        <v>873810.88239253662</v>
      </c>
      <c r="E120" s="99">
        <f>E109*pricing!E24*2000</f>
        <v>3341800</v>
      </c>
      <c r="F120" s="99">
        <f>F109*pricing!F24*2000</f>
        <v>3031800</v>
      </c>
      <c r="G120" s="99">
        <f>G109*pricing!G24*2000</f>
        <v>3944604.7170781796</v>
      </c>
      <c r="H120" s="99">
        <f>H109*pricing!H24*2000</f>
        <v>2805095.3093286972</v>
      </c>
      <c r="I120" s="99">
        <f>I109*pricing!I24*2000</f>
        <v>4023800</v>
      </c>
      <c r="J120" s="99">
        <f>J109*pricing!J24*2000</f>
        <v>3955600</v>
      </c>
      <c r="K120" s="99">
        <f>K109*pricing!K24*2000</f>
        <v>3794867.3883578796</v>
      </c>
      <c r="L120" s="99">
        <f>L109*pricing!L24*2000</f>
        <v>2472394.2654257161</v>
      </c>
      <c r="M120" s="99">
        <f>M109*pricing!M24*2000</f>
        <v>3423795.0752518107</v>
      </c>
      <c r="N120" s="99">
        <f>N109*pricing!N24*2000</f>
        <v>4708493.8812113851</v>
      </c>
      <c r="O120" s="99">
        <f>O109*pricing!O24*2000</f>
        <v>3044666.8948416705</v>
      </c>
    </row>
    <row r="121" spans="2:15">
      <c r="C121" s="98" t="s">
        <v>127</v>
      </c>
      <c r="D121" s="99">
        <f>D110*pricing!D25*2000</f>
        <v>1747160.709910745</v>
      </c>
      <c r="E121" s="99">
        <f>E110*pricing!E25*2000</f>
        <v>6020200</v>
      </c>
      <c r="F121" s="99">
        <f>F110*pricing!F25*2000</f>
        <v>6107000</v>
      </c>
      <c r="G121" s="99">
        <f>G110*pricing!G25*2000</f>
        <v>6398550.8899946082</v>
      </c>
      <c r="H121" s="99">
        <f>H110*pricing!H25*2000</f>
        <v>4515746.0757404966</v>
      </c>
      <c r="I121" s="99">
        <f>I110*pricing!I25*2000</f>
        <v>8029000</v>
      </c>
      <c r="J121" s="99">
        <f>J110*pricing!J25*2000</f>
        <v>6671200</v>
      </c>
      <c r="K121" s="99">
        <f>K110*pricing!K25*2000</f>
        <v>6178253.7566006389</v>
      </c>
      <c r="L121" s="99">
        <f>L110*pricing!L25*2000</f>
        <v>5088062.0202223156</v>
      </c>
      <c r="M121" s="99">
        <f>M110*pricing!M25*2000</f>
        <v>5712892.6112178359</v>
      </c>
      <c r="N121" s="99">
        <f>N110*pricing!N25*2000</f>
        <v>8587000</v>
      </c>
      <c r="O121" s="99">
        <f>O110*pricing!O25*2000</f>
        <v>5824409.3262885436</v>
      </c>
    </row>
    <row r="122" spans="2:15">
      <c r="C122" s="98" t="s">
        <v>128</v>
      </c>
      <c r="D122" s="99">
        <f>D111*pricing!D26*2000</f>
        <v>695624.2508552738</v>
      </c>
      <c r="E122" s="99">
        <f>E111*pricing!E26*2000</f>
        <v>3335600</v>
      </c>
      <c r="F122" s="99">
        <f>F111*pricing!F26*2000</f>
        <v>3360400</v>
      </c>
      <c r="G122" s="99">
        <f>G111*pricing!G26*2000</f>
        <v>3061198.9511276064</v>
      </c>
      <c r="H122" s="99">
        <f>H111*pricing!H26*2000</f>
        <v>1658769.0468490401</v>
      </c>
      <c r="I122" s="99">
        <f>I111*pricing!I26*2000</f>
        <v>3044200.0000000005</v>
      </c>
      <c r="J122" s="99">
        <f>J111*pricing!J26*2000</f>
        <v>2994600</v>
      </c>
      <c r="K122" s="99">
        <f>K111*pricing!K26*2000</f>
        <v>2380642.2451328118</v>
      </c>
      <c r="L122" s="99">
        <f>L111*pricing!L26*2000</f>
        <v>2225293.8387426245</v>
      </c>
      <c r="M122" s="99">
        <f>M111*pricing!M26*2000</f>
        <v>2732153.6254818873</v>
      </c>
      <c r="N122" s="99">
        <f>N111*pricing!N26*2000</f>
        <v>2982200.0000000005</v>
      </c>
      <c r="O122" s="99">
        <f>O111*pricing!O26*2000</f>
        <v>2560830.1176720597</v>
      </c>
    </row>
    <row r="123" spans="2:15">
      <c r="C123" s="98" t="s">
        <v>129</v>
      </c>
      <c r="D123" s="99">
        <f>D112*pricing!D27*2000</f>
        <v>994081.06851981685</v>
      </c>
      <c r="E123" s="99">
        <f>E112*pricing!E27*2000</f>
        <v>3919517.2400254612</v>
      </c>
      <c r="F123" s="99">
        <f>F112*pricing!F27*2000</f>
        <v>4136479.8662025807</v>
      </c>
      <c r="G123" s="99">
        <f>G112*pricing!G27*2000</f>
        <v>3941494.5806513666</v>
      </c>
      <c r="H123" s="99">
        <f>H112*pricing!H27*2000</f>
        <v>3543664.9080083761</v>
      </c>
      <c r="I123" s="99">
        <f>I112*pricing!I27*2000</f>
        <v>3776892.9517949955</v>
      </c>
      <c r="J123" s="99">
        <f>J112*pricing!J27*2000</f>
        <v>3238950.7562484858</v>
      </c>
      <c r="K123" s="99">
        <f>K112*pricing!K27*2000</f>
        <v>3789490.8525843169</v>
      </c>
      <c r="L123" s="99">
        <f>L112*pricing!L27*2000</f>
        <v>2868481.2780309771</v>
      </c>
      <c r="M123" s="99">
        <f>M112*pricing!M27*2000</f>
        <v>3076410.9160156134</v>
      </c>
      <c r="N123" s="99">
        <f>N112*pricing!N27*2000</f>
        <v>3611495.0936169908</v>
      </c>
      <c r="O123" s="99">
        <f>O112*pricing!O27*2000</f>
        <v>2620200.7877086489</v>
      </c>
    </row>
    <row r="124" spans="2:15">
      <c r="C124" s="98" t="s">
        <v>130</v>
      </c>
      <c r="D124" s="99">
        <f>D113*pricing!D28*2000</f>
        <v>670789.54813782137</v>
      </c>
      <c r="E124" s="99">
        <f>E113*pricing!E28*2000</f>
        <v>1994137.4615393644</v>
      </c>
      <c r="F124" s="99">
        <f>F113*pricing!F28*2000</f>
        <v>2957400</v>
      </c>
      <c r="G124" s="99">
        <f>G113*pricing!G28*2000</f>
        <v>2721800</v>
      </c>
      <c r="H124" s="99">
        <f>H113*pricing!H28*2000</f>
        <v>2852000</v>
      </c>
      <c r="I124" s="99">
        <f>I113*pricing!I28*2000</f>
        <v>2982200.0000000005</v>
      </c>
      <c r="J124" s="99">
        <f>J113*pricing!J28*2000</f>
        <v>2829272.7061334858</v>
      </c>
      <c r="K124" s="99">
        <f>K113*pricing!K28*2000</f>
        <v>3372800</v>
      </c>
      <c r="L124" s="99">
        <f>L113*pricing!L28*2000</f>
        <v>3260222.3728012503</v>
      </c>
      <c r="M124" s="99">
        <f>M113*pricing!M28*2000</f>
        <v>2814800</v>
      </c>
      <c r="N124" s="99">
        <f>N113*pricing!N28*2000</f>
        <v>3106200.0000000005</v>
      </c>
      <c r="O124" s="99">
        <f>O113*pricing!O28*2000</f>
        <v>2647535.4411074417</v>
      </c>
    </row>
    <row r="125" spans="2:15">
      <c r="C125" s="98" t="s">
        <v>131</v>
      </c>
      <c r="D125" s="99">
        <f>D114*pricing!D29*2000</f>
        <v>571572.85324136016</v>
      </c>
      <c r="E125" s="99">
        <f>E114*pricing!E29*2000</f>
        <v>1111197.6956584444</v>
      </c>
      <c r="F125" s="99">
        <f>F114*pricing!F29*2000</f>
        <v>1396176.4191191155</v>
      </c>
      <c r="G125" s="99">
        <f>G114*pricing!G29*2000</f>
        <v>1198424.8038848594</v>
      </c>
      <c r="H125" s="99">
        <f>H114*pricing!H29*2000</f>
        <v>1616430.5314630549</v>
      </c>
      <c r="I125" s="99">
        <f>I114*pricing!I29*2000</f>
        <v>1178255.238793835</v>
      </c>
      <c r="J125" s="99">
        <f>J114*pricing!J29*2000</f>
        <v>1296819.4398975098</v>
      </c>
      <c r="K125" s="99">
        <f>K114*pricing!K29*2000</f>
        <v>1111163.4881548751</v>
      </c>
      <c r="L125" s="99">
        <f>L114*pricing!L29*2000</f>
        <v>1126603.7184543598</v>
      </c>
      <c r="M125" s="99">
        <f>M114*pricing!M29*2000</f>
        <v>1126127.8872891325</v>
      </c>
      <c r="N125" s="99">
        <f>N114*pricing!N29*2000</f>
        <v>1291953.6263602392</v>
      </c>
      <c r="O125" s="99">
        <f>O114*pricing!O29*2000</f>
        <v>973015.52507248323</v>
      </c>
    </row>
    <row r="126" spans="2:15">
      <c r="C126" s="98" t="s">
        <v>132</v>
      </c>
      <c r="D126" s="99">
        <f>D115*pricing!D30*2000</f>
        <v>1199012.0015386776</v>
      </c>
      <c r="E126" s="99">
        <f>E115*pricing!E30*2000</f>
        <v>2529085.7750387196</v>
      </c>
      <c r="F126" s="99">
        <f>F115*pricing!F30*2000</f>
        <v>2771454.5245749773</v>
      </c>
      <c r="G126" s="99">
        <f>G115*pricing!G30*2000</f>
        <v>2614104.1245091422</v>
      </c>
      <c r="H126" s="99">
        <f>H115*pricing!H30*2000</f>
        <v>2537931.8845158601</v>
      </c>
      <c r="I126" s="99">
        <f>I115*pricing!I30*2000</f>
        <v>2710260.8094287133</v>
      </c>
      <c r="J126" s="99">
        <f>J115*pricing!J30*2000</f>
        <v>2626365.7334682611</v>
      </c>
      <c r="K126" s="99">
        <f>K115*pricing!K30*2000</f>
        <v>2433983.0511325561</v>
      </c>
      <c r="L126" s="99">
        <f>L115*pricing!L30*2000</f>
        <v>2198139.8778214781</v>
      </c>
      <c r="M126" s="99">
        <f>M115*pricing!M30*2000</f>
        <v>2212253.2278352035</v>
      </c>
      <c r="N126" s="99">
        <f>N115*pricing!N30*2000</f>
        <v>2515941.3172394149</v>
      </c>
      <c r="O126" s="99">
        <f>O115*pricing!O30*2000</f>
        <v>2542911.4277575822</v>
      </c>
    </row>
    <row r="127" spans="2:15">
      <c r="C127" s="98" t="s">
        <v>278</v>
      </c>
      <c r="D127" s="99">
        <f t="shared" ref="D127:O127" si="1">SUM(D$120:D$126)</f>
        <v>6752051.3145962302</v>
      </c>
      <c r="E127" s="99">
        <f t="shared" si="1"/>
        <v>22251538.172261991</v>
      </c>
      <c r="F127" s="99">
        <f t="shared" si="1"/>
        <v>23760710.809896674</v>
      </c>
      <c r="G127" s="99">
        <f t="shared" si="1"/>
        <v>23880178.067245759</v>
      </c>
      <c r="H127" s="99">
        <f t="shared" si="1"/>
        <v>19529637.755905524</v>
      </c>
      <c r="I127" s="99">
        <f t="shared" si="1"/>
        <v>25744609.000017546</v>
      </c>
      <c r="J127" s="99">
        <f t="shared" si="1"/>
        <v>23612808.635747742</v>
      </c>
      <c r="K127" s="99">
        <f t="shared" si="1"/>
        <v>23061200.781963076</v>
      </c>
      <c r="L127" s="99">
        <f t="shared" si="1"/>
        <v>19239197.371498723</v>
      </c>
      <c r="M127" s="99">
        <f t="shared" si="1"/>
        <v>21098433.343091484</v>
      </c>
      <c r="N127" s="99">
        <f t="shared" si="1"/>
        <v>26803283.91842803</v>
      </c>
      <c r="O127" s="99">
        <f t="shared" si="1"/>
        <v>20213569.520448431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70991.708272495482</v>
      </c>
      <c r="E131" s="105">
        <f>SUM(M$6:M$19)+SUM(O$6:O$19)+SUM(Q$6:Q$19)+SUM(S$6:S$19)</f>
        <v>272448</v>
      </c>
      <c r="F131" s="105">
        <f>SUM(U$6:U$19)+SUM(W$6:W$19)+SUM(Y$6:Y$19)+SUM(AA$6:AA$19)</f>
        <v>246633.59999999995</v>
      </c>
      <c r="G131" s="105">
        <f>SUM(AC$6:AC$19)+SUM(AE$6:AE$19)+SUM(AG$6:AG$19)+SUM(AI$6:AI$19)</f>
        <v>321097.24892733363</v>
      </c>
      <c r="H131" s="105">
        <f>SUM(AK$6:AK$19)+SUM(AM$6:AM$19)+SUM(AO$6:AO$19)+SUM(AQ$6:AQ$19)</f>
        <v>229223.14197213991</v>
      </c>
      <c r="I131" s="105">
        <f>SUM(AS$6:AS$19)+SUM(AU$6:AU$19)+SUM(AW$6:AW$19)+SUM(AY$6:AY$19)</f>
        <v>325940.39999999997</v>
      </c>
      <c r="J131" s="105">
        <f>SUM(BA$6:BA$19)+SUM(BC$6:BC$19)+SUM(BE$6:BE$19)+SUM(BG$6:BG$19)</f>
        <v>323052</v>
      </c>
      <c r="K131" s="105">
        <f>SUM(BI$6:BI$19)+SUM(BK$6:BK$19)+SUM(BM$6:BM$19)+SUM(BO$6:BO$19)</f>
        <v>308227.15033509745</v>
      </c>
      <c r="L131" s="105">
        <f>SUM(BQ$6:BQ$19)+SUM(BS$6:BS$19)+SUM(BU$6:BU$19)+SUM(BW$6:BW$19)</f>
        <v>201737.58398257717</v>
      </c>
      <c r="M131" s="105">
        <f>SUM(BY$6:BY$19)+SUM(CA$6:CA$19)+SUM(CC$6:CC$19)+SUM(CE$6:CE$19)</f>
        <v>278962.13164442591</v>
      </c>
      <c r="N131" s="105">
        <f>SUM(CG$6:CG$19)+SUM(CI$6:CI$19)+SUM(CK$6:CK$19)+SUM(CM$6:CM$19)</f>
        <v>383711.50460332574</v>
      </c>
      <c r="O131" s="105">
        <f>SUM(CO$6:CO$19)+SUM(CQ$6:CQ$19)+SUM(CS$6:CS$19)+SUM(CU$6:CU$19)</f>
        <v>246054.43721897053</v>
      </c>
    </row>
    <row r="132" spans="2:15">
      <c r="C132" s="104" t="s">
        <v>127</v>
      </c>
      <c r="D132" s="105">
        <f>SUM(E$20:E$36)+SUM(G$20:G$36)+SUM(I$20:I$36)+SUM(K$20:K$36)</f>
        <v>120469.26468920676</v>
      </c>
      <c r="E132" s="105">
        <f>SUM(M$20:M$36)+SUM(O$20:O$36)+SUM(Q$20:Q$36)+SUM(S$20:S$36)</f>
        <v>416172</v>
      </c>
      <c r="F132" s="105">
        <f>SUM(U$20:U$36)+SUM(W$20:W$36)+SUM(Y$20:Y$36)+SUM(AA$20:AA$36)</f>
        <v>422281.19999999995</v>
      </c>
      <c r="G132" s="105">
        <f>SUM(AC$20:AC$36)+SUM(AE$20:AE$36)+SUM(AG$20:AG$36)+SUM(AI$20:AI$36)</f>
        <v>443240.04535757162</v>
      </c>
      <c r="H132" s="105">
        <f>SUM(AK$20:AK$36)+SUM(AM$20:AM$36)+SUM(AO$20:AO$36)+SUM(AQ$20:AQ$36)</f>
        <v>311744.73070842563</v>
      </c>
      <c r="I132" s="105">
        <f>SUM(AS$20:AS$36)+SUM(AU$20:AU$36)+SUM(AW$20:AW$36)+SUM(AY$20:AY$36)</f>
        <v>557437.19999999995</v>
      </c>
      <c r="J132" s="105">
        <f>SUM(BA$20:BA$36)+SUM(BC$20:BC$36)+SUM(BE$20:BE$36)+SUM(BG$20:BG$36)</f>
        <v>462675.60000000003</v>
      </c>
      <c r="K132" s="105">
        <f>SUM(BI$20:BI$36)+SUM(BK$20:BK$36)+SUM(BM$20:BM$36)+SUM(BO$20:BO$36)</f>
        <v>427208.05886923725</v>
      </c>
      <c r="L132" s="105">
        <f>SUM(BQ$20:BQ$36)+SUM(BS$20:BS$36)+SUM(BU$20:BU$36)+SUM(BW$20:BW$36)</f>
        <v>351697.90956265712</v>
      </c>
      <c r="M132" s="105">
        <f>SUM(BY$20:BY$36)+SUM(CA$20:CA$36)+SUM(CC$20:CC$36)+SUM(CE$20:CE$36)</f>
        <v>395507.37011772749</v>
      </c>
      <c r="N132" s="105">
        <f>SUM(CG$20:CG$36)+SUM(CI$20:CI$36)+SUM(CK$20:CK$36)+SUM(CM$20:CM$36)</f>
        <v>593580</v>
      </c>
      <c r="O132" s="105">
        <f>SUM(CO$20:CO$36)+SUM(CQ$20:CQ$36)+SUM(CS$20:CS$36)+SUM(CU$20:CU$36)</f>
        <v>397634.84517683717</v>
      </c>
    </row>
    <row r="133" spans="2:15">
      <c r="C133" s="104" t="s">
        <v>128</v>
      </c>
      <c r="D133" s="105">
        <f>SUM(E$37:E$48)+SUM(G$37:G$48)+SUM(I$37:I$48)+SUM(K$37:K$48)</f>
        <v>118245.40744087521</v>
      </c>
      <c r="E133" s="105">
        <f>SUM(M$37:M$48)+SUM(O$37:O$48)+SUM(Q$37:Q$48)+SUM(S$37:S$48)</f>
        <v>565417.19999999995</v>
      </c>
      <c r="F133" s="105">
        <f>SUM(U$37:U$48)+SUM(W$37:W$48)+SUM(Y$37:Y$48)+SUM(AA$37:AA$48)</f>
        <v>567750</v>
      </c>
      <c r="G133" s="105">
        <f>SUM(AC$37:AC$48)+SUM(AE$37:AE$48)+SUM(AG$37:AG$48)+SUM(AI$37:AI$48)</f>
        <v>518756.14448742615</v>
      </c>
      <c r="H133" s="105">
        <f>SUM(AK$37:AK$48)+SUM(AM$37:AM$48)+SUM(AO$37:AO$48)+SUM(AQ$37:AQ$48)</f>
        <v>282160.16450558451</v>
      </c>
      <c r="I133" s="105">
        <f>SUM(AS$37:AS$48)+SUM(AU$37:AU$48)+SUM(AW$37:AW$48)+SUM(AY$37:AY$48)</f>
        <v>515421.6</v>
      </c>
      <c r="J133" s="105">
        <f>SUM(BA$37:BA$48)+SUM(BC$37:BC$48)+SUM(BE$37:BE$48)+SUM(BG$37:BG$48)</f>
        <v>508354.80000000005</v>
      </c>
      <c r="K133" s="105">
        <f>SUM(BI$37:BI$48)+SUM(BK$37:BK$48)+SUM(BM$37:BM$48)+SUM(BO$37:BO$48)</f>
        <v>402218.56429756124</v>
      </c>
      <c r="L133" s="105">
        <f>SUM(BQ$37:BQ$48)+SUM(BS$37:BS$48)+SUM(BU$37:BU$48)+SUM(BW$37:BW$48)</f>
        <v>376241.10592575715</v>
      </c>
      <c r="M133" s="105">
        <f>SUM(BY$37:BY$48)+SUM(CA$37:CA$48)+SUM(CC$37:CC$48)+SUM(CE$37:CE$48)</f>
        <v>461048.58502495452</v>
      </c>
      <c r="N133" s="105">
        <f>SUM(CG$37:CG$48)+SUM(CI$37:CI$48)+SUM(CK$37:CK$48)+SUM(CM$37:CM$48)</f>
        <v>506097.6</v>
      </c>
      <c r="O133" s="105">
        <f>SUM(CO$37:CO$48)+SUM(CQ$37:CQ$48)+SUM(CS$37:CS$48)+SUM(CU$37:CU$48)</f>
        <v>434806.77048577915</v>
      </c>
    </row>
    <row r="134" spans="2:15">
      <c r="C134" s="104" t="s">
        <v>129</v>
      </c>
      <c r="D134" s="105">
        <f>SUM(E$49:E$70)+SUM(G$49:G$70)+SUM(I$49:I$70)+SUM(K$49:K$70)</f>
        <v>131743.30163414523</v>
      </c>
      <c r="E134" s="105">
        <f>SUM(M$49:M$70)+SUM(O$49:O$70)+SUM(Q$49:Q$70)+SUM(S$49:S$70)</f>
        <v>491352.61360348843</v>
      </c>
      <c r="F134" s="105">
        <f>SUM(U$49:U$70)+SUM(W$49:W$70)+SUM(Y$49:Y$70)+SUM(AA$49:AA$70)</f>
        <v>523889.56753507775</v>
      </c>
      <c r="G134" s="105">
        <f>SUM(AC$49:AC$70)+SUM(AE$49:AE$70)+SUM(AG$49:AG$70)+SUM(AI$49:AI$70)</f>
        <v>496521.81310669734</v>
      </c>
      <c r="H134" s="105">
        <f>SUM(AK$49:AK$70)+SUM(AM$49:AM$70)+SUM(AO$49:AO$70)+SUM(AQ$49:AQ$70)</f>
        <v>460976.594324968</v>
      </c>
      <c r="I134" s="105">
        <f>SUM(AS$49:AS$70)+SUM(AU$49:AU$70)+SUM(AW$49:AW$70)+SUM(AY$49:AY$70)</f>
        <v>475044.99991685222</v>
      </c>
      <c r="J134" s="105">
        <f>SUM(BA$49:BA$70)+SUM(BC$49:BC$70)+SUM(BE$49:BE$70)+SUM(BG$49:BG$70)</f>
        <v>408975.8941662974</v>
      </c>
      <c r="K134" s="105">
        <f>SUM(BI$49:BI$70)+SUM(BK$49:BK$70)+SUM(BM$49:BM$70)+SUM(BO$49:BO$70)</f>
        <v>482030.55321954982</v>
      </c>
      <c r="L134" s="105">
        <f>SUM(BQ$49:BQ$70)+SUM(BS$49:BS$70)+SUM(BU$49:BU$70)+SUM(BW$49:BW$70)</f>
        <v>372969.63758730597</v>
      </c>
      <c r="M134" s="105">
        <f>SUM(BY$49:BY$70)+SUM(CA$49:CA$70)+SUM(CC$49:CC$70)+SUM(CE$49:CE$70)</f>
        <v>389974.62689456157</v>
      </c>
      <c r="N134" s="105">
        <f>SUM(CG$49:CG$70)+SUM(CI$49:CI$70)+SUM(CK$49:CK$70)+SUM(CM$49:CM$70)</f>
        <v>454435.44032182544</v>
      </c>
      <c r="O134" s="105">
        <f>SUM(CO$49:CO$70)+SUM(CQ$49:CQ$70)+SUM(CS$49:CS$70)+SUM(CU$49:CU$70)</f>
        <v>335677.20800483879</v>
      </c>
    </row>
    <row r="135" spans="2:15">
      <c r="C135" s="104" t="s">
        <v>130</v>
      </c>
      <c r="D135" s="105">
        <f>SUM(E$71:E$86)+SUM(G$71:G$86)+SUM(I$71:I$86)+SUM(K$71:K$86)</f>
        <v>60152.754259584588</v>
      </c>
      <c r="E135" s="105">
        <f>SUM(M$71:M$86)+SUM(O$71:O$86)+SUM(Q$71:Q$86)+SUM(S$71:S$86)</f>
        <v>180593.22258301717</v>
      </c>
      <c r="F135" s="105">
        <f>SUM(U$71:U$86)+SUM(W$71:W$86)+SUM(Y$71:Y$86)+SUM(AA$71:AA$86)</f>
        <v>266392.8</v>
      </c>
      <c r="G135" s="105">
        <f>SUM(AC$71:AC$86)+SUM(AE$71:AE$86)+SUM(AG$71:AG$86)+SUM(AI$71:AI$86)</f>
        <v>245222.40000000002</v>
      </c>
      <c r="H135" s="105">
        <f>SUM(AK$71:AK$86)+SUM(AM$71:AM$86)+SUM(AO$71:AO$86)+SUM(AQ$71:AQ$86)</f>
        <v>257664</v>
      </c>
      <c r="I135" s="105">
        <f>SUM(AS$71:AS$86)+SUM(AU$71:AU$86)+SUM(AW$71:AW$86)+SUM(AY$71:AY$86)</f>
        <v>268924.79999999999</v>
      </c>
      <c r="J135" s="105">
        <f>SUM(BA$71:BA$86)+SUM(BC$71:BC$86)+SUM(BE$71:BE$86)+SUM(BG$71:BG$86)</f>
        <v>254855.69680267002</v>
      </c>
      <c r="K135" s="105">
        <f>SUM(BI$71:BI$86)+SUM(BK$71:BK$86)+SUM(BM$71:BM$86)+SUM(BO$71:BO$86)</f>
        <v>304134</v>
      </c>
      <c r="L135" s="105">
        <f>SUM(BQ$71:BQ$86)+SUM(BS$71:BS$86)+SUM(BU$71:BU$86)+SUM(BW$71:BW$86)</f>
        <v>295767.91210858937</v>
      </c>
      <c r="M135" s="105">
        <f>SUM(BY$71:BY$86)+SUM(CA$71:CA$86)+SUM(CC$71:CC$86)+SUM(CE$71:CE$86)</f>
        <v>254593.2</v>
      </c>
      <c r="N135" s="105">
        <f>SUM(CG$71:CG$86)+SUM(CI$71:CI$86)+SUM(CK$71:CK$86)+SUM(CM$71:CM$86)</f>
        <v>281708.39999999997</v>
      </c>
      <c r="O135" s="105">
        <f>SUM(CO$71:CO$86)+SUM(CQ$71:CQ$86)+SUM(CS$71:CS$86)+SUM(CU$71:CU$86)</f>
        <v>240047.64209115837</v>
      </c>
    </row>
    <row r="136" spans="2:15">
      <c r="C136" s="104" t="s">
        <v>131</v>
      </c>
      <c r="D136" s="105">
        <f>SUM(E$87:E$94)+SUM(G$87:G$94)+SUM(I$87:I$94)+SUM(K$87:K$94)</f>
        <v>92567.067038610345</v>
      </c>
      <c r="E136" s="105">
        <f>SUM(M$87:M$94)+SUM(O$87:O$94)+SUM(Q$87:Q$94)+SUM(S$87:S$94)</f>
        <v>179537.70242353177</v>
      </c>
      <c r="F136" s="105">
        <f>SUM(U$87:U$94)+SUM(W$87:W$94)+SUM(Y$87:Y$94)+SUM(AA$87:AA$94)</f>
        <v>225734.73822936998</v>
      </c>
      <c r="G136" s="105">
        <f>SUM(AC$87:AC$94)+SUM(AE$87:AE$94)+SUM(AG$87:AG$94)+SUM(AI$87:AI$94)</f>
        <v>194580.06421874528</v>
      </c>
      <c r="H136" s="105">
        <f>SUM(AK$87:AK$94)+SUM(AM$87:AM$94)+SUM(AO$87:AO$94)+SUM(AQ$87:AQ$94)</f>
        <v>261423.33264047289</v>
      </c>
      <c r="I136" s="105">
        <f>SUM(AS$87:AS$94)+SUM(AU$87:AU$94)+SUM(AW$87:AW$94)+SUM(AY$87:AY$94)</f>
        <v>191195.84267674282</v>
      </c>
      <c r="J136" s="105">
        <f>SUM(BA$87:BA$94)+SUM(BC$87:BC$94)+SUM(BE$87:BE$94)+SUM(BG$87:BG$94)</f>
        <v>210000.39325519378</v>
      </c>
      <c r="K136" s="105">
        <f>SUM(BI$87:BI$94)+SUM(BK$87:BK$94)+SUM(BM$87:BM$94)+SUM(BO$87:BO$94)</f>
        <v>179765.88582289242</v>
      </c>
      <c r="L136" s="105">
        <f>SUM(BQ$87:BQ$94)+SUM(BS$87:BS$94)+SUM(BU$87:BU$94)+SUM(BW$87:BW$94)</f>
        <v>182252.63845091953</v>
      </c>
      <c r="M136" s="105">
        <f>SUM(BY$87:BY$94)+SUM(CA$87:CA$94)+SUM(CC$87:CC$94)+SUM(CE$87:CE$94)</f>
        <v>182225.02396775311</v>
      </c>
      <c r="N136" s="105">
        <f>SUM(CG$87:CG$94)+SUM(CI$87:CI$94)+SUM(CK$87:CK$94)+SUM(CM$87:CM$94)</f>
        <v>208768.85946895153</v>
      </c>
      <c r="O136" s="105">
        <f>SUM(CO$87:CO$94)+SUM(CQ$87:CQ$94)+SUM(CS$87:CS$94)+SUM(CU$87:CU$94)</f>
        <v>157521.95964927119</v>
      </c>
    </row>
    <row r="137" spans="2:15">
      <c r="C137" s="104" t="s">
        <v>132</v>
      </c>
      <c r="D137" s="105">
        <f>SUM(E$95:E$105)+SUM(G$95:G$105)+SUM(I$95:I$105)+SUM(K$95:K$105)</f>
        <v>150288.04725653055</v>
      </c>
      <c r="E137" s="105">
        <f>SUM(M$95:M$105)+SUM(O$95:O$105)+SUM(Q$95:Q$105)+SUM(S$95:S$105)</f>
        <v>327567.94846564933</v>
      </c>
      <c r="F137" s="105">
        <f>SUM(U$95:U$105)+SUM(W$95:W$105)+SUM(Y$95:Y$105)+SUM(AA$95:AA$105)</f>
        <v>352069.54340972973</v>
      </c>
      <c r="G137" s="105">
        <f>SUM(AC$95:AC$105)+SUM(AE$95:AE$105)+SUM(AG$95:AG$105)+SUM(AI$95:AI$105)</f>
        <v>332050.06739995105</v>
      </c>
      <c r="H137" s="105">
        <f>SUM(AK$95:AK$105)+SUM(AM$95:AM$105)+SUM(AO$95:AO$105)+SUM(AQ$95:AQ$105)</f>
        <v>330375.92334519408</v>
      </c>
      <c r="I137" s="105">
        <f>SUM(AS$95:AS$105)+SUM(AU$95:AU$105)+SUM(AW$95:AW$105)+SUM(AY$95:AY$105)</f>
        <v>353649.88171721576</v>
      </c>
      <c r="J137" s="105">
        <f>SUM(BA$95:BA$105)+SUM(BC$95:BC$105)+SUM(BE$95:BE$105)+SUM(BG$95:BG$105)</f>
        <v>340289.83830554318</v>
      </c>
      <c r="K137" s="105">
        <f>SUM(BI$95:BI$105)+SUM(BK$95:BK$105)+SUM(BM$95:BM$105)+SUM(BO$95:BO$105)</f>
        <v>309740.34859921836</v>
      </c>
      <c r="L137" s="105">
        <f>SUM(BQ$95:BQ$105)+SUM(BS$95:BS$105)+SUM(BU$95:BU$105)+SUM(BW$95:BW$105)</f>
        <v>283737.92920057115</v>
      </c>
      <c r="M137" s="105">
        <f>SUM(BY$95:BY$105)+SUM(CA$95:CA$105)+SUM(CC$95:CC$105)+SUM(CE$95:CE$105)</f>
        <v>287682.02428062231</v>
      </c>
      <c r="N137" s="105">
        <f>SUM(CG$95:CG$105)+SUM(CI$95:CI$105)+SUM(CK$95:CK$105)+SUM(CM$95:CM$105)</f>
        <v>324743.73159294156</v>
      </c>
      <c r="O137" s="105">
        <f>SUM(CO$95:CO$105)+SUM(CQ$95:CQ$105)+SUM(CS$95:CS$105)+SUM(CU$95:CU$105)</f>
        <v>331657.50112499029</v>
      </c>
    </row>
    <row r="138" spans="2:15">
      <c r="C138" s="104" t="s">
        <v>278</v>
      </c>
      <c r="D138" s="99">
        <f t="shared" ref="D138:O138" si="2">SUM(D$131:D$137)</f>
        <v>744457.55059144809</v>
      </c>
      <c r="E138" s="99">
        <f t="shared" si="2"/>
        <v>2433088.6870756866</v>
      </c>
      <c r="F138" s="99">
        <f t="shared" si="2"/>
        <v>2604751.4491741774</v>
      </c>
      <c r="G138" s="99">
        <f t="shared" si="2"/>
        <v>2551467.7834977251</v>
      </c>
      <c r="H138" s="99">
        <f t="shared" si="2"/>
        <v>2133567.8874967848</v>
      </c>
      <c r="I138" s="99">
        <f t="shared" si="2"/>
        <v>2687614.7243108107</v>
      </c>
      <c r="J138" s="99">
        <f t="shared" si="2"/>
        <v>2508204.2225297047</v>
      </c>
      <c r="K138" s="99">
        <f t="shared" si="2"/>
        <v>2413324.5611435566</v>
      </c>
      <c r="L138" s="99">
        <f t="shared" si="2"/>
        <v>2064404.7168183774</v>
      </c>
      <c r="M138" s="99">
        <f t="shared" si="2"/>
        <v>2249992.9619300449</v>
      </c>
      <c r="N138" s="99">
        <f t="shared" si="2"/>
        <v>2753045.5359870442</v>
      </c>
      <c r="O138" s="99">
        <f t="shared" si="2"/>
        <v>2143400.3637518454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1" spans="1:99">
      <c r="A1" s="100"/>
    </row>
    <row r="2" spans="1:99">
      <c r="B2" s="101" t="s">
        <v>272</v>
      </c>
    </row>
    <row r="3" spans="1:99">
      <c r="B3" s="102" t="s">
        <v>273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1.0191882154632603</v>
      </c>
      <c r="E6" s="99">
        <v>589.49846382394981</v>
      </c>
      <c r="F6" s="99">
        <v>4.1783473916774403</v>
      </c>
      <c r="G6" s="99">
        <v>2416.7561313462315</v>
      </c>
      <c r="H6" s="99">
        <v>0.53546092615878016</v>
      </c>
      <c r="I6" s="99">
        <v>309.71059969023844</v>
      </c>
      <c r="J6" s="99">
        <v>9.8034966255466696</v>
      </c>
      <c r="K6" s="99">
        <v>5670.3424482161936</v>
      </c>
      <c r="L6" s="99">
        <v>5</v>
      </c>
      <c r="M6" s="99">
        <v>2892</v>
      </c>
      <c r="N6" s="99">
        <v>6</v>
      </c>
      <c r="O6" s="99">
        <v>3470.3999999999996</v>
      </c>
      <c r="P6" s="99">
        <v>8</v>
      </c>
      <c r="Q6" s="99">
        <v>4627.2</v>
      </c>
      <c r="R6" s="99">
        <v>7.8082572990032393</v>
      </c>
      <c r="S6" s="99">
        <v>4516.2960217434738</v>
      </c>
      <c r="T6" s="99">
        <v>6.4841422906234296</v>
      </c>
      <c r="U6" s="99">
        <v>3750.4279008965914</v>
      </c>
      <c r="V6" s="99">
        <v>8.4679372916563764</v>
      </c>
      <c r="W6" s="99">
        <v>4897.8549294940476</v>
      </c>
      <c r="X6" s="99">
        <v>6.9739516003467825</v>
      </c>
      <c r="Y6" s="99">
        <v>4033.7336056405788</v>
      </c>
      <c r="Z6" s="99">
        <v>5.8217987191773721</v>
      </c>
      <c r="AA6" s="99">
        <v>3367.3283791721919</v>
      </c>
      <c r="AB6" s="99">
        <v>6</v>
      </c>
      <c r="AC6" s="99">
        <v>3470.3999999999996</v>
      </c>
      <c r="AD6" s="99">
        <v>5.904437845908542</v>
      </c>
      <c r="AE6" s="99">
        <v>3415.1268500735005</v>
      </c>
      <c r="AF6" s="99">
        <v>8.8260148047595273</v>
      </c>
      <c r="AG6" s="99">
        <v>5104.9669630729104</v>
      </c>
      <c r="AH6" s="99">
        <v>7.1156197846401463</v>
      </c>
      <c r="AI6" s="99">
        <v>4115.6744834358606</v>
      </c>
      <c r="AJ6" s="99">
        <v>7.9893896080895841</v>
      </c>
      <c r="AK6" s="99">
        <v>4621.0629493190154</v>
      </c>
      <c r="AL6" s="99">
        <v>8</v>
      </c>
      <c r="AM6" s="99">
        <v>4627.2</v>
      </c>
      <c r="AN6" s="99">
        <v>0.7829485935424314</v>
      </c>
      <c r="AO6" s="99">
        <v>452.85746650494229</v>
      </c>
      <c r="AP6" s="99">
        <v>5.8509032138886896</v>
      </c>
      <c r="AQ6" s="99">
        <v>3384.1624189132181</v>
      </c>
      <c r="AR6" s="99">
        <v>9</v>
      </c>
      <c r="AS6" s="99">
        <v>5205.5999999999995</v>
      </c>
      <c r="AT6" s="99">
        <v>7</v>
      </c>
      <c r="AU6" s="99">
        <v>4048.7999999999997</v>
      </c>
      <c r="AV6" s="99">
        <v>5</v>
      </c>
      <c r="AW6" s="99">
        <v>2892</v>
      </c>
      <c r="AX6" s="99">
        <v>8.5904689880895457</v>
      </c>
      <c r="AY6" s="99">
        <v>4968.7272627109933</v>
      </c>
      <c r="AZ6" s="99">
        <v>8</v>
      </c>
      <c r="BA6" s="99">
        <v>4627.2</v>
      </c>
      <c r="BB6" s="99">
        <v>8.7833345109678405</v>
      </c>
      <c r="BC6" s="99">
        <v>5080.2806811437986</v>
      </c>
      <c r="BD6" s="99">
        <v>8</v>
      </c>
      <c r="BE6" s="99">
        <v>4627.2</v>
      </c>
      <c r="BF6" s="99">
        <v>5</v>
      </c>
      <c r="BG6" s="99">
        <v>2892</v>
      </c>
      <c r="BH6" s="99">
        <v>6.5626924111147344</v>
      </c>
      <c r="BI6" s="99">
        <v>3795.8612905887621</v>
      </c>
      <c r="BJ6" s="99">
        <v>5.2400735369493985</v>
      </c>
      <c r="BK6" s="99">
        <v>3030.8585337715322</v>
      </c>
      <c r="BL6" s="99">
        <v>9</v>
      </c>
      <c r="BM6" s="99">
        <v>5205.5999999999995</v>
      </c>
      <c r="BN6" s="99">
        <v>7.4388081760980604</v>
      </c>
      <c r="BO6" s="99">
        <v>4302.6066490551184</v>
      </c>
      <c r="BP6" s="99">
        <v>7.4187394475676545</v>
      </c>
      <c r="BQ6" s="99">
        <v>4290.998896473131</v>
      </c>
      <c r="BR6" s="99">
        <v>9.4534280348808899</v>
      </c>
      <c r="BS6" s="99">
        <v>5467.8627753751061</v>
      </c>
      <c r="BT6" s="99">
        <v>1.8135462455130871</v>
      </c>
      <c r="BU6" s="99">
        <v>1048.9551484047695</v>
      </c>
      <c r="BV6" s="99">
        <v>5.8001500379504805</v>
      </c>
      <c r="BW6" s="99">
        <v>3354.8067819505577</v>
      </c>
      <c r="BX6" s="99">
        <v>7</v>
      </c>
      <c r="BY6" s="99">
        <v>4048.7999999999997</v>
      </c>
      <c r="BZ6" s="99">
        <v>2.9768576838332717</v>
      </c>
      <c r="CA6" s="99">
        <v>1721.8144843291643</v>
      </c>
      <c r="CB6" s="99">
        <v>7.4910097925147401</v>
      </c>
      <c r="CC6" s="99">
        <v>4332.8000639905258</v>
      </c>
      <c r="CD6" s="99">
        <v>8.1469079390958008</v>
      </c>
      <c r="CE6" s="99">
        <v>4712.1715519730114</v>
      </c>
      <c r="CF6" s="99">
        <v>10</v>
      </c>
      <c r="CG6" s="99">
        <v>5784</v>
      </c>
      <c r="CH6" s="99">
        <v>9</v>
      </c>
      <c r="CI6" s="99">
        <v>5205.5999999999995</v>
      </c>
      <c r="CJ6" s="99">
        <v>9.7539630285909542</v>
      </c>
      <c r="CK6" s="99">
        <v>5641.6922157370072</v>
      </c>
      <c r="CL6" s="99">
        <v>1.2029122665712799</v>
      </c>
      <c r="CM6" s="99">
        <v>695.76445498482826</v>
      </c>
      <c r="CN6" s="99">
        <v>9.3790573821362582</v>
      </c>
      <c r="CO6" s="99">
        <v>5424.8467898276112</v>
      </c>
      <c r="CP6" s="99">
        <v>2.332409900182709</v>
      </c>
      <c r="CQ6" s="99">
        <v>1349.0658862656787</v>
      </c>
      <c r="CR6" s="99">
        <v>6.7797691727040732</v>
      </c>
      <c r="CS6" s="99">
        <v>3921.4184894920359</v>
      </c>
      <c r="CT6" s="99">
        <v>11.046860577074233</v>
      </c>
      <c r="CU6" s="99">
        <v>6389.5041577797356</v>
      </c>
    </row>
    <row r="7" spans="1:99">
      <c r="C7" s="98" t="s">
        <v>173</v>
      </c>
      <c r="D7" s="99">
        <v>1.029609105621526</v>
      </c>
      <c r="E7" s="99">
        <v>811.74381887201105</v>
      </c>
      <c r="F7" s="99">
        <v>3.5097756796217849</v>
      </c>
      <c r="G7" s="99">
        <v>2767.1071458138154</v>
      </c>
      <c r="H7" s="99">
        <v>0.53546092615878016</v>
      </c>
      <c r="I7" s="99">
        <v>422.15739418358226</v>
      </c>
      <c r="J7" s="99">
        <v>9.7304514777696998</v>
      </c>
      <c r="K7" s="99">
        <v>7671.4879450736307</v>
      </c>
      <c r="L7" s="99">
        <v>5</v>
      </c>
      <c r="M7" s="99">
        <v>3942</v>
      </c>
      <c r="N7" s="99">
        <v>7</v>
      </c>
      <c r="O7" s="99">
        <v>5518.8</v>
      </c>
      <c r="P7" s="99">
        <v>7</v>
      </c>
      <c r="Q7" s="99">
        <v>5518.8</v>
      </c>
      <c r="R7" s="99">
        <v>7.8082572990032393</v>
      </c>
      <c r="S7" s="99">
        <v>6156.0300545341534</v>
      </c>
      <c r="T7" s="99">
        <v>7.4104483321410628</v>
      </c>
      <c r="U7" s="99">
        <v>5842.3974650600139</v>
      </c>
      <c r="V7" s="99">
        <v>6.7743498333251013</v>
      </c>
      <c r="W7" s="99">
        <v>5340.8974085935097</v>
      </c>
      <c r="X7" s="99">
        <v>6.9739516003467825</v>
      </c>
      <c r="Y7" s="99">
        <v>5498.2634417134032</v>
      </c>
      <c r="Z7" s="99">
        <v>4.8514989326478108</v>
      </c>
      <c r="AA7" s="99">
        <v>3824.921758499534</v>
      </c>
      <c r="AB7" s="99">
        <v>6</v>
      </c>
      <c r="AC7" s="99">
        <v>4730.3999999999996</v>
      </c>
      <c r="AD7" s="99">
        <v>6.8885108202266325</v>
      </c>
      <c r="AE7" s="99">
        <v>5430.9019306666769</v>
      </c>
      <c r="AF7" s="99">
        <v>9.8066831163994728</v>
      </c>
      <c r="AG7" s="99">
        <v>7731.588968969344</v>
      </c>
      <c r="AH7" s="99">
        <v>8.0050722577201654</v>
      </c>
      <c r="AI7" s="99">
        <v>6311.1989679865783</v>
      </c>
      <c r="AJ7" s="99">
        <v>7.1016796516351848</v>
      </c>
      <c r="AK7" s="99">
        <v>5598.9642373491797</v>
      </c>
      <c r="AL7" s="99">
        <v>8</v>
      </c>
      <c r="AM7" s="99">
        <v>6307.2</v>
      </c>
      <c r="AN7" s="99">
        <v>0.7829485935424314</v>
      </c>
      <c r="AO7" s="99">
        <v>617.27667114885287</v>
      </c>
      <c r="AP7" s="99">
        <v>6.0210838566664275</v>
      </c>
      <c r="AQ7" s="99">
        <v>4747.0225125958113</v>
      </c>
      <c r="AR7" s="99">
        <v>8</v>
      </c>
      <c r="AS7" s="99">
        <v>6307.2</v>
      </c>
      <c r="AT7" s="99">
        <v>6</v>
      </c>
      <c r="AU7" s="99">
        <v>4730.3999999999996</v>
      </c>
      <c r="AV7" s="99">
        <v>5</v>
      </c>
      <c r="AW7" s="99">
        <v>3942</v>
      </c>
      <c r="AX7" s="99">
        <v>7.6359724338573738</v>
      </c>
      <c r="AY7" s="99">
        <v>6020.2006668531531</v>
      </c>
      <c r="AZ7" s="99">
        <v>7</v>
      </c>
      <c r="BA7" s="99">
        <v>5518.8</v>
      </c>
      <c r="BB7" s="99">
        <v>7.8074084541936362</v>
      </c>
      <c r="BC7" s="99">
        <v>6155.3608252862623</v>
      </c>
      <c r="BD7" s="99">
        <v>6</v>
      </c>
      <c r="BE7" s="99">
        <v>4730.3999999999996</v>
      </c>
      <c r="BF7" s="99">
        <v>5</v>
      </c>
      <c r="BG7" s="99">
        <v>3942</v>
      </c>
      <c r="BH7" s="99">
        <v>6.5626924111147344</v>
      </c>
      <c r="BI7" s="99">
        <v>5174.0266969228569</v>
      </c>
      <c r="BJ7" s="99">
        <v>5.2400735369493985</v>
      </c>
      <c r="BK7" s="99">
        <v>4131.2739765309052</v>
      </c>
      <c r="BL7" s="99">
        <v>9</v>
      </c>
      <c r="BM7" s="99">
        <v>7095.5999999999995</v>
      </c>
      <c r="BN7" s="99">
        <v>8.8747680139776346</v>
      </c>
      <c r="BO7" s="99">
        <v>6996.8671022199669</v>
      </c>
      <c r="BP7" s="99">
        <v>6.6398371927464295</v>
      </c>
      <c r="BQ7" s="99">
        <v>5234.847642761285</v>
      </c>
      <c r="BR7" s="99">
        <v>8.5319566256886166</v>
      </c>
      <c r="BS7" s="99">
        <v>6726.5946036929054</v>
      </c>
      <c r="BT7" s="99">
        <v>1.4199778422575478</v>
      </c>
      <c r="BU7" s="99">
        <v>1119.5105308358507</v>
      </c>
      <c r="BV7" s="99">
        <v>5.8001500379504805</v>
      </c>
      <c r="BW7" s="99">
        <v>4572.8382899201588</v>
      </c>
      <c r="BX7" s="99">
        <v>6</v>
      </c>
      <c r="BY7" s="99">
        <v>4730.3999999999996</v>
      </c>
      <c r="BZ7" s="99">
        <v>2.6251865672926398</v>
      </c>
      <c r="CA7" s="99">
        <v>2069.6970896535172</v>
      </c>
      <c r="CB7" s="99">
        <v>8.311843232057841</v>
      </c>
      <c r="CC7" s="99">
        <v>6553.0572041544019</v>
      </c>
      <c r="CD7" s="99">
        <v>8.1469079390958008</v>
      </c>
      <c r="CE7" s="99">
        <v>6423.022219183129</v>
      </c>
      <c r="CF7" s="99">
        <v>9</v>
      </c>
      <c r="CG7" s="99">
        <v>7095.5999999999995</v>
      </c>
      <c r="CH7" s="99">
        <v>10</v>
      </c>
      <c r="CI7" s="99">
        <v>7884</v>
      </c>
      <c r="CJ7" s="99">
        <v>8.7785667257318583</v>
      </c>
      <c r="CK7" s="99">
        <v>6921.0220065669964</v>
      </c>
      <c r="CL7" s="99">
        <v>1.0990312385304972</v>
      </c>
      <c r="CM7" s="99">
        <v>866.47622845744399</v>
      </c>
      <c r="CN7" s="99">
        <v>8.2258287841211182</v>
      </c>
      <c r="CO7" s="99">
        <v>6485.2434134010891</v>
      </c>
      <c r="CP7" s="99">
        <v>2.332409900182709</v>
      </c>
      <c r="CQ7" s="99">
        <v>1838.8719653040478</v>
      </c>
      <c r="CR7" s="99">
        <v>6.7797691727040732</v>
      </c>
      <c r="CS7" s="99">
        <v>5345.1700157598907</v>
      </c>
      <c r="CT7" s="99">
        <v>11.046860577074233</v>
      </c>
      <c r="CU7" s="99">
        <v>8709.3448789653248</v>
      </c>
    </row>
    <row r="8" spans="1:99">
      <c r="C8" s="98" t="s">
        <v>174</v>
      </c>
      <c r="D8" s="99">
        <v>1.1632978333639736</v>
      </c>
      <c r="E8" s="99">
        <v>360.1570092094862</v>
      </c>
      <c r="F8" s="99">
        <v>3.5932342392935408</v>
      </c>
      <c r="G8" s="99">
        <v>1112.46532048528</v>
      </c>
      <c r="H8" s="99">
        <v>0.53546092615878016</v>
      </c>
      <c r="I8" s="99">
        <v>165.77870273875831</v>
      </c>
      <c r="J8" s="99">
        <v>9.65740632999273</v>
      </c>
      <c r="K8" s="99">
        <v>2989.9329997657487</v>
      </c>
      <c r="L8" s="99">
        <v>5</v>
      </c>
      <c r="M8" s="99">
        <v>1547.9999999999998</v>
      </c>
      <c r="N8" s="99">
        <v>7</v>
      </c>
      <c r="O8" s="99">
        <v>2167.1999999999998</v>
      </c>
      <c r="P8" s="99">
        <v>9</v>
      </c>
      <c r="Q8" s="99">
        <v>2786.3999999999996</v>
      </c>
      <c r="R8" s="99">
        <v>8.7842894613786449</v>
      </c>
      <c r="S8" s="99">
        <v>2719.6160172428281</v>
      </c>
      <c r="T8" s="99">
        <v>7.4104483321410628</v>
      </c>
      <c r="U8" s="99">
        <v>2294.2748036308726</v>
      </c>
      <c r="V8" s="99">
        <v>8.4679372916563764</v>
      </c>
      <c r="W8" s="99">
        <v>2621.6733854968138</v>
      </c>
      <c r="X8" s="99">
        <v>7.970230400396324</v>
      </c>
      <c r="Y8" s="99">
        <v>2467.5833319627018</v>
      </c>
      <c r="Z8" s="99">
        <v>5.8217987191773721</v>
      </c>
      <c r="AA8" s="99">
        <v>1802.4288834573142</v>
      </c>
      <c r="AB8" s="99">
        <v>7</v>
      </c>
      <c r="AC8" s="99">
        <v>2167.1999999999998</v>
      </c>
      <c r="AD8" s="99">
        <v>6.8885108202266325</v>
      </c>
      <c r="AE8" s="99">
        <v>2132.6829499421651</v>
      </c>
      <c r="AF8" s="99">
        <v>9.8066831163994728</v>
      </c>
      <c r="AG8" s="99">
        <v>3036.1490928372764</v>
      </c>
      <c r="AH8" s="99">
        <v>8.0050722577201654</v>
      </c>
      <c r="AI8" s="99">
        <v>2478.3703709901629</v>
      </c>
      <c r="AJ8" s="99">
        <v>7.1016796516351848</v>
      </c>
      <c r="AK8" s="99">
        <v>2198.6800201462529</v>
      </c>
      <c r="AL8" s="99">
        <v>8</v>
      </c>
      <c r="AM8" s="99">
        <v>2476.7999999999997</v>
      </c>
      <c r="AN8" s="99">
        <v>0.7829485935424314</v>
      </c>
      <c r="AO8" s="99">
        <v>242.40088456073673</v>
      </c>
      <c r="AP8" s="99">
        <v>5.935993535277559</v>
      </c>
      <c r="AQ8" s="99">
        <v>1837.7835985219322</v>
      </c>
      <c r="AR8" s="99">
        <v>10</v>
      </c>
      <c r="AS8" s="99">
        <v>3095.9999999999995</v>
      </c>
      <c r="AT8" s="99">
        <v>7</v>
      </c>
      <c r="AU8" s="99">
        <v>2167.1999999999998</v>
      </c>
      <c r="AV8" s="99">
        <v>6</v>
      </c>
      <c r="AW8" s="99">
        <v>1857.6</v>
      </c>
      <c r="AX8" s="99">
        <v>8.5904689880895457</v>
      </c>
      <c r="AY8" s="99">
        <v>2659.6091987125233</v>
      </c>
      <c r="AZ8" s="99">
        <v>8</v>
      </c>
      <c r="BA8" s="99">
        <v>2476.7999999999997</v>
      </c>
      <c r="BB8" s="99">
        <v>7.8074084541936362</v>
      </c>
      <c r="BC8" s="99">
        <v>2417.1736574183496</v>
      </c>
      <c r="BD8" s="99">
        <v>8</v>
      </c>
      <c r="BE8" s="99">
        <v>2476.7999999999997</v>
      </c>
      <c r="BF8" s="99">
        <v>5</v>
      </c>
      <c r="BG8" s="99">
        <v>1547.9999999999998</v>
      </c>
      <c r="BH8" s="99">
        <v>7.50021989841684</v>
      </c>
      <c r="BI8" s="99">
        <v>2322.0680805498532</v>
      </c>
      <c r="BJ8" s="99">
        <v>5.2400735369493985</v>
      </c>
      <c r="BK8" s="99">
        <v>1622.3267670395335</v>
      </c>
      <c r="BL8" s="99">
        <v>10</v>
      </c>
      <c r="BM8" s="99">
        <v>3095.9999999999995</v>
      </c>
      <c r="BN8" s="99">
        <v>9.2061433611806134</v>
      </c>
      <c r="BO8" s="99">
        <v>2850.2219846215175</v>
      </c>
      <c r="BP8" s="99">
        <v>8.280742922979865</v>
      </c>
      <c r="BQ8" s="99">
        <v>2563.7180089545659</v>
      </c>
      <c r="BR8" s="99">
        <v>10.585842235373242</v>
      </c>
      <c r="BS8" s="99">
        <v>3277.3767560715555</v>
      </c>
      <c r="BT8" s="99">
        <v>1.7710578146499274</v>
      </c>
      <c r="BU8" s="99">
        <v>548.31949941561743</v>
      </c>
      <c r="BV8" s="99">
        <v>6.6372039641075871</v>
      </c>
      <c r="BW8" s="99">
        <v>2054.8783472877089</v>
      </c>
      <c r="BX8" s="99">
        <v>6</v>
      </c>
      <c r="BY8" s="99">
        <v>1857.6</v>
      </c>
      <c r="BZ8" s="99">
        <v>2.9768576838332717</v>
      </c>
      <c r="CA8" s="99">
        <v>921.63513891478078</v>
      </c>
      <c r="CB8" s="99">
        <v>7.3475852734993534</v>
      </c>
      <c r="CC8" s="99">
        <v>2274.8124006753997</v>
      </c>
      <c r="CD8" s="99">
        <v>8.0513322775044838</v>
      </c>
      <c r="CE8" s="99">
        <v>2492.6924731153881</v>
      </c>
      <c r="CF8" s="99">
        <v>10</v>
      </c>
      <c r="CG8" s="99">
        <v>3095.9999999999995</v>
      </c>
      <c r="CH8" s="99">
        <v>11</v>
      </c>
      <c r="CI8" s="99">
        <v>3405.5999999999995</v>
      </c>
      <c r="CJ8" s="99">
        <v>7.8031704228727632</v>
      </c>
      <c r="CK8" s="99">
        <v>2415.8615629214073</v>
      </c>
      <c r="CL8" s="99">
        <v>1.0990312385304972</v>
      </c>
      <c r="CM8" s="99">
        <v>340.2600714490419</v>
      </c>
      <c r="CN8" s="99">
        <v>10.379057382136258</v>
      </c>
      <c r="CO8" s="99">
        <v>3213.3561655093854</v>
      </c>
      <c r="CP8" s="99">
        <v>2.332409900182709</v>
      </c>
      <c r="CQ8" s="99">
        <v>722.11410509656662</v>
      </c>
      <c r="CR8" s="99">
        <v>7.5328492485593888</v>
      </c>
      <c r="CS8" s="99">
        <v>2332.1701273539866</v>
      </c>
      <c r="CT8" s="99">
        <v>11.33926923094198</v>
      </c>
      <c r="CU8" s="99">
        <v>3510.6377538996367</v>
      </c>
    </row>
    <row r="9" spans="1:99">
      <c r="C9" s="98" t="s">
        <v>175</v>
      </c>
      <c r="D9" s="99">
        <v>1.1528769432057082</v>
      </c>
      <c r="E9" s="99">
        <v>809.31961413040722</v>
      </c>
      <c r="F9" s="99">
        <v>3.5515049594576626</v>
      </c>
      <c r="G9" s="99">
        <v>2493.156481539279</v>
      </c>
      <c r="H9" s="99">
        <v>0.53546092615878016</v>
      </c>
      <c r="I9" s="99">
        <v>375.89357016346366</v>
      </c>
      <c r="J9" s="99">
        <v>8.7304514777696998</v>
      </c>
      <c r="K9" s="99">
        <v>6128.7769373943293</v>
      </c>
      <c r="L9" s="99">
        <v>5</v>
      </c>
      <c r="M9" s="99">
        <v>3510</v>
      </c>
      <c r="N9" s="99">
        <v>6</v>
      </c>
      <c r="O9" s="99">
        <v>4212</v>
      </c>
      <c r="P9" s="99">
        <v>8</v>
      </c>
      <c r="Q9" s="99">
        <v>5616</v>
      </c>
      <c r="R9" s="99">
        <v>8.7842894613786449</v>
      </c>
      <c r="S9" s="99">
        <v>6166.5712018878085</v>
      </c>
      <c r="T9" s="99">
        <v>6.4841422906234296</v>
      </c>
      <c r="U9" s="99">
        <v>4551.8678880176476</v>
      </c>
      <c r="V9" s="99">
        <v>6.7743498333251013</v>
      </c>
      <c r="W9" s="99">
        <v>4755.5935829942209</v>
      </c>
      <c r="X9" s="99">
        <v>5.9776728002972428</v>
      </c>
      <c r="Y9" s="99">
        <v>4196.3263058086641</v>
      </c>
      <c r="Z9" s="99">
        <v>4.8514989326478108</v>
      </c>
      <c r="AA9" s="99">
        <v>3405.7522507187632</v>
      </c>
      <c r="AB9" s="99">
        <v>6</v>
      </c>
      <c r="AC9" s="99">
        <v>4212</v>
      </c>
      <c r="AD9" s="99">
        <v>6.8885108202266325</v>
      </c>
      <c r="AE9" s="99">
        <v>4835.7345957990956</v>
      </c>
      <c r="AF9" s="99">
        <v>8.8260148047595273</v>
      </c>
      <c r="AG9" s="99">
        <v>6195.8623929411879</v>
      </c>
      <c r="AH9" s="99">
        <v>7.1156197846401463</v>
      </c>
      <c r="AI9" s="99">
        <v>4995.1650888173826</v>
      </c>
      <c r="AJ9" s="99">
        <v>7.1016796516351848</v>
      </c>
      <c r="AK9" s="99">
        <v>4985.3791154478995</v>
      </c>
      <c r="AL9" s="99">
        <v>8</v>
      </c>
      <c r="AM9" s="99">
        <v>5616</v>
      </c>
      <c r="AN9" s="99">
        <v>0.7829485935424314</v>
      </c>
      <c r="AO9" s="99">
        <v>549.62991266678682</v>
      </c>
      <c r="AP9" s="99">
        <v>5.935993535277559</v>
      </c>
      <c r="AQ9" s="99">
        <v>4167.0674617648465</v>
      </c>
      <c r="AR9" s="99">
        <v>9</v>
      </c>
      <c r="AS9" s="99">
        <v>6318</v>
      </c>
      <c r="AT9" s="99">
        <v>6</v>
      </c>
      <c r="AU9" s="99">
        <v>4212</v>
      </c>
      <c r="AV9" s="99">
        <v>5</v>
      </c>
      <c r="AW9" s="99">
        <v>3510</v>
      </c>
      <c r="AX9" s="99">
        <v>7.6359724338573738</v>
      </c>
      <c r="AY9" s="99">
        <v>5360.4526485678762</v>
      </c>
      <c r="AZ9" s="99">
        <v>7</v>
      </c>
      <c r="BA9" s="99">
        <v>4914</v>
      </c>
      <c r="BB9" s="99">
        <v>8.7833345109678405</v>
      </c>
      <c r="BC9" s="99">
        <v>6165.9008266994242</v>
      </c>
      <c r="BD9" s="99">
        <v>7</v>
      </c>
      <c r="BE9" s="99">
        <v>4914</v>
      </c>
      <c r="BF9" s="99">
        <v>5</v>
      </c>
      <c r="BG9" s="99">
        <v>3510</v>
      </c>
      <c r="BH9" s="99">
        <v>6.5626924111147344</v>
      </c>
      <c r="BI9" s="99">
        <v>4607.0100726025439</v>
      </c>
      <c r="BJ9" s="99">
        <v>4.3667279474578322</v>
      </c>
      <c r="BK9" s="99">
        <v>3065.4430191153983</v>
      </c>
      <c r="BL9" s="99">
        <v>9</v>
      </c>
      <c r="BM9" s="99">
        <v>6318</v>
      </c>
      <c r="BN9" s="99">
        <v>9.0956849121129508</v>
      </c>
      <c r="BO9" s="99">
        <v>6385.1708083032918</v>
      </c>
      <c r="BP9" s="99">
        <v>6.6398371927464295</v>
      </c>
      <c r="BQ9" s="99">
        <v>4661.1657093079939</v>
      </c>
      <c r="BR9" s="99">
        <v>8.5319566256886166</v>
      </c>
      <c r="BS9" s="99">
        <v>5989.4335512334092</v>
      </c>
      <c r="BT9" s="99">
        <v>1.6167620438853174</v>
      </c>
      <c r="BU9" s="99">
        <v>1134.9669548074928</v>
      </c>
      <c r="BV9" s="99">
        <v>6.6372039641075871</v>
      </c>
      <c r="BW9" s="99">
        <v>4659.3171828035265</v>
      </c>
      <c r="BX9" s="99">
        <v>6</v>
      </c>
      <c r="BY9" s="99">
        <v>4212</v>
      </c>
      <c r="BZ9" s="99">
        <v>2.6103239535191656</v>
      </c>
      <c r="CA9" s="99">
        <v>1832.4474153704543</v>
      </c>
      <c r="CB9" s="99">
        <v>8.1603915505329851</v>
      </c>
      <c r="CC9" s="99">
        <v>5728.5948684741552</v>
      </c>
      <c r="CD9" s="99">
        <v>6</v>
      </c>
      <c r="CE9" s="99">
        <v>4212</v>
      </c>
      <c r="CF9" s="99">
        <v>10</v>
      </c>
      <c r="CG9" s="99">
        <v>7020</v>
      </c>
      <c r="CH9" s="99">
        <v>10</v>
      </c>
      <c r="CI9" s="99">
        <v>7020</v>
      </c>
      <c r="CJ9" s="99">
        <v>7.8031704228727632</v>
      </c>
      <c r="CK9" s="99">
        <v>5477.8256368566799</v>
      </c>
      <c r="CL9" s="99">
        <v>1.0958617144187777</v>
      </c>
      <c r="CM9" s="99">
        <v>769.2949235219819</v>
      </c>
      <c r="CN9" s="99">
        <v>8.2258287841211182</v>
      </c>
      <c r="CO9" s="99">
        <v>5774.5318064530247</v>
      </c>
      <c r="CP9" s="99">
        <v>2.332409900182709</v>
      </c>
      <c r="CQ9" s="99">
        <v>1637.3517499282618</v>
      </c>
      <c r="CR9" s="99">
        <v>6.7748550099214375</v>
      </c>
      <c r="CS9" s="99">
        <v>4755.9482169648491</v>
      </c>
      <c r="CT9" s="99">
        <v>11.046860577074233</v>
      </c>
      <c r="CU9" s="99">
        <v>7754.896125106111</v>
      </c>
    </row>
    <row r="10" spans="1:99">
      <c r="C10" s="98" t="s">
        <v>176</v>
      </c>
      <c r="D10" s="99">
        <v>1.0400299957797914</v>
      </c>
      <c r="E10" s="99">
        <v>566.60834170083035</v>
      </c>
      <c r="F10" s="99">
        <v>4.1783473916774403</v>
      </c>
      <c r="G10" s="99">
        <v>2276.3636589858693</v>
      </c>
      <c r="H10" s="99">
        <v>0.53546092615878016</v>
      </c>
      <c r="I10" s="99">
        <v>291.71911257130341</v>
      </c>
      <c r="J10" s="99">
        <v>9.7304514777696998</v>
      </c>
      <c r="K10" s="99">
        <v>5301.1499650889318</v>
      </c>
      <c r="L10" s="99">
        <v>5</v>
      </c>
      <c r="M10" s="99">
        <v>2724</v>
      </c>
      <c r="N10" s="99">
        <v>6</v>
      </c>
      <c r="O10" s="99">
        <v>3268.7999999999997</v>
      </c>
      <c r="P10" s="99">
        <v>8</v>
      </c>
      <c r="Q10" s="99">
        <v>4358.3999999999996</v>
      </c>
      <c r="R10" s="99">
        <v>8.7842894613786449</v>
      </c>
      <c r="S10" s="99">
        <v>4785.6808985590851</v>
      </c>
      <c r="T10" s="99">
        <v>7.4104483321410628</v>
      </c>
      <c r="U10" s="99">
        <v>4037.2122513504505</v>
      </c>
      <c r="V10" s="99">
        <v>6.7743498333251013</v>
      </c>
      <c r="W10" s="99">
        <v>3690.6657891955151</v>
      </c>
      <c r="X10" s="99">
        <v>7.970230400396324</v>
      </c>
      <c r="Y10" s="99">
        <v>4342.1815221359166</v>
      </c>
      <c r="Z10" s="99">
        <v>4.8514989326478108</v>
      </c>
      <c r="AA10" s="99">
        <v>2643.0966185065272</v>
      </c>
      <c r="AB10" s="99">
        <v>6</v>
      </c>
      <c r="AC10" s="99">
        <v>3268.7999999999997</v>
      </c>
      <c r="AD10" s="99">
        <v>6.8885108202266325</v>
      </c>
      <c r="AE10" s="99">
        <v>3752.8606948594693</v>
      </c>
      <c r="AF10" s="99">
        <v>9.8066831163994728</v>
      </c>
      <c r="AG10" s="99">
        <v>5342.6809618144325</v>
      </c>
      <c r="AH10" s="99">
        <v>7.1156197846401463</v>
      </c>
      <c r="AI10" s="99">
        <v>3876.5896586719514</v>
      </c>
      <c r="AJ10" s="99">
        <v>7.9893896080895841</v>
      </c>
      <c r="AK10" s="99">
        <v>4352.6194584872046</v>
      </c>
      <c r="AL10" s="99">
        <v>8</v>
      </c>
      <c r="AM10" s="99">
        <v>4358.3999999999996</v>
      </c>
      <c r="AN10" s="99">
        <v>0.7829485935424314</v>
      </c>
      <c r="AO10" s="99">
        <v>426.55039376191661</v>
      </c>
      <c r="AP10" s="99">
        <v>5.935993535277559</v>
      </c>
      <c r="AQ10" s="99">
        <v>3233.9292780192141</v>
      </c>
      <c r="AR10" s="99">
        <v>9</v>
      </c>
      <c r="AS10" s="99">
        <v>4903.2</v>
      </c>
      <c r="AT10" s="99">
        <v>7</v>
      </c>
      <c r="AU10" s="99">
        <v>3813.5999999999995</v>
      </c>
      <c r="AV10" s="99">
        <v>6</v>
      </c>
      <c r="AW10" s="99">
        <v>3268.7999999999997</v>
      </c>
      <c r="AX10" s="99">
        <v>8.5904689880895457</v>
      </c>
      <c r="AY10" s="99">
        <v>4680.087504711184</v>
      </c>
      <c r="AZ10" s="99">
        <v>7</v>
      </c>
      <c r="BA10" s="99">
        <v>3813.5999999999995</v>
      </c>
      <c r="BB10" s="99">
        <v>8.7833345109678405</v>
      </c>
      <c r="BC10" s="99">
        <v>4785.1606415752794</v>
      </c>
      <c r="BD10" s="99">
        <v>7</v>
      </c>
      <c r="BE10" s="99">
        <v>3813.5999999999995</v>
      </c>
      <c r="BF10" s="99">
        <v>5</v>
      </c>
      <c r="BG10" s="99">
        <v>2724</v>
      </c>
      <c r="BH10" s="99">
        <v>6.5626924111147344</v>
      </c>
      <c r="BI10" s="99">
        <v>3575.3548255753071</v>
      </c>
      <c r="BJ10" s="99">
        <v>4.3667279474578322</v>
      </c>
      <c r="BK10" s="99">
        <v>2378.9933857750266</v>
      </c>
      <c r="BL10" s="99">
        <v>9</v>
      </c>
      <c r="BM10" s="99">
        <v>4903.2</v>
      </c>
      <c r="BN10" s="99">
        <v>7.4388081760980604</v>
      </c>
      <c r="BO10" s="99">
        <v>4052.662694338223</v>
      </c>
      <c r="BP10" s="99">
        <v>6.6398371927464295</v>
      </c>
      <c r="BQ10" s="99">
        <v>3617.3833026082543</v>
      </c>
      <c r="BR10" s="99">
        <v>8.2932426827304564</v>
      </c>
      <c r="BS10" s="99">
        <v>4518.1586135515527</v>
      </c>
      <c r="BT10" s="99">
        <v>1.6167620438853174</v>
      </c>
      <c r="BU10" s="99">
        <v>880.81196150872086</v>
      </c>
      <c r="BV10" s="99">
        <v>5.8001500379504805</v>
      </c>
      <c r="BW10" s="99">
        <v>3159.9217406754215</v>
      </c>
      <c r="BX10" s="99">
        <v>6</v>
      </c>
      <c r="BY10" s="99">
        <v>3268.7999999999997</v>
      </c>
      <c r="BZ10" s="99">
        <v>2.9768576838332717</v>
      </c>
      <c r="CA10" s="99">
        <v>1621.7920661523663</v>
      </c>
      <c r="CB10" s="99">
        <v>7.3475852734993534</v>
      </c>
      <c r="CC10" s="99">
        <v>4002.9644570024475</v>
      </c>
      <c r="CD10" s="99">
        <v>7</v>
      </c>
      <c r="CE10" s="99">
        <v>3813.5999999999995</v>
      </c>
      <c r="CF10" s="99">
        <v>9</v>
      </c>
      <c r="CG10" s="99">
        <v>4903.2</v>
      </c>
      <c r="CH10" s="99">
        <v>11</v>
      </c>
      <c r="CI10" s="99">
        <v>5992.7999999999993</v>
      </c>
      <c r="CJ10" s="99">
        <v>9.7539630285909542</v>
      </c>
      <c r="CK10" s="99">
        <v>5313.9590579763517</v>
      </c>
      <c r="CL10" s="99">
        <v>1.2060817906829995</v>
      </c>
      <c r="CM10" s="99">
        <v>657.07335956409804</v>
      </c>
      <c r="CN10" s="99">
        <v>8.3790573821362582</v>
      </c>
      <c r="CO10" s="99">
        <v>4564.9104617878329</v>
      </c>
      <c r="CP10" s="99">
        <v>1.9992084858708932</v>
      </c>
      <c r="CQ10" s="99">
        <v>1089.1687831024626</v>
      </c>
      <c r="CR10" s="99">
        <v>7.5353063299507062</v>
      </c>
      <c r="CS10" s="99">
        <v>4105.2348885571446</v>
      </c>
      <c r="CT10" s="99">
        <v>11.33926923094198</v>
      </c>
      <c r="CU10" s="99">
        <v>6177.6338770171906</v>
      </c>
    </row>
    <row r="11" spans="1:99">
      <c r="C11" s="98" t="s">
        <v>177</v>
      </c>
      <c r="D11" s="99">
        <v>1.0191882154632603</v>
      </c>
      <c r="E11" s="99">
        <v>543.02348119882504</v>
      </c>
      <c r="F11" s="99">
        <v>3.5097756796217849</v>
      </c>
      <c r="G11" s="99">
        <v>1870.0084821024868</v>
      </c>
      <c r="H11" s="99">
        <v>0.53546092615878016</v>
      </c>
      <c r="I11" s="99">
        <v>285.29358145739803</v>
      </c>
      <c r="J11" s="99">
        <v>9.7304514777696998</v>
      </c>
      <c r="K11" s="99">
        <v>5184.3845473556958</v>
      </c>
      <c r="L11" s="99">
        <v>5</v>
      </c>
      <c r="M11" s="99">
        <v>2664</v>
      </c>
      <c r="N11" s="99">
        <v>7</v>
      </c>
      <c r="O11" s="99">
        <v>3729.5999999999995</v>
      </c>
      <c r="P11" s="99">
        <v>7</v>
      </c>
      <c r="Q11" s="99">
        <v>3729.5999999999995</v>
      </c>
      <c r="R11" s="99">
        <v>8.7842894613786449</v>
      </c>
      <c r="S11" s="99">
        <v>4680.2694250225413</v>
      </c>
      <c r="T11" s="99">
        <v>7.4104483321410628</v>
      </c>
      <c r="U11" s="99">
        <v>3948.2868713647581</v>
      </c>
      <c r="V11" s="99">
        <v>7.6211435624907384</v>
      </c>
      <c r="W11" s="99">
        <v>4060.545290095065</v>
      </c>
      <c r="X11" s="99">
        <v>6.9739516003467825</v>
      </c>
      <c r="Y11" s="99">
        <v>3715.7214126647655</v>
      </c>
      <c r="Z11" s="99">
        <v>4.8514989326478108</v>
      </c>
      <c r="AA11" s="99">
        <v>2584.8786313147534</v>
      </c>
      <c r="AB11" s="99">
        <v>7</v>
      </c>
      <c r="AC11" s="99">
        <v>3729.5999999999995</v>
      </c>
      <c r="AD11" s="99">
        <v>6.8885108202266325</v>
      </c>
      <c r="AE11" s="99">
        <v>3670.1985650167494</v>
      </c>
      <c r="AF11" s="99">
        <v>9.8066831163994728</v>
      </c>
      <c r="AG11" s="99">
        <v>5225.0007644176385</v>
      </c>
      <c r="AH11" s="99">
        <v>7.1156197846401463</v>
      </c>
      <c r="AI11" s="99">
        <v>3791.2022212562697</v>
      </c>
      <c r="AJ11" s="99">
        <v>7.9893896080895841</v>
      </c>
      <c r="AK11" s="99">
        <v>4256.7467831901304</v>
      </c>
      <c r="AL11" s="99">
        <v>8</v>
      </c>
      <c r="AM11" s="99">
        <v>4262.3999999999996</v>
      </c>
      <c r="AN11" s="99">
        <v>0.7829485935424314</v>
      </c>
      <c r="AO11" s="99">
        <v>417.15501063940741</v>
      </c>
      <c r="AP11" s="99">
        <v>5.935993535277559</v>
      </c>
      <c r="AQ11" s="99">
        <v>3162.697355595883</v>
      </c>
      <c r="AR11" s="99">
        <v>9</v>
      </c>
      <c r="AS11" s="99">
        <v>4795.2</v>
      </c>
      <c r="AT11" s="99">
        <v>6</v>
      </c>
      <c r="AU11" s="99">
        <v>3196.7999999999997</v>
      </c>
      <c r="AV11" s="99">
        <v>5</v>
      </c>
      <c r="AW11" s="99">
        <v>2664</v>
      </c>
      <c r="AX11" s="99">
        <v>7.6359724338573738</v>
      </c>
      <c r="AY11" s="99">
        <v>4068.4461127592085</v>
      </c>
      <c r="AZ11" s="99">
        <v>7</v>
      </c>
      <c r="BA11" s="99">
        <v>3729.5999999999995</v>
      </c>
      <c r="BB11" s="99">
        <v>9.7592605677420448</v>
      </c>
      <c r="BC11" s="99">
        <v>5199.7340304929612</v>
      </c>
      <c r="BD11" s="99">
        <v>7</v>
      </c>
      <c r="BE11" s="99">
        <v>3729.5999999999995</v>
      </c>
      <c r="BF11" s="99">
        <v>5</v>
      </c>
      <c r="BG11" s="99">
        <v>2664</v>
      </c>
      <c r="BH11" s="99">
        <v>6.5626924111147344</v>
      </c>
      <c r="BI11" s="99">
        <v>3496.6025166419304</v>
      </c>
      <c r="BJ11" s="99">
        <v>4.3667279474578322</v>
      </c>
      <c r="BK11" s="99">
        <v>2326.5926504055328</v>
      </c>
      <c r="BL11" s="99">
        <v>9</v>
      </c>
      <c r="BM11" s="99">
        <v>4795.2</v>
      </c>
      <c r="BN11" s="99">
        <v>8.3686591981103184</v>
      </c>
      <c r="BO11" s="99">
        <v>4458.8216207531777</v>
      </c>
      <c r="BP11" s="99">
        <v>7.5883853631387757</v>
      </c>
      <c r="BQ11" s="99">
        <v>4043.0917214803394</v>
      </c>
      <c r="BR11" s="99">
        <v>9.5588994305309285</v>
      </c>
      <c r="BS11" s="99">
        <v>5092.9816165868779</v>
      </c>
      <c r="BT11" s="99">
        <v>1.8135462455130871</v>
      </c>
      <c r="BU11" s="99">
        <v>966.25743960937268</v>
      </c>
      <c r="BV11" s="99">
        <v>5.7223673898496958</v>
      </c>
      <c r="BW11" s="99">
        <v>3048.8773453119179</v>
      </c>
      <c r="BX11" s="99">
        <v>7</v>
      </c>
      <c r="BY11" s="99">
        <v>3729.5999999999995</v>
      </c>
      <c r="BZ11" s="99">
        <v>2.6251865672926398</v>
      </c>
      <c r="CA11" s="99">
        <v>1398.6994030535184</v>
      </c>
      <c r="CB11" s="99">
        <v>7.3435716922446197</v>
      </c>
      <c r="CC11" s="99">
        <v>3912.654997627933</v>
      </c>
      <c r="CD11" s="99">
        <v>8.0513322775044838</v>
      </c>
      <c r="CE11" s="99">
        <v>4289.7498374543884</v>
      </c>
      <c r="CF11" s="99">
        <v>9</v>
      </c>
      <c r="CG11" s="99">
        <v>4795.2</v>
      </c>
      <c r="CH11" s="99">
        <v>10</v>
      </c>
      <c r="CI11" s="99">
        <v>5328</v>
      </c>
      <c r="CJ11" s="99">
        <v>8.7785667257318583</v>
      </c>
      <c r="CK11" s="99">
        <v>4677.220351469934</v>
      </c>
      <c r="CL11" s="99">
        <v>1.0990312385304972</v>
      </c>
      <c r="CM11" s="99">
        <v>585.56384388904883</v>
      </c>
      <c r="CN11" s="99">
        <v>9.3790573821362582</v>
      </c>
      <c r="CO11" s="99">
        <v>4997.1617732021978</v>
      </c>
      <c r="CP11" s="99">
        <v>1.9992084858708932</v>
      </c>
      <c r="CQ11" s="99">
        <v>1065.1782812720119</v>
      </c>
      <c r="CR11" s="99">
        <v>7.6110192326309303</v>
      </c>
      <c r="CS11" s="99">
        <v>4055.1510471457591</v>
      </c>
      <c r="CT11" s="99">
        <v>12.33926923094198</v>
      </c>
      <c r="CU11" s="99">
        <v>6574.362646245886</v>
      </c>
    </row>
    <row r="12" spans="1:99">
      <c r="C12" s="98" t="s">
        <v>178</v>
      </c>
      <c r="D12" s="99">
        <v>1.1632978333639736</v>
      </c>
      <c r="E12" s="99">
        <v>654.70402061724428</v>
      </c>
      <c r="F12" s="99">
        <v>3.5097756796217849</v>
      </c>
      <c r="G12" s="99">
        <v>1975.3017524911404</v>
      </c>
      <c r="H12" s="99">
        <v>0.53546092615878016</v>
      </c>
      <c r="I12" s="99">
        <v>301.35740924216145</v>
      </c>
      <c r="J12" s="99">
        <v>9.8034966255466696</v>
      </c>
      <c r="K12" s="99">
        <v>5517.4079008576655</v>
      </c>
      <c r="L12" s="99">
        <v>6</v>
      </c>
      <c r="M12" s="99">
        <v>3376.7999999999997</v>
      </c>
      <c r="N12" s="99">
        <v>7</v>
      </c>
      <c r="O12" s="99">
        <v>3939.5999999999995</v>
      </c>
      <c r="P12" s="99">
        <v>8</v>
      </c>
      <c r="Q12" s="99">
        <v>4502.3999999999996</v>
      </c>
      <c r="R12" s="99">
        <v>8.7842894613786449</v>
      </c>
      <c r="S12" s="99">
        <v>4943.7981088639008</v>
      </c>
      <c r="T12" s="99">
        <v>6.4841422906234296</v>
      </c>
      <c r="U12" s="99">
        <v>3649.2752811628657</v>
      </c>
      <c r="V12" s="99">
        <v>8.4679372916563764</v>
      </c>
      <c r="W12" s="99">
        <v>4765.7551077442085</v>
      </c>
      <c r="X12" s="99">
        <v>5.9776728002972428</v>
      </c>
      <c r="Y12" s="99">
        <v>3364.234252007288</v>
      </c>
      <c r="Z12" s="99">
        <v>5.8217987191773721</v>
      </c>
      <c r="AA12" s="99">
        <v>3276.5083191530248</v>
      </c>
      <c r="AB12" s="99">
        <v>7</v>
      </c>
      <c r="AC12" s="99">
        <v>3939.5999999999995</v>
      </c>
      <c r="AD12" s="99">
        <v>5.904437845908542</v>
      </c>
      <c r="AE12" s="99">
        <v>3323.0176196773273</v>
      </c>
      <c r="AF12" s="99">
        <v>9.8066831163994728</v>
      </c>
      <c r="AG12" s="99">
        <v>5519.2012579096227</v>
      </c>
      <c r="AH12" s="99">
        <v>7.1156197846401463</v>
      </c>
      <c r="AI12" s="99">
        <v>4004.6708147954741</v>
      </c>
      <c r="AJ12" s="99">
        <v>7.1016796516351848</v>
      </c>
      <c r="AK12" s="99">
        <v>3996.8253079402816</v>
      </c>
      <c r="AL12" s="99">
        <v>8</v>
      </c>
      <c r="AM12" s="99">
        <v>4502.3999999999996</v>
      </c>
      <c r="AN12" s="99">
        <v>0.7829485935424314</v>
      </c>
      <c r="AO12" s="99">
        <v>440.64346844568036</v>
      </c>
      <c r="AP12" s="99">
        <v>5.935993535277559</v>
      </c>
      <c r="AQ12" s="99">
        <v>3340.77716165421</v>
      </c>
      <c r="AR12" s="99">
        <v>9</v>
      </c>
      <c r="AS12" s="99">
        <v>5065.2</v>
      </c>
      <c r="AT12" s="99">
        <v>6</v>
      </c>
      <c r="AU12" s="99">
        <v>3376.7999999999997</v>
      </c>
      <c r="AV12" s="99">
        <v>5</v>
      </c>
      <c r="AW12" s="99">
        <v>2814</v>
      </c>
      <c r="AX12" s="99">
        <v>8.5904689880895457</v>
      </c>
      <c r="AY12" s="99">
        <v>4834.7159464967963</v>
      </c>
      <c r="AZ12" s="99">
        <v>7</v>
      </c>
      <c r="BA12" s="99">
        <v>3939.5999999999995</v>
      </c>
      <c r="BB12" s="99">
        <v>7.8074084541936362</v>
      </c>
      <c r="BC12" s="99">
        <v>4394.009478020178</v>
      </c>
      <c r="BD12" s="99">
        <v>7</v>
      </c>
      <c r="BE12" s="99">
        <v>3939.5999999999995</v>
      </c>
      <c r="BF12" s="99">
        <v>6</v>
      </c>
      <c r="BG12" s="99">
        <v>3376.7999999999997</v>
      </c>
      <c r="BH12" s="99">
        <v>7.50021989841684</v>
      </c>
      <c r="BI12" s="99">
        <v>4221.1237588289969</v>
      </c>
      <c r="BJ12" s="99">
        <v>5.2400735369493985</v>
      </c>
      <c r="BK12" s="99">
        <v>2949.113386595121</v>
      </c>
      <c r="BL12" s="99">
        <v>10</v>
      </c>
      <c r="BM12" s="99">
        <v>5628</v>
      </c>
      <c r="BN12" s="99">
        <v>9.9150774850575516</v>
      </c>
      <c r="BO12" s="99">
        <v>5580.2056085903896</v>
      </c>
      <c r="BP12" s="99">
        <v>6.6398371927464295</v>
      </c>
      <c r="BQ12" s="99">
        <v>3736.90037207769</v>
      </c>
      <c r="BR12" s="99">
        <v>8.5319566256886166</v>
      </c>
      <c r="BS12" s="99">
        <v>4801.7851889375534</v>
      </c>
      <c r="BT12" s="99">
        <v>1.6167620438853174</v>
      </c>
      <c r="BU12" s="99">
        <v>909.91367829865658</v>
      </c>
      <c r="BV12" s="99">
        <v>6.6372039641075871</v>
      </c>
      <c r="BW12" s="99">
        <v>3735.4183909997496</v>
      </c>
      <c r="BX12" s="99">
        <v>8.6180750137476974</v>
      </c>
      <c r="BY12" s="99">
        <v>4850.2526177372038</v>
      </c>
      <c r="BZ12" s="99">
        <v>2.961995070059797</v>
      </c>
      <c r="CA12" s="99">
        <v>1667.0108254296536</v>
      </c>
      <c r="CB12" s="99">
        <v>7.4950233737694756</v>
      </c>
      <c r="CC12" s="99">
        <v>4218.1991547574607</v>
      </c>
      <c r="CD12" s="99">
        <v>9.0513322775044838</v>
      </c>
      <c r="CE12" s="99">
        <v>5094.089805779523</v>
      </c>
      <c r="CF12" s="99">
        <v>9</v>
      </c>
      <c r="CG12" s="99">
        <v>5065.2</v>
      </c>
      <c r="CH12" s="99">
        <v>11</v>
      </c>
      <c r="CI12" s="99">
        <v>6190.7999999999993</v>
      </c>
      <c r="CJ12" s="99">
        <v>7.8031704228727632</v>
      </c>
      <c r="CK12" s="99">
        <v>4391.624313992791</v>
      </c>
      <c r="CL12" s="99">
        <v>1.0926921903070586</v>
      </c>
      <c r="CM12" s="99">
        <v>614.96716470481249</v>
      </c>
      <c r="CN12" s="99">
        <v>8.2258287841211182</v>
      </c>
      <c r="CO12" s="99">
        <v>4629.4964397033646</v>
      </c>
      <c r="CP12" s="99">
        <v>2.332409900182709</v>
      </c>
      <c r="CQ12" s="99">
        <v>1312.6802918228286</v>
      </c>
      <c r="CR12" s="99">
        <v>7.5353063299507062</v>
      </c>
      <c r="CS12" s="99">
        <v>4240.8704024962572</v>
      </c>
      <c r="CT12" s="99">
        <v>11.046860577074233</v>
      </c>
      <c r="CU12" s="99">
        <v>6217.1731327773778</v>
      </c>
    </row>
    <row r="13" spans="1:99">
      <c r="C13" s="98" t="s">
        <v>179</v>
      </c>
      <c r="D13" s="99">
        <v>1.1632978333639736</v>
      </c>
      <c r="E13" s="99">
        <v>99.112975402610559</v>
      </c>
      <c r="F13" s="99">
        <v>3.5515049594576626</v>
      </c>
      <c r="G13" s="99">
        <v>302.58822254579286</v>
      </c>
      <c r="H13" s="99">
        <v>0.53546092615878016</v>
      </c>
      <c r="I13" s="99">
        <v>45.621270908728071</v>
      </c>
      <c r="J13" s="99">
        <v>9.8034966255466696</v>
      </c>
      <c r="K13" s="99">
        <v>835.2579124965763</v>
      </c>
      <c r="L13" s="99">
        <v>6</v>
      </c>
      <c r="M13" s="99">
        <v>511.20000000000005</v>
      </c>
      <c r="N13" s="99">
        <v>6</v>
      </c>
      <c r="O13" s="99">
        <v>511.20000000000005</v>
      </c>
      <c r="P13" s="99">
        <v>9</v>
      </c>
      <c r="Q13" s="99">
        <v>766.80000000000007</v>
      </c>
      <c r="R13" s="99">
        <v>8.7842894613786449</v>
      </c>
      <c r="S13" s="99">
        <v>748.42146210946055</v>
      </c>
      <c r="T13" s="99">
        <v>7.4104483321410628</v>
      </c>
      <c r="U13" s="99">
        <v>631.37019789841861</v>
      </c>
      <c r="V13" s="99">
        <v>8.4679372916563764</v>
      </c>
      <c r="W13" s="99">
        <v>721.46825724912333</v>
      </c>
      <c r="X13" s="99">
        <v>6.9739516003467825</v>
      </c>
      <c r="Y13" s="99">
        <v>594.18067634954593</v>
      </c>
      <c r="Z13" s="99">
        <v>4.8514989326478108</v>
      </c>
      <c r="AA13" s="99">
        <v>413.34770906159349</v>
      </c>
      <c r="AB13" s="99">
        <v>7</v>
      </c>
      <c r="AC13" s="99">
        <v>596.4</v>
      </c>
      <c r="AD13" s="99">
        <v>6.8885108202266325</v>
      </c>
      <c r="AE13" s="99">
        <v>586.90112188330909</v>
      </c>
      <c r="AF13" s="99">
        <v>9.8066831163994728</v>
      </c>
      <c r="AG13" s="99">
        <v>835.5294015172351</v>
      </c>
      <c r="AH13" s="99">
        <v>7.1156197846401463</v>
      </c>
      <c r="AI13" s="99">
        <v>606.25080565134044</v>
      </c>
      <c r="AJ13" s="99">
        <v>7.9893896080895841</v>
      </c>
      <c r="AK13" s="99">
        <v>680.69599460923257</v>
      </c>
      <c r="AL13" s="99">
        <v>8</v>
      </c>
      <c r="AM13" s="99">
        <v>681.6</v>
      </c>
      <c r="AN13" s="99">
        <v>0.7829485935424314</v>
      </c>
      <c r="AO13" s="99">
        <v>66.707220169815159</v>
      </c>
      <c r="AP13" s="99">
        <v>6.8509032138886896</v>
      </c>
      <c r="AQ13" s="99">
        <v>583.69695382331633</v>
      </c>
      <c r="AR13" s="99">
        <v>10</v>
      </c>
      <c r="AS13" s="99">
        <v>852</v>
      </c>
      <c r="AT13" s="99">
        <v>7</v>
      </c>
      <c r="AU13" s="99">
        <v>596.4</v>
      </c>
      <c r="AV13" s="99">
        <v>5</v>
      </c>
      <c r="AW13" s="99">
        <v>426</v>
      </c>
      <c r="AX13" s="99">
        <v>7.6359724338573738</v>
      </c>
      <c r="AY13" s="99">
        <v>650.58485136464822</v>
      </c>
      <c r="AZ13" s="99">
        <v>7</v>
      </c>
      <c r="BA13" s="99">
        <v>596.4</v>
      </c>
      <c r="BB13" s="99">
        <v>8.7833345109678405</v>
      </c>
      <c r="BC13" s="99">
        <v>748.34010033445998</v>
      </c>
      <c r="BD13" s="99">
        <v>7</v>
      </c>
      <c r="BE13" s="99">
        <v>596.4</v>
      </c>
      <c r="BF13" s="99">
        <v>6</v>
      </c>
      <c r="BG13" s="99">
        <v>511.20000000000005</v>
      </c>
      <c r="BH13" s="99">
        <v>7.50021989841684</v>
      </c>
      <c r="BI13" s="99">
        <v>639.01873534511481</v>
      </c>
      <c r="BJ13" s="99">
        <v>4.3667279474578322</v>
      </c>
      <c r="BK13" s="99">
        <v>372.04522112340732</v>
      </c>
      <c r="BL13" s="99">
        <v>10</v>
      </c>
      <c r="BM13" s="99">
        <v>852</v>
      </c>
      <c r="BN13" s="99">
        <v>10.13599438319287</v>
      </c>
      <c r="BO13" s="99">
        <v>863.58672144803256</v>
      </c>
      <c r="BP13" s="99">
        <v>7.332194752587518</v>
      </c>
      <c r="BQ13" s="99">
        <v>624.7029929204565</v>
      </c>
      <c r="BR13" s="99">
        <v>8.2932426827304564</v>
      </c>
      <c r="BS13" s="99">
        <v>706.58427656863489</v>
      </c>
      <c r="BT13" s="99">
        <v>1.6167620438853174</v>
      </c>
      <c r="BU13" s="99">
        <v>137.74812613902904</v>
      </c>
      <c r="BV13" s="99">
        <v>6.6372039641075871</v>
      </c>
      <c r="BW13" s="99">
        <v>565.48977774196646</v>
      </c>
      <c r="BX13" s="99">
        <v>7</v>
      </c>
      <c r="BY13" s="99">
        <v>596.4</v>
      </c>
      <c r="BZ13" s="99">
        <v>2.6251865672926398</v>
      </c>
      <c r="CA13" s="99">
        <v>223.66589553333293</v>
      </c>
      <c r="CB13" s="99">
        <v>7.4950233737694756</v>
      </c>
      <c r="CC13" s="99">
        <v>638.57599144515939</v>
      </c>
      <c r="CD13" s="99">
        <v>7</v>
      </c>
      <c r="CE13" s="99">
        <v>596.4</v>
      </c>
      <c r="CF13" s="99">
        <v>10</v>
      </c>
      <c r="CG13" s="99">
        <v>852</v>
      </c>
      <c r="CH13" s="99">
        <v>11</v>
      </c>
      <c r="CI13" s="99">
        <v>937.2</v>
      </c>
      <c r="CJ13" s="99">
        <v>9.7539630285909542</v>
      </c>
      <c r="CK13" s="99">
        <v>831.03765003594935</v>
      </c>
      <c r="CL13" s="99">
        <v>1.0990312385304972</v>
      </c>
      <c r="CM13" s="99">
        <v>93.637461522798361</v>
      </c>
      <c r="CN13" s="99">
        <v>10.379057382136258</v>
      </c>
      <c r="CO13" s="99">
        <v>884.29568895800924</v>
      </c>
      <c r="CP13" s="99">
        <v>2.332409900182709</v>
      </c>
      <c r="CQ13" s="99">
        <v>198.72132349556682</v>
      </c>
      <c r="CR13" s="99">
        <v>6.3837395089576896</v>
      </c>
      <c r="CS13" s="99">
        <v>543.89460616319514</v>
      </c>
      <c r="CT13" s="99">
        <v>13.33926923094198</v>
      </c>
      <c r="CU13" s="99">
        <v>1136.5057384762567</v>
      </c>
    </row>
    <row r="14" spans="1:99">
      <c r="C14" s="98" t="s">
        <v>180</v>
      </c>
      <c r="D14" s="99">
        <v>1.1528769432057082</v>
      </c>
      <c r="E14" s="99">
        <v>563.06509906166787</v>
      </c>
      <c r="F14" s="99">
        <v>4.1783473916774403</v>
      </c>
      <c r="G14" s="99">
        <v>2040.7048660952617</v>
      </c>
      <c r="H14" s="99">
        <v>0.64255311139053628</v>
      </c>
      <c r="I14" s="99">
        <v>313.82293960313791</v>
      </c>
      <c r="J14" s="99">
        <v>9.8034966255466696</v>
      </c>
      <c r="K14" s="99">
        <v>4788.0277519169931</v>
      </c>
      <c r="L14" s="99">
        <v>5</v>
      </c>
      <c r="M14" s="99">
        <v>2442</v>
      </c>
      <c r="N14" s="99">
        <v>6</v>
      </c>
      <c r="O14" s="99">
        <v>2930.3999999999996</v>
      </c>
      <c r="P14" s="99">
        <v>7</v>
      </c>
      <c r="Q14" s="99">
        <v>3418.7999999999997</v>
      </c>
      <c r="R14" s="99">
        <v>8.7842894613786449</v>
      </c>
      <c r="S14" s="99">
        <v>4290.2469729373297</v>
      </c>
      <c r="T14" s="99">
        <v>7.4104483321410628</v>
      </c>
      <c r="U14" s="99">
        <v>3619.2629654176949</v>
      </c>
      <c r="V14" s="99">
        <v>8.4679372916563764</v>
      </c>
      <c r="W14" s="99">
        <v>4135.7405732449743</v>
      </c>
      <c r="X14" s="99">
        <v>7.970230400396324</v>
      </c>
      <c r="Y14" s="99">
        <v>3892.6605275535644</v>
      </c>
      <c r="Z14" s="99">
        <v>4.8514989326478108</v>
      </c>
      <c r="AA14" s="99">
        <v>2369.4720787051906</v>
      </c>
      <c r="AB14" s="99">
        <v>6</v>
      </c>
      <c r="AC14" s="99">
        <v>2930.3999999999996</v>
      </c>
      <c r="AD14" s="99">
        <v>6.8885108202266325</v>
      </c>
      <c r="AE14" s="99">
        <v>3364.3486845986872</v>
      </c>
      <c r="AF14" s="99">
        <v>9.8066831163994728</v>
      </c>
      <c r="AG14" s="99">
        <v>4789.5840340495024</v>
      </c>
      <c r="AH14" s="99">
        <v>7.1156197846401463</v>
      </c>
      <c r="AI14" s="99">
        <v>3475.2687028182472</v>
      </c>
      <c r="AJ14" s="99">
        <v>7.9893896080895841</v>
      </c>
      <c r="AK14" s="99">
        <v>3902.0178845909527</v>
      </c>
      <c r="AL14" s="99">
        <v>9</v>
      </c>
      <c r="AM14" s="99">
        <v>4395.5999999999995</v>
      </c>
      <c r="AN14" s="99">
        <v>0.7829485935424314</v>
      </c>
      <c r="AO14" s="99">
        <v>382.39209308612345</v>
      </c>
      <c r="AP14" s="99">
        <v>6.0210838566664275</v>
      </c>
      <c r="AQ14" s="99">
        <v>2940.697355595883</v>
      </c>
      <c r="AR14" s="99">
        <v>10</v>
      </c>
      <c r="AS14" s="99">
        <v>4884</v>
      </c>
      <c r="AT14" s="99">
        <v>6</v>
      </c>
      <c r="AU14" s="99">
        <v>2930.3999999999996</v>
      </c>
      <c r="AV14" s="99">
        <v>6</v>
      </c>
      <c r="AW14" s="99">
        <v>2930.3999999999996</v>
      </c>
      <c r="AX14" s="99">
        <v>7.6359724338573738</v>
      </c>
      <c r="AY14" s="99">
        <v>3729.4089366959411</v>
      </c>
      <c r="AZ14" s="99">
        <v>8</v>
      </c>
      <c r="BA14" s="99">
        <v>3907.2</v>
      </c>
      <c r="BB14" s="99">
        <v>8.7833345109678405</v>
      </c>
      <c r="BC14" s="99">
        <v>4289.780575156693</v>
      </c>
      <c r="BD14" s="99">
        <v>7</v>
      </c>
      <c r="BE14" s="99">
        <v>3418.7999999999997</v>
      </c>
      <c r="BF14" s="99">
        <v>5</v>
      </c>
      <c r="BG14" s="99">
        <v>2442</v>
      </c>
      <c r="BH14" s="99">
        <v>6.5626924111147344</v>
      </c>
      <c r="BI14" s="99">
        <v>3205.2189735884363</v>
      </c>
      <c r="BJ14" s="99">
        <v>4.3667279474578322</v>
      </c>
      <c r="BK14" s="99">
        <v>2132.709929538405</v>
      </c>
      <c r="BL14" s="99">
        <v>10</v>
      </c>
      <c r="BM14" s="99">
        <v>4884</v>
      </c>
      <c r="BN14" s="99">
        <v>8.9852264630452936</v>
      </c>
      <c r="BO14" s="99">
        <v>4388.384604551321</v>
      </c>
      <c r="BP14" s="99">
        <v>7.5883853631387757</v>
      </c>
      <c r="BQ14" s="99">
        <v>3706.1674113569779</v>
      </c>
      <c r="BR14" s="99">
        <v>9.4534280348808899</v>
      </c>
      <c r="BS14" s="99">
        <v>4617.0542522358264</v>
      </c>
      <c r="BT14" s="99">
        <v>1.8135462455130871</v>
      </c>
      <c r="BU14" s="99">
        <v>885.73598630859169</v>
      </c>
      <c r="BV14" s="99">
        <v>5.8001500379504805</v>
      </c>
      <c r="BW14" s="99">
        <v>2832.7932785350145</v>
      </c>
      <c r="BX14" s="99">
        <v>7</v>
      </c>
      <c r="BY14" s="99">
        <v>3418.7999999999997</v>
      </c>
      <c r="BZ14" s="99">
        <v>2.6251865672926398</v>
      </c>
      <c r="CA14" s="99">
        <v>1282.1411194657253</v>
      </c>
      <c r="CB14" s="99">
        <v>8.451254169818494</v>
      </c>
      <c r="CC14" s="99">
        <v>4127.5925365393523</v>
      </c>
      <c r="CD14" s="99">
        <v>9.0513322775044838</v>
      </c>
      <c r="CE14" s="99">
        <v>4420.6706843331895</v>
      </c>
      <c r="CF14" s="99">
        <v>9</v>
      </c>
      <c r="CG14" s="99">
        <v>4395.5999999999995</v>
      </c>
      <c r="CH14" s="99">
        <v>10</v>
      </c>
      <c r="CI14" s="99">
        <v>4884</v>
      </c>
      <c r="CJ14" s="99">
        <v>9.7539630285909542</v>
      </c>
      <c r="CK14" s="99">
        <v>4763.835543163822</v>
      </c>
      <c r="CL14" s="99">
        <v>1.2060817906829995</v>
      </c>
      <c r="CM14" s="99">
        <v>589.05034656957696</v>
      </c>
      <c r="CN14" s="99">
        <v>9.2258287841211182</v>
      </c>
      <c r="CO14" s="99">
        <v>4505.8947781647539</v>
      </c>
      <c r="CP14" s="99">
        <v>1.9992084858708932</v>
      </c>
      <c r="CQ14" s="99">
        <v>976.41342449934416</v>
      </c>
      <c r="CR14" s="99">
        <v>6.7748550099214375</v>
      </c>
      <c r="CS14" s="99">
        <v>3308.8391868456301</v>
      </c>
      <c r="CT14" s="99">
        <v>12.193064904008105</v>
      </c>
      <c r="CU14" s="99">
        <v>5955.0928991175588</v>
      </c>
    </row>
    <row r="15" spans="1:99">
      <c r="C15" s="98" t="s">
        <v>181</v>
      </c>
      <c r="D15" s="99">
        <v>1.0191882154632603</v>
      </c>
      <c r="E15" s="99">
        <v>777.84444604156022</v>
      </c>
      <c r="F15" s="99">
        <v>4.1783473916774403</v>
      </c>
      <c r="G15" s="99">
        <v>3188.9147293282222</v>
      </c>
      <c r="H15" s="99">
        <v>0.53546092615878016</v>
      </c>
      <c r="I15" s="99">
        <v>408.663778844381</v>
      </c>
      <c r="J15" s="99">
        <v>8.7304514777696998</v>
      </c>
      <c r="K15" s="99">
        <v>6663.0805678338338</v>
      </c>
      <c r="L15" s="99">
        <v>5</v>
      </c>
      <c r="M15" s="99">
        <v>3815.9999999999995</v>
      </c>
      <c r="N15" s="99">
        <v>7</v>
      </c>
      <c r="O15" s="99">
        <v>5342.4</v>
      </c>
      <c r="P15" s="99">
        <v>8</v>
      </c>
      <c r="Q15" s="99">
        <v>6105.5999999999995</v>
      </c>
      <c r="R15" s="99">
        <v>7.8082572990032393</v>
      </c>
      <c r="S15" s="99">
        <v>5959.261970599272</v>
      </c>
      <c r="T15" s="99">
        <v>7.4104483321410628</v>
      </c>
      <c r="U15" s="99">
        <v>5655.6541670900588</v>
      </c>
      <c r="V15" s="99">
        <v>7.6211435624907384</v>
      </c>
      <c r="W15" s="99">
        <v>5816.4567668929312</v>
      </c>
      <c r="X15" s="99">
        <v>6.9739516003467825</v>
      </c>
      <c r="Y15" s="99">
        <v>5322.5198613846642</v>
      </c>
      <c r="Z15" s="99">
        <v>5.8217987191773721</v>
      </c>
      <c r="AA15" s="99">
        <v>4443.1967824761696</v>
      </c>
      <c r="AB15" s="99">
        <v>6</v>
      </c>
      <c r="AC15" s="99">
        <v>4579.2</v>
      </c>
      <c r="AD15" s="99">
        <v>6.8885108202266325</v>
      </c>
      <c r="AE15" s="99">
        <v>5257.3114579969651</v>
      </c>
      <c r="AF15" s="99">
        <v>8.8260148047595273</v>
      </c>
      <c r="AG15" s="99">
        <v>6736.0144989924702</v>
      </c>
      <c r="AH15" s="99">
        <v>7.1156197846401463</v>
      </c>
      <c r="AI15" s="99">
        <v>5430.641019637359</v>
      </c>
      <c r="AJ15" s="99">
        <v>7.1016796516351848</v>
      </c>
      <c r="AK15" s="99">
        <v>5420.0019101279722</v>
      </c>
      <c r="AL15" s="99">
        <v>7</v>
      </c>
      <c r="AM15" s="99">
        <v>5342.4</v>
      </c>
      <c r="AN15" s="99">
        <v>0.7829485935424314</v>
      </c>
      <c r="AO15" s="99">
        <v>597.54636659158359</v>
      </c>
      <c r="AP15" s="99">
        <v>5.8509032138886896</v>
      </c>
      <c r="AQ15" s="99">
        <v>4465.4093328398476</v>
      </c>
      <c r="AR15" s="99">
        <v>9</v>
      </c>
      <c r="AS15" s="99">
        <v>6868.7999999999993</v>
      </c>
      <c r="AT15" s="99">
        <v>6</v>
      </c>
      <c r="AU15" s="99">
        <v>4579.2</v>
      </c>
      <c r="AV15" s="99">
        <v>5</v>
      </c>
      <c r="AW15" s="99">
        <v>3815.9999999999995</v>
      </c>
      <c r="AX15" s="99">
        <v>7.6359724338573738</v>
      </c>
      <c r="AY15" s="99">
        <v>5827.7741615199475</v>
      </c>
      <c r="AZ15" s="99">
        <v>7</v>
      </c>
      <c r="BA15" s="99">
        <v>5342.4</v>
      </c>
      <c r="BB15" s="99">
        <v>7.8074084541936362</v>
      </c>
      <c r="BC15" s="99">
        <v>5958.6141322405829</v>
      </c>
      <c r="BD15" s="99">
        <v>7</v>
      </c>
      <c r="BE15" s="99">
        <v>5342.4</v>
      </c>
      <c r="BF15" s="99">
        <v>5</v>
      </c>
      <c r="BG15" s="99">
        <v>3815.9999999999995</v>
      </c>
      <c r="BH15" s="99">
        <v>5.6251649238126298</v>
      </c>
      <c r="BI15" s="99">
        <v>4293.1258698537986</v>
      </c>
      <c r="BJ15" s="99">
        <v>4.3667279474578322</v>
      </c>
      <c r="BK15" s="99">
        <v>3332.6867694998173</v>
      </c>
      <c r="BL15" s="99">
        <v>8.8242936072073448</v>
      </c>
      <c r="BM15" s="99">
        <v>6734.7008810206453</v>
      </c>
      <c r="BN15" s="99">
        <v>7.4388081760980604</v>
      </c>
      <c r="BO15" s="99">
        <v>5677.2983999980388</v>
      </c>
      <c r="BP15" s="99">
        <v>6.6398371927464295</v>
      </c>
      <c r="BQ15" s="99">
        <v>5067.5237455040742</v>
      </c>
      <c r="BR15" s="99">
        <v>9.4534280348808899</v>
      </c>
      <c r="BS15" s="99">
        <v>7214.856276221095</v>
      </c>
      <c r="BT15" s="99">
        <v>1.6125132007990015</v>
      </c>
      <c r="BU15" s="99">
        <v>1230.6700748497979</v>
      </c>
      <c r="BV15" s="99">
        <v>5.8001500379504805</v>
      </c>
      <c r="BW15" s="99">
        <v>4426.6745089638061</v>
      </c>
      <c r="BX15" s="99">
        <v>6</v>
      </c>
      <c r="BY15" s="99">
        <v>4579.2</v>
      </c>
      <c r="BZ15" s="99">
        <v>2.6103239535191656</v>
      </c>
      <c r="CA15" s="99">
        <v>1992.199241325827</v>
      </c>
      <c r="CB15" s="99">
        <v>8.3038160695483736</v>
      </c>
      <c r="CC15" s="99">
        <v>6337.4724242793181</v>
      </c>
      <c r="CD15" s="99">
        <v>8.1469079390958008</v>
      </c>
      <c r="CE15" s="99">
        <v>6217.7201391179142</v>
      </c>
      <c r="CF15" s="99">
        <v>10</v>
      </c>
      <c r="CG15" s="99">
        <v>7631.9999999999991</v>
      </c>
      <c r="CH15" s="99">
        <v>11</v>
      </c>
      <c r="CI15" s="99">
        <v>8395.1999999999989</v>
      </c>
      <c r="CJ15" s="99">
        <v>8.7785667257318583</v>
      </c>
      <c r="CK15" s="99">
        <v>6699.8021250785532</v>
      </c>
      <c r="CL15" s="99">
        <v>1.0958617144187777</v>
      </c>
      <c r="CM15" s="99">
        <v>836.36166044441109</v>
      </c>
      <c r="CN15" s="99">
        <v>9.2258287841211182</v>
      </c>
      <c r="CO15" s="99">
        <v>7041.152528041237</v>
      </c>
      <c r="CP15" s="99">
        <v>2.332409900182709</v>
      </c>
      <c r="CQ15" s="99">
        <v>1780.0952358194434</v>
      </c>
      <c r="CR15" s="99">
        <v>7.5377634113420244</v>
      </c>
      <c r="CS15" s="99">
        <v>5752.8210355362326</v>
      </c>
      <c r="CT15" s="99">
        <v>10.900656250140358</v>
      </c>
      <c r="CU15" s="99">
        <v>8319.3808501071198</v>
      </c>
    </row>
    <row r="16" spans="1:99">
      <c r="C16" s="98" t="s">
        <v>182</v>
      </c>
      <c r="D16" s="99">
        <v>1.1632978333639736</v>
      </c>
      <c r="E16" s="99">
        <v>396.45190161044223</v>
      </c>
      <c r="F16" s="99">
        <v>3.5097756796217849</v>
      </c>
      <c r="G16" s="99">
        <v>1196.1315516151044</v>
      </c>
      <c r="H16" s="99">
        <v>0.64255311139053628</v>
      </c>
      <c r="I16" s="99">
        <v>218.98210036189477</v>
      </c>
      <c r="J16" s="99">
        <v>8.8034966255466696</v>
      </c>
      <c r="K16" s="99">
        <v>3000.231649986305</v>
      </c>
      <c r="L16" s="99">
        <v>6</v>
      </c>
      <c r="M16" s="99">
        <v>2044.8000000000002</v>
      </c>
      <c r="N16" s="99">
        <v>6</v>
      </c>
      <c r="O16" s="99">
        <v>2044.8000000000002</v>
      </c>
      <c r="P16" s="99">
        <v>7</v>
      </c>
      <c r="Q16" s="99">
        <v>2385.6</v>
      </c>
      <c r="R16" s="99">
        <v>8.7842894613786449</v>
      </c>
      <c r="S16" s="99">
        <v>2993.6858484378422</v>
      </c>
      <c r="T16" s="99">
        <v>7.4104483321410628</v>
      </c>
      <c r="U16" s="99">
        <v>2525.4807915936744</v>
      </c>
      <c r="V16" s="99">
        <v>7.6211435624907384</v>
      </c>
      <c r="W16" s="99">
        <v>2597.2857260968435</v>
      </c>
      <c r="X16" s="99">
        <v>7.970230400396324</v>
      </c>
      <c r="Y16" s="99">
        <v>2716.2545204550674</v>
      </c>
      <c r="Z16" s="99">
        <v>4.8514989326478108</v>
      </c>
      <c r="AA16" s="99">
        <v>1653.390836246374</v>
      </c>
      <c r="AB16" s="99">
        <v>6</v>
      </c>
      <c r="AC16" s="99">
        <v>2044.8000000000002</v>
      </c>
      <c r="AD16" s="99">
        <v>7.8725837945447221</v>
      </c>
      <c r="AE16" s="99">
        <v>2682.9765571808416</v>
      </c>
      <c r="AF16" s="99">
        <v>9.8066831163994728</v>
      </c>
      <c r="AG16" s="99">
        <v>3342.1176060689404</v>
      </c>
      <c r="AH16" s="99">
        <v>8.0050722577201654</v>
      </c>
      <c r="AI16" s="99">
        <v>2728.1286254310326</v>
      </c>
      <c r="AJ16" s="99">
        <v>7.1016796516351848</v>
      </c>
      <c r="AK16" s="99">
        <v>2420.252425277271</v>
      </c>
      <c r="AL16" s="99">
        <v>7</v>
      </c>
      <c r="AM16" s="99">
        <v>2385.6</v>
      </c>
      <c r="AN16" s="99">
        <v>0.7829485935424314</v>
      </c>
      <c r="AO16" s="99">
        <v>266.82888067926064</v>
      </c>
      <c r="AP16" s="99">
        <v>6.0210838566664275</v>
      </c>
      <c r="AQ16" s="99">
        <v>2051.9853783519184</v>
      </c>
      <c r="AR16" s="99">
        <v>10</v>
      </c>
      <c r="AS16" s="99">
        <v>3408</v>
      </c>
      <c r="AT16" s="99">
        <v>6</v>
      </c>
      <c r="AU16" s="99">
        <v>2044.8000000000002</v>
      </c>
      <c r="AV16" s="99">
        <v>6</v>
      </c>
      <c r="AW16" s="99">
        <v>2044.8000000000002</v>
      </c>
      <c r="AX16" s="99">
        <v>7.6359724338573738</v>
      </c>
      <c r="AY16" s="99">
        <v>2602.3394054585929</v>
      </c>
      <c r="AZ16" s="99">
        <v>8</v>
      </c>
      <c r="BA16" s="99">
        <v>2726.4</v>
      </c>
      <c r="BB16" s="99">
        <v>8.7833345109678405</v>
      </c>
      <c r="BC16" s="99">
        <v>2993.3604013378399</v>
      </c>
      <c r="BD16" s="99">
        <v>7</v>
      </c>
      <c r="BE16" s="99">
        <v>2385.6</v>
      </c>
      <c r="BF16" s="99">
        <v>6</v>
      </c>
      <c r="BG16" s="99">
        <v>2044.8000000000002</v>
      </c>
      <c r="BH16" s="99">
        <v>6.5626924111147344</v>
      </c>
      <c r="BI16" s="99">
        <v>2236.5655737079014</v>
      </c>
      <c r="BJ16" s="99">
        <v>4.3667279474578322</v>
      </c>
      <c r="BK16" s="99">
        <v>1488.1808844936293</v>
      </c>
      <c r="BL16" s="99">
        <v>9</v>
      </c>
      <c r="BM16" s="99">
        <v>3067.2000000000003</v>
      </c>
      <c r="BN16" s="99">
        <v>10.13599438319287</v>
      </c>
      <c r="BO16" s="99">
        <v>3454.3468857921303</v>
      </c>
      <c r="BP16" s="99">
        <v>7.5883853631387757</v>
      </c>
      <c r="BQ16" s="99">
        <v>2586.1217317576948</v>
      </c>
      <c r="BR16" s="99">
        <v>10.480370839723204</v>
      </c>
      <c r="BS16" s="99">
        <v>3571.7103821776677</v>
      </c>
      <c r="BT16" s="99">
        <v>1.6167620438853174</v>
      </c>
      <c r="BU16" s="99">
        <v>550.99250455611616</v>
      </c>
      <c r="BV16" s="99">
        <v>6.5594213160068033</v>
      </c>
      <c r="BW16" s="99">
        <v>2235.4507844951186</v>
      </c>
      <c r="BX16" s="99">
        <v>6</v>
      </c>
      <c r="BY16" s="99">
        <v>2044.8000000000002</v>
      </c>
      <c r="BZ16" s="99">
        <v>2.9768576838332717</v>
      </c>
      <c r="CA16" s="99">
        <v>1014.513098650379</v>
      </c>
      <c r="CB16" s="99">
        <v>7.6344343115301285</v>
      </c>
      <c r="CC16" s="99">
        <v>2601.815213369468</v>
      </c>
      <c r="CD16" s="99">
        <v>9.0513322775044838</v>
      </c>
      <c r="CE16" s="99">
        <v>3084.6940401735283</v>
      </c>
      <c r="CF16" s="99">
        <v>9</v>
      </c>
      <c r="CG16" s="99">
        <v>3067.2000000000003</v>
      </c>
      <c r="CH16" s="99">
        <v>10</v>
      </c>
      <c r="CI16" s="99">
        <v>3408</v>
      </c>
      <c r="CJ16" s="99">
        <v>9.7539630285909542</v>
      </c>
      <c r="CK16" s="99">
        <v>3324.1506001437974</v>
      </c>
      <c r="CL16" s="99">
        <v>1.0958617144187777</v>
      </c>
      <c r="CM16" s="99">
        <v>373.46967227391946</v>
      </c>
      <c r="CN16" s="99">
        <v>9.2258287841211182</v>
      </c>
      <c r="CO16" s="99">
        <v>3144.1624496284771</v>
      </c>
      <c r="CP16" s="99">
        <v>2.332409900182709</v>
      </c>
      <c r="CQ16" s="99">
        <v>794.88529398226729</v>
      </c>
      <c r="CR16" s="99">
        <v>6.853024993992979</v>
      </c>
      <c r="CS16" s="99">
        <v>2335.5109179528072</v>
      </c>
      <c r="CT16" s="99">
        <v>9</v>
      </c>
      <c r="CU16" s="99">
        <v>3067.2000000000003</v>
      </c>
    </row>
    <row r="17" spans="2:99">
      <c r="C17" s="98" t="s">
        <v>183</v>
      </c>
      <c r="D17" s="99">
        <v>1.1632978333639736</v>
      </c>
      <c r="E17" s="99">
        <v>491.37700481294246</v>
      </c>
      <c r="F17" s="99">
        <v>3.5515049594576626</v>
      </c>
      <c r="G17" s="99">
        <v>1500.1556948749167</v>
      </c>
      <c r="H17" s="99">
        <v>0.64255311139053628</v>
      </c>
      <c r="I17" s="99">
        <v>271.41443425136254</v>
      </c>
      <c r="J17" s="99">
        <v>8.7304514777696998</v>
      </c>
      <c r="K17" s="99">
        <v>3687.7427042099212</v>
      </c>
      <c r="L17" s="99">
        <v>5</v>
      </c>
      <c r="M17" s="99">
        <v>2112</v>
      </c>
      <c r="N17" s="99">
        <v>7</v>
      </c>
      <c r="O17" s="99">
        <v>2956.7999999999997</v>
      </c>
      <c r="P17" s="99">
        <v>7</v>
      </c>
      <c r="Q17" s="99">
        <v>2956.7999999999997</v>
      </c>
      <c r="R17" s="99">
        <v>7.8082572990032393</v>
      </c>
      <c r="S17" s="99">
        <v>3298.2078830989681</v>
      </c>
      <c r="T17" s="99">
        <v>7.4104483321410628</v>
      </c>
      <c r="U17" s="99">
        <v>3130.1733754963848</v>
      </c>
      <c r="V17" s="99">
        <v>7.6211435624907384</v>
      </c>
      <c r="W17" s="99">
        <v>3219.1710407960877</v>
      </c>
      <c r="X17" s="99">
        <v>7.970230400396324</v>
      </c>
      <c r="Y17" s="99">
        <v>3366.625321127407</v>
      </c>
      <c r="Z17" s="99">
        <v>5.8217987191773721</v>
      </c>
      <c r="AA17" s="99">
        <v>2459.1277789805217</v>
      </c>
      <c r="AB17" s="99">
        <v>6</v>
      </c>
      <c r="AC17" s="99">
        <v>2534.3999999999996</v>
      </c>
      <c r="AD17" s="99">
        <v>6.8885108202266325</v>
      </c>
      <c r="AE17" s="99">
        <v>2909.7069704637292</v>
      </c>
      <c r="AF17" s="99">
        <v>8.8260148047595273</v>
      </c>
      <c r="AG17" s="99">
        <v>3728.1086535304239</v>
      </c>
      <c r="AH17" s="99">
        <v>8.0050722577201654</v>
      </c>
      <c r="AI17" s="99">
        <v>3381.3425216609976</v>
      </c>
      <c r="AJ17" s="99">
        <v>7.9893896080895841</v>
      </c>
      <c r="AK17" s="99">
        <v>3374.7181704570403</v>
      </c>
      <c r="AL17" s="99">
        <v>8</v>
      </c>
      <c r="AM17" s="99">
        <v>3379.2</v>
      </c>
      <c r="AN17" s="99">
        <v>0.7829485935424314</v>
      </c>
      <c r="AO17" s="99">
        <v>330.71748591232301</v>
      </c>
      <c r="AP17" s="99">
        <v>6.8509032138886896</v>
      </c>
      <c r="AQ17" s="99">
        <v>2893.8215175465825</v>
      </c>
      <c r="AR17" s="99">
        <v>10</v>
      </c>
      <c r="AS17" s="99">
        <v>4224</v>
      </c>
      <c r="AT17" s="99">
        <v>7</v>
      </c>
      <c r="AU17" s="99">
        <v>2956.7999999999997</v>
      </c>
      <c r="AV17" s="99">
        <v>6</v>
      </c>
      <c r="AW17" s="99">
        <v>2534.3999999999996</v>
      </c>
      <c r="AX17" s="99">
        <v>7.6359724338573738</v>
      </c>
      <c r="AY17" s="99">
        <v>3225.4347560613546</v>
      </c>
      <c r="AZ17" s="99">
        <v>8</v>
      </c>
      <c r="BA17" s="99">
        <v>3379.2</v>
      </c>
      <c r="BB17" s="99">
        <v>8.7833345109678405</v>
      </c>
      <c r="BC17" s="99">
        <v>3710.0804974328157</v>
      </c>
      <c r="BD17" s="99">
        <v>7</v>
      </c>
      <c r="BE17" s="99">
        <v>2956.7999999999997</v>
      </c>
      <c r="BF17" s="99">
        <v>6</v>
      </c>
      <c r="BG17" s="99">
        <v>2534.3999999999996</v>
      </c>
      <c r="BH17" s="99">
        <v>5.6251649238126298</v>
      </c>
      <c r="BI17" s="99">
        <v>2376.0696638184545</v>
      </c>
      <c r="BJ17" s="99">
        <v>4.3667279474578322</v>
      </c>
      <c r="BK17" s="99">
        <v>1844.5058850061882</v>
      </c>
      <c r="BL17" s="99">
        <v>9</v>
      </c>
      <c r="BM17" s="99">
        <v>3801.6</v>
      </c>
      <c r="BN17" s="99">
        <v>9.8046190359898926</v>
      </c>
      <c r="BO17" s="99">
        <v>4141.47108080213</v>
      </c>
      <c r="BP17" s="99">
        <v>7.5883853631387757</v>
      </c>
      <c r="BQ17" s="99">
        <v>3205.3339773898188</v>
      </c>
      <c r="BR17" s="99">
        <v>8.6374280213386552</v>
      </c>
      <c r="BS17" s="99">
        <v>3648.4495962134479</v>
      </c>
      <c r="BT17" s="99">
        <v>1.6167620438853174</v>
      </c>
      <c r="BU17" s="99">
        <v>682.92028733715802</v>
      </c>
      <c r="BV17" s="99">
        <v>6.5594213160068033</v>
      </c>
      <c r="BW17" s="99">
        <v>2770.6995638812737</v>
      </c>
      <c r="BX17" s="99">
        <v>7</v>
      </c>
      <c r="BY17" s="99">
        <v>2956.7999999999997</v>
      </c>
      <c r="BZ17" s="99">
        <v>2.9917202976067458</v>
      </c>
      <c r="CA17" s="99">
        <v>1263.7026537090894</v>
      </c>
      <c r="CB17" s="99">
        <v>7.3475852734993534</v>
      </c>
      <c r="CC17" s="99">
        <v>3103.6200195261267</v>
      </c>
      <c r="CD17" s="99">
        <v>8.2424836006871178</v>
      </c>
      <c r="CE17" s="99">
        <v>3481.6250729302383</v>
      </c>
      <c r="CF17" s="99">
        <v>10</v>
      </c>
      <c r="CG17" s="99">
        <v>4224</v>
      </c>
      <c r="CH17" s="99">
        <v>10</v>
      </c>
      <c r="CI17" s="99">
        <v>4224</v>
      </c>
      <c r="CJ17" s="99">
        <v>9.7539630285909542</v>
      </c>
      <c r="CK17" s="99">
        <v>4120.0739832768186</v>
      </c>
      <c r="CL17" s="99">
        <v>1.0958617144187777</v>
      </c>
      <c r="CM17" s="99">
        <v>462.89198817049169</v>
      </c>
      <c r="CN17" s="99">
        <v>9.3790573821362582</v>
      </c>
      <c r="CO17" s="99">
        <v>3961.7138382143553</v>
      </c>
      <c r="CP17" s="99">
        <v>2.332409900182709</v>
      </c>
      <c r="CQ17" s="99">
        <v>985.20994183717619</v>
      </c>
      <c r="CR17" s="99">
        <v>7.5353063299507062</v>
      </c>
      <c r="CS17" s="99">
        <v>3182.9133937711781</v>
      </c>
      <c r="CT17" s="99">
        <v>11.046860577074233</v>
      </c>
      <c r="CU17" s="99">
        <v>4666.1939077561556</v>
      </c>
    </row>
    <row r="18" spans="2:99">
      <c r="C18" s="98" t="s">
        <v>184</v>
      </c>
      <c r="D18" s="99">
        <v>1.1632978333639736</v>
      </c>
      <c r="E18" s="99">
        <v>759.40082562000191</v>
      </c>
      <c r="F18" s="99">
        <v>3.5515049594576626</v>
      </c>
      <c r="G18" s="99">
        <v>2318.4224375339622</v>
      </c>
      <c r="H18" s="99">
        <v>0.64255311139053628</v>
      </c>
      <c r="I18" s="99">
        <v>419.45867111574205</v>
      </c>
      <c r="J18" s="99">
        <v>9.7304514777696998</v>
      </c>
      <c r="K18" s="99">
        <v>6352.0387246880591</v>
      </c>
      <c r="L18" s="99">
        <v>5</v>
      </c>
      <c r="M18" s="99">
        <v>3264</v>
      </c>
      <c r="N18" s="99">
        <v>6</v>
      </c>
      <c r="O18" s="99">
        <v>3916.7999999999997</v>
      </c>
      <c r="P18" s="99">
        <v>8</v>
      </c>
      <c r="Q18" s="99">
        <v>5222.3999999999996</v>
      </c>
      <c r="R18" s="99">
        <v>7.8082572990032393</v>
      </c>
      <c r="S18" s="99">
        <v>5097.2303647893141</v>
      </c>
      <c r="T18" s="99">
        <v>6.4841422906234296</v>
      </c>
      <c r="U18" s="99">
        <v>4232.8480873189746</v>
      </c>
      <c r="V18" s="99">
        <v>8.4679372916563764</v>
      </c>
      <c r="W18" s="99">
        <v>5527.8694639932819</v>
      </c>
      <c r="X18" s="99">
        <v>6.9739516003467825</v>
      </c>
      <c r="Y18" s="99">
        <v>4552.5956047063792</v>
      </c>
      <c r="Z18" s="99">
        <v>5.8217987191773721</v>
      </c>
      <c r="AA18" s="99">
        <v>3800.4702038789883</v>
      </c>
      <c r="AB18" s="99">
        <v>6</v>
      </c>
      <c r="AC18" s="99">
        <v>3916.7999999999997</v>
      </c>
      <c r="AD18" s="99">
        <v>6.8885108202266325</v>
      </c>
      <c r="AE18" s="99">
        <v>4496.819863443945</v>
      </c>
      <c r="AF18" s="99">
        <v>7.8453464931195782</v>
      </c>
      <c r="AG18" s="99">
        <v>5121.4421907084607</v>
      </c>
      <c r="AH18" s="99">
        <v>7.1156197846401463</v>
      </c>
      <c r="AI18" s="99">
        <v>4645.0765954130875</v>
      </c>
      <c r="AJ18" s="99">
        <v>7.1016796516351848</v>
      </c>
      <c r="AK18" s="99">
        <v>4635.9764765874479</v>
      </c>
      <c r="AL18" s="99">
        <v>8</v>
      </c>
      <c r="AM18" s="99">
        <v>5222.3999999999996</v>
      </c>
      <c r="AN18" s="99">
        <v>0.7829485935424314</v>
      </c>
      <c r="AO18" s="99">
        <v>511.1088418644992</v>
      </c>
      <c r="AP18" s="99">
        <v>5.935993535277559</v>
      </c>
      <c r="AQ18" s="99">
        <v>3875.0165798291901</v>
      </c>
      <c r="AR18" s="99">
        <v>9</v>
      </c>
      <c r="AS18" s="99">
        <v>5875.2</v>
      </c>
      <c r="AT18" s="99">
        <v>6</v>
      </c>
      <c r="AU18" s="99">
        <v>3916.7999999999997</v>
      </c>
      <c r="AV18" s="99">
        <v>5</v>
      </c>
      <c r="AW18" s="99">
        <v>3264</v>
      </c>
      <c r="AX18" s="99">
        <v>7.6359724338573738</v>
      </c>
      <c r="AY18" s="99">
        <v>4984.7628048220931</v>
      </c>
      <c r="AZ18" s="99">
        <v>7</v>
      </c>
      <c r="BA18" s="99">
        <v>4569.5999999999995</v>
      </c>
      <c r="BB18" s="99">
        <v>7.8074084541936362</v>
      </c>
      <c r="BC18" s="99">
        <v>5096.6762388976049</v>
      </c>
      <c r="BD18" s="99">
        <v>7</v>
      </c>
      <c r="BE18" s="99">
        <v>4569.5999999999995</v>
      </c>
      <c r="BF18" s="99">
        <v>5</v>
      </c>
      <c r="BG18" s="99">
        <v>3264</v>
      </c>
      <c r="BH18" s="99">
        <v>6.5626924111147344</v>
      </c>
      <c r="BI18" s="99">
        <v>4284.1256059756979</v>
      </c>
      <c r="BJ18" s="99">
        <v>4.3667279474578322</v>
      </c>
      <c r="BK18" s="99">
        <v>2850.6000041004727</v>
      </c>
      <c r="BL18" s="99">
        <v>10</v>
      </c>
      <c r="BM18" s="99">
        <v>6528</v>
      </c>
      <c r="BN18" s="99">
        <v>9.9150774850575516</v>
      </c>
      <c r="BO18" s="99">
        <v>6472.5625822455695</v>
      </c>
      <c r="BP18" s="99">
        <v>7.332194752587518</v>
      </c>
      <c r="BQ18" s="99">
        <v>4786.4567344891311</v>
      </c>
      <c r="BR18" s="99">
        <v>9.5588994305309285</v>
      </c>
      <c r="BS18" s="99">
        <v>6240.0495482505894</v>
      </c>
      <c r="BT18" s="99">
        <v>1.6167620438853174</v>
      </c>
      <c r="BU18" s="99">
        <v>1055.4222622483351</v>
      </c>
      <c r="BV18" s="99">
        <v>5.8001500379504805</v>
      </c>
      <c r="BW18" s="99">
        <v>3786.3379447740735</v>
      </c>
      <c r="BX18" s="99">
        <v>7.7425423224975196</v>
      </c>
      <c r="BY18" s="99">
        <v>5054.3316281263806</v>
      </c>
      <c r="BZ18" s="99">
        <v>2.9917202976067458</v>
      </c>
      <c r="CA18" s="99">
        <v>1952.9950102776836</v>
      </c>
      <c r="CB18" s="99">
        <v>7.4869962112600081</v>
      </c>
      <c r="CC18" s="99">
        <v>4887.5111267105331</v>
      </c>
      <c r="CD18" s="99">
        <v>7</v>
      </c>
      <c r="CE18" s="99">
        <v>4569.5999999999995</v>
      </c>
      <c r="CF18" s="99">
        <v>10</v>
      </c>
      <c r="CG18" s="99">
        <v>6528</v>
      </c>
      <c r="CH18" s="99">
        <v>10</v>
      </c>
      <c r="CI18" s="99">
        <v>6528</v>
      </c>
      <c r="CJ18" s="99">
        <v>9.7539630285909542</v>
      </c>
      <c r="CK18" s="99">
        <v>6367.3870650641747</v>
      </c>
      <c r="CL18" s="99">
        <v>1.0926921903070586</v>
      </c>
      <c r="CM18" s="99">
        <v>713.30946183244782</v>
      </c>
      <c r="CN18" s="99">
        <v>9.2258287841211182</v>
      </c>
      <c r="CO18" s="99">
        <v>6022.6210302742656</v>
      </c>
      <c r="CP18" s="99">
        <v>2.332409900182709</v>
      </c>
      <c r="CQ18" s="99">
        <v>1522.5971828392724</v>
      </c>
      <c r="CR18" s="99">
        <v>7.6110192326309303</v>
      </c>
      <c r="CS18" s="99">
        <v>4968.473355061471</v>
      </c>
      <c r="CT18" s="99">
        <v>11.046860577074233</v>
      </c>
      <c r="CU18" s="99">
        <v>7211.3905847140586</v>
      </c>
    </row>
    <row r="19" spans="2:99">
      <c r="C19" s="98" t="s">
        <v>185</v>
      </c>
      <c r="D19" s="99">
        <v>1.1632978333639736</v>
      </c>
      <c r="E19" s="99">
        <v>383.8882850101113</v>
      </c>
      <c r="F19" s="99">
        <v>4.1366181118415621</v>
      </c>
      <c r="G19" s="99">
        <v>1365.0839769077154</v>
      </c>
      <c r="H19" s="99">
        <v>0.64255311139053628</v>
      </c>
      <c r="I19" s="99">
        <v>212.04252675887696</v>
      </c>
      <c r="J19" s="99">
        <v>9.8034966255466696</v>
      </c>
      <c r="K19" s="99">
        <v>3235.1538864304011</v>
      </c>
      <c r="L19" s="99">
        <v>5</v>
      </c>
      <c r="M19" s="99">
        <v>1650</v>
      </c>
      <c r="N19" s="99">
        <v>6</v>
      </c>
      <c r="O19" s="99">
        <v>1980</v>
      </c>
      <c r="P19" s="99">
        <v>8</v>
      </c>
      <c r="Q19" s="99">
        <v>2640</v>
      </c>
      <c r="R19" s="99">
        <v>7.8082572990032393</v>
      </c>
      <c r="S19" s="99">
        <v>2576.724908671069</v>
      </c>
      <c r="T19" s="99">
        <v>6.4841422906234296</v>
      </c>
      <c r="U19" s="99">
        <v>2139.7669559057317</v>
      </c>
      <c r="V19" s="99">
        <v>8.4679372916563764</v>
      </c>
      <c r="W19" s="99">
        <v>2794.4193062466043</v>
      </c>
      <c r="X19" s="99">
        <v>7.970230400396324</v>
      </c>
      <c r="Y19" s="99">
        <v>2630.176032130787</v>
      </c>
      <c r="Z19" s="99">
        <v>4.8514989326478108</v>
      </c>
      <c r="AA19" s="99">
        <v>1600.9946477737776</v>
      </c>
      <c r="AB19" s="99">
        <v>7</v>
      </c>
      <c r="AC19" s="99">
        <v>2310</v>
      </c>
      <c r="AD19" s="99">
        <v>6.8885108202266325</v>
      </c>
      <c r="AE19" s="99">
        <v>2273.2085706747889</v>
      </c>
      <c r="AF19" s="99">
        <v>9.8066831163994728</v>
      </c>
      <c r="AG19" s="99">
        <v>3236.2054284118262</v>
      </c>
      <c r="AH19" s="99">
        <v>7.1156197846401463</v>
      </c>
      <c r="AI19" s="99">
        <v>2348.1545289312485</v>
      </c>
      <c r="AJ19" s="99">
        <v>7.1016796516351848</v>
      </c>
      <c r="AK19" s="99">
        <v>2343.5542850396109</v>
      </c>
      <c r="AL19" s="99">
        <v>7</v>
      </c>
      <c r="AM19" s="99">
        <v>2310</v>
      </c>
      <c r="AN19" s="99">
        <v>0.7829485935424314</v>
      </c>
      <c r="AO19" s="99">
        <v>258.37303586900236</v>
      </c>
      <c r="AP19" s="99">
        <v>5.935993535277559</v>
      </c>
      <c r="AQ19" s="99">
        <v>1958.8778666415944</v>
      </c>
      <c r="AR19" s="99">
        <v>10</v>
      </c>
      <c r="AS19" s="99">
        <v>3300</v>
      </c>
      <c r="AT19" s="99">
        <v>6</v>
      </c>
      <c r="AU19" s="99">
        <v>1980</v>
      </c>
      <c r="AV19" s="99">
        <v>5</v>
      </c>
      <c r="AW19" s="99">
        <v>1650</v>
      </c>
      <c r="AX19" s="99">
        <v>7.6359724338573738</v>
      </c>
      <c r="AY19" s="99">
        <v>2519.8709031729331</v>
      </c>
      <c r="AZ19" s="99">
        <v>7</v>
      </c>
      <c r="BA19" s="99">
        <v>2310</v>
      </c>
      <c r="BB19" s="99">
        <v>7.8074084541936362</v>
      </c>
      <c r="BC19" s="99">
        <v>2576.4447898838998</v>
      </c>
      <c r="BD19" s="99">
        <v>7</v>
      </c>
      <c r="BE19" s="99">
        <v>2310</v>
      </c>
      <c r="BF19" s="99">
        <v>5</v>
      </c>
      <c r="BG19" s="99">
        <v>1650</v>
      </c>
      <c r="BH19" s="99">
        <v>6.5626924111147344</v>
      </c>
      <c r="BI19" s="99">
        <v>2165.6884956678623</v>
      </c>
      <c r="BJ19" s="99">
        <v>5.2400735369493985</v>
      </c>
      <c r="BK19" s="99">
        <v>1729.2242671933016</v>
      </c>
      <c r="BL19" s="99">
        <v>9</v>
      </c>
      <c r="BM19" s="99">
        <v>2970</v>
      </c>
      <c r="BN19" s="99">
        <v>8.9852264630452936</v>
      </c>
      <c r="BO19" s="99">
        <v>2965.1247328049467</v>
      </c>
      <c r="BP19" s="99">
        <v>7.332194752587518</v>
      </c>
      <c r="BQ19" s="99">
        <v>2419.6242683538808</v>
      </c>
      <c r="BR19" s="99">
        <v>8.5319566256886166</v>
      </c>
      <c r="BS19" s="99">
        <v>2815.5456864772436</v>
      </c>
      <c r="BT19" s="99">
        <v>1.817795088599403</v>
      </c>
      <c r="BU19" s="99">
        <v>599.87237923780299</v>
      </c>
      <c r="BV19" s="99">
        <v>5.7223673898496958</v>
      </c>
      <c r="BW19" s="99">
        <v>1888.3812386503996</v>
      </c>
      <c r="BX19" s="99">
        <v>6</v>
      </c>
      <c r="BY19" s="99">
        <v>1980</v>
      </c>
      <c r="BZ19" s="99">
        <v>3.3433914141473773</v>
      </c>
      <c r="CA19" s="99">
        <v>1103.3191666686346</v>
      </c>
      <c r="CB19" s="99">
        <v>7.3435716922446197</v>
      </c>
      <c r="CC19" s="99">
        <v>2423.3786584407244</v>
      </c>
      <c r="CD19" s="99">
        <v>8.1469079390958008</v>
      </c>
      <c r="CE19" s="99">
        <v>2688.4796199016141</v>
      </c>
      <c r="CF19" s="99">
        <v>9</v>
      </c>
      <c r="CG19" s="99">
        <v>2970</v>
      </c>
      <c r="CH19" s="99">
        <v>10</v>
      </c>
      <c r="CI19" s="99">
        <v>3300</v>
      </c>
      <c r="CJ19" s="99">
        <v>8.7785667257318583</v>
      </c>
      <c r="CK19" s="99">
        <v>2896.9270194915134</v>
      </c>
      <c r="CL19" s="99">
        <v>1.2029122665712799</v>
      </c>
      <c r="CM19" s="99">
        <v>396.96104796852239</v>
      </c>
      <c r="CN19" s="99">
        <v>9.2258287841211182</v>
      </c>
      <c r="CO19" s="99">
        <v>3044.5234987599688</v>
      </c>
      <c r="CP19" s="99">
        <v>2.332409900182709</v>
      </c>
      <c r="CQ19" s="99">
        <v>769.69526706029399</v>
      </c>
      <c r="CR19" s="99">
        <v>7.6110192326309303</v>
      </c>
      <c r="CS19" s="99">
        <v>2511.6363467682072</v>
      </c>
      <c r="CT19" s="99">
        <v>11.193064904008105</v>
      </c>
      <c r="CU19" s="99">
        <v>3693.7114183226749</v>
      </c>
    </row>
    <row r="20" spans="2:99">
      <c r="B20" s="98" t="s">
        <v>127</v>
      </c>
      <c r="C20" s="98" t="s">
        <v>186</v>
      </c>
      <c r="D20" s="99">
        <v>1.2258231743135672</v>
      </c>
      <c r="E20" s="99">
        <v>351.56608639313112</v>
      </c>
      <c r="F20" s="99">
        <v>7.2281977584229589</v>
      </c>
      <c r="G20" s="99">
        <v>2073.0471171157046</v>
      </c>
      <c r="H20" s="99">
        <v>1.2516381082311419</v>
      </c>
      <c r="I20" s="99">
        <v>358.96980944069151</v>
      </c>
      <c r="J20" s="99">
        <v>9.9495869211006092</v>
      </c>
      <c r="K20" s="99">
        <v>2853.5415289716548</v>
      </c>
      <c r="L20" s="99">
        <v>9</v>
      </c>
      <c r="M20" s="99">
        <v>2581.2000000000003</v>
      </c>
      <c r="N20" s="99">
        <v>6</v>
      </c>
      <c r="O20" s="99">
        <v>1720.8000000000002</v>
      </c>
      <c r="P20" s="99">
        <v>7</v>
      </c>
      <c r="Q20" s="99">
        <v>2007.6000000000001</v>
      </c>
      <c r="R20" s="99">
        <v>9.7603216237540487</v>
      </c>
      <c r="S20" s="99">
        <v>2799.2602416926611</v>
      </c>
      <c r="T20" s="99">
        <v>5.5578362491057973</v>
      </c>
      <c r="U20" s="99">
        <v>1593.9874362435428</v>
      </c>
      <c r="V20" s="99">
        <v>5.9275561041594633</v>
      </c>
      <c r="W20" s="99">
        <v>1700.0230906729341</v>
      </c>
      <c r="X20" s="99">
        <v>6.9739516003467825</v>
      </c>
      <c r="Y20" s="99">
        <v>2000.1293189794574</v>
      </c>
      <c r="Z20" s="99">
        <v>7.7623982922364974</v>
      </c>
      <c r="AA20" s="99">
        <v>2226.2558302134275</v>
      </c>
      <c r="AB20" s="99">
        <v>7</v>
      </c>
      <c r="AC20" s="99">
        <v>2007.6000000000001</v>
      </c>
      <c r="AD20" s="99">
        <v>6.8885108202266325</v>
      </c>
      <c r="AE20" s="99">
        <v>1975.6249032409983</v>
      </c>
      <c r="AF20" s="99">
        <v>7.8095104164921221</v>
      </c>
      <c r="AG20" s="99">
        <v>2239.7675874499405</v>
      </c>
      <c r="AH20" s="99">
        <v>10.653915385157571</v>
      </c>
      <c r="AI20" s="99">
        <v>3055.5429324631914</v>
      </c>
      <c r="AJ20" s="99">
        <v>7.1016796516351848</v>
      </c>
      <c r="AK20" s="99">
        <v>2036.7617240889711</v>
      </c>
      <c r="AL20" s="99">
        <v>8.690953510794964</v>
      </c>
      <c r="AM20" s="99">
        <v>2492.565466895996</v>
      </c>
      <c r="AN20" s="99">
        <v>1.2492822232551177</v>
      </c>
      <c r="AO20" s="99">
        <v>358.29414162956778</v>
      </c>
      <c r="AP20" s="99">
        <v>11.361445142221903</v>
      </c>
      <c r="AQ20" s="99">
        <v>3258.4624667892422</v>
      </c>
      <c r="AR20" s="99">
        <v>12</v>
      </c>
      <c r="AS20" s="99">
        <v>3441.6000000000004</v>
      </c>
      <c r="AT20" s="99">
        <v>8</v>
      </c>
      <c r="AU20" s="99">
        <v>2294.4</v>
      </c>
      <c r="AV20" s="99">
        <v>9</v>
      </c>
      <c r="AW20" s="99">
        <v>2581.2000000000003</v>
      </c>
      <c r="AX20" s="99">
        <v>6.6814758796252027</v>
      </c>
      <c r="AY20" s="99">
        <v>1916.2472822765083</v>
      </c>
      <c r="AZ20" s="99">
        <v>9</v>
      </c>
      <c r="BA20" s="99">
        <v>2581.2000000000003</v>
      </c>
      <c r="BB20" s="99">
        <v>8.7833345109678405</v>
      </c>
      <c r="BC20" s="99">
        <v>2519.0603377455768</v>
      </c>
      <c r="BD20" s="99">
        <v>7</v>
      </c>
      <c r="BE20" s="99">
        <v>2007.6000000000001</v>
      </c>
      <c r="BF20" s="99">
        <v>10</v>
      </c>
      <c r="BG20" s="99">
        <v>2868</v>
      </c>
      <c r="BH20" s="99">
        <v>11.25032984762526</v>
      </c>
      <c r="BI20" s="99">
        <v>3226.5946002989244</v>
      </c>
      <c r="BJ20" s="99">
        <v>9.2602932347304829</v>
      </c>
      <c r="BK20" s="99">
        <v>2655.8520997207024</v>
      </c>
      <c r="BL20" s="99">
        <v>8.0491009546275301</v>
      </c>
      <c r="BM20" s="99">
        <v>2308.4821537871758</v>
      </c>
      <c r="BN20" s="99">
        <v>10.13599438319287</v>
      </c>
      <c r="BO20" s="99">
        <v>2907.0031890997152</v>
      </c>
      <c r="BP20" s="99">
        <v>5.6912890223540815</v>
      </c>
      <c r="BQ20" s="99">
        <v>1632.2616916111506</v>
      </c>
      <c r="BR20" s="99">
        <v>9.2702563952388939</v>
      </c>
      <c r="BS20" s="99">
        <v>2658.709534154515</v>
      </c>
      <c r="BT20" s="99">
        <v>1.4327243715164955</v>
      </c>
      <c r="BU20" s="99">
        <v>410.9053497509309</v>
      </c>
      <c r="BV20" s="99">
        <v>10.081757519788315</v>
      </c>
      <c r="BW20" s="99">
        <v>2891.4480566752891</v>
      </c>
      <c r="BX20" s="99">
        <v>8.1159442487469882</v>
      </c>
      <c r="BY20" s="99">
        <v>2327.6528105406364</v>
      </c>
      <c r="BZ20" s="99">
        <v>2.1100266992437899</v>
      </c>
      <c r="CA20" s="99">
        <v>605.15565734311895</v>
      </c>
      <c r="CB20" s="99">
        <v>10.67865986873044</v>
      </c>
      <c r="CC20" s="99">
        <v>3062.6396503518904</v>
      </c>
      <c r="CD20" s="99">
        <v>10</v>
      </c>
      <c r="CE20" s="99">
        <v>2868</v>
      </c>
      <c r="CF20" s="99">
        <v>9</v>
      </c>
      <c r="CG20" s="99">
        <v>2581.2000000000003</v>
      </c>
      <c r="CH20" s="99">
        <v>9</v>
      </c>
      <c r="CI20" s="99">
        <v>2581.2000000000003</v>
      </c>
      <c r="CJ20" s="99">
        <v>6.8277741200136672</v>
      </c>
      <c r="CK20" s="99">
        <v>1958.2056176199198</v>
      </c>
      <c r="CL20" s="99">
        <v>1.1775560736775257</v>
      </c>
      <c r="CM20" s="99">
        <v>337.72308193071439</v>
      </c>
      <c r="CN20" s="99">
        <v>14.524257754348213</v>
      </c>
      <c r="CO20" s="99">
        <v>4165.5571239470673</v>
      </c>
      <c r="CP20" s="99">
        <v>4.3316183860536022</v>
      </c>
      <c r="CQ20" s="99">
        <v>1242.3081531201731</v>
      </c>
      <c r="CR20" s="99">
        <v>8.033354590625132</v>
      </c>
      <c r="CS20" s="99">
        <v>2303.9660965912881</v>
      </c>
      <c r="CT20" s="99">
        <v>10.7778822117436</v>
      </c>
      <c r="CU20" s="99">
        <v>3091.0966183280648</v>
      </c>
    </row>
    <row r="21" spans="2:99">
      <c r="C21" s="98" t="s">
        <v>187</v>
      </c>
      <c r="D21" s="99">
        <v>1.3699327922142805</v>
      </c>
      <c r="E21" s="99">
        <v>85.483806234171098</v>
      </c>
      <c r="F21" s="99">
        <v>6.476167486695549</v>
      </c>
      <c r="G21" s="99">
        <v>404.11285116980224</v>
      </c>
      <c r="H21" s="99">
        <v>1.3418003851602311</v>
      </c>
      <c r="I21" s="99">
        <v>83.728344033998425</v>
      </c>
      <c r="J21" s="99">
        <v>10.095677216654549</v>
      </c>
      <c r="K21" s="99">
        <v>629.97025831924384</v>
      </c>
      <c r="L21" s="99">
        <v>11</v>
      </c>
      <c r="M21" s="99">
        <v>686.4</v>
      </c>
      <c r="N21" s="99">
        <v>7</v>
      </c>
      <c r="O21" s="99">
        <v>436.8</v>
      </c>
      <c r="P21" s="99">
        <v>7</v>
      </c>
      <c r="Q21" s="99">
        <v>436.8</v>
      </c>
      <c r="R21" s="99">
        <v>9.7603216237540487</v>
      </c>
      <c r="S21" s="99">
        <v>609.04406932225265</v>
      </c>
      <c r="T21" s="99">
        <v>5.5578362491057973</v>
      </c>
      <c r="U21" s="99">
        <v>346.80898194420172</v>
      </c>
      <c r="V21" s="99">
        <v>5.9275561041594633</v>
      </c>
      <c r="W21" s="99">
        <v>369.87950089955052</v>
      </c>
      <c r="X21" s="99">
        <v>5.9776728002972428</v>
      </c>
      <c r="Y21" s="99">
        <v>373.00678273854794</v>
      </c>
      <c r="Z21" s="99">
        <v>7.7623982922364974</v>
      </c>
      <c r="AA21" s="99">
        <v>484.3736534355574</v>
      </c>
      <c r="AB21" s="99">
        <v>9</v>
      </c>
      <c r="AC21" s="99">
        <v>561.6</v>
      </c>
      <c r="AD21" s="99">
        <v>6.8885108202266325</v>
      </c>
      <c r="AE21" s="99">
        <v>429.84307518214189</v>
      </c>
      <c r="AF21" s="99">
        <v>8.8846619516333192</v>
      </c>
      <c r="AG21" s="99">
        <v>554.40290578191912</v>
      </c>
      <c r="AH21" s="99">
        <v>10.595919506405746</v>
      </c>
      <c r="AI21" s="99">
        <v>661.18537719971857</v>
      </c>
      <c r="AJ21" s="99">
        <v>7.1016796516351848</v>
      </c>
      <c r="AK21" s="99">
        <v>443.14481026203549</v>
      </c>
      <c r="AL21" s="99">
        <v>7.5218581597154675</v>
      </c>
      <c r="AM21" s="99">
        <v>469.36394916624516</v>
      </c>
      <c r="AN21" s="99">
        <v>1.4058719419636041</v>
      </c>
      <c r="AO21" s="99">
        <v>87.726409178528897</v>
      </c>
      <c r="AP21" s="99">
        <v>11.276354820833035</v>
      </c>
      <c r="AQ21" s="99">
        <v>703.64454081998133</v>
      </c>
      <c r="AR21" s="99">
        <v>12</v>
      </c>
      <c r="AS21" s="99">
        <v>748.8</v>
      </c>
      <c r="AT21" s="99">
        <v>8</v>
      </c>
      <c r="AU21" s="99">
        <v>499.2</v>
      </c>
      <c r="AV21" s="99">
        <v>9</v>
      </c>
      <c r="AW21" s="99">
        <v>561.6</v>
      </c>
      <c r="AX21" s="99">
        <v>6.6814758796252027</v>
      </c>
      <c r="AY21" s="99">
        <v>416.92409488861261</v>
      </c>
      <c r="AZ21" s="99">
        <v>8</v>
      </c>
      <c r="BA21" s="99">
        <v>499.2</v>
      </c>
      <c r="BB21" s="99">
        <v>8.7833345109678405</v>
      </c>
      <c r="BC21" s="99">
        <v>548.08007348439321</v>
      </c>
      <c r="BD21" s="99">
        <v>7</v>
      </c>
      <c r="BE21" s="99">
        <v>436.8</v>
      </c>
      <c r="BF21" s="99">
        <v>10</v>
      </c>
      <c r="BG21" s="99">
        <v>624</v>
      </c>
      <c r="BH21" s="99">
        <v>11.25032984762526</v>
      </c>
      <c r="BI21" s="99">
        <v>702.02058249181619</v>
      </c>
      <c r="BJ21" s="99">
        <v>9.297924473288683</v>
      </c>
      <c r="BK21" s="99">
        <v>580.19048713321376</v>
      </c>
      <c r="BL21" s="99">
        <v>8.1989725195743191</v>
      </c>
      <c r="BM21" s="99">
        <v>511.61588522143751</v>
      </c>
      <c r="BN21" s="99">
        <v>10.467369730395847</v>
      </c>
      <c r="BO21" s="99">
        <v>653.16387117670081</v>
      </c>
      <c r="BP21" s="99">
        <v>5.6912890223540815</v>
      </c>
      <c r="BQ21" s="99">
        <v>355.13643499489467</v>
      </c>
      <c r="BR21" s="99">
        <v>9.5866705821890097</v>
      </c>
      <c r="BS21" s="99">
        <v>598.20824432859422</v>
      </c>
      <c r="BT21" s="99">
        <v>1.4369732146028116</v>
      </c>
      <c r="BU21" s="99">
        <v>89.667128591215445</v>
      </c>
      <c r="BV21" s="99">
        <v>10.763246149743852</v>
      </c>
      <c r="BW21" s="99">
        <v>671.62655974401628</v>
      </c>
      <c r="BX21" s="99">
        <v>8.8670096312473419</v>
      </c>
      <c r="BY21" s="99">
        <v>553.30140098983406</v>
      </c>
      <c r="BZ21" s="99">
        <v>2.1100266992437899</v>
      </c>
      <c r="CA21" s="99">
        <v>131.66566603281248</v>
      </c>
      <c r="CB21" s="99">
        <v>10.961495325506482</v>
      </c>
      <c r="CC21" s="99">
        <v>683.99730831160446</v>
      </c>
      <c r="CD21" s="99">
        <v>11</v>
      </c>
      <c r="CE21" s="99">
        <v>686.4</v>
      </c>
      <c r="CF21" s="99">
        <v>9</v>
      </c>
      <c r="CG21" s="99">
        <v>561.6</v>
      </c>
      <c r="CH21" s="99">
        <v>11</v>
      </c>
      <c r="CI21" s="99">
        <v>686.4</v>
      </c>
      <c r="CJ21" s="99">
        <v>7.8031704228727632</v>
      </c>
      <c r="CK21" s="99">
        <v>486.91783438726043</v>
      </c>
      <c r="CL21" s="99">
        <v>1.0705055215250234</v>
      </c>
      <c r="CM21" s="99">
        <v>66.79954454316146</v>
      </c>
      <c r="CN21" s="99">
        <v>14.677486352363353</v>
      </c>
      <c r="CO21" s="99">
        <v>915.87514838747325</v>
      </c>
      <c r="CP21" s="99">
        <v>3.6652155574299714</v>
      </c>
      <c r="CQ21" s="99">
        <v>228.70945078363022</v>
      </c>
      <c r="CR21" s="99">
        <v>8.5642101212224127</v>
      </c>
      <c r="CS21" s="99">
        <v>534.40671156427857</v>
      </c>
      <c r="CT21" s="99">
        <v>11.070290865611348</v>
      </c>
      <c r="CU21" s="99">
        <v>690.78615001414812</v>
      </c>
    </row>
    <row r="22" spans="2:99">
      <c r="C22" s="98" t="s">
        <v>188</v>
      </c>
      <c r="D22" s="99">
        <v>1.2362440644718324</v>
      </c>
      <c r="E22" s="99">
        <v>231.42488886912702</v>
      </c>
      <c r="F22" s="99">
        <v>6.5178967665314271</v>
      </c>
      <c r="G22" s="99">
        <v>1220.150274694683</v>
      </c>
      <c r="H22" s="99">
        <v>1.3587302934628978</v>
      </c>
      <c r="I22" s="99">
        <v>254.35431093625445</v>
      </c>
      <c r="J22" s="99">
        <v>10.168722364431519</v>
      </c>
      <c r="K22" s="99">
        <v>1903.5848266215801</v>
      </c>
      <c r="L22" s="99">
        <v>9</v>
      </c>
      <c r="M22" s="99">
        <v>1684.8</v>
      </c>
      <c r="N22" s="99">
        <v>7</v>
      </c>
      <c r="O22" s="99">
        <v>1310.3999999999999</v>
      </c>
      <c r="P22" s="99">
        <v>8</v>
      </c>
      <c r="Q22" s="99">
        <v>1497.6</v>
      </c>
      <c r="R22" s="99">
        <v>9.7603216237540487</v>
      </c>
      <c r="S22" s="99">
        <v>1827.1322079667577</v>
      </c>
      <c r="T22" s="99">
        <v>6.4841422906234296</v>
      </c>
      <c r="U22" s="99">
        <v>1213.8314368047058</v>
      </c>
      <c r="V22" s="99">
        <v>5.0807623749938253</v>
      </c>
      <c r="W22" s="99">
        <v>951.118716598844</v>
      </c>
      <c r="X22" s="99">
        <v>5.9776728002972428</v>
      </c>
      <c r="Y22" s="99">
        <v>1119.0203482156437</v>
      </c>
      <c r="Z22" s="99">
        <v>7.7623982922364974</v>
      </c>
      <c r="AA22" s="99">
        <v>1453.1209603066723</v>
      </c>
      <c r="AB22" s="99">
        <v>7</v>
      </c>
      <c r="AC22" s="99">
        <v>1310.3999999999999</v>
      </c>
      <c r="AD22" s="99">
        <v>6.8885108202266325</v>
      </c>
      <c r="AE22" s="99">
        <v>1289.5292255464256</v>
      </c>
      <c r="AF22" s="99">
        <v>6.8646781814796309</v>
      </c>
      <c r="AG22" s="99">
        <v>1285.0677555729869</v>
      </c>
      <c r="AH22" s="99">
        <v>9.8224587908293746</v>
      </c>
      <c r="AI22" s="99">
        <v>1838.7642856432587</v>
      </c>
      <c r="AJ22" s="99">
        <v>7.9893896080895841</v>
      </c>
      <c r="AK22" s="99">
        <v>1495.6137346343701</v>
      </c>
      <c r="AL22" s="99">
        <v>7.5218581597154675</v>
      </c>
      <c r="AM22" s="99">
        <v>1408.0918474987354</v>
      </c>
      <c r="AN22" s="99">
        <v>1.0824822250602506</v>
      </c>
      <c r="AO22" s="99">
        <v>202.64067253127891</v>
      </c>
      <c r="AP22" s="99">
        <v>11.446535463610774</v>
      </c>
      <c r="AQ22" s="99">
        <v>2142.7914387879368</v>
      </c>
      <c r="AR22" s="99">
        <v>11</v>
      </c>
      <c r="AS22" s="99">
        <v>2059.1999999999998</v>
      </c>
      <c r="AT22" s="99">
        <v>7</v>
      </c>
      <c r="AU22" s="99">
        <v>1310.3999999999999</v>
      </c>
      <c r="AV22" s="99">
        <v>9</v>
      </c>
      <c r="AW22" s="99">
        <v>1684.8</v>
      </c>
      <c r="AX22" s="99">
        <v>7.6359724338573738</v>
      </c>
      <c r="AY22" s="99">
        <v>1429.4540396181003</v>
      </c>
      <c r="AZ22" s="99">
        <v>9</v>
      </c>
      <c r="BA22" s="99">
        <v>1684.8</v>
      </c>
      <c r="BB22" s="99">
        <v>9.7592605677420448</v>
      </c>
      <c r="BC22" s="99">
        <v>1826.9335782813107</v>
      </c>
      <c r="BD22" s="99">
        <v>8</v>
      </c>
      <c r="BE22" s="99">
        <v>1497.6</v>
      </c>
      <c r="BF22" s="99">
        <v>9</v>
      </c>
      <c r="BG22" s="99">
        <v>1684.8</v>
      </c>
      <c r="BH22" s="99">
        <v>11.25032984762526</v>
      </c>
      <c r="BI22" s="99">
        <v>2106.0617474754486</v>
      </c>
      <c r="BJ22" s="99">
        <v>10.133638824222048</v>
      </c>
      <c r="BK22" s="99">
        <v>1897.0171878943672</v>
      </c>
      <c r="BL22" s="99">
        <v>8.1989725195743191</v>
      </c>
      <c r="BM22" s="99">
        <v>1534.8476556643125</v>
      </c>
      <c r="BN22" s="99">
        <v>10.24645283226053</v>
      </c>
      <c r="BO22" s="99">
        <v>1918.1359701991712</v>
      </c>
      <c r="BP22" s="99">
        <v>6.6398371927464295</v>
      </c>
      <c r="BQ22" s="99">
        <v>1242.9775224821315</v>
      </c>
      <c r="BR22" s="99">
        <v>10.402670595731244</v>
      </c>
      <c r="BS22" s="99">
        <v>1947.3799355208889</v>
      </c>
      <c r="BT22" s="99">
        <v>1.4369732146028116</v>
      </c>
      <c r="BU22" s="99">
        <v>269.00138577364629</v>
      </c>
      <c r="BV22" s="99">
        <v>10.159540167889098</v>
      </c>
      <c r="BW22" s="99">
        <v>1901.8659194288391</v>
      </c>
      <c r="BX22" s="99">
        <v>8.7425423224975205</v>
      </c>
      <c r="BY22" s="99">
        <v>1636.6039227715357</v>
      </c>
      <c r="BZ22" s="99">
        <v>2.4616978157844218</v>
      </c>
      <c r="CA22" s="99">
        <v>460.82983111484373</v>
      </c>
      <c r="CB22" s="99">
        <v>12.320326747816639</v>
      </c>
      <c r="CC22" s="99">
        <v>2306.3651671912744</v>
      </c>
      <c r="CD22" s="99">
        <v>10</v>
      </c>
      <c r="CE22" s="99">
        <v>1872</v>
      </c>
      <c r="CF22" s="99">
        <v>8</v>
      </c>
      <c r="CG22" s="99">
        <v>1497.6</v>
      </c>
      <c r="CH22" s="99">
        <v>10</v>
      </c>
      <c r="CI22" s="99">
        <v>1872</v>
      </c>
      <c r="CJ22" s="99">
        <v>7.8031704228727632</v>
      </c>
      <c r="CK22" s="99">
        <v>1460.7535031617813</v>
      </c>
      <c r="CL22" s="99">
        <v>1.2846066258300279</v>
      </c>
      <c r="CM22" s="99">
        <v>240.47836035538123</v>
      </c>
      <c r="CN22" s="99">
        <v>14.677486352363353</v>
      </c>
      <c r="CO22" s="99">
        <v>2747.6254451624195</v>
      </c>
      <c r="CP22" s="99">
        <v>3.6652155574299714</v>
      </c>
      <c r="CQ22" s="99">
        <v>686.12835235089062</v>
      </c>
      <c r="CR22" s="99">
        <v>9.473630165220813</v>
      </c>
      <c r="CS22" s="99">
        <v>1773.4635669293361</v>
      </c>
      <c r="CT22" s="99">
        <v>10.924086538677475</v>
      </c>
      <c r="CU22" s="99">
        <v>2044.9890000404232</v>
      </c>
    </row>
    <row r="23" spans="2:99">
      <c r="C23" s="98" t="s">
        <v>189</v>
      </c>
      <c r="D23" s="99">
        <v>1.3699327922142805</v>
      </c>
      <c r="E23" s="99">
        <v>402.7602409109985</v>
      </c>
      <c r="F23" s="99">
        <v>6.4344382068596717</v>
      </c>
      <c r="G23" s="99">
        <v>1891.7248328167434</v>
      </c>
      <c r="H23" s="99">
        <v>1.3248704768575641</v>
      </c>
      <c r="I23" s="99">
        <v>389.51192019612387</v>
      </c>
      <c r="J23" s="99">
        <v>10.022632068877579</v>
      </c>
      <c r="K23" s="99">
        <v>2946.6538282500082</v>
      </c>
      <c r="L23" s="99">
        <v>9</v>
      </c>
      <c r="M23" s="99">
        <v>2646</v>
      </c>
      <c r="N23" s="99">
        <v>7</v>
      </c>
      <c r="O23" s="99">
        <v>2058</v>
      </c>
      <c r="P23" s="99">
        <v>8</v>
      </c>
      <c r="Q23" s="99">
        <v>2352</v>
      </c>
      <c r="R23" s="99">
        <v>9.7603216237540487</v>
      </c>
      <c r="S23" s="99">
        <v>2869.5345573836903</v>
      </c>
      <c r="T23" s="99">
        <v>5.5578362491057973</v>
      </c>
      <c r="U23" s="99">
        <v>1634.0038572371045</v>
      </c>
      <c r="V23" s="99">
        <v>5.9275561041594633</v>
      </c>
      <c r="W23" s="99">
        <v>1742.7014946228821</v>
      </c>
      <c r="X23" s="99">
        <v>5.9776728002972428</v>
      </c>
      <c r="Y23" s="99">
        <v>1757.4358032873895</v>
      </c>
      <c r="Z23" s="99">
        <v>7.7623982922364974</v>
      </c>
      <c r="AA23" s="99">
        <v>2282.1450979175302</v>
      </c>
      <c r="AB23" s="99">
        <v>8</v>
      </c>
      <c r="AC23" s="99">
        <v>2352</v>
      </c>
      <c r="AD23" s="99">
        <v>5.904437845908542</v>
      </c>
      <c r="AE23" s="99">
        <v>1735.9047266971113</v>
      </c>
      <c r="AF23" s="99">
        <v>7.9039936399933728</v>
      </c>
      <c r="AG23" s="99">
        <v>2323.7741301580518</v>
      </c>
      <c r="AH23" s="99">
        <v>10.595919506405746</v>
      </c>
      <c r="AI23" s="99">
        <v>3115.2003348832895</v>
      </c>
      <c r="AJ23" s="99">
        <v>7.9893896080895841</v>
      </c>
      <c r="AK23" s="99">
        <v>2348.8805447783379</v>
      </c>
      <c r="AL23" s="99">
        <v>8.5218581597154675</v>
      </c>
      <c r="AM23" s="99">
        <v>2505.4262989563476</v>
      </c>
      <c r="AN23" s="99">
        <v>1.228861664282356</v>
      </c>
      <c r="AO23" s="99">
        <v>361.28532929901269</v>
      </c>
      <c r="AP23" s="99">
        <v>10.361445142221903</v>
      </c>
      <c r="AQ23" s="99">
        <v>3046.2648718132396</v>
      </c>
      <c r="AR23" s="99">
        <v>12</v>
      </c>
      <c r="AS23" s="99">
        <v>3528</v>
      </c>
      <c r="AT23" s="99">
        <v>7</v>
      </c>
      <c r="AU23" s="99">
        <v>2058</v>
      </c>
      <c r="AV23" s="99">
        <v>9</v>
      </c>
      <c r="AW23" s="99">
        <v>2646</v>
      </c>
      <c r="AX23" s="99">
        <v>7.6359724338573738</v>
      </c>
      <c r="AY23" s="99">
        <v>2244.9758955540678</v>
      </c>
      <c r="AZ23" s="99">
        <v>10</v>
      </c>
      <c r="BA23" s="99">
        <v>2940</v>
      </c>
      <c r="BB23" s="99">
        <v>8.7833345109678405</v>
      </c>
      <c r="BC23" s="99">
        <v>2582.3003462245451</v>
      </c>
      <c r="BD23" s="99">
        <v>8</v>
      </c>
      <c r="BE23" s="99">
        <v>2352</v>
      </c>
      <c r="BF23" s="99">
        <v>10</v>
      </c>
      <c r="BG23" s="99">
        <v>2940</v>
      </c>
      <c r="BH23" s="99">
        <v>10.312802360323154</v>
      </c>
      <c r="BI23" s="99">
        <v>3031.9638939350075</v>
      </c>
      <c r="BJ23" s="99">
        <v>8.349316406680714</v>
      </c>
      <c r="BK23" s="99">
        <v>2454.6990235641297</v>
      </c>
      <c r="BL23" s="99">
        <v>9.1989725195743191</v>
      </c>
      <c r="BM23" s="99">
        <v>2704.4979207548499</v>
      </c>
      <c r="BN23" s="99">
        <v>10.356911281328188</v>
      </c>
      <c r="BO23" s="99">
        <v>3044.9319167104873</v>
      </c>
      <c r="BP23" s="99">
        <v>7.508727616936941</v>
      </c>
      <c r="BQ23" s="99">
        <v>2207.5659193794609</v>
      </c>
      <c r="BR23" s="99">
        <v>9.5866705821890097</v>
      </c>
      <c r="BS23" s="99">
        <v>2818.4811511635689</v>
      </c>
      <c r="BT23" s="99">
        <v>1.6295085731442651</v>
      </c>
      <c r="BU23" s="99">
        <v>479.07552050441393</v>
      </c>
      <c r="BV23" s="99">
        <v>9.2447035936312076</v>
      </c>
      <c r="BW23" s="99">
        <v>2717.9428565275753</v>
      </c>
      <c r="BX23" s="99">
        <v>7.8670096312473428</v>
      </c>
      <c r="BY23" s="99">
        <v>2312.9008315867186</v>
      </c>
      <c r="BZ23" s="99">
        <v>2.1100266992437899</v>
      </c>
      <c r="CA23" s="99">
        <v>620.3478495776742</v>
      </c>
      <c r="CB23" s="99">
        <v>11.503506889528273</v>
      </c>
      <c r="CC23" s="99">
        <v>3382.0310255213121</v>
      </c>
      <c r="CD23" s="99">
        <v>9</v>
      </c>
      <c r="CE23" s="99">
        <v>2646</v>
      </c>
      <c r="CF23" s="99">
        <v>8</v>
      </c>
      <c r="CG23" s="99">
        <v>2352</v>
      </c>
      <c r="CH23" s="99">
        <v>10</v>
      </c>
      <c r="CI23" s="99">
        <v>2940</v>
      </c>
      <c r="CJ23" s="99">
        <v>7.8031704228727632</v>
      </c>
      <c r="CK23" s="99">
        <v>2294.1321043245925</v>
      </c>
      <c r="CL23" s="99">
        <v>1.1775560736775257</v>
      </c>
      <c r="CM23" s="99">
        <v>346.20148566119258</v>
      </c>
      <c r="CN23" s="99">
        <v>13.371029156333075</v>
      </c>
      <c r="CO23" s="99">
        <v>3931.0825719619238</v>
      </c>
      <c r="CP23" s="99">
        <v>3.9984169717417863</v>
      </c>
      <c r="CQ23" s="99">
        <v>1175.5345896920851</v>
      </c>
      <c r="CR23" s="99">
        <v>7.8062158825844623</v>
      </c>
      <c r="CS23" s="99">
        <v>2295.0274694798318</v>
      </c>
      <c r="CT23" s="99">
        <v>10.7778822117436</v>
      </c>
      <c r="CU23" s="99">
        <v>3168.6973702526184</v>
      </c>
    </row>
    <row r="24" spans="2:99">
      <c r="C24" s="98" t="s">
        <v>190</v>
      </c>
      <c r="D24" s="99">
        <v>1.2258231743135672</v>
      </c>
      <c r="E24" s="99">
        <v>450.12226960794186</v>
      </c>
      <c r="F24" s="99">
        <v>6.476167486695549</v>
      </c>
      <c r="G24" s="99">
        <v>2378.0487011146056</v>
      </c>
      <c r="H24" s="99">
        <v>1.3587302934628978</v>
      </c>
      <c r="I24" s="99">
        <v>498.92576375957606</v>
      </c>
      <c r="J24" s="99">
        <v>10.022632068877579</v>
      </c>
      <c r="K24" s="99">
        <v>3680.3104956918469</v>
      </c>
      <c r="L24" s="99">
        <v>9</v>
      </c>
      <c r="M24" s="99">
        <v>3304.7999999999997</v>
      </c>
      <c r="N24" s="99">
        <v>7</v>
      </c>
      <c r="O24" s="99">
        <v>2570.4</v>
      </c>
      <c r="P24" s="99">
        <v>7</v>
      </c>
      <c r="Q24" s="99">
        <v>2570.4</v>
      </c>
      <c r="R24" s="99">
        <v>8.7842894613786449</v>
      </c>
      <c r="S24" s="99">
        <v>3225.5910902182382</v>
      </c>
      <c r="T24" s="99">
        <v>5.5578362491057973</v>
      </c>
      <c r="U24" s="99">
        <v>2040.8374706716488</v>
      </c>
      <c r="V24" s="99">
        <v>5.9275561041594633</v>
      </c>
      <c r="W24" s="99">
        <v>2176.5986014473547</v>
      </c>
      <c r="X24" s="99">
        <v>5.9776728002972428</v>
      </c>
      <c r="Y24" s="99">
        <v>2195.0014522691476</v>
      </c>
      <c r="Z24" s="99">
        <v>7.7623982922364974</v>
      </c>
      <c r="AA24" s="99">
        <v>2850.3526529092419</v>
      </c>
      <c r="AB24" s="99">
        <v>7</v>
      </c>
      <c r="AC24" s="99">
        <v>2570.4</v>
      </c>
      <c r="AD24" s="99">
        <v>5.904437845908542</v>
      </c>
      <c r="AE24" s="99">
        <v>2168.1095770176166</v>
      </c>
      <c r="AF24" s="99">
        <v>6.8646781814796309</v>
      </c>
      <c r="AG24" s="99">
        <v>2520.7098282393204</v>
      </c>
      <c r="AH24" s="99">
        <v>10.711911263909395</v>
      </c>
      <c r="AI24" s="99">
        <v>3933.4138161075293</v>
      </c>
      <c r="AJ24" s="99">
        <v>7.1016796516351848</v>
      </c>
      <c r="AK24" s="99">
        <v>2607.7367680804396</v>
      </c>
      <c r="AL24" s="99">
        <v>7.6909535107949649</v>
      </c>
      <c r="AM24" s="99">
        <v>2824.1181291639109</v>
      </c>
      <c r="AN24" s="99">
        <v>1.2492822232551177</v>
      </c>
      <c r="AO24" s="99">
        <v>458.73643237927922</v>
      </c>
      <c r="AP24" s="99">
        <v>9.3614451422219034</v>
      </c>
      <c r="AQ24" s="99">
        <v>3437.5226562238827</v>
      </c>
      <c r="AR24" s="99">
        <v>11</v>
      </c>
      <c r="AS24" s="99">
        <v>4039.2</v>
      </c>
      <c r="AT24" s="99">
        <v>7</v>
      </c>
      <c r="AU24" s="99">
        <v>2570.4</v>
      </c>
      <c r="AV24" s="99">
        <v>9</v>
      </c>
      <c r="AW24" s="99">
        <v>3304.7999999999997</v>
      </c>
      <c r="AX24" s="99">
        <v>7.6359724338573738</v>
      </c>
      <c r="AY24" s="99">
        <v>2803.9290777124274</v>
      </c>
      <c r="AZ24" s="99">
        <v>9</v>
      </c>
      <c r="BA24" s="99">
        <v>3304.7999999999997</v>
      </c>
      <c r="BB24" s="99">
        <v>9.7592605677420448</v>
      </c>
      <c r="BC24" s="99">
        <v>3583.6004804748786</v>
      </c>
      <c r="BD24" s="99">
        <v>7</v>
      </c>
      <c r="BE24" s="99">
        <v>2570.4</v>
      </c>
      <c r="BF24" s="99">
        <v>11</v>
      </c>
      <c r="BG24" s="99">
        <v>4039.2</v>
      </c>
      <c r="BH24" s="99">
        <v>10.312802360323154</v>
      </c>
      <c r="BI24" s="99">
        <v>3786.8610267106619</v>
      </c>
      <c r="BJ24" s="99">
        <v>9.2226619961722811</v>
      </c>
      <c r="BK24" s="99">
        <v>3386.5614849944614</v>
      </c>
      <c r="BL24" s="99">
        <v>8.1989725195743191</v>
      </c>
      <c r="BM24" s="99">
        <v>3010.6627091876899</v>
      </c>
      <c r="BN24" s="99">
        <v>10.356911281328188</v>
      </c>
      <c r="BO24" s="99">
        <v>3803.0578225037102</v>
      </c>
      <c r="BP24" s="99">
        <v>6.6398371927464295</v>
      </c>
      <c r="BQ24" s="99">
        <v>2438.1482171764887</v>
      </c>
      <c r="BR24" s="99">
        <v>10.402670595731244</v>
      </c>
      <c r="BS24" s="99">
        <v>3819.8606427525128</v>
      </c>
      <c r="BT24" s="99">
        <v>1.4369732146028116</v>
      </c>
      <c r="BU24" s="99">
        <v>527.65656440215241</v>
      </c>
      <c r="BV24" s="99">
        <v>9.0113556493288556</v>
      </c>
      <c r="BW24" s="99">
        <v>3308.9697944335558</v>
      </c>
      <c r="BX24" s="99">
        <v>8.8670096312473419</v>
      </c>
      <c r="BY24" s="99">
        <v>3255.9659365940238</v>
      </c>
      <c r="BZ24" s="99">
        <v>2.4072789747132775</v>
      </c>
      <c r="CA24" s="99">
        <v>883.95283951471549</v>
      </c>
      <c r="CB24" s="99">
        <v>11.790355927559048</v>
      </c>
      <c r="CC24" s="99">
        <v>4329.4186965996823</v>
      </c>
      <c r="CD24" s="99">
        <v>11</v>
      </c>
      <c r="CE24" s="99">
        <v>4039.2</v>
      </c>
      <c r="CF24" s="99">
        <v>9</v>
      </c>
      <c r="CG24" s="99">
        <v>3304.7999999999997</v>
      </c>
      <c r="CH24" s="99">
        <v>10</v>
      </c>
      <c r="CI24" s="99">
        <v>3672</v>
      </c>
      <c r="CJ24" s="99">
        <v>6.8277741200136672</v>
      </c>
      <c r="CK24" s="99">
        <v>2507.1586568690186</v>
      </c>
      <c r="CL24" s="99">
        <v>1.0705055215250234</v>
      </c>
      <c r="CM24" s="99">
        <v>393.08962750398859</v>
      </c>
      <c r="CN24" s="99">
        <v>13.524257754348213</v>
      </c>
      <c r="CO24" s="99">
        <v>4966.1074473966637</v>
      </c>
      <c r="CP24" s="99">
        <v>3.6652155574299714</v>
      </c>
      <c r="CQ24" s="99">
        <v>1345.8671526882854</v>
      </c>
      <c r="CR24" s="99">
        <v>8.6399230239026377</v>
      </c>
      <c r="CS24" s="99">
        <v>3172.5797343770482</v>
      </c>
      <c r="CT24" s="99">
        <v>11.7778822117436</v>
      </c>
      <c r="CU24" s="99">
        <v>4324.8383481522496</v>
      </c>
    </row>
    <row r="25" spans="2:99">
      <c r="C25" s="98" t="s">
        <v>191</v>
      </c>
      <c r="D25" s="99">
        <v>1.2362440644718324</v>
      </c>
      <c r="E25" s="99">
        <v>655.70385179585992</v>
      </c>
      <c r="F25" s="99">
        <v>6.476167486695549</v>
      </c>
      <c r="G25" s="99">
        <v>3434.9592349433192</v>
      </c>
      <c r="H25" s="99">
        <v>1.234708199928475</v>
      </c>
      <c r="I25" s="99">
        <v>654.88922924206315</v>
      </c>
      <c r="J25" s="99">
        <v>9.022632068877579</v>
      </c>
      <c r="K25" s="99">
        <v>4785.6040493326673</v>
      </c>
      <c r="L25" s="99">
        <v>9</v>
      </c>
      <c r="M25" s="99">
        <v>4773.5999999999995</v>
      </c>
      <c r="N25" s="99">
        <v>8</v>
      </c>
      <c r="O25" s="99">
        <v>4243.2</v>
      </c>
      <c r="P25" s="99">
        <v>7</v>
      </c>
      <c r="Q25" s="99">
        <v>3712.7999999999997</v>
      </c>
      <c r="R25" s="99">
        <v>8.7842894613786449</v>
      </c>
      <c r="S25" s="99">
        <v>4659.1871303152329</v>
      </c>
      <c r="T25" s="99">
        <v>5.5578362491057973</v>
      </c>
      <c r="U25" s="99">
        <v>2947.8763465257148</v>
      </c>
      <c r="V25" s="99">
        <v>5.9275561041594633</v>
      </c>
      <c r="W25" s="99">
        <v>3143.9757576461793</v>
      </c>
      <c r="X25" s="99">
        <v>5.9776728002972428</v>
      </c>
      <c r="Y25" s="99">
        <v>3170.5576532776577</v>
      </c>
      <c r="Z25" s="99">
        <v>7.7623982922364974</v>
      </c>
      <c r="AA25" s="99">
        <v>4117.1760542022384</v>
      </c>
      <c r="AB25" s="99">
        <v>7</v>
      </c>
      <c r="AC25" s="99">
        <v>3712.7999999999997</v>
      </c>
      <c r="AD25" s="99">
        <v>5.904437845908542</v>
      </c>
      <c r="AE25" s="99">
        <v>3131.7138334698907</v>
      </c>
      <c r="AF25" s="99">
        <v>6.8646781814796309</v>
      </c>
      <c r="AG25" s="99">
        <v>3641.0253074567959</v>
      </c>
      <c r="AH25" s="99">
        <v>10.595919506405746</v>
      </c>
      <c r="AI25" s="99">
        <v>5620.0757061976074</v>
      </c>
      <c r="AJ25" s="99">
        <v>7.1016796516351848</v>
      </c>
      <c r="AK25" s="99">
        <v>3766.730887227302</v>
      </c>
      <c r="AL25" s="99">
        <v>8.5218581597154675</v>
      </c>
      <c r="AM25" s="99">
        <v>4519.993567913084</v>
      </c>
      <c r="AN25" s="99">
        <v>1.2390719437687367</v>
      </c>
      <c r="AO25" s="99">
        <v>657.20375897493795</v>
      </c>
      <c r="AP25" s="99">
        <v>11.361445142221903</v>
      </c>
      <c r="AQ25" s="99">
        <v>6026.1105034344973</v>
      </c>
      <c r="AR25" s="99">
        <v>10</v>
      </c>
      <c r="AS25" s="99">
        <v>5304</v>
      </c>
      <c r="AT25" s="99">
        <v>6</v>
      </c>
      <c r="AU25" s="99">
        <v>3182.3999999999996</v>
      </c>
      <c r="AV25" s="99">
        <v>8</v>
      </c>
      <c r="AW25" s="99">
        <v>4243.2</v>
      </c>
      <c r="AX25" s="99">
        <v>6.6814758796252027</v>
      </c>
      <c r="AY25" s="99">
        <v>3543.8548065532073</v>
      </c>
      <c r="AZ25" s="99">
        <v>9</v>
      </c>
      <c r="BA25" s="99">
        <v>4773.5999999999995</v>
      </c>
      <c r="BB25" s="99">
        <v>9.7592605677420448</v>
      </c>
      <c r="BC25" s="99">
        <v>5176.31180513038</v>
      </c>
      <c r="BD25" s="99">
        <v>7</v>
      </c>
      <c r="BE25" s="99">
        <v>3712.7999999999997</v>
      </c>
      <c r="BF25" s="99">
        <v>10</v>
      </c>
      <c r="BG25" s="99">
        <v>5304</v>
      </c>
      <c r="BH25" s="99">
        <v>10.312802360323154</v>
      </c>
      <c r="BI25" s="99">
        <v>5469.9103719154009</v>
      </c>
      <c r="BJ25" s="99">
        <v>8.7334558949156644</v>
      </c>
      <c r="BK25" s="99">
        <v>4632.2250066632678</v>
      </c>
      <c r="BL25" s="99">
        <v>8.9741651721541338</v>
      </c>
      <c r="BM25" s="99">
        <v>4759.8972073105524</v>
      </c>
      <c r="BN25" s="99">
        <v>10.467369730395847</v>
      </c>
      <c r="BO25" s="99">
        <v>5551.8929050019569</v>
      </c>
      <c r="BP25" s="99">
        <v>5.6912890223540815</v>
      </c>
      <c r="BQ25" s="99">
        <v>3018.6596974566046</v>
      </c>
      <c r="BR25" s="99">
        <v>9.3757277908889325</v>
      </c>
      <c r="BS25" s="99">
        <v>4972.8860202874894</v>
      </c>
      <c r="BT25" s="99">
        <v>1.4284755284301796</v>
      </c>
      <c r="BU25" s="99">
        <v>757.66342027936719</v>
      </c>
      <c r="BV25" s="99">
        <v>9.9261922235867459</v>
      </c>
      <c r="BW25" s="99">
        <v>5264.8523553904097</v>
      </c>
      <c r="BX25" s="99">
        <v>8.8670096312473419</v>
      </c>
      <c r="BY25" s="99">
        <v>4703.0619084135897</v>
      </c>
      <c r="BZ25" s="99">
        <v>2.1100266992437899</v>
      </c>
      <c r="CA25" s="99">
        <v>1119.1581612789062</v>
      </c>
      <c r="CB25" s="99">
        <v>10.749839925160616</v>
      </c>
      <c r="CC25" s="99">
        <v>5701.7150963051909</v>
      </c>
      <c r="CD25" s="99">
        <v>10</v>
      </c>
      <c r="CE25" s="99">
        <v>5304</v>
      </c>
      <c r="CF25" s="99">
        <v>8</v>
      </c>
      <c r="CG25" s="99">
        <v>4243.2</v>
      </c>
      <c r="CH25" s="99">
        <v>10</v>
      </c>
      <c r="CI25" s="99">
        <v>5304</v>
      </c>
      <c r="CJ25" s="99">
        <v>6.8277741200136672</v>
      </c>
      <c r="CK25" s="99">
        <v>3621.4513932552491</v>
      </c>
      <c r="CL25" s="99">
        <v>1.0705055215250234</v>
      </c>
      <c r="CM25" s="99">
        <v>567.79612861687235</v>
      </c>
      <c r="CN25" s="99">
        <v>13.371029156333075</v>
      </c>
      <c r="CO25" s="99">
        <v>7091.9938645190623</v>
      </c>
      <c r="CP25" s="99">
        <v>3.3320141431181556</v>
      </c>
      <c r="CQ25" s="99">
        <v>1767.3003015098695</v>
      </c>
      <c r="CR25" s="99">
        <v>7.9576416879449097</v>
      </c>
      <c r="CS25" s="99">
        <v>4220.7331512859801</v>
      </c>
      <c r="CT25" s="99">
        <v>10.924086538677475</v>
      </c>
      <c r="CU25" s="99">
        <v>5794.1355001145321</v>
      </c>
    </row>
    <row r="26" spans="2:99">
      <c r="C26" s="98" t="s">
        <v>192</v>
      </c>
      <c r="D26" s="99">
        <v>1.2466649546300981</v>
      </c>
      <c r="E26" s="99">
        <v>605.87916795022761</v>
      </c>
      <c r="F26" s="99">
        <v>6.476167486695549</v>
      </c>
      <c r="G26" s="99">
        <v>3147.4173985340367</v>
      </c>
      <c r="H26" s="99">
        <v>1.3587302934628978</v>
      </c>
      <c r="I26" s="99">
        <v>660.34292262296833</v>
      </c>
      <c r="J26" s="99">
        <v>9.0956772166545488</v>
      </c>
      <c r="K26" s="99">
        <v>4420.4991272941106</v>
      </c>
      <c r="L26" s="99">
        <v>11</v>
      </c>
      <c r="M26" s="99">
        <v>5346</v>
      </c>
      <c r="N26" s="99">
        <v>7</v>
      </c>
      <c r="O26" s="99">
        <v>3402</v>
      </c>
      <c r="P26" s="99">
        <v>8</v>
      </c>
      <c r="Q26" s="99">
        <v>3888</v>
      </c>
      <c r="R26" s="99">
        <v>9.7603216237540487</v>
      </c>
      <c r="S26" s="99">
        <v>4743.5163091444674</v>
      </c>
      <c r="T26" s="99">
        <v>6.4841422906234296</v>
      </c>
      <c r="U26" s="99">
        <v>3151.2931532429866</v>
      </c>
      <c r="V26" s="99">
        <v>5.9275561041594633</v>
      </c>
      <c r="W26" s="99">
        <v>2880.792266621499</v>
      </c>
      <c r="X26" s="99">
        <v>5.9776728002972428</v>
      </c>
      <c r="Y26" s="99">
        <v>2905.1489809444602</v>
      </c>
      <c r="Z26" s="99">
        <v>6.7920985057069352</v>
      </c>
      <c r="AA26" s="99">
        <v>3300.9598737735705</v>
      </c>
      <c r="AB26" s="99">
        <v>7</v>
      </c>
      <c r="AC26" s="99">
        <v>3402</v>
      </c>
      <c r="AD26" s="99">
        <v>5.904437845908542</v>
      </c>
      <c r="AE26" s="99">
        <v>2869.5567931115515</v>
      </c>
      <c r="AF26" s="99">
        <v>5.8840098698396837</v>
      </c>
      <c r="AG26" s="99">
        <v>2859.6287967420863</v>
      </c>
      <c r="AH26" s="99">
        <v>10.711911263909395</v>
      </c>
      <c r="AI26" s="99">
        <v>5205.988874259966</v>
      </c>
      <c r="AJ26" s="99">
        <v>7.9893896080895841</v>
      </c>
      <c r="AK26" s="99">
        <v>3882.843349531538</v>
      </c>
      <c r="AL26" s="99">
        <v>7.5218581597154675</v>
      </c>
      <c r="AM26" s="99">
        <v>3655.6230656217172</v>
      </c>
      <c r="AN26" s="99">
        <v>1.2390719437687367</v>
      </c>
      <c r="AO26" s="99">
        <v>602.18896467160607</v>
      </c>
      <c r="AP26" s="99">
        <v>10.531625784999642</v>
      </c>
      <c r="AQ26" s="99">
        <v>5118.370131509826</v>
      </c>
      <c r="AR26" s="99">
        <v>10</v>
      </c>
      <c r="AS26" s="99">
        <v>4860</v>
      </c>
      <c r="AT26" s="99">
        <v>7</v>
      </c>
      <c r="AU26" s="99">
        <v>3402</v>
      </c>
      <c r="AV26" s="99">
        <v>9</v>
      </c>
      <c r="AW26" s="99">
        <v>4374</v>
      </c>
      <c r="AX26" s="99">
        <v>6.6814758796252027</v>
      </c>
      <c r="AY26" s="99">
        <v>3247.1972774978485</v>
      </c>
      <c r="AZ26" s="99">
        <v>9</v>
      </c>
      <c r="BA26" s="99">
        <v>4374</v>
      </c>
      <c r="BB26" s="99">
        <v>9.7592605677420448</v>
      </c>
      <c r="BC26" s="99">
        <v>4743.0006359226336</v>
      </c>
      <c r="BD26" s="99">
        <v>7</v>
      </c>
      <c r="BE26" s="99">
        <v>3402</v>
      </c>
      <c r="BF26" s="99">
        <v>10</v>
      </c>
      <c r="BG26" s="99">
        <v>4860</v>
      </c>
      <c r="BH26" s="99">
        <v>9.3752748730210484</v>
      </c>
      <c r="BI26" s="99">
        <v>4556.3835882882295</v>
      </c>
      <c r="BJ26" s="99">
        <v>9.2226619961722811</v>
      </c>
      <c r="BK26" s="99">
        <v>4482.2137301397288</v>
      </c>
      <c r="BL26" s="99">
        <v>9.1240367371009246</v>
      </c>
      <c r="BM26" s="99">
        <v>4434.2818542310497</v>
      </c>
      <c r="BN26" s="99">
        <v>10.24645283226053</v>
      </c>
      <c r="BO26" s="99">
        <v>4979.7760764786181</v>
      </c>
      <c r="BP26" s="99">
        <v>6.6398371927464295</v>
      </c>
      <c r="BQ26" s="99">
        <v>3226.9608756747648</v>
      </c>
      <c r="BR26" s="99">
        <v>10.508141991381283</v>
      </c>
      <c r="BS26" s="99">
        <v>5106.9570078113038</v>
      </c>
      <c r="BT26" s="99">
        <v>1.6337574162305812</v>
      </c>
      <c r="BU26" s="99">
        <v>794.00610428806249</v>
      </c>
      <c r="BV26" s="99">
        <v>10.081757519788315</v>
      </c>
      <c r="BW26" s="99">
        <v>4899.734154617121</v>
      </c>
      <c r="BX26" s="99">
        <v>8.1159442487469882</v>
      </c>
      <c r="BY26" s="99">
        <v>3944.3489048910365</v>
      </c>
      <c r="BZ26" s="99">
        <v>2.1100266992437899</v>
      </c>
      <c r="CA26" s="99">
        <v>1025.472975832482</v>
      </c>
      <c r="CB26" s="99">
        <v>11.499493308273539</v>
      </c>
      <c r="CC26" s="99">
        <v>5588.7537478209397</v>
      </c>
      <c r="CD26" s="99">
        <v>9</v>
      </c>
      <c r="CE26" s="99">
        <v>4374</v>
      </c>
      <c r="CF26" s="99">
        <v>9</v>
      </c>
      <c r="CG26" s="99">
        <v>4374</v>
      </c>
      <c r="CH26" s="99">
        <v>9</v>
      </c>
      <c r="CI26" s="99">
        <v>4374</v>
      </c>
      <c r="CJ26" s="99">
        <v>6.8277741200136672</v>
      </c>
      <c r="CK26" s="99">
        <v>3318.2982223266422</v>
      </c>
      <c r="CL26" s="99">
        <v>1.1775560736775257</v>
      </c>
      <c r="CM26" s="99">
        <v>572.29225180727747</v>
      </c>
      <c r="CN26" s="99">
        <v>14.217800558317935</v>
      </c>
      <c r="CO26" s="99">
        <v>6909.8510713425158</v>
      </c>
      <c r="CP26" s="99">
        <v>3.3320141431181556</v>
      </c>
      <c r="CQ26" s="99">
        <v>1619.3588735554235</v>
      </c>
      <c r="CR26" s="99">
        <v>8.5642101212224127</v>
      </c>
      <c r="CS26" s="99">
        <v>4162.2061189140923</v>
      </c>
      <c r="CT26" s="99">
        <v>11.485473557875853</v>
      </c>
      <c r="CU26" s="99">
        <v>5581.9401491276649</v>
      </c>
    </row>
    <row r="27" spans="2:99">
      <c r="C27" s="98" t="s">
        <v>193</v>
      </c>
      <c r="D27" s="99">
        <v>1.2258231743135672</v>
      </c>
      <c r="E27" s="99">
        <v>523.67166006675586</v>
      </c>
      <c r="F27" s="99">
        <v>6.476167486695549</v>
      </c>
      <c r="G27" s="99">
        <v>2766.6187503163383</v>
      </c>
      <c r="H27" s="99">
        <v>1.2516381082311419</v>
      </c>
      <c r="I27" s="99">
        <v>534.6997998363438</v>
      </c>
      <c r="J27" s="99">
        <v>10.168722364431519</v>
      </c>
      <c r="K27" s="99">
        <v>4344.0781940851448</v>
      </c>
      <c r="L27" s="99">
        <v>10</v>
      </c>
      <c r="M27" s="99">
        <v>4272</v>
      </c>
      <c r="N27" s="99">
        <v>7</v>
      </c>
      <c r="O27" s="99">
        <v>2990.4</v>
      </c>
      <c r="P27" s="99">
        <v>7</v>
      </c>
      <c r="Q27" s="99">
        <v>2990.4</v>
      </c>
      <c r="R27" s="99">
        <v>9.7603216237540487</v>
      </c>
      <c r="S27" s="99">
        <v>4169.6093976677294</v>
      </c>
      <c r="T27" s="99">
        <v>5.5578362491057973</v>
      </c>
      <c r="U27" s="99">
        <v>2374.3076456179965</v>
      </c>
      <c r="V27" s="99">
        <v>5.9275561041594633</v>
      </c>
      <c r="W27" s="99">
        <v>2532.2519676969227</v>
      </c>
      <c r="X27" s="99">
        <v>5.9776728002972428</v>
      </c>
      <c r="Y27" s="99">
        <v>2553.6618202869822</v>
      </c>
      <c r="Z27" s="99">
        <v>7.7623982922364974</v>
      </c>
      <c r="AA27" s="99">
        <v>3316.0965504434316</v>
      </c>
      <c r="AB27" s="99">
        <v>7</v>
      </c>
      <c r="AC27" s="99">
        <v>2990.4</v>
      </c>
      <c r="AD27" s="99">
        <v>5.904437845908542</v>
      </c>
      <c r="AE27" s="99">
        <v>2522.375847772129</v>
      </c>
      <c r="AF27" s="99">
        <v>6.8646781814796309</v>
      </c>
      <c r="AG27" s="99">
        <v>2932.5905191280981</v>
      </c>
      <c r="AH27" s="99">
        <v>9.7644629120775512</v>
      </c>
      <c r="AI27" s="99">
        <v>4171.3785560395299</v>
      </c>
      <c r="AJ27" s="99">
        <v>7.9893896080895841</v>
      </c>
      <c r="AK27" s="99">
        <v>3413.0672405758701</v>
      </c>
      <c r="AL27" s="99">
        <v>7.43731048417572</v>
      </c>
      <c r="AM27" s="99">
        <v>3177.2190388398676</v>
      </c>
      <c r="AN27" s="99">
        <v>1.0722719455738696</v>
      </c>
      <c r="AO27" s="99">
        <v>458.07457514915711</v>
      </c>
      <c r="AP27" s="99">
        <v>11.361445142221903</v>
      </c>
      <c r="AQ27" s="99">
        <v>4853.609364757197</v>
      </c>
      <c r="AR27" s="99">
        <v>10</v>
      </c>
      <c r="AS27" s="99">
        <v>4272</v>
      </c>
      <c r="AT27" s="99">
        <v>7</v>
      </c>
      <c r="AU27" s="99">
        <v>2990.4</v>
      </c>
      <c r="AV27" s="99">
        <v>9</v>
      </c>
      <c r="AW27" s="99">
        <v>3844.7999999999997</v>
      </c>
      <c r="AX27" s="99">
        <v>7.6359724338573738</v>
      </c>
      <c r="AY27" s="99">
        <v>3262.0874237438702</v>
      </c>
      <c r="AZ27" s="99">
        <v>9</v>
      </c>
      <c r="BA27" s="99">
        <v>3844.7999999999997</v>
      </c>
      <c r="BB27" s="99">
        <v>8.7833345109678405</v>
      </c>
      <c r="BC27" s="99">
        <v>3752.2405030854616</v>
      </c>
      <c r="BD27" s="99">
        <v>7</v>
      </c>
      <c r="BE27" s="99">
        <v>2990.4</v>
      </c>
      <c r="BF27" s="99">
        <v>11</v>
      </c>
      <c r="BG27" s="99">
        <v>4699.2</v>
      </c>
      <c r="BH27" s="99">
        <v>9.3752748730210484</v>
      </c>
      <c r="BI27" s="99">
        <v>4005.1174257545917</v>
      </c>
      <c r="BJ27" s="99">
        <v>9.297924473288683</v>
      </c>
      <c r="BK27" s="99">
        <v>3972.0733349889251</v>
      </c>
      <c r="BL27" s="99">
        <v>9.0491009546275301</v>
      </c>
      <c r="BM27" s="99">
        <v>3865.7759278168805</v>
      </c>
      <c r="BN27" s="99">
        <v>10.467369730395847</v>
      </c>
      <c r="BO27" s="99">
        <v>4471.6603488251058</v>
      </c>
      <c r="BP27" s="99">
        <v>5.6912890223540815</v>
      </c>
      <c r="BQ27" s="99">
        <v>2431.3186703496635</v>
      </c>
      <c r="BR27" s="99">
        <v>9.3757277908889325</v>
      </c>
      <c r="BS27" s="99">
        <v>4005.310912267752</v>
      </c>
      <c r="BT27" s="99">
        <v>1.7684173044119587</v>
      </c>
      <c r="BU27" s="99">
        <v>755.46787244478867</v>
      </c>
      <c r="BV27" s="99">
        <v>9.3224862417319905</v>
      </c>
      <c r="BW27" s="99">
        <v>3982.5661224679061</v>
      </c>
      <c r="BX27" s="99">
        <v>7.7425423224975196</v>
      </c>
      <c r="BY27" s="99">
        <v>3307.6140801709403</v>
      </c>
      <c r="BZ27" s="99">
        <v>2.7738127050273835</v>
      </c>
      <c r="CA27" s="99">
        <v>1184.9727875876981</v>
      </c>
      <c r="CB27" s="99">
        <v>10.67865986873044</v>
      </c>
      <c r="CC27" s="99">
        <v>4561.9234959216437</v>
      </c>
      <c r="CD27" s="99">
        <v>11</v>
      </c>
      <c r="CE27" s="99">
        <v>4699.2</v>
      </c>
      <c r="CF27" s="99">
        <v>9</v>
      </c>
      <c r="CG27" s="99">
        <v>3844.7999999999997</v>
      </c>
      <c r="CH27" s="99">
        <v>10</v>
      </c>
      <c r="CI27" s="99">
        <v>4272</v>
      </c>
      <c r="CJ27" s="99">
        <v>7.8031704228727632</v>
      </c>
      <c r="CK27" s="99">
        <v>3333.5144046512441</v>
      </c>
      <c r="CL27" s="99">
        <v>1.1775560736775257</v>
      </c>
      <c r="CM27" s="99">
        <v>503.05195467503898</v>
      </c>
      <c r="CN27" s="99">
        <v>14.371029156333075</v>
      </c>
      <c r="CO27" s="99">
        <v>6139.3036555854897</v>
      </c>
      <c r="CP27" s="99">
        <v>3.9984169717417863</v>
      </c>
      <c r="CQ27" s="99">
        <v>1708.1237303280911</v>
      </c>
      <c r="CR27" s="99">
        <v>7.9576416879449097</v>
      </c>
      <c r="CS27" s="99">
        <v>3399.5045290900653</v>
      </c>
      <c r="CT27" s="99">
        <v>11.485473557875853</v>
      </c>
      <c r="CU27" s="99">
        <v>4906.594303924564</v>
      </c>
    </row>
    <row r="28" spans="2:99">
      <c r="C28" s="98" t="s">
        <v>194</v>
      </c>
      <c r="D28" s="99">
        <v>1.2362440644718324</v>
      </c>
      <c r="E28" s="99">
        <v>912.34811958021237</v>
      </c>
      <c r="F28" s="99">
        <v>7.1447391987512034</v>
      </c>
      <c r="G28" s="99">
        <v>5272.817528678388</v>
      </c>
      <c r="H28" s="99">
        <v>1.234708199928475</v>
      </c>
      <c r="I28" s="99">
        <v>911.21465154721454</v>
      </c>
      <c r="J28" s="99">
        <v>9.1687223644315186</v>
      </c>
      <c r="K28" s="99">
        <v>6766.5171049504606</v>
      </c>
      <c r="L28" s="99">
        <v>9</v>
      </c>
      <c r="M28" s="99">
        <v>6642</v>
      </c>
      <c r="N28" s="99">
        <v>6</v>
      </c>
      <c r="O28" s="99">
        <v>4428</v>
      </c>
      <c r="P28" s="99">
        <v>7</v>
      </c>
      <c r="Q28" s="99">
        <v>5166</v>
      </c>
      <c r="R28" s="99">
        <v>8.7842894613786449</v>
      </c>
      <c r="S28" s="99">
        <v>6482.8056224974398</v>
      </c>
      <c r="T28" s="99">
        <v>5.5578362491057973</v>
      </c>
      <c r="U28" s="99">
        <v>4101.6831518400786</v>
      </c>
      <c r="V28" s="99">
        <v>5.9275561041594633</v>
      </c>
      <c r="W28" s="99">
        <v>4374.5364048696838</v>
      </c>
      <c r="X28" s="99">
        <v>5.9776728002972428</v>
      </c>
      <c r="Y28" s="99">
        <v>4411.5225266193656</v>
      </c>
      <c r="Z28" s="99">
        <v>7.7623982922364974</v>
      </c>
      <c r="AA28" s="99">
        <v>5728.6499396705349</v>
      </c>
      <c r="AB28" s="99">
        <v>8</v>
      </c>
      <c r="AC28" s="99">
        <v>5904</v>
      </c>
      <c r="AD28" s="99">
        <v>5.904437845908542</v>
      </c>
      <c r="AE28" s="99">
        <v>4357.4751302805043</v>
      </c>
      <c r="AF28" s="99">
        <v>6.8646781814796309</v>
      </c>
      <c r="AG28" s="99">
        <v>5066.1324979319679</v>
      </c>
      <c r="AH28" s="99">
        <v>10.653915385157571</v>
      </c>
      <c r="AI28" s="99">
        <v>7862.5895542462877</v>
      </c>
      <c r="AJ28" s="99">
        <v>7.9893896080895841</v>
      </c>
      <c r="AK28" s="99">
        <v>5896.1695307701129</v>
      </c>
      <c r="AL28" s="99">
        <v>8.43731048417572</v>
      </c>
      <c r="AM28" s="99">
        <v>6226.7351373216816</v>
      </c>
      <c r="AN28" s="99">
        <v>1.228861664282356</v>
      </c>
      <c r="AO28" s="99">
        <v>906.89990824037875</v>
      </c>
      <c r="AP28" s="99">
        <v>9.4465354636107737</v>
      </c>
      <c r="AQ28" s="99">
        <v>6971.5431721447512</v>
      </c>
      <c r="AR28" s="99">
        <v>10</v>
      </c>
      <c r="AS28" s="99">
        <v>7380</v>
      </c>
      <c r="AT28" s="99">
        <v>7</v>
      </c>
      <c r="AU28" s="99">
        <v>5166</v>
      </c>
      <c r="AV28" s="99">
        <v>9</v>
      </c>
      <c r="AW28" s="99">
        <v>6642</v>
      </c>
      <c r="AX28" s="99">
        <v>6.6814758796252027</v>
      </c>
      <c r="AY28" s="99">
        <v>4930.9291991634</v>
      </c>
      <c r="AZ28" s="99">
        <v>8</v>
      </c>
      <c r="BA28" s="99">
        <v>5904</v>
      </c>
      <c r="BB28" s="99">
        <v>8.7833345109678405</v>
      </c>
      <c r="BC28" s="99">
        <v>6482.1008690942663</v>
      </c>
      <c r="BD28" s="99">
        <v>7</v>
      </c>
      <c r="BE28" s="99">
        <v>5166</v>
      </c>
      <c r="BF28" s="99">
        <v>10</v>
      </c>
      <c r="BG28" s="99">
        <v>7380</v>
      </c>
      <c r="BH28" s="99">
        <v>10.312802360323154</v>
      </c>
      <c r="BI28" s="99">
        <v>7610.8481419184873</v>
      </c>
      <c r="BJ28" s="99">
        <v>9.2602932347304829</v>
      </c>
      <c r="BK28" s="99">
        <v>6834.0964072310962</v>
      </c>
      <c r="BL28" s="99">
        <v>9.0491009546275301</v>
      </c>
      <c r="BM28" s="99">
        <v>6678.2365045151173</v>
      </c>
      <c r="BN28" s="99">
        <v>10.356911281328188</v>
      </c>
      <c r="BO28" s="99">
        <v>7643.4005256202026</v>
      </c>
      <c r="BP28" s="99">
        <v>5.6912890223540815</v>
      </c>
      <c r="BQ28" s="99">
        <v>4200.1712984973119</v>
      </c>
      <c r="BR28" s="99">
        <v>10.402670595731244</v>
      </c>
      <c r="BS28" s="99">
        <v>7677.1708996496582</v>
      </c>
      <c r="BT28" s="99">
        <v>1.7957093611425832</v>
      </c>
      <c r="BU28" s="99">
        <v>1325.2335085232264</v>
      </c>
      <c r="BV28" s="99">
        <v>9.0891382974296384</v>
      </c>
      <c r="BW28" s="99">
        <v>6707.7840635030734</v>
      </c>
      <c r="BX28" s="99">
        <v>8.991476939997165</v>
      </c>
      <c r="BY28" s="99">
        <v>6635.7099817179078</v>
      </c>
      <c r="BZ28" s="99">
        <v>2.1100266992437899</v>
      </c>
      <c r="CA28" s="99">
        <v>1557.1997040419169</v>
      </c>
      <c r="CB28" s="99">
        <v>10.830111550255296</v>
      </c>
      <c r="CC28" s="99">
        <v>7992.6223240884083</v>
      </c>
      <c r="CD28" s="99">
        <v>10</v>
      </c>
      <c r="CE28" s="99">
        <v>7380</v>
      </c>
      <c r="CF28" s="99">
        <v>9</v>
      </c>
      <c r="CG28" s="99">
        <v>6642</v>
      </c>
      <c r="CH28" s="99">
        <v>10</v>
      </c>
      <c r="CI28" s="99">
        <v>7380</v>
      </c>
      <c r="CJ28" s="99">
        <v>6.8277741200136672</v>
      </c>
      <c r="CK28" s="99">
        <v>5038.8973005700864</v>
      </c>
      <c r="CL28" s="99">
        <v>1.0705055215250234</v>
      </c>
      <c r="CM28" s="99">
        <v>790.03307488546727</v>
      </c>
      <c r="CN28" s="99">
        <v>14.217800558317935</v>
      </c>
      <c r="CO28" s="99">
        <v>10492.736812038636</v>
      </c>
      <c r="CP28" s="99">
        <v>3.3320141431181556</v>
      </c>
      <c r="CQ28" s="99">
        <v>2459.026437621199</v>
      </c>
      <c r="CR28" s="99">
        <v>7.9576416879449097</v>
      </c>
      <c r="CS28" s="99">
        <v>5872.739565703343</v>
      </c>
      <c r="CT28" s="99">
        <v>10.7778822117436</v>
      </c>
      <c r="CU28" s="99">
        <v>7954.0770722667767</v>
      </c>
    </row>
    <row r="29" spans="2:99">
      <c r="C29" s="98" t="s">
        <v>195</v>
      </c>
      <c r="D29" s="99">
        <v>1.2258231743135672</v>
      </c>
      <c r="E29" s="99">
        <v>414.81856218771111</v>
      </c>
      <c r="F29" s="99">
        <v>7.061280639079448</v>
      </c>
      <c r="G29" s="99">
        <v>2389.5373682644849</v>
      </c>
      <c r="H29" s="99">
        <v>1.234708199928475</v>
      </c>
      <c r="I29" s="99">
        <v>417.82525485579595</v>
      </c>
      <c r="J29" s="99">
        <v>9.022632068877579</v>
      </c>
      <c r="K29" s="99">
        <v>3053.2586921081725</v>
      </c>
      <c r="L29" s="99">
        <v>10</v>
      </c>
      <c r="M29" s="99">
        <v>3384</v>
      </c>
      <c r="N29" s="99">
        <v>6</v>
      </c>
      <c r="O29" s="99">
        <v>2030.3999999999999</v>
      </c>
      <c r="P29" s="99">
        <v>7</v>
      </c>
      <c r="Q29" s="99">
        <v>2368.7999999999997</v>
      </c>
      <c r="R29" s="99">
        <v>8.7842894613786449</v>
      </c>
      <c r="S29" s="99">
        <v>2972.6035537305333</v>
      </c>
      <c r="T29" s="99">
        <v>5.5578362491057973</v>
      </c>
      <c r="U29" s="99">
        <v>1880.7717866974017</v>
      </c>
      <c r="V29" s="99">
        <v>5.0807623749938253</v>
      </c>
      <c r="W29" s="99">
        <v>1719.3299876979104</v>
      </c>
      <c r="X29" s="99">
        <v>6.9739516003467825</v>
      </c>
      <c r="Y29" s="99">
        <v>2359.985221557351</v>
      </c>
      <c r="Z29" s="99">
        <v>7.7623982922364974</v>
      </c>
      <c r="AA29" s="99">
        <v>2626.7955820928305</v>
      </c>
      <c r="AB29" s="99">
        <v>7</v>
      </c>
      <c r="AC29" s="99">
        <v>2368.7999999999997</v>
      </c>
      <c r="AD29" s="99">
        <v>5.904437845908542</v>
      </c>
      <c r="AE29" s="99">
        <v>1998.0617670554504</v>
      </c>
      <c r="AF29" s="99">
        <v>6.8288421048521748</v>
      </c>
      <c r="AG29" s="99">
        <v>2310.8801682819758</v>
      </c>
      <c r="AH29" s="99">
        <v>9.7644629120775512</v>
      </c>
      <c r="AI29" s="99">
        <v>3304.2942494470431</v>
      </c>
      <c r="AJ29" s="99">
        <v>7.1016796516351848</v>
      </c>
      <c r="AK29" s="99">
        <v>2403.2083941133465</v>
      </c>
      <c r="AL29" s="99">
        <v>8.6064058352552166</v>
      </c>
      <c r="AM29" s="99">
        <v>2912.407734650365</v>
      </c>
      <c r="AN29" s="99">
        <v>1.0824822250602506</v>
      </c>
      <c r="AO29" s="99">
        <v>366.31198496038877</v>
      </c>
      <c r="AP29" s="99">
        <v>10.446535463610774</v>
      </c>
      <c r="AQ29" s="99">
        <v>3535.1076008858854</v>
      </c>
      <c r="AR29" s="99">
        <v>10</v>
      </c>
      <c r="AS29" s="99">
        <v>3384</v>
      </c>
      <c r="AT29" s="99">
        <v>8</v>
      </c>
      <c r="AU29" s="99">
        <v>2707.2</v>
      </c>
      <c r="AV29" s="99">
        <v>9</v>
      </c>
      <c r="AW29" s="99">
        <v>3045.6</v>
      </c>
      <c r="AX29" s="99">
        <v>7.6359724338573738</v>
      </c>
      <c r="AY29" s="99">
        <v>2584.0130716173353</v>
      </c>
      <c r="AZ29" s="99">
        <v>8</v>
      </c>
      <c r="BA29" s="99">
        <v>2707.2</v>
      </c>
      <c r="BB29" s="99">
        <v>9.7592605677420448</v>
      </c>
      <c r="BC29" s="99">
        <v>3302.5337761239075</v>
      </c>
      <c r="BD29" s="99">
        <v>8</v>
      </c>
      <c r="BE29" s="99">
        <v>2707.2</v>
      </c>
      <c r="BF29" s="99">
        <v>10</v>
      </c>
      <c r="BG29" s="99">
        <v>3384</v>
      </c>
      <c r="BH29" s="99">
        <v>11.25032984762526</v>
      </c>
      <c r="BI29" s="99">
        <v>3807.1116204363875</v>
      </c>
      <c r="BJ29" s="99">
        <v>9.2226619961722811</v>
      </c>
      <c r="BK29" s="99">
        <v>3120.9488195046997</v>
      </c>
      <c r="BL29" s="99">
        <v>9.1240367371009246</v>
      </c>
      <c r="BM29" s="99">
        <v>3087.5740318349526</v>
      </c>
      <c r="BN29" s="99">
        <v>11.286762303340446</v>
      </c>
      <c r="BO29" s="99">
        <v>3819.4403634504065</v>
      </c>
      <c r="BP29" s="99">
        <v>5.6912890223540815</v>
      </c>
      <c r="BQ29" s="99">
        <v>1925.9322051646211</v>
      </c>
      <c r="BR29" s="99">
        <v>9.5866705821890097</v>
      </c>
      <c r="BS29" s="99">
        <v>3244.1293250127605</v>
      </c>
      <c r="BT29" s="99">
        <v>1.6337574162305812</v>
      </c>
      <c r="BU29" s="99">
        <v>552.86350965242866</v>
      </c>
      <c r="BV29" s="99">
        <v>10.996594094046205</v>
      </c>
      <c r="BW29" s="99">
        <v>3721.2474414252356</v>
      </c>
      <c r="BX29" s="99">
        <v>8.991476939997165</v>
      </c>
      <c r="BY29" s="99">
        <v>3042.7157964950406</v>
      </c>
      <c r="BZ29" s="99">
        <v>2.4616978157844218</v>
      </c>
      <c r="CA29" s="99">
        <v>833.03854086144827</v>
      </c>
      <c r="CB29" s="99">
        <v>10.893264444176003</v>
      </c>
      <c r="CC29" s="99">
        <v>3686.280687909159</v>
      </c>
      <c r="CD29" s="99">
        <v>9</v>
      </c>
      <c r="CE29" s="99">
        <v>3045.6</v>
      </c>
      <c r="CF29" s="99">
        <v>8</v>
      </c>
      <c r="CG29" s="99">
        <v>2707.2</v>
      </c>
      <c r="CH29" s="99">
        <v>10</v>
      </c>
      <c r="CI29" s="99">
        <v>3384</v>
      </c>
      <c r="CJ29" s="99">
        <v>7.8031704228727632</v>
      </c>
      <c r="CK29" s="99">
        <v>2640.5928711001429</v>
      </c>
      <c r="CL29" s="99">
        <v>1.0705055215250234</v>
      </c>
      <c r="CM29" s="99">
        <v>362.25906848406788</v>
      </c>
      <c r="CN29" s="99">
        <v>14.217800558317935</v>
      </c>
      <c r="CO29" s="99">
        <v>4811.303708934789</v>
      </c>
      <c r="CP29" s="99">
        <v>3.6652155574299714</v>
      </c>
      <c r="CQ29" s="99">
        <v>1240.3089446343022</v>
      </c>
      <c r="CR29" s="99">
        <v>8.6399230239026377</v>
      </c>
      <c r="CS29" s="99">
        <v>2923.7499512886525</v>
      </c>
      <c r="CT29" s="99">
        <v>11.631677884809728</v>
      </c>
      <c r="CU29" s="99">
        <v>3936.1597962196115</v>
      </c>
    </row>
    <row r="30" spans="2:99">
      <c r="C30" s="98" t="s">
        <v>196</v>
      </c>
      <c r="D30" s="99">
        <v>1.2258231743135672</v>
      </c>
      <c r="E30" s="99">
        <v>170.63458586444855</v>
      </c>
      <c r="F30" s="99">
        <v>7.1447391987512034</v>
      </c>
      <c r="G30" s="99">
        <v>994.54769646616739</v>
      </c>
      <c r="H30" s="99">
        <v>1.3756602017655648</v>
      </c>
      <c r="I30" s="99">
        <v>191.49190008576662</v>
      </c>
      <c r="J30" s="99">
        <v>10.168722364431519</v>
      </c>
      <c r="K30" s="99">
        <v>1415.4861531288673</v>
      </c>
      <c r="L30" s="99">
        <v>9</v>
      </c>
      <c r="M30" s="99">
        <v>1252.8</v>
      </c>
      <c r="N30" s="99">
        <v>7</v>
      </c>
      <c r="O30" s="99">
        <v>974.39999999999986</v>
      </c>
      <c r="P30" s="99">
        <v>7</v>
      </c>
      <c r="Q30" s="99">
        <v>974.39999999999986</v>
      </c>
      <c r="R30" s="99">
        <v>10.736353786129452</v>
      </c>
      <c r="S30" s="99">
        <v>1494.5004470292197</v>
      </c>
      <c r="T30" s="99">
        <v>6.4841422906234296</v>
      </c>
      <c r="U30" s="99">
        <v>902.59260685478137</v>
      </c>
      <c r="V30" s="99">
        <v>5.9275561041594633</v>
      </c>
      <c r="W30" s="99">
        <v>825.11580969899728</v>
      </c>
      <c r="X30" s="99">
        <v>5.9776728002972428</v>
      </c>
      <c r="Y30" s="99">
        <v>832.0920538013761</v>
      </c>
      <c r="Z30" s="99">
        <v>7.7623982922364974</v>
      </c>
      <c r="AA30" s="99">
        <v>1080.5258422793204</v>
      </c>
      <c r="AB30" s="99">
        <v>8</v>
      </c>
      <c r="AC30" s="99">
        <v>1113.5999999999999</v>
      </c>
      <c r="AD30" s="99">
        <v>5.904437845908542</v>
      </c>
      <c r="AE30" s="99">
        <v>821.89774815046894</v>
      </c>
      <c r="AF30" s="99">
        <v>6.8646781814796309</v>
      </c>
      <c r="AG30" s="99">
        <v>955.56320286196456</v>
      </c>
      <c r="AH30" s="99">
        <v>10.653915385157571</v>
      </c>
      <c r="AI30" s="99">
        <v>1483.0250216139339</v>
      </c>
      <c r="AJ30" s="99">
        <v>7.1016796516351848</v>
      </c>
      <c r="AK30" s="99">
        <v>988.55380750761765</v>
      </c>
      <c r="AL30" s="99">
        <v>8.6064058352552166</v>
      </c>
      <c r="AM30" s="99">
        <v>1198.0116922675261</v>
      </c>
      <c r="AN30" s="99">
        <v>1.0824822250602506</v>
      </c>
      <c r="AO30" s="99">
        <v>150.68152572838687</v>
      </c>
      <c r="AP30" s="99">
        <v>11.446535463610774</v>
      </c>
      <c r="AQ30" s="99">
        <v>1593.3577365346196</v>
      </c>
      <c r="AR30" s="99">
        <v>11</v>
      </c>
      <c r="AS30" s="99">
        <v>1531.1999999999998</v>
      </c>
      <c r="AT30" s="99">
        <v>7</v>
      </c>
      <c r="AU30" s="99">
        <v>974.39999999999986</v>
      </c>
      <c r="AV30" s="99">
        <v>9</v>
      </c>
      <c r="AW30" s="99">
        <v>1252.8</v>
      </c>
      <c r="AX30" s="99">
        <v>7.6359724338573738</v>
      </c>
      <c r="AY30" s="99">
        <v>1062.9273627929463</v>
      </c>
      <c r="AZ30" s="99">
        <v>8</v>
      </c>
      <c r="BA30" s="99">
        <v>1113.5999999999999</v>
      </c>
      <c r="BB30" s="99">
        <v>9.7592605677420448</v>
      </c>
      <c r="BC30" s="99">
        <v>1358.4890710296925</v>
      </c>
      <c r="BD30" s="99">
        <v>7</v>
      </c>
      <c r="BE30" s="99">
        <v>974.39999999999986</v>
      </c>
      <c r="BF30" s="99">
        <v>10</v>
      </c>
      <c r="BG30" s="99">
        <v>1392</v>
      </c>
      <c r="BH30" s="99">
        <v>10.312802360323154</v>
      </c>
      <c r="BI30" s="99">
        <v>1435.5420885569829</v>
      </c>
      <c r="BJ30" s="99">
        <v>10.133638824222048</v>
      </c>
      <c r="BK30" s="99">
        <v>1410.602524331709</v>
      </c>
      <c r="BL30" s="99">
        <v>10.04910095462753</v>
      </c>
      <c r="BM30" s="99">
        <v>1398.834852884152</v>
      </c>
      <c r="BN30" s="99">
        <v>10.356911281328188</v>
      </c>
      <c r="BO30" s="99">
        <v>1441.6820503608835</v>
      </c>
      <c r="BP30" s="99">
        <v>5.6912890223540815</v>
      </c>
      <c r="BQ30" s="99">
        <v>792.22743191168809</v>
      </c>
      <c r="BR30" s="99">
        <v>10.191727804431165</v>
      </c>
      <c r="BS30" s="99">
        <v>1418.6885103768182</v>
      </c>
      <c r="BT30" s="99">
        <v>1.4327243715164955</v>
      </c>
      <c r="BU30" s="99">
        <v>199.43523251509615</v>
      </c>
      <c r="BV30" s="99">
        <v>9.9261922235867459</v>
      </c>
      <c r="BW30" s="99">
        <v>1381.7259575232749</v>
      </c>
      <c r="BX30" s="99">
        <v>7.8670096312473428</v>
      </c>
      <c r="BY30" s="99">
        <v>1095.08774066963</v>
      </c>
      <c r="BZ30" s="99">
        <v>2.4616978157844218</v>
      </c>
      <c r="CA30" s="99">
        <v>342.66833595719152</v>
      </c>
      <c r="CB30" s="99">
        <v>12.455724104322558</v>
      </c>
      <c r="CC30" s="99">
        <v>1733.8367953216998</v>
      </c>
      <c r="CD30" s="99">
        <v>11</v>
      </c>
      <c r="CE30" s="99">
        <v>1531.1999999999998</v>
      </c>
      <c r="CF30" s="99">
        <v>9</v>
      </c>
      <c r="CG30" s="99">
        <v>1252.8</v>
      </c>
      <c r="CH30" s="99">
        <v>11</v>
      </c>
      <c r="CI30" s="99">
        <v>1531.1999999999998</v>
      </c>
      <c r="CJ30" s="99">
        <v>7.8031704228727632</v>
      </c>
      <c r="CK30" s="99">
        <v>1086.2013228638884</v>
      </c>
      <c r="CL30" s="99">
        <v>1.0705055215250234</v>
      </c>
      <c r="CM30" s="99">
        <v>149.01436859628325</v>
      </c>
      <c r="CN30" s="99">
        <v>15.677486352363353</v>
      </c>
      <c r="CO30" s="99">
        <v>2182.3061002489785</v>
      </c>
      <c r="CP30" s="99">
        <v>3.9984169717417863</v>
      </c>
      <c r="CQ30" s="99">
        <v>556.57964246645656</v>
      </c>
      <c r="CR30" s="99">
        <v>8.7156359265828609</v>
      </c>
      <c r="CS30" s="99">
        <v>1213.2165209803341</v>
      </c>
      <c r="CT30" s="99">
        <v>11.631677884809728</v>
      </c>
      <c r="CU30" s="99">
        <v>1619.129561565514</v>
      </c>
    </row>
    <row r="31" spans="2:99">
      <c r="C31" s="98" t="s">
        <v>197</v>
      </c>
      <c r="D31" s="99">
        <v>1.2362440644718324</v>
      </c>
      <c r="E31" s="99">
        <v>421.31197717200052</v>
      </c>
      <c r="F31" s="99">
        <v>7.1864684785870816</v>
      </c>
      <c r="G31" s="99">
        <v>2449.1484575024774</v>
      </c>
      <c r="H31" s="99">
        <v>1.3587302934628978</v>
      </c>
      <c r="I31" s="99">
        <v>463.0552840121556</v>
      </c>
      <c r="J31" s="99">
        <v>9.9495869211006092</v>
      </c>
      <c r="K31" s="99">
        <v>3390.8192227110876</v>
      </c>
      <c r="L31" s="99">
        <v>10</v>
      </c>
      <c r="M31" s="99">
        <v>3408</v>
      </c>
      <c r="N31" s="99">
        <v>7</v>
      </c>
      <c r="O31" s="99">
        <v>2385.6</v>
      </c>
      <c r="P31" s="99">
        <v>7</v>
      </c>
      <c r="Q31" s="99">
        <v>2385.6</v>
      </c>
      <c r="R31" s="99">
        <v>9.7603216237540487</v>
      </c>
      <c r="S31" s="99">
        <v>3326.31760937538</v>
      </c>
      <c r="T31" s="99">
        <v>5.5578362491057973</v>
      </c>
      <c r="U31" s="99">
        <v>1894.1105936952558</v>
      </c>
      <c r="V31" s="99">
        <v>5.9275561041594633</v>
      </c>
      <c r="W31" s="99">
        <v>2020.1111202975451</v>
      </c>
      <c r="X31" s="99">
        <v>5.9776728002972428</v>
      </c>
      <c r="Y31" s="99">
        <v>2037.1908903413005</v>
      </c>
      <c r="Z31" s="99">
        <v>8.7326980787660595</v>
      </c>
      <c r="AA31" s="99">
        <v>2976.1035052434731</v>
      </c>
      <c r="AB31" s="99">
        <v>7</v>
      </c>
      <c r="AC31" s="99">
        <v>2385.6</v>
      </c>
      <c r="AD31" s="99">
        <v>5.904437845908542</v>
      </c>
      <c r="AE31" s="99">
        <v>2012.2324178856311</v>
      </c>
      <c r="AF31" s="99">
        <v>7.8095104164921221</v>
      </c>
      <c r="AG31" s="99">
        <v>2661.4811499405155</v>
      </c>
      <c r="AH31" s="99">
        <v>9.7644629120775512</v>
      </c>
      <c r="AI31" s="99">
        <v>3327.7289604360294</v>
      </c>
      <c r="AJ31" s="99">
        <v>7.1016796516351848</v>
      </c>
      <c r="AK31" s="99">
        <v>2420.252425277271</v>
      </c>
      <c r="AL31" s="99">
        <v>8.43731048417572</v>
      </c>
      <c r="AM31" s="99">
        <v>2875.4354130070856</v>
      </c>
      <c r="AN31" s="99">
        <v>1.2390719437687367</v>
      </c>
      <c r="AO31" s="99">
        <v>422.27571843638549</v>
      </c>
      <c r="AP31" s="99">
        <v>10.531625784999642</v>
      </c>
      <c r="AQ31" s="99">
        <v>3589.1780675278783</v>
      </c>
      <c r="AR31" s="99">
        <v>10</v>
      </c>
      <c r="AS31" s="99">
        <v>3408</v>
      </c>
      <c r="AT31" s="99">
        <v>7</v>
      </c>
      <c r="AU31" s="99">
        <v>2385.6</v>
      </c>
      <c r="AV31" s="99">
        <v>9</v>
      </c>
      <c r="AW31" s="99">
        <v>3067.2000000000003</v>
      </c>
      <c r="AX31" s="99">
        <v>7.6359724338573738</v>
      </c>
      <c r="AY31" s="99">
        <v>2602.3394054585929</v>
      </c>
      <c r="AZ31" s="99">
        <v>8</v>
      </c>
      <c r="BA31" s="99">
        <v>2726.4</v>
      </c>
      <c r="BB31" s="99">
        <v>8.7833345109678405</v>
      </c>
      <c r="BC31" s="99">
        <v>2993.3604013378399</v>
      </c>
      <c r="BD31" s="99">
        <v>7</v>
      </c>
      <c r="BE31" s="99">
        <v>2385.6</v>
      </c>
      <c r="BF31" s="99">
        <v>10</v>
      </c>
      <c r="BG31" s="99">
        <v>3408</v>
      </c>
      <c r="BH31" s="99">
        <v>11.25032984762526</v>
      </c>
      <c r="BI31" s="99">
        <v>3834.1124120706886</v>
      </c>
      <c r="BJ31" s="99">
        <v>10.133638824222048</v>
      </c>
      <c r="BK31" s="99">
        <v>3453.5441112948743</v>
      </c>
      <c r="BL31" s="99">
        <v>8.1989725195743191</v>
      </c>
      <c r="BM31" s="99">
        <v>2794.2098346709281</v>
      </c>
      <c r="BN31" s="99">
        <v>10.13599438319287</v>
      </c>
      <c r="BO31" s="99">
        <v>3454.3468857921303</v>
      </c>
      <c r="BP31" s="99">
        <v>8.3707310923491516</v>
      </c>
      <c r="BQ31" s="99">
        <v>2852.745156272591</v>
      </c>
      <c r="BR31" s="99">
        <v>9.2702563952388939</v>
      </c>
      <c r="BS31" s="99">
        <v>3159.3033794974153</v>
      </c>
      <c r="BT31" s="99">
        <v>1.6295085731442651</v>
      </c>
      <c r="BU31" s="99">
        <v>555.33652172756558</v>
      </c>
      <c r="BV31" s="99">
        <v>9.9261922235867459</v>
      </c>
      <c r="BW31" s="99">
        <v>3382.8463097983631</v>
      </c>
      <c r="BX31" s="99">
        <v>7.991476939997165</v>
      </c>
      <c r="BY31" s="99">
        <v>2723.4953411510342</v>
      </c>
      <c r="BZ31" s="99">
        <v>2.1100266992437899</v>
      </c>
      <c r="CA31" s="99">
        <v>719.09709910228366</v>
      </c>
      <c r="CB31" s="99">
        <v>10.606415406145228</v>
      </c>
      <c r="CC31" s="99">
        <v>3614.6663704142939</v>
      </c>
      <c r="CD31" s="99">
        <v>9</v>
      </c>
      <c r="CE31" s="99">
        <v>3067.2000000000003</v>
      </c>
      <c r="CF31" s="99">
        <v>8</v>
      </c>
      <c r="CG31" s="99">
        <v>2726.4</v>
      </c>
      <c r="CH31" s="99">
        <v>10</v>
      </c>
      <c r="CI31" s="99">
        <v>3408</v>
      </c>
      <c r="CJ31" s="99">
        <v>7.8031704228727632</v>
      </c>
      <c r="CK31" s="99">
        <v>2659.3204801150378</v>
      </c>
      <c r="CL31" s="99">
        <v>1.0705055215250234</v>
      </c>
      <c r="CM31" s="99">
        <v>364.82828173572801</v>
      </c>
      <c r="CN31" s="99">
        <v>15.064571960302795</v>
      </c>
      <c r="CO31" s="99">
        <v>5134.006124071193</v>
      </c>
      <c r="CP31" s="99">
        <v>3.9984169717417863</v>
      </c>
      <c r="CQ31" s="99">
        <v>1362.6605039696008</v>
      </c>
      <c r="CR31" s="99">
        <v>8.5642101212224127</v>
      </c>
      <c r="CS31" s="99">
        <v>2918.6828093125982</v>
      </c>
      <c r="CT31" s="99">
        <v>12.485473557875853</v>
      </c>
      <c r="CU31" s="99">
        <v>4255.0493885240912</v>
      </c>
    </row>
    <row r="32" spans="2:99">
      <c r="C32" s="98" t="s">
        <v>198</v>
      </c>
      <c r="D32" s="99">
        <v>1.2466649546300981</v>
      </c>
      <c r="E32" s="99">
        <v>1047.1985618892825</v>
      </c>
      <c r="F32" s="99">
        <v>6.5178967665314271</v>
      </c>
      <c r="G32" s="99">
        <v>5475.0332838863987</v>
      </c>
      <c r="H32" s="99">
        <v>1.1276160146967189</v>
      </c>
      <c r="I32" s="99">
        <v>947.19745234524385</v>
      </c>
      <c r="J32" s="99">
        <v>10.168722364431519</v>
      </c>
      <c r="K32" s="99">
        <v>8541.7267861224755</v>
      </c>
      <c r="L32" s="99">
        <v>9</v>
      </c>
      <c r="M32" s="99">
        <v>7560</v>
      </c>
      <c r="N32" s="99">
        <v>7</v>
      </c>
      <c r="O32" s="99">
        <v>5880</v>
      </c>
      <c r="P32" s="99">
        <v>7</v>
      </c>
      <c r="Q32" s="99">
        <v>5880</v>
      </c>
      <c r="R32" s="99">
        <v>9.7603216237540487</v>
      </c>
      <c r="S32" s="99">
        <v>8198.6701639534003</v>
      </c>
      <c r="T32" s="99">
        <v>5.5578362491057973</v>
      </c>
      <c r="U32" s="99">
        <v>4668.58244924887</v>
      </c>
      <c r="V32" s="99">
        <v>5.0807623749938253</v>
      </c>
      <c r="W32" s="99">
        <v>4267.8403949948133</v>
      </c>
      <c r="X32" s="99">
        <v>5.9776728002972428</v>
      </c>
      <c r="Y32" s="99">
        <v>5021.245152249684</v>
      </c>
      <c r="Z32" s="99">
        <v>7.7623982922364974</v>
      </c>
      <c r="AA32" s="99">
        <v>6520.414565478658</v>
      </c>
      <c r="AB32" s="99">
        <v>8</v>
      </c>
      <c r="AC32" s="99">
        <v>6720</v>
      </c>
      <c r="AD32" s="99">
        <v>5.904437845908542</v>
      </c>
      <c r="AE32" s="99">
        <v>4959.7277905631754</v>
      </c>
      <c r="AF32" s="99">
        <v>6.7816004931015517</v>
      </c>
      <c r="AG32" s="99">
        <v>5696.5444142053038</v>
      </c>
      <c r="AH32" s="99">
        <v>8.8750104389975331</v>
      </c>
      <c r="AI32" s="99">
        <v>7455.008768757928</v>
      </c>
      <c r="AJ32" s="99">
        <v>7.1016796516351848</v>
      </c>
      <c r="AK32" s="99">
        <v>5965.4109073735553</v>
      </c>
      <c r="AL32" s="99">
        <v>7.5218581597154675</v>
      </c>
      <c r="AM32" s="99">
        <v>6318.3608541609929</v>
      </c>
      <c r="AN32" s="99">
        <v>1.0824822250602506</v>
      </c>
      <c r="AO32" s="99">
        <v>909.28506905061056</v>
      </c>
      <c r="AP32" s="99">
        <v>9.3614451422219034</v>
      </c>
      <c r="AQ32" s="99">
        <v>7863.6139194663992</v>
      </c>
      <c r="AR32" s="99">
        <v>10</v>
      </c>
      <c r="AS32" s="99">
        <v>8400</v>
      </c>
      <c r="AT32" s="99">
        <v>7</v>
      </c>
      <c r="AU32" s="99">
        <v>5880</v>
      </c>
      <c r="AV32" s="99">
        <v>9</v>
      </c>
      <c r="AW32" s="99">
        <v>7560</v>
      </c>
      <c r="AX32" s="99">
        <v>7.6359724338573738</v>
      </c>
      <c r="AY32" s="99">
        <v>6414.2168444401941</v>
      </c>
      <c r="AZ32" s="99">
        <v>8</v>
      </c>
      <c r="BA32" s="99">
        <v>6720</v>
      </c>
      <c r="BB32" s="99">
        <v>9.7592605677420448</v>
      </c>
      <c r="BC32" s="99">
        <v>8197.7788769033177</v>
      </c>
      <c r="BD32" s="99">
        <v>7</v>
      </c>
      <c r="BE32" s="99">
        <v>5880</v>
      </c>
      <c r="BF32" s="99">
        <v>9</v>
      </c>
      <c r="BG32" s="99">
        <v>7560</v>
      </c>
      <c r="BH32" s="99">
        <v>12.132824022684359</v>
      </c>
      <c r="BI32" s="99">
        <v>10191.572179054861</v>
      </c>
      <c r="BJ32" s="99">
        <v>9.297924473288683</v>
      </c>
      <c r="BK32" s="99">
        <v>7810.256557562494</v>
      </c>
      <c r="BL32" s="99">
        <v>8.0491009546275301</v>
      </c>
      <c r="BM32" s="99">
        <v>6761.2448018871255</v>
      </c>
      <c r="BN32" s="99">
        <v>10.356911281328188</v>
      </c>
      <c r="BO32" s="99">
        <v>8699.8054763156779</v>
      </c>
      <c r="BP32" s="99">
        <v>5.6912890223540815</v>
      </c>
      <c r="BQ32" s="99">
        <v>4780.6827787774282</v>
      </c>
      <c r="BR32" s="99">
        <v>9.4811991865389729</v>
      </c>
      <c r="BS32" s="99">
        <v>7964.2073166927375</v>
      </c>
      <c r="BT32" s="99">
        <v>1.7678280311593699</v>
      </c>
      <c r="BU32" s="99">
        <v>1484.9755461738707</v>
      </c>
      <c r="BV32" s="99">
        <v>10.081757519788315</v>
      </c>
      <c r="BW32" s="99">
        <v>8468.6763166221845</v>
      </c>
      <c r="BX32" s="99">
        <v>7.7425423224975196</v>
      </c>
      <c r="BY32" s="99">
        <v>6503.7355508979163</v>
      </c>
      <c r="BZ32" s="99">
        <v>2.1100266992437899</v>
      </c>
      <c r="CA32" s="99">
        <v>1772.4224273647835</v>
      </c>
      <c r="CB32" s="99">
        <v>10.67865986873044</v>
      </c>
      <c r="CC32" s="99">
        <v>8970.0742897335695</v>
      </c>
      <c r="CD32" s="99">
        <v>10</v>
      </c>
      <c r="CE32" s="99">
        <v>8400</v>
      </c>
      <c r="CF32" s="99">
        <v>8</v>
      </c>
      <c r="CG32" s="99">
        <v>6720</v>
      </c>
      <c r="CH32" s="99">
        <v>10</v>
      </c>
      <c r="CI32" s="99">
        <v>8400</v>
      </c>
      <c r="CJ32" s="99">
        <v>6.8277741200136672</v>
      </c>
      <c r="CK32" s="99">
        <v>5735.3302608114809</v>
      </c>
      <c r="CL32" s="99">
        <v>1.0705055215250234</v>
      </c>
      <c r="CM32" s="99">
        <v>899.22463808101963</v>
      </c>
      <c r="CN32" s="99">
        <v>14.064571960302795</v>
      </c>
      <c r="CO32" s="99">
        <v>11814.240446654347</v>
      </c>
      <c r="CP32" s="99">
        <v>3.3320141431181556</v>
      </c>
      <c r="CQ32" s="99">
        <v>2798.8918802192507</v>
      </c>
      <c r="CR32" s="99">
        <v>7.8062158825844623</v>
      </c>
      <c r="CS32" s="99">
        <v>6557.2213413709487</v>
      </c>
      <c r="CT32" s="99">
        <v>9.7778822117436004</v>
      </c>
      <c r="CU32" s="99">
        <v>8213.4210578646234</v>
      </c>
    </row>
    <row r="33" spans="2:99">
      <c r="C33" s="98" t="s">
        <v>199</v>
      </c>
      <c r="D33" s="99">
        <v>1.3699327922142805</v>
      </c>
      <c r="E33" s="99">
        <v>649.34814350956901</v>
      </c>
      <c r="F33" s="99">
        <v>5.8075957746398945</v>
      </c>
      <c r="G33" s="99">
        <v>2752.80039717931</v>
      </c>
      <c r="H33" s="99">
        <v>1.3248704768575641</v>
      </c>
      <c r="I33" s="99">
        <v>627.98860603048536</v>
      </c>
      <c r="J33" s="99">
        <v>10.168722364431519</v>
      </c>
      <c r="K33" s="99">
        <v>4819.9744007405397</v>
      </c>
      <c r="L33" s="99">
        <v>9</v>
      </c>
      <c r="M33" s="99">
        <v>4266</v>
      </c>
      <c r="N33" s="99">
        <v>7</v>
      </c>
      <c r="O33" s="99">
        <v>3318</v>
      </c>
      <c r="P33" s="99">
        <v>8</v>
      </c>
      <c r="Q33" s="99">
        <v>3792</v>
      </c>
      <c r="R33" s="99">
        <v>9.7603216237540487</v>
      </c>
      <c r="S33" s="99">
        <v>4626.3924496594191</v>
      </c>
      <c r="T33" s="99">
        <v>6.4841422906234296</v>
      </c>
      <c r="U33" s="99">
        <v>3073.4834457555057</v>
      </c>
      <c r="V33" s="99">
        <v>5.0807623749938253</v>
      </c>
      <c r="W33" s="99">
        <v>2408.2813657470733</v>
      </c>
      <c r="X33" s="99">
        <v>5.9776728002972428</v>
      </c>
      <c r="Y33" s="99">
        <v>2833.416907340893</v>
      </c>
      <c r="Z33" s="99">
        <v>7.7623982922364974</v>
      </c>
      <c r="AA33" s="99">
        <v>3679.3767905200998</v>
      </c>
      <c r="AB33" s="99">
        <v>8</v>
      </c>
      <c r="AC33" s="99">
        <v>3792</v>
      </c>
      <c r="AD33" s="99">
        <v>5.904437845908542</v>
      </c>
      <c r="AE33" s="99">
        <v>2798.703538960649</v>
      </c>
      <c r="AF33" s="99">
        <v>6.7816004931015517</v>
      </c>
      <c r="AG33" s="99">
        <v>3214.4786337301357</v>
      </c>
      <c r="AH33" s="99">
        <v>9.8224587908293746</v>
      </c>
      <c r="AI33" s="99">
        <v>4655.845466853124</v>
      </c>
      <c r="AJ33" s="99">
        <v>7.9893896080895841</v>
      </c>
      <c r="AK33" s="99">
        <v>3786.9706742344629</v>
      </c>
      <c r="AL33" s="99">
        <v>8.6064058352552166</v>
      </c>
      <c r="AM33" s="99">
        <v>4079.4363659109727</v>
      </c>
      <c r="AN33" s="99">
        <v>1.0926925045466316</v>
      </c>
      <c r="AO33" s="99">
        <v>517.93624715510339</v>
      </c>
      <c r="AP33" s="99">
        <v>10.361445142221903</v>
      </c>
      <c r="AQ33" s="99">
        <v>4911.3249974131822</v>
      </c>
      <c r="AR33" s="99">
        <v>11</v>
      </c>
      <c r="AS33" s="99">
        <v>5214</v>
      </c>
      <c r="AT33" s="99">
        <v>8</v>
      </c>
      <c r="AU33" s="99">
        <v>3792</v>
      </c>
      <c r="AV33" s="99">
        <v>10</v>
      </c>
      <c r="AW33" s="99">
        <v>4740</v>
      </c>
      <c r="AX33" s="99">
        <v>6.6814758796252027</v>
      </c>
      <c r="AY33" s="99">
        <v>3167.019566942346</v>
      </c>
      <c r="AZ33" s="99">
        <v>8</v>
      </c>
      <c r="BA33" s="99">
        <v>3792</v>
      </c>
      <c r="BB33" s="99">
        <v>9.7592605677420448</v>
      </c>
      <c r="BC33" s="99">
        <v>4625.8895091097293</v>
      </c>
      <c r="BD33" s="99">
        <v>8</v>
      </c>
      <c r="BE33" s="99">
        <v>3792</v>
      </c>
      <c r="BF33" s="99">
        <v>9</v>
      </c>
      <c r="BG33" s="99">
        <v>4266</v>
      </c>
      <c r="BH33" s="99">
        <v>9.3752748730210484</v>
      </c>
      <c r="BI33" s="99">
        <v>4443.8802898119766</v>
      </c>
      <c r="BJ33" s="99">
        <v>8.349316406680714</v>
      </c>
      <c r="BK33" s="99">
        <v>3957.5759767666586</v>
      </c>
      <c r="BL33" s="99">
        <v>9.0491009546275301</v>
      </c>
      <c r="BM33" s="99">
        <v>4289.2738524934493</v>
      </c>
      <c r="BN33" s="99">
        <v>10.24645283226053</v>
      </c>
      <c r="BO33" s="99">
        <v>4856.8186424914911</v>
      </c>
      <c r="BP33" s="99">
        <v>5.6912890223540815</v>
      </c>
      <c r="BQ33" s="99">
        <v>2697.6709965958348</v>
      </c>
      <c r="BR33" s="99">
        <v>10.191727804431165</v>
      </c>
      <c r="BS33" s="99">
        <v>4830.8789793003725</v>
      </c>
      <c r="BT33" s="99">
        <v>1.5989251595148131</v>
      </c>
      <c r="BU33" s="99">
        <v>757.89052561002143</v>
      </c>
      <c r="BV33" s="99">
        <v>9.2447035936312076</v>
      </c>
      <c r="BW33" s="99">
        <v>4381.9895033811927</v>
      </c>
      <c r="BX33" s="99">
        <v>7.7425423224975196</v>
      </c>
      <c r="BY33" s="99">
        <v>3669.9650608638244</v>
      </c>
      <c r="BZ33" s="99">
        <v>2.4616978157844218</v>
      </c>
      <c r="CA33" s="99">
        <v>1166.8447646818158</v>
      </c>
      <c r="CB33" s="99">
        <v>10.686687031239909</v>
      </c>
      <c r="CC33" s="99">
        <v>5065.489652807717</v>
      </c>
      <c r="CD33" s="99">
        <v>10</v>
      </c>
      <c r="CE33" s="99">
        <v>4740</v>
      </c>
      <c r="CF33" s="99">
        <v>8</v>
      </c>
      <c r="CG33" s="99">
        <v>3792</v>
      </c>
      <c r="CH33" s="99">
        <v>11</v>
      </c>
      <c r="CI33" s="99">
        <v>5214</v>
      </c>
      <c r="CJ33" s="99">
        <v>6.8277741200136672</v>
      </c>
      <c r="CK33" s="99">
        <v>3236.3649328864781</v>
      </c>
      <c r="CL33" s="99">
        <v>1.1775560736775257</v>
      </c>
      <c r="CM33" s="99">
        <v>558.1615789231472</v>
      </c>
      <c r="CN33" s="99">
        <v>14.064571960302795</v>
      </c>
      <c r="CO33" s="99">
        <v>6666.6071091835247</v>
      </c>
      <c r="CP33" s="99">
        <v>3.9984169717417863</v>
      </c>
      <c r="CQ33" s="99">
        <v>1895.2496446056068</v>
      </c>
      <c r="CR33" s="99">
        <v>7.8819287852646855</v>
      </c>
      <c r="CS33" s="99">
        <v>3736.0342442154611</v>
      </c>
      <c r="CT33" s="99">
        <v>10.485473557875853</v>
      </c>
      <c r="CU33" s="99">
        <v>4970.1144664331541</v>
      </c>
    </row>
    <row r="34" spans="2:99">
      <c r="C34" s="98" t="s">
        <v>200</v>
      </c>
      <c r="D34" s="99">
        <v>1.2258231743135672</v>
      </c>
      <c r="E34" s="99">
        <v>672.2414287935602</v>
      </c>
      <c r="F34" s="99">
        <v>6.4344382068596717</v>
      </c>
      <c r="G34" s="99">
        <v>3528.645912641844</v>
      </c>
      <c r="H34" s="99">
        <v>1.234708199928475</v>
      </c>
      <c r="I34" s="99">
        <v>677.11397684077565</v>
      </c>
      <c r="J34" s="99">
        <v>10.022632068877579</v>
      </c>
      <c r="K34" s="99">
        <v>5496.4114265724638</v>
      </c>
      <c r="L34" s="99">
        <v>9</v>
      </c>
      <c r="M34" s="99">
        <v>4935.5999999999995</v>
      </c>
      <c r="N34" s="99">
        <v>7</v>
      </c>
      <c r="O34" s="99">
        <v>3838.7999999999997</v>
      </c>
      <c r="P34" s="99">
        <v>7</v>
      </c>
      <c r="Q34" s="99">
        <v>3838.7999999999997</v>
      </c>
      <c r="R34" s="99">
        <v>10.736353786129452</v>
      </c>
      <c r="S34" s="99">
        <v>5887.8164163133915</v>
      </c>
      <c r="T34" s="99">
        <v>6.4841422906234296</v>
      </c>
      <c r="U34" s="99">
        <v>3555.9036321778885</v>
      </c>
      <c r="V34" s="99">
        <v>5.9275561041594633</v>
      </c>
      <c r="W34" s="99">
        <v>3250.6717675210493</v>
      </c>
      <c r="X34" s="99">
        <v>4.9813940002477022</v>
      </c>
      <c r="Y34" s="99">
        <v>2731.7964697358398</v>
      </c>
      <c r="Z34" s="99">
        <v>6.7920985057069352</v>
      </c>
      <c r="AA34" s="99">
        <v>3724.7868205296832</v>
      </c>
      <c r="AB34" s="99">
        <v>7</v>
      </c>
      <c r="AC34" s="99">
        <v>3838.7999999999997</v>
      </c>
      <c r="AD34" s="99">
        <v>6.8885108202266325</v>
      </c>
      <c r="AE34" s="99">
        <v>3777.6593338122852</v>
      </c>
      <c r="AF34" s="99">
        <v>5.8840098698396837</v>
      </c>
      <c r="AG34" s="99">
        <v>3226.7910126200823</v>
      </c>
      <c r="AH34" s="99">
        <v>9.8224587908293746</v>
      </c>
      <c r="AI34" s="99">
        <v>5386.6364008908286</v>
      </c>
      <c r="AJ34" s="99">
        <v>7.1016796516351848</v>
      </c>
      <c r="AK34" s="99">
        <v>3894.5611209567351</v>
      </c>
      <c r="AL34" s="99">
        <v>7.6064058352552166</v>
      </c>
      <c r="AM34" s="99">
        <v>4171.3529600539605</v>
      </c>
      <c r="AN34" s="99">
        <v>1.2390719437687367</v>
      </c>
      <c r="AO34" s="99">
        <v>679.50705396277522</v>
      </c>
      <c r="AP34" s="99">
        <v>10.446535463610774</v>
      </c>
      <c r="AQ34" s="99">
        <v>5728.8800482441484</v>
      </c>
      <c r="AR34" s="99">
        <v>11</v>
      </c>
      <c r="AS34" s="99">
        <v>6032.4</v>
      </c>
      <c r="AT34" s="99">
        <v>7</v>
      </c>
      <c r="AU34" s="99">
        <v>3838.7999999999997</v>
      </c>
      <c r="AV34" s="99">
        <v>8</v>
      </c>
      <c r="AW34" s="99">
        <v>4387.2</v>
      </c>
      <c r="AX34" s="99">
        <v>6.6814758796252027</v>
      </c>
      <c r="AY34" s="99">
        <v>3664.1213723864612</v>
      </c>
      <c r="AZ34" s="99">
        <v>9</v>
      </c>
      <c r="BA34" s="99">
        <v>4935.5999999999995</v>
      </c>
      <c r="BB34" s="99">
        <v>8.7833345109678405</v>
      </c>
      <c r="BC34" s="99">
        <v>4816.7806458147634</v>
      </c>
      <c r="BD34" s="99">
        <v>7</v>
      </c>
      <c r="BE34" s="99">
        <v>3838.7999999999997</v>
      </c>
      <c r="BF34" s="99">
        <v>11</v>
      </c>
      <c r="BG34" s="99">
        <v>6032.4</v>
      </c>
      <c r="BH34" s="99">
        <v>9.3752748730210484</v>
      </c>
      <c r="BI34" s="99">
        <v>5141.4007403647429</v>
      </c>
      <c r="BJ34" s="99">
        <v>9.2602932347304829</v>
      </c>
      <c r="BK34" s="99">
        <v>5078.3448099261968</v>
      </c>
      <c r="BL34" s="99">
        <v>8.9741651721541338</v>
      </c>
      <c r="BM34" s="99">
        <v>4921.432180409327</v>
      </c>
      <c r="BN34" s="99">
        <v>11.397220752408105</v>
      </c>
      <c r="BO34" s="99">
        <v>6250.2358606206044</v>
      </c>
      <c r="BP34" s="99">
        <v>5.6912890223540815</v>
      </c>
      <c r="BQ34" s="99">
        <v>3121.1028998589782</v>
      </c>
      <c r="BR34" s="99">
        <v>9.4811991865389729</v>
      </c>
      <c r="BS34" s="99">
        <v>5199.4896338979725</v>
      </c>
      <c r="BT34" s="99">
        <v>1.4327243715164955</v>
      </c>
      <c r="BU34" s="99">
        <v>785.70604533964604</v>
      </c>
      <c r="BV34" s="99">
        <v>10.159540167889098</v>
      </c>
      <c r="BW34" s="99">
        <v>5571.4918280703814</v>
      </c>
      <c r="BX34" s="99">
        <v>7.8670096312473428</v>
      </c>
      <c r="BY34" s="99">
        <v>4314.2680817760429</v>
      </c>
      <c r="BZ34" s="99">
        <v>2.4616978157844218</v>
      </c>
      <c r="CA34" s="99">
        <v>1349.9950821761768</v>
      </c>
      <c r="CB34" s="99">
        <v>11.638904246034192</v>
      </c>
      <c r="CC34" s="99">
        <v>6382.7750885251507</v>
      </c>
      <c r="CD34" s="99">
        <v>10</v>
      </c>
      <c r="CE34" s="99">
        <v>5484</v>
      </c>
      <c r="CF34" s="99">
        <v>8</v>
      </c>
      <c r="CG34" s="99">
        <v>4387.2</v>
      </c>
      <c r="CH34" s="99">
        <v>9</v>
      </c>
      <c r="CI34" s="99">
        <v>4935.5999999999995</v>
      </c>
      <c r="CJ34" s="99">
        <v>7.8031704228727632</v>
      </c>
      <c r="CK34" s="99">
        <v>4279.258659903423</v>
      </c>
      <c r="CL34" s="99">
        <v>1.1775560736775257</v>
      </c>
      <c r="CM34" s="99">
        <v>645.77175080475502</v>
      </c>
      <c r="CN34" s="99">
        <v>14.064571960302795</v>
      </c>
      <c r="CO34" s="99">
        <v>7713.0112630300519</v>
      </c>
      <c r="CP34" s="99">
        <v>3.9984169717417863</v>
      </c>
      <c r="CQ34" s="99">
        <v>2192.7318673031955</v>
      </c>
      <c r="CR34" s="99">
        <v>8.5642101212224127</v>
      </c>
      <c r="CS34" s="99">
        <v>4696.6128304783706</v>
      </c>
      <c r="CT34" s="99">
        <v>10.7778822117436</v>
      </c>
      <c r="CU34" s="99">
        <v>5910.5906049201903</v>
      </c>
    </row>
    <row r="35" spans="2:99">
      <c r="C35" s="98" t="s">
        <v>201</v>
      </c>
      <c r="D35" s="99">
        <v>1.2154022841553014</v>
      </c>
      <c r="E35" s="99">
        <v>611.1042684732854</v>
      </c>
      <c r="F35" s="99">
        <v>5.8075957746398945</v>
      </c>
      <c r="G35" s="99">
        <v>2920.0591554889384</v>
      </c>
      <c r="H35" s="99">
        <v>1.3587302934628978</v>
      </c>
      <c r="I35" s="99">
        <v>683.16959155314487</v>
      </c>
      <c r="J35" s="99">
        <v>10.095677216654549</v>
      </c>
      <c r="K35" s="99">
        <v>5076.1065045339064</v>
      </c>
      <c r="L35" s="99">
        <v>9</v>
      </c>
      <c r="M35" s="99">
        <v>4525.1999999999989</v>
      </c>
      <c r="N35" s="99">
        <v>8</v>
      </c>
      <c r="O35" s="99">
        <v>4022.3999999999992</v>
      </c>
      <c r="P35" s="99">
        <v>7</v>
      </c>
      <c r="Q35" s="99">
        <v>3519.5999999999995</v>
      </c>
      <c r="R35" s="99">
        <v>9.7603216237540487</v>
      </c>
      <c r="S35" s="99">
        <v>4907.4897124235349</v>
      </c>
      <c r="T35" s="99">
        <v>5.5578362491057973</v>
      </c>
      <c r="U35" s="99">
        <v>2794.4800660503943</v>
      </c>
      <c r="V35" s="99">
        <v>5.9275561041594633</v>
      </c>
      <c r="W35" s="99">
        <v>2980.3752091713777</v>
      </c>
      <c r="X35" s="99">
        <v>4.9813940002477022</v>
      </c>
      <c r="Y35" s="99">
        <v>2504.644903324544</v>
      </c>
      <c r="Z35" s="99">
        <v>7.7623982922364974</v>
      </c>
      <c r="AA35" s="99">
        <v>3902.9338613365103</v>
      </c>
      <c r="AB35" s="99">
        <v>7</v>
      </c>
      <c r="AC35" s="99">
        <v>3519.5999999999995</v>
      </c>
      <c r="AD35" s="99">
        <v>4.9203648715904515</v>
      </c>
      <c r="AE35" s="99">
        <v>2473.9594574356784</v>
      </c>
      <c r="AF35" s="99">
        <v>6.8288421048521748</v>
      </c>
      <c r="AG35" s="99">
        <v>3433.541810319673</v>
      </c>
      <c r="AH35" s="99">
        <v>10.653915385157571</v>
      </c>
      <c r="AI35" s="99">
        <v>5356.7886556572257</v>
      </c>
      <c r="AJ35" s="99">
        <v>7.9893896080895841</v>
      </c>
      <c r="AK35" s="99">
        <v>4017.065094947442</v>
      </c>
      <c r="AL35" s="99">
        <v>7.6064058352552166</v>
      </c>
      <c r="AM35" s="99">
        <v>3824.5008539663222</v>
      </c>
      <c r="AN35" s="99">
        <v>1.0824822250602506</v>
      </c>
      <c r="AO35" s="99">
        <v>544.27206276029392</v>
      </c>
      <c r="AP35" s="99">
        <v>10.446535463610774</v>
      </c>
      <c r="AQ35" s="99">
        <v>5252.5180311034956</v>
      </c>
      <c r="AR35" s="99">
        <v>9</v>
      </c>
      <c r="AS35" s="99">
        <v>4525.1999999999989</v>
      </c>
      <c r="AT35" s="99">
        <v>6</v>
      </c>
      <c r="AU35" s="99">
        <v>3016.7999999999993</v>
      </c>
      <c r="AV35" s="99">
        <v>9</v>
      </c>
      <c r="AW35" s="99">
        <v>4525.1999999999989</v>
      </c>
      <c r="AX35" s="99">
        <v>6.6814758796252027</v>
      </c>
      <c r="AY35" s="99">
        <v>3359.4460722755512</v>
      </c>
      <c r="AZ35" s="99">
        <v>8</v>
      </c>
      <c r="BA35" s="99">
        <v>4022.3999999999992</v>
      </c>
      <c r="BB35" s="99">
        <v>8.7833345109678405</v>
      </c>
      <c r="BC35" s="99">
        <v>4416.2605921146296</v>
      </c>
      <c r="BD35" s="99">
        <v>7</v>
      </c>
      <c r="BE35" s="99">
        <v>3519.5999999999995</v>
      </c>
      <c r="BF35" s="99">
        <v>11</v>
      </c>
      <c r="BG35" s="99">
        <v>5530.7999999999993</v>
      </c>
      <c r="BH35" s="99">
        <v>11.25032984762526</v>
      </c>
      <c r="BI35" s="99">
        <v>5656.6658473859798</v>
      </c>
      <c r="BJ35" s="99">
        <v>10.133638824222048</v>
      </c>
      <c r="BK35" s="99">
        <v>5095.193600818845</v>
      </c>
      <c r="BL35" s="99">
        <v>9.0491009546275301</v>
      </c>
      <c r="BM35" s="99">
        <v>4549.8879599867214</v>
      </c>
      <c r="BN35" s="99">
        <v>11.397220752408105</v>
      </c>
      <c r="BO35" s="99">
        <v>5730.5225943107935</v>
      </c>
      <c r="BP35" s="99">
        <v>8.4572757873292872</v>
      </c>
      <c r="BQ35" s="99">
        <v>4252.3182658691649</v>
      </c>
      <c r="BR35" s="99">
        <v>10.191727804431165</v>
      </c>
      <c r="BS35" s="99">
        <v>5124.4007400679893</v>
      </c>
      <c r="BT35" s="99">
        <v>1.4369732146028116</v>
      </c>
      <c r="BU35" s="99">
        <v>722.51013230229353</v>
      </c>
      <c r="BV35" s="99">
        <v>9.9261922235867459</v>
      </c>
      <c r="BW35" s="99">
        <v>4990.8894500194147</v>
      </c>
      <c r="BX35" s="99">
        <v>7.991476939997165</v>
      </c>
      <c r="BY35" s="99">
        <v>4018.1146054305736</v>
      </c>
      <c r="BZ35" s="99">
        <v>2.1100266992437899</v>
      </c>
      <c r="CA35" s="99">
        <v>1060.9214243797774</v>
      </c>
      <c r="CB35" s="99">
        <v>10.893264444176003</v>
      </c>
      <c r="CC35" s="99">
        <v>5477.1333625316929</v>
      </c>
      <c r="CD35" s="99">
        <v>9</v>
      </c>
      <c r="CE35" s="99">
        <v>4525.1999999999989</v>
      </c>
      <c r="CF35" s="99">
        <v>8</v>
      </c>
      <c r="CG35" s="99">
        <v>4022.3999999999992</v>
      </c>
      <c r="CH35" s="99">
        <v>10</v>
      </c>
      <c r="CI35" s="99">
        <v>5027.9999999999991</v>
      </c>
      <c r="CJ35" s="99">
        <v>7.8031704228727632</v>
      </c>
      <c r="CK35" s="99">
        <v>3923.4340886204245</v>
      </c>
      <c r="CL35" s="99">
        <v>1.0705055215250234</v>
      </c>
      <c r="CM35" s="99">
        <v>538.25017622278165</v>
      </c>
      <c r="CN35" s="99">
        <v>12.911343362287656</v>
      </c>
      <c r="CO35" s="99">
        <v>6491.8234425582323</v>
      </c>
      <c r="CP35" s="99">
        <v>3.9984169717417863</v>
      </c>
      <c r="CQ35" s="99">
        <v>2010.4040533917698</v>
      </c>
      <c r="CR35" s="99">
        <v>7.8062158825844623</v>
      </c>
      <c r="CS35" s="99">
        <v>3924.9653457634668</v>
      </c>
      <c r="CT35" s="99">
        <v>11.485473557875853</v>
      </c>
      <c r="CU35" s="99">
        <v>5774.8961048999772</v>
      </c>
    </row>
    <row r="36" spans="2:99">
      <c r="C36" s="98" t="s">
        <v>202</v>
      </c>
      <c r="D36" s="99">
        <v>1.0817135564128535</v>
      </c>
      <c r="E36" s="99">
        <v>822.96767371889894</v>
      </c>
      <c r="F36" s="99">
        <v>6.5178967665314271</v>
      </c>
      <c r="G36" s="99">
        <v>4958.8158599771095</v>
      </c>
      <c r="H36" s="99">
        <v>1.2008483833231411</v>
      </c>
      <c r="I36" s="99">
        <v>913.6054500322457</v>
      </c>
      <c r="J36" s="99">
        <v>9.0956772166545488</v>
      </c>
      <c r="K36" s="99">
        <v>6919.9912264307804</v>
      </c>
      <c r="L36" s="99">
        <v>10</v>
      </c>
      <c r="M36" s="99">
        <v>7608</v>
      </c>
      <c r="N36" s="99">
        <v>6</v>
      </c>
      <c r="O36" s="99">
        <v>4564.7999999999993</v>
      </c>
      <c r="P36" s="99">
        <v>7</v>
      </c>
      <c r="Q36" s="99">
        <v>5325.5999999999995</v>
      </c>
      <c r="R36" s="99">
        <v>9.7603216237540487</v>
      </c>
      <c r="S36" s="99">
        <v>7425.6526913520802</v>
      </c>
      <c r="T36" s="99">
        <v>5.5578362491057973</v>
      </c>
      <c r="U36" s="99">
        <v>4228.4018183196904</v>
      </c>
      <c r="V36" s="99">
        <v>5.0807623749938253</v>
      </c>
      <c r="W36" s="99">
        <v>3865.4440148953022</v>
      </c>
      <c r="X36" s="99">
        <v>5.9776728002972428</v>
      </c>
      <c r="Y36" s="99">
        <v>4547.813466466142</v>
      </c>
      <c r="Z36" s="99">
        <v>7.7623982922364974</v>
      </c>
      <c r="AA36" s="99">
        <v>5905.6326207335269</v>
      </c>
      <c r="AB36" s="99">
        <v>7</v>
      </c>
      <c r="AC36" s="99">
        <v>5325.5999999999995</v>
      </c>
      <c r="AD36" s="99">
        <v>5.904437845908542</v>
      </c>
      <c r="AE36" s="99">
        <v>4492.0963131672188</v>
      </c>
      <c r="AF36" s="99">
        <v>6.8646781814796309</v>
      </c>
      <c r="AG36" s="99">
        <v>5222.6471604697026</v>
      </c>
      <c r="AH36" s="99">
        <v>10.537923627653923</v>
      </c>
      <c r="AI36" s="99">
        <v>8017.2522959191037</v>
      </c>
      <c r="AJ36" s="99">
        <v>7.9893896080895841</v>
      </c>
      <c r="AK36" s="99">
        <v>6078.3276138345555</v>
      </c>
      <c r="AL36" s="99">
        <v>8.43731048417572</v>
      </c>
      <c r="AM36" s="99">
        <v>6419.1058163608877</v>
      </c>
      <c r="AN36" s="99">
        <v>1.228861664282356</v>
      </c>
      <c r="AO36" s="99">
        <v>934.91795418601635</v>
      </c>
      <c r="AP36" s="99">
        <v>10.361445142221903</v>
      </c>
      <c r="AQ36" s="99">
        <v>7882.9874642024233</v>
      </c>
      <c r="AR36" s="99">
        <v>10</v>
      </c>
      <c r="AS36" s="99">
        <v>7608</v>
      </c>
      <c r="AT36" s="99">
        <v>7</v>
      </c>
      <c r="AU36" s="99">
        <v>5325.5999999999995</v>
      </c>
      <c r="AV36" s="99">
        <v>9</v>
      </c>
      <c r="AW36" s="99">
        <v>6847.2</v>
      </c>
      <c r="AX36" s="99">
        <v>6.6814758796252027</v>
      </c>
      <c r="AY36" s="99">
        <v>5083.2668492188541</v>
      </c>
      <c r="AZ36" s="99">
        <v>9</v>
      </c>
      <c r="BA36" s="99">
        <v>6847.2</v>
      </c>
      <c r="BB36" s="99">
        <v>8.7833345109678405</v>
      </c>
      <c r="BC36" s="99">
        <v>6682.3608959443327</v>
      </c>
      <c r="BD36" s="99">
        <v>8</v>
      </c>
      <c r="BE36" s="99">
        <v>6086.4</v>
      </c>
      <c r="BF36" s="99">
        <v>9</v>
      </c>
      <c r="BG36" s="99">
        <v>6847.2</v>
      </c>
      <c r="BH36" s="99">
        <v>11.25032984762526</v>
      </c>
      <c r="BI36" s="99">
        <v>8559.250948073297</v>
      </c>
      <c r="BJ36" s="99">
        <v>8.7334558949156644</v>
      </c>
      <c r="BK36" s="99">
        <v>6644.4132448518367</v>
      </c>
      <c r="BL36" s="99">
        <v>7.9741651721541338</v>
      </c>
      <c r="BM36" s="99">
        <v>6066.7448629748642</v>
      </c>
      <c r="BN36" s="99">
        <v>10.467369730395847</v>
      </c>
      <c r="BO36" s="99">
        <v>7963.5748908851592</v>
      </c>
      <c r="BP36" s="99">
        <v>5.6912890223540815</v>
      </c>
      <c r="BQ36" s="99">
        <v>4329.9326882069854</v>
      </c>
      <c r="BR36" s="99">
        <v>8.3487849860466206</v>
      </c>
      <c r="BS36" s="99">
        <v>6351.7556173842686</v>
      </c>
      <c r="BT36" s="99">
        <v>1.4327243715164955</v>
      </c>
      <c r="BU36" s="99">
        <v>1090.0167018497498</v>
      </c>
      <c r="BV36" s="99">
        <v>9.9261922235867459</v>
      </c>
      <c r="BW36" s="99">
        <v>7551.8470437047954</v>
      </c>
      <c r="BX36" s="99">
        <v>8.7425423224975205</v>
      </c>
      <c r="BY36" s="99">
        <v>6651.3261989561133</v>
      </c>
      <c r="BZ36" s="99">
        <v>2.1100266992437899</v>
      </c>
      <c r="CA36" s="99">
        <v>1605.3083127846753</v>
      </c>
      <c r="CB36" s="99">
        <v>11.495479727018806</v>
      </c>
      <c r="CC36" s="99">
        <v>8745.7609763159071</v>
      </c>
      <c r="CD36" s="99">
        <v>9</v>
      </c>
      <c r="CE36" s="99">
        <v>6847.2</v>
      </c>
      <c r="CF36" s="99">
        <v>8</v>
      </c>
      <c r="CG36" s="99">
        <v>6086.4</v>
      </c>
      <c r="CH36" s="99">
        <v>10</v>
      </c>
      <c r="CI36" s="99">
        <v>7608</v>
      </c>
      <c r="CJ36" s="99">
        <v>6.8277741200136672</v>
      </c>
      <c r="CK36" s="99">
        <v>5194.5705505063979</v>
      </c>
      <c r="CL36" s="99">
        <v>1.0705055215250234</v>
      </c>
      <c r="CM36" s="99">
        <v>814.44060077623783</v>
      </c>
      <c r="CN36" s="99">
        <v>12.911343362287656</v>
      </c>
      <c r="CO36" s="99">
        <v>9822.950030028449</v>
      </c>
      <c r="CP36" s="99">
        <v>3.6652155574299714</v>
      </c>
      <c r="CQ36" s="99">
        <v>2788.4959960927222</v>
      </c>
      <c r="CR36" s="99">
        <v>7.0482216439465111</v>
      </c>
      <c r="CS36" s="99">
        <v>5362.2870267145054</v>
      </c>
      <c r="CT36" s="99">
        <v>11.631677884809728</v>
      </c>
      <c r="CU36" s="99">
        <v>8849.3805347632406</v>
      </c>
    </row>
    <row r="37" spans="2:99">
      <c r="B37" s="98" t="s">
        <v>128</v>
      </c>
      <c r="C37" s="98" t="s">
        <v>203</v>
      </c>
      <c r="D37" s="99">
        <v>1.7293154148085625</v>
      </c>
      <c r="E37" s="99">
        <v>1487.9029829012873</v>
      </c>
      <c r="F37" s="99">
        <v>6.8109049600641809</v>
      </c>
      <c r="G37" s="99">
        <v>5860.1026276392213</v>
      </c>
      <c r="H37" s="99">
        <v>1.939076507058521</v>
      </c>
      <c r="I37" s="99">
        <v>1668.3814266731515</v>
      </c>
      <c r="J37" s="99">
        <v>16.803496625546668</v>
      </c>
      <c r="K37" s="99">
        <v>14457.728496620353</v>
      </c>
      <c r="L37" s="99">
        <v>14</v>
      </c>
      <c r="M37" s="99">
        <v>12045.6</v>
      </c>
      <c r="N37" s="99">
        <v>19</v>
      </c>
      <c r="O37" s="99">
        <v>16347.6</v>
      </c>
      <c r="P37" s="99">
        <v>12</v>
      </c>
      <c r="Q37" s="99">
        <v>10324.799999999999</v>
      </c>
      <c r="R37" s="99">
        <v>10.736353786129452</v>
      </c>
      <c r="S37" s="99">
        <v>9237.5587975857798</v>
      </c>
      <c r="T37" s="99">
        <v>15.747202705799758</v>
      </c>
      <c r="U37" s="99">
        <v>13548.893208070111</v>
      </c>
      <c r="V37" s="99">
        <v>13.548699666650203</v>
      </c>
      <c r="W37" s="99">
        <v>11657.301193185835</v>
      </c>
      <c r="X37" s="99">
        <v>14.944182000743105</v>
      </c>
      <c r="Y37" s="99">
        <v>12857.974193439368</v>
      </c>
      <c r="Z37" s="99">
        <v>18.435695944061678</v>
      </c>
      <c r="AA37" s="99">
        <v>15862.072790270668</v>
      </c>
      <c r="AB37" s="99">
        <v>16</v>
      </c>
      <c r="AC37" s="99">
        <v>13766.4</v>
      </c>
      <c r="AD37" s="99">
        <v>17.713313537725625</v>
      </c>
      <c r="AE37" s="99">
        <v>15240.534967859128</v>
      </c>
      <c r="AF37" s="99">
        <v>16.671361297879105</v>
      </c>
      <c r="AG37" s="99">
        <v>14344.039260695183</v>
      </c>
      <c r="AH37" s="99">
        <v>9.7839772038802018</v>
      </c>
      <c r="AI37" s="99">
        <v>8418.133986218525</v>
      </c>
      <c r="AJ37" s="99">
        <v>15.091069259724769</v>
      </c>
      <c r="AK37" s="99">
        <v>12984.35599106719</v>
      </c>
      <c r="AL37" s="99">
        <v>14.676381404317986</v>
      </c>
      <c r="AM37" s="99">
        <v>12627.558560275194</v>
      </c>
      <c r="AN37" s="99">
        <v>2.1173485791013693</v>
      </c>
      <c r="AO37" s="99">
        <v>1821.766717458818</v>
      </c>
      <c r="AP37" s="99">
        <v>15.680722571110952</v>
      </c>
      <c r="AQ37" s="99">
        <v>13491.693700183863</v>
      </c>
      <c r="AR37" s="99">
        <v>12</v>
      </c>
      <c r="AS37" s="99">
        <v>10324.799999999999</v>
      </c>
      <c r="AT37" s="99">
        <v>18</v>
      </c>
      <c r="AU37" s="99">
        <v>15487.199999999999</v>
      </c>
      <c r="AV37" s="99">
        <v>13</v>
      </c>
      <c r="AW37" s="99">
        <v>11185.199999999999</v>
      </c>
      <c r="AX37" s="99">
        <v>12.408455205018234</v>
      </c>
      <c r="AY37" s="99">
        <v>10676.234858397687</v>
      </c>
      <c r="AZ37" s="99">
        <v>16</v>
      </c>
      <c r="BA37" s="99">
        <v>13766.4</v>
      </c>
      <c r="BB37" s="99">
        <v>12.687038738064659</v>
      </c>
      <c r="BC37" s="99">
        <v>10915.928130230832</v>
      </c>
      <c r="BD37" s="99">
        <v>10</v>
      </c>
      <c r="BE37" s="99">
        <v>8604</v>
      </c>
      <c r="BF37" s="99">
        <v>13</v>
      </c>
      <c r="BG37" s="99">
        <v>11185.199999999999</v>
      </c>
      <c r="BH37" s="99">
        <v>11.222813191503757</v>
      </c>
      <c r="BI37" s="99">
        <v>9656.1084699698331</v>
      </c>
      <c r="BJ37" s="99">
        <v>12.226838252881931</v>
      </c>
      <c r="BK37" s="99">
        <v>10519.971632779614</v>
      </c>
      <c r="BL37" s="99">
        <v>10.59948625978716</v>
      </c>
      <c r="BM37" s="99">
        <v>9119.7979779208727</v>
      </c>
      <c r="BN37" s="99">
        <v>10.513553159866829</v>
      </c>
      <c r="BO37" s="99">
        <v>9045.8611387494202</v>
      </c>
      <c r="BP37" s="99">
        <v>13.110028469921737</v>
      </c>
      <c r="BQ37" s="99">
        <v>11279.868495520663</v>
      </c>
      <c r="BR37" s="99">
        <v>11.507313644565514</v>
      </c>
      <c r="BS37" s="99">
        <v>9900.8926597841673</v>
      </c>
      <c r="BT37" s="99">
        <v>2.3614104195332368</v>
      </c>
      <c r="BU37" s="99">
        <v>2031.7575249663969</v>
      </c>
      <c r="BV37" s="99">
        <v>10.218767613038365</v>
      </c>
      <c r="BW37" s="99">
        <v>8792.2276542582094</v>
      </c>
      <c r="BX37" s="99">
        <v>21.244673087498228</v>
      </c>
      <c r="BY37" s="99">
        <v>18278.916724483475</v>
      </c>
      <c r="BZ37" s="99">
        <v>4.2200533984875799</v>
      </c>
      <c r="CA37" s="99">
        <v>3630.9339440587137</v>
      </c>
      <c r="CB37" s="99">
        <v>9.8892928110682927</v>
      </c>
      <c r="CC37" s="99">
        <v>8508.7475346431584</v>
      </c>
      <c r="CD37" s="99">
        <v>15.955756615913167</v>
      </c>
      <c r="CE37" s="99">
        <v>13728.332992331689</v>
      </c>
      <c r="CF37" s="99">
        <v>13</v>
      </c>
      <c r="CG37" s="99">
        <v>11185.199999999999</v>
      </c>
      <c r="CH37" s="99">
        <v>15</v>
      </c>
      <c r="CI37" s="99">
        <v>12906</v>
      </c>
      <c r="CJ37" s="99">
        <v>15.606340845745526</v>
      </c>
      <c r="CK37" s="99">
        <v>13427.695663679451</v>
      </c>
      <c r="CL37" s="99">
        <v>1.3916571779825302</v>
      </c>
      <c r="CM37" s="99">
        <v>1197.381835936169</v>
      </c>
      <c r="CN37" s="99">
        <v>21.991971774196816</v>
      </c>
      <c r="CO37" s="99">
        <v>18921.892514518939</v>
      </c>
      <c r="CP37" s="99">
        <v>5.6644240433008646</v>
      </c>
      <c r="CQ37" s="99">
        <v>4873.6704468560638</v>
      </c>
      <c r="CR37" s="99">
        <v>14.628164030326023</v>
      </c>
      <c r="CS37" s="99">
        <v>12586.072331692509</v>
      </c>
      <c r="CT37" s="99">
        <v>17.046860577074231</v>
      </c>
      <c r="CU37" s="99">
        <v>14667.118840514668</v>
      </c>
    </row>
    <row r="38" spans="2:99">
      <c r="C38" s="98" t="s">
        <v>204</v>
      </c>
      <c r="D38" s="99">
        <v>1.6164684673826455</v>
      </c>
      <c r="E38" s="99">
        <v>2007.6538364892458</v>
      </c>
      <c r="F38" s="99">
        <v>6.1840625278444046</v>
      </c>
      <c r="G38" s="99">
        <v>7680.6056595827504</v>
      </c>
      <c r="H38" s="99">
        <v>2.0461686922902773</v>
      </c>
      <c r="I38" s="99">
        <v>2541.3415158245243</v>
      </c>
      <c r="J38" s="99">
        <v>16.949586921100607</v>
      </c>
      <c r="K38" s="99">
        <v>21051.386956006954</v>
      </c>
      <c r="L38" s="99">
        <v>13</v>
      </c>
      <c r="M38" s="99">
        <v>16146</v>
      </c>
      <c r="N38" s="99">
        <v>18</v>
      </c>
      <c r="O38" s="99">
        <v>22356</v>
      </c>
      <c r="P38" s="99">
        <v>12</v>
      </c>
      <c r="Q38" s="99">
        <v>14904</v>
      </c>
      <c r="R38" s="99">
        <v>9.7603216237540487</v>
      </c>
      <c r="S38" s="99">
        <v>12122.319456702528</v>
      </c>
      <c r="T38" s="99">
        <v>15.747202705799758</v>
      </c>
      <c r="U38" s="99">
        <v>19558.025760603301</v>
      </c>
      <c r="V38" s="99">
        <v>12.701905937484565</v>
      </c>
      <c r="W38" s="99">
        <v>15775.767174355829</v>
      </c>
      <c r="X38" s="99">
        <v>12.951624400644025</v>
      </c>
      <c r="Y38" s="99">
        <v>16085.91750559988</v>
      </c>
      <c r="Z38" s="99">
        <v>16.495096371002557</v>
      </c>
      <c r="AA38" s="99">
        <v>20486.909692785175</v>
      </c>
      <c r="AB38" s="99">
        <v>16</v>
      </c>
      <c r="AC38" s="99">
        <v>19872</v>
      </c>
      <c r="AD38" s="99">
        <v>16.729240563407537</v>
      </c>
      <c r="AE38" s="99">
        <v>20777.716779752162</v>
      </c>
      <c r="AF38" s="99">
        <v>15.690692986239156</v>
      </c>
      <c r="AG38" s="99">
        <v>19487.840688909033</v>
      </c>
      <c r="AH38" s="99">
        <v>11.56288215004024</v>
      </c>
      <c r="AI38" s="99">
        <v>14361.099630349978</v>
      </c>
      <c r="AJ38" s="99">
        <v>15.978779216179168</v>
      </c>
      <c r="AK38" s="99">
        <v>19845.643786494526</v>
      </c>
      <c r="AL38" s="99">
        <v>13.676381404317986</v>
      </c>
      <c r="AM38" s="99">
        <v>16986.065704162938</v>
      </c>
      <c r="AN38" s="99">
        <v>2.2739382978098552</v>
      </c>
      <c r="AO38" s="99">
        <v>2824.2313658798403</v>
      </c>
      <c r="AP38" s="99">
        <v>16.680722571110952</v>
      </c>
      <c r="AQ38" s="99">
        <v>20717.457433319803</v>
      </c>
      <c r="AR38" s="99">
        <v>12</v>
      </c>
      <c r="AS38" s="99">
        <v>14904</v>
      </c>
      <c r="AT38" s="99">
        <v>17</v>
      </c>
      <c r="AU38" s="99">
        <v>21114</v>
      </c>
      <c r="AV38" s="99">
        <v>14</v>
      </c>
      <c r="AW38" s="99">
        <v>17388</v>
      </c>
      <c r="AX38" s="99">
        <v>14.317448313482576</v>
      </c>
      <c r="AY38" s="99">
        <v>17782.270805345361</v>
      </c>
      <c r="AZ38" s="99">
        <v>16</v>
      </c>
      <c r="BA38" s="99">
        <v>19872</v>
      </c>
      <c r="BB38" s="99">
        <v>12.687038738064659</v>
      </c>
      <c r="BC38" s="99">
        <v>15757.302112676307</v>
      </c>
      <c r="BD38" s="99">
        <v>10</v>
      </c>
      <c r="BE38" s="99">
        <v>12420</v>
      </c>
      <c r="BF38" s="99">
        <v>11</v>
      </c>
      <c r="BG38" s="99">
        <v>13662</v>
      </c>
      <c r="BH38" s="99">
        <v>11.131812108385697</v>
      </c>
      <c r="BI38" s="99">
        <v>13825.710638615035</v>
      </c>
      <c r="BJ38" s="99">
        <v>12.527888161347541</v>
      </c>
      <c r="BK38" s="99">
        <v>15559.637096393646</v>
      </c>
      <c r="BL38" s="99">
        <v>10.59948625978716</v>
      </c>
      <c r="BM38" s="99">
        <v>13164.561934655652</v>
      </c>
      <c r="BN38" s="99">
        <v>11.443404181879087</v>
      </c>
      <c r="BO38" s="99">
        <v>14212.707993893826</v>
      </c>
      <c r="BP38" s="99">
        <v>14.058576640314085</v>
      </c>
      <c r="BQ38" s="99">
        <v>17460.752187270093</v>
      </c>
      <c r="BR38" s="99">
        <v>11.507313644565514</v>
      </c>
      <c r="BS38" s="99">
        <v>14292.083546550368</v>
      </c>
      <c r="BT38" s="99">
        <v>2.3614104195332368</v>
      </c>
      <c r="BU38" s="99">
        <v>2932.8717410602803</v>
      </c>
      <c r="BV38" s="99">
        <v>9.3039310387804743</v>
      </c>
      <c r="BW38" s="99">
        <v>11555.48235016535</v>
      </c>
      <c r="BX38" s="99">
        <v>21.244673087498228</v>
      </c>
      <c r="BY38" s="99">
        <v>26385.883974672801</v>
      </c>
      <c r="BZ38" s="99">
        <v>4.5717245150282126</v>
      </c>
      <c r="CA38" s="99">
        <v>5678.0818476650402</v>
      </c>
      <c r="CB38" s="99">
        <v>10.706112669356656</v>
      </c>
      <c r="CC38" s="99">
        <v>13296.991935340968</v>
      </c>
      <c r="CD38" s="99">
        <v>14.860180954321851</v>
      </c>
      <c r="CE38" s="99">
        <v>18456.344745267739</v>
      </c>
      <c r="CF38" s="99">
        <v>13</v>
      </c>
      <c r="CG38" s="99">
        <v>16146</v>
      </c>
      <c r="CH38" s="99">
        <v>13</v>
      </c>
      <c r="CI38" s="99">
        <v>16146</v>
      </c>
      <c r="CJ38" s="99">
        <v>15.606340845745526</v>
      </c>
      <c r="CK38" s="99">
        <v>19383.075330415944</v>
      </c>
      <c r="CL38" s="99">
        <v>1.4987077301350324</v>
      </c>
      <c r="CM38" s="99">
        <v>1861.3950008277102</v>
      </c>
      <c r="CN38" s="99">
        <v>20.991971774196816</v>
      </c>
      <c r="CO38" s="99">
        <v>26072.028943552446</v>
      </c>
      <c r="CP38" s="99">
        <v>4.9980212146772338</v>
      </c>
      <c r="CQ38" s="99">
        <v>6207.5423486291247</v>
      </c>
      <c r="CR38" s="99">
        <v>15.461871171644196</v>
      </c>
      <c r="CS38" s="99">
        <v>19203.64399518209</v>
      </c>
      <c r="CT38" s="99">
        <v>15.900656250140358</v>
      </c>
      <c r="CU38" s="99">
        <v>19748.615062674326</v>
      </c>
    </row>
    <row r="39" spans="2:99">
      <c r="C39" s="98" t="s">
        <v>205</v>
      </c>
      <c r="D39" s="99">
        <v>1.472358849481932</v>
      </c>
      <c r="E39" s="99">
        <v>2095.4611145826857</v>
      </c>
      <c r="F39" s="99">
        <v>6.1006039681726474</v>
      </c>
      <c r="G39" s="99">
        <v>8682.3795675033125</v>
      </c>
      <c r="H39" s="99">
        <v>2.0630986005929439</v>
      </c>
      <c r="I39" s="99">
        <v>2936.2019283638779</v>
      </c>
      <c r="J39" s="99">
        <v>16.876541773323638</v>
      </c>
      <c r="K39" s="99">
        <v>24018.694251794201</v>
      </c>
      <c r="L39" s="99">
        <v>14</v>
      </c>
      <c r="M39" s="99">
        <v>19924.8</v>
      </c>
      <c r="N39" s="99">
        <v>15</v>
      </c>
      <c r="O39" s="99">
        <v>21348</v>
      </c>
      <c r="P39" s="99">
        <v>12</v>
      </c>
      <c r="Q39" s="99">
        <v>17078.400000000001</v>
      </c>
      <c r="R39" s="99">
        <v>8.7842894613786449</v>
      </c>
      <c r="S39" s="99">
        <v>12501.800761434088</v>
      </c>
      <c r="T39" s="99">
        <v>13.894590622764493</v>
      </c>
      <c r="U39" s="99">
        <v>19774.781374318427</v>
      </c>
      <c r="V39" s="99">
        <v>14.395493395815839</v>
      </c>
      <c r="W39" s="99">
        <v>20487.666200925101</v>
      </c>
      <c r="X39" s="99">
        <v>13.947903200693565</v>
      </c>
      <c r="Y39" s="99">
        <v>19850.655835227084</v>
      </c>
      <c r="Z39" s="99">
        <v>17.465396157532119</v>
      </c>
      <c r="AA39" s="99">
        <v>24856.751811399714</v>
      </c>
      <c r="AB39" s="99">
        <v>14</v>
      </c>
      <c r="AC39" s="99">
        <v>19924.8</v>
      </c>
      <c r="AD39" s="99">
        <v>18.697386512043717</v>
      </c>
      <c r="AE39" s="99">
        <v>26610.12048394062</v>
      </c>
      <c r="AF39" s="99">
        <v>13.729356362959262</v>
      </c>
      <c r="AG39" s="99">
        <v>19539.61997576362</v>
      </c>
      <c r="AH39" s="99">
        <v>10.67342967696022</v>
      </c>
      <c r="AI39" s="99">
        <v>15190.425116249786</v>
      </c>
      <c r="AJ39" s="99">
        <v>14.20335930327037</v>
      </c>
      <c r="AK39" s="99">
        <v>20214.22096041439</v>
      </c>
      <c r="AL39" s="99">
        <v>13.676381404317986</v>
      </c>
      <c r="AM39" s="99">
        <v>19464.226014625357</v>
      </c>
      <c r="AN39" s="99">
        <v>2.1173485791013693</v>
      </c>
      <c r="AO39" s="99">
        <v>3013.4104977770689</v>
      </c>
      <c r="AP39" s="99">
        <v>17.680722571110952</v>
      </c>
      <c r="AQ39" s="99">
        <v>25163.204363205106</v>
      </c>
      <c r="AR39" s="99">
        <v>12</v>
      </c>
      <c r="AS39" s="99">
        <v>17078.400000000001</v>
      </c>
      <c r="AT39" s="99">
        <v>18</v>
      </c>
      <c r="AU39" s="99">
        <v>25617.600000000002</v>
      </c>
      <c r="AV39" s="99">
        <v>15</v>
      </c>
      <c r="AW39" s="99">
        <v>21348</v>
      </c>
      <c r="AX39" s="99">
        <v>14.317448313482576</v>
      </c>
      <c r="AY39" s="99">
        <v>20376.592439748401</v>
      </c>
      <c r="AZ39" s="99">
        <v>14</v>
      </c>
      <c r="BA39" s="99">
        <v>19924.8</v>
      </c>
      <c r="BB39" s="99">
        <v>11.711112681290455</v>
      </c>
      <c r="BC39" s="99">
        <v>16667.255568012577</v>
      </c>
      <c r="BD39" s="99">
        <v>10</v>
      </c>
      <c r="BE39" s="99">
        <v>14232</v>
      </c>
      <c r="BF39" s="99">
        <v>11</v>
      </c>
      <c r="BG39" s="99">
        <v>15655.2</v>
      </c>
      <c r="BH39" s="99">
        <v>10.103283537965529</v>
      </c>
      <c r="BI39" s="99">
        <v>14378.993131232543</v>
      </c>
      <c r="BJ39" s="99">
        <v>12.527888161347541</v>
      </c>
      <c r="BK39" s="99">
        <v>17829.690431229821</v>
      </c>
      <c r="BL39" s="99">
        <v>9.5994862597871595</v>
      </c>
      <c r="BM39" s="99">
        <v>13661.988844929087</v>
      </c>
      <c r="BN39" s="99">
        <v>10.624011608934488</v>
      </c>
      <c r="BO39" s="99">
        <v>15120.093321835564</v>
      </c>
      <c r="BP39" s="99">
        <v>14.920580115726294</v>
      </c>
      <c r="BQ39" s="99">
        <v>21234.96962070166</v>
      </c>
      <c r="BR39" s="99">
        <v>11.507313644565514</v>
      </c>
      <c r="BS39" s="99">
        <v>16377.20877894564</v>
      </c>
      <c r="BT39" s="99">
        <v>2.3614104195332368</v>
      </c>
      <c r="BU39" s="99">
        <v>3360.7593090797027</v>
      </c>
      <c r="BV39" s="99">
        <v>9.381713686881259</v>
      </c>
      <c r="BW39" s="99">
        <v>13352.054919169408</v>
      </c>
      <c r="BX39" s="99">
        <v>21.244673087498228</v>
      </c>
      <c r="BY39" s="99">
        <v>30235.418738127479</v>
      </c>
      <c r="BZ39" s="99">
        <v>3.8683822819469489</v>
      </c>
      <c r="CA39" s="99">
        <v>5505.4816636668975</v>
      </c>
      <c r="CB39" s="99">
        <v>9.8892928110682927</v>
      </c>
      <c r="CC39" s="99">
        <v>14074.441528712394</v>
      </c>
      <c r="CD39" s="99">
        <v>15.955756615913167</v>
      </c>
      <c r="CE39" s="99">
        <v>22708.23281576762</v>
      </c>
      <c r="CF39" s="99">
        <v>14</v>
      </c>
      <c r="CG39" s="99">
        <v>19924.8</v>
      </c>
      <c r="CH39" s="99">
        <v>13</v>
      </c>
      <c r="CI39" s="99">
        <v>18501.600000000002</v>
      </c>
      <c r="CJ39" s="99">
        <v>15.606340845745526</v>
      </c>
      <c r="CK39" s="99">
        <v>22210.944291665033</v>
      </c>
      <c r="CL39" s="99">
        <v>1.4987077301350324</v>
      </c>
      <c r="CM39" s="99">
        <v>2132.9608415281782</v>
      </c>
      <c r="CN39" s="99">
        <v>17.991971774196816</v>
      </c>
      <c r="CO39" s="99">
        <v>25606.174229036911</v>
      </c>
      <c r="CP39" s="99">
        <v>5.6644240433008646</v>
      </c>
      <c r="CQ39" s="99">
        <v>8061.608298425791</v>
      </c>
      <c r="CR39" s="99">
        <v>14.628164030326023</v>
      </c>
      <c r="CS39" s="99">
        <v>20818.803047959995</v>
      </c>
      <c r="CT39" s="99">
        <v>18.046860577074231</v>
      </c>
      <c r="CU39" s="99">
        <v>25684.291973292045</v>
      </c>
    </row>
    <row r="40" spans="2:99">
      <c r="C40" s="98" t="s">
        <v>206</v>
      </c>
      <c r="D40" s="99">
        <v>1.7501571951250934</v>
      </c>
      <c r="E40" s="99">
        <v>1268.5139350266677</v>
      </c>
      <c r="F40" s="99">
        <v>7.3542888326122</v>
      </c>
      <c r="G40" s="99">
        <v>5330.388545877322</v>
      </c>
      <c r="H40" s="99">
        <v>2.1701907858247003</v>
      </c>
      <c r="I40" s="99">
        <v>1572.9542815657426</v>
      </c>
      <c r="J40" s="99">
        <v>16.876541773323638</v>
      </c>
      <c r="K40" s="99">
        <v>12232.117477304972</v>
      </c>
      <c r="L40" s="99">
        <v>15</v>
      </c>
      <c r="M40" s="99">
        <v>10872</v>
      </c>
      <c r="N40" s="99">
        <v>19</v>
      </c>
      <c r="O40" s="99">
        <v>13771.199999999999</v>
      </c>
      <c r="P40" s="99">
        <v>15</v>
      </c>
      <c r="Q40" s="99">
        <v>10872</v>
      </c>
      <c r="R40" s="99">
        <v>9.7603216237540487</v>
      </c>
      <c r="S40" s="99">
        <v>7074.2811128969342</v>
      </c>
      <c r="T40" s="99">
        <v>17.599814788835026</v>
      </c>
      <c r="U40" s="99">
        <v>12756.345758947626</v>
      </c>
      <c r="V40" s="99">
        <v>16.089080854147113</v>
      </c>
      <c r="W40" s="99">
        <v>11661.365803085826</v>
      </c>
      <c r="X40" s="99">
        <v>13.947903200693565</v>
      </c>
      <c r="Y40" s="99">
        <v>10109.440239862695</v>
      </c>
      <c r="Z40" s="99">
        <v>15.524796584472995</v>
      </c>
      <c r="AA40" s="99">
        <v>11252.372564426027</v>
      </c>
      <c r="AB40" s="99">
        <v>15</v>
      </c>
      <c r="AC40" s="99">
        <v>10872</v>
      </c>
      <c r="AD40" s="99">
        <v>20.665532460679895</v>
      </c>
      <c r="AE40" s="99">
        <v>14978.377927500787</v>
      </c>
      <c r="AF40" s="99">
        <v>15.690692986239156</v>
      </c>
      <c r="AG40" s="99">
        <v>11372.61427642614</v>
      </c>
      <c r="AH40" s="99">
        <v>9.7839772038802018</v>
      </c>
      <c r="AI40" s="99">
        <v>7091.4266773723693</v>
      </c>
      <c r="AJ40" s="99">
        <v>15.091069259724769</v>
      </c>
      <c r="AK40" s="99">
        <v>10938.006999448511</v>
      </c>
      <c r="AL40" s="99">
        <v>13.591833728778237</v>
      </c>
      <c r="AM40" s="99">
        <v>9851.3610866184663</v>
      </c>
      <c r="AN40" s="99">
        <v>2.4305280165183416</v>
      </c>
      <c r="AO40" s="99">
        <v>1761.6467063724938</v>
      </c>
      <c r="AP40" s="99">
        <v>16.595632249722083</v>
      </c>
      <c r="AQ40" s="99">
        <v>12028.514254598565</v>
      </c>
      <c r="AR40" s="99">
        <v>12</v>
      </c>
      <c r="AS40" s="99">
        <v>8697.5999999999985</v>
      </c>
      <c r="AT40" s="99">
        <v>21</v>
      </c>
      <c r="AU40" s="99">
        <v>15220.8</v>
      </c>
      <c r="AV40" s="99">
        <v>14</v>
      </c>
      <c r="AW40" s="99">
        <v>10147.199999999999</v>
      </c>
      <c r="AX40" s="99">
        <v>14.317448313482576</v>
      </c>
      <c r="AY40" s="99">
        <v>10377.28653761217</v>
      </c>
      <c r="AZ40" s="99">
        <v>14</v>
      </c>
      <c r="BA40" s="99">
        <v>10147.199999999999</v>
      </c>
      <c r="BB40" s="99">
        <v>13.662964794838862</v>
      </c>
      <c r="BC40" s="99">
        <v>9902.9168832992073</v>
      </c>
      <c r="BD40" s="99">
        <v>10</v>
      </c>
      <c r="BE40" s="99">
        <v>7248</v>
      </c>
      <c r="BF40" s="99">
        <v>12</v>
      </c>
      <c r="BG40" s="99">
        <v>8697.5999999999985</v>
      </c>
      <c r="BH40" s="99">
        <v>11.131812108385697</v>
      </c>
      <c r="BI40" s="99">
        <v>8068.3374161579522</v>
      </c>
      <c r="BJ40" s="99">
        <v>12.226838252881931</v>
      </c>
      <c r="BK40" s="99">
        <v>8862.0123656888227</v>
      </c>
      <c r="BL40" s="99">
        <v>10.59948625978716</v>
      </c>
      <c r="BM40" s="99">
        <v>7682.5076410937327</v>
      </c>
      <c r="BN40" s="99">
        <v>11.443404181879087</v>
      </c>
      <c r="BO40" s="99">
        <v>8294.1793510259613</v>
      </c>
      <c r="BP40" s="99">
        <v>15.869128286118642</v>
      </c>
      <c r="BQ40" s="99">
        <v>11501.94418177879</v>
      </c>
      <c r="BR40" s="99">
        <v>12.534256449407827</v>
      </c>
      <c r="BS40" s="99">
        <v>9084.8290745307932</v>
      </c>
      <c r="BT40" s="99">
        <v>2.3614104195332368</v>
      </c>
      <c r="BU40" s="99">
        <v>1711.5502720776899</v>
      </c>
      <c r="BV40" s="99">
        <v>9.4594963349820436</v>
      </c>
      <c r="BW40" s="99">
        <v>6856.2429435949844</v>
      </c>
      <c r="BX40" s="99">
        <v>22.244673087498228</v>
      </c>
      <c r="BY40" s="99">
        <v>16122.939053818714</v>
      </c>
      <c r="BZ40" s="99">
        <v>4.5717245150282126</v>
      </c>
      <c r="CA40" s="99">
        <v>3313.5859284924481</v>
      </c>
      <c r="CB40" s="99">
        <v>11.522932527645022</v>
      </c>
      <c r="CC40" s="99">
        <v>8351.8214960371115</v>
      </c>
      <c r="CD40" s="99">
        <v>16.955756615913167</v>
      </c>
      <c r="CE40" s="99">
        <v>12289.532395213862</v>
      </c>
      <c r="CF40" s="99">
        <v>13</v>
      </c>
      <c r="CG40" s="99">
        <v>9422.4</v>
      </c>
      <c r="CH40" s="99">
        <v>14</v>
      </c>
      <c r="CI40" s="99">
        <v>10147.199999999999</v>
      </c>
      <c r="CJ40" s="99">
        <v>15.606340845745526</v>
      </c>
      <c r="CK40" s="99">
        <v>11311.475844996357</v>
      </c>
      <c r="CL40" s="99">
        <v>1.4987077301350324</v>
      </c>
      <c r="CM40" s="99">
        <v>1086.2633628018714</v>
      </c>
      <c r="CN40" s="99">
        <v>18.991971774196816</v>
      </c>
      <c r="CO40" s="99">
        <v>13765.381141937851</v>
      </c>
      <c r="CP40" s="99">
        <v>5.6644240433008646</v>
      </c>
      <c r="CQ40" s="99">
        <v>4105.5745465844666</v>
      </c>
      <c r="CR40" s="99">
        <v>13.870169791688072</v>
      </c>
      <c r="CS40" s="99">
        <v>10053.099065015514</v>
      </c>
      <c r="CT40" s="99">
        <v>17.193064904008107</v>
      </c>
      <c r="CU40" s="99">
        <v>12461.533442425076</v>
      </c>
    </row>
    <row r="41" spans="2:99">
      <c r="C41" s="98" t="s">
        <v>207</v>
      </c>
      <c r="D41" s="99">
        <v>1.6060475772243799</v>
      </c>
      <c r="E41" s="99">
        <v>1059.9914009680906</v>
      </c>
      <c r="F41" s="99">
        <v>6.8109049600641809</v>
      </c>
      <c r="G41" s="99">
        <v>4495.1972736423595</v>
      </c>
      <c r="H41" s="99">
        <v>2.2772829710564562</v>
      </c>
      <c r="I41" s="99">
        <v>1503.0067608972611</v>
      </c>
      <c r="J41" s="99">
        <v>15.876541773323639</v>
      </c>
      <c r="K41" s="99">
        <v>10478.517570393602</v>
      </c>
      <c r="L41" s="99">
        <v>15</v>
      </c>
      <c r="M41" s="99">
        <v>9900</v>
      </c>
      <c r="N41" s="99">
        <v>18</v>
      </c>
      <c r="O41" s="99">
        <v>11880</v>
      </c>
      <c r="P41" s="99">
        <v>12</v>
      </c>
      <c r="Q41" s="99">
        <v>7920</v>
      </c>
      <c r="R41" s="99">
        <v>9.7603216237540487</v>
      </c>
      <c r="S41" s="99">
        <v>6441.8122716776725</v>
      </c>
      <c r="T41" s="99">
        <v>14.820896664282126</v>
      </c>
      <c r="U41" s="99">
        <v>9781.7917984262021</v>
      </c>
      <c r="V41" s="99">
        <v>13.548699666650203</v>
      </c>
      <c r="W41" s="99">
        <v>8942.1417799891333</v>
      </c>
      <c r="X41" s="99">
        <v>12.951624400644025</v>
      </c>
      <c r="Y41" s="99">
        <v>8548.0721044250568</v>
      </c>
      <c r="Z41" s="99">
        <v>16.495096371002557</v>
      </c>
      <c r="AA41" s="99">
        <v>10886.763604861688</v>
      </c>
      <c r="AB41" s="99">
        <v>17</v>
      </c>
      <c r="AC41" s="99">
        <v>11220</v>
      </c>
      <c r="AD41" s="99">
        <v>20.665532460679895</v>
      </c>
      <c r="AE41" s="99">
        <v>13639.251424048731</v>
      </c>
      <c r="AF41" s="99">
        <v>14.710024674599211</v>
      </c>
      <c r="AG41" s="99">
        <v>9708.6162852354792</v>
      </c>
      <c r="AH41" s="99">
        <v>9.7839772038802018</v>
      </c>
      <c r="AI41" s="99">
        <v>6457.4249545609327</v>
      </c>
      <c r="AJ41" s="99">
        <v>16.866489172633564</v>
      </c>
      <c r="AK41" s="99">
        <v>11131.882853938152</v>
      </c>
      <c r="AL41" s="99">
        <v>13.676381404317986</v>
      </c>
      <c r="AM41" s="99">
        <v>9026.4117268498703</v>
      </c>
      <c r="AN41" s="99">
        <v>2.1173485791013693</v>
      </c>
      <c r="AO41" s="99">
        <v>1397.4500622069038</v>
      </c>
      <c r="AP41" s="99">
        <v>16.680722571110952</v>
      </c>
      <c r="AQ41" s="99">
        <v>11009.276896933228</v>
      </c>
      <c r="AR41" s="99">
        <v>12</v>
      </c>
      <c r="AS41" s="99">
        <v>7920</v>
      </c>
      <c r="AT41" s="99">
        <v>19</v>
      </c>
      <c r="AU41" s="99">
        <v>12540</v>
      </c>
      <c r="AV41" s="99">
        <v>16</v>
      </c>
      <c r="AW41" s="99">
        <v>10560</v>
      </c>
      <c r="AX41" s="99">
        <v>14.317448313482576</v>
      </c>
      <c r="AY41" s="99">
        <v>9449.5158868985</v>
      </c>
      <c r="AZ41" s="99">
        <v>16</v>
      </c>
      <c r="BA41" s="99">
        <v>10560</v>
      </c>
      <c r="BB41" s="99">
        <v>12.687038738064659</v>
      </c>
      <c r="BC41" s="99">
        <v>8373.4455671226751</v>
      </c>
      <c r="BD41" s="99">
        <v>10</v>
      </c>
      <c r="BE41" s="99">
        <v>6600</v>
      </c>
      <c r="BF41" s="99">
        <v>13</v>
      </c>
      <c r="BG41" s="99">
        <v>8580</v>
      </c>
      <c r="BH41" s="99">
        <v>12.160340678805861</v>
      </c>
      <c r="BI41" s="99">
        <v>8025.8248480118682</v>
      </c>
      <c r="BJ41" s="99">
        <v>12.226838252881931</v>
      </c>
      <c r="BK41" s="99">
        <v>8069.7132469020744</v>
      </c>
      <c r="BL41" s="99">
        <v>10.674422042260554</v>
      </c>
      <c r="BM41" s="99">
        <v>7045.118547891966</v>
      </c>
      <c r="BN41" s="99">
        <v>9.2985102201225764</v>
      </c>
      <c r="BO41" s="99">
        <v>6137.0167452809001</v>
      </c>
      <c r="BP41" s="99">
        <v>15.093669505686567</v>
      </c>
      <c r="BQ41" s="99">
        <v>9961.8218737531333</v>
      </c>
      <c r="BR41" s="99">
        <v>11.507313644565514</v>
      </c>
      <c r="BS41" s="99">
        <v>7594.827005413239</v>
      </c>
      <c r="BT41" s="99">
        <v>2.7549788227887761</v>
      </c>
      <c r="BU41" s="99">
        <v>1818.2860230405922</v>
      </c>
      <c r="BV41" s="99">
        <v>10.218767613038365</v>
      </c>
      <c r="BW41" s="99">
        <v>6744.3866246053203</v>
      </c>
      <c r="BX41" s="99">
        <v>22.369140396248049</v>
      </c>
      <c r="BY41" s="99">
        <v>14763.632661523712</v>
      </c>
      <c r="BZ41" s="99">
        <v>4.5717245150282126</v>
      </c>
      <c r="CA41" s="99">
        <v>3017.3381799186204</v>
      </c>
      <c r="CB41" s="99">
        <v>11.522932527645022</v>
      </c>
      <c r="CC41" s="99">
        <v>7605.135468245714</v>
      </c>
      <c r="CD41" s="99">
        <v>16.955756615913167</v>
      </c>
      <c r="CE41" s="99">
        <v>11190.79936650269</v>
      </c>
      <c r="CF41" s="99">
        <v>15</v>
      </c>
      <c r="CG41" s="99">
        <v>9900</v>
      </c>
      <c r="CH41" s="99">
        <v>15</v>
      </c>
      <c r="CI41" s="99">
        <v>9900</v>
      </c>
      <c r="CJ41" s="99">
        <v>16.581737148604621</v>
      </c>
      <c r="CK41" s="99">
        <v>10943.94651807905</v>
      </c>
      <c r="CL41" s="99">
        <v>1.4987077301350324</v>
      </c>
      <c r="CM41" s="99">
        <v>989.14710188912136</v>
      </c>
      <c r="CN41" s="99">
        <v>19.991971774196816</v>
      </c>
      <c r="CO41" s="99">
        <v>13194.701370969899</v>
      </c>
      <c r="CP41" s="99">
        <v>5.6644240433008646</v>
      </c>
      <c r="CQ41" s="99">
        <v>3738.5198685785708</v>
      </c>
      <c r="CR41" s="99">
        <v>13.870169791688072</v>
      </c>
      <c r="CS41" s="99">
        <v>9154.3120625141273</v>
      </c>
      <c r="CT41" s="99">
        <v>18.33926923094198</v>
      </c>
      <c r="CU41" s="99">
        <v>12103.917692421706</v>
      </c>
    </row>
    <row r="42" spans="2:99">
      <c r="C42" s="98" t="s">
        <v>208</v>
      </c>
      <c r="D42" s="99">
        <v>1.5956266870661147</v>
      </c>
      <c r="E42" s="99">
        <v>1349.9001772579329</v>
      </c>
      <c r="F42" s="99">
        <v>6.8109049600641809</v>
      </c>
      <c r="G42" s="99">
        <v>5762.0255962142974</v>
      </c>
      <c r="H42" s="99">
        <v>2.1701907858247003</v>
      </c>
      <c r="I42" s="99">
        <v>1835.9814048076964</v>
      </c>
      <c r="J42" s="99">
        <v>15.80349662554667</v>
      </c>
      <c r="K42" s="99">
        <v>13369.758145212483</v>
      </c>
      <c r="L42" s="99">
        <v>15</v>
      </c>
      <c r="M42" s="99">
        <v>12690</v>
      </c>
      <c r="N42" s="99">
        <v>16</v>
      </c>
      <c r="O42" s="99">
        <v>13536</v>
      </c>
      <c r="P42" s="99">
        <v>13</v>
      </c>
      <c r="Q42" s="99">
        <v>10998</v>
      </c>
      <c r="R42" s="99">
        <v>9.7603216237540487</v>
      </c>
      <c r="S42" s="99">
        <v>8257.2320936959259</v>
      </c>
      <c r="T42" s="99">
        <v>15.747202705799758</v>
      </c>
      <c r="U42" s="99">
        <v>13322.133489106594</v>
      </c>
      <c r="V42" s="99">
        <v>14.395493395815839</v>
      </c>
      <c r="W42" s="99">
        <v>12178.587412860199</v>
      </c>
      <c r="X42" s="99">
        <v>14.944182000743105</v>
      </c>
      <c r="Y42" s="99">
        <v>12642.777972628666</v>
      </c>
      <c r="Z42" s="99">
        <v>18.435695944061678</v>
      </c>
      <c r="AA42" s="99">
        <v>15596.59876867618</v>
      </c>
      <c r="AB42" s="99">
        <v>17</v>
      </c>
      <c r="AC42" s="99">
        <v>14382</v>
      </c>
      <c r="AD42" s="99">
        <v>17.713313537725625</v>
      </c>
      <c r="AE42" s="99">
        <v>14985.463252915879</v>
      </c>
      <c r="AF42" s="99">
        <v>17.652029609519055</v>
      </c>
      <c r="AG42" s="99">
        <v>14933.617049653119</v>
      </c>
      <c r="AH42" s="99">
        <v>10.67342967696022</v>
      </c>
      <c r="AI42" s="99">
        <v>9029.7215067083453</v>
      </c>
      <c r="AJ42" s="99">
        <v>15.978779216179168</v>
      </c>
      <c r="AK42" s="99">
        <v>13518.047216887577</v>
      </c>
      <c r="AL42" s="99">
        <v>14.676381404317986</v>
      </c>
      <c r="AM42" s="99">
        <v>12416.218668053016</v>
      </c>
      <c r="AN42" s="99">
        <v>2.1071382996149883</v>
      </c>
      <c r="AO42" s="99">
        <v>1782.6390014742801</v>
      </c>
      <c r="AP42" s="99">
        <v>17.680722571110952</v>
      </c>
      <c r="AQ42" s="99">
        <v>14957.891295159865</v>
      </c>
      <c r="AR42" s="99">
        <v>12</v>
      </c>
      <c r="AS42" s="99">
        <v>10152</v>
      </c>
      <c r="AT42" s="99">
        <v>20</v>
      </c>
      <c r="AU42" s="99">
        <v>16920</v>
      </c>
      <c r="AV42" s="99">
        <v>14</v>
      </c>
      <c r="AW42" s="99">
        <v>11844</v>
      </c>
      <c r="AX42" s="99">
        <v>15.271944867714748</v>
      </c>
      <c r="AY42" s="99">
        <v>12920.065358086676</v>
      </c>
      <c r="AZ42" s="99">
        <v>16</v>
      </c>
      <c r="BA42" s="99">
        <v>13536</v>
      </c>
      <c r="BB42" s="99">
        <v>12.687038738064659</v>
      </c>
      <c r="BC42" s="99">
        <v>10733.234772402702</v>
      </c>
      <c r="BD42" s="99">
        <v>11</v>
      </c>
      <c r="BE42" s="99">
        <v>9306</v>
      </c>
      <c r="BF42" s="99">
        <v>13</v>
      </c>
      <c r="BG42" s="99">
        <v>10998</v>
      </c>
      <c r="BH42" s="99">
        <v>11.131812108385697</v>
      </c>
      <c r="BI42" s="99">
        <v>9417.5130436943</v>
      </c>
      <c r="BJ42" s="99">
        <v>11.692173810414175</v>
      </c>
      <c r="BK42" s="99">
        <v>9891.5790436103925</v>
      </c>
      <c r="BL42" s="99">
        <v>11.674422042260554</v>
      </c>
      <c r="BM42" s="99">
        <v>9876.5610477524278</v>
      </c>
      <c r="BN42" s="99">
        <v>10.624011608934488</v>
      </c>
      <c r="BO42" s="99">
        <v>8987.9138211585778</v>
      </c>
      <c r="BP42" s="99">
        <v>14.058576640314085</v>
      </c>
      <c r="BQ42" s="99">
        <v>11893.555837705715</v>
      </c>
      <c r="BR42" s="99">
        <v>11.612785040215554</v>
      </c>
      <c r="BS42" s="99">
        <v>9824.4161440223579</v>
      </c>
      <c r="BT42" s="99">
        <v>2.5581946211610065</v>
      </c>
      <c r="BU42" s="99">
        <v>2164.2326495022116</v>
      </c>
      <c r="BV42" s="99">
        <v>9.3039310387804743</v>
      </c>
      <c r="BW42" s="99">
        <v>7871.1256588082815</v>
      </c>
      <c r="BX42" s="99">
        <v>20.244673087498228</v>
      </c>
      <c r="BY42" s="99">
        <v>17126.993432023501</v>
      </c>
      <c r="BZ42" s="99">
        <v>4.2200533984875799</v>
      </c>
      <c r="CA42" s="99">
        <v>3570.1651751204927</v>
      </c>
      <c r="CB42" s="99">
        <v>10.706112669356656</v>
      </c>
      <c r="CC42" s="99">
        <v>9057.371318275731</v>
      </c>
      <c r="CD42" s="99">
        <v>14.955756615913167</v>
      </c>
      <c r="CE42" s="99">
        <v>12652.570097062538</v>
      </c>
      <c r="CF42" s="99">
        <v>13</v>
      </c>
      <c r="CG42" s="99">
        <v>10998</v>
      </c>
      <c r="CH42" s="99">
        <v>15</v>
      </c>
      <c r="CI42" s="99">
        <v>12690</v>
      </c>
      <c r="CJ42" s="99">
        <v>15.606340845745526</v>
      </c>
      <c r="CK42" s="99">
        <v>13202.964355500715</v>
      </c>
      <c r="CL42" s="99">
        <v>1.3916571779825302</v>
      </c>
      <c r="CM42" s="99">
        <v>1177.3419725732206</v>
      </c>
      <c r="CN42" s="99">
        <v>20.838743176181676</v>
      </c>
      <c r="CO42" s="99">
        <v>17629.576727049698</v>
      </c>
      <c r="CP42" s="99">
        <v>5.6644240433008646</v>
      </c>
      <c r="CQ42" s="99">
        <v>4792.1027406325311</v>
      </c>
      <c r="CR42" s="99">
        <v>12.12790781820722</v>
      </c>
      <c r="CS42" s="99">
        <v>10260.210014203309</v>
      </c>
      <c r="CT42" s="99">
        <v>18.900656250140358</v>
      </c>
      <c r="CU42" s="99">
        <v>15989.955187618743</v>
      </c>
    </row>
    <row r="43" spans="2:99">
      <c r="C43" s="98" t="s">
        <v>209</v>
      </c>
      <c r="D43" s="99">
        <v>1.739736304966828</v>
      </c>
      <c r="E43" s="99">
        <v>1778.7063981980848</v>
      </c>
      <c r="F43" s="99">
        <v>6.7691756802283027</v>
      </c>
      <c r="G43" s="99">
        <v>6920.8052154654169</v>
      </c>
      <c r="H43" s="99">
        <v>2.2772829710564562</v>
      </c>
      <c r="I43" s="99">
        <v>2328.2941096081208</v>
      </c>
      <c r="J43" s="99">
        <v>16.876541773323638</v>
      </c>
      <c r="K43" s="99">
        <v>17254.576309046086</v>
      </c>
      <c r="L43" s="99">
        <v>13</v>
      </c>
      <c r="M43" s="99">
        <v>13291.199999999999</v>
      </c>
      <c r="N43" s="99">
        <v>18</v>
      </c>
      <c r="O43" s="99">
        <v>18403.2</v>
      </c>
      <c r="P43" s="99">
        <v>14</v>
      </c>
      <c r="Q43" s="99">
        <v>14313.6</v>
      </c>
      <c r="R43" s="99">
        <v>10.736353786129452</v>
      </c>
      <c r="S43" s="99">
        <v>10976.848110938752</v>
      </c>
      <c r="T43" s="99">
        <v>16.673508747317392</v>
      </c>
      <c r="U43" s="99">
        <v>17046.995343257302</v>
      </c>
      <c r="V43" s="99">
        <v>14.395493395815839</v>
      </c>
      <c r="W43" s="99">
        <v>14717.952447882113</v>
      </c>
      <c r="X43" s="99">
        <v>12.951624400644025</v>
      </c>
      <c r="Y43" s="99">
        <v>13241.74078721845</v>
      </c>
      <c r="Z43" s="99">
        <v>18.435695944061678</v>
      </c>
      <c r="AA43" s="99">
        <v>18848.655533208657</v>
      </c>
      <c r="AB43" s="99">
        <v>17</v>
      </c>
      <c r="AC43" s="99">
        <v>17380.8</v>
      </c>
      <c r="AD43" s="99">
        <v>15.745167589089444</v>
      </c>
      <c r="AE43" s="99">
        <v>16097.859343085047</v>
      </c>
      <c r="AF43" s="99">
        <v>14.710024674599211</v>
      </c>
      <c r="AG43" s="99">
        <v>15039.529227310233</v>
      </c>
      <c r="AH43" s="99">
        <v>10.67342967696022</v>
      </c>
      <c r="AI43" s="99">
        <v>10912.514501724128</v>
      </c>
      <c r="AJ43" s="99">
        <v>16.866489172633564</v>
      </c>
      <c r="AK43" s="99">
        <v>17244.298530100554</v>
      </c>
      <c r="AL43" s="99">
        <v>14.591833728778237</v>
      </c>
      <c r="AM43" s="99">
        <v>14918.690804302869</v>
      </c>
      <c r="AN43" s="99">
        <v>2.2739382978098552</v>
      </c>
      <c r="AO43" s="99">
        <v>2324.8745156807959</v>
      </c>
      <c r="AP43" s="99">
        <v>15.680722571110952</v>
      </c>
      <c r="AQ43" s="99">
        <v>16031.970756703837</v>
      </c>
      <c r="AR43" s="99">
        <v>13</v>
      </c>
      <c r="AS43" s="99">
        <v>13291.199999999999</v>
      </c>
      <c r="AT43" s="99">
        <v>21</v>
      </c>
      <c r="AU43" s="99">
        <v>21470.399999999998</v>
      </c>
      <c r="AV43" s="99">
        <v>14</v>
      </c>
      <c r="AW43" s="99">
        <v>14313.6</v>
      </c>
      <c r="AX43" s="99">
        <v>14.317448313482576</v>
      </c>
      <c r="AY43" s="99">
        <v>14638.159155704585</v>
      </c>
      <c r="AZ43" s="99">
        <v>15</v>
      </c>
      <c r="BA43" s="99">
        <v>15336</v>
      </c>
      <c r="BB43" s="99">
        <v>14.638890851613068</v>
      </c>
      <c r="BC43" s="99">
        <v>14966.8020066892</v>
      </c>
      <c r="BD43" s="99">
        <v>9</v>
      </c>
      <c r="BE43" s="99">
        <v>9201.6</v>
      </c>
      <c r="BF43" s="99">
        <v>12</v>
      </c>
      <c r="BG43" s="99">
        <v>12268.8</v>
      </c>
      <c r="BH43" s="99">
        <v>10.103283537965529</v>
      </c>
      <c r="BI43" s="99">
        <v>10329.597089215957</v>
      </c>
      <c r="BJ43" s="99">
        <v>11.353492663390364</v>
      </c>
      <c r="BK43" s="99">
        <v>11607.810899050308</v>
      </c>
      <c r="BL43" s="99">
        <v>11.59948625978716</v>
      </c>
      <c r="BM43" s="99">
        <v>11859.314752006392</v>
      </c>
      <c r="BN43" s="99">
        <v>11.553862630946746</v>
      </c>
      <c r="BO43" s="99">
        <v>11812.669153879953</v>
      </c>
      <c r="BP43" s="99">
        <v>13.110028469921737</v>
      </c>
      <c r="BQ43" s="99">
        <v>13403.693107647983</v>
      </c>
      <c r="BR43" s="99">
        <v>11.612785040215554</v>
      </c>
      <c r="BS43" s="99">
        <v>11872.911425116383</v>
      </c>
      <c r="BT43" s="99">
        <v>2.3614104195332368</v>
      </c>
      <c r="BU43" s="99">
        <v>2414.3060129307814</v>
      </c>
      <c r="BV43" s="99">
        <v>9.3039310387804743</v>
      </c>
      <c r="BW43" s="99">
        <v>9512.3390940491572</v>
      </c>
      <c r="BX43" s="99">
        <v>20.244673087498228</v>
      </c>
      <c r="BY43" s="99">
        <v>20698.153764658189</v>
      </c>
      <c r="BZ43" s="99">
        <v>3.8683822819469489</v>
      </c>
      <c r="CA43" s="99">
        <v>3955.0340450625604</v>
      </c>
      <c r="CB43" s="99">
        <v>10.849537188372045</v>
      </c>
      <c r="CC43" s="99">
        <v>11092.566821391578</v>
      </c>
      <c r="CD43" s="99">
        <v>13.860180954321851</v>
      </c>
      <c r="CE43" s="99">
        <v>14170.649007698661</v>
      </c>
      <c r="CF43" s="99">
        <v>14</v>
      </c>
      <c r="CG43" s="99">
        <v>14313.6</v>
      </c>
      <c r="CH43" s="99">
        <v>13</v>
      </c>
      <c r="CI43" s="99">
        <v>13291.199999999999</v>
      </c>
      <c r="CJ43" s="99">
        <v>14.63094454288643</v>
      </c>
      <c r="CK43" s="99">
        <v>14958.677700647086</v>
      </c>
      <c r="CL43" s="99">
        <v>1.3916571779825302</v>
      </c>
      <c r="CM43" s="99">
        <v>1422.8302987693389</v>
      </c>
      <c r="CN43" s="99">
        <v>18.991971774196816</v>
      </c>
      <c r="CO43" s="99">
        <v>19417.391941938826</v>
      </c>
      <c r="CP43" s="99">
        <v>5.6644240433008646</v>
      </c>
      <c r="CQ43" s="99">
        <v>5791.3071418708041</v>
      </c>
      <c r="CR43" s="99">
        <v>13.870169791688072</v>
      </c>
      <c r="CS43" s="99">
        <v>14180.861595021885</v>
      </c>
      <c r="CT43" s="99">
        <v>19.33926923094198</v>
      </c>
      <c r="CU43" s="99">
        <v>19772.468861715079</v>
      </c>
    </row>
    <row r="44" spans="2:99">
      <c r="C44" s="98" t="s">
        <v>210</v>
      </c>
      <c r="D44" s="99">
        <v>1.5956266870661147</v>
      </c>
      <c r="E44" s="99">
        <v>1631.3687248563956</v>
      </c>
      <c r="F44" s="99">
        <v>6.7274464003924237</v>
      </c>
      <c r="G44" s="99">
        <v>6878.141199761214</v>
      </c>
      <c r="H44" s="99">
        <v>2.1532608775220332</v>
      </c>
      <c r="I44" s="99">
        <v>2201.4939211785268</v>
      </c>
      <c r="J44" s="99">
        <v>15.876541773323639</v>
      </c>
      <c r="K44" s="99">
        <v>16232.176309046088</v>
      </c>
      <c r="L44" s="99">
        <v>14</v>
      </c>
      <c r="M44" s="99">
        <v>14313.6</v>
      </c>
      <c r="N44" s="99">
        <v>16</v>
      </c>
      <c r="O44" s="99">
        <v>16358.4</v>
      </c>
      <c r="P44" s="99">
        <v>14</v>
      </c>
      <c r="Q44" s="99">
        <v>14313.6</v>
      </c>
      <c r="R44" s="99">
        <v>10.736353786129452</v>
      </c>
      <c r="S44" s="99">
        <v>10976.848110938752</v>
      </c>
      <c r="T44" s="99">
        <v>17.599814788835026</v>
      </c>
      <c r="U44" s="99">
        <v>17994.050640104932</v>
      </c>
      <c r="V44" s="99">
        <v>15.242287124981477</v>
      </c>
      <c r="W44" s="99">
        <v>15583.714356581062</v>
      </c>
      <c r="X44" s="99">
        <v>12.951624400644025</v>
      </c>
      <c r="Y44" s="99">
        <v>13241.74078721845</v>
      </c>
      <c r="Z44" s="99">
        <v>18.435695944061678</v>
      </c>
      <c r="AA44" s="99">
        <v>18848.655533208657</v>
      </c>
      <c r="AB44" s="99">
        <v>15</v>
      </c>
      <c r="AC44" s="99">
        <v>15336</v>
      </c>
      <c r="AD44" s="99">
        <v>19.681459486361806</v>
      </c>
      <c r="AE44" s="99">
        <v>20122.32417885631</v>
      </c>
      <c r="AF44" s="99">
        <v>14.710024674599211</v>
      </c>
      <c r="AG44" s="99">
        <v>15039.529227310233</v>
      </c>
      <c r="AH44" s="99">
        <v>11.56288215004024</v>
      </c>
      <c r="AI44" s="99">
        <v>11821.890710201142</v>
      </c>
      <c r="AJ44" s="99">
        <v>16.866489172633564</v>
      </c>
      <c r="AK44" s="99">
        <v>17244.298530100554</v>
      </c>
      <c r="AL44" s="99">
        <v>12.676381404317986</v>
      </c>
      <c r="AM44" s="99">
        <v>12960.332347774709</v>
      </c>
      <c r="AN44" s="99">
        <v>2.1173485791013693</v>
      </c>
      <c r="AO44" s="99">
        <v>2164.7771872732401</v>
      </c>
      <c r="AP44" s="99">
        <v>17.680722571110952</v>
      </c>
      <c r="AQ44" s="99">
        <v>18076.770756703838</v>
      </c>
      <c r="AR44" s="99">
        <v>12</v>
      </c>
      <c r="AS44" s="99">
        <v>12268.8</v>
      </c>
      <c r="AT44" s="99">
        <v>18</v>
      </c>
      <c r="AU44" s="99">
        <v>18403.2</v>
      </c>
      <c r="AV44" s="99">
        <v>13</v>
      </c>
      <c r="AW44" s="99">
        <v>13291.199999999999</v>
      </c>
      <c r="AX44" s="99">
        <v>14.317448313482576</v>
      </c>
      <c r="AY44" s="99">
        <v>14638.159155704585</v>
      </c>
      <c r="AZ44" s="99">
        <v>14</v>
      </c>
      <c r="BA44" s="99">
        <v>14313.6</v>
      </c>
      <c r="BB44" s="99">
        <v>12.687038738064659</v>
      </c>
      <c r="BC44" s="99">
        <v>12971.228405797308</v>
      </c>
      <c r="BD44" s="99">
        <v>10</v>
      </c>
      <c r="BE44" s="99">
        <v>10224</v>
      </c>
      <c r="BF44" s="99">
        <v>12</v>
      </c>
      <c r="BG44" s="99">
        <v>12268.8</v>
      </c>
      <c r="BH44" s="99">
        <v>11.131812108385697</v>
      </c>
      <c r="BI44" s="99">
        <v>11381.164699613537</v>
      </c>
      <c r="BJ44" s="99">
        <v>11.353492663390364</v>
      </c>
      <c r="BK44" s="99">
        <v>11607.810899050308</v>
      </c>
      <c r="BL44" s="99">
        <v>10.674422042260554</v>
      </c>
      <c r="BM44" s="99">
        <v>10913.529096007191</v>
      </c>
      <c r="BN44" s="99">
        <v>11.443404181879087</v>
      </c>
      <c r="BO44" s="99">
        <v>11699.736435553179</v>
      </c>
      <c r="BP44" s="99">
        <v>14.058576640314085</v>
      </c>
      <c r="BQ44" s="99">
        <v>14373.488757057121</v>
      </c>
      <c r="BR44" s="99">
        <v>11.612785040215554</v>
      </c>
      <c r="BS44" s="99">
        <v>11872.911425116383</v>
      </c>
      <c r="BT44" s="99">
        <v>2.5581946211610065</v>
      </c>
      <c r="BU44" s="99">
        <v>2615.4981806750129</v>
      </c>
      <c r="BV44" s="99">
        <v>9.381713686881259</v>
      </c>
      <c r="BW44" s="99">
        <v>9591.8640734673991</v>
      </c>
      <c r="BX44" s="99">
        <v>22.244673087498228</v>
      </c>
      <c r="BY44" s="99">
        <v>22742.953764658188</v>
      </c>
      <c r="BZ44" s="99">
        <v>4.2200533984875799</v>
      </c>
      <c r="CA44" s="99">
        <v>4314.582594613702</v>
      </c>
      <c r="CB44" s="99">
        <v>10.032717330083681</v>
      </c>
      <c r="CC44" s="99">
        <v>10257.450198277555</v>
      </c>
      <c r="CD44" s="99">
        <v>15.860180954321851</v>
      </c>
      <c r="CE44" s="99">
        <v>16215.44900769866</v>
      </c>
      <c r="CF44" s="99">
        <v>14</v>
      </c>
      <c r="CG44" s="99">
        <v>14313.6</v>
      </c>
      <c r="CH44" s="99">
        <v>13</v>
      </c>
      <c r="CI44" s="99">
        <v>13291.199999999999</v>
      </c>
      <c r="CJ44" s="99">
        <v>16.581737148604621</v>
      </c>
      <c r="CK44" s="99">
        <v>16953.168060733362</v>
      </c>
      <c r="CL44" s="99">
        <v>1.6057582822875351</v>
      </c>
      <c r="CM44" s="99">
        <v>1641.7272678107759</v>
      </c>
      <c r="CN44" s="99">
        <v>18.838743176181676</v>
      </c>
      <c r="CO44" s="99">
        <v>19260.731023328146</v>
      </c>
      <c r="CP44" s="99">
        <v>5.3312226289890488</v>
      </c>
      <c r="CQ44" s="99">
        <v>5450.6420158784031</v>
      </c>
      <c r="CR44" s="99">
        <v>15.461871171644196</v>
      </c>
      <c r="CS44" s="99">
        <v>15808.217085889026</v>
      </c>
      <c r="CT44" s="99">
        <v>16.046860577074231</v>
      </c>
      <c r="CU44" s="99">
        <v>16406.310254000695</v>
      </c>
    </row>
    <row r="45" spans="2:99">
      <c r="C45" s="98" t="s">
        <v>211</v>
      </c>
      <c r="D45" s="99">
        <v>1.6164684673826455</v>
      </c>
      <c r="E45" s="99">
        <v>2019.2924094544007</v>
      </c>
      <c r="F45" s="99">
        <v>7.3960181124480791</v>
      </c>
      <c r="G45" s="99">
        <v>9239.1058260701411</v>
      </c>
      <c r="H45" s="99">
        <v>1.939076507058521</v>
      </c>
      <c r="I45" s="99">
        <v>2422.2943726175045</v>
      </c>
      <c r="J45" s="99">
        <v>15.876541773323639</v>
      </c>
      <c r="K45" s="99">
        <v>19832.97598323589</v>
      </c>
      <c r="L45" s="99">
        <v>13</v>
      </c>
      <c r="M45" s="99">
        <v>16239.6</v>
      </c>
      <c r="N45" s="99">
        <v>18</v>
      </c>
      <c r="O45" s="99">
        <v>22485.600000000002</v>
      </c>
      <c r="P45" s="99">
        <v>13</v>
      </c>
      <c r="Q45" s="99">
        <v>16239.6</v>
      </c>
      <c r="R45" s="99">
        <v>9.7603216237540487</v>
      </c>
      <c r="S45" s="99">
        <v>12192.593772393559</v>
      </c>
      <c r="T45" s="99">
        <v>14.820896664282126</v>
      </c>
      <c r="U45" s="99">
        <v>18514.264113021232</v>
      </c>
      <c r="V45" s="99">
        <v>12.701905937484565</v>
      </c>
      <c r="W45" s="99">
        <v>15867.220897105719</v>
      </c>
      <c r="X45" s="99">
        <v>13.947903200693565</v>
      </c>
      <c r="Y45" s="99">
        <v>17423.720678306403</v>
      </c>
      <c r="Z45" s="99">
        <v>16.495096371002557</v>
      </c>
      <c r="AA45" s="99">
        <v>20605.674386656396</v>
      </c>
      <c r="AB45" s="99">
        <v>14</v>
      </c>
      <c r="AC45" s="99">
        <v>17488.8</v>
      </c>
      <c r="AD45" s="99">
        <v>16.729240563407537</v>
      </c>
      <c r="AE45" s="99">
        <v>20898.167311808695</v>
      </c>
      <c r="AF45" s="99">
        <v>15.690692986239156</v>
      </c>
      <c r="AG45" s="99">
        <v>19600.813678409955</v>
      </c>
      <c r="AH45" s="99">
        <v>9.7839772038802018</v>
      </c>
      <c r="AI45" s="99">
        <v>12222.144323087148</v>
      </c>
      <c r="AJ45" s="99">
        <v>16.866489172633564</v>
      </c>
      <c r="AK45" s="99">
        <v>21069.618274453849</v>
      </c>
      <c r="AL45" s="99">
        <v>12.591833728778237</v>
      </c>
      <c r="AM45" s="99">
        <v>15729.718693989775</v>
      </c>
      <c r="AN45" s="99">
        <v>1.9709691398792635</v>
      </c>
      <c r="AO45" s="99">
        <v>2462.1346495371758</v>
      </c>
      <c r="AP45" s="99">
        <v>15.680722571110952</v>
      </c>
      <c r="AQ45" s="99">
        <v>19588.358635831803</v>
      </c>
      <c r="AR45" s="99">
        <v>11</v>
      </c>
      <c r="AS45" s="99">
        <v>13741.2</v>
      </c>
      <c r="AT45" s="99">
        <v>17</v>
      </c>
      <c r="AU45" s="99">
        <v>21236.400000000001</v>
      </c>
      <c r="AV45" s="99">
        <v>14</v>
      </c>
      <c r="AW45" s="99">
        <v>17488.8</v>
      </c>
      <c r="AX45" s="99">
        <v>12.408455205018234</v>
      </c>
      <c r="AY45" s="99">
        <v>15500.642242108777</v>
      </c>
      <c r="AZ45" s="99">
        <v>13</v>
      </c>
      <c r="BA45" s="99">
        <v>16239.6</v>
      </c>
      <c r="BB45" s="99">
        <v>13.662964794838862</v>
      </c>
      <c r="BC45" s="99">
        <v>17067.775621712706</v>
      </c>
      <c r="BD45" s="99">
        <v>11</v>
      </c>
      <c r="BE45" s="99">
        <v>13741.2</v>
      </c>
      <c r="BF45" s="99">
        <v>13</v>
      </c>
      <c r="BG45" s="99">
        <v>16239.6</v>
      </c>
      <c r="BH45" s="99">
        <v>10.285285704201652</v>
      </c>
      <c r="BI45" s="99">
        <v>12848.378901688704</v>
      </c>
      <c r="BJ45" s="99">
        <v>11.654542571855973</v>
      </c>
      <c r="BK45" s="99">
        <v>14558.854580762483</v>
      </c>
      <c r="BL45" s="99">
        <v>9.674422042260554</v>
      </c>
      <c r="BM45" s="99">
        <v>12085.288015191885</v>
      </c>
      <c r="BN45" s="99">
        <v>10.513553159866829</v>
      </c>
      <c r="BO45" s="99">
        <v>13133.530607305644</v>
      </c>
      <c r="BP45" s="99">
        <v>15.007124810706429</v>
      </c>
      <c r="BQ45" s="99">
        <v>18746.900313534472</v>
      </c>
      <c r="BR45" s="99">
        <v>11.612785040215554</v>
      </c>
      <c r="BS45" s="99">
        <v>14506.69107223727</v>
      </c>
      <c r="BT45" s="99">
        <v>2.5581946211610065</v>
      </c>
      <c r="BU45" s="99">
        <v>3195.6967207543294</v>
      </c>
      <c r="BV45" s="99">
        <v>9.381713686881259</v>
      </c>
      <c r="BW45" s="99">
        <v>11719.636737652068</v>
      </c>
      <c r="BX45" s="99">
        <v>20.244673087498228</v>
      </c>
      <c r="BY45" s="99">
        <v>25289.645620902786</v>
      </c>
      <c r="BZ45" s="99">
        <v>4.2200533984875799</v>
      </c>
      <c r="CA45" s="99">
        <v>5271.6907053906853</v>
      </c>
      <c r="CB45" s="99">
        <v>10.56268815034127</v>
      </c>
      <c r="CC45" s="99">
        <v>13194.910037406315</v>
      </c>
      <c r="CD45" s="99">
        <v>15.860180954321851</v>
      </c>
      <c r="CE45" s="99">
        <v>19812.538048138857</v>
      </c>
      <c r="CF45" s="99">
        <v>13</v>
      </c>
      <c r="CG45" s="99">
        <v>16239.6</v>
      </c>
      <c r="CH45" s="99">
        <v>12</v>
      </c>
      <c r="CI45" s="99">
        <v>14990.400000000001</v>
      </c>
      <c r="CJ45" s="99">
        <v>14.63094454288643</v>
      </c>
      <c r="CK45" s="99">
        <v>18276.975922973728</v>
      </c>
      <c r="CL45" s="99">
        <v>1.3916571779825302</v>
      </c>
      <c r="CM45" s="99">
        <v>1738.4581467357768</v>
      </c>
      <c r="CN45" s="99">
        <v>20.991971774196816</v>
      </c>
      <c r="CO45" s="99">
        <v>26223.171140326664</v>
      </c>
      <c r="CP45" s="99">
        <v>5.3312226289890488</v>
      </c>
      <c r="CQ45" s="99">
        <v>6659.7633081331196</v>
      </c>
      <c r="CR45" s="99">
        <v>15.310445366283753</v>
      </c>
      <c r="CS45" s="99">
        <v>19125.808351561664</v>
      </c>
      <c r="CT45" s="99">
        <v>18.046860577074231</v>
      </c>
      <c r="CU45" s="99">
        <v>22544.138232881131</v>
      </c>
    </row>
    <row r="46" spans="2:99">
      <c r="C46" s="98" t="s">
        <v>212</v>
      </c>
      <c r="D46" s="99">
        <v>1.7293154148085625</v>
      </c>
      <c r="E46" s="99">
        <v>2095.9302827479778</v>
      </c>
      <c r="F46" s="99">
        <v>6.7274464003924237</v>
      </c>
      <c r="G46" s="99">
        <v>8153.6650372756176</v>
      </c>
      <c r="H46" s="99">
        <v>1.956006415361188</v>
      </c>
      <c r="I46" s="99">
        <v>2370.6797754177601</v>
      </c>
      <c r="J46" s="99">
        <v>14.80349662554667</v>
      </c>
      <c r="K46" s="99">
        <v>17941.837910162565</v>
      </c>
      <c r="L46" s="99">
        <v>14</v>
      </c>
      <c r="M46" s="99">
        <v>16968</v>
      </c>
      <c r="N46" s="99">
        <v>16</v>
      </c>
      <c r="O46" s="99">
        <v>19392</v>
      </c>
      <c r="P46" s="99">
        <v>12</v>
      </c>
      <c r="Q46" s="99">
        <v>14544</v>
      </c>
      <c r="R46" s="99">
        <v>9.7603216237540487</v>
      </c>
      <c r="S46" s="99">
        <v>11829.509807989907</v>
      </c>
      <c r="T46" s="99">
        <v>14.820896664282126</v>
      </c>
      <c r="U46" s="99">
        <v>17962.926757109937</v>
      </c>
      <c r="V46" s="99">
        <v>13.548699666650203</v>
      </c>
      <c r="W46" s="99">
        <v>16421.023995980046</v>
      </c>
      <c r="X46" s="99">
        <v>13.947903200693565</v>
      </c>
      <c r="Y46" s="99">
        <v>16904.858679240602</v>
      </c>
      <c r="Z46" s="99">
        <v>15.524796584472995</v>
      </c>
      <c r="AA46" s="99">
        <v>18816.05346038127</v>
      </c>
      <c r="AB46" s="99">
        <v>14</v>
      </c>
      <c r="AC46" s="99">
        <v>16968</v>
      </c>
      <c r="AD46" s="99">
        <v>17.713313537725625</v>
      </c>
      <c r="AE46" s="99">
        <v>21468.536007723458</v>
      </c>
      <c r="AF46" s="99">
        <v>16.671361297879105</v>
      </c>
      <c r="AG46" s="99">
        <v>20205.689893029477</v>
      </c>
      <c r="AH46" s="99">
        <v>10.67342967696022</v>
      </c>
      <c r="AI46" s="99">
        <v>12936.196768475787</v>
      </c>
      <c r="AJ46" s="99">
        <v>15.091069259724769</v>
      </c>
      <c r="AK46" s="99">
        <v>18290.375942786421</v>
      </c>
      <c r="AL46" s="99">
        <v>14.676381404317986</v>
      </c>
      <c r="AM46" s="99">
        <v>17787.774262033399</v>
      </c>
      <c r="AN46" s="99">
        <v>2.1071382996149883</v>
      </c>
      <c r="AO46" s="99">
        <v>2553.8516191333661</v>
      </c>
      <c r="AP46" s="99">
        <v>14.680722571110952</v>
      </c>
      <c r="AQ46" s="99">
        <v>17793.035756186473</v>
      </c>
      <c r="AR46" s="99">
        <v>13</v>
      </c>
      <c r="AS46" s="99">
        <v>15756</v>
      </c>
      <c r="AT46" s="99">
        <v>20</v>
      </c>
      <c r="AU46" s="99">
        <v>24240</v>
      </c>
      <c r="AV46" s="99">
        <v>14</v>
      </c>
      <c r="AW46" s="99">
        <v>16968</v>
      </c>
      <c r="AX46" s="99">
        <v>12.408455205018234</v>
      </c>
      <c r="AY46" s="99">
        <v>15039.0477084821</v>
      </c>
      <c r="AZ46" s="99">
        <v>16</v>
      </c>
      <c r="BA46" s="99">
        <v>19392</v>
      </c>
      <c r="BB46" s="99">
        <v>13.662964794838862</v>
      </c>
      <c r="BC46" s="99">
        <v>16559.5133313447</v>
      </c>
      <c r="BD46" s="99">
        <v>10</v>
      </c>
      <c r="BE46" s="99">
        <v>12120</v>
      </c>
      <c r="BF46" s="99">
        <v>12</v>
      </c>
      <c r="BG46" s="99">
        <v>14544</v>
      </c>
      <c r="BH46" s="99">
        <v>11.040811025267635</v>
      </c>
      <c r="BI46" s="99">
        <v>13381.462962624373</v>
      </c>
      <c r="BJ46" s="99">
        <v>12.226838252881931</v>
      </c>
      <c r="BK46" s="99">
        <v>14818.9279624929</v>
      </c>
      <c r="BL46" s="99">
        <v>11.674422042260554</v>
      </c>
      <c r="BM46" s="99">
        <v>14149.399515219791</v>
      </c>
      <c r="BN46" s="99">
        <v>11.443404181879087</v>
      </c>
      <c r="BO46" s="99">
        <v>13869.405868437454</v>
      </c>
      <c r="BP46" s="99">
        <v>13.972031945333947</v>
      </c>
      <c r="BQ46" s="99">
        <v>16934.102717744743</v>
      </c>
      <c r="BR46" s="99">
        <v>12.428785053757787</v>
      </c>
      <c r="BS46" s="99">
        <v>15063.687485154438</v>
      </c>
      <c r="BT46" s="99">
        <v>2.1646262179054667</v>
      </c>
      <c r="BU46" s="99">
        <v>2623.5269761014256</v>
      </c>
      <c r="BV46" s="99">
        <v>9.3039310387804743</v>
      </c>
      <c r="BW46" s="99">
        <v>11276.364419001935</v>
      </c>
      <c r="BX46" s="99">
        <v>21.244673087498228</v>
      </c>
      <c r="BY46" s="99">
        <v>25748.543782047851</v>
      </c>
      <c r="BZ46" s="99">
        <v>3.8683822819469489</v>
      </c>
      <c r="CA46" s="99">
        <v>4688.4793257197025</v>
      </c>
      <c r="CB46" s="99">
        <v>10.706112669356656</v>
      </c>
      <c r="CC46" s="99">
        <v>12975.808555260268</v>
      </c>
      <c r="CD46" s="99">
        <v>14.860180954321851</v>
      </c>
      <c r="CE46" s="99">
        <v>18010.539316638085</v>
      </c>
      <c r="CF46" s="99">
        <v>13</v>
      </c>
      <c r="CG46" s="99">
        <v>15756</v>
      </c>
      <c r="CH46" s="99">
        <v>13</v>
      </c>
      <c r="CI46" s="99">
        <v>15756</v>
      </c>
      <c r="CJ46" s="99">
        <v>17.557133451463717</v>
      </c>
      <c r="CK46" s="99">
        <v>21279.245743174026</v>
      </c>
      <c r="CL46" s="99">
        <v>1.3916571779825302</v>
      </c>
      <c r="CM46" s="99">
        <v>1686.6884997148265</v>
      </c>
      <c r="CN46" s="99">
        <v>18.991971774196816</v>
      </c>
      <c r="CO46" s="99">
        <v>23018.26979032654</v>
      </c>
      <c r="CP46" s="99">
        <v>5.6644240433008646</v>
      </c>
      <c r="CQ46" s="99">
        <v>6865.2819404806478</v>
      </c>
      <c r="CR46" s="99">
        <v>12.12790781820722</v>
      </c>
      <c r="CS46" s="99">
        <v>14699.024275667151</v>
      </c>
      <c r="CT46" s="99">
        <v>17.046860577074231</v>
      </c>
      <c r="CU46" s="99">
        <v>20660.795019413967</v>
      </c>
    </row>
    <row r="47" spans="2:99">
      <c r="C47" s="98" t="s">
        <v>213</v>
      </c>
      <c r="D47" s="99">
        <v>1.4619379593236665</v>
      </c>
      <c r="E47" s="99">
        <v>2233.2564266628328</v>
      </c>
      <c r="F47" s="99">
        <v>6.8109049600641809</v>
      </c>
      <c r="G47" s="99">
        <v>10404.338416994042</v>
      </c>
      <c r="H47" s="99">
        <v>2.0630986005929439</v>
      </c>
      <c r="I47" s="99">
        <v>3151.5894222657807</v>
      </c>
      <c r="J47" s="99">
        <v>14.876541773323639</v>
      </c>
      <c r="K47" s="99">
        <v>22725.405212929189</v>
      </c>
      <c r="L47" s="99">
        <v>12</v>
      </c>
      <c r="M47" s="99">
        <v>18331.199999999997</v>
      </c>
      <c r="N47" s="99">
        <v>16</v>
      </c>
      <c r="O47" s="99">
        <v>24441.599999999999</v>
      </c>
      <c r="P47" s="99">
        <v>12</v>
      </c>
      <c r="Q47" s="99">
        <v>18331.199999999997</v>
      </c>
      <c r="R47" s="99">
        <v>9.7603216237540487</v>
      </c>
      <c r="S47" s="99">
        <v>14909.867312446684</v>
      </c>
      <c r="T47" s="99">
        <v>13.894590622764493</v>
      </c>
      <c r="U47" s="99">
        <v>21225.37663533504</v>
      </c>
      <c r="V47" s="99">
        <v>14.395493395815839</v>
      </c>
      <c r="W47" s="99">
        <v>21990.555711448273</v>
      </c>
      <c r="X47" s="99">
        <v>12.951624400644025</v>
      </c>
      <c r="Y47" s="99">
        <v>19784.901434423813</v>
      </c>
      <c r="Z47" s="99">
        <v>15.524796584472995</v>
      </c>
      <c r="AA47" s="99">
        <v>23715.679262440946</v>
      </c>
      <c r="AB47" s="99">
        <v>15</v>
      </c>
      <c r="AC47" s="99">
        <v>22914</v>
      </c>
      <c r="AD47" s="99">
        <v>17.713313537725625</v>
      </c>
      <c r="AE47" s="99">
        <v>27058.857760229665</v>
      </c>
      <c r="AF47" s="99">
        <v>15.690692986239156</v>
      </c>
      <c r="AG47" s="99">
        <v>23969.102605778935</v>
      </c>
      <c r="AH47" s="99">
        <v>9.7839772038802018</v>
      </c>
      <c r="AI47" s="99">
        <v>14946.003576647396</v>
      </c>
      <c r="AJ47" s="99">
        <v>15.091069259724769</v>
      </c>
      <c r="AK47" s="99">
        <v>23053.117401155556</v>
      </c>
      <c r="AL47" s="99">
        <v>13.591833728778237</v>
      </c>
      <c r="AM47" s="99">
        <v>20762.885204081635</v>
      </c>
      <c r="AN47" s="99">
        <v>1.9607588603928827</v>
      </c>
      <c r="AO47" s="99">
        <v>2995.2552351361674</v>
      </c>
      <c r="AP47" s="99">
        <v>14.595632249722083</v>
      </c>
      <c r="AQ47" s="99">
        <v>22296.287824675452</v>
      </c>
      <c r="AR47" s="99">
        <v>11</v>
      </c>
      <c r="AS47" s="99">
        <v>16803.599999999999</v>
      </c>
      <c r="AT47" s="99">
        <v>19</v>
      </c>
      <c r="AU47" s="99">
        <v>29024.399999999998</v>
      </c>
      <c r="AV47" s="99">
        <v>14</v>
      </c>
      <c r="AW47" s="99">
        <v>21386.399999999998</v>
      </c>
      <c r="AX47" s="99">
        <v>13.362951759250405</v>
      </c>
      <c r="AY47" s="99">
        <v>20413.245107430917</v>
      </c>
      <c r="AZ47" s="99">
        <v>13</v>
      </c>
      <c r="BA47" s="99">
        <v>19858.8</v>
      </c>
      <c r="BB47" s="99">
        <v>13.662964794838862</v>
      </c>
      <c r="BC47" s="99">
        <v>20871.545020595844</v>
      </c>
      <c r="BD47" s="99">
        <v>9</v>
      </c>
      <c r="BE47" s="99">
        <v>13748.4</v>
      </c>
      <c r="BF47" s="99">
        <v>11</v>
      </c>
      <c r="BG47" s="99">
        <v>16803.599999999999</v>
      </c>
      <c r="BH47" s="99">
        <v>10.194284621083591</v>
      </c>
      <c r="BI47" s="99">
        <v>15572.789187167293</v>
      </c>
      <c r="BJ47" s="99">
        <v>10.781196982364408</v>
      </c>
      <c r="BK47" s="99">
        <v>16469.35651025987</v>
      </c>
      <c r="BL47" s="99">
        <v>9.5994862597871595</v>
      </c>
      <c r="BM47" s="99">
        <v>14664.175210450863</v>
      </c>
      <c r="BN47" s="99">
        <v>10.513553159866829</v>
      </c>
      <c r="BO47" s="99">
        <v>16060.503807012567</v>
      </c>
      <c r="BP47" s="99">
        <v>13.972031945333947</v>
      </c>
      <c r="BQ47" s="99">
        <v>21343.675999692136</v>
      </c>
      <c r="BR47" s="99">
        <v>12.428785053757787</v>
      </c>
      <c r="BS47" s="99">
        <v>18986.212048120393</v>
      </c>
      <c r="BT47" s="99">
        <v>2.1943681195096785</v>
      </c>
      <c r="BU47" s="99">
        <v>3352.1167393629848</v>
      </c>
      <c r="BV47" s="99">
        <v>9.381713686881259</v>
      </c>
      <c r="BW47" s="99">
        <v>14331.505828079811</v>
      </c>
      <c r="BX47" s="99">
        <v>19.244673087498228</v>
      </c>
      <c r="BY47" s="99">
        <v>29398.162608462291</v>
      </c>
      <c r="BZ47" s="99">
        <v>4.2200533984875799</v>
      </c>
      <c r="CA47" s="99">
        <v>6446.5535715296264</v>
      </c>
      <c r="CB47" s="99">
        <v>10.56268815034127</v>
      </c>
      <c r="CC47" s="99">
        <v>16135.562418461323</v>
      </c>
      <c r="CD47" s="99">
        <v>14.764605292730534</v>
      </c>
      <c r="CE47" s="99">
        <v>22554.411045175162</v>
      </c>
      <c r="CF47" s="99">
        <v>12</v>
      </c>
      <c r="CG47" s="99">
        <v>18331.199999999997</v>
      </c>
      <c r="CH47" s="99">
        <v>13</v>
      </c>
      <c r="CI47" s="99">
        <v>19858.8</v>
      </c>
      <c r="CJ47" s="99">
        <v>14.63094454288643</v>
      </c>
      <c r="CK47" s="99">
        <v>22350.23088371331</v>
      </c>
      <c r="CL47" s="99">
        <v>1.3916571779825302</v>
      </c>
      <c r="CM47" s="99">
        <v>2125.8955050861132</v>
      </c>
      <c r="CN47" s="99">
        <v>16.991971774196816</v>
      </c>
      <c r="CO47" s="99">
        <v>25956.936082263055</v>
      </c>
      <c r="CP47" s="99">
        <v>5.3312226289890488</v>
      </c>
      <c r="CQ47" s="99">
        <v>8143.9756880436707</v>
      </c>
      <c r="CR47" s="99">
        <v>12.278468411731946</v>
      </c>
      <c r="CS47" s="99">
        <v>18756.58834576172</v>
      </c>
      <c r="CT47" s="99">
        <v>16.193064904008107</v>
      </c>
      <c r="CU47" s="99">
        <v>24736.525947362785</v>
      </c>
    </row>
    <row r="48" spans="2:99">
      <c r="C48" s="98" t="s">
        <v>214</v>
      </c>
      <c r="D48" s="99">
        <v>1.6060475772243799</v>
      </c>
      <c r="E48" s="99">
        <v>1393.406877999872</v>
      </c>
      <c r="F48" s="99">
        <v>7.3960181124480791</v>
      </c>
      <c r="G48" s="99">
        <v>6416.7853143599532</v>
      </c>
      <c r="H48" s="99">
        <v>2.1701907858247003</v>
      </c>
      <c r="I48" s="99">
        <v>1882.85752578151</v>
      </c>
      <c r="J48" s="99">
        <v>17.876541773323638</v>
      </c>
      <c r="K48" s="99">
        <v>15509.687642535588</v>
      </c>
      <c r="L48" s="99">
        <v>13</v>
      </c>
      <c r="M48" s="99">
        <v>11278.800000000001</v>
      </c>
      <c r="N48" s="99">
        <v>16</v>
      </c>
      <c r="O48" s="99">
        <v>13881.6</v>
      </c>
      <c r="P48" s="99">
        <v>14</v>
      </c>
      <c r="Q48" s="99">
        <v>12146.4</v>
      </c>
      <c r="R48" s="99">
        <v>9.7603216237540487</v>
      </c>
      <c r="S48" s="99">
        <v>8468.0550407690134</v>
      </c>
      <c r="T48" s="99">
        <v>14.820896664282126</v>
      </c>
      <c r="U48" s="99">
        <v>12858.609945931172</v>
      </c>
      <c r="V48" s="99">
        <v>14.395493395815839</v>
      </c>
      <c r="W48" s="99">
        <v>12489.530070209823</v>
      </c>
      <c r="X48" s="99">
        <v>12.951624400644025</v>
      </c>
      <c r="Y48" s="99">
        <v>11236.829329998756</v>
      </c>
      <c r="Z48" s="99">
        <v>17.465396157532119</v>
      </c>
      <c r="AA48" s="99">
        <v>15152.977706274867</v>
      </c>
      <c r="AB48" s="99">
        <v>16</v>
      </c>
      <c r="AC48" s="99">
        <v>13881.6</v>
      </c>
      <c r="AD48" s="99">
        <v>17.713313537725625</v>
      </c>
      <c r="AE48" s="99">
        <v>15368.070825330753</v>
      </c>
      <c r="AF48" s="99">
        <v>17.652029609519055</v>
      </c>
      <c r="AG48" s="99">
        <v>15314.900889218732</v>
      </c>
      <c r="AH48" s="99">
        <v>10.67342967696022</v>
      </c>
      <c r="AI48" s="99">
        <v>9260.2675877306865</v>
      </c>
      <c r="AJ48" s="99">
        <v>17.754199129087961</v>
      </c>
      <c r="AK48" s="99">
        <v>15403.543164396715</v>
      </c>
      <c r="AL48" s="99">
        <v>13.591833728778237</v>
      </c>
      <c r="AM48" s="99">
        <v>11792.274943087999</v>
      </c>
      <c r="AN48" s="99">
        <v>2.2841485772962362</v>
      </c>
      <c r="AO48" s="99">
        <v>1981.7273056622146</v>
      </c>
      <c r="AP48" s="99">
        <v>15.680722571110952</v>
      </c>
      <c r="AQ48" s="99">
        <v>13604.594902695862</v>
      </c>
      <c r="AR48" s="99">
        <v>12</v>
      </c>
      <c r="AS48" s="99">
        <v>10411.200000000001</v>
      </c>
      <c r="AT48" s="99">
        <v>21</v>
      </c>
      <c r="AU48" s="99">
        <v>18219.600000000002</v>
      </c>
      <c r="AV48" s="99">
        <v>15</v>
      </c>
      <c r="AW48" s="99">
        <v>13014</v>
      </c>
      <c r="AX48" s="99">
        <v>13.362951759250405</v>
      </c>
      <c r="AY48" s="99">
        <v>11593.696946325652</v>
      </c>
      <c r="AZ48" s="99">
        <v>15</v>
      </c>
      <c r="BA48" s="99">
        <v>13014</v>
      </c>
      <c r="BB48" s="99">
        <v>14.638890851613068</v>
      </c>
      <c r="BC48" s="99">
        <v>12700.701702859498</v>
      </c>
      <c r="BD48" s="99">
        <v>10</v>
      </c>
      <c r="BE48" s="99">
        <v>8676</v>
      </c>
      <c r="BF48" s="99">
        <v>12</v>
      </c>
      <c r="BG48" s="99">
        <v>10411.200000000001</v>
      </c>
      <c r="BH48" s="99">
        <v>10.194284621083591</v>
      </c>
      <c r="BI48" s="99">
        <v>8844.5613372521238</v>
      </c>
      <c r="BJ48" s="99">
        <v>12.226838252881931</v>
      </c>
      <c r="BK48" s="99">
        <v>10608.004868200363</v>
      </c>
      <c r="BL48" s="99">
        <v>11.59948625978716</v>
      </c>
      <c r="BM48" s="99">
        <v>10063.71427899134</v>
      </c>
      <c r="BN48" s="99">
        <v>9.2985102201225764</v>
      </c>
      <c r="BO48" s="99">
        <v>8067.3874669783472</v>
      </c>
      <c r="BP48" s="99">
        <v>14.058576640314085</v>
      </c>
      <c r="BQ48" s="99">
        <v>12197.221093136501</v>
      </c>
      <c r="BR48" s="99">
        <v>12.428785053757787</v>
      </c>
      <c r="BS48" s="99">
        <v>10783.213912640256</v>
      </c>
      <c r="BT48" s="99">
        <v>2.3614104195332368</v>
      </c>
      <c r="BU48" s="99">
        <v>2048.7596799870362</v>
      </c>
      <c r="BV48" s="99">
        <v>9.4594963349820436</v>
      </c>
      <c r="BW48" s="99">
        <v>8207.0590202304211</v>
      </c>
      <c r="BX48" s="99">
        <v>19.120205778748407</v>
      </c>
      <c r="BY48" s="99">
        <v>16588.690533642119</v>
      </c>
      <c r="BZ48" s="99">
        <v>4.5717245150282126</v>
      </c>
      <c r="CA48" s="99">
        <v>3966.4281892384774</v>
      </c>
      <c r="CB48" s="99">
        <v>10.032717330083681</v>
      </c>
      <c r="CC48" s="99">
        <v>8704.3855555806022</v>
      </c>
      <c r="CD48" s="99">
        <v>14.955756615913167</v>
      </c>
      <c r="CE48" s="99">
        <v>12975.614439966264</v>
      </c>
      <c r="CF48" s="99">
        <v>14</v>
      </c>
      <c r="CG48" s="99">
        <v>12146.4</v>
      </c>
      <c r="CH48" s="99">
        <v>14</v>
      </c>
      <c r="CI48" s="99">
        <v>12146.4</v>
      </c>
      <c r="CJ48" s="99">
        <v>16.581737148604621</v>
      </c>
      <c r="CK48" s="99">
        <v>14386.315150129369</v>
      </c>
      <c r="CL48" s="99">
        <v>1.4987077301350324</v>
      </c>
      <c r="CM48" s="99">
        <v>1300.2788266651542</v>
      </c>
      <c r="CN48" s="99">
        <v>20.145200372211956</v>
      </c>
      <c r="CO48" s="99">
        <v>17477.975842931093</v>
      </c>
      <c r="CP48" s="99">
        <v>5.3312226289890488</v>
      </c>
      <c r="CQ48" s="99">
        <v>4625.3687529108984</v>
      </c>
      <c r="CR48" s="99">
        <v>15.310445366283753</v>
      </c>
      <c r="CS48" s="99">
        <v>13283.342399787785</v>
      </c>
      <c r="CT48" s="99">
        <v>19.33926923094198</v>
      </c>
      <c r="CU48" s="99">
        <v>16778.749984765262</v>
      </c>
    </row>
    <row r="49" spans="2:99">
      <c r="B49" s="98" t="s">
        <v>129</v>
      </c>
      <c r="C49" s="98" t="s">
        <v>215</v>
      </c>
      <c r="D49" s="99">
        <v>0.69012962460774707</v>
      </c>
      <c r="E49" s="99">
        <v>679.91570616355239</v>
      </c>
      <c r="F49" s="99">
        <v>6.5149636638524413</v>
      </c>
      <c r="G49" s="99">
        <v>6418.5422016274251</v>
      </c>
      <c r="H49" s="99">
        <v>1.5779894192663255</v>
      </c>
      <c r="I49" s="99">
        <v>1554.6351758611838</v>
      </c>
      <c r="J49" s="99">
        <v>1.7197318669479151</v>
      </c>
      <c r="K49" s="99">
        <v>1694.2798353170858</v>
      </c>
      <c r="L49" s="99">
        <v>7.8171702726529473</v>
      </c>
      <c r="M49" s="99">
        <v>7701.4761526176835</v>
      </c>
      <c r="N49" s="99">
        <v>8</v>
      </c>
      <c r="O49" s="99">
        <v>7881.5999999999995</v>
      </c>
      <c r="P49" s="99">
        <v>9</v>
      </c>
      <c r="Q49" s="99">
        <v>8866.7999999999993</v>
      </c>
      <c r="R49" s="99">
        <v>9</v>
      </c>
      <c r="S49" s="99">
        <v>8866.7999999999993</v>
      </c>
      <c r="T49" s="99">
        <v>10</v>
      </c>
      <c r="U49" s="99">
        <v>9852</v>
      </c>
      <c r="V49" s="99">
        <v>11</v>
      </c>
      <c r="W49" s="99">
        <v>10837.199999999999</v>
      </c>
      <c r="X49" s="99">
        <v>10</v>
      </c>
      <c r="Y49" s="99">
        <v>9852</v>
      </c>
      <c r="Z49" s="99">
        <v>9.3085905888219855</v>
      </c>
      <c r="AA49" s="99">
        <v>9170.8234481074196</v>
      </c>
      <c r="AB49" s="99">
        <v>2.7469362051529158</v>
      </c>
      <c r="AC49" s="99">
        <v>2706.2815493166527</v>
      </c>
      <c r="AD49" s="99">
        <v>9</v>
      </c>
      <c r="AE49" s="99">
        <v>8866.7999999999993</v>
      </c>
      <c r="AF49" s="99">
        <v>6</v>
      </c>
      <c r="AG49" s="99">
        <v>5911.2</v>
      </c>
      <c r="AH49" s="99">
        <v>9.3326899721528491</v>
      </c>
      <c r="AI49" s="99">
        <v>9194.5661605649857</v>
      </c>
      <c r="AJ49" s="99">
        <v>8</v>
      </c>
      <c r="AK49" s="99">
        <v>7881.5999999999995</v>
      </c>
      <c r="AL49" s="99">
        <v>6.2719267923352318</v>
      </c>
      <c r="AM49" s="99">
        <v>6179.1022758086701</v>
      </c>
      <c r="AN49" s="99">
        <v>9.0396288665587523</v>
      </c>
      <c r="AO49" s="99">
        <v>8905.8423593336829</v>
      </c>
      <c r="AP49" s="99">
        <v>5.1735494161080791</v>
      </c>
      <c r="AQ49" s="99">
        <v>5096.9808847496788</v>
      </c>
      <c r="AR49" s="99">
        <v>6.7809579653731298</v>
      </c>
      <c r="AS49" s="99">
        <v>6680.5997874856066</v>
      </c>
      <c r="AT49" s="99">
        <v>5</v>
      </c>
      <c r="AU49" s="99">
        <v>4926</v>
      </c>
      <c r="AV49" s="99">
        <v>8</v>
      </c>
      <c r="AW49" s="99">
        <v>7881.5999999999995</v>
      </c>
      <c r="AX49" s="99">
        <v>9</v>
      </c>
      <c r="AY49" s="99">
        <v>8866.7999999999993</v>
      </c>
      <c r="AZ49" s="99">
        <v>5.9733082412958129</v>
      </c>
      <c r="BA49" s="99">
        <v>5884.9032793246342</v>
      </c>
      <c r="BB49" s="99">
        <v>8</v>
      </c>
      <c r="BC49" s="99">
        <v>7881.5999999999995</v>
      </c>
      <c r="BD49" s="99">
        <v>10</v>
      </c>
      <c r="BE49" s="99">
        <v>9852</v>
      </c>
      <c r="BF49" s="99">
        <v>8</v>
      </c>
      <c r="BG49" s="99">
        <v>7881.5999999999995</v>
      </c>
      <c r="BH49" s="99">
        <v>9.3171599682559183</v>
      </c>
      <c r="BI49" s="99">
        <v>9179.2660007257309</v>
      </c>
      <c r="BJ49" s="99">
        <v>10.538937154785721</v>
      </c>
      <c r="BK49" s="99">
        <v>10382.960884894892</v>
      </c>
      <c r="BL49" s="99">
        <v>6</v>
      </c>
      <c r="BM49" s="99">
        <v>5911.2</v>
      </c>
      <c r="BN49" s="99">
        <v>8.5471412703579634</v>
      </c>
      <c r="BO49" s="99">
        <v>8420.6435795566649</v>
      </c>
      <c r="BP49" s="99">
        <v>10</v>
      </c>
      <c r="BQ49" s="99">
        <v>9852</v>
      </c>
      <c r="BR49" s="99">
        <v>5.2705585200987706</v>
      </c>
      <c r="BS49" s="99">
        <v>5192.5542540013084</v>
      </c>
      <c r="BT49" s="99">
        <v>3.6201329805915248</v>
      </c>
      <c r="BU49" s="99">
        <v>3566.5550124787701</v>
      </c>
      <c r="BV49" s="99">
        <v>9.3240685564415031</v>
      </c>
      <c r="BW49" s="99">
        <v>9186.072341806168</v>
      </c>
      <c r="BX49" s="99">
        <v>8</v>
      </c>
      <c r="BY49" s="99">
        <v>7881.5999999999995</v>
      </c>
      <c r="BZ49" s="99">
        <v>9</v>
      </c>
      <c r="CA49" s="99">
        <v>8866.7999999999993</v>
      </c>
      <c r="CB49" s="99">
        <v>6</v>
      </c>
      <c r="CC49" s="99">
        <v>5911.2</v>
      </c>
      <c r="CD49" s="99">
        <v>2.2789350854111943</v>
      </c>
      <c r="CE49" s="99">
        <v>2245.2068461471085</v>
      </c>
      <c r="CF49" s="99">
        <v>7</v>
      </c>
      <c r="CG49" s="99">
        <v>6896.4</v>
      </c>
      <c r="CH49" s="99">
        <v>10</v>
      </c>
      <c r="CI49" s="99">
        <v>9852</v>
      </c>
      <c r="CJ49" s="99">
        <v>6</v>
      </c>
      <c r="CK49" s="99">
        <v>5911.2</v>
      </c>
      <c r="CL49" s="99">
        <v>11.322748346610069</v>
      </c>
      <c r="CM49" s="99">
        <v>11155.171671080239</v>
      </c>
      <c r="CN49" s="99">
        <v>6.152008425952439</v>
      </c>
      <c r="CO49" s="99">
        <v>6060.9587012483425</v>
      </c>
      <c r="CP49" s="99">
        <v>4.8283826254408968</v>
      </c>
      <c r="CQ49" s="99">
        <v>4756.922562584371</v>
      </c>
      <c r="CR49" s="99">
        <v>9</v>
      </c>
      <c r="CS49" s="99">
        <v>8866.7999999999993</v>
      </c>
      <c r="CT49" s="99">
        <v>5.4901693716555391</v>
      </c>
      <c r="CU49" s="99">
        <v>5408.914864955037</v>
      </c>
    </row>
    <row r="50" spans="2:99">
      <c r="C50" s="98" t="s">
        <v>216</v>
      </c>
      <c r="D50" s="99">
        <v>1.029609105621526</v>
      </c>
      <c r="E50" s="99">
        <v>290.34976778527033</v>
      </c>
      <c r="F50" s="99">
        <v>7.7724848656525873</v>
      </c>
      <c r="G50" s="99">
        <v>2191.8407321140298</v>
      </c>
      <c r="H50" s="99">
        <v>1.0654091169018061</v>
      </c>
      <c r="I50" s="99">
        <v>300.44537096630933</v>
      </c>
      <c r="J50" s="99">
        <v>9.5113160344387904</v>
      </c>
      <c r="K50" s="99">
        <v>2682.191121711739</v>
      </c>
      <c r="L50" s="99">
        <v>7</v>
      </c>
      <c r="M50" s="99">
        <v>1974</v>
      </c>
      <c r="N50" s="99">
        <v>7</v>
      </c>
      <c r="O50" s="99">
        <v>1974</v>
      </c>
      <c r="P50" s="99">
        <v>9</v>
      </c>
      <c r="Q50" s="99">
        <v>2538</v>
      </c>
      <c r="R50" s="99">
        <v>9.7603216237540487</v>
      </c>
      <c r="S50" s="99">
        <v>2752.4106978986415</v>
      </c>
      <c r="T50" s="99">
        <v>10.189366456693962</v>
      </c>
      <c r="U50" s="99">
        <v>2873.4013407876973</v>
      </c>
      <c r="V50" s="99">
        <v>10.161524749987651</v>
      </c>
      <c r="W50" s="99">
        <v>2865.5499794965176</v>
      </c>
      <c r="X50" s="99">
        <v>10.959066800544944</v>
      </c>
      <c r="Y50" s="99">
        <v>3090.4568377536743</v>
      </c>
      <c r="Z50" s="99">
        <v>8.7326980787660595</v>
      </c>
      <c r="AA50" s="99">
        <v>2462.6208582120289</v>
      </c>
      <c r="AB50" s="99">
        <v>7</v>
      </c>
      <c r="AC50" s="99">
        <v>1974</v>
      </c>
      <c r="AD50" s="99">
        <v>8.8566567688628126</v>
      </c>
      <c r="AE50" s="99">
        <v>2497.577208819313</v>
      </c>
      <c r="AF50" s="99">
        <v>7.1008862402327537</v>
      </c>
      <c r="AG50" s="99">
        <v>2002.4499197456366</v>
      </c>
      <c r="AH50" s="99">
        <v>8.4690392877347627</v>
      </c>
      <c r="AI50" s="99">
        <v>2388.2690791412033</v>
      </c>
      <c r="AJ50" s="99">
        <v>7.9893896080895841</v>
      </c>
      <c r="AK50" s="99">
        <v>2253.0078694812628</v>
      </c>
      <c r="AL50" s="99">
        <v>7.5918337287782371</v>
      </c>
      <c r="AM50" s="99">
        <v>2140.8971115154627</v>
      </c>
      <c r="AN50" s="99">
        <v>1.6475794229759102</v>
      </c>
      <c r="AO50" s="99">
        <v>464.61739727920667</v>
      </c>
      <c r="AP50" s="99">
        <v>5.5105419283332138</v>
      </c>
      <c r="AQ50" s="99">
        <v>1553.9728237899662</v>
      </c>
      <c r="AR50" s="99">
        <v>11</v>
      </c>
      <c r="AS50" s="99">
        <v>3102</v>
      </c>
      <c r="AT50" s="99">
        <v>6</v>
      </c>
      <c r="AU50" s="99">
        <v>1692</v>
      </c>
      <c r="AV50" s="99">
        <v>8</v>
      </c>
      <c r="AW50" s="99">
        <v>2256</v>
      </c>
      <c r="AX50" s="99">
        <v>8.5904689880895457</v>
      </c>
      <c r="AY50" s="99">
        <v>2422.5122546412517</v>
      </c>
      <c r="AZ50" s="99">
        <v>6</v>
      </c>
      <c r="BA50" s="99">
        <v>1692</v>
      </c>
      <c r="BB50" s="99">
        <v>8.7833345109678405</v>
      </c>
      <c r="BC50" s="99">
        <v>2476.900332092931</v>
      </c>
      <c r="BD50" s="99">
        <v>9</v>
      </c>
      <c r="BE50" s="99">
        <v>2538</v>
      </c>
      <c r="BF50" s="99">
        <v>9</v>
      </c>
      <c r="BG50" s="99">
        <v>2538</v>
      </c>
      <c r="BH50" s="99">
        <v>9.3752748730210484</v>
      </c>
      <c r="BI50" s="99">
        <v>2643.8275141919357</v>
      </c>
      <c r="BJ50" s="99">
        <v>10.743565743806204</v>
      </c>
      <c r="BK50" s="99">
        <v>3029.6855397533495</v>
      </c>
      <c r="BL50" s="99">
        <v>6</v>
      </c>
      <c r="BM50" s="99">
        <v>1692</v>
      </c>
      <c r="BN50" s="99">
        <v>9.2523267906515922</v>
      </c>
      <c r="BO50" s="99">
        <v>2609.156154963749</v>
      </c>
      <c r="BP50" s="99">
        <v>10.434029874315817</v>
      </c>
      <c r="BQ50" s="99">
        <v>2942.3964245570605</v>
      </c>
      <c r="BR50" s="99">
        <v>6.0561854334038348</v>
      </c>
      <c r="BS50" s="99">
        <v>1707.8442922198815</v>
      </c>
      <c r="BT50" s="99">
        <v>2.0166863252255465</v>
      </c>
      <c r="BU50" s="99">
        <v>568.70554371360413</v>
      </c>
      <c r="BV50" s="99">
        <v>9.7520717244336623</v>
      </c>
      <c r="BW50" s="99">
        <v>2750.0842262902929</v>
      </c>
      <c r="BX50" s="99">
        <v>11.120205778748405</v>
      </c>
      <c r="BY50" s="99">
        <v>3135.8980296070499</v>
      </c>
      <c r="BZ50" s="99">
        <v>3.5167111654063175</v>
      </c>
      <c r="CA50" s="99">
        <v>991.71254864458149</v>
      </c>
      <c r="CB50" s="99">
        <v>6.4790109968975633</v>
      </c>
      <c r="CC50" s="99">
        <v>1827.0811011251128</v>
      </c>
      <c r="CD50" s="99">
        <v>6.4778783079565834</v>
      </c>
      <c r="CE50" s="99">
        <v>1826.7616828437565</v>
      </c>
      <c r="CF50" s="99">
        <v>7</v>
      </c>
      <c r="CG50" s="99">
        <v>1974</v>
      </c>
      <c r="CH50" s="99">
        <v>9</v>
      </c>
      <c r="CI50" s="99">
        <v>2538</v>
      </c>
      <c r="CJ50" s="99">
        <v>6.8277741200136672</v>
      </c>
      <c r="CK50" s="99">
        <v>1925.4323018438542</v>
      </c>
      <c r="CL50" s="99">
        <v>1.3131323428355017</v>
      </c>
      <c r="CM50" s="99">
        <v>370.30332067961149</v>
      </c>
      <c r="CN50" s="99">
        <v>7.7661429900756982</v>
      </c>
      <c r="CO50" s="99">
        <v>2190.052323201347</v>
      </c>
      <c r="CP50" s="99">
        <v>3.3320141431181556</v>
      </c>
      <c r="CQ50" s="99">
        <v>939.62798835931983</v>
      </c>
      <c r="CR50" s="99">
        <v>8.1099327051410732</v>
      </c>
      <c r="CS50" s="99">
        <v>2287.0010228497827</v>
      </c>
      <c r="CT50" s="99">
        <v>8.16963461547099</v>
      </c>
      <c r="CU50" s="99">
        <v>2303.8369615628194</v>
      </c>
    </row>
    <row r="51" spans="2:99">
      <c r="C51" s="98" t="s">
        <v>217</v>
      </c>
      <c r="D51" s="99">
        <v>0.88549948772081233</v>
      </c>
      <c r="E51" s="99">
        <v>756.57076230866198</v>
      </c>
      <c r="F51" s="99">
        <v>7.7724848656525873</v>
      </c>
      <c r="G51" s="99">
        <v>6640.8110692135706</v>
      </c>
      <c r="H51" s="99">
        <v>0.95831693167004983</v>
      </c>
      <c r="I51" s="99">
        <v>818.7859864188905</v>
      </c>
      <c r="J51" s="99">
        <v>9.5843611822157602</v>
      </c>
      <c r="K51" s="99">
        <v>8188.878194085145</v>
      </c>
      <c r="L51" s="99">
        <v>7</v>
      </c>
      <c r="M51" s="99">
        <v>5980.8</v>
      </c>
      <c r="N51" s="99">
        <v>8</v>
      </c>
      <c r="O51" s="99">
        <v>6835.2</v>
      </c>
      <c r="P51" s="99">
        <v>9</v>
      </c>
      <c r="Q51" s="99">
        <v>7689.5999999999995</v>
      </c>
      <c r="R51" s="99">
        <v>9.7603216237540487</v>
      </c>
      <c r="S51" s="99">
        <v>8339.2187953354587</v>
      </c>
      <c r="T51" s="99">
        <v>10.189366456693962</v>
      </c>
      <c r="U51" s="99">
        <v>8705.794700599321</v>
      </c>
      <c r="V51" s="99">
        <v>9.3147310208220127</v>
      </c>
      <c r="W51" s="99">
        <v>7958.5061841903271</v>
      </c>
      <c r="X51" s="99">
        <v>9.9627880004954044</v>
      </c>
      <c r="Y51" s="99">
        <v>8512.2060676232741</v>
      </c>
      <c r="Z51" s="99">
        <v>7.7623982922364974</v>
      </c>
      <c r="AA51" s="99">
        <v>6632.1931008868632</v>
      </c>
      <c r="AB51" s="99">
        <v>6</v>
      </c>
      <c r="AC51" s="99">
        <v>5126.3999999999996</v>
      </c>
      <c r="AD51" s="99">
        <v>7.8725837945447221</v>
      </c>
      <c r="AE51" s="99">
        <v>6726.33559405901</v>
      </c>
      <c r="AF51" s="99">
        <v>7.0536446284821288</v>
      </c>
      <c r="AG51" s="99">
        <v>6026.6339705751307</v>
      </c>
      <c r="AH51" s="99">
        <v>7.5215909359029176</v>
      </c>
      <c r="AI51" s="99">
        <v>6426.447295635453</v>
      </c>
      <c r="AJ51" s="99">
        <v>7.1016796516351848</v>
      </c>
      <c r="AK51" s="99">
        <v>6067.6750943571014</v>
      </c>
      <c r="AL51" s="99">
        <v>6.5918337287782371</v>
      </c>
      <c r="AM51" s="99">
        <v>5632.0627378681256</v>
      </c>
      <c r="AN51" s="99">
        <v>1.4909897042674241</v>
      </c>
      <c r="AO51" s="99">
        <v>1273.9016033260871</v>
      </c>
      <c r="AP51" s="99">
        <v>5.5105419283332138</v>
      </c>
      <c r="AQ51" s="99">
        <v>4708.2070235678975</v>
      </c>
      <c r="AR51" s="99">
        <v>11</v>
      </c>
      <c r="AS51" s="99">
        <v>9398.4</v>
      </c>
      <c r="AT51" s="99">
        <v>6</v>
      </c>
      <c r="AU51" s="99">
        <v>5126.3999999999996</v>
      </c>
      <c r="AV51" s="99">
        <v>9</v>
      </c>
      <c r="AW51" s="99">
        <v>7689.5999999999995</v>
      </c>
      <c r="AX51" s="99">
        <v>7.6359724338573738</v>
      </c>
      <c r="AY51" s="99">
        <v>6524.1748474877404</v>
      </c>
      <c r="AZ51" s="99">
        <v>6</v>
      </c>
      <c r="BA51" s="99">
        <v>5126.3999999999996</v>
      </c>
      <c r="BB51" s="99">
        <v>7.8074084541936362</v>
      </c>
      <c r="BC51" s="99">
        <v>6670.649783263043</v>
      </c>
      <c r="BD51" s="99">
        <v>9</v>
      </c>
      <c r="BE51" s="99">
        <v>7689.5999999999995</v>
      </c>
      <c r="BF51" s="99">
        <v>8</v>
      </c>
      <c r="BG51" s="99">
        <v>6835.2</v>
      </c>
      <c r="BH51" s="99">
        <v>8.4377473857189447</v>
      </c>
      <c r="BI51" s="99">
        <v>7209.2113663582659</v>
      </c>
      <c r="BJ51" s="99">
        <v>9.8702201543146391</v>
      </c>
      <c r="BK51" s="99">
        <v>8433.1160998464275</v>
      </c>
      <c r="BL51" s="99">
        <v>6.524550477313765</v>
      </c>
      <c r="BM51" s="99">
        <v>5574.5759278168807</v>
      </c>
      <c r="BN51" s="99">
        <v>8.322475768639336</v>
      </c>
      <c r="BO51" s="99">
        <v>7110.7232967254486</v>
      </c>
      <c r="BP51" s="99">
        <v>8.5369335335311227</v>
      </c>
      <c r="BQ51" s="99">
        <v>7293.9560110489911</v>
      </c>
      <c r="BR51" s="99">
        <v>5.1347140242115623</v>
      </c>
      <c r="BS51" s="99">
        <v>4387.0996622863586</v>
      </c>
      <c r="BT51" s="99">
        <v>2.0439783819561708</v>
      </c>
      <c r="BU51" s="99">
        <v>1746.3751295433522</v>
      </c>
      <c r="BV51" s="99">
        <v>8.9150177982765566</v>
      </c>
      <c r="BW51" s="99">
        <v>7616.9912068474896</v>
      </c>
      <c r="BX51" s="99">
        <v>8</v>
      </c>
      <c r="BY51" s="99">
        <v>6835.2</v>
      </c>
      <c r="BZ51" s="99">
        <v>2.8133689323250537</v>
      </c>
      <c r="CA51" s="99">
        <v>2403.7424157785258</v>
      </c>
      <c r="CB51" s="99">
        <v>5.658177557354465</v>
      </c>
      <c r="CC51" s="99">
        <v>4834.3469050036547</v>
      </c>
      <c r="CD51" s="99">
        <v>7.4778783079565834</v>
      </c>
      <c r="CE51" s="99">
        <v>6389.0992263181042</v>
      </c>
      <c r="CF51" s="99">
        <v>7</v>
      </c>
      <c r="CG51" s="99">
        <v>5980.8</v>
      </c>
      <c r="CH51" s="99">
        <v>9</v>
      </c>
      <c r="CI51" s="99">
        <v>7689.5999999999995</v>
      </c>
      <c r="CJ51" s="99">
        <v>6.8277741200136672</v>
      </c>
      <c r="CK51" s="99">
        <v>5833.6502081396775</v>
      </c>
      <c r="CL51" s="99">
        <v>1.0958617144187777</v>
      </c>
      <c r="CM51" s="99">
        <v>936.30424879940358</v>
      </c>
      <c r="CN51" s="99">
        <v>7.7661429900756982</v>
      </c>
      <c r="CO51" s="99">
        <v>6635.3925707206763</v>
      </c>
      <c r="CP51" s="99">
        <v>3.3320141431181556</v>
      </c>
      <c r="CQ51" s="99">
        <v>2846.8728838801521</v>
      </c>
      <c r="CR51" s="99">
        <v>7.2762255638229005</v>
      </c>
      <c r="CS51" s="99">
        <v>6216.8071217302859</v>
      </c>
      <c r="CT51" s="99">
        <v>7.16963461547099</v>
      </c>
      <c r="CU51" s="99">
        <v>6125.7358154584135</v>
      </c>
    </row>
    <row r="52" spans="2:99">
      <c r="C52" s="98" t="s">
        <v>218</v>
      </c>
      <c r="D52" s="99">
        <v>0.89592037787907786</v>
      </c>
      <c r="E52" s="99">
        <v>483.79700405470203</v>
      </c>
      <c r="F52" s="99">
        <v>7.145642433432811</v>
      </c>
      <c r="G52" s="99">
        <v>3858.6469140537179</v>
      </c>
      <c r="H52" s="99">
        <v>1.0654091169018061</v>
      </c>
      <c r="I52" s="99">
        <v>575.32092312697523</v>
      </c>
      <c r="J52" s="99">
        <v>8.5843611822157602</v>
      </c>
      <c r="K52" s="99">
        <v>4635.5550383965101</v>
      </c>
      <c r="L52" s="99">
        <v>6</v>
      </c>
      <c r="M52" s="99">
        <v>3240</v>
      </c>
      <c r="N52" s="99">
        <v>8</v>
      </c>
      <c r="O52" s="99">
        <v>4320</v>
      </c>
      <c r="P52" s="99">
        <v>9</v>
      </c>
      <c r="Q52" s="99">
        <v>4860</v>
      </c>
      <c r="R52" s="99">
        <v>10.736353786129452</v>
      </c>
      <c r="S52" s="99">
        <v>5797.6310445099043</v>
      </c>
      <c r="T52" s="99">
        <v>9.2630604151763283</v>
      </c>
      <c r="U52" s="99">
        <v>5002.0526241952175</v>
      </c>
      <c r="V52" s="99">
        <v>10.161524749987651</v>
      </c>
      <c r="W52" s="99">
        <v>5487.2233649933314</v>
      </c>
      <c r="X52" s="99">
        <v>10.959066800544944</v>
      </c>
      <c r="Y52" s="99">
        <v>5917.8960722942702</v>
      </c>
      <c r="Z52" s="99">
        <v>7.7623982922364974</v>
      </c>
      <c r="AA52" s="99">
        <v>4191.6950778077089</v>
      </c>
      <c r="AB52" s="99">
        <v>7</v>
      </c>
      <c r="AC52" s="99">
        <v>3780</v>
      </c>
      <c r="AD52" s="99">
        <v>8.8566567688628126</v>
      </c>
      <c r="AE52" s="99">
        <v>4782.5946551859188</v>
      </c>
      <c r="AF52" s="99">
        <v>6.1202179285928064</v>
      </c>
      <c r="AG52" s="99">
        <v>3304.9176814401153</v>
      </c>
      <c r="AH52" s="99">
        <v>8.4110434089829358</v>
      </c>
      <c r="AI52" s="99">
        <v>4541.9634408507854</v>
      </c>
      <c r="AJ52" s="99">
        <v>7.9893896080895841</v>
      </c>
      <c r="AK52" s="99">
        <v>4314.2703883683753</v>
      </c>
      <c r="AL52" s="99">
        <v>6.6763814043179863</v>
      </c>
      <c r="AM52" s="99">
        <v>3605.2459583317127</v>
      </c>
      <c r="AN52" s="99">
        <v>1.4093074683763764</v>
      </c>
      <c r="AO52" s="99">
        <v>761.02603292324329</v>
      </c>
      <c r="AP52" s="99">
        <v>5.5105419283332138</v>
      </c>
      <c r="AQ52" s="99">
        <v>2975.6926412999355</v>
      </c>
      <c r="AR52" s="99">
        <v>11</v>
      </c>
      <c r="AS52" s="99">
        <v>5940</v>
      </c>
      <c r="AT52" s="99">
        <v>6</v>
      </c>
      <c r="AU52" s="99">
        <v>3240</v>
      </c>
      <c r="AV52" s="99">
        <v>8</v>
      </c>
      <c r="AW52" s="99">
        <v>4320</v>
      </c>
      <c r="AX52" s="99">
        <v>8.5904689880895457</v>
      </c>
      <c r="AY52" s="99">
        <v>4638.8532535683544</v>
      </c>
      <c r="AZ52" s="99">
        <v>6</v>
      </c>
      <c r="BA52" s="99">
        <v>3240</v>
      </c>
      <c r="BB52" s="99">
        <v>7.8074084541936362</v>
      </c>
      <c r="BC52" s="99">
        <v>4216.0005652645632</v>
      </c>
      <c r="BD52" s="99">
        <v>10</v>
      </c>
      <c r="BE52" s="99">
        <v>5400</v>
      </c>
      <c r="BF52" s="99">
        <v>9</v>
      </c>
      <c r="BG52" s="99">
        <v>4860</v>
      </c>
      <c r="BH52" s="99">
        <v>10.312802360323154</v>
      </c>
      <c r="BI52" s="99">
        <v>5568.9132745745028</v>
      </c>
      <c r="BJ52" s="99">
        <v>9.8325889157564408</v>
      </c>
      <c r="BK52" s="99">
        <v>5309.5980145084777</v>
      </c>
      <c r="BL52" s="99">
        <v>7</v>
      </c>
      <c r="BM52" s="99">
        <v>3780</v>
      </c>
      <c r="BN52" s="99">
        <v>8.322475768639336</v>
      </c>
      <c r="BO52" s="99">
        <v>4494.1369150652417</v>
      </c>
      <c r="BP52" s="99">
        <v>10.434029874315817</v>
      </c>
      <c r="BQ52" s="99">
        <v>5634.376132130541</v>
      </c>
      <c r="BR52" s="99">
        <v>6.0561854334038348</v>
      </c>
      <c r="BS52" s="99">
        <v>3270.3401340380706</v>
      </c>
      <c r="BT52" s="99">
        <v>1.8199021235977768</v>
      </c>
      <c r="BU52" s="99">
        <v>982.74714674279949</v>
      </c>
      <c r="BV52" s="99">
        <v>8.8372351501757702</v>
      </c>
      <c r="BW52" s="99">
        <v>4772.1069810949157</v>
      </c>
      <c r="BX52" s="99">
        <v>8</v>
      </c>
      <c r="BY52" s="99">
        <v>4320</v>
      </c>
      <c r="BZ52" s="99">
        <v>2.8133689323250537</v>
      </c>
      <c r="CA52" s="99">
        <v>1519.2192234555289</v>
      </c>
      <c r="CB52" s="99">
        <v>6.4790109968975633</v>
      </c>
      <c r="CC52" s="99">
        <v>3498.6659383246842</v>
      </c>
      <c r="CD52" s="99">
        <v>6.4778783079565834</v>
      </c>
      <c r="CE52" s="99">
        <v>3498.0542862965549</v>
      </c>
      <c r="CF52" s="99">
        <v>7</v>
      </c>
      <c r="CG52" s="99">
        <v>3780</v>
      </c>
      <c r="CH52" s="99">
        <v>9</v>
      </c>
      <c r="CI52" s="99">
        <v>4860</v>
      </c>
      <c r="CJ52" s="99">
        <v>6.8277741200136672</v>
      </c>
      <c r="CK52" s="99">
        <v>3686.9980248073803</v>
      </c>
      <c r="CL52" s="99">
        <v>1.199742742459561</v>
      </c>
      <c r="CM52" s="99">
        <v>647.86108092816301</v>
      </c>
      <c r="CN52" s="99">
        <v>7.7661429900756982</v>
      </c>
      <c r="CO52" s="99">
        <v>4193.7172146408766</v>
      </c>
      <c r="CP52" s="99">
        <v>2.9988127288063402</v>
      </c>
      <c r="CQ52" s="99">
        <v>1619.3588735554238</v>
      </c>
      <c r="CR52" s="99">
        <v>8.0342198024608518</v>
      </c>
      <c r="CS52" s="99">
        <v>4338.4786933288597</v>
      </c>
      <c r="CT52" s="99">
        <v>7.3158389424048638</v>
      </c>
      <c r="CU52" s="99">
        <v>3950.5530288986265</v>
      </c>
    </row>
    <row r="53" spans="2:99">
      <c r="C53" s="98" t="s">
        <v>219</v>
      </c>
      <c r="D53" s="99">
        <v>1.0191882154632603</v>
      </c>
      <c r="E53" s="99">
        <v>414.60576605045429</v>
      </c>
      <c r="F53" s="99">
        <v>6.560529281048912</v>
      </c>
      <c r="G53" s="99">
        <v>2668.8233115306975</v>
      </c>
      <c r="H53" s="99">
        <v>1.172501302133562</v>
      </c>
      <c r="I53" s="99">
        <v>476.97352970793304</v>
      </c>
      <c r="J53" s="99">
        <v>10.51131603443879</v>
      </c>
      <c r="K53" s="99">
        <v>4276.0033628096999</v>
      </c>
      <c r="L53" s="99">
        <v>6</v>
      </c>
      <c r="M53" s="99">
        <v>2440.8000000000002</v>
      </c>
      <c r="N53" s="99">
        <v>8</v>
      </c>
      <c r="O53" s="99">
        <v>3254.4</v>
      </c>
      <c r="P53" s="99">
        <v>9</v>
      </c>
      <c r="Q53" s="99">
        <v>3661.2000000000003</v>
      </c>
      <c r="R53" s="99">
        <v>9.7603216237540487</v>
      </c>
      <c r="S53" s="99">
        <v>3970.4988365431473</v>
      </c>
      <c r="T53" s="99">
        <v>9.2630604151763283</v>
      </c>
      <c r="U53" s="99">
        <v>3768.2129768937302</v>
      </c>
      <c r="V53" s="99">
        <v>10.161524749987651</v>
      </c>
      <c r="W53" s="99">
        <v>4133.7082682949767</v>
      </c>
      <c r="X53" s="99">
        <v>10.959066800544944</v>
      </c>
      <c r="Y53" s="99">
        <v>4458.1483744616835</v>
      </c>
      <c r="Z53" s="99">
        <v>8.7326980787660595</v>
      </c>
      <c r="AA53" s="99">
        <v>3552.461578442033</v>
      </c>
      <c r="AB53" s="99">
        <v>6</v>
      </c>
      <c r="AC53" s="99">
        <v>2440.8000000000002</v>
      </c>
      <c r="AD53" s="99">
        <v>8.8566567688628126</v>
      </c>
      <c r="AE53" s="99">
        <v>3602.8879735733922</v>
      </c>
      <c r="AF53" s="99">
        <v>7.1008862402327537</v>
      </c>
      <c r="AG53" s="99">
        <v>2888.6405225266844</v>
      </c>
      <c r="AH53" s="99">
        <v>9.300495882062954</v>
      </c>
      <c r="AI53" s="99">
        <v>3783.4417248232098</v>
      </c>
      <c r="AJ53" s="99">
        <v>7.9893896080895841</v>
      </c>
      <c r="AK53" s="99">
        <v>3250.0836925708427</v>
      </c>
      <c r="AL53" s="99">
        <v>6.5918337287782371</v>
      </c>
      <c r="AM53" s="99">
        <v>2681.5579608669868</v>
      </c>
      <c r="AN53" s="99">
        <v>1.4909897042674241</v>
      </c>
      <c r="AO53" s="99">
        <v>606.53461169598813</v>
      </c>
      <c r="AP53" s="99">
        <v>5.5105419283332138</v>
      </c>
      <c r="AQ53" s="99">
        <v>2241.6884564459515</v>
      </c>
      <c r="AR53" s="99">
        <v>11</v>
      </c>
      <c r="AS53" s="99">
        <v>4474.8</v>
      </c>
      <c r="AT53" s="99">
        <v>6</v>
      </c>
      <c r="AU53" s="99">
        <v>2440.8000000000002</v>
      </c>
      <c r="AV53" s="99">
        <v>9</v>
      </c>
      <c r="AW53" s="99">
        <v>3661.2000000000003</v>
      </c>
      <c r="AX53" s="99">
        <v>9.5449655423217177</v>
      </c>
      <c r="AY53" s="99">
        <v>3882.8919826164747</v>
      </c>
      <c r="AZ53" s="99">
        <v>7</v>
      </c>
      <c r="BA53" s="99">
        <v>2847.6</v>
      </c>
      <c r="BB53" s="99">
        <v>7.8074084541936362</v>
      </c>
      <c r="BC53" s="99">
        <v>3176.0537591659713</v>
      </c>
      <c r="BD53" s="99">
        <v>9</v>
      </c>
      <c r="BE53" s="99">
        <v>3661.2000000000003</v>
      </c>
      <c r="BF53" s="99">
        <v>9</v>
      </c>
      <c r="BG53" s="99">
        <v>3661.2000000000003</v>
      </c>
      <c r="BH53" s="99">
        <v>10.312802360323154</v>
      </c>
      <c r="BI53" s="99">
        <v>4195.2480001794593</v>
      </c>
      <c r="BJ53" s="99">
        <v>9.8325889157564408</v>
      </c>
      <c r="BK53" s="99">
        <v>3999.8971709297202</v>
      </c>
      <c r="BL53" s="99">
        <v>6</v>
      </c>
      <c r="BM53" s="99">
        <v>2440.8000000000002</v>
      </c>
      <c r="BN53" s="99">
        <v>9.141868341583935</v>
      </c>
      <c r="BO53" s="99">
        <v>3718.9120413563451</v>
      </c>
      <c r="BP53" s="99">
        <v>10.434029874315817</v>
      </c>
      <c r="BQ53" s="99">
        <v>4244.5633528716744</v>
      </c>
      <c r="BR53" s="99">
        <v>6.0561854334038348</v>
      </c>
      <c r="BS53" s="99">
        <v>2463.6562343086803</v>
      </c>
      <c r="BT53" s="99">
        <v>2.2407625835839404</v>
      </c>
      <c r="BU53" s="99">
        <v>911.54221900194705</v>
      </c>
      <c r="BV53" s="99">
        <v>8.0779638721194491</v>
      </c>
      <c r="BW53" s="99">
        <v>3286.1157031781918</v>
      </c>
      <c r="BX53" s="99">
        <v>8</v>
      </c>
      <c r="BY53" s="99">
        <v>3254.4</v>
      </c>
      <c r="BZ53" s="99">
        <v>3.1650400488656851</v>
      </c>
      <c r="CA53" s="99">
        <v>1287.5382918785608</v>
      </c>
      <c r="CB53" s="99">
        <v>5.658177557354465</v>
      </c>
      <c r="CC53" s="99">
        <v>2301.7466303317965</v>
      </c>
      <c r="CD53" s="99">
        <v>6.5734539695479004</v>
      </c>
      <c r="CE53" s="99">
        <v>2674.0810748120862</v>
      </c>
      <c r="CF53" s="99">
        <v>7</v>
      </c>
      <c r="CG53" s="99">
        <v>2847.6</v>
      </c>
      <c r="CH53" s="99">
        <v>10</v>
      </c>
      <c r="CI53" s="99">
        <v>4068</v>
      </c>
      <c r="CJ53" s="99">
        <v>6.8277741200136672</v>
      </c>
      <c r="CK53" s="99">
        <v>2777.5385120215601</v>
      </c>
      <c r="CL53" s="99">
        <v>1.3099628187237824</v>
      </c>
      <c r="CM53" s="99">
        <v>532.89287465683469</v>
      </c>
      <c r="CN53" s="99">
        <v>7.7661429900756982</v>
      </c>
      <c r="CO53" s="99">
        <v>3159.2669683627942</v>
      </c>
      <c r="CP53" s="99">
        <v>2.9988127288063402</v>
      </c>
      <c r="CQ53" s="99">
        <v>1219.9170180784192</v>
      </c>
      <c r="CR53" s="99">
        <v>8.1099327051410732</v>
      </c>
      <c r="CS53" s="99">
        <v>3299.1206244513887</v>
      </c>
      <c r="CT53" s="99">
        <v>8.3158389424048629</v>
      </c>
      <c r="CU53" s="99">
        <v>3382.8832817702983</v>
      </c>
    </row>
    <row r="54" spans="2:99">
      <c r="C54" s="98" t="s">
        <v>220</v>
      </c>
      <c r="D54" s="99">
        <v>1.029609105621526</v>
      </c>
      <c r="E54" s="99">
        <v>344.71312856208692</v>
      </c>
      <c r="F54" s="99">
        <v>7.8142141454884655</v>
      </c>
      <c r="G54" s="99">
        <v>2616.1988959095384</v>
      </c>
      <c r="H54" s="99">
        <v>1.048479208599139</v>
      </c>
      <c r="I54" s="99">
        <v>351.03083903899176</v>
      </c>
      <c r="J54" s="99">
        <v>9.5113160344387904</v>
      </c>
      <c r="K54" s="99">
        <v>3184.3886083301072</v>
      </c>
      <c r="L54" s="99">
        <v>7</v>
      </c>
      <c r="M54" s="99">
        <v>2343.6</v>
      </c>
      <c r="N54" s="99">
        <v>7</v>
      </c>
      <c r="O54" s="99">
        <v>2343.6</v>
      </c>
      <c r="P54" s="99">
        <v>9</v>
      </c>
      <c r="Q54" s="99">
        <v>3013.2000000000003</v>
      </c>
      <c r="R54" s="99">
        <v>9.7603216237540487</v>
      </c>
      <c r="S54" s="99">
        <v>3267.7556796328554</v>
      </c>
      <c r="T54" s="99">
        <v>9.2630604151763283</v>
      </c>
      <c r="U54" s="99">
        <v>3101.2726270010348</v>
      </c>
      <c r="V54" s="99">
        <v>10.161524749987651</v>
      </c>
      <c r="W54" s="99">
        <v>3402.0784862958653</v>
      </c>
      <c r="X54" s="99">
        <v>10.959066800544944</v>
      </c>
      <c r="Y54" s="99">
        <v>3669.0955648224476</v>
      </c>
      <c r="Z54" s="99">
        <v>8.7326980787660595</v>
      </c>
      <c r="AA54" s="99">
        <v>2923.7073167708768</v>
      </c>
      <c r="AB54" s="99">
        <v>7</v>
      </c>
      <c r="AC54" s="99">
        <v>2343.6</v>
      </c>
      <c r="AD54" s="99">
        <v>9.8407297431809031</v>
      </c>
      <c r="AE54" s="99">
        <v>3294.6763180169664</v>
      </c>
      <c r="AF54" s="99">
        <v>7.1008862402327537</v>
      </c>
      <c r="AG54" s="99">
        <v>2377.3767132299258</v>
      </c>
      <c r="AH54" s="99">
        <v>8.4110434089829358</v>
      </c>
      <c r="AI54" s="99">
        <v>2816.017333327487</v>
      </c>
      <c r="AJ54" s="99">
        <v>7.1016796516351848</v>
      </c>
      <c r="AK54" s="99">
        <v>2377.6423473674599</v>
      </c>
      <c r="AL54" s="99">
        <v>7.6763814043179863</v>
      </c>
      <c r="AM54" s="99">
        <v>2570.0524941656618</v>
      </c>
      <c r="AN54" s="99">
        <v>1.5658971870848628</v>
      </c>
      <c r="AO54" s="99">
        <v>524.26237823601207</v>
      </c>
      <c r="AP54" s="99">
        <v>6.5105419283332138</v>
      </c>
      <c r="AQ54" s="99">
        <v>2179.7294376059599</v>
      </c>
      <c r="AR54" s="99">
        <v>11</v>
      </c>
      <c r="AS54" s="99">
        <v>3682.8</v>
      </c>
      <c r="AT54" s="99">
        <v>6</v>
      </c>
      <c r="AU54" s="99">
        <v>2008.8000000000002</v>
      </c>
      <c r="AV54" s="99">
        <v>8</v>
      </c>
      <c r="AW54" s="99">
        <v>2678.4</v>
      </c>
      <c r="AX54" s="99">
        <v>9.5449655423217177</v>
      </c>
      <c r="AY54" s="99">
        <v>3195.6544635693112</v>
      </c>
      <c r="AZ54" s="99">
        <v>7</v>
      </c>
      <c r="BA54" s="99">
        <v>2343.6</v>
      </c>
      <c r="BB54" s="99">
        <v>7.8074084541936362</v>
      </c>
      <c r="BC54" s="99">
        <v>2613.9203504640295</v>
      </c>
      <c r="BD54" s="99">
        <v>10</v>
      </c>
      <c r="BE54" s="99">
        <v>3348</v>
      </c>
      <c r="BF54" s="99">
        <v>9</v>
      </c>
      <c r="BG54" s="99">
        <v>3013.2000000000003</v>
      </c>
      <c r="BH54" s="99">
        <v>10.312802360323154</v>
      </c>
      <c r="BI54" s="99">
        <v>3452.7262302361919</v>
      </c>
      <c r="BJ54" s="99">
        <v>10.743565743806204</v>
      </c>
      <c r="BK54" s="99">
        <v>3596.9458110263172</v>
      </c>
      <c r="BL54" s="99">
        <v>6</v>
      </c>
      <c r="BM54" s="99">
        <v>2008.8000000000002</v>
      </c>
      <c r="BN54" s="99">
        <v>8.212017319571677</v>
      </c>
      <c r="BO54" s="99">
        <v>2749.3833985925976</v>
      </c>
      <c r="BP54" s="99">
        <v>10.434029874315817</v>
      </c>
      <c r="BQ54" s="99">
        <v>3493.3132019209356</v>
      </c>
      <c r="BR54" s="99">
        <v>6.0561854334038348</v>
      </c>
      <c r="BS54" s="99">
        <v>2027.610883103604</v>
      </c>
      <c r="BT54" s="99">
        <v>2.2134705268533161</v>
      </c>
      <c r="BU54" s="99">
        <v>741.06993239049029</v>
      </c>
      <c r="BV54" s="99">
        <v>10.58912565059077</v>
      </c>
      <c r="BW54" s="99">
        <v>3545.2392678177898</v>
      </c>
      <c r="BX54" s="99">
        <v>9</v>
      </c>
      <c r="BY54" s="99">
        <v>3013.2000000000003</v>
      </c>
      <c r="BZ54" s="99">
        <v>3.1650400488656851</v>
      </c>
      <c r="CA54" s="99">
        <v>1059.6554083602314</v>
      </c>
      <c r="CB54" s="99">
        <v>6.4790109968975633</v>
      </c>
      <c r="CC54" s="99">
        <v>2169.1728817613043</v>
      </c>
      <c r="CD54" s="99">
        <v>7.5734539695479004</v>
      </c>
      <c r="CE54" s="99">
        <v>2535.592389004637</v>
      </c>
      <c r="CF54" s="99">
        <v>8</v>
      </c>
      <c r="CG54" s="99">
        <v>2678.4</v>
      </c>
      <c r="CH54" s="99">
        <v>11</v>
      </c>
      <c r="CI54" s="99">
        <v>3682.8</v>
      </c>
      <c r="CJ54" s="99">
        <v>6.8277741200136672</v>
      </c>
      <c r="CK54" s="99">
        <v>2285.9387753805759</v>
      </c>
      <c r="CL54" s="99">
        <v>1.3099628187237824</v>
      </c>
      <c r="CM54" s="99">
        <v>438.57555170872234</v>
      </c>
      <c r="CN54" s="99">
        <v>6.9193715880908382</v>
      </c>
      <c r="CO54" s="99">
        <v>2316.6056076928126</v>
      </c>
      <c r="CP54" s="99">
        <v>2.9988127288063402</v>
      </c>
      <c r="CQ54" s="99">
        <v>1004.0025016043627</v>
      </c>
      <c r="CR54" s="99">
        <v>8.1099327051410732</v>
      </c>
      <c r="CS54" s="99">
        <v>2715.2054696812315</v>
      </c>
      <c r="CT54" s="99">
        <v>8.16963461547099</v>
      </c>
      <c r="CU54" s="99">
        <v>2735.1936692596873</v>
      </c>
    </row>
    <row r="55" spans="2:99">
      <c r="C55" s="98" t="s">
        <v>221</v>
      </c>
      <c r="D55" s="99">
        <v>1.0191882154632603</v>
      </c>
      <c r="E55" s="99">
        <v>676.33329978141956</v>
      </c>
      <c r="F55" s="99">
        <v>6.560529281048912</v>
      </c>
      <c r="G55" s="99">
        <v>4353.5672309040583</v>
      </c>
      <c r="H55" s="99">
        <v>0.94138702336738289</v>
      </c>
      <c r="I55" s="99">
        <v>624.70442870659531</v>
      </c>
      <c r="J55" s="99">
        <v>8.5843611822157602</v>
      </c>
      <c r="K55" s="99">
        <v>5696.5820805183785</v>
      </c>
      <c r="L55" s="99">
        <v>7</v>
      </c>
      <c r="M55" s="99">
        <v>4645.2</v>
      </c>
      <c r="N55" s="99">
        <v>7</v>
      </c>
      <c r="O55" s="99">
        <v>4645.2</v>
      </c>
      <c r="P55" s="99">
        <v>9</v>
      </c>
      <c r="Q55" s="99">
        <v>5972.4000000000005</v>
      </c>
      <c r="R55" s="99">
        <v>10.736353786129452</v>
      </c>
      <c r="S55" s="99">
        <v>7124.6443724755045</v>
      </c>
      <c r="T55" s="99">
        <v>9.2630604151763283</v>
      </c>
      <c r="U55" s="99">
        <v>6146.9668915110115</v>
      </c>
      <c r="V55" s="99">
        <v>9.3147310208220127</v>
      </c>
      <c r="W55" s="99">
        <v>6181.2555054174882</v>
      </c>
      <c r="X55" s="99">
        <v>8.9665092004458629</v>
      </c>
      <c r="Y55" s="99">
        <v>5950.1755054158748</v>
      </c>
      <c r="Z55" s="99">
        <v>8.7326980787660595</v>
      </c>
      <c r="AA55" s="99">
        <v>5795.0184450691577</v>
      </c>
      <c r="AB55" s="99">
        <v>7</v>
      </c>
      <c r="AC55" s="99">
        <v>4645.2</v>
      </c>
      <c r="AD55" s="99">
        <v>8.8566567688628126</v>
      </c>
      <c r="AE55" s="99">
        <v>5877.2774318173624</v>
      </c>
      <c r="AF55" s="99">
        <v>6.1202179285928064</v>
      </c>
      <c r="AG55" s="99">
        <v>4061.3766174141865</v>
      </c>
      <c r="AH55" s="99">
        <v>8.4110434089829358</v>
      </c>
      <c r="AI55" s="99">
        <v>5581.568406201076</v>
      </c>
      <c r="AJ55" s="99">
        <v>7.1016796516351848</v>
      </c>
      <c r="AK55" s="99">
        <v>4712.6746168251084</v>
      </c>
      <c r="AL55" s="99">
        <v>6.5918337287782371</v>
      </c>
      <c r="AM55" s="99">
        <v>4374.340862417238</v>
      </c>
      <c r="AN55" s="99">
        <v>1.657789702462291</v>
      </c>
      <c r="AO55" s="99">
        <v>1100.1092465539764</v>
      </c>
      <c r="AP55" s="99">
        <v>6.5105419283332138</v>
      </c>
      <c r="AQ55" s="99">
        <v>4320.3956236419208</v>
      </c>
      <c r="AR55" s="99">
        <v>12</v>
      </c>
      <c r="AS55" s="99">
        <v>7963.2000000000007</v>
      </c>
      <c r="AT55" s="99">
        <v>6</v>
      </c>
      <c r="AU55" s="99">
        <v>3981.6000000000004</v>
      </c>
      <c r="AV55" s="99">
        <v>9</v>
      </c>
      <c r="AW55" s="99">
        <v>5972.4000000000005</v>
      </c>
      <c r="AX55" s="99">
        <v>8.5904689880895457</v>
      </c>
      <c r="AY55" s="99">
        <v>5700.6352204962232</v>
      </c>
      <c r="AZ55" s="99">
        <v>7</v>
      </c>
      <c r="BA55" s="99">
        <v>4645.2</v>
      </c>
      <c r="BB55" s="99">
        <v>6.831482397419431</v>
      </c>
      <c r="BC55" s="99">
        <v>4533.3717189275349</v>
      </c>
      <c r="BD55" s="99">
        <v>9</v>
      </c>
      <c r="BE55" s="99">
        <v>5972.4000000000005</v>
      </c>
      <c r="BF55" s="99">
        <v>8</v>
      </c>
      <c r="BG55" s="99">
        <v>5308.8</v>
      </c>
      <c r="BH55" s="99">
        <v>9.3752748730210484</v>
      </c>
      <c r="BI55" s="99">
        <v>6221.4324057367676</v>
      </c>
      <c r="BJ55" s="99">
        <v>9.8702201543146391</v>
      </c>
      <c r="BK55" s="99">
        <v>6549.8780944031951</v>
      </c>
      <c r="BL55" s="99">
        <v>6.524550477313765</v>
      </c>
      <c r="BM55" s="99">
        <v>4329.6916967454144</v>
      </c>
      <c r="BN55" s="99">
        <v>8.212017319571677</v>
      </c>
      <c r="BO55" s="99">
        <v>5449.4946932677649</v>
      </c>
      <c r="BP55" s="99">
        <v>9.4854817039234707</v>
      </c>
      <c r="BQ55" s="99">
        <v>6294.5656587236153</v>
      </c>
      <c r="BR55" s="99">
        <v>6.0561854334038348</v>
      </c>
      <c r="BS55" s="99">
        <v>4018.8846536067849</v>
      </c>
      <c r="BT55" s="99">
        <v>2.0439783819561708</v>
      </c>
      <c r="BU55" s="99">
        <v>1356.3840542661151</v>
      </c>
      <c r="BV55" s="99">
        <v>8.9928004463773412</v>
      </c>
      <c r="BW55" s="99">
        <v>5967.6223762160034</v>
      </c>
      <c r="BX55" s="99">
        <v>9</v>
      </c>
      <c r="BY55" s="99">
        <v>5972.4000000000005</v>
      </c>
      <c r="BZ55" s="99">
        <v>3.3285288003739035</v>
      </c>
      <c r="CA55" s="99">
        <v>2208.8117119281223</v>
      </c>
      <c r="CB55" s="99">
        <v>5.6621911386091988</v>
      </c>
      <c r="CC55" s="99">
        <v>3757.4300395810646</v>
      </c>
      <c r="CD55" s="99">
        <v>6.5734539695479004</v>
      </c>
      <c r="CE55" s="99">
        <v>4362.1440541919865</v>
      </c>
      <c r="CF55" s="99">
        <v>7</v>
      </c>
      <c r="CG55" s="99">
        <v>4645.2</v>
      </c>
      <c r="CH55" s="99">
        <v>10</v>
      </c>
      <c r="CI55" s="99">
        <v>6636</v>
      </c>
      <c r="CJ55" s="99">
        <v>6.8277741200136672</v>
      </c>
      <c r="CK55" s="99">
        <v>4530.9109060410701</v>
      </c>
      <c r="CL55" s="99">
        <v>1.2060817906829995</v>
      </c>
      <c r="CM55" s="99">
        <v>800.35587629723852</v>
      </c>
      <c r="CN55" s="99">
        <v>6.7661429900756982</v>
      </c>
      <c r="CO55" s="99">
        <v>4490.0124882142336</v>
      </c>
      <c r="CP55" s="99">
        <v>2.9988127288063402</v>
      </c>
      <c r="CQ55" s="99">
        <v>1990.0121268358873</v>
      </c>
      <c r="CR55" s="99">
        <v>7.3519384665031229</v>
      </c>
      <c r="CS55" s="99">
        <v>4878.7463663714725</v>
      </c>
      <c r="CT55" s="99">
        <v>7.16963461547099</v>
      </c>
      <c r="CU55" s="99">
        <v>4757.7695308265493</v>
      </c>
    </row>
    <row r="56" spans="2:99">
      <c r="C56" s="98" t="s">
        <v>222</v>
      </c>
      <c r="D56" s="99">
        <v>0.79679089949773529</v>
      </c>
      <c r="E56" s="99">
        <v>782.12994694697693</v>
      </c>
      <c r="F56" s="99">
        <v>5.691571667409983</v>
      </c>
      <c r="G56" s="99">
        <v>5586.8467487296384</v>
      </c>
      <c r="H56" s="99">
        <v>5.6208882703633831</v>
      </c>
      <c r="I56" s="99">
        <v>5517.463926188696</v>
      </c>
      <c r="J56" s="99">
        <v>8.8287560746225555</v>
      </c>
      <c r="K56" s="99">
        <v>8666.3069628494995</v>
      </c>
      <c r="L56" s="99">
        <v>5.6900024468704853</v>
      </c>
      <c r="M56" s="99">
        <v>5585.3064018480682</v>
      </c>
      <c r="N56" s="99">
        <v>5.1059502441658751</v>
      </c>
      <c r="O56" s="99">
        <v>5012.0007596732221</v>
      </c>
      <c r="P56" s="99">
        <v>4.5403082956120029</v>
      </c>
      <c r="Q56" s="99">
        <v>4456.766622972742</v>
      </c>
      <c r="R56" s="99">
        <v>11.188359148019757</v>
      </c>
      <c r="S56" s="99">
        <v>10982.493339696191</v>
      </c>
      <c r="T56" s="99">
        <v>6.3809598248354344</v>
      </c>
      <c r="U56" s="99">
        <v>6263.5501640584616</v>
      </c>
      <c r="V56" s="99">
        <v>6.008294967738248</v>
      </c>
      <c r="W56" s="99">
        <v>5897.7423403318635</v>
      </c>
      <c r="X56" s="99">
        <v>8.5379260202511205</v>
      </c>
      <c r="Y56" s="99">
        <v>8380.8281814784987</v>
      </c>
      <c r="Z56" s="99">
        <v>6.3027985857145277</v>
      </c>
      <c r="AA56" s="99">
        <v>6186.8270917373802</v>
      </c>
      <c r="AB56" s="99">
        <v>4.5988135666861263</v>
      </c>
      <c r="AC56" s="99">
        <v>4514.1953970591012</v>
      </c>
      <c r="AD56" s="99">
        <v>6.5521459201112933</v>
      </c>
      <c r="AE56" s="99">
        <v>6431.5864351812452</v>
      </c>
      <c r="AF56" s="99">
        <v>4.2972257976005164</v>
      </c>
      <c r="AG56" s="99">
        <v>4218.1568429246663</v>
      </c>
      <c r="AH56" s="99">
        <v>6.8464450864826913</v>
      </c>
      <c r="AI56" s="99">
        <v>6720.4704968914093</v>
      </c>
      <c r="AJ56" s="99">
        <v>8.2488613725689497</v>
      </c>
      <c r="AK56" s="99">
        <v>8097.0823233136807</v>
      </c>
      <c r="AL56" s="99">
        <v>4.5690413115578217</v>
      </c>
      <c r="AM56" s="99">
        <v>4484.9709514251572</v>
      </c>
      <c r="AN56" s="99">
        <v>7.0306788352708969</v>
      </c>
      <c r="AO56" s="99">
        <v>6901.314344701912</v>
      </c>
      <c r="AP56" s="99">
        <v>4.993009419009387</v>
      </c>
      <c r="AQ56" s="99">
        <v>4901.1380456996139</v>
      </c>
      <c r="AR56" s="99">
        <v>5.1141413453976288</v>
      </c>
      <c r="AS56" s="99">
        <v>5020.0411446423122</v>
      </c>
      <c r="AT56" s="99">
        <v>6.5769925280700443</v>
      </c>
      <c r="AU56" s="99">
        <v>6455.9758655535552</v>
      </c>
      <c r="AV56" s="99">
        <v>7.7575867379714101</v>
      </c>
      <c r="AW56" s="99">
        <v>7614.8471419927355</v>
      </c>
      <c r="AX56" s="99">
        <v>6.9602832434442394</v>
      </c>
      <c r="AY56" s="99">
        <v>6832.2140317648646</v>
      </c>
      <c r="AZ56" s="99">
        <v>3.6855954438828262</v>
      </c>
      <c r="BA56" s="99">
        <v>3617.7804877153817</v>
      </c>
      <c r="BB56" s="99">
        <v>5.653894176906511</v>
      </c>
      <c r="BC56" s="99">
        <v>5549.8625240514302</v>
      </c>
      <c r="BD56" s="99">
        <v>7.527789738536101</v>
      </c>
      <c r="BE56" s="99">
        <v>7389.2784073470357</v>
      </c>
      <c r="BF56" s="99">
        <v>4.4761139236993506</v>
      </c>
      <c r="BG56" s="99">
        <v>4393.7534275032822</v>
      </c>
      <c r="BH56" s="99">
        <v>9.6006803818032527</v>
      </c>
      <c r="BI56" s="99">
        <v>9424.0278627780717</v>
      </c>
      <c r="BJ56" s="99">
        <v>9.7076903313051552</v>
      </c>
      <c r="BK56" s="99">
        <v>9529.0688292091399</v>
      </c>
      <c r="BL56" s="99">
        <v>4.2955821165340806</v>
      </c>
      <c r="BM56" s="99">
        <v>4216.5434055898531</v>
      </c>
      <c r="BN56" s="99">
        <v>7.3349559742734387</v>
      </c>
      <c r="BO56" s="99">
        <v>7199.9927843468067</v>
      </c>
      <c r="BP56" s="99">
        <v>3.0068584555565261</v>
      </c>
      <c r="BQ56" s="99">
        <v>2951.5322599742858</v>
      </c>
      <c r="BR56" s="99">
        <v>4.149002640310492</v>
      </c>
      <c r="BS56" s="99">
        <v>4072.6609917287788</v>
      </c>
      <c r="BT56" s="99">
        <v>6.0307584833571726</v>
      </c>
      <c r="BU56" s="99">
        <v>5919.7925272634002</v>
      </c>
      <c r="BV56" s="99">
        <v>8.6335719990852411</v>
      </c>
      <c r="BW56" s="99">
        <v>8474.7142743020722</v>
      </c>
      <c r="BX56" s="99">
        <v>2.8248439249184889</v>
      </c>
      <c r="BY56" s="99">
        <v>2772.8667966999883</v>
      </c>
      <c r="BZ56" s="99">
        <v>6.0951760680417983</v>
      </c>
      <c r="CA56" s="99">
        <v>5983.0248283898291</v>
      </c>
      <c r="CB56" s="99">
        <v>4.739392732528847</v>
      </c>
      <c r="CC56" s="99">
        <v>4652.1879062503158</v>
      </c>
      <c r="CD56" s="99">
        <v>5.8350755387496269</v>
      </c>
      <c r="CE56" s="99">
        <v>5727.7101488366334</v>
      </c>
      <c r="CF56" s="99">
        <v>4.7394460672430343</v>
      </c>
      <c r="CG56" s="99">
        <v>4652.2402596057618</v>
      </c>
      <c r="CH56" s="99">
        <v>6.217861828608811</v>
      </c>
      <c r="CI56" s="99">
        <v>6103.453170962408</v>
      </c>
      <c r="CJ56" s="99">
        <v>5.5748645073466836</v>
      </c>
      <c r="CK56" s="99">
        <v>5472.2870004115039</v>
      </c>
      <c r="CL56" s="99">
        <v>6.9280711696349107</v>
      </c>
      <c r="CM56" s="99">
        <v>6800.5946601136275</v>
      </c>
      <c r="CN56" s="99">
        <v>5.6374675180112135</v>
      </c>
      <c r="CO56" s="99">
        <v>5533.7381156798065</v>
      </c>
      <c r="CP56" s="99">
        <v>8.2645540445438108</v>
      </c>
      <c r="CQ56" s="99">
        <v>8112.4862501242042</v>
      </c>
      <c r="CR56" s="99">
        <v>3.8059681161642174</v>
      </c>
      <c r="CS56" s="99">
        <v>3735.9383028267953</v>
      </c>
      <c r="CT56" s="99">
        <v>6.4986129467972766</v>
      </c>
      <c r="CU56" s="99">
        <v>6379.0384685762065</v>
      </c>
    </row>
    <row r="57" spans="2:99">
      <c r="C57" s="98" t="s">
        <v>223</v>
      </c>
      <c r="D57" s="99">
        <v>1.0191882154632603</v>
      </c>
      <c r="E57" s="99">
        <v>1438.2784096617531</v>
      </c>
      <c r="F57" s="99">
        <v>6.560529281048912</v>
      </c>
      <c r="G57" s="99">
        <v>9258.2189214162245</v>
      </c>
      <c r="H57" s="99">
        <v>1.0654091169018061</v>
      </c>
      <c r="I57" s="99">
        <v>1503.5053457718288</v>
      </c>
      <c r="J57" s="99">
        <v>7.4382708866618197</v>
      </c>
      <c r="K57" s="99">
        <v>10496.88787525716</v>
      </c>
      <c r="L57" s="99">
        <v>6</v>
      </c>
      <c r="M57" s="99">
        <v>8467.2000000000007</v>
      </c>
      <c r="N57" s="99">
        <v>8</v>
      </c>
      <c r="O57" s="99">
        <v>11289.6</v>
      </c>
      <c r="P57" s="99">
        <v>9</v>
      </c>
      <c r="Q57" s="99">
        <v>12700.800000000001</v>
      </c>
      <c r="R57" s="99">
        <v>8.7842894613786449</v>
      </c>
      <c r="S57" s="99">
        <v>12396.389287897544</v>
      </c>
      <c r="T57" s="99">
        <v>8.336754373658696</v>
      </c>
      <c r="U57" s="99">
        <v>11764.827772107152</v>
      </c>
      <c r="V57" s="99">
        <v>9.3147310208220127</v>
      </c>
      <c r="W57" s="99">
        <v>13144.948416584024</v>
      </c>
      <c r="X57" s="99">
        <v>9.9627880004954044</v>
      </c>
      <c r="Y57" s="99">
        <v>14059.486426299116</v>
      </c>
      <c r="Z57" s="99">
        <v>7.7623982922364974</v>
      </c>
      <c r="AA57" s="99">
        <v>10954.296470004145</v>
      </c>
      <c r="AB57" s="99">
        <v>6</v>
      </c>
      <c r="AC57" s="99">
        <v>8467.2000000000007</v>
      </c>
      <c r="AD57" s="99">
        <v>7.8725837945447221</v>
      </c>
      <c r="AE57" s="99">
        <v>11109.790250861512</v>
      </c>
      <c r="AF57" s="99">
        <v>5.1395496169528592</v>
      </c>
      <c r="AG57" s="99">
        <v>7252.932419443875</v>
      </c>
      <c r="AH57" s="99">
        <v>7.5215909359029176</v>
      </c>
      <c r="AI57" s="99">
        <v>10614.469128746197</v>
      </c>
      <c r="AJ57" s="99">
        <v>7.1016796516351848</v>
      </c>
      <c r="AK57" s="99">
        <v>10021.890324387574</v>
      </c>
      <c r="AL57" s="99">
        <v>6</v>
      </c>
      <c r="AM57" s="99">
        <v>8467.2000000000007</v>
      </c>
      <c r="AN57" s="99">
        <v>1.4807794247810431</v>
      </c>
      <c r="AO57" s="99">
        <v>2089.6759242510079</v>
      </c>
      <c r="AP57" s="99">
        <v>6.5105419283332138</v>
      </c>
      <c r="AQ57" s="99">
        <v>9187.6767692638314</v>
      </c>
      <c r="AR57" s="99">
        <v>9</v>
      </c>
      <c r="AS57" s="99">
        <v>12700.800000000001</v>
      </c>
      <c r="AT57" s="99">
        <v>5</v>
      </c>
      <c r="AU57" s="99">
        <v>7056</v>
      </c>
      <c r="AV57" s="99">
        <v>8</v>
      </c>
      <c r="AW57" s="99">
        <v>11289.6</v>
      </c>
      <c r="AX57" s="99">
        <v>8.5904689880895457</v>
      </c>
      <c r="AY57" s="99">
        <v>12122.869835991967</v>
      </c>
      <c r="AZ57" s="99">
        <v>6</v>
      </c>
      <c r="BA57" s="99">
        <v>8467.2000000000007</v>
      </c>
      <c r="BB57" s="99">
        <v>7.8074084541936362</v>
      </c>
      <c r="BC57" s="99">
        <v>11017.81481055806</v>
      </c>
      <c r="BD57" s="99">
        <v>8</v>
      </c>
      <c r="BE57" s="99">
        <v>11289.6</v>
      </c>
      <c r="BF57" s="99">
        <v>7</v>
      </c>
      <c r="BG57" s="99">
        <v>9878.4</v>
      </c>
      <c r="BH57" s="99">
        <v>9.3752748730210484</v>
      </c>
      <c r="BI57" s="99">
        <v>13230.387900807304</v>
      </c>
      <c r="BJ57" s="99">
        <v>8.0858977367733065</v>
      </c>
      <c r="BK57" s="99">
        <v>11410.81888613449</v>
      </c>
      <c r="BL57" s="99">
        <v>5</v>
      </c>
      <c r="BM57" s="99">
        <v>7056</v>
      </c>
      <c r="BN57" s="99">
        <v>8.101558870504018</v>
      </c>
      <c r="BO57" s="99">
        <v>11432.919878055271</v>
      </c>
      <c r="BP57" s="99">
        <v>8.5369335335311227</v>
      </c>
      <c r="BQ57" s="99">
        <v>12047.320602519121</v>
      </c>
      <c r="BR57" s="99">
        <v>5.1347140242115623</v>
      </c>
      <c r="BS57" s="99">
        <v>7246.108430967357</v>
      </c>
      <c r="BT57" s="99">
        <v>1.7926100668671525</v>
      </c>
      <c r="BU57" s="99">
        <v>2529.7313263629258</v>
      </c>
      <c r="BV57" s="99">
        <v>8.0779638721194491</v>
      </c>
      <c r="BW57" s="99">
        <v>11399.622616334967</v>
      </c>
      <c r="BX57" s="99">
        <v>8.9957384699985834</v>
      </c>
      <c r="BY57" s="99">
        <v>12694.786128862001</v>
      </c>
      <c r="BZ57" s="99">
        <v>3.3136661866004293</v>
      </c>
      <c r="CA57" s="99">
        <v>4676.2457225305261</v>
      </c>
      <c r="CB57" s="99">
        <v>5.6541639760997304</v>
      </c>
      <c r="CC57" s="99">
        <v>7979.1562030719397</v>
      </c>
      <c r="CD57" s="99">
        <v>6.4778783079565834</v>
      </c>
      <c r="CE57" s="99">
        <v>9141.5818681883302</v>
      </c>
      <c r="CF57" s="99">
        <v>7</v>
      </c>
      <c r="CG57" s="99">
        <v>9878.4</v>
      </c>
      <c r="CH57" s="99">
        <v>9</v>
      </c>
      <c r="CI57" s="99">
        <v>12700.800000000001</v>
      </c>
      <c r="CJ57" s="99">
        <v>5.8523778171545731</v>
      </c>
      <c r="CK57" s="99">
        <v>8258.8755755685343</v>
      </c>
      <c r="CL57" s="99">
        <v>1.2029122665712799</v>
      </c>
      <c r="CM57" s="99">
        <v>1697.5497905853904</v>
      </c>
      <c r="CN57" s="99">
        <v>6.7661429900756982</v>
      </c>
      <c r="CO57" s="99">
        <v>9548.3809875948264</v>
      </c>
      <c r="CP57" s="99">
        <v>2.6656113144945244</v>
      </c>
      <c r="CQ57" s="99">
        <v>3761.7106870146731</v>
      </c>
      <c r="CR57" s="99">
        <v>6.5182313251849493</v>
      </c>
      <c r="CS57" s="99">
        <v>9198.5280461010007</v>
      </c>
      <c r="CT57" s="99">
        <v>7.0234302885371163</v>
      </c>
      <c r="CU57" s="99">
        <v>9911.4648231835781</v>
      </c>
    </row>
    <row r="58" spans="2:99">
      <c r="C58" s="98" t="s">
        <v>224</v>
      </c>
      <c r="D58" s="99">
        <v>0.688169742694975</v>
      </c>
      <c r="E58" s="99">
        <v>810.11342110052465</v>
      </c>
      <c r="F58" s="99">
        <v>7.1375896729986756</v>
      </c>
      <c r="G58" s="99">
        <v>8402.3705630540408</v>
      </c>
      <c r="H58" s="99">
        <v>1.5779894192663255</v>
      </c>
      <c r="I58" s="99">
        <v>1857.6091443603184</v>
      </c>
      <c r="J58" s="99">
        <v>1.7197318669479151</v>
      </c>
      <c r="K58" s="99">
        <v>2024.4683537710857</v>
      </c>
      <c r="L58" s="99">
        <v>6.680975227210789</v>
      </c>
      <c r="M58" s="99">
        <v>7864.8440374725415</v>
      </c>
      <c r="N58" s="99">
        <v>8</v>
      </c>
      <c r="O58" s="99">
        <v>9417.6</v>
      </c>
      <c r="P58" s="99">
        <v>9</v>
      </c>
      <c r="Q58" s="99">
        <v>10594.800000000001</v>
      </c>
      <c r="R58" s="99">
        <v>10</v>
      </c>
      <c r="S58" s="99">
        <v>11772</v>
      </c>
      <c r="T58" s="99">
        <v>9</v>
      </c>
      <c r="U58" s="99">
        <v>10594.800000000001</v>
      </c>
      <c r="V58" s="99">
        <v>10</v>
      </c>
      <c r="W58" s="99">
        <v>11772</v>
      </c>
      <c r="X58" s="99">
        <v>10</v>
      </c>
      <c r="Y58" s="99">
        <v>11772</v>
      </c>
      <c r="Z58" s="99">
        <v>8.3526749586536972</v>
      </c>
      <c r="AA58" s="99">
        <v>9832.7689613271323</v>
      </c>
      <c r="AB58" s="99">
        <v>2.2891135042940967</v>
      </c>
      <c r="AC58" s="99">
        <v>2694.7444172550108</v>
      </c>
      <c r="AD58" s="99">
        <v>9</v>
      </c>
      <c r="AE58" s="99">
        <v>10594.800000000001</v>
      </c>
      <c r="AF58" s="99">
        <v>7</v>
      </c>
      <c r="AG58" s="99">
        <v>8240.4</v>
      </c>
      <c r="AH58" s="99">
        <v>9</v>
      </c>
      <c r="AI58" s="99">
        <v>10594.800000000001</v>
      </c>
      <c r="AJ58" s="99">
        <v>8</v>
      </c>
      <c r="AK58" s="99">
        <v>9417.6</v>
      </c>
      <c r="AL58" s="99">
        <v>6.2379359432933281</v>
      </c>
      <c r="AM58" s="99">
        <v>7343.2981924449059</v>
      </c>
      <c r="AN58" s="99">
        <v>9.0308224517679179</v>
      </c>
      <c r="AO58" s="99">
        <v>10631.084190221194</v>
      </c>
      <c r="AP58" s="99">
        <v>5</v>
      </c>
      <c r="AQ58" s="99">
        <v>5886</v>
      </c>
      <c r="AR58" s="99">
        <v>6.7809579653731298</v>
      </c>
      <c r="AS58" s="99">
        <v>7982.5437168372491</v>
      </c>
      <c r="AT58" s="99">
        <v>5</v>
      </c>
      <c r="AU58" s="99">
        <v>5886</v>
      </c>
      <c r="AV58" s="99">
        <v>8</v>
      </c>
      <c r="AW58" s="99">
        <v>9417.6</v>
      </c>
      <c r="AX58" s="99">
        <v>9</v>
      </c>
      <c r="AY58" s="99">
        <v>10594.800000000001</v>
      </c>
      <c r="AZ58" s="99">
        <v>6.8404934756552231</v>
      </c>
      <c r="BA58" s="99">
        <v>8052.6289195413292</v>
      </c>
      <c r="BB58" s="99">
        <v>7</v>
      </c>
      <c r="BC58" s="99">
        <v>8240.4</v>
      </c>
      <c r="BD58" s="99">
        <v>9</v>
      </c>
      <c r="BE58" s="99">
        <v>10594.800000000001</v>
      </c>
      <c r="BF58" s="99">
        <v>8</v>
      </c>
      <c r="BG58" s="99">
        <v>9417.6</v>
      </c>
      <c r="BH58" s="99">
        <v>9.3171599682559183</v>
      </c>
      <c r="BI58" s="99">
        <v>10968.160714630867</v>
      </c>
      <c r="BJ58" s="99">
        <v>11.587931441584423</v>
      </c>
      <c r="BK58" s="99">
        <v>13641.312893033184</v>
      </c>
      <c r="BL58" s="99">
        <v>6</v>
      </c>
      <c r="BM58" s="99">
        <v>7063.2000000000007</v>
      </c>
      <c r="BN58" s="99">
        <v>8.5471412703579634</v>
      </c>
      <c r="BO58" s="99">
        <v>10061.694703465395</v>
      </c>
      <c r="BP58" s="99">
        <v>10</v>
      </c>
      <c r="BQ58" s="99">
        <v>11772</v>
      </c>
      <c r="BR58" s="99">
        <v>5.2705585200987706</v>
      </c>
      <c r="BS58" s="99">
        <v>6204.5014898602731</v>
      </c>
      <c r="BT58" s="99">
        <v>3.6121325364102277</v>
      </c>
      <c r="BU58" s="99">
        <v>4252.20242186212</v>
      </c>
      <c r="BV58" s="99">
        <v>10.277773048378432</v>
      </c>
      <c r="BW58" s="99">
        <v>12098.99443255109</v>
      </c>
      <c r="BX58" s="99">
        <v>8</v>
      </c>
      <c r="BY58" s="99">
        <v>9417.6</v>
      </c>
      <c r="BZ58" s="99">
        <v>8</v>
      </c>
      <c r="CA58" s="99">
        <v>9417.6</v>
      </c>
      <c r="CB58" s="99">
        <v>6</v>
      </c>
      <c r="CC58" s="99">
        <v>7063.2000000000007</v>
      </c>
      <c r="CD58" s="99">
        <v>1.8991125711759953</v>
      </c>
      <c r="CE58" s="99">
        <v>2235.6353187883819</v>
      </c>
      <c r="CF58" s="99">
        <v>6</v>
      </c>
      <c r="CG58" s="99">
        <v>7063.2000000000007</v>
      </c>
      <c r="CH58" s="99">
        <v>9</v>
      </c>
      <c r="CI58" s="99">
        <v>10594.800000000001</v>
      </c>
      <c r="CJ58" s="99">
        <v>6</v>
      </c>
      <c r="CK58" s="99">
        <v>7063.2000000000007</v>
      </c>
      <c r="CL58" s="99">
        <v>11.28688741920895</v>
      </c>
      <c r="CM58" s="99">
        <v>13286.923869892777</v>
      </c>
      <c r="CN58" s="99">
        <v>6.152008425952439</v>
      </c>
      <c r="CO58" s="99">
        <v>7242.1443190312111</v>
      </c>
      <c r="CP58" s="99">
        <v>4.2918956670585748</v>
      </c>
      <c r="CQ58" s="99">
        <v>5052.4195792613546</v>
      </c>
      <c r="CR58" s="99">
        <v>9</v>
      </c>
      <c r="CS58" s="99">
        <v>10594.800000000001</v>
      </c>
      <c r="CT58" s="99">
        <v>5.5752197437489741</v>
      </c>
      <c r="CU58" s="99">
        <v>6563.1486823412924</v>
      </c>
    </row>
    <row r="59" spans="2:99">
      <c r="C59" s="98" t="s">
        <v>225</v>
      </c>
      <c r="D59" s="99">
        <v>1.029609105621526</v>
      </c>
      <c r="E59" s="99">
        <v>312.58932446669525</v>
      </c>
      <c r="F59" s="99">
        <v>7.8142141454884655</v>
      </c>
      <c r="G59" s="99">
        <v>2372.3954145702978</v>
      </c>
      <c r="H59" s="99">
        <v>1.172501302133562</v>
      </c>
      <c r="I59" s="99">
        <v>355.97139532774935</v>
      </c>
      <c r="J59" s="99">
        <v>9.5843611822157602</v>
      </c>
      <c r="K59" s="99">
        <v>2909.8120549207047</v>
      </c>
      <c r="L59" s="99">
        <v>6</v>
      </c>
      <c r="M59" s="99">
        <v>1821.6</v>
      </c>
      <c r="N59" s="99">
        <v>8</v>
      </c>
      <c r="O59" s="99">
        <v>2428.7999999999997</v>
      </c>
      <c r="P59" s="99">
        <v>10</v>
      </c>
      <c r="Q59" s="99">
        <v>3035.9999999999995</v>
      </c>
      <c r="R59" s="99">
        <v>9.7603216237540487</v>
      </c>
      <c r="S59" s="99">
        <v>2963.2336449717291</v>
      </c>
      <c r="T59" s="99">
        <v>10.189366456693962</v>
      </c>
      <c r="U59" s="99">
        <v>3093.4916562522867</v>
      </c>
      <c r="V59" s="99">
        <v>10.161524749987651</v>
      </c>
      <c r="W59" s="99">
        <v>3085.0389140962502</v>
      </c>
      <c r="X59" s="99">
        <v>10.959066800544944</v>
      </c>
      <c r="Y59" s="99">
        <v>3327.1726806454449</v>
      </c>
      <c r="Z59" s="99">
        <v>8.7326980787660595</v>
      </c>
      <c r="AA59" s="99">
        <v>2651.2471367133753</v>
      </c>
      <c r="AB59" s="99">
        <v>6</v>
      </c>
      <c r="AC59" s="99">
        <v>1821.6</v>
      </c>
      <c r="AD59" s="99">
        <v>8.8566567688628126</v>
      </c>
      <c r="AE59" s="99">
        <v>2688.8809950267496</v>
      </c>
      <c r="AF59" s="99">
        <v>6.1202179285928064</v>
      </c>
      <c r="AG59" s="99">
        <v>1858.0981631207758</v>
      </c>
      <c r="AH59" s="99">
        <v>8.4110434089829358</v>
      </c>
      <c r="AI59" s="99">
        <v>2553.5927789672191</v>
      </c>
      <c r="AJ59" s="99">
        <v>7.9893896080895841</v>
      </c>
      <c r="AK59" s="99">
        <v>2425.5786850159975</v>
      </c>
      <c r="AL59" s="99">
        <v>6.6763814043179863</v>
      </c>
      <c r="AM59" s="99">
        <v>2026.9493943509403</v>
      </c>
      <c r="AN59" s="99">
        <v>1.4909897042674241</v>
      </c>
      <c r="AO59" s="99">
        <v>452.66447421558991</v>
      </c>
      <c r="AP59" s="99">
        <v>6.5956322497220832</v>
      </c>
      <c r="AQ59" s="99">
        <v>2002.4339510156242</v>
      </c>
      <c r="AR59" s="99">
        <v>11</v>
      </c>
      <c r="AS59" s="99">
        <v>3339.5999999999995</v>
      </c>
      <c r="AT59" s="99">
        <v>6</v>
      </c>
      <c r="AU59" s="99">
        <v>1821.6</v>
      </c>
      <c r="AV59" s="99">
        <v>10</v>
      </c>
      <c r="AW59" s="99">
        <v>3035.9999999999995</v>
      </c>
      <c r="AX59" s="99">
        <v>9.5449655423217177</v>
      </c>
      <c r="AY59" s="99">
        <v>2897.851538648873</v>
      </c>
      <c r="AZ59" s="99">
        <v>6</v>
      </c>
      <c r="BA59" s="99">
        <v>1821.6</v>
      </c>
      <c r="BB59" s="99">
        <v>8.7833345109678405</v>
      </c>
      <c r="BC59" s="99">
        <v>2666.6203575298359</v>
      </c>
      <c r="BD59" s="99">
        <v>9</v>
      </c>
      <c r="BE59" s="99">
        <v>2732.3999999999996</v>
      </c>
      <c r="BF59" s="99">
        <v>9</v>
      </c>
      <c r="BG59" s="99">
        <v>2732.3999999999996</v>
      </c>
      <c r="BH59" s="99">
        <v>9.3752748730210484</v>
      </c>
      <c r="BI59" s="99">
        <v>2846.3334514491899</v>
      </c>
      <c r="BJ59" s="99">
        <v>10.781196982364408</v>
      </c>
      <c r="BK59" s="99">
        <v>3273.171403845834</v>
      </c>
      <c r="BL59" s="99">
        <v>7</v>
      </c>
      <c r="BM59" s="99">
        <v>2125.1999999999998</v>
      </c>
      <c r="BN59" s="99">
        <v>8.322475768639336</v>
      </c>
      <c r="BO59" s="99">
        <v>2526.7036433589024</v>
      </c>
      <c r="BP59" s="99">
        <v>9.4854817039234707</v>
      </c>
      <c r="BQ59" s="99">
        <v>2879.7922453111655</v>
      </c>
      <c r="BR59" s="99">
        <v>6.0561854334038348</v>
      </c>
      <c r="BS59" s="99">
        <v>1838.6578975814041</v>
      </c>
      <c r="BT59" s="99">
        <v>2.0166863252255465</v>
      </c>
      <c r="BU59" s="99">
        <v>612.26596833847589</v>
      </c>
      <c r="BV59" s="99">
        <v>9.8298543725344469</v>
      </c>
      <c r="BW59" s="99">
        <v>2984.3437875014579</v>
      </c>
      <c r="BX59" s="99">
        <v>8</v>
      </c>
      <c r="BY59" s="99">
        <v>2428.7999999999997</v>
      </c>
      <c r="BZ59" s="99">
        <v>3.3285288003739035</v>
      </c>
      <c r="CA59" s="99">
        <v>1010.5413437935169</v>
      </c>
      <c r="CB59" s="99">
        <v>6.4749974156428296</v>
      </c>
      <c r="CC59" s="99">
        <v>1965.8092153891628</v>
      </c>
      <c r="CD59" s="99">
        <v>6.4778783079565834</v>
      </c>
      <c r="CE59" s="99">
        <v>1966.6838542956184</v>
      </c>
      <c r="CF59" s="99">
        <v>7</v>
      </c>
      <c r="CG59" s="99">
        <v>2125.1999999999998</v>
      </c>
      <c r="CH59" s="99">
        <v>10</v>
      </c>
      <c r="CI59" s="99">
        <v>3035.9999999999995</v>
      </c>
      <c r="CJ59" s="99">
        <v>7.8031704228727632</v>
      </c>
      <c r="CK59" s="99">
        <v>2369.0425403841705</v>
      </c>
      <c r="CL59" s="99">
        <v>1.3099628187237824</v>
      </c>
      <c r="CM59" s="99">
        <v>397.70471176454026</v>
      </c>
      <c r="CN59" s="99">
        <v>6.7661429900756982</v>
      </c>
      <c r="CO59" s="99">
        <v>2054.2010117869818</v>
      </c>
      <c r="CP59" s="99">
        <v>3.3320141431181556</v>
      </c>
      <c r="CQ59" s="99">
        <v>1011.5994938506719</v>
      </c>
      <c r="CR59" s="99">
        <v>8.1099327051410732</v>
      </c>
      <c r="CS59" s="99">
        <v>2462.1755692808297</v>
      </c>
      <c r="CT59" s="99">
        <v>7.16963461547099</v>
      </c>
      <c r="CU59" s="99">
        <v>2176.7010692569925</v>
      </c>
    </row>
    <row r="60" spans="2:99">
      <c r="C60" s="98" t="s">
        <v>226</v>
      </c>
      <c r="D60" s="99">
        <v>1.029609105621526</v>
      </c>
      <c r="E60" s="99">
        <v>670.89329322298636</v>
      </c>
      <c r="F60" s="99">
        <v>7.8142141454884655</v>
      </c>
      <c r="G60" s="99">
        <v>5091.7419372002842</v>
      </c>
      <c r="H60" s="99">
        <v>0.95831693167004983</v>
      </c>
      <c r="I60" s="99">
        <v>624.43931267620451</v>
      </c>
      <c r="J60" s="99">
        <v>9.5113160344387904</v>
      </c>
      <c r="K60" s="99">
        <v>6197.573528040316</v>
      </c>
      <c r="L60" s="99">
        <v>7</v>
      </c>
      <c r="M60" s="99">
        <v>4561.2</v>
      </c>
      <c r="N60" s="99">
        <v>7</v>
      </c>
      <c r="O60" s="99">
        <v>4561.2</v>
      </c>
      <c r="P60" s="99">
        <v>9</v>
      </c>
      <c r="Q60" s="99">
        <v>5864.4000000000005</v>
      </c>
      <c r="R60" s="99">
        <v>9.7603216237540487</v>
      </c>
      <c r="S60" s="99">
        <v>6359.8255700381387</v>
      </c>
      <c r="T60" s="99">
        <v>10.189366456693962</v>
      </c>
      <c r="U60" s="99">
        <v>6639.3911831817859</v>
      </c>
      <c r="V60" s="99">
        <v>8.4679372916563764</v>
      </c>
      <c r="W60" s="99">
        <v>5517.7079392432952</v>
      </c>
      <c r="X60" s="99">
        <v>9.9627880004954044</v>
      </c>
      <c r="Y60" s="99">
        <v>6491.7526611228059</v>
      </c>
      <c r="Z60" s="99">
        <v>8.7326980787660595</v>
      </c>
      <c r="AA60" s="99">
        <v>5690.226068123965</v>
      </c>
      <c r="AB60" s="99">
        <v>6</v>
      </c>
      <c r="AC60" s="99">
        <v>3909.6000000000004</v>
      </c>
      <c r="AD60" s="99">
        <v>8.8566567688628126</v>
      </c>
      <c r="AE60" s="99">
        <v>5770.9975505910088</v>
      </c>
      <c r="AF60" s="99">
        <v>6.0729763168421815</v>
      </c>
      <c r="AG60" s="99">
        <v>3957.1513680543658</v>
      </c>
      <c r="AH60" s="99">
        <v>8.4110434089829358</v>
      </c>
      <c r="AI60" s="99">
        <v>5480.6358852932808</v>
      </c>
      <c r="AJ60" s="99">
        <v>7.9893896080895841</v>
      </c>
      <c r="AK60" s="99">
        <v>5205.8862686311732</v>
      </c>
      <c r="AL60" s="99">
        <v>6</v>
      </c>
      <c r="AM60" s="99">
        <v>3909.6000000000004</v>
      </c>
      <c r="AN60" s="99">
        <v>1.5658971870848628</v>
      </c>
      <c r="AO60" s="99">
        <v>1020.3386071044966</v>
      </c>
      <c r="AP60" s="99">
        <v>6.4254516069443453</v>
      </c>
      <c r="AQ60" s="99">
        <v>4186.8242670849359</v>
      </c>
      <c r="AR60" s="99">
        <v>10</v>
      </c>
      <c r="AS60" s="99">
        <v>6516</v>
      </c>
      <c r="AT60" s="99">
        <v>6</v>
      </c>
      <c r="AU60" s="99">
        <v>3909.6000000000004</v>
      </c>
      <c r="AV60" s="99">
        <v>8</v>
      </c>
      <c r="AW60" s="99">
        <v>5212.8</v>
      </c>
      <c r="AX60" s="99">
        <v>9.5449655423217177</v>
      </c>
      <c r="AY60" s="99">
        <v>6219.4995473768313</v>
      </c>
      <c r="AZ60" s="99">
        <v>6</v>
      </c>
      <c r="BA60" s="99">
        <v>3909.6000000000004</v>
      </c>
      <c r="BB60" s="99">
        <v>7.8074084541936362</v>
      </c>
      <c r="BC60" s="99">
        <v>5087.3073487525735</v>
      </c>
      <c r="BD60" s="99">
        <v>9</v>
      </c>
      <c r="BE60" s="99">
        <v>5864.4000000000005</v>
      </c>
      <c r="BF60" s="99">
        <v>9</v>
      </c>
      <c r="BG60" s="99">
        <v>5864.4000000000005</v>
      </c>
      <c r="BH60" s="99">
        <v>9.3752748730210484</v>
      </c>
      <c r="BI60" s="99">
        <v>6108.9291072605156</v>
      </c>
      <c r="BJ60" s="99">
        <v>9.8325889157564408</v>
      </c>
      <c r="BK60" s="99">
        <v>6406.9149375068973</v>
      </c>
      <c r="BL60" s="99">
        <v>6</v>
      </c>
      <c r="BM60" s="99">
        <v>3909.6000000000004</v>
      </c>
      <c r="BN60" s="99">
        <v>8.212017319571677</v>
      </c>
      <c r="BO60" s="99">
        <v>5350.9504854329052</v>
      </c>
      <c r="BP60" s="99">
        <v>9.4854817039234707</v>
      </c>
      <c r="BQ60" s="99">
        <v>6180.739878276534</v>
      </c>
      <c r="BR60" s="99">
        <v>6.1616568290538742</v>
      </c>
      <c r="BS60" s="99">
        <v>4014.9355898115045</v>
      </c>
      <c r="BT60" s="99">
        <v>1.7926100668671525</v>
      </c>
      <c r="BU60" s="99">
        <v>1168.0647195706367</v>
      </c>
      <c r="BV60" s="99">
        <v>8.9150177982765566</v>
      </c>
      <c r="BW60" s="99">
        <v>5809.0255973570047</v>
      </c>
      <c r="BX60" s="99">
        <v>9.9957384699985834</v>
      </c>
      <c r="BY60" s="99">
        <v>6513.2231870510768</v>
      </c>
      <c r="BZ60" s="99">
        <v>3.1650400488656851</v>
      </c>
      <c r="CA60" s="99">
        <v>2062.3400958408806</v>
      </c>
      <c r="CB60" s="99">
        <v>6.4790109968975633</v>
      </c>
      <c r="CC60" s="99">
        <v>4221.7235655784525</v>
      </c>
      <c r="CD60" s="99">
        <v>7.4778783079565834</v>
      </c>
      <c r="CE60" s="99">
        <v>4872.5855054645099</v>
      </c>
      <c r="CF60" s="99">
        <v>8</v>
      </c>
      <c r="CG60" s="99">
        <v>5212.8</v>
      </c>
      <c r="CH60" s="99">
        <v>9</v>
      </c>
      <c r="CI60" s="99">
        <v>5864.4000000000005</v>
      </c>
      <c r="CJ60" s="99">
        <v>5.8523778171545731</v>
      </c>
      <c r="CK60" s="99">
        <v>3813.4093856579198</v>
      </c>
      <c r="CL60" s="99">
        <v>1.2029122665712799</v>
      </c>
      <c r="CM60" s="99">
        <v>783.81763289784601</v>
      </c>
      <c r="CN60" s="99">
        <v>6.7661429900756982</v>
      </c>
      <c r="CO60" s="99">
        <v>4408.8187723333249</v>
      </c>
      <c r="CP60" s="99">
        <v>3.3320141431181556</v>
      </c>
      <c r="CQ60" s="99">
        <v>2171.1404156557901</v>
      </c>
      <c r="CR60" s="99">
        <v>8.1099327051410732</v>
      </c>
      <c r="CS60" s="99">
        <v>5284.4321506699234</v>
      </c>
      <c r="CT60" s="99">
        <v>7.3158389424048638</v>
      </c>
      <c r="CU60" s="99">
        <v>4767.0006548710098</v>
      </c>
    </row>
    <row r="61" spans="2:99">
      <c r="C61" s="98" t="s">
        <v>227</v>
      </c>
      <c r="D61" s="99">
        <v>1.0191882154632603</v>
      </c>
      <c r="E61" s="99">
        <v>969.85950583483839</v>
      </c>
      <c r="F61" s="99">
        <v>6.5188000012130347</v>
      </c>
      <c r="G61" s="99">
        <v>6203.2900811543232</v>
      </c>
      <c r="H61" s="99">
        <v>1.172501302133562</v>
      </c>
      <c r="I61" s="99">
        <v>1115.7522391102975</v>
      </c>
      <c r="J61" s="99">
        <v>8.5843611822157602</v>
      </c>
      <c r="K61" s="99">
        <v>8168.8781009965169</v>
      </c>
      <c r="L61" s="99">
        <v>6</v>
      </c>
      <c r="M61" s="99">
        <v>5709.5999999999995</v>
      </c>
      <c r="N61" s="99">
        <v>7</v>
      </c>
      <c r="O61" s="99">
        <v>6661.1999999999989</v>
      </c>
      <c r="P61" s="99">
        <v>8</v>
      </c>
      <c r="Q61" s="99">
        <v>7612.7999999999993</v>
      </c>
      <c r="R61" s="99">
        <v>10.736353786129452</v>
      </c>
      <c r="S61" s="99">
        <v>10216.714262880785</v>
      </c>
      <c r="T61" s="99">
        <v>8.336754373658696</v>
      </c>
      <c r="U61" s="99">
        <v>7933.2554619736147</v>
      </c>
      <c r="V61" s="99">
        <v>8.4679372916563764</v>
      </c>
      <c r="W61" s="99">
        <v>8058.0891267402067</v>
      </c>
      <c r="X61" s="99">
        <v>10.959066800544944</v>
      </c>
      <c r="Y61" s="99">
        <v>10428.647967398569</v>
      </c>
      <c r="Z61" s="99">
        <v>8.7326980787660595</v>
      </c>
      <c r="AA61" s="99">
        <v>8310.0354917537807</v>
      </c>
      <c r="AB61" s="99">
        <v>7</v>
      </c>
      <c r="AC61" s="99">
        <v>6661.1999999999989</v>
      </c>
      <c r="AD61" s="99">
        <v>7.8725837945447221</v>
      </c>
      <c r="AE61" s="99">
        <v>7491.5507388887572</v>
      </c>
      <c r="AF61" s="99">
        <v>6.1202179285928064</v>
      </c>
      <c r="AG61" s="99">
        <v>5823.9993808489144</v>
      </c>
      <c r="AH61" s="99">
        <v>8.4110434089829358</v>
      </c>
      <c r="AI61" s="99">
        <v>8003.9489079881605</v>
      </c>
      <c r="AJ61" s="99">
        <v>6.2139696951807872</v>
      </c>
      <c r="AK61" s="99">
        <v>5913.213561934037</v>
      </c>
      <c r="AL61" s="99">
        <v>6</v>
      </c>
      <c r="AM61" s="99">
        <v>5709.5999999999995</v>
      </c>
      <c r="AN61" s="99">
        <v>1.4909897042674241</v>
      </c>
      <c r="AO61" s="99">
        <v>1418.8258025808807</v>
      </c>
      <c r="AP61" s="99">
        <v>5.5105419283332138</v>
      </c>
      <c r="AQ61" s="99">
        <v>5243.8316990018857</v>
      </c>
      <c r="AR61" s="99">
        <v>12</v>
      </c>
      <c r="AS61" s="99">
        <v>11419.199999999999</v>
      </c>
      <c r="AT61" s="99">
        <v>6</v>
      </c>
      <c r="AU61" s="99">
        <v>5709.5999999999995</v>
      </c>
      <c r="AV61" s="99">
        <v>8</v>
      </c>
      <c r="AW61" s="99">
        <v>7612.7999999999993</v>
      </c>
      <c r="AX61" s="99">
        <v>7.6359724338573738</v>
      </c>
      <c r="AY61" s="99">
        <v>7266.3913680586766</v>
      </c>
      <c r="AZ61" s="99">
        <v>6</v>
      </c>
      <c r="BA61" s="99">
        <v>5709.5999999999995</v>
      </c>
      <c r="BB61" s="99">
        <v>7.8074084541936362</v>
      </c>
      <c r="BC61" s="99">
        <v>7429.5298850106637</v>
      </c>
      <c r="BD61" s="99">
        <v>9</v>
      </c>
      <c r="BE61" s="99">
        <v>8564.4</v>
      </c>
      <c r="BF61" s="99">
        <v>8</v>
      </c>
      <c r="BG61" s="99">
        <v>7612.7999999999993</v>
      </c>
      <c r="BH61" s="99">
        <v>9.3752748730210484</v>
      </c>
      <c r="BI61" s="99">
        <v>8921.5115691668288</v>
      </c>
      <c r="BJ61" s="99">
        <v>8.9968745648230719</v>
      </c>
      <c r="BK61" s="99">
        <v>8561.425835885635</v>
      </c>
      <c r="BL61" s="99">
        <v>6</v>
      </c>
      <c r="BM61" s="99">
        <v>5709.5999999999995</v>
      </c>
      <c r="BN61" s="99">
        <v>8.212017319571677</v>
      </c>
      <c r="BO61" s="99">
        <v>7814.5556813044068</v>
      </c>
      <c r="BP61" s="99">
        <v>9.4854817039234707</v>
      </c>
      <c r="BQ61" s="99">
        <v>9026.384389453573</v>
      </c>
      <c r="BR61" s="99">
        <v>5.1347140242115623</v>
      </c>
      <c r="BS61" s="99">
        <v>4886.1938654397218</v>
      </c>
      <c r="BT61" s="99">
        <v>2.0166863252255465</v>
      </c>
      <c r="BU61" s="99">
        <v>1919.0787070846297</v>
      </c>
      <c r="BV61" s="99">
        <v>8.0001812240186645</v>
      </c>
      <c r="BW61" s="99">
        <v>7612.97245277616</v>
      </c>
      <c r="BX61" s="99">
        <v>9.9957384699985834</v>
      </c>
      <c r="BY61" s="99">
        <v>9511.9447280506502</v>
      </c>
      <c r="BZ61" s="99">
        <v>2.8133689323250537</v>
      </c>
      <c r="CA61" s="99">
        <v>2677.2018760005208</v>
      </c>
      <c r="CB61" s="99">
        <v>5.6621911386091988</v>
      </c>
      <c r="CC61" s="99">
        <v>5388.1410875005131</v>
      </c>
      <c r="CD61" s="99">
        <v>6.4778783079565834</v>
      </c>
      <c r="CE61" s="99">
        <v>6164.3489978514845</v>
      </c>
      <c r="CF61" s="99">
        <v>7</v>
      </c>
      <c r="CG61" s="99">
        <v>6661.1999999999989</v>
      </c>
      <c r="CH61" s="99">
        <v>9</v>
      </c>
      <c r="CI61" s="99">
        <v>8564.4</v>
      </c>
      <c r="CJ61" s="99">
        <v>6.8277741200136672</v>
      </c>
      <c r="CK61" s="99">
        <v>6497.3098526050053</v>
      </c>
      <c r="CL61" s="99">
        <v>1.0958617144187777</v>
      </c>
      <c r="CM61" s="99">
        <v>1042.8220074409087</v>
      </c>
      <c r="CN61" s="99">
        <v>7.7661429900756982</v>
      </c>
      <c r="CO61" s="99">
        <v>7390.261669356034</v>
      </c>
      <c r="CP61" s="99">
        <v>3.3320141431181556</v>
      </c>
      <c r="CQ61" s="99">
        <v>3170.7446585912367</v>
      </c>
      <c r="CR61" s="99">
        <v>8.0342198024608518</v>
      </c>
      <c r="CS61" s="99">
        <v>7645.3635640217462</v>
      </c>
      <c r="CT61" s="99">
        <v>8.16963461547099</v>
      </c>
      <c r="CU61" s="99">
        <v>7774.2243000821936</v>
      </c>
    </row>
    <row r="62" spans="2:99">
      <c r="C62" s="98" t="s">
        <v>228</v>
      </c>
      <c r="D62" s="99">
        <v>0.6862576305462863</v>
      </c>
      <c r="E62" s="99">
        <v>1145.5012369078611</v>
      </c>
      <c r="F62" s="99">
        <v>4.7341303227052238</v>
      </c>
      <c r="G62" s="99">
        <v>7902.2103346595595</v>
      </c>
      <c r="H62" s="99">
        <v>5.6208882703633831</v>
      </c>
      <c r="I62" s="99">
        <v>9382.38670089056</v>
      </c>
      <c r="J62" s="99">
        <v>7.7103623496764762</v>
      </c>
      <c r="K62" s="99">
        <v>12870.136834079975</v>
      </c>
      <c r="L62" s="99">
        <v>4.0642874620503466</v>
      </c>
      <c r="M62" s="99">
        <v>6784.1086316544388</v>
      </c>
      <c r="N62" s="99">
        <v>4.4677064636451398</v>
      </c>
      <c r="O62" s="99">
        <v>7457.4956291164672</v>
      </c>
      <c r="P62" s="99">
        <v>3.8245247030642613</v>
      </c>
      <c r="Q62" s="99">
        <v>6383.8966343548655</v>
      </c>
      <c r="R62" s="99">
        <v>9.039814254517287</v>
      </c>
      <c r="S62" s="99">
        <v>15089.257953640255</v>
      </c>
      <c r="T62" s="99">
        <v>5.7428638423518912</v>
      </c>
      <c r="U62" s="99">
        <v>9585.9883256537778</v>
      </c>
      <c r="V62" s="99">
        <v>5.4074654709644232</v>
      </c>
      <c r="W62" s="99">
        <v>9026.1413641338149</v>
      </c>
      <c r="X62" s="99">
        <v>7.6188422151973221</v>
      </c>
      <c r="Y62" s="99">
        <v>12717.371425607371</v>
      </c>
      <c r="Z62" s="99">
        <v>5.5149487625002118</v>
      </c>
      <c r="AA62" s="99">
        <v>9205.5524743653532</v>
      </c>
      <c r="AB62" s="99">
        <v>3.9418402000166801</v>
      </c>
      <c r="AC62" s="99">
        <v>6579.7196618678427</v>
      </c>
      <c r="AD62" s="99">
        <v>6.6764364824343456</v>
      </c>
      <c r="AE62" s="99">
        <v>11144.307776479411</v>
      </c>
      <c r="AF62" s="99">
        <v>4.2972257976005164</v>
      </c>
      <c r="AG62" s="99">
        <v>7172.9293013547822</v>
      </c>
      <c r="AH62" s="99">
        <v>6.1029684704894667</v>
      </c>
      <c r="AI62" s="99">
        <v>10187.074970941017</v>
      </c>
      <c r="AJ62" s="99">
        <v>7.221210108950177</v>
      </c>
      <c r="AK62" s="99">
        <v>12053.643913859636</v>
      </c>
      <c r="AL62" s="99">
        <v>4.5690413115578217</v>
      </c>
      <c r="AM62" s="99">
        <v>7626.6437572523164</v>
      </c>
      <c r="AN62" s="99">
        <v>5.4171503991169923</v>
      </c>
      <c r="AO62" s="99">
        <v>9042.3074462060831</v>
      </c>
      <c r="AP62" s="99">
        <v>4.993009419009387</v>
      </c>
      <c r="AQ62" s="99">
        <v>8334.3313222104698</v>
      </c>
      <c r="AR62" s="99">
        <v>5.0373248479910053</v>
      </c>
      <c r="AS62" s="99">
        <v>8408.302636266586</v>
      </c>
      <c r="AT62" s="99">
        <v>5.620265189900338</v>
      </c>
      <c r="AU62" s="99">
        <v>9381.346654981644</v>
      </c>
      <c r="AV62" s="99">
        <v>6.8908039687227944</v>
      </c>
      <c r="AW62" s="99">
        <v>11502.129984592089</v>
      </c>
      <c r="AX62" s="99">
        <v>6.8574800833787899</v>
      </c>
      <c r="AY62" s="99">
        <v>11446.505755175876</v>
      </c>
      <c r="AZ62" s="99">
        <v>4.2074160030272552</v>
      </c>
      <c r="BA62" s="99">
        <v>7023.0187922530949</v>
      </c>
      <c r="BB62" s="99">
        <v>4.9917280654630991</v>
      </c>
      <c r="BC62" s="99">
        <v>8332.1924868710048</v>
      </c>
      <c r="BD62" s="99">
        <v>6.6410653266128463</v>
      </c>
      <c r="BE62" s="99">
        <v>11085.266243182163</v>
      </c>
      <c r="BF62" s="99">
        <v>4.4761139236993506</v>
      </c>
      <c r="BG62" s="99">
        <v>7471.5293614389566</v>
      </c>
      <c r="BH62" s="99">
        <v>8.4740569568395134</v>
      </c>
      <c r="BI62" s="99">
        <v>14144.895872356516</v>
      </c>
      <c r="BJ62" s="99">
        <v>8.8251730284592327</v>
      </c>
      <c r="BK62" s="99">
        <v>14730.978819104152</v>
      </c>
      <c r="BL62" s="99">
        <v>3.5796517637784002</v>
      </c>
      <c r="BM62" s="99">
        <v>5975.1547240989057</v>
      </c>
      <c r="BN62" s="99">
        <v>7.3349559742734387</v>
      </c>
      <c r="BO62" s="99">
        <v>12243.508512257224</v>
      </c>
      <c r="BP62" s="99">
        <v>3.0068584555565261</v>
      </c>
      <c r="BQ62" s="99">
        <v>5019.0481340149536</v>
      </c>
      <c r="BR62" s="99">
        <v>4.149002640310492</v>
      </c>
      <c r="BS62" s="99">
        <v>6925.5152072062738</v>
      </c>
      <c r="BT62" s="99">
        <v>6.0307584833571726</v>
      </c>
      <c r="BU62" s="99">
        <v>10066.542060419793</v>
      </c>
      <c r="BV62" s="99">
        <v>7.734355286890918</v>
      </c>
      <c r="BW62" s="99">
        <v>12910.18584487832</v>
      </c>
      <c r="BX62" s="99">
        <v>2.4841451964078245</v>
      </c>
      <c r="BY62" s="99">
        <v>4146.5351618439408</v>
      </c>
      <c r="BZ62" s="99">
        <v>5.909002439043463</v>
      </c>
      <c r="CA62" s="99">
        <v>9863.3068712513486</v>
      </c>
      <c r="CB62" s="99">
        <v>4.7417082042395391</v>
      </c>
      <c r="CC62" s="99">
        <v>7914.8593345166391</v>
      </c>
      <c r="CD62" s="99">
        <v>5.0533018638165039</v>
      </c>
      <c r="CE62" s="99">
        <v>8434.9714710825083</v>
      </c>
      <c r="CF62" s="99">
        <v>4.7394460672430343</v>
      </c>
      <c r="CG62" s="99">
        <v>7911.0833754420728</v>
      </c>
      <c r="CH62" s="99">
        <v>7.3609209841154595</v>
      </c>
      <c r="CI62" s="99">
        <v>12286.849306685524</v>
      </c>
      <c r="CJ62" s="99">
        <v>5.5748645073466836</v>
      </c>
      <c r="CK62" s="99">
        <v>9305.5638356630843</v>
      </c>
      <c r="CL62" s="99">
        <v>6.9012081243063879</v>
      </c>
      <c r="CM62" s="99">
        <v>11519.496601092224</v>
      </c>
      <c r="CN62" s="99">
        <v>5.6374675180112135</v>
      </c>
      <c r="CO62" s="99">
        <v>9410.0607810643178</v>
      </c>
      <c r="CP62" s="99">
        <v>8.2645540445438108</v>
      </c>
      <c r="CQ62" s="99">
        <v>13795.19361115253</v>
      </c>
      <c r="CR62" s="99">
        <v>3.2902858702123341</v>
      </c>
      <c r="CS62" s="99">
        <v>5492.1451745584282</v>
      </c>
      <c r="CT62" s="99">
        <v>5.7208951148465692</v>
      </c>
      <c r="CU62" s="99">
        <v>9549.3181257018932</v>
      </c>
    </row>
    <row r="63" spans="2:99">
      <c r="C63" s="98" t="s">
        <v>229</v>
      </c>
      <c r="D63" s="99">
        <v>1.029609105621526</v>
      </c>
      <c r="E63" s="99">
        <v>819.15700443248613</v>
      </c>
      <c r="F63" s="99">
        <v>7.145642433432811</v>
      </c>
      <c r="G63" s="99">
        <v>5685.0731200391447</v>
      </c>
      <c r="H63" s="99">
        <v>1.048479208599139</v>
      </c>
      <c r="I63" s="99">
        <v>834.17005836147507</v>
      </c>
      <c r="J63" s="99">
        <v>9.5113160344387904</v>
      </c>
      <c r="K63" s="99">
        <v>7567.2030369995018</v>
      </c>
      <c r="L63" s="99">
        <v>7</v>
      </c>
      <c r="M63" s="99">
        <v>5569.2</v>
      </c>
      <c r="N63" s="99">
        <v>7</v>
      </c>
      <c r="O63" s="99">
        <v>5569.2</v>
      </c>
      <c r="P63" s="99">
        <v>10</v>
      </c>
      <c r="Q63" s="99">
        <v>7956</v>
      </c>
      <c r="R63" s="99">
        <v>9.7603216237540487</v>
      </c>
      <c r="S63" s="99">
        <v>7765.3118838587216</v>
      </c>
      <c r="T63" s="99">
        <v>9.2630604151763283</v>
      </c>
      <c r="U63" s="99">
        <v>7369.6908663142867</v>
      </c>
      <c r="V63" s="99">
        <v>9.3147310208220127</v>
      </c>
      <c r="W63" s="99">
        <v>7410.8000001659939</v>
      </c>
      <c r="X63" s="99">
        <v>9.9627880004954044</v>
      </c>
      <c r="Y63" s="99">
        <v>7926.3941331941442</v>
      </c>
      <c r="Z63" s="99">
        <v>8.7326980787660595</v>
      </c>
      <c r="AA63" s="99">
        <v>6947.7345914662774</v>
      </c>
      <c r="AB63" s="99">
        <v>6</v>
      </c>
      <c r="AC63" s="99">
        <v>4773.6000000000004</v>
      </c>
      <c r="AD63" s="99">
        <v>7.8725837945447221</v>
      </c>
      <c r="AE63" s="99">
        <v>6263.4276669397814</v>
      </c>
      <c r="AF63" s="99">
        <v>6.0729763168421815</v>
      </c>
      <c r="AG63" s="99">
        <v>4831.6599576796398</v>
      </c>
      <c r="AH63" s="99">
        <v>8.4110434089829358</v>
      </c>
      <c r="AI63" s="99">
        <v>6691.8261361868235</v>
      </c>
      <c r="AJ63" s="99">
        <v>7.9893896080895841</v>
      </c>
      <c r="AK63" s="99">
        <v>6356.3583721960731</v>
      </c>
      <c r="AL63" s="99">
        <v>6</v>
      </c>
      <c r="AM63" s="99">
        <v>4773.6000000000004</v>
      </c>
      <c r="AN63" s="99">
        <v>1.5011999837538048</v>
      </c>
      <c r="AO63" s="99">
        <v>1194.3547070745271</v>
      </c>
      <c r="AP63" s="99">
        <v>6.5105419283332138</v>
      </c>
      <c r="AQ63" s="99">
        <v>5179.7871581819054</v>
      </c>
      <c r="AR63" s="99">
        <v>11</v>
      </c>
      <c r="AS63" s="99">
        <v>8751.6</v>
      </c>
      <c r="AT63" s="99">
        <v>6</v>
      </c>
      <c r="AU63" s="99">
        <v>4773.6000000000004</v>
      </c>
      <c r="AV63" s="99">
        <v>9</v>
      </c>
      <c r="AW63" s="99">
        <v>7160.4000000000005</v>
      </c>
      <c r="AX63" s="99">
        <v>7.6359724338573738</v>
      </c>
      <c r="AY63" s="99">
        <v>6075.1796683769271</v>
      </c>
      <c r="AZ63" s="99">
        <v>6</v>
      </c>
      <c r="BA63" s="99">
        <v>4773.6000000000004</v>
      </c>
      <c r="BB63" s="99">
        <v>6.831482397419431</v>
      </c>
      <c r="BC63" s="99">
        <v>5435.1273953868995</v>
      </c>
      <c r="BD63" s="99">
        <v>10</v>
      </c>
      <c r="BE63" s="99">
        <v>7956</v>
      </c>
      <c r="BF63" s="99">
        <v>8</v>
      </c>
      <c r="BG63" s="99">
        <v>6364.8</v>
      </c>
      <c r="BH63" s="99">
        <v>9.3752748730210484</v>
      </c>
      <c r="BI63" s="99">
        <v>7458.9686889755467</v>
      </c>
      <c r="BJ63" s="99">
        <v>8.9592433262648736</v>
      </c>
      <c r="BK63" s="99">
        <v>7127.9739903763339</v>
      </c>
      <c r="BL63" s="99">
        <v>6.524550477313765</v>
      </c>
      <c r="BM63" s="99">
        <v>5190.9323597508319</v>
      </c>
      <c r="BN63" s="99">
        <v>7.282166297559419</v>
      </c>
      <c r="BO63" s="99">
        <v>5793.6915063382739</v>
      </c>
      <c r="BP63" s="99">
        <v>10.434029874315817</v>
      </c>
      <c r="BQ63" s="99">
        <v>8301.3141680056633</v>
      </c>
      <c r="BR63" s="99">
        <v>5.1347140242115623</v>
      </c>
      <c r="BS63" s="99">
        <v>4085.1784776627192</v>
      </c>
      <c r="BT63" s="99">
        <v>1.8199021235977768</v>
      </c>
      <c r="BU63" s="99">
        <v>1447.9141295343913</v>
      </c>
      <c r="BV63" s="99">
        <v>8.9150177982765566</v>
      </c>
      <c r="BW63" s="99">
        <v>7092.788160308829</v>
      </c>
      <c r="BX63" s="99">
        <v>8.9957384699985834</v>
      </c>
      <c r="BY63" s="99">
        <v>7157.0095267308734</v>
      </c>
      <c r="BZ63" s="99">
        <v>3.1650400488656851</v>
      </c>
      <c r="CA63" s="99">
        <v>2518.105862877539</v>
      </c>
      <c r="CB63" s="99">
        <v>5.6621911386091988</v>
      </c>
      <c r="CC63" s="99">
        <v>4504.8392698774787</v>
      </c>
      <c r="CD63" s="99">
        <v>7.5734539695479004</v>
      </c>
      <c r="CE63" s="99">
        <v>6025.4399781723096</v>
      </c>
      <c r="CF63" s="99">
        <v>7</v>
      </c>
      <c r="CG63" s="99">
        <v>5569.2</v>
      </c>
      <c r="CH63" s="99">
        <v>9</v>
      </c>
      <c r="CI63" s="99">
        <v>7160.4000000000005</v>
      </c>
      <c r="CJ63" s="99">
        <v>6.8277741200136672</v>
      </c>
      <c r="CK63" s="99">
        <v>5432.1770898828736</v>
      </c>
      <c r="CL63" s="99">
        <v>1.0958617144187777</v>
      </c>
      <c r="CM63" s="99">
        <v>871.86757999157953</v>
      </c>
      <c r="CN63" s="99">
        <v>6.7661429900756982</v>
      </c>
      <c r="CO63" s="99">
        <v>5383.1433629042258</v>
      </c>
      <c r="CP63" s="99">
        <v>2.6656113144945244</v>
      </c>
      <c r="CQ63" s="99">
        <v>2120.7603618118437</v>
      </c>
      <c r="CR63" s="99">
        <v>8.1099327051410732</v>
      </c>
      <c r="CS63" s="99">
        <v>6452.2624602102378</v>
      </c>
      <c r="CT63" s="99">
        <v>7.16963461547099</v>
      </c>
      <c r="CU63" s="99">
        <v>5704.1613000687203</v>
      </c>
    </row>
    <row r="64" spans="2:99">
      <c r="C64" s="98" t="s">
        <v>230</v>
      </c>
      <c r="D64" s="99">
        <v>0.89592037787907786</v>
      </c>
      <c r="E64" s="99">
        <v>904.1628453555652</v>
      </c>
      <c r="F64" s="99">
        <v>7.1873717132686892</v>
      </c>
      <c r="G64" s="99">
        <v>7253.4955330307594</v>
      </c>
      <c r="H64" s="99">
        <v>0.95831693167004983</v>
      </c>
      <c r="I64" s="99">
        <v>967.13344744141409</v>
      </c>
      <c r="J64" s="99">
        <v>8.5113160344387904</v>
      </c>
      <c r="K64" s="99">
        <v>8589.6201419556255</v>
      </c>
      <c r="L64" s="99">
        <v>6</v>
      </c>
      <c r="M64" s="99">
        <v>6055.1999999999989</v>
      </c>
      <c r="N64" s="99">
        <v>8</v>
      </c>
      <c r="O64" s="99">
        <v>8073.5999999999985</v>
      </c>
      <c r="P64" s="99">
        <v>9</v>
      </c>
      <c r="Q64" s="99">
        <v>9082.7999999999993</v>
      </c>
      <c r="R64" s="99">
        <v>9.7603216237540487</v>
      </c>
      <c r="S64" s="99">
        <v>9850.1165826925844</v>
      </c>
      <c r="T64" s="99">
        <v>9.2630604151763283</v>
      </c>
      <c r="U64" s="99">
        <v>9348.2805709959484</v>
      </c>
      <c r="V64" s="99">
        <v>9.3147310208220127</v>
      </c>
      <c r="W64" s="99">
        <v>9400.4265462135736</v>
      </c>
      <c r="X64" s="99">
        <v>10.959066800544944</v>
      </c>
      <c r="Y64" s="99">
        <v>11059.890215109956</v>
      </c>
      <c r="Z64" s="99">
        <v>7.7623982922364974</v>
      </c>
      <c r="AA64" s="99">
        <v>7833.8123565250717</v>
      </c>
      <c r="AB64" s="99">
        <v>6</v>
      </c>
      <c r="AC64" s="99">
        <v>6055.1999999999989</v>
      </c>
      <c r="AD64" s="99">
        <v>8.8566567688628126</v>
      </c>
      <c r="AE64" s="99">
        <v>8938.1380111363487</v>
      </c>
      <c r="AF64" s="99">
        <v>7.0536446284821288</v>
      </c>
      <c r="AG64" s="99">
        <v>7118.5381590641628</v>
      </c>
      <c r="AH64" s="99">
        <v>8.4110434089829358</v>
      </c>
      <c r="AI64" s="99">
        <v>8488.4250083455772</v>
      </c>
      <c r="AJ64" s="99">
        <v>6.2139696951807872</v>
      </c>
      <c r="AK64" s="99">
        <v>6271.1382163764492</v>
      </c>
      <c r="AL64" s="99">
        <v>6.5918337287782371</v>
      </c>
      <c r="AM64" s="99">
        <v>6652.478599082996</v>
      </c>
      <c r="AN64" s="99">
        <v>1.4807794247810431</v>
      </c>
      <c r="AO64" s="99">
        <v>1494.4025954890285</v>
      </c>
      <c r="AP64" s="99">
        <v>5.5105419283332138</v>
      </c>
      <c r="AQ64" s="99">
        <v>5561.2389140738787</v>
      </c>
      <c r="AR64" s="99">
        <v>11</v>
      </c>
      <c r="AS64" s="99">
        <v>11101.199999999997</v>
      </c>
      <c r="AT64" s="99">
        <v>6</v>
      </c>
      <c r="AU64" s="99">
        <v>6055.1999999999989</v>
      </c>
      <c r="AV64" s="99">
        <v>8</v>
      </c>
      <c r="AW64" s="99">
        <v>8073.5999999999985</v>
      </c>
      <c r="AX64" s="99">
        <v>8.5904689880895457</v>
      </c>
      <c r="AY64" s="99">
        <v>8669.5013027799687</v>
      </c>
      <c r="AZ64" s="99">
        <v>6</v>
      </c>
      <c r="BA64" s="99">
        <v>6055.1999999999989</v>
      </c>
      <c r="BB64" s="99">
        <v>6.831482397419431</v>
      </c>
      <c r="BC64" s="99">
        <v>6894.3320354756888</v>
      </c>
      <c r="BD64" s="99">
        <v>9</v>
      </c>
      <c r="BE64" s="99">
        <v>9082.7999999999993</v>
      </c>
      <c r="BF64" s="99">
        <v>8</v>
      </c>
      <c r="BG64" s="99">
        <v>8073.5999999999985</v>
      </c>
      <c r="BH64" s="99">
        <v>9.3752748730210484</v>
      </c>
      <c r="BI64" s="99">
        <v>9461.5274018528398</v>
      </c>
      <c r="BJ64" s="99">
        <v>9.8325889157564408</v>
      </c>
      <c r="BK64" s="99">
        <v>9923.0487337813975</v>
      </c>
      <c r="BL64" s="99">
        <v>6</v>
      </c>
      <c r="BM64" s="99">
        <v>6055.1999999999989</v>
      </c>
      <c r="BN64" s="99">
        <v>8.322475768639336</v>
      </c>
      <c r="BO64" s="99">
        <v>8399.0425457108158</v>
      </c>
      <c r="BP64" s="99">
        <v>9.4854817039234707</v>
      </c>
      <c r="BQ64" s="99">
        <v>9572.7481355995642</v>
      </c>
      <c r="BR64" s="99">
        <v>6.0561854334038348</v>
      </c>
      <c r="BS64" s="99">
        <v>6111.9023393911493</v>
      </c>
      <c r="BT64" s="99">
        <v>1.9893942684949222</v>
      </c>
      <c r="BU64" s="99">
        <v>2007.696695765075</v>
      </c>
      <c r="BV64" s="99">
        <v>8.9150177982765566</v>
      </c>
      <c r="BW64" s="99">
        <v>8997.0359620207</v>
      </c>
      <c r="BX64" s="99">
        <v>8.9957384699985834</v>
      </c>
      <c r="BY64" s="99">
        <v>9078.4992639225693</v>
      </c>
      <c r="BZ64" s="99">
        <v>3.3285288003739035</v>
      </c>
      <c r="CA64" s="99">
        <v>3359.1512653373429</v>
      </c>
      <c r="CB64" s="99">
        <v>5.658177557354465</v>
      </c>
      <c r="CC64" s="99">
        <v>5710.2327908821253</v>
      </c>
      <c r="CD64" s="99">
        <v>6.5734539695479004</v>
      </c>
      <c r="CE64" s="99">
        <v>6633.9297460677399</v>
      </c>
      <c r="CF64" s="99">
        <v>7</v>
      </c>
      <c r="CG64" s="99">
        <v>7064.3999999999987</v>
      </c>
      <c r="CH64" s="99">
        <v>9</v>
      </c>
      <c r="CI64" s="99">
        <v>9082.7999999999993</v>
      </c>
      <c r="CJ64" s="99">
        <v>6.8277741200136672</v>
      </c>
      <c r="CK64" s="99">
        <v>6890.5896419177916</v>
      </c>
      <c r="CL64" s="99">
        <v>1.2029122665712799</v>
      </c>
      <c r="CM64" s="99">
        <v>1213.9790594237354</v>
      </c>
      <c r="CN64" s="99">
        <v>6.7661429900756982</v>
      </c>
      <c r="CO64" s="99">
        <v>6828.3915055843936</v>
      </c>
      <c r="CP64" s="99">
        <v>2.9988127288063402</v>
      </c>
      <c r="CQ64" s="99">
        <v>3026.4018059113578</v>
      </c>
      <c r="CR64" s="99">
        <v>8.0342198024608518</v>
      </c>
      <c r="CS64" s="99">
        <v>8108.1346246434905</v>
      </c>
      <c r="CT64" s="99">
        <v>7.16963461547099</v>
      </c>
      <c r="CU64" s="99">
        <v>7235.5952539333221</v>
      </c>
    </row>
    <row r="65" spans="2:99">
      <c r="C65" s="98" t="s">
        <v>231</v>
      </c>
      <c r="D65" s="99">
        <v>1.0191882154632603</v>
      </c>
      <c r="E65" s="99">
        <v>1045.6871090653051</v>
      </c>
      <c r="F65" s="99">
        <v>6.5188000012130347</v>
      </c>
      <c r="G65" s="99">
        <v>6688.2888012445737</v>
      </c>
      <c r="H65" s="99">
        <v>1.0654091169018061</v>
      </c>
      <c r="I65" s="99">
        <v>1093.1097539412531</v>
      </c>
      <c r="J65" s="99">
        <v>8.4382708866618188</v>
      </c>
      <c r="K65" s="99">
        <v>8657.6659297150254</v>
      </c>
      <c r="L65" s="99">
        <v>6</v>
      </c>
      <c r="M65" s="99">
        <v>6156</v>
      </c>
      <c r="N65" s="99">
        <v>7</v>
      </c>
      <c r="O65" s="99">
        <v>7182</v>
      </c>
      <c r="P65" s="99">
        <v>8</v>
      </c>
      <c r="Q65" s="99">
        <v>8208</v>
      </c>
      <c r="R65" s="99">
        <v>9.7603216237540487</v>
      </c>
      <c r="S65" s="99">
        <v>10014.089985971654</v>
      </c>
      <c r="T65" s="99">
        <v>9.2630604151763283</v>
      </c>
      <c r="U65" s="99">
        <v>9503.8999859709129</v>
      </c>
      <c r="V65" s="99">
        <v>9.3147310208220127</v>
      </c>
      <c r="W65" s="99">
        <v>9556.9140273633857</v>
      </c>
      <c r="X65" s="99">
        <v>10.959066800544944</v>
      </c>
      <c r="Y65" s="99">
        <v>11244.002537359112</v>
      </c>
      <c r="Z65" s="99">
        <v>8.7326980787660595</v>
      </c>
      <c r="AA65" s="99">
        <v>8959.7482288139763</v>
      </c>
      <c r="AB65" s="99">
        <v>6</v>
      </c>
      <c r="AC65" s="99">
        <v>6156</v>
      </c>
      <c r="AD65" s="99">
        <v>8.8566567688628126</v>
      </c>
      <c r="AE65" s="99">
        <v>9086.9298448532463</v>
      </c>
      <c r="AF65" s="99">
        <v>6.0729763168421815</v>
      </c>
      <c r="AG65" s="99">
        <v>6230.8737010800778</v>
      </c>
      <c r="AH65" s="99">
        <v>7.5215909359029176</v>
      </c>
      <c r="AI65" s="99">
        <v>7717.1523002363938</v>
      </c>
      <c r="AJ65" s="99">
        <v>7.1016796516351848</v>
      </c>
      <c r="AK65" s="99">
        <v>7286.3233225776994</v>
      </c>
      <c r="AL65" s="99">
        <v>7.5918337287782371</v>
      </c>
      <c r="AM65" s="99">
        <v>7789.2214057264709</v>
      </c>
      <c r="AN65" s="99">
        <v>1.4909897042674241</v>
      </c>
      <c r="AO65" s="99">
        <v>1529.7554365783772</v>
      </c>
      <c r="AP65" s="99">
        <v>5.5105419283332138</v>
      </c>
      <c r="AQ65" s="99">
        <v>5653.8160184698772</v>
      </c>
      <c r="AR65" s="99">
        <v>10</v>
      </c>
      <c r="AS65" s="99">
        <v>10260</v>
      </c>
      <c r="AT65" s="99">
        <v>5</v>
      </c>
      <c r="AU65" s="99">
        <v>5130</v>
      </c>
      <c r="AV65" s="99">
        <v>9</v>
      </c>
      <c r="AW65" s="99">
        <v>9234</v>
      </c>
      <c r="AX65" s="99">
        <v>9.5449655423217177</v>
      </c>
      <c r="AY65" s="99">
        <v>9793.1346464220824</v>
      </c>
      <c r="AZ65" s="99">
        <v>6</v>
      </c>
      <c r="BA65" s="99">
        <v>6156</v>
      </c>
      <c r="BB65" s="99">
        <v>6.831482397419431</v>
      </c>
      <c r="BC65" s="99">
        <v>7009.1009397523358</v>
      </c>
      <c r="BD65" s="99">
        <v>9</v>
      </c>
      <c r="BE65" s="99">
        <v>9234</v>
      </c>
      <c r="BF65" s="99">
        <v>8</v>
      </c>
      <c r="BG65" s="99">
        <v>8208</v>
      </c>
      <c r="BH65" s="99">
        <v>9.3752748730210484</v>
      </c>
      <c r="BI65" s="99">
        <v>9619.0320197195961</v>
      </c>
      <c r="BJ65" s="99">
        <v>9.8702201543146391</v>
      </c>
      <c r="BK65" s="99">
        <v>10126.84587832682</v>
      </c>
      <c r="BL65" s="99">
        <v>5</v>
      </c>
      <c r="BM65" s="99">
        <v>5130</v>
      </c>
      <c r="BN65" s="99">
        <v>8.212017319571677</v>
      </c>
      <c r="BO65" s="99">
        <v>8425.5297698805407</v>
      </c>
      <c r="BP65" s="99">
        <v>10.434029874315817</v>
      </c>
      <c r="BQ65" s="99">
        <v>10705.314651048027</v>
      </c>
      <c r="BR65" s="99">
        <v>6.0561854334038348</v>
      </c>
      <c r="BS65" s="99">
        <v>6213.6462546723342</v>
      </c>
      <c r="BT65" s="99">
        <v>1.9893942684949222</v>
      </c>
      <c r="BU65" s="99">
        <v>2041.1185194757902</v>
      </c>
      <c r="BV65" s="99">
        <v>8.9150177982765566</v>
      </c>
      <c r="BW65" s="99">
        <v>9146.808261031747</v>
      </c>
      <c r="BX65" s="99">
        <v>8</v>
      </c>
      <c r="BY65" s="99">
        <v>8208</v>
      </c>
      <c r="BZ65" s="99">
        <v>3.3136661866004293</v>
      </c>
      <c r="CA65" s="99">
        <v>3399.8215074520404</v>
      </c>
      <c r="CB65" s="99">
        <v>6.470983834388095</v>
      </c>
      <c r="CC65" s="99">
        <v>6639.229414082185</v>
      </c>
      <c r="CD65" s="99">
        <v>6.5734539695479004</v>
      </c>
      <c r="CE65" s="99">
        <v>6744.3637727561454</v>
      </c>
      <c r="CF65" s="99">
        <v>7</v>
      </c>
      <c r="CG65" s="99">
        <v>7182</v>
      </c>
      <c r="CH65" s="99">
        <v>9</v>
      </c>
      <c r="CI65" s="99">
        <v>9234</v>
      </c>
      <c r="CJ65" s="99">
        <v>5.8523778171545731</v>
      </c>
      <c r="CK65" s="99">
        <v>6004.5396404005924</v>
      </c>
      <c r="CL65" s="99">
        <v>1.0958617144187777</v>
      </c>
      <c r="CM65" s="99">
        <v>1124.3541189936659</v>
      </c>
      <c r="CN65" s="99">
        <v>6.7661429900756982</v>
      </c>
      <c r="CO65" s="99">
        <v>6942.0627078176667</v>
      </c>
      <c r="CP65" s="99">
        <v>2.6656113144945244</v>
      </c>
      <c r="CQ65" s="99">
        <v>2734.917208671382</v>
      </c>
      <c r="CR65" s="99">
        <v>7.3519384665031229</v>
      </c>
      <c r="CS65" s="99">
        <v>7543.0888666322044</v>
      </c>
      <c r="CT65" s="99">
        <v>8.3158389424048629</v>
      </c>
      <c r="CU65" s="99">
        <v>8532.05075490739</v>
      </c>
    </row>
    <row r="66" spans="2:99">
      <c r="C66" s="98" t="s">
        <v>232</v>
      </c>
      <c r="D66" s="99">
        <v>0.89592037787907786</v>
      </c>
      <c r="E66" s="99">
        <v>1066.5036178272542</v>
      </c>
      <c r="F66" s="99">
        <v>7.145642433432811</v>
      </c>
      <c r="G66" s="99">
        <v>8506.1727527584171</v>
      </c>
      <c r="H66" s="99">
        <v>0.94138702336738289</v>
      </c>
      <c r="I66" s="99">
        <v>1120.6271126165325</v>
      </c>
      <c r="J66" s="99">
        <v>9.5113160344387904</v>
      </c>
      <c r="K66" s="99">
        <v>11322.270607395934</v>
      </c>
      <c r="L66" s="99">
        <v>6</v>
      </c>
      <c r="M66" s="99">
        <v>7142.4</v>
      </c>
      <c r="N66" s="99">
        <v>7</v>
      </c>
      <c r="O66" s="99">
        <v>8332.7999999999993</v>
      </c>
      <c r="P66" s="99">
        <v>9</v>
      </c>
      <c r="Q66" s="99">
        <v>10713.599999999999</v>
      </c>
      <c r="R66" s="99">
        <v>8.7842894613786449</v>
      </c>
      <c r="S66" s="99">
        <v>10456.818174825137</v>
      </c>
      <c r="T66" s="99">
        <v>9.2630604151763283</v>
      </c>
      <c r="U66" s="99">
        <v>11026.7471182259</v>
      </c>
      <c r="V66" s="99">
        <v>9.3147310208220127</v>
      </c>
      <c r="W66" s="99">
        <v>11088.255807186522</v>
      </c>
      <c r="X66" s="99">
        <v>9.9627880004954044</v>
      </c>
      <c r="Y66" s="99">
        <v>11859.702835789729</v>
      </c>
      <c r="Z66" s="99">
        <v>7.7623982922364974</v>
      </c>
      <c r="AA66" s="99">
        <v>9240.358927078325</v>
      </c>
      <c r="AB66" s="99">
        <v>5</v>
      </c>
      <c r="AC66" s="99">
        <v>5951.9999999999991</v>
      </c>
      <c r="AD66" s="99">
        <v>8.8566567688628126</v>
      </c>
      <c r="AE66" s="99">
        <v>10542.964217654291</v>
      </c>
      <c r="AF66" s="99">
        <v>6.1202179285928064</v>
      </c>
      <c r="AG66" s="99">
        <v>7285.5074221968762</v>
      </c>
      <c r="AH66" s="99">
        <v>8.4110434089829358</v>
      </c>
      <c r="AI66" s="99">
        <v>10012.506074053286</v>
      </c>
      <c r="AJ66" s="99">
        <v>6.2139696951807872</v>
      </c>
      <c r="AK66" s="99">
        <v>7397.109525143208</v>
      </c>
      <c r="AL66" s="99">
        <v>6.5918337287782371</v>
      </c>
      <c r="AM66" s="99">
        <v>7846.9188707376125</v>
      </c>
      <c r="AN66" s="99">
        <v>1.4093074683763764</v>
      </c>
      <c r="AO66" s="99">
        <v>1677.6396103552383</v>
      </c>
      <c r="AP66" s="99">
        <v>5.5105419283332138</v>
      </c>
      <c r="AQ66" s="99">
        <v>6559.7491114878567</v>
      </c>
      <c r="AR66" s="99">
        <v>11</v>
      </c>
      <c r="AS66" s="99">
        <v>13094.399999999998</v>
      </c>
      <c r="AT66" s="99">
        <v>6</v>
      </c>
      <c r="AU66" s="99">
        <v>7142.4</v>
      </c>
      <c r="AV66" s="99">
        <v>7</v>
      </c>
      <c r="AW66" s="99">
        <v>8332.7999999999993</v>
      </c>
      <c r="AX66" s="99">
        <v>8.5904689880895457</v>
      </c>
      <c r="AY66" s="99">
        <v>10226.094283421795</v>
      </c>
      <c r="AZ66" s="99">
        <v>6</v>
      </c>
      <c r="BA66" s="99">
        <v>7142.4</v>
      </c>
      <c r="BB66" s="99">
        <v>6.831482397419431</v>
      </c>
      <c r="BC66" s="99">
        <v>8132.1966458880897</v>
      </c>
      <c r="BD66" s="99">
        <v>9</v>
      </c>
      <c r="BE66" s="99">
        <v>10713.599999999999</v>
      </c>
      <c r="BF66" s="99">
        <v>9</v>
      </c>
      <c r="BG66" s="99">
        <v>10713.599999999999</v>
      </c>
      <c r="BH66" s="99">
        <v>9.3752748730210484</v>
      </c>
      <c r="BI66" s="99">
        <v>11160.327208844255</v>
      </c>
      <c r="BJ66" s="99">
        <v>8.9968745648230719</v>
      </c>
      <c r="BK66" s="99">
        <v>10709.879481965383</v>
      </c>
      <c r="BL66" s="99">
        <v>5</v>
      </c>
      <c r="BM66" s="99">
        <v>5951.9999999999991</v>
      </c>
      <c r="BN66" s="99">
        <v>7.3926247466270789</v>
      </c>
      <c r="BO66" s="99">
        <v>8800.1804983848742</v>
      </c>
      <c r="BP66" s="99">
        <v>8.5369335335311227</v>
      </c>
      <c r="BQ66" s="99">
        <v>10162.365678315447</v>
      </c>
      <c r="BR66" s="99">
        <v>5.1347140242115623</v>
      </c>
      <c r="BS66" s="99">
        <v>6112.3635744214434</v>
      </c>
      <c r="BT66" s="99">
        <v>1.8199021235977768</v>
      </c>
      <c r="BU66" s="99">
        <v>2166.4114879307931</v>
      </c>
      <c r="BV66" s="99">
        <v>9.6742890763328777</v>
      </c>
      <c r="BW66" s="99">
        <v>11516.273716466656</v>
      </c>
      <c r="BX66" s="99">
        <v>7</v>
      </c>
      <c r="BY66" s="99">
        <v>8332.7999999999993</v>
      </c>
      <c r="BZ66" s="99">
        <v>3.1650400488656851</v>
      </c>
      <c r="CA66" s="99">
        <v>3767.6636741697112</v>
      </c>
      <c r="CB66" s="99">
        <v>5.5107394570843429</v>
      </c>
      <c r="CC66" s="99">
        <v>6559.9842497132013</v>
      </c>
      <c r="CD66" s="99">
        <v>6.5734539695479004</v>
      </c>
      <c r="CE66" s="99">
        <v>7825.0396053498198</v>
      </c>
      <c r="CF66" s="99">
        <v>7</v>
      </c>
      <c r="CG66" s="99">
        <v>8332.7999999999993</v>
      </c>
      <c r="CH66" s="99">
        <v>9</v>
      </c>
      <c r="CI66" s="99">
        <v>10713.599999999999</v>
      </c>
      <c r="CJ66" s="99">
        <v>6.8277741200136672</v>
      </c>
      <c r="CK66" s="99">
        <v>8127.7823124642682</v>
      </c>
      <c r="CL66" s="99">
        <v>1.2029122665712799</v>
      </c>
      <c r="CM66" s="99">
        <v>1431.9467621264514</v>
      </c>
      <c r="CN66" s="99">
        <v>7.6129143920605591</v>
      </c>
      <c r="CO66" s="99">
        <v>9062.4132923088891</v>
      </c>
      <c r="CP66" s="99">
        <v>2.6656113144945244</v>
      </c>
      <c r="CQ66" s="99">
        <v>3173.1437087742815</v>
      </c>
      <c r="CR66" s="99">
        <v>7.2762255638229005</v>
      </c>
      <c r="CS66" s="99">
        <v>8661.618911174779</v>
      </c>
      <c r="CT66" s="99">
        <v>8.0234302885371154</v>
      </c>
      <c r="CU66" s="99">
        <v>9551.0914154745806</v>
      </c>
    </row>
    <row r="67" spans="2:99">
      <c r="C67" s="98" t="s">
        <v>233</v>
      </c>
      <c r="D67" s="99">
        <v>0.89592037787907786</v>
      </c>
      <c r="E67" s="99">
        <v>1006.2977684337803</v>
      </c>
      <c r="F67" s="99">
        <v>7.1873717132686892</v>
      </c>
      <c r="G67" s="99">
        <v>8072.855908343392</v>
      </c>
      <c r="H67" s="99">
        <v>0.94138702336738289</v>
      </c>
      <c r="I67" s="99">
        <v>1057.3659046462444</v>
      </c>
      <c r="J67" s="99">
        <v>8.4382708866618188</v>
      </c>
      <c r="K67" s="99">
        <v>9477.8658598985548</v>
      </c>
      <c r="L67" s="99">
        <v>6</v>
      </c>
      <c r="M67" s="99">
        <v>6739.2000000000007</v>
      </c>
      <c r="N67" s="99">
        <v>7</v>
      </c>
      <c r="O67" s="99">
        <v>7862.4000000000005</v>
      </c>
      <c r="P67" s="99">
        <v>9</v>
      </c>
      <c r="Q67" s="99">
        <v>10108.800000000001</v>
      </c>
      <c r="R67" s="99">
        <v>9.7603216237540487</v>
      </c>
      <c r="S67" s="99">
        <v>10962.793247800548</v>
      </c>
      <c r="T67" s="99">
        <v>10.189366456693962</v>
      </c>
      <c r="U67" s="99">
        <v>11444.69640415866</v>
      </c>
      <c r="V67" s="99">
        <v>9.3147310208220127</v>
      </c>
      <c r="W67" s="99">
        <v>10462.305882587285</v>
      </c>
      <c r="X67" s="99">
        <v>8.9665092004458629</v>
      </c>
      <c r="Y67" s="99">
        <v>10071.183133940793</v>
      </c>
      <c r="Z67" s="99">
        <v>8.7326980787660595</v>
      </c>
      <c r="AA67" s="99">
        <v>9808.5664820700385</v>
      </c>
      <c r="AB67" s="99">
        <v>6</v>
      </c>
      <c r="AC67" s="99">
        <v>6739.2000000000007</v>
      </c>
      <c r="AD67" s="99">
        <v>8.8566567688628126</v>
      </c>
      <c r="AE67" s="99">
        <v>9947.7968827867116</v>
      </c>
      <c r="AF67" s="99">
        <v>6.1202179285928064</v>
      </c>
      <c r="AG67" s="99">
        <v>6874.2287773954404</v>
      </c>
      <c r="AH67" s="99">
        <v>8.4110434089829358</v>
      </c>
      <c r="AI67" s="99">
        <v>9447.2839569696334</v>
      </c>
      <c r="AJ67" s="99">
        <v>6.2139696951807872</v>
      </c>
      <c r="AK67" s="99">
        <v>6979.5307616270602</v>
      </c>
      <c r="AL67" s="99">
        <v>6.5918337287782371</v>
      </c>
      <c r="AM67" s="99">
        <v>7403.9476441637162</v>
      </c>
      <c r="AN67" s="99">
        <v>1.4807794247810431</v>
      </c>
      <c r="AO67" s="99">
        <v>1663.2114499140675</v>
      </c>
      <c r="AP67" s="99">
        <v>5.5105419283332138</v>
      </c>
      <c r="AQ67" s="99">
        <v>6189.4406939038663</v>
      </c>
      <c r="AR67" s="99">
        <v>11</v>
      </c>
      <c r="AS67" s="99">
        <v>12355.2</v>
      </c>
      <c r="AT67" s="99">
        <v>6</v>
      </c>
      <c r="AU67" s="99">
        <v>6739.2000000000007</v>
      </c>
      <c r="AV67" s="99">
        <v>8</v>
      </c>
      <c r="AW67" s="99">
        <v>8985.6</v>
      </c>
      <c r="AX67" s="99">
        <v>8.5904689880895457</v>
      </c>
      <c r="AY67" s="99">
        <v>9648.8147674221782</v>
      </c>
      <c r="AZ67" s="99">
        <v>6</v>
      </c>
      <c r="BA67" s="99">
        <v>6739.2000000000007</v>
      </c>
      <c r="BB67" s="99">
        <v>6.831482397419431</v>
      </c>
      <c r="BC67" s="99">
        <v>7673.1210287815056</v>
      </c>
      <c r="BD67" s="99">
        <v>8</v>
      </c>
      <c r="BE67" s="99">
        <v>8985.6</v>
      </c>
      <c r="BF67" s="99">
        <v>8</v>
      </c>
      <c r="BG67" s="99">
        <v>8985.6</v>
      </c>
      <c r="BH67" s="99">
        <v>8.4377473857189447</v>
      </c>
      <c r="BI67" s="99">
        <v>9477.2778636395196</v>
      </c>
      <c r="BJ67" s="99">
        <v>8.0858977367733065</v>
      </c>
      <c r="BK67" s="99">
        <v>9082.0803379437784</v>
      </c>
      <c r="BL67" s="99">
        <v>5.524550477313765</v>
      </c>
      <c r="BM67" s="99">
        <v>6205.1750961188209</v>
      </c>
      <c r="BN67" s="99">
        <v>7.282166297559419</v>
      </c>
      <c r="BO67" s="99">
        <v>8179.3291854187401</v>
      </c>
      <c r="BP67" s="99">
        <v>8.5369335335311227</v>
      </c>
      <c r="BQ67" s="99">
        <v>9588.6837448621573</v>
      </c>
      <c r="BR67" s="99">
        <v>6.0561854334038348</v>
      </c>
      <c r="BS67" s="99">
        <v>6802.3074787991873</v>
      </c>
      <c r="BT67" s="99">
        <v>1.8199021235977768</v>
      </c>
      <c r="BU67" s="99">
        <v>2044.1140652250231</v>
      </c>
      <c r="BV67" s="99">
        <v>8.9150177982765566</v>
      </c>
      <c r="BW67" s="99">
        <v>10013.347991024229</v>
      </c>
      <c r="BX67" s="99">
        <v>9.1202057787484048</v>
      </c>
      <c r="BY67" s="99">
        <v>10243.815130690209</v>
      </c>
      <c r="BZ67" s="99">
        <v>2.961995070059797</v>
      </c>
      <c r="CA67" s="99">
        <v>3326.9128626911643</v>
      </c>
      <c r="CB67" s="99">
        <v>5.6541639760997304</v>
      </c>
      <c r="CC67" s="99">
        <v>6350.7569779552177</v>
      </c>
      <c r="CD67" s="99">
        <v>6.5734539695479004</v>
      </c>
      <c r="CE67" s="99">
        <v>7383.3034985962022</v>
      </c>
      <c r="CF67" s="99">
        <v>6</v>
      </c>
      <c r="CG67" s="99">
        <v>6739.2000000000007</v>
      </c>
      <c r="CH67" s="99">
        <v>9</v>
      </c>
      <c r="CI67" s="99">
        <v>10108.800000000001</v>
      </c>
      <c r="CJ67" s="99">
        <v>5.8523778171545731</v>
      </c>
      <c r="CK67" s="99">
        <v>6573.3907642280165</v>
      </c>
      <c r="CL67" s="99">
        <v>1.0958617144187777</v>
      </c>
      <c r="CM67" s="99">
        <v>1230.8718776351711</v>
      </c>
      <c r="CN67" s="99">
        <v>6.7661429900756982</v>
      </c>
      <c r="CO67" s="99">
        <v>7599.7318064530245</v>
      </c>
      <c r="CP67" s="99">
        <v>2.6656113144945244</v>
      </c>
      <c r="CQ67" s="99">
        <v>2994.0146284402499</v>
      </c>
      <c r="CR67" s="99">
        <v>7.2762255638229005</v>
      </c>
      <c r="CS67" s="99">
        <v>8172.6565532858822</v>
      </c>
      <c r="CT67" s="99">
        <v>7.3158389424048638</v>
      </c>
      <c r="CU67" s="99">
        <v>8217.1503001091442</v>
      </c>
    </row>
    <row r="68" spans="2:99">
      <c r="C68" s="98" t="s">
        <v>234</v>
      </c>
      <c r="D68" s="99">
        <v>1.0191882154632603</v>
      </c>
      <c r="E68" s="99">
        <v>1053.0252642166406</v>
      </c>
      <c r="F68" s="99">
        <v>5.9336868488291357</v>
      </c>
      <c r="G68" s="99">
        <v>6130.6852522102636</v>
      </c>
      <c r="H68" s="99">
        <v>1.048479208599139</v>
      </c>
      <c r="I68" s="99">
        <v>1083.2887183246305</v>
      </c>
      <c r="J68" s="99">
        <v>9.5113160344387904</v>
      </c>
      <c r="K68" s="99">
        <v>9827.0917267821587</v>
      </c>
      <c r="L68" s="99">
        <v>6</v>
      </c>
      <c r="M68" s="99">
        <v>6199.2000000000007</v>
      </c>
      <c r="N68" s="99">
        <v>7</v>
      </c>
      <c r="O68" s="99">
        <v>7232.4000000000005</v>
      </c>
      <c r="P68" s="99">
        <v>9</v>
      </c>
      <c r="Q68" s="99">
        <v>9298.8000000000011</v>
      </c>
      <c r="R68" s="99">
        <v>8.7842894613786449</v>
      </c>
      <c r="S68" s="99">
        <v>9075.9278714964166</v>
      </c>
      <c r="T68" s="99">
        <v>10.189366456693962</v>
      </c>
      <c r="U68" s="99">
        <v>10527.653423056203</v>
      </c>
      <c r="V68" s="99">
        <v>9.3147310208220127</v>
      </c>
      <c r="W68" s="99">
        <v>9623.9800907133031</v>
      </c>
      <c r="X68" s="99">
        <v>9.9627880004954044</v>
      </c>
      <c r="Y68" s="99">
        <v>10293.552562111852</v>
      </c>
      <c r="Z68" s="99">
        <v>7.7623982922364974</v>
      </c>
      <c r="AA68" s="99">
        <v>8020.1099155387492</v>
      </c>
      <c r="AB68" s="99">
        <v>7</v>
      </c>
      <c r="AC68" s="99">
        <v>7232.4000000000005</v>
      </c>
      <c r="AD68" s="99">
        <v>8.8566567688628126</v>
      </c>
      <c r="AE68" s="99">
        <v>9150.6977735890578</v>
      </c>
      <c r="AF68" s="99">
        <v>6.1202179285928064</v>
      </c>
      <c r="AG68" s="99">
        <v>6323.409163822088</v>
      </c>
      <c r="AH68" s="99">
        <v>8.4110434089829358</v>
      </c>
      <c r="AI68" s="99">
        <v>8690.2900501611693</v>
      </c>
      <c r="AJ68" s="99">
        <v>7.1016796516351848</v>
      </c>
      <c r="AK68" s="99">
        <v>7337.4554160694734</v>
      </c>
      <c r="AL68" s="99">
        <v>6.6763814043179863</v>
      </c>
      <c r="AM68" s="99">
        <v>6898.0372669413437</v>
      </c>
      <c r="AN68" s="99">
        <v>1.4807794247810431</v>
      </c>
      <c r="AO68" s="99">
        <v>1529.9413016837739</v>
      </c>
      <c r="AP68" s="99">
        <v>6.5105419283332138</v>
      </c>
      <c r="AQ68" s="99">
        <v>6726.6919203538764</v>
      </c>
      <c r="AR68" s="99">
        <v>10</v>
      </c>
      <c r="AS68" s="99">
        <v>10332</v>
      </c>
      <c r="AT68" s="99">
        <v>6</v>
      </c>
      <c r="AU68" s="99">
        <v>6199.2000000000007</v>
      </c>
      <c r="AV68" s="99">
        <v>9</v>
      </c>
      <c r="AW68" s="99">
        <v>9298.8000000000011</v>
      </c>
      <c r="AX68" s="99">
        <v>8.5904689880895457</v>
      </c>
      <c r="AY68" s="99">
        <v>8875.6725584941196</v>
      </c>
      <c r="AZ68" s="99">
        <v>6</v>
      </c>
      <c r="BA68" s="99">
        <v>6199.2000000000007</v>
      </c>
      <c r="BB68" s="99">
        <v>6.831482397419431</v>
      </c>
      <c r="BC68" s="99">
        <v>7058.2876130137565</v>
      </c>
      <c r="BD68" s="99">
        <v>8</v>
      </c>
      <c r="BE68" s="99">
        <v>8265.6</v>
      </c>
      <c r="BF68" s="99">
        <v>8</v>
      </c>
      <c r="BG68" s="99">
        <v>8265.6</v>
      </c>
      <c r="BH68" s="99">
        <v>9.3752748730210484</v>
      </c>
      <c r="BI68" s="99">
        <v>9686.5339988053474</v>
      </c>
      <c r="BJ68" s="99">
        <v>8.9968745648230719</v>
      </c>
      <c r="BK68" s="99">
        <v>9295.5708003751988</v>
      </c>
      <c r="BL68" s="99">
        <v>5.524550477313765</v>
      </c>
      <c r="BM68" s="99">
        <v>5707.9655531605822</v>
      </c>
      <c r="BN68" s="99">
        <v>7.282166297559419</v>
      </c>
      <c r="BO68" s="99">
        <v>7523.9342186383919</v>
      </c>
      <c r="BP68" s="99">
        <v>10.434029874315817</v>
      </c>
      <c r="BQ68" s="99">
        <v>10780.439666143102</v>
      </c>
      <c r="BR68" s="99">
        <v>5.2401854198616018</v>
      </c>
      <c r="BS68" s="99">
        <v>5414.1595758010071</v>
      </c>
      <c r="BT68" s="99">
        <v>1.7926100668671525</v>
      </c>
      <c r="BU68" s="99">
        <v>1852.124721087142</v>
      </c>
      <c r="BV68" s="99">
        <v>8.0779638721194491</v>
      </c>
      <c r="BW68" s="99">
        <v>8346.1522726738149</v>
      </c>
      <c r="BX68" s="99">
        <v>7</v>
      </c>
      <c r="BY68" s="99">
        <v>7232.4000000000005</v>
      </c>
      <c r="BZ68" s="99">
        <v>3.6653373031410608</v>
      </c>
      <c r="CA68" s="99">
        <v>3787.026501605344</v>
      </c>
      <c r="CB68" s="99">
        <v>5.6541639760997304</v>
      </c>
      <c r="CC68" s="99">
        <v>5841.8822201062421</v>
      </c>
      <c r="CD68" s="99">
        <v>6.4778783079565834</v>
      </c>
      <c r="CE68" s="99">
        <v>6692.943867780742</v>
      </c>
      <c r="CF68" s="99">
        <v>6</v>
      </c>
      <c r="CG68" s="99">
        <v>6199.2000000000007</v>
      </c>
      <c r="CH68" s="99">
        <v>9</v>
      </c>
      <c r="CI68" s="99">
        <v>9298.8000000000011</v>
      </c>
      <c r="CJ68" s="99">
        <v>5.8523778171545731</v>
      </c>
      <c r="CK68" s="99">
        <v>6046.6767606841049</v>
      </c>
      <c r="CL68" s="99">
        <v>1.2029122665712799</v>
      </c>
      <c r="CM68" s="99">
        <v>1242.8489538214465</v>
      </c>
      <c r="CN68" s="99">
        <v>6.7661429900756982</v>
      </c>
      <c r="CO68" s="99">
        <v>6990.7789373462119</v>
      </c>
      <c r="CP68" s="99">
        <v>2.6656113144945244</v>
      </c>
      <c r="CQ68" s="99">
        <v>2754.1096101357425</v>
      </c>
      <c r="CR68" s="99">
        <v>8.1099327051410732</v>
      </c>
      <c r="CS68" s="99">
        <v>8379.1824709517568</v>
      </c>
      <c r="CT68" s="99">
        <v>8.16963461547099</v>
      </c>
      <c r="CU68" s="99">
        <v>8440.8664847046275</v>
      </c>
    </row>
    <row r="69" spans="2:99">
      <c r="C69" s="98" t="s">
        <v>235</v>
      </c>
      <c r="D69" s="99">
        <v>1.029609105621526</v>
      </c>
      <c r="E69" s="99">
        <v>780.85554570336524</v>
      </c>
      <c r="F69" s="99">
        <v>7.8142141454884655</v>
      </c>
      <c r="G69" s="99">
        <v>5926.3000079384519</v>
      </c>
      <c r="H69" s="99">
        <v>1.172501302133562</v>
      </c>
      <c r="I69" s="99">
        <v>889.22498753809339</v>
      </c>
      <c r="J69" s="99">
        <v>9.5843611822157602</v>
      </c>
      <c r="K69" s="99">
        <v>7268.7795205924322</v>
      </c>
      <c r="L69" s="99">
        <v>6</v>
      </c>
      <c r="M69" s="99">
        <v>4550.3999999999996</v>
      </c>
      <c r="N69" s="99">
        <v>8</v>
      </c>
      <c r="O69" s="99">
        <v>6067.2</v>
      </c>
      <c r="P69" s="99">
        <v>8</v>
      </c>
      <c r="Q69" s="99">
        <v>6067.2</v>
      </c>
      <c r="R69" s="99">
        <v>8.7842894613786449</v>
      </c>
      <c r="S69" s="99">
        <v>6662.0051275095639</v>
      </c>
      <c r="T69" s="99">
        <v>8.336754373658696</v>
      </c>
      <c r="U69" s="99">
        <v>6322.5945169827546</v>
      </c>
      <c r="V69" s="99">
        <v>9.3147310208220127</v>
      </c>
      <c r="W69" s="99">
        <v>7064.2920061914137</v>
      </c>
      <c r="X69" s="99">
        <v>10.959066800544944</v>
      </c>
      <c r="Y69" s="99">
        <v>8311.3562615332849</v>
      </c>
      <c r="Z69" s="99">
        <v>9.7029978652956217</v>
      </c>
      <c r="AA69" s="99">
        <v>7358.7535810401996</v>
      </c>
      <c r="AB69" s="99">
        <v>6</v>
      </c>
      <c r="AC69" s="99">
        <v>4550.3999999999996</v>
      </c>
      <c r="AD69" s="99">
        <v>8.8566567688628126</v>
      </c>
      <c r="AE69" s="99">
        <v>6716.8884935055567</v>
      </c>
      <c r="AF69" s="99">
        <v>6.0729763168421815</v>
      </c>
      <c r="AG69" s="99">
        <v>4605.74523869311</v>
      </c>
      <c r="AH69" s="99">
        <v>9.2425000033111306</v>
      </c>
      <c r="AI69" s="99">
        <v>7009.512002511161</v>
      </c>
      <c r="AJ69" s="99">
        <v>7.1016796516351848</v>
      </c>
      <c r="AK69" s="99">
        <v>5385.9138478001241</v>
      </c>
      <c r="AL69" s="99">
        <v>6.5918337287782371</v>
      </c>
      <c r="AM69" s="99">
        <v>4999.246699905415</v>
      </c>
      <c r="AN69" s="99">
        <v>1.4909897042674241</v>
      </c>
      <c r="AO69" s="99">
        <v>1130.7665917164143</v>
      </c>
      <c r="AP69" s="99">
        <v>6.5105419283332138</v>
      </c>
      <c r="AQ69" s="99">
        <v>4937.5949984479093</v>
      </c>
      <c r="AR69" s="99">
        <v>11</v>
      </c>
      <c r="AS69" s="99">
        <v>8342.4</v>
      </c>
      <c r="AT69" s="99">
        <v>5</v>
      </c>
      <c r="AU69" s="99">
        <v>3792</v>
      </c>
      <c r="AV69" s="99">
        <v>9</v>
      </c>
      <c r="AW69" s="99">
        <v>6825.5999999999995</v>
      </c>
      <c r="AX69" s="99">
        <v>9.5449655423217177</v>
      </c>
      <c r="AY69" s="99">
        <v>7238.9018672967904</v>
      </c>
      <c r="AZ69" s="99">
        <v>6</v>
      </c>
      <c r="BA69" s="99">
        <v>4550.3999999999996</v>
      </c>
      <c r="BB69" s="99">
        <v>6.831482397419431</v>
      </c>
      <c r="BC69" s="99">
        <v>5180.9962502028966</v>
      </c>
      <c r="BD69" s="99">
        <v>9</v>
      </c>
      <c r="BE69" s="99">
        <v>6825.5999999999995</v>
      </c>
      <c r="BF69" s="99">
        <v>9</v>
      </c>
      <c r="BG69" s="99">
        <v>6825.5999999999995</v>
      </c>
      <c r="BH69" s="99">
        <v>8.4377473857189447</v>
      </c>
      <c r="BI69" s="99">
        <v>6399.1876173292476</v>
      </c>
      <c r="BJ69" s="99">
        <v>9.8325889157564408</v>
      </c>
      <c r="BK69" s="99">
        <v>7457.0354337096842</v>
      </c>
      <c r="BL69" s="99">
        <v>6</v>
      </c>
      <c r="BM69" s="99">
        <v>4550.3999999999996</v>
      </c>
      <c r="BN69" s="99">
        <v>8.322475768639336</v>
      </c>
      <c r="BO69" s="99">
        <v>6311.7656229360718</v>
      </c>
      <c r="BP69" s="99">
        <v>8.5369335335311227</v>
      </c>
      <c r="BQ69" s="99">
        <v>6474.4103918300034</v>
      </c>
      <c r="BR69" s="99">
        <v>5.2401854198616018</v>
      </c>
      <c r="BS69" s="99">
        <v>3974.1566224230387</v>
      </c>
      <c r="BT69" s="99">
        <v>2.0166863252255465</v>
      </c>
      <c r="BU69" s="99">
        <v>1529.4549090510543</v>
      </c>
      <c r="BV69" s="99">
        <v>8.8372351501757702</v>
      </c>
      <c r="BW69" s="99">
        <v>6702.1591378933035</v>
      </c>
      <c r="BX69" s="99">
        <v>9</v>
      </c>
      <c r="BY69" s="99">
        <v>6825.5999999999995</v>
      </c>
      <c r="BZ69" s="99">
        <v>3.3136661866004293</v>
      </c>
      <c r="CA69" s="99">
        <v>2513.0844359177654</v>
      </c>
      <c r="CB69" s="99">
        <v>6.4790109968975633</v>
      </c>
      <c r="CC69" s="99">
        <v>4913.6819400471122</v>
      </c>
      <c r="CD69" s="99">
        <v>6.4778783079565834</v>
      </c>
      <c r="CE69" s="99">
        <v>4912.8229087542722</v>
      </c>
      <c r="CF69" s="99">
        <v>7</v>
      </c>
      <c r="CG69" s="99">
        <v>5308.8</v>
      </c>
      <c r="CH69" s="99">
        <v>10</v>
      </c>
      <c r="CI69" s="99">
        <v>7584</v>
      </c>
      <c r="CJ69" s="99">
        <v>6.8277741200136672</v>
      </c>
      <c r="CK69" s="99">
        <v>5178.1838926183655</v>
      </c>
      <c r="CL69" s="99">
        <v>1.3099628187237824</v>
      </c>
      <c r="CM69" s="99">
        <v>993.47580172011658</v>
      </c>
      <c r="CN69" s="99">
        <v>7.7661429900756982</v>
      </c>
      <c r="CO69" s="99">
        <v>5889.8428436734093</v>
      </c>
      <c r="CP69" s="99">
        <v>2.9988127288063402</v>
      </c>
      <c r="CQ69" s="99">
        <v>2274.2995735267282</v>
      </c>
      <c r="CR69" s="99">
        <v>8.0342198024608518</v>
      </c>
      <c r="CS69" s="99">
        <v>6093.15229818631</v>
      </c>
      <c r="CT69" s="99">
        <v>8.3158389424048629</v>
      </c>
      <c r="CU69" s="99">
        <v>6306.7322539198476</v>
      </c>
    </row>
    <row r="70" spans="2:99">
      <c r="C70" s="98" t="s">
        <v>236</v>
      </c>
      <c r="D70" s="99">
        <v>0.88549948772081233</v>
      </c>
      <c r="E70" s="99">
        <v>473.91932582817867</v>
      </c>
      <c r="F70" s="99">
        <v>7.7724848656525873</v>
      </c>
      <c r="G70" s="99">
        <v>4159.8339000972646</v>
      </c>
      <c r="H70" s="99">
        <v>0.95831693167004983</v>
      </c>
      <c r="I70" s="99">
        <v>512.89122182981066</v>
      </c>
      <c r="J70" s="99">
        <v>8.5843611822157602</v>
      </c>
      <c r="K70" s="99">
        <v>4594.3501047218742</v>
      </c>
      <c r="L70" s="99">
        <v>6</v>
      </c>
      <c r="M70" s="99">
        <v>3211.2</v>
      </c>
      <c r="N70" s="99">
        <v>8</v>
      </c>
      <c r="O70" s="99">
        <v>4281.5999999999995</v>
      </c>
      <c r="P70" s="99">
        <v>10</v>
      </c>
      <c r="Q70" s="99">
        <v>5351.9999999999991</v>
      </c>
      <c r="R70" s="99">
        <v>9.7603216237540487</v>
      </c>
      <c r="S70" s="99">
        <v>5223.7241330331663</v>
      </c>
      <c r="T70" s="99">
        <v>9.2630604151763283</v>
      </c>
      <c r="U70" s="99">
        <v>4957.5899342023704</v>
      </c>
      <c r="V70" s="99">
        <v>10.161524749987651</v>
      </c>
      <c r="W70" s="99">
        <v>5438.4480461933899</v>
      </c>
      <c r="X70" s="99">
        <v>10.959066800544944</v>
      </c>
      <c r="Y70" s="99">
        <v>5865.2925516516534</v>
      </c>
      <c r="Z70" s="99">
        <v>7.7623982922364974</v>
      </c>
      <c r="AA70" s="99">
        <v>4154.4355660049732</v>
      </c>
      <c r="AB70" s="99">
        <v>7</v>
      </c>
      <c r="AC70" s="99">
        <v>3746.3999999999996</v>
      </c>
      <c r="AD70" s="99">
        <v>8.8566567688628126</v>
      </c>
      <c r="AE70" s="99">
        <v>4740.0827026953766</v>
      </c>
      <c r="AF70" s="99">
        <v>6.1202179285928064</v>
      </c>
      <c r="AG70" s="99">
        <v>3275.5406353828694</v>
      </c>
      <c r="AH70" s="99">
        <v>9.2425000033111306</v>
      </c>
      <c r="AI70" s="99">
        <v>4946.5860017721161</v>
      </c>
      <c r="AJ70" s="99">
        <v>7.1016796516351848</v>
      </c>
      <c r="AK70" s="99">
        <v>3800.8189495551505</v>
      </c>
      <c r="AL70" s="99">
        <v>6.5918337287782371</v>
      </c>
      <c r="AM70" s="99">
        <v>3527.949411642112</v>
      </c>
      <c r="AN70" s="99">
        <v>1.6475794229759102</v>
      </c>
      <c r="AO70" s="99">
        <v>881.78450717670705</v>
      </c>
      <c r="AP70" s="99">
        <v>5.5956322497220832</v>
      </c>
      <c r="AQ70" s="99">
        <v>2994.7823800512583</v>
      </c>
      <c r="AR70" s="99">
        <v>11</v>
      </c>
      <c r="AS70" s="99">
        <v>5887.1999999999989</v>
      </c>
      <c r="AT70" s="99">
        <v>6</v>
      </c>
      <c r="AU70" s="99">
        <v>3211.2</v>
      </c>
      <c r="AV70" s="99">
        <v>9</v>
      </c>
      <c r="AW70" s="99">
        <v>4816.7999999999993</v>
      </c>
      <c r="AX70" s="99">
        <v>9.5449655423217177</v>
      </c>
      <c r="AY70" s="99">
        <v>5108.4655582505829</v>
      </c>
      <c r="AZ70" s="99">
        <v>6</v>
      </c>
      <c r="BA70" s="99">
        <v>3211.2</v>
      </c>
      <c r="BB70" s="99">
        <v>7.8074084541936362</v>
      </c>
      <c r="BC70" s="99">
        <v>4178.525004684434</v>
      </c>
      <c r="BD70" s="99">
        <v>10</v>
      </c>
      <c r="BE70" s="99">
        <v>5351.9999999999991</v>
      </c>
      <c r="BF70" s="99">
        <v>9</v>
      </c>
      <c r="BG70" s="99">
        <v>4816.7999999999993</v>
      </c>
      <c r="BH70" s="99">
        <v>9.3752748730210484</v>
      </c>
      <c r="BI70" s="99">
        <v>5017.6471120408642</v>
      </c>
      <c r="BJ70" s="99">
        <v>8.9968745648230719</v>
      </c>
      <c r="BK70" s="99">
        <v>4815.1272670933076</v>
      </c>
      <c r="BL70" s="99">
        <v>6</v>
      </c>
      <c r="BM70" s="99">
        <v>3211.2</v>
      </c>
      <c r="BN70" s="99">
        <v>8.212017319571677</v>
      </c>
      <c r="BO70" s="99">
        <v>4395.0716694347611</v>
      </c>
      <c r="BP70" s="99">
        <v>11.382578044708163</v>
      </c>
      <c r="BQ70" s="99">
        <v>6091.9557695278081</v>
      </c>
      <c r="BR70" s="99">
        <v>6.0561854334038348</v>
      </c>
      <c r="BS70" s="99">
        <v>3241.2704439577319</v>
      </c>
      <c r="BT70" s="99">
        <v>1.8471941803284009</v>
      </c>
      <c r="BU70" s="99">
        <v>988.61832531176003</v>
      </c>
      <c r="BV70" s="99">
        <v>8.9150177982765566</v>
      </c>
      <c r="BW70" s="99">
        <v>4771.3175256376126</v>
      </c>
      <c r="BX70" s="99">
        <v>10.120205778748405</v>
      </c>
      <c r="BY70" s="99">
        <v>5416.3341327861453</v>
      </c>
      <c r="BZ70" s="99">
        <v>2.8133689323250537</v>
      </c>
      <c r="CA70" s="99">
        <v>1505.7150525803686</v>
      </c>
      <c r="CB70" s="99">
        <v>6.4749974156428296</v>
      </c>
      <c r="CC70" s="99">
        <v>3465.4186168520419</v>
      </c>
      <c r="CD70" s="99">
        <v>7.5734539695479004</v>
      </c>
      <c r="CE70" s="99">
        <v>4053.3125645020359</v>
      </c>
      <c r="CF70" s="99">
        <v>7</v>
      </c>
      <c r="CG70" s="99">
        <v>3746.3999999999996</v>
      </c>
      <c r="CH70" s="99">
        <v>9</v>
      </c>
      <c r="CI70" s="99">
        <v>4816.7999999999993</v>
      </c>
      <c r="CJ70" s="99">
        <v>5.8523778171545731</v>
      </c>
      <c r="CK70" s="99">
        <v>3132.1926077411272</v>
      </c>
      <c r="CL70" s="99">
        <v>1.2029122665712799</v>
      </c>
      <c r="CM70" s="99">
        <v>643.79864506894899</v>
      </c>
      <c r="CN70" s="99">
        <v>7.9193715880908382</v>
      </c>
      <c r="CO70" s="99">
        <v>4238.4476739462161</v>
      </c>
      <c r="CP70" s="99">
        <v>3.3320141431181556</v>
      </c>
      <c r="CQ70" s="99">
        <v>1783.2939693968367</v>
      </c>
      <c r="CR70" s="99">
        <v>8.0342198024608518</v>
      </c>
      <c r="CS70" s="99">
        <v>4299.9144382770473</v>
      </c>
      <c r="CT70" s="99">
        <v>7.3158389424048638</v>
      </c>
      <c r="CU70" s="99">
        <v>3915.4370019750827</v>
      </c>
    </row>
    <row r="71" spans="2:99">
      <c r="B71" s="98" t="s">
        <v>130</v>
      </c>
      <c r="C71" s="98" t="s">
        <v>237</v>
      </c>
      <c r="D71" s="99">
        <v>0.71411988878773136</v>
      </c>
      <c r="E71" s="99">
        <v>402.76361727628051</v>
      </c>
      <c r="F71" s="99">
        <v>5.2035442178802418</v>
      </c>
      <c r="G71" s="99">
        <v>2934.7989388844562</v>
      </c>
      <c r="H71" s="99">
        <v>1.2273251038738087</v>
      </c>
      <c r="I71" s="99">
        <v>692.21135858482808</v>
      </c>
      <c r="J71" s="99">
        <v>1.5047653835794259</v>
      </c>
      <c r="K71" s="99">
        <v>848.68767633879622</v>
      </c>
      <c r="L71" s="99">
        <v>6.680975227210789</v>
      </c>
      <c r="M71" s="99">
        <v>3768.0700281468849</v>
      </c>
      <c r="N71" s="99">
        <v>6</v>
      </c>
      <c r="O71" s="99">
        <v>3384</v>
      </c>
      <c r="P71" s="99">
        <v>7</v>
      </c>
      <c r="Q71" s="99">
        <v>3948</v>
      </c>
      <c r="R71" s="99">
        <v>6</v>
      </c>
      <c r="S71" s="99">
        <v>3384</v>
      </c>
      <c r="T71" s="99">
        <v>8</v>
      </c>
      <c r="U71" s="99">
        <v>4512</v>
      </c>
      <c r="V71" s="99">
        <v>7</v>
      </c>
      <c r="W71" s="99">
        <v>3948</v>
      </c>
      <c r="X71" s="99">
        <v>7</v>
      </c>
      <c r="Y71" s="99">
        <v>3948</v>
      </c>
      <c r="Z71" s="99">
        <v>8</v>
      </c>
      <c r="AA71" s="99">
        <v>4512</v>
      </c>
      <c r="AB71" s="99">
        <v>2.7469362051529158</v>
      </c>
      <c r="AC71" s="99">
        <v>1549.2720197062445</v>
      </c>
      <c r="AD71" s="99">
        <v>9</v>
      </c>
      <c r="AE71" s="99">
        <v>5076</v>
      </c>
      <c r="AF71" s="99">
        <v>6</v>
      </c>
      <c r="AG71" s="99">
        <v>3384</v>
      </c>
      <c r="AH71" s="99">
        <v>6</v>
      </c>
      <c r="AI71" s="99">
        <v>3384</v>
      </c>
      <c r="AJ71" s="99">
        <v>6</v>
      </c>
      <c r="AK71" s="99">
        <v>3384</v>
      </c>
      <c r="AL71" s="99">
        <v>6</v>
      </c>
      <c r="AM71" s="99">
        <v>3384</v>
      </c>
      <c r="AN71" s="99">
        <v>7</v>
      </c>
      <c r="AO71" s="99">
        <v>3948</v>
      </c>
      <c r="AP71" s="99">
        <v>6</v>
      </c>
      <c r="AQ71" s="99">
        <v>3384</v>
      </c>
      <c r="AR71" s="99">
        <v>3.0822536206241495</v>
      </c>
      <c r="AS71" s="99">
        <v>1738.3910420320203</v>
      </c>
      <c r="AT71" s="99">
        <v>10</v>
      </c>
      <c r="AU71" s="99">
        <v>5640</v>
      </c>
      <c r="AV71" s="99">
        <v>5</v>
      </c>
      <c r="AW71" s="99">
        <v>2820</v>
      </c>
      <c r="AX71" s="99">
        <v>8</v>
      </c>
      <c r="AY71" s="99">
        <v>4512</v>
      </c>
      <c r="AZ71" s="99">
        <v>7.8889014947533047</v>
      </c>
      <c r="BA71" s="99">
        <v>4449.3404430408636</v>
      </c>
      <c r="BB71" s="99">
        <v>8</v>
      </c>
      <c r="BC71" s="99">
        <v>4512</v>
      </c>
      <c r="BD71" s="99">
        <v>8</v>
      </c>
      <c r="BE71" s="99">
        <v>4512</v>
      </c>
      <c r="BF71" s="99">
        <v>8</v>
      </c>
      <c r="BG71" s="99">
        <v>4512</v>
      </c>
      <c r="BH71" s="99">
        <v>9</v>
      </c>
      <c r="BI71" s="99">
        <v>5076</v>
      </c>
      <c r="BJ71" s="99">
        <v>6</v>
      </c>
      <c r="BK71" s="99">
        <v>3384</v>
      </c>
      <c r="BL71" s="99">
        <v>5</v>
      </c>
      <c r="BM71" s="99">
        <v>2820</v>
      </c>
      <c r="BN71" s="99">
        <v>9</v>
      </c>
      <c r="BO71" s="99">
        <v>5076</v>
      </c>
      <c r="BP71" s="99">
        <v>6</v>
      </c>
      <c r="BQ71" s="99">
        <v>3384</v>
      </c>
      <c r="BR71" s="99">
        <v>9</v>
      </c>
      <c r="BS71" s="99">
        <v>5076</v>
      </c>
      <c r="BT71" s="99">
        <v>3.6361338689541194</v>
      </c>
      <c r="BU71" s="99">
        <v>2050.7795020901235</v>
      </c>
      <c r="BV71" s="99">
        <v>6</v>
      </c>
      <c r="BW71" s="99">
        <v>3384</v>
      </c>
      <c r="BX71" s="99">
        <v>8</v>
      </c>
      <c r="BY71" s="99">
        <v>4512</v>
      </c>
      <c r="BZ71" s="99">
        <v>8</v>
      </c>
      <c r="CA71" s="99">
        <v>4512</v>
      </c>
      <c r="CB71" s="99">
        <v>9</v>
      </c>
      <c r="CC71" s="99">
        <v>5076</v>
      </c>
      <c r="CD71" s="99">
        <v>2.6587575996463935</v>
      </c>
      <c r="CE71" s="99">
        <v>1499.5392862005658</v>
      </c>
      <c r="CF71" s="99">
        <v>7</v>
      </c>
      <c r="CG71" s="99">
        <v>3948</v>
      </c>
      <c r="CH71" s="99">
        <v>6</v>
      </c>
      <c r="CI71" s="99">
        <v>3384</v>
      </c>
      <c r="CJ71" s="99">
        <v>8</v>
      </c>
      <c r="CK71" s="99">
        <v>4512</v>
      </c>
      <c r="CL71" s="99">
        <v>10</v>
      </c>
      <c r="CM71" s="99">
        <v>5640</v>
      </c>
      <c r="CN71" s="99">
        <v>8</v>
      </c>
      <c r="CO71" s="99">
        <v>4512</v>
      </c>
      <c r="CP71" s="99">
        <v>2.6824347919116098</v>
      </c>
      <c r="CQ71" s="99">
        <v>1512.893222638148</v>
      </c>
      <c r="CR71" s="99">
        <v>5</v>
      </c>
      <c r="CS71" s="99">
        <v>2820</v>
      </c>
      <c r="CT71" s="99">
        <v>6.0082958638287609</v>
      </c>
      <c r="CU71" s="99">
        <v>3388.6788671994213</v>
      </c>
    </row>
    <row r="72" spans="2:99">
      <c r="C72" s="98" t="s">
        <v>238</v>
      </c>
      <c r="D72" s="99">
        <v>0.62608072706934559</v>
      </c>
      <c r="E72" s="99">
        <v>46.580406093959304</v>
      </c>
      <c r="F72" s="99">
        <v>5.2035442178802418</v>
      </c>
      <c r="G72" s="99">
        <v>387.14368981028997</v>
      </c>
      <c r="H72" s="99">
        <v>1.402657261570067</v>
      </c>
      <c r="I72" s="99">
        <v>104.35770026081298</v>
      </c>
      <c r="J72" s="99">
        <v>1.7197318669479151</v>
      </c>
      <c r="K72" s="99">
        <v>127.94805090092487</v>
      </c>
      <c r="L72" s="99">
        <v>6.680975227210789</v>
      </c>
      <c r="M72" s="99">
        <v>497.06455690448263</v>
      </c>
      <c r="N72" s="99">
        <v>7</v>
      </c>
      <c r="O72" s="99">
        <v>520.79999999999995</v>
      </c>
      <c r="P72" s="99">
        <v>9</v>
      </c>
      <c r="Q72" s="99">
        <v>669.59999999999991</v>
      </c>
      <c r="R72" s="99">
        <v>7</v>
      </c>
      <c r="S72" s="99">
        <v>520.79999999999995</v>
      </c>
      <c r="T72" s="99">
        <v>9</v>
      </c>
      <c r="U72" s="99">
        <v>669.59999999999991</v>
      </c>
      <c r="V72" s="99">
        <v>7</v>
      </c>
      <c r="W72" s="99">
        <v>520.79999999999995</v>
      </c>
      <c r="X72" s="99">
        <v>8</v>
      </c>
      <c r="Y72" s="99">
        <v>595.19999999999993</v>
      </c>
      <c r="Z72" s="99">
        <v>10</v>
      </c>
      <c r="AA72" s="99">
        <v>743.99999999999989</v>
      </c>
      <c r="AB72" s="99">
        <v>2.7469362051529158</v>
      </c>
      <c r="AC72" s="99">
        <v>204.3720536633769</v>
      </c>
      <c r="AD72" s="99">
        <v>10</v>
      </c>
      <c r="AE72" s="99">
        <v>743.99999999999989</v>
      </c>
      <c r="AF72" s="99">
        <v>7</v>
      </c>
      <c r="AG72" s="99">
        <v>520.79999999999995</v>
      </c>
      <c r="AH72" s="99">
        <v>7</v>
      </c>
      <c r="AI72" s="99">
        <v>520.79999999999995</v>
      </c>
      <c r="AJ72" s="99">
        <v>7</v>
      </c>
      <c r="AK72" s="99">
        <v>520.79999999999995</v>
      </c>
      <c r="AL72" s="99">
        <v>5</v>
      </c>
      <c r="AM72" s="99">
        <v>371.99999999999994</v>
      </c>
      <c r="AN72" s="99">
        <v>8</v>
      </c>
      <c r="AO72" s="99">
        <v>595.19999999999993</v>
      </c>
      <c r="AP72" s="99">
        <v>6</v>
      </c>
      <c r="AQ72" s="99">
        <v>446.4</v>
      </c>
      <c r="AR72" s="99">
        <v>3.0822536206241495</v>
      </c>
      <c r="AS72" s="99">
        <v>229.3196693744367</v>
      </c>
      <c r="AT72" s="99">
        <v>10</v>
      </c>
      <c r="AU72" s="99">
        <v>743.99999999999989</v>
      </c>
      <c r="AV72" s="99">
        <v>5</v>
      </c>
      <c r="AW72" s="99">
        <v>371.99999999999994</v>
      </c>
      <c r="AX72" s="99">
        <v>9</v>
      </c>
      <c r="AY72" s="99">
        <v>669.59999999999991</v>
      </c>
      <c r="AZ72" s="99">
        <v>7.299927444352627</v>
      </c>
      <c r="BA72" s="99">
        <v>543.11460185983537</v>
      </c>
      <c r="BB72" s="99">
        <v>8</v>
      </c>
      <c r="BC72" s="99">
        <v>595.19999999999993</v>
      </c>
      <c r="BD72" s="99">
        <v>9</v>
      </c>
      <c r="BE72" s="99">
        <v>669.59999999999991</v>
      </c>
      <c r="BF72" s="99">
        <v>9</v>
      </c>
      <c r="BG72" s="99">
        <v>669.59999999999991</v>
      </c>
      <c r="BH72" s="99">
        <v>9</v>
      </c>
      <c r="BI72" s="99">
        <v>669.59999999999991</v>
      </c>
      <c r="BJ72" s="99">
        <v>6</v>
      </c>
      <c r="BK72" s="99">
        <v>446.4</v>
      </c>
      <c r="BL72" s="99">
        <v>5</v>
      </c>
      <c r="BM72" s="99">
        <v>371.99999999999994</v>
      </c>
      <c r="BN72" s="99">
        <v>9</v>
      </c>
      <c r="BO72" s="99">
        <v>669.59999999999991</v>
      </c>
      <c r="BP72" s="99">
        <v>7</v>
      </c>
      <c r="BQ72" s="99">
        <v>520.79999999999995</v>
      </c>
      <c r="BR72" s="99">
        <v>9</v>
      </c>
      <c r="BS72" s="99">
        <v>669.59999999999991</v>
      </c>
      <c r="BT72" s="99">
        <v>4.035704052070523</v>
      </c>
      <c r="BU72" s="99">
        <v>300.25638147404686</v>
      </c>
      <c r="BV72" s="99">
        <v>6</v>
      </c>
      <c r="BW72" s="99">
        <v>446.4</v>
      </c>
      <c r="BX72" s="99">
        <v>10</v>
      </c>
      <c r="BY72" s="99">
        <v>743.99999999999989</v>
      </c>
      <c r="BZ72" s="99">
        <v>8</v>
      </c>
      <c r="CA72" s="99">
        <v>595.19999999999993</v>
      </c>
      <c r="CB72" s="99">
        <v>9</v>
      </c>
      <c r="CC72" s="99">
        <v>669.59999999999991</v>
      </c>
      <c r="CD72" s="99">
        <v>2.6587575996463935</v>
      </c>
      <c r="CE72" s="99">
        <v>197.81156541369165</v>
      </c>
      <c r="CF72" s="99">
        <v>7</v>
      </c>
      <c r="CG72" s="99">
        <v>520.79999999999995</v>
      </c>
      <c r="CH72" s="99">
        <v>6</v>
      </c>
      <c r="CI72" s="99">
        <v>446.4</v>
      </c>
      <c r="CJ72" s="99">
        <v>9</v>
      </c>
      <c r="CK72" s="99">
        <v>669.59999999999991</v>
      </c>
      <c r="CL72" s="99">
        <v>10</v>
      </c>
      <c r="CM72" s="99">
        <v>743.99999999999989</v>
      </c>
      <c r="CN72" s="99">
        <v>8</v>
      </c>
      <c r="CO72" s="99">
        <v>595.19999999999993</v>
      </c>
      <c r="CP72" s="99">
        <v>3.2189217502939313</v>
      </c>
      <c r="CQ72" s="99">
        <v>239.48777822186847</v>
      </c>
      <c r="CR72" s="99">
        <v>6</v>
      </c>
      <c r="CS72" s="99">
        <v>446.4</v>
      </c>
      <c r="CT72" s="99">
        <v>6.8666238443757264</v>
      </c>
      <c r="CU72" s="99">
        <v>510.87681402155397</v>
      </c>
    </row>
    <row r="73" spans="2:99">
      <c r="C73" s="98" t="s">
        <v>239</v>
      </c>
      <c r="D73" s="99">
        <v>0.62591689162578923</v>
      </c>
      <c r="E73" s="99">
        <v>350.01272579714129</v>
      </c>
      <c r="F73" s="99">
        <v>4.5790181913008796</v>
      </c>
      <c r="G73" s="99">
        <v>2560.5869725754515</v>
      </c>
      <c r="H73" s="99">
        <v>1.2273251038738087</v>
      </c>
      <c r="I73" s="99">
        <v>686.32019808623375</v>
      </c>
      <c r="J73" s="99">
        <v>1.5047653835794259</v>
      </c>
      <c r="K73" s="99">
        <v>841.46480249761487</v>
      </c>
      <c r="L73" s="99">
        <v>5.680975227210789</v>
      </c>
      <c r="M73" s="99">
        <v>3176.8013470562728</v>
      </c>
      <c r="N73" s="99">
        <v>7</v>
      </c>
      <c r="O73" s="99">
        <v>3914.3999999999996</v>
      </c>
      <c r="P73" s="99">
        <v>8</v>
      </c>
      <c r="Q73" s="99">
        <v>4473.5999999999995</v>
      </c>
      <c r="R73" s="99">
        <v>7</v>
      </c>
      <c r="S73" s="99">
        <v>3914.3999999999996</v>
      </c>
      <c r="T73" s="99">
        <v>8</v>
      </c>
      <c r="U73" s="99">
        <v>4473.5999999999995</v>
      </c>
      <c r="V73" s="99">
        <v>7</v>
      </c>
      <c r="W73" s="99">
        <v>3914.3999999999996</v>
      </c>
      <c r="X73" s="99">
        <v>7</v>
      </c>
      <c r="Y73" s="99">
        <v>3914.3999999999996</v>
      </c>
      <c r="Z73" s="99">
        <v>8</v>
      </c>
      <c r="AA73" s="99">
        <v>4473.5999999999995</v>
      </c>
      <c r="AB73" s="99">
        <v>2.7469362051529158</v>
      </c>
      <c r="AC73" s="99">
        <v>1536.0867259215104</v>
      </c>
      <c r="AD73" s="99">
        <v>9</v>
      </c>
      <c r="AE73" s="99">
        <v>5032.7999999999993</v>
      </c>
      <c r="AF73" s="99">
        <v>7</v>
      </c>
      <c r="AG73" s="99">
        <v>3914.3999999999996</v>
      </c>
      <c r="AH73" s="99">
        <v>6</v>
      </c>
      <c r="AI73" s="99">
        <v>3355.2</v>
      </c>
      <c r="AJ73" s="99">
        <v>6</v>
      </c>
      <c r="AK73" s="99">
        <v>3355.2</v>
      </c>
      <c r="AL73" s="99">
        <v>6</v>
      </c>
      <c r="AM73" s="99">
        <v>3355.2</v>
      </c>
      <c r="AN73" s="99">
        <v>8</v>
      </c>
      <c r="AO73" s="99">
        <v>4473.5999999999995</v>
      </c>
      <c r="AP73" s="99">
        <v>5</v>
      </c>
      <c r="AQ73" s="99">
        <v>2795.9999999999995</v>
      </c>
      <c r="AR73" s="99">
        <v>3.6987043447489794</v>
      </c>
      <c r="AS73" s="99">
        <v>2068.3154695836288</v>
      </c>
      <c r="AT73" s="99">
        <v>8</v>
      </c>
      <c r="AU73" s="99">
        <v>4473.5999999999995</v>
      </c>
      <c r="AV73" s="99">
        <v>4</v>
      </c>
      <c r="AW73" s="99">
        <v>2236.7999999999997</v>
      </c>
      <c r="AX73" s="99">
        <v>8</v>
      </c>
      <c r="AY73" s="99">
        <v>4473.5999999999995</v>
      </c>
      <c r="AZ73" s="99">
        <v>6.9764105642092256</v>
      </c>
      <c r="BA73" s="99">
        <v>3901.2087875057987</v>
      </c>
      <c r="BB73" s="99">
        <v>9</v>
      </c>
      <c r="BC73" s="99">
        <v>5032.7999999999993</v>
      </c>
      <c r="BD73" s="99">
        <v>7</v>
      </c>
      <c r="BE73" s="99">
        <v>3914.3999999999996</v>
      </c>
      <c r="BF73" s="99">
        <v>8</v>
      </c>
      <c r="BG73" s="99">
        <v>4473.5999999999995</v>
      </c>
      <c r="BH73" s="99">
        <v>9</v>
      </c>
      <c r="BI73" s="99">
        <v>5032.7999999999993</v>
      </c>
      <c r="BJ73" s="99">
        <v>5</v>
      </c>
      <c r="BK73" s="99">
        <v>2795.9999999999995</v>
      </c>
      <c r="BL73" s="99">
        <v>5</v>
      </c>
      <c r="BM73" s="99">
        <v>2795.9999999999995</v>
      </c>
      <c r="BN73" s="99">
        <v>9</v>
      </c>
      <c r="BO73" s="99">
        <v>5032.7999999999993</v>
      </c>
      <c r="BP73" s="99">
        <v>7</v>
      </c>
      <c r="BQ73" s="99">
        <v>3914.3999999999996</v>
      </c>
      <c r="BR73" s="99">
        <v>8</v>
      </c>
      <c r="BS73" s="99">
        <v>4473.5999999999995</v>
      </c>
      <c r="BT73" s="99">
        <v>4.0277036078892259</v>
      </c>
      <c r="BU73" s="99">
        <v>2252.2918575316548</v>
      </c>
      <c r="BV73" s="99">
        <v>6</v>
      </c>
      <c r="BW73" s="99">
        <v>3355.2</v>
      </c>
      <c r="BX73" s="99">
        <v>9</v>
      </c>
      <c r="BY73" s="99">
        <v>5032.7999999999993</v>
      </c>
      <c r="BZ73" s="99">
        <v>8</v>
      </c>
      <c r="CA73" s="99">
        <v>4473.5999999999995</v>
      </c>
      <c r="CB73" s="99">
        <v>8</v>
      </c>
      <c r="CC73" s="99">
        <v>4473.5999999999995</v>
      </c>
      <c r="CD73" s="99">
        <v>2.2789350854111943</v>
      </c>
      <c r="CE73" s="99">
        <v>1274.3804997619397</v>
      </c>
      <c r="CF73" s="99">
        <v>7</v>
      </c>
      <c r="CG73" s="99">
        <v>3914.3999999999996</v>
      </c>
      <c r="CH73" s="99">
        <v>5</v>
      </c>
      <c r="CI73" s="99">
        <v>2795.9999999999995</v>
      </c>
      <c r="CJ73" s="99">
        <v>8</v>
      </c>
      <c r="CK73" s="99">
        <v>4473.5999999999995</v>
      </c>
      <c r="CL73" s="99">
        <v>9</v>
      </c>
      <c r="CM73" s="99">
        <v>5032.7999999999993</v>
      </c>
      <c r="CN73" s="99">
        <v>7</v>
      </c>
      <c r="CO73" s="99">
        <v>3914.3999999999996</v>
      </c>
      <c r="CP73" s="99">
        <v>2.6824347919116098</v>
      </c>
      <c r="CQ73" s="99">
        <v>1500.0175356369721</v>
      </c>
      <c r="CR73" s="99">
        <v>5</v>
      </c>
      <c r="CS73" s="99">
        <v>2795.9999999999995</v>
      </c>
      <c r="CT73" s="99">
        <v>6.0082958638287609</v>
      </c>
      <c r="CU73" s="99">
        <v>3359.8390470530426</v>
      </c>
    </row>
    <row r="74" spans="2:99">
      <c r="C74" s="98" t="s">
        <v>240</v>
      </c>
      <c r="D74" s="99">
        <v>0.72215082526831686</v>
      </c>
      <c r="E74" s="99">
        <v>291.17121274818533</v>
      </c>
      <c r="F74" s="99">
        <v>5.2035442178802418</v>
      </c>
      <c r="G74" s="99">
        <v>2098.0690286493136</v>
      </c>
      <c r="H74" s="99">
        <v>1.402657261570067</v>
      </c>
      <c r="I74" s="99">
        <v>565.55140786505103</v>
      </c>
      <c r="J74" s="99">
        <v>1.5047653835794259</v>
      </c>
      <c r="K74" s="99">
        <v>606.72140265922451</v>
      </c>
      <c r="L74" s="99">
        <v>6.680975227210789</v>
      </c>
      <c r="M74" s="99">
        <v>2693.7692116113899</v>
      </c>
      <c r="N74" s="99">
        <v>6</v>
      </c>
      <c r="O74" s="99">
        <v>2419.1999999999998</v>
      </c>
      <c r="P74" s="99">
        <v>7</v>
      </c>
      <c r="Q74" s="99">
        <v>2822.4</v>
      </c>
      <c r="R74" s="99">
        <v>6</v>
      </c>
      <c r="S74" s="99">
        <v>2419.1999999999998</v>
      </c>
      <c r="T74" s="99">
        <v>8</v>
      </c>
      <c r="U74" s="99">
        <v>3225.6</v>
      </c>
      <c r="V74" s="99">
        <v>7</v>
      </c>
      <c r="W74" s="99">
        <v>2822.4</v>
      </c>
      <c r="X74" s="99">
        <v>7</v>
      </c>
      <c r="Y74" s="99">
        <v>2822.4</v>
      </c>
      <c r="Z74" s="99">
        <v>9</v>
      </c>
      <c r="AA74" s="99">
        <v>3628.7999999999997</v>
      </c>
      <c r="AB74" s="99">
        <v>2.7469362051529158</v>
      </c>
      <c r="AC74" s="99">
        <v>1107.5646779176557</v>
      </c>
      <c r="AD74" s="99">
        <v>9</v>
      </c>
      <c r="AE74" s="99">
        <v>3628.7999999999997</v>
      </c>
      <c r="AF74" s="99">
        <v>7</v>
      </c>
      <c r="AG74" s="99">
        <v>2822.4</v>
      </c>
      <c r="AH74" s="99">
        <v>7</v>
      </c>
      <c r="AI74" s="99">
        <v>2822.4</v>
      </c>
      <c r="AJ74" s="99">
        <v>6</v>
      </c>
      <c r="AK74" s="99">
        <v>2419.1999999999998</v>
      </c>
      <c r="AL74" s="99">
        <v>6</v>
      </c>
      <c r="AM74" s="99">
        <v>2419.1999999999998</v>
      </c>
      <c r="AN74" s="99">
        <v>7</v>
      </c>
      <c r="AO74" s="99">
        <v>2822.4</v>
      </c>
      <c r="AP74" s="99">
        <v>6</v>
      </c>
      <c r="AQ74" s="99">
        <v>2419.1999999999998</v>
      </c>
      <c r="AR74" s="99">
        <v>3.6987043447489794</v>
      </c>
      <c r="AS74" s="99">
        <v>1491.3175918027885</v>
      </c>
      <c r="AT74" s="99">
        <v>9</v>
      </c>
      <c r="AU74" s="99">
        <v>3628.7999999999997</v>
      </c>
      <c r="AV74" s="99">
        <v>5</v>
      </c>
      <c r="AW74" s="99">
        <v>2016</v>
      </c>
      <c r="AX74" s="99">
        <v>8</v>
      </c>
      <c r="AY74" s="99">
        <v>3225.6</v>
      </c>
      <c r="AZ74" s="99">
        <v>7.0217162603938927</v>
      </c>
      <c r="BA74" s="99">
        <v>2831.1559961908174</v>
      </c>
      <c r="BB74" s="99">
        <v>8</v>
      </c>
      <c r="BC74" s="99">
        <v>3225.6</v>
      </c>
      <c r="BD74" s="99">
        <v>7</v>
      </c>
      <c r="BE74" s="99">
        <v>2822.4</v>
      </c>
      <c r="BF74" s="99">
        <v>9</v>
      </c>
      <c r="BG74" s="99">
        <v>3628.7999999999997</v>
      </c>
      <c r="BH74" s="99">
        <v>9</v>
      </c>
      <c r="BI74" s="99">
        <v>3628.7999999999997</v>
      </c>
      <c r="BJ74" s="99">
        <v>6</v>
      </c>
      <c r="BK74" s="99">
        <v>2419.1999999999998</v>
      </c>
      <c r="BL74" s="99">
        <v>5</v>
      </c>
      <c r="BM74" s="99">
        <v>2016</v>
      </c>
      <c r="BN74" s="99">
        <v>9</v>
      </c>
      <c r="BO74" s="99">
        <v>3628.7999999999997</v>
      </c>
      <c r="BP74" s="99">
        <v>6</v>
      </c>
      <c r="BQ74" s="99">
        <v>2419.1999999999998</v>
      </c>
      <c r="BR74" s="99">
        <v>8</v>
      </c>
      <c r="BS74" s="99">
        <v>3225.6</v>
      </c>
      <c r="BT74" s="99">
        <v>3.2605650183816079</v>
      </c>
      <c r="BU74" s="99">
        <v>1314.6598154114643</v>
      </c>
      <c r="BV74" s="99">
        <v>5</v>
      </c>
      <c r="BW74" s="99">
        <v>2016</v>
      </c>
      <c r="BX74" s="99">
        <v>10</v>
      </c>
      <c r="BY74" s="99">
        <v>4032</v>
      </c>
      <c r="BZ74" s="99">
        <v>8</v>
      </c>
      <c r="CA74" s="99">
        <v>3225.6</v>
      </c>
      <c r="CB74" s="99">
        <v>9</v>
      </c>
      <c r="CC74" s="99">
        <v>3628.7999999999997</v>
      </c>
      <c r="CD74" s="99">
        <v>2.6587575996463935</v>
      </c>
      <c r="CE74" s="99">
        <v>1072.0110641774259</v>
      </c>
      <c r="CF74" s="99">
        <v>7</v>
      </c>
      <c r="CG74" s="99">
        <v>2822.4</v>
      </c>
      <c r="CH74" s="99">
        <v>6</v>
      </c>
      <c r="CI74" s="99">
        <v>2419.1999999999998</v>
      </c>
      <c r="CJ74" s="99">
        <v>8</v>
      </c>
      <c r="CK74" s="99">
        <v>3225.6</v>
      </c>
      <c r="CL74" s="99">
        <v>9</v>
      </c>
      <c r="CM74" s="99">
        <v>3628.7999999999997</v>
      </c>
      <c r="CN74" s="99">
        <v>7</v>
      </c>
      <c r="CO74" s="99">
        <v>2822.4</v>
      </c>
      <c r="CP74" s="99">
        <v>3.2189217502939313</v>
      </c>
      <c r="CQ74" s="99">
        <v>1297.8692497185132</v>
      </c>
      <c r="CR74" s="99">
        <v>6</v>
      </c>
      <c r="CS74" s="99">
        <v>2419.1999999999998</v>
      </c>
      <c r="CT74" s="99">
        <v>6.0082958638287609</v>
      </c>
      <c r="CU74" s="99">
        <v>2422.5448922957562</v>
      </c>
    </row>
    <row r="75" spans="2:99">
      <c r="C75" s="98" t="s">
        <v>241</v>
      </c>
      <c r="D75" s="99">
        <v>0.72215082526831686</v>
      </c>
      <c r="E75" s="99">
        <v>464.48741081258134</v>
      </c>
      <c r="F75" s="99">
        <v>4.6204853923499485</v>
      </c>
      <c r="G75" s="99">
        <v>2971.8962043594865</v>
      </c>
      <c r="H75" s="99">
        <v>1.402657261570067</v>
      </c>
      <c r="I75" s="99">
        <v>902.18915064186695</v>
      </c>
      <c r="J75" s="99">
        <v>1.5047653835794259</v>
      </c>
      <c r="K75" s="99">
        <v>967.86509471828663</v>
      </c>
      <c r="L75" s="99">
        <v>5.5447801817686315</v>
      </c>
      <c r="M75" s="99">
        <v>3566.4026129135832</v>
      </c>
      <c r="N75" s="99">
        <v>6</v>
      </c>
      <c r="O75" s="99">
        <v>3859.2</v>
      </c>
      <c r="P75" s="99">
        <v>7</v>
      </c>
      <c r="Q75" s="99">
        <v>4502.3999999999996</v>
      </c>
      <c r="R75" s="99">
        <v>6</v>
      </c>
      <c r="S75" s="99">
        <v>3859.2</v>
      </c>
      <c r="T75" s="99">
        <v>9</v>
      </c>
      <c r="U75" s="99">
        <v>5788.7999999999993</v>
      </c>
      <c r="V75" s="99">
        <v>7</v>
      </c>
      <c r="W75" s="99">
        <v>4502.3999999999996</v>
      </c>
      <c r="X75" s="99">
        <v>6</v>
      </c>
      <c r="Y75" s="99">
        <v>3859.2</v>
      </c>
      <c r="Z75" s="99">
        <v>9</v>
      </c>
      <c r="AA75" s="99">
        <v>5788.7999999999993</v>
      </c>
      <c r="AB75" s="99">
        <v>2.7469362051529158</v>
      </c>
      <c r="AC75" s="99">
        <v>1766.8293671543552</v>
      </c>
      <c r="AD75" s="99">
        <v>8</v>
      </c>
      <c r="AE75" s="99">
        <v>5145.5999999999995</v>
      </c>
      <c r="AF75" s="99">
        <v>6</v>
      </c>
      <c r="AG75" s="99">
        <v>3859.2</v>
      </c>
      <c r="AH75" s="99">
        <v>7</v>
      </c>
      <c r="AI75" s="99">
        <v>4502.3999999999996</v>
      </c>
      <c r="AJ75" s="99">
        <v>7</v>
      </c>
      <c r="AK75" s="99">
        <v>4502.3999999999996</v>
      </c>
      <c r="AL75" s="99">
        <v>6</v>
      </c>
      <c r="AM75" s="99">
        <v>3859.2</v>
      </c>
      <c r="AN75" s="99">
        <v>7</v>
      </c>
      <c r="AO75" s="99">
        <v>4502.3999999999996</v>
      </c>
      <c r="AP75" s="99">
        <v>5</v>
      </c>
      <c r="AQ75" s="99">
        <v>3215.9999999999995</v>
      </c>
      <c r="AR75" s="99">
        <v>3.0822536206241495</v>
      </c>
      <c r="AS75" s="99">
        <v>1982.5055287854527</v>
      </c>
      <c r="AT75" s="99">
        <v>9</v>
      </c>
      <c r="AU75" s="99">
        <v>5788.7999999999993</v>
      </c>
      <c r="AV75" s="99">
        <v>4</v>
      </c>
      <c r="AW75" s="99">
        <v>2572.7999999999997</v>
      </c>
      <c r="AX75" s="99">
        <v>9</v>
      </c>
      <c r="AY75" s="99">
        <v>5788.7999999999993</v>
      </c>
      <c r="AZ75" s="99">
        <v>6.9764105642092256</v>
      </c>
      <c r="BA75" s="99">
        <v>4487.2272748993737</v>
      </c>
      <c r="BB75" s="99">
        <v>8</v>
      </c>
      <c r="BC75" s="99">
        <v>5145.5999999999995</v>
      </c>
      <c r="BD75" s="99">
        <v>7</v>
      </c>
      <c r="BE75" s="99">
        <v>4502.3999999999996</v>
      </c>
      <c r="BF75" s="99">
        <v>8</v>
      </c>
      <c r="BG75" s="99">
        <v>5145.5999999999995</v>
      </c>
      <c r="BH75" s="99">
        <v>9</v>
      </c>
      <c r="BI75" s="99">
        <v>5788.7999999999993</v>
      </c>
      <c r="BJ75" s="99">
        <v>6</v>
      </c>
      <c r="BK75" s="99">
        <v>3859.2</v>
      </c>
      <c r="BL75" s="99">
        <v>5</v>
      </c>
      <c r="BM75" s="99">
        <v>3215.9999999999995</v>
      </c>
      <c r="BN75" s="99">
        <v>9</v>
      </c>
      <c r="BO75" s="99">
        <v>5788.7999999999993</v>
      </c>
      <c r="BP75" s="99">
        <v>6</v>
      </c>
      <c r="BQ75" s="99">
        <v>3859.2</v>
      </c>
      <c r="BR75" s="99">
        <v>8</v>
      </c>
      <c r="BS75" s="99">
        <v>5145.5999999999995</v>
      </c>
      <c r="BT75" s="99">
        <v>3.2525645742003104</v>
      </c>
      <c r="BU75" s="99">
        <v>2092.0495341256396</v>
      </c>
      <c r="BV75" s="99">
        <v>6</v>
      </c>
      <c r="BW75" s="99">
        <v>3859.2</v>
      </c>
      <c r="BX75" s="99">
        <v>8</v>
      </c>
      <c r="BY75" s="99">
        <v>5145.5999999999995</v>
      </c>
      <c r="BZ75" s="99">
        <v>8</v>
      </c>
      <c r="CA75" s="99">
        <v>5145.5999999999995</v>
      </c>
      <c r="CB75" s="99">
        <v>8</v>
      </c>
      <c r="CC75" s="99">
        <v>5145.5999999999995</v>
      </c>
      <c r="CD75" s="99">
        <v>2.2789350854111943</v>
      </c>
      <c r="CE75" s="99">
        <v>1465.8110469364799</v>
      </c>
      <c r="CF75" s="99">
        <v>6</v>
      </c>
      <c r="CG75" s="99">
        <v>3859.2</v>
      </c>
      <c r="CH75" s="99">
        <v>5</v>
      </c>
      <c r="CI75" s="99">
        <v>3215.9999999999995</v>
      </c>
      <c r="CJ75" s="99">
        <v>7</v>
      </c>
      <c r="CK75" s="99">
        <v>4502.3999999999996</v>
      </c>
      <c r="CL75" s="99">
        <v>9</v>
      </c>
      <c r="CM75" s="99">
        <v>5788.7999999999993</v>
      </c>
      <c r="CN75" s="99">
        <v>7</v>
      </c>
      <c r="CO75" s="99">
        <v>4502.3999999999996</v>
      </c>
      <c r="CP75" s="99">
        <v>2.6824347919116098</v>
      </c>
      <c r="CQ75" s="99">
        <v>1725.3420581575472</v>
      </c>
      <c r="CR75" s="99">
        <v>5</v>
      </c>
      <c r="CS75" s="99">
        <v>3215.9999999999995</v>
      </c>
      <c r="CT75" s="99">
        <v>6.0082958638287609</v>
      </c>
      <c r="CU75" s="99">
        <v>3864.5358996146588</v>
      </c>
    </row>
    <row r="76" spans="2:99">
      <c r="C76" s="98" t="s">
        <v>242</v>
      </c>
      <c r="D76" s="99">
        <v>0.6180497905887602</v>
      </c>
      <c r="E76" s="99">
        <v>481.33717691052641</v>
      </c>
      <c r="F76" s="99">
        <v>4.5790181913008796</v>
      </c>
      <c r="G76" s="99">
        <v>3566.1393673851248</v>
      </c>
      <c r="H76" s="99">
        <v>1.402657261570067</v>
      </c>
      <c r="I76" s="99">
        <v>1092.3894753107681</v>
      </c>
      <c r="J76" s="99">
        <v>1.5047653835794259</v>
      </c>
      <c r="K76" s="99">
        <v>1171.9112807316569</v>
      </c>
      <c r="L76" s="99">
        <v>5.680975227210789</v>
      </c>
      <c r="M76" s="99">
        <v>4424.3435069517618</v>
      </c>
      <c r="N76" s="99">
        <v>6</v>
      </c>
      <c r="O76" s="99">
        <v>4672.7999999999993</v>
      </c>
      <c r="P76" s="99">
        <v>7</v>
      </c>
      <c r="Q76" s="99">
        <v>5451.5999999999995</v>
      </c>
      <c r="R76" s="99">
        <v>7</v>
      </c>
      <c r="S76" s="99">
        <v>5451.5999999999995</v>
      </c>
      <c r="T76" s="99">
        <v>8</v>
      </c>
      <c r="U76" s="99">
        <v>6230.4</v>
      </c>
      <c r="V76" s="99">
        <v>7</v>
      </c>
      <c r="W76" s="99">
        <v>5451.5999999999995</v>
      </c>
      <c r="X76" s="99">
        <v>7</v>
      </c>
      <c r="Y76" s="99">
        <v>5451.5999999999995</v>
      </c>
      <c r="Z76" s="99">
        <v>9</v>
      </c>
      <c r="AA76" s="99">
        <v>7009.2</v>
      </c>
      <c r="AB76" s="99">
        <v>2.7469362051529158</v>
      </c>
      <c r="AC76" s="99">
        <v>2139.3139165730909</v>
      </c>
      <c r="AD76" s="99">
        <v>8</v>
      </c>
      <c r="AE76" s="99">
        <v>6230.4</v>
      </c>
      <c r="AF76" s="99">
        <v>6</v>
      </c>
      <c r="AG76" s="99">
        <v>4672.7999999999993</v>
      </c>
      <c r="AH76" s="99">
        <v>6</v>
      </c>
      <c r="AI76" s="99">
        <v>4672.7999999999993</v>
      </c>
      <c r="AJ76" s="99">
        <v>7</v>
      </c>
      <c r="AK76" s="99">
        <v>5451.5999999999995</v>
      </c>
      <c r="AL76" s="99">
        <v>5</v>
      </c>
      <c r="AM76" s="99">
        <v>3894</v>
      </c>
      <c r="AN76" s="99">
        <v>8</v>
      </c>
      <c r="AO76" s="99">
        <v>6230.4</v>
      </c>
      <c r="AP76" s="99">
        <v>5</v>
      </c>
      <c r="AQ76" s="99">
        <v>3894</v>
      </c>
      <c r="AR76" s="99">
        <v>3.0822536206241495</v>
      </c>
      <c r="AS76" s="99">
        <v>2400.4591197420873</v>
      </c>
      <c r="AT76" s="99">
        <v>10</v>
      </c>
      <c r="AU76" s="99">
        <v>7788</v>
      </c>
      <c r="AV76" s="99">
        <v>5</v>
      </c>
      <c r="AW76" s="99">
        <v>3894</v>
      </c>
      <c r="AX76" s="99">
        <v>9</v>
      </c>
      <c r="AY76" s="99">
        <v>7009.2</v>
      </c>
      <c r="AZ76" s="99">
        <v>7.0217162603938927</v>
      </c>
      <c r="BA76" s="99">
        <v>5468.5126235947637</v>
      </c>
      <c r="BB76" s="99">
        <v>9</v>
      </c>
      <c r="BC76" s="99">
        <v>7009.2</v>
      </c>
      <c r="BD76" s="99">
        <v>7</v>
      </c>
      <c r="BE76" s="99">
        <v>5451.5999999999995</v>
      </c>
      <c r="BF76" s="99">
        <v>9</v>
      </c>
      <c r="BG76" s="99">
        <v>7009.2</v>
      </c>
      <c r="BH76" s="99">
        <v>8</v>
      </c>
      <c r="BI76" s="99">
        <v>6230.4</v>
      </c>
      <c r="BJ76" s="99">
        <v>6</v>
      </c>
      <c r="BK76" s="99">
        <v>4672.7999999999993</v>
      </c>
      <c r="BL76" s="99">
        <v>5</v>
      </c>
      <c r="BM76" s="99">
        <v>3894</v>
      </c>
      <c r="BN76" s="99">
        <v>9</v>
      </c>
      <c r="BO76" s="99">
        <v>7009.2</v>
      </c>
      <c r="BP76" s="99">
        <v>6</v>
      </c>
      <c r="BQ76" s="99">
        <v>4672.7999999999993</v>
      </c>
      <c r="BR76" s="99">
        <v>8</v>
      </c>
      <c r="BS76" s="99">
        <v>6230.4</v>
      </c>
      <c r="BT76" s="99">
        <v>3.2445641300190133</v>
      </c>
      <c r="BU76" s="99">
        <v>2526.8665444588073</v>
      </c>
      <c r="BV76" s="99">
        <v>5</v>
      </c>
      <c r="BW76" s="99">
        <v>3894</v>
      </c>
      <c r="BX76" s="99">
        <v>8</v>
      </c>
      <c r="BY76" s="99">
        <v>6230.4</v>
      </c>
      <c r="BZ76" s="99">
        <v>8</v>
      </c>
      <c r="CA76" s="99">
        <v>6230.4</v>
      </c>
      <c r="CB76" s="99">
        <v>9</v>
      </c>
      <c r="CC76" s="99">
        <v>7009.2</v>
      </c>
      <c r="CD76" s="99">
        <v>2.2789350854111943</v>
      </c>
      <c r="CE76" s="99">
        <v>1774.8346445182381</v>
      </c>
      <c r="CF76" s="99">
        <v>6</v>
      </c>
      <c r="CG76" s="99">
        <v>4672.7999999999993</v>
      </c>
      <c r="CH76" s="99">
        <v>5</v>
      </c>
      <c r="CI76" s="99">
        <v>3894</v>
      </c>
      <c r="CJ76" s="99">
        <v>8</v>
      </c>
      <c r="CK76" s="99">
        <v>6230.4</v>
      </c>
      <c r="CL76" s="99">
        <v>9</v>
      </c>
      <c r="CM76" s="99">
        <v>7009.2</v>
      </c>
      <c r="CN76" s="99">
        <v>7</v>
      </c>
      <c r="CO76" s="99">
        <v>5451.5999999999995</v>
      </c>
      <c r="CP76" s="99">
        <v>2.6824347919116098</v>
      </c>
      <c r="CQ76" s="99">
        <v>2089.0802159407617</v>
      </c>
      <c r="CR76" s="99">
        <v>5</v>
      </c>
      <c r="CS76" s="99">
        <v>3894</v>
      </c>
      <c r="CT76" s="99">
        <v>6.0082958638287609</v>
      </c>
      <c r="CU76" s="99">
        <v>4679.260818749839</v>
      </c>
    </row>
    <row r="77" spans="2:99">
      <c r="C77" s="98" t="s">
        <v>243</v>
      </c>
      <c r="D77" s="99">
        <v>0.59405952640877591</v>
      </c>
      <c r="E77" s="99">
        <v>165.38617215220319</v>
      </c>
      <c r="F77" s="99">
        <v>5.2035442178802418</v>
      </c>
      <c r="G77" s="99">
        <v>1448.6667102578592</v>
      </c>
      <c r="H77" s="99">
        <v>1.402657261570067</v>
      </c>
      <c r="I77" s="99">
        <v>390.49978162110659</v>
      </c>
      <c r="J77" s="99">
        <v>1.7197318669479151</v>
      </c>
      <c r="K77" s="99">
        <v>478.77335175829955</v>
      </c>
      <c r="L77" s="99">
        <v>5.680975227210789</v>
      </c>
      <c r="M77" s="99">
        <v>1581.5835032554835</v>
      </c>
      <c r="N77" s="99">
        <v>6</v>
      </c>
      <c r="O77" s="99">
        <v>1670.3999999999999</v>
      </c>
      <c r="P77" s="99">
        <v>8</v>
      </c>
      <c r="Q77" s="99">
        <v>2227.1999999999998</v>
      </c>
      <c r="R77" s="99">
        <v>7</v>
      </c>
      <c r="S77" s="99">
        <v>1948.7999999999997</v>
      </c>
      <c r="T77" s="99">
        <v>9</v>
      </c>
      <c r="U77" s="99">
        <v>2505.6</v>
      </c>
      <c r="V77" s="99">
        <v>8</v>
      </c>
      <c r="W77" s="99">
        <v>2227.1999999999998</v>
      </c>
      <c r="X77" s="99">
        <v>6</v>
      </c>
      <c r="Y77" s="99">
        <v>1670.3999999999999</v>
      </c>
      <c r="Z77" s="99">
        <v>8</v>
      </c>
      <c r="AA77" s="99">
        <v>2227.1999999999998</v>
      </c>
      <c r="AB77" s="99">
        <v>3.204758906011735</v>
      </c>
      <c r="AC77" s="99">
        <v>892.20487943366697</v>
      </c>
      <c r="AD77" s="99">
        <v>10</v>
      </c>
      <c r="AE77" s="99">
        <v>2784</v>
      </c>
      <c r="AF77" s="99">
        <v>7</v>
      </c>
      <c r="AG77" s="99">
        <v>1948.7999999999997</v>
      </c>
      <c r="AH77" s="99">
        <v>6</v>
      </c>
      <c r="AI77" s="99">
        <v>1670.3999999999999</v>
      </c>
      <c r="AJ77" s="99">
        <v>7</v>
      </c>
      <c r="AK77" s="99">
        <v>1948.7999999999997</v>
      </c>
      <c r="AL77" s="99">
        <v>6</v>
      </c>
      <c r="AM77" s="99">
        <v>1670.3999999999999</v>
      </c>
      <c r="AN77" s="99">
        <v>8</v>
      </c>
      <c r="AO77" s="99">
        <v>2227.1999999999998</v>
      </c>
      <c r="AP77" s="99">
        <v>6</v>
      </c>
      <c r="AQ77" s="99">
        <v>1670.3999999999999</v>
      </c>
      <c r="AR77" s="99">
        <v>3.6987043447489794</v>
      </c>
      <c r="AS77" s="99">
        <v>1029.7192895781159</v>
      </c>
      <c r="AT77" s="99">
        <v>9</v>
      </c>
      <c r="AU77" s="99">
        <v>2505.6</v>
      </c>
      <c r="AV77" s="99">
        <v>5</v>
      </c>
      <c r="AW77" s="99">
        <v>1392</v>
      </c>
      <c r="AX77" s="99">
        <v>9</v>
      </c>
      <c r="AY77" s="99">
        <v>2505.6</v>
      </c>
      <c r="AZ77" s="99">
        <v>7.0217162603938927</v>
      </c>
      <c r="BA77" s="99">
        <v>1954.8458068936595</v>
      </c>
      <c r="BB77" s="99">
        <v>8</v>
      </c>
      <c r="BC77" s="99">
        <v>2227.1999999999998</v>
      </c>
      <c r="BD77" s="99">
        <v>7</v>
      </c>
      <c r="BE77" s="99">
        <v>1948.7999999999997</v>
      </c>
      <c r="BF77" s="99">
        <v>8</v>
      </c>
      <c r="BG77" s="99">
        <v>2227.1999999999998</v>
      </c>
      <c r="BH77" s="99">
        <v>8</v>
      </c>
      <c r="BI77" s="99">
        <v>2227.1999999999998</v>
      </c>
      <c r="BJ77" s="99">
        <v>6</v>
      </c>
      <c r="BK77" s="99">
        <v>1670.3999999999999</v>
      </c>
      <c r="BL77" s="99">
        <v>5</v>
      </c>
      <c r="BM77" s="99">
        <v>1392</v>
      </c>
      <c r="BN77" s="99">
        <v>9</v>
      </c>
      <c r="BO77" s="99">
        <v>2505.6</v>
      </c>
      <c r="BP77" s="99">
        <v>7</v>
      </c>
      <c r="BQ77" s="99">
        <v>1948.7999999999997</v>
      </c>
      <c r="BR77" s="99">
        <v>8</v>
      </c>
      <c r="BS77" s="99">
        <v>2227.1999999999998</v>
      </c>
      <c r="BT77" s="99">
        <v>3.268565462562905</v>
      </c>
      <c r="BU77" s="99">
        <v>909.96862477751267</v>
      </c>
      <c r="BV77" s="99">
        <v>6</v>
      </c>
      <c r="BW77" s="99">
        <v>1670.3999999999999</v>
      </c>
      <c r="BX77" s="99">
        <v>10</v>
      </c>
      <c r="BY77" s="99">
        <v>2784</v>
      </c>
      <c r="BZ77" s="99">
        <v>8</v>
      </c>
      <c r="CA77" s="99">
        <v>2227.1999999999998</v>
      </c>
      <c r="CB77" s="99">
        <v>9</v>
      </c>
      <c r="CC77" s="99">
        <v>2505.6</v>
      </c>
      <c r="CD77" s="99">
        <v>2.2789350854111943</v>
      </c>
      <c r="CE77" s="99">
        <v>634.45552777847638</v>
      </c>
      <c r="CF77" s="99">
        <v>6</v>
      </c>
      <c r="CG77" s="99">
        <v>1670.3999999999999</v>
      </c>
      <c r="CH77" s="99">
        <v>6</v>
      </c>
      <c r="CI77" s="99">
        <v>1670.3999999999999</v>
      </c>
      <c r="CJ77" s="99">
        <v>7</v>
      </c>
      <c r="CK77" s="99">
        <v>1948.7999999999997</v>
      </c>
      <c r="CL77" s="99">
        <v>9</v>
      </c>
      <c r="CM77" s="99">
        <v>2505.6</v>
      </c>
      <c r="CN77" s="99">
        <v>7</v>
      </c>
      <c r="CO77" s="99">
        <v>1948.7999999999997</v>
      </c>
      <c r="CP77" s="99">
        <v>3.2189217502939313</v>
      </c>
      <c r="CQ77" s="99">
        <v>896.14781528183039</v>
      </c>
      <c r="CR77" s="99">
        <v>5</v>
      </c>
      <c r="CS77" s="99">
        <v>1392</v>
      </c>
      <c r="CT77" s="99">
        <v>6.0082958638287609</v>
      </c>
      <c r="CU77" s="99">
        <v>1672.7095684899268</v>
      </c>
    </row>
    <row r="78" spans="2:99">
      <c r="C78" s="98" t="s">
        <v>244</v>
      </c>
      <c r="D78" s="99">
        <v>0.6180497905887602</v>
      </c>
      <c r="E78" s="99">
        <v>341.16348440499564</v>
      </c>
      <c r="F78" s="99">
        <v>4.5790181913008796</v>
      </c>
      <c r="G78" s="99">
        <v>2527.6180415980857</v>
      </c>
      <c r="H78" s="99">
        <v>1.402657261570067</v>
      </c>
      <c r="I78" s="99">
        <v>774.26680838667698</v>
      </c>
      <c r="J78" s="99">
        <v>1.2897989002109365</v>
      </c>
      <c r="K78" s="99">
        <v>711.96899291643695</v>
      </c>
      <c r="L78" s="99">
        <v>5.680975227210789</v>
      </c>
      <c r="M78" s="99">
        <v>3135.8983254203554</v>
      </c>
      <c r="N78" s="99">
        <v>6</v>
      </c>
      <c r="O78" s="99">
        <v>3312</v>
      </c>
      <c r="P78" s="99">
        <v>7</v>
      </c>
      <c r="Q78" s="99">
        <v>3864</v>
      </c>
      <c r="R78" s="99">
        <v>7</v>
      </c>
      <c r="S78" s="99">
        <v>3864</v>
      </c>
      <c r="T78" s="99">
        <v>9</v>
      </c>
      <c r="U78" s="99">
        <v>4968</v>
      </c>
      <c r="V78" s="99">
        <v>7</v>
      </c>
      <c r="W78" s="99">
        <v>3864</v>
      </c>
      <c r="X78" s="99">
        <v>6</v>
      </c>
      <c r="Y78" s="99">
        <v>3312</v>
      </c>
      <c r="Z78" s="99">
        <v>9</v>
      </c>
      <c r="AA78" s="99">
        <v>4968</v>
      </c>
      <c r="AB78" s="99">
        <v>2.7469362051529158</v>
      </c>
      <c r="AC78" s="99">
        <v>1516.3087852444096</v>
      </c>
      <c r="AD78" s="99">
        <v>9</v>
      </c>
      <c r="AE78" s="99">
        <v>4968</v>
      </c>
      <c r="AF78" s="99">
        <v>6</v>
      </c>
      <c r="AG78" s="99">
        <v>3312</v>
      </c>
      <c r="AH78" s="99">
        <v>7</v>
      </c>
      <c r="AI78" s="99">
        <v>3864</v>
      </c>
      <c r="AJ78" s="99">
        <v>6</v>
      </c>
      <c r="AK78" s="99">
        <v>3312</v>
      </c>
      <c r="AL78" s="99">
        <v>5</v>
      </c>
      <c r="AM78" s="99">
        <v>2760</v>
      </c>
      <c r="AN78" s="99">
        <v>8</v>
      </c>
      <c r="AO78" s="99">
        <v>4416</v>
      </c>
      <c r="AP78" s="99">
        <v>6</v>
      </c>
      <c r="AQ78" s="99">
        <v>3312</v>
      </c>
      <c r="AR78" s="99">
        <v>3.6987043447489794</v>
      </c>
      <c r="AS78" s="99">
        <v>2041.6847983014366</v>
      </c>
      <c r="AT78" s="99">
        <v>9</v>
      </c>
      <c r="AU78" s="99">
        <v>4968</v>
      </c>
      <c r="AV78" s="99">
        <v>5</v>
      </c>
      <c r="AW78" s="99">
        <v>2760</v>
      </c>
      <c r="AX78" s="99">
        <v>10</v>
      </c>
      <c r="AY78" s="99">
        <v>5520</v>
      </c>
      <c r="AZ78" s="99">
        <v>6.9764105642092256</v>
      </c>
      <c r="BA78" s="99">
        <v>3850.9786314434923</v>
      </c>
      <c r="BB78" s="99">
        <v>8</v>
      </c>
      <c r="BC78" s="99">
        <v>4416</v>
      </c>
      <c r="BD78" s="99">
        <v>8</v>
      </c>
      <c r="BE78" s="99">
        <v>4416</v>
      </c>
      <c r="BF78" s="99">
        <v>8</v>
      </c>
      <c r="BG78" s="99">
        <v>4416</v>
      </c>
      <c r="BH78" s="99">
        <v>9</v>
      </c>
      <c r="BI78" s="99">
        <v>4968</v>
      </c>
      <c r="BJ78" s="99">
        <v>6</v>
      </c>
      <c r="BK78" s="99">
        <v>3312</v>
      </c>
      <c r="BL78" s="99">
        <v>6</v>
      </c>
      <c r="BM78" s="99">
        <v>3312</v>
      </c>
      <c r="BN78" s="99">
        <v>9</v>
      </c>
      <c r="BO78" s="99">
        <v>4968</v>
      </c>
      <c r="BP78" s="99">
        <v>7</v>
      </c>
      <c r="BQ78" s="99">
        <v>3864</v>
      </c>
      <c r="BR78" s="99">
        <v>9</v>
      </c>
      <c r="BS78" s="99">
        <v>4968</v>
      </c>
      <c r="BT78" s="99">
        <v>3.2525645742003104</v>
      </c>
      <c r="BU78" s="99">
        <v>1795.4156449585714</v>
      </c>
      <c r="BV78" s="99">
        <v>5</v>
      </c>
      <c r="BW78" s="99">
        <v>2760</v>
      </c>
      <c r="BX78" s="99">
        <v>10</v>
      </c>
      <c r="BY78" s="99">
        <v>5520</v>
      </c>
      <c r="BZ78" s="99">
        <v>8</v>
      </c>
      <c r="CA78" s="99">
        <v>4416</v>
      </c>
      <c r="CB78" s="99">
        <v>8</v>
      </c>
      <c r="CC78" s="99">
        <v>4416</v>
      </c>
      <c r="CD78" s="99">
        <v>2.2789350854111943</v>
      </c>
      <c r="CE78" s="99">
        <v>1257.9721671469792</v>
      </c>
      <c r="CF78" s="99">
        <v>6</v>
      </c>
      <c r="CG78" s="99">
        <v>3312</v>
      </c>
      <c r="CH78" s="99">
        <v>6</v>
      </c>
      <c r="CI78" s="99">
        <v>3312</v>
      </c>
      <c r="CJ78" s="99">
        <v>8</v>
      </c>
      <c r="CK78" s="99">
        <v>4416</v>
      </c>
      <c r="CL78" s="99">
        <v>10</v>
      </c>
      <c r="CM78" s="99">
        <v>5520</v>
      </c>
      <c r="CN78" s="99">
        <v>7</v>
      </c>
      <c r="CO78" s="99">
        <v>3864</v>
      </c>
      <c r="CP78" s="99">
        <v>3.2189217502939313</v>
      </c>
      <c r="CQ78" s="99">
        <v>1776.8448061622501</v>
      </c>
      <c r="CR78" s="99">
        <v>5</v>
      </c>
      <c r="CS78" s="99">
        <v>2760</v>
      </c>
      <c r="CT78" s="99">
        <v>6.8666238443757264</v>
      </c>
      <c r="CU78" s="99">
        <v>3790.376362095401</v>
      </c>
    </row>
    <row r="79" spans="2:99">
      <c r="C79" s="98" t="s">
        <v>245</v>
      </c>
      <c r="D79" s="99">
        <v>0.62591689162578923</v>
      </c>
      <c r="E79" s="99">
        <v>473.94427033904753</v>
      </c>
      <c r="F79" s="99">
        <v>5.2035442178802418</v>
      </c>
      <c r="G79" s="99">
        <v>3940.1236817789186</v>
      </c>
      <c r="H79" s="99">
        <v>1.402657261570067</v>
      </c>
      <c r="I79" s="99">
        <v>1062.0920784608547</v>
      </c>
      <c r="J79" s="99">
        <v>1.5047653835794259</v>
      </c>
      <c r="K79" s="99">
        <v>1139.4083484463413</v>
      </c>
      <c r="L79" s="99">
        <v>5.680975227210789</v>
      </c>
      <c r="M79" s="99">
        <v>4301.6344420440091</v>
      </c>
      <c r="N79" s="99">
        <v>7</v>
      </c>
      <c r="O79" s="99">
        <v>5300.4</v>
      </c>
      <c r="P79" s="99">
        <v>7</v>
      </c>
      <c r="Q79" s="99">
        <v>5300.4</v>
      </c>
      <c r="R79" s="99">
        <v>7</v>
      </c>
      <c r="S79" s="99">
        <v>5300.4</v>
      </c>
      <c r="T79" s="99">
        <v>9</v>
      </c>
      <c r="U79" s="99">
        <v>6814.7999999999993</v>
      </c>
      <c r="V79" s="99">
        <v>7</v>
      </c>
      <c r="W79" s="99">
        <v>5300.4</v>
      </c>
      <c r="X79" s="99">
        <v>7</v>
      </c>
      <c r="Y79" s="99">
        <v>5300.4</v>
      </c>
      <c r="Z79" s="99">
        <v>8</v>
      </c>
      <c r="AA79" s="99">
        <v>6057.5999999999995</v>
      </c>
      <c r="AB79" s="99">
        <v>2.7469362051529158</v>
      </c>
      <c r="AC79" s="99">
        <v>2079.9800945417878</v>
      </c>
      <c r="AD79" s="99">
        <v>10</v>
      </c>
      <c r="AE79" s="99">
        <v>7571.9999999999991</v>
      </c>
      <c r="AF79" s="99">
        <v>7</v>
      </c>
      <c r="AG79" s="99">
        <v>5300.4</v>
      </c>
      <c r="AH79" s="99">
        <v>6</v>
      </c>
      <c r="AI79" s="99">
        <v>4543.2</v>
      </c>
      <c r="AJ79" s="99">
        <v>6</v>
      </c>
      <c r="AK79" s="99">
        <v>4543.2</v>
      </c>
      <c r="AL79" s="99">
        <v>6</v>
      </c>
      <c r="AM79" s="99">
        <v>4543.2</v>
      </c>
      <c r="AN79" s="99">
        <v>6</v>
      </c>
      <c r="AO79" s="99">
        <v>4543.2</v>
      </c>
      <c r="AP79" s="99">
        <v>5</v>
      </c>
      <c r="AQ79" s="99">
        <v>3785.9999999999995</v>
      </c>
      <c r="AR79" s="99">
        <v>3.0822536206241495</v>
      </c>
      <c r="AS79" s="99">
        <v>2333.8824415366057</v>
      </c>
      <c r="AT79" s="99">
        <v>9</v>
      </c>
      <c r="AU79" s="99">
        <v>6814.7999999999993</v>
      </c>
      <c r="AV79" s="99">
        <v>5</v>
      </c>
      <c r="AW79" s="99">
        <v>3785.9999999999995</v>
      </c>
      <c r="AX79" s="99">
        <v>8</v>
      </c>
      <c r="AY79" s="99">
        <v>6057.5999999999995</v>
      </c>
      <c r="AZ79" s="99">
        <v>6.0639196336651473</v>
      </c>
      <c r="BA79" s="99">
        <v>4591.5999466112489</v>
      </c>
      <c r="BB79" s="99">
        <v>8</v>
      </c>
      <c r="BC79" s="99">
        <v>6057.5999999999995</v>
      </c>
      <c r="BD79" s="99">
        <v>7</v>
      </c>
      <c r="BE79" s="99">
        <v>5300.4</v>
      </c>
      <c r="BF79" s="99">
        <v>8</v>
      </c>
      <c r="BG79" s="99">
        <v>6057.5999999999995</v>
      </c>
      <c r="BH79" s="99">
        <v>8</v>
      </c>
      <c r="BI79" s="99">
        <v>6057.5999999999995</v>
      </c>
      <c r="BJ79" s="99">
        <v>6</v>
      </c>
      <c r="BK79" s="99">
        <v>4543.2</v>
      </c>
      <c r="BL79" s="99">
        <v>5</v>
      </c>
      <c r="BM79" s="99">
        <v>3785.9999999999995</v>
      </c>
      <c r="BN79" s="99">
        <v>9</v>
      </c>
      <c r="BO79" s="99">
        <v>6814.7999999999993</v>
      </c>
      <c r="BP79" s="99">
        <v>6</v>
      </c>
      <c r="BQ79" s="99">
        <v>4543.2</v>
      </c>
      <c r="BR79" s="99">
        <v>8</v>
      </c>
      <c r="BS79" s="99">
        <v>6057.5999999999995</v>
      </c>
      <c r="BT79" s="99">
        <v>3.6361338689541194</v>
      </c>
      <c r="BU79" s="99">
        <v>2753.280565572059</v>
      </c>
      <c r="BV79" s="99">
        <v>5</v>
      </c>
      <c r="BW79" s="99">
        <v>3785.9999999999995</v>
      </c>
      <c r="BX79" s="99">
        <v>8</v>
      </c>
      <c r="BY79" s="99">
        <v>6057.5999999999995</v>
      </c>
      <c r="BZ79" s="99">
        <v>7</v>
      </c>
      <c r="CA79" s="99">
        <v>5300.4</v>
      </c>
      <c r="CB79" s="99">
        <v>8</v>
      </c>
      <c r="CC79" s="99">
        <v>6057.5999999999995</v>
      </c>
      <c r="CD79" s="99">
        <v>2.2789350854111943</v>
      </c>
      <c r="CE79" s="99">
        <v>1725.6096466733561</v>
      </c>
      <c r="CF79" s="99">
        <v>6</v>
      </c>
      <c r="CG79" s="99">
        <v>4543.2</v>
      </c>
      <c r="CH79" s="99">
        <v>6</v>
      </c>
      <c r="CI79" s="99">
        <v>4543.2</v>
      </c>
      <c r="CJ79" s="99">
        <v>8</v>
      </c>
      <c r="CK79" s="99">
        <v>6057.5999999999995</v>
      </c>
      <c r="CL79" s="99">
        <v>8</v>
      </c>
      <c r="CM79" s="99">
        <v>6057.5999999999995</v>
      </c>
      <c r="CN79" s="99">
        <v>7</v>
      </c>
      <c r="CO79" s="99">
        <v>5300.4</v>
      </c>
      <c r="CP79" s="99">
        <v>3.2189217502939313</v>
      </c>
      <c r="CQ79" s="99">
        <v>2437.3675493225646</v>
      </c>
      <c r="CR79" s="99">
        <v>5</v>
      </c>
      <c r="CS79" s="99">
        <v>3785.9999999999995</v>
      </c>
      <c r="CT79" s="99">
        <v>6.0082958638287609</v>
      </c>
      <c r="CU79" s="99">
        <v>4549.4816280911373</v>
      </c>
    </row>
    <row r="80" spans="2:99">
      <c r="C80" s="98" t="s">
        <v>246</v>
      </c>
      <c r="D80" s="99">
        <v>0.61788595514520395</v>
      </c>
      <c r="E80" s="99">
        <v>497.52177108291818</v>
      </c>
      <c r="F80" s="99">
        <v>4.5790181913008796</v>
      </c>
      <c r="G80" s="99">
        <v>3687.025447635468</v>
      </c>
      <c r="H80" s="99">
        <v>1.402657261570067</v>
      </c>
      <c r="I80" s="99">
        <v>1129.4196270162179</v>
      </c>
      <c r="J80" s="99">
        <v>1.5047653835794259</v>
      </c>
      <c r="K80" s="99">
        <v>1211.6370868581537</v>
      </c>
      <c r="L80" s="99">
        <v>5.680975227210789</v>
      </c>
      <c r="M80" s="99">
        <v>4574.321252950127</v>
      </c>
      <c r="N80" s="99">
        <v>6</v>
      </c>
      <c r="O80" s="99">
        <v>4831.2</v>
      </c>
      <c r="P80" s="99">
        <v>8</v>
      </c>
      <c r="Q80" s="99">
        <v>6441.5999999999995</v>
      </c>
      <c r="R80" s="99">
        <v>7</v>
      </c>
      <c r="S80" s="99">
        <v>5636.4</v>
      </c>
      <c r="T80" s="99">
        <v>8</v>
      </c>
      <c r="U80" s="99">
        <v>6441.5999999999995</v>
      </c>
      <c r="V80" s="99">
        <v>7</v>
      </c>
      <c r="W80" s="99">
        <v>5636.4</v>
      </c>
      <c r="X80" s="99">
        <v>7</v>
      </c>
      <c r="Y80" s="99">
        <v>5636.4</v>
      </c>
      <c r="Z80" s="99">
        <v>7</v>
      </c>
      <c r="AA80" s="99">
        <v>5636.4</v>
      </c>
      <c r="AB80" s="99">
        <v>2.7469362051529158</v>
      </c>
      <c r="AC80" s="99">
        <v>2211.8330323891278</v>
      </c>
      <c r="AD80" s="99">
        <v>9</v>
      </c>
      <c r="AE80" s="99">
        <v>7246.7999999999993</v>
      </c>
      <c r="AF80" s="99">
        <v>6</v>
      </c>
      <c r="AG80" s="99">
        <v>4831.2</v>
      </c>
      <c r="AH80" s="99">
        <v>6</v>
      </c>
      <c r="AI80" s="99">
        <v>4831.2</v>
      </c>
      <c r="AJ80" s="99">
        <v>7</v>
      </c>
      <c r="AK80" s="99">
        <v>5636.4</v>
      </c>
      <c r="AL80" s="99">
        <v>5</v>
      </c>
      <c r="AM80" s="99">
        <v>4025.9999999999995</v>
      </c>
      <c r="AN80" s="99">
        <v>7</v>
      </c>
      <c r="AO80" s="99">
        <v>5636.4</v>
      </c>
      <c r="AP80" s="99">
        <v>6</v>
      </c>
      <c r="AQ80" s="99">
        <v>4831.2</v>
      </c>
      <c r="AR80" s="99">
        <v>3.6987043447489794</v>
      </c>
      <c r="AS80" s="99">
        <v>2978.1967383918777</v>
      </c>
      <c r="AT80" s="99">
        <v>9</v>
      </c>
      <c r="AU80" s="99">
        <v>7246.7999999999993</v>
      </c>
      <c r="AV80" s="99">
        <v>5</v>
      </c>
      <c r="AW80" s="99">
        <v>4025.9999999999995</v>
      </c>
      <c r="AX80" s="99">
        <v>9</v>
      </c>
      <c r="AY80" s="99">
        <v>7246.7999999999993</v>
      </c>
      <c r="AZ80" s="99">
        <v>7.0217162603938927</v>
      </c>
      <c r="BA80" s="99">
        <v>5653.8859328691624</v>
      </c>
      <c r="BB80" s="99">
        <v>8</v>
      </c>
      <c r="BC80" s="99">
        <v>6441.5999999999995</v>
      </c>
      <c r="BD80" s="99">
        <v>7</v>
      </c>
      <c r="BE80" s="99">
        <v>5636.4</v>
      </c>
      <c r="BF80" s="99">
        <v>8</v>
      </c>
      <c r="BG80" s="99">
        <v>6441.5999999999995</v>
      </c>
      <c r="BH80" s="99">
        <v>8</v>
      </c>
      <c r="BI80" s="99">
        <v>6441.5999999999995</v>
      </c>
      <c r="BJ80" s="99">
        <v>5</v>
      </c>
      <c r="BK80" s="99">
        <v>4025.9999999999995</v>
      </c>
      <c r="BL80" s="99">
        <v>5</v>
      </c>
      <c r="BM80" s="99">
        <v>4025.9999999999995</v>
      </c>
      <c r="BN80" s="99">
        <v>8</v>
      </c>
      <c r="BO80" s="99">
        <v>6441.5999999999995</v>
      </c>
      <c r="BP80" s="99">
        <v>6</v>
      </c>
      <c r="BQ80" s="99">
        <v>4831.2</v>
      </c>
      <c r="BR80" s="99">
        <v>9</v>
      </c>
      <c r="BS80" s="99">
        <v>7246.7999999999993</v>
      </c>
      <c r="BT80" s="99">
        <v>3.2445641300190133</v>
      </c>
      <c r="BU80" s="99">
        <v>2612.5230374913094</v>
      </c>
      <c r="BV80" s="99">
        <v>5</v>
      </c>
      <c r="BW80" s="99">
        <v>4025.9999999999995</v>
      </c>
      <c r="BX80" s="99">
        <v>10</v>
      </c>
      <c r="BY80" s="99">
        <v>8051.9999999999991</v>
      </c>
      <c r="BZ80" s="99">
        <v>8</v>
      </c>
      <c r="CA80" s="99">
        <v>6441.5999999999995</v>
      </c>
      <c r="CB80" s="99">
        <v>8</v>
      </c>
      <c r="CC80" s="99">
        <v>6441.5999999999995</v>
      </c>
      <c r="CD80" s="99">
        <v>2.6587575996463935</v>
      </c>
      <c r="CE80" s="99">
        <v>2140.8316192352759</v>
      </c>
      <c r="CF80" s="99">
        <v>7</v>
      </c>
      <c r="CG80" s="99">
        <v>5636.4</v>
      </c>
      <c r="CH80" s="99">
        <v>5</v>
      </c>
      <c r="CI80" s="99">
        <v>4025.9999999999995</v>
      </c>
      <c r="CJ80" s="99">
        <v>7</v>
      </c>
      <c r="CK80" s="99">
        <v>5636.4</v>
      </c>
      <c r="CL80" s="99">
        <v>9</v>
      </c>
      <c r="CM80" s="99">
        <v>7246.7999999999993</v>
      </c>
      <c r="CN80" s="99">
        <v>7</v>
      </c>
      <c r="CO80" s="99">
        <v>5636.4</v>
      </c>
      <c r="CP80" s="99">
        <v>2.6824347919116098</v>
      </c>
      <c r="CQ80" s="99">
        <v>2159.8964944472282</v>
      </c>
      <c r="CR80" s="99">
        <v>6</v>
      </c>
      <c r="CS80" s="99">
        <v>4831.2</v>
      </c>
      <c r="CT80" s="99">
        <v>6.0082958638287609</v>
      </c>
      <c r="CU80" s="99">
        <v>4837.8798295549177</v>
      </c>
    </row>
    <row r="81" spans="2:99">
      <c r="C81" s="98" t="s">
        <v>247</v>
      </c>
      <c r="D81" s="99">
        <v>0.62591689162578923</v>
      </c>
      <c r="E81" s="99">
        <v>471.69096952919477</v>
      </c>
      <c r="F81" s="99">
        <v>4.5790181913008796</v>
      </c>
      <c r="G81" s="99">
        <v>3450.7481089643429</v>
      </c>
      <c r="H81" s="99">
        <v>1.402657261570067</v>
      </c>
      <c r="I81" s="99">
        <v>1057.0425123192026</v>
      </c>
      <c r="J81" s="99">
        <v>1.2897989002109365</v>
      </c>
      <c r="K81" s="99">
        <v>971.9924511989617</v>
      </c>
      <c r="L81" s="99">
        <v>5.5447801817686315</v>
      </c>
      <c r="M81" s="99">
        <v>4178.5463449808412</v>
      </c>
      <c r="N81" s="99">
        <v>6</v>
      </c>
      <c r="O81" s="99">
        <v>4521.6000000000004</v>
      </c>
      <c r="P81" s="99">
        <v>7</v>
      </c>
      <c r="Q81" s="99">
        <v>5275.2</v>
      </c>
      <c r="R81" s="99">
        <v>7</v>
      </c>
      <c r="S81" s="99">
        <v>5275.2</v>
      </c>
      <c r="T81" s="99">
        <v>8</v>
      </c>
      <c r="U81" s="99">
        <v>6028.8</v>
      </c>
      <c r="V81" s="99">
        <v>7</v>
      </c>
      <c r="W81" s="99">
        <v>5275.2</v>
      </c>
      <c r="X81" s="99">
        <v>6</v>
      </c>
      <c r="Y81" s="99">
        <v>4521.6000000000004</v>
      </c>
      <c r="Z81" s="99">
        <v>8</v>
      </c>
      <c r="AA81" s="99">
        <v>6028.8</v>
      </c>
      <c r="AB81" s="99">
        <v>2.7469362051529158</v>
      </c>
      <c r="AC81" s="99">
        <v>2070.0911242032375</v>
      </c>
      <c r="AD81" s="99">
        <v>9</v>
      </c>
      <c r="AE81" s="99">
        <v>6782.4000000000005</v>
      </c>
      <c r="AF81" s="99">
        <v>6</v>
      </c>
      <c r="AG81" s="99">
        <v>4521.6000000000004</v>
      </c>
      <c r="AH81" s="99">
        <v>7</v>
      </c>
      <c r="AI81" s="99">
        <v>5275.2</v>
      </c>
      <c r="AJ81" s="99">
        <v>6</v>
      </c>
      <c r="AK81" s="99">
        <v>4521.6000000000004</v>
      </c>
      <c r="AL81" s="99">
        <v>5</v>
      </c>
      <c r="AM81" s="99">
        <v>3768</v>
      </c>
      <c r="AN81" s="99">
        <v>7</v>
      </c>
      <c r="AO81" s="99">
        <v>5275.2</v>
      </c>
      <c r="AP81" s="99">
        <v>5</v>
      </c>
      <c r="AQ81" s="99">
        <v>3768</v>
      </c>
      <c r="AR81" s="99">
        <v>3.6987043447489794</v>
      </c>
      <c r="AS81" s="99">
        <v>2787.3435942028309</v>
      </c>
      <c r="AT81" s="99">
        <v>10</v>
      </c>
      <c r="AU81" s="99">
        <v>7536</v>
      </c>
      <c r="AV81" s="99">
        <v>5</v>
      </c>
      <c r="AW81" s="99">
        <v>3768</v>
      </c>
      <c r="AX81" s="99">
        <v>8</v>
      </c>
      <c r="AY81" s="99">
        <v>6028.8</v>
      </c>
      <c r="AZ81" s="99">
        <v>7.0217162603938927</v>
      </c>
      <c r="BA81" s="99">
        <v>5291.5653738328374</v>
      </c>
      <c r="BB81" s="99">
        <v>9</v>
      </c>
      <c r="BC81" s="99">
        <v>6782.4000000000005</v>
      </c>
      <c r="BD81" s="99">
        <v>7</v>
      </c>
      <c r="BE81" s="99">
        <v>5275.2</v>
      </c>
      <c r="BF81" s="99">
        <v>8</v>
      </c>
      <c r="BG81" s="99">
        <v>6028.8</v>
      </c>
      <c r="BH81" s="99">
        <v>9</v>
      </c>
      <c r="BI81" s="99">
        <v>6782.4000000000005</v>
      </c>
      <c r="BJ81" s="99">
        <v>5</v>
      </c>
      <c r="BK81" s="99">
        <v>3768</v>
      </c>
      <c r="BL81" s="99">
        <v>5</v>
      </c>
      <c r="BM81" s="99">
        <v>3768</v>
      </c>
      <c r="BN81" s="99">
        <v>8</v>
      </c>
      <c r="BO81" s="99">
        <v>6028.8</v>
      </c>
      <c r="BP81" s="99">
        <v>6</v>
      </c>
      <c r="BQ81" s="99">
        <v>4521.6000000000004</v>
      </c>
      <c r="BR81" s="99">
        <v>8</v>
      </c>
      <c r="BS81" s="99">
        <v>6028.8</v>
      </c>
      <c r="BT81" s="99">
        <v>3.652134757316714</v>
      </c>
      <c r="BU81" s="99">
        <v>2752.2487531138759</v>
      </c>
      <c r="BV81" s="99">
        <v>5</v>
      </c>
      <c r="BW81" s="99">
        <v>3768</v>
      </c>
      <c r="BX81" s="99">
        <v>10</v>
      </c>
      <c r="BY81" s="99">
        <v>7536</v>
      </c>
      <c r="BZ81" s="99">
        <v>8</v>
      </c>
      <c r="CA81" s="99">
        <v>6028.8</v>
      </c>
      <c r="CB81" s="99">
        <v>9</v>
      </c>
      <c r="CC81" s="99">
        <v>6782.4000000000005</v>
      </c>
      <c r="CD81" s="99">
        <v>2.2789350854111943</v>
      </c>
      <c r="CE81" s="99">
        <v>1717.405480365876</v>
      </c>
      <c r="CF81" s="99">
        <v>7</v>
      </c>
      <c r="CG81" s="99">
        <v>5275.2</v>
      </c>
      <c r="CH81" s="99">
        <v>6</v>
      </c>
      <c r="CI81" s="99">
        <v>4521.6000000000004</v>
      </c>
      <c r="CJ81" s="99">
        <v>8</v>
      </c>
      <c r="CK81" s="99">
        <v>6028.8</v>
      </c>
      <c r="CL81" s="99">
        <v>9</v>
      </c>
      <c r="CM81" s="99">
        <v>6782.4000000000005</v>
      </c>
      <c r="CN81" s="99">
        <v>6</v>
      </c>
      <c r="CO81" s="99">
        <v>4521.6000000000004</v>
      </c>
      <c r="CP81" s="99">
        <v>2.6824347919116098</v>
      </c>
      <c r="CQ81" s="99">
        <v>2021.4828591845892</v>
      </c>
      <c r="CR81" s="99">
        <v>6</v>
      </c>
      <c r="CS81" s="99">
        <v>4521.6000000000004</v>
      </c>
      <c r="CT81" s="99">
        <v>6.0082958638287609</v>
      </c>
      <c r="CU81" s="99">
        <v>4527.8517629813541</v>
      </c>
    </row>
    <row r="82" spans="2:99">
      <c r="C82" s="98" t="s">
        <v>248</v>
      </c>
      <c r="D82" s="99">
        <v>0.62608072706934559</v>
      </c>
      <c r="E82" s="99">
        <v>318.54987393288297</v>
      </c>
      <c r="F82" s="99">
        <v>4.5790181913008796</v>
      </c>
      <c r="G82" s="99">
        <v>2329.8044557338872</v>
      </c>
      <c r="H82" s="99">
        <v>1.402657261570067</v>
      </c>
      <c r="I82" s="99">
        <v>713.67201468684993</v>
      </c>
      <c r="J82" s="99">
        <v>1.5047653835794259</v>
      </c>
      <c r="K82" s="99">
        <v>765.62462716521179</v>
      </c>
      <c r="L82" s="99">
        <v>5.680975227210789</v>
      </c>
      <c r="M82" s="99">
        <v>2890.4801956048486</v>
      </c>
      <c r="N82" s="99">
        <v>7</v>
      </c>
      <c r="O82" s="99">
        <v>3561.5999999999995</v>
      </c>
      <c r="P82" s="99">
        <v>8</v>
      </c>
      <c r="Q82" s="99">
        <v>4070.3999999999992</v>
      </c>
      <c r="R82" s="99">
        <v>7</v>
      </c>
      <c r="S82" s="99">
        <v>3561.5999999999995</v>
      </c>
      <c r="T82" s="99">
        <v>9</v>
      </c>
      <c r="U82" s="99">
        <v>4579.1999999999989</v>
      </c>
      <c r="V82" s="99">
        <v>7</v>
      </c>
      <c r="W82" s="99">
        <v>3561.5999999999995</v>
      </c>
      <c r="X82" s="99">
        <v>7</v>
      </c>
      <c r="Y82" s="99">
        <v>3561.5999999999995</v>
      </c>
      <c r="Z82" s="99">
        <v>8</v>
      </c>
      <c r="AA82" s="99">
        <v>4070.3999999999992</v>
      </c>
      <c r="AB82" s="99">
        <v>2.7469362051529158</v>
      </c>
      <c r="AC82" s="99">
        <v>1397.6411411818033</v>
      </c>
      <c r="AD82" s="99">
        <v>10</v>
      </c>
      <c r="AE82" s="99">
        <v>5087.9999999999991</v>
      </c>
      <c r="AF82" s="99">
        <v>6</v>
      </c>
      <c r="AG82" s="99">
        <v>3052.7999999999993</v>
      </c>
      <c r="AH82" s="99">
        <v>6</v>
      </c>
      <c r="AI82" s="99">
        <v>3052.7999999999993</v>
      </c>
      <c r="AJ82" s="99">
        <v>6</v>
      </c>
      <c r="AK82" s="99">
        <v>3052.7999999999993</v>
      </c>
      <c r="AL82" s="99">
        <v>6</v>
      </c>
      <c r="AM82" s="99">
        <v>3052.7999999999993</v>
      </c>
      <c r="AN82" s="99">
        <v>7</v>
      </c>
      <c r="AO82" s="99">
        <v>3561.5999999999995</v>
      </c>
      <c r="AP82" s="99">
        <v>6</v>
      </c>
      <c r="AQ82" s="99">
        <v>3052.7999999999993</v>
      </c>
      <c r="AR82" s="99">
        <v>3.0822536206241495</v>
      </c>
      <c r="AS82" s="99">
        <v>1568.250642173567</v>
      </c>
      <c r="AT82" s="99">
        <v>10</v>
      </c>
      <c r="AU82" s="99">
        <v>5087.9999999999991</v>
      </c>
      <c r="AV82" s="99">
        <v>5</v>
      </c>
      <c r="AW82" s="99">
        <v>2543.9999999999995</v>
      </c>
      <c r="AX82" s="99">
        <v>9</v>
      </c>
      <c r="AY82" s="99">
        <v>4579.1999999999989</v>
      </c>
      <c r="AZ82" s="99">
        <v>6.0639196336651473</v>
      </c>
      <c r="BA82" s="99">
        <v>3085.3223096088263</v>
      </c>
      <c r="BB82" s="99">
        <v>9</v>
      </c>
      <c r="BC82" s="99">
        <v>4579.1999999999989</v>
      </c>
      <c r="BD82" s="99">
        <v>8</v>
      </c>
      <c r="BE82" s="99">
        <v>4070.3999999999992</v>
      </c>
      <c r="BF82" s="99">
        <v>8</v>
      </c>
      <c r="BG82" s="99">
        <v>4070.3999999999992</v>
      </c>
      <c r="BH82" s="99">
        <v>9</v>
      </c>
      <c r="BI82" s="99">
        <v>4579.1999999999989</v>
      </c>
      <c r="BJ82" s="99">
        <v>6</v>
      </c>
      <c r="BK82" s="99">
        <v>3052.7999999999993</v>
      </c>
      <c r="BL82" s="99">
        <v>6</v>
      </c>
      <c r="BM82" s="99">
        <v>3052.7999999999993</v>
      </c>
      <c r="BN82" s="99">
        <v>8</v>
      </c>
      <c r="BO82" s="99">
        <v>4070.3999999999992</v>
      </c>
      <c r="BP82" s="99">
        <v>6</v>
      </c>
      <c r="BQ82" s="99">
        <v>3052.7999999999993</v>
      </c>
      <c r="BR82" s="99">
        <v>8</v>
      </c>
      <c r="BS82" s="99">
        <v>4070.3999999999992</v>
      </c>
      <c r="BT82" s="99">
        <v>3.2525645742003104</v>
      </c>
      <c r="BU82" s="99">
        <v>1654.9048553531177</v>
      </c>
      <c r="BV82" s="99">
        <v>6</v>
      </c>
      <c r="BW82" s="99">
        <v>3052.7999999999993</v>
      </c>
      <c r="BX82" s="99">
        <v>10</v>
      </c>
      <c r="BY82" s="99">
        <v>5087.9999999999991</v>
      </c>
      <c r="BZ82" s="99">
        <v>7</v>
      </c>
      <c r="CA82" s="99">
        <v>3561.5999999999995</v>
      </c>
      <c r="CB82" s="99">
        <v>9</v>
      </c>
      <c r="CC82" s="99">
        <v>4579.1999999999989</v>
      </c>
      <c r="CD82" s="99">
        <v>2.2789350854111943</v>
      </c>
      <c r="CE82" s="99">
        <v>1159.5221714572153</v>
      </c>
      <c r="CF82" s="99">
        <v>7</v>
      </c>
      <c r="CG82" s="99">
        <v>3561.5999999999995</v>
      </c>
      <c r="CH82" s="99">
        <v>6</v>
      </c>
      <c r="CI82" s="99">
        <v>3052.7999999999993</v>
      </c>
      <c r="CJ82" s="99">
        <v>8</v>
      </c>
      <c r="CK82" s="99">
        <v>4070.3999999999992</v>
      </c>
      <c r="CL82" s="99">
        <v>9</v>
      </c>
      <c r="CM82" s="99">
        <v>4579.1999999999989</v>
      </c>
      <c r="CN82" s="99">
        <v>6</v>
      </c>
      <c r="CO82" s="99">
        <v>3052.7999999999993</v>
      </c>
      <c r="CP82" s="99">
        <v>3.2189217502939313</v>
      </c>
      <c r="CQ82" s="99">
        <v>1637.7873865495519</v>
      </c>
      <c r="CR82" s="99">
        <v>6</v>
      </c>
      <c r="CS82" s="99">
        <v>3052.7999999999993</v>
      </c>
      <c r="CT82" s="99">
        <v>6.0082958638287609</v>
      </c>
      <c r="CU82" s="99">
        <v>3057.0209355160728</v>
      </c>
    </row>
    <row r="83" spans="2:99">
      <c r="C83" s="98" t="s">
        <v>249</v>
      </c>
      <c r="D83" s="99">
        <v>0.52984679342681806</v>
      </c>
      <c r="E83" s="99">
        <v>455.88018106443423</v>
      </c>
      <c r="F83" s="99">
        <v>4.5790181913008796</v>
      </c>
      <c r="G83" s="99">
        <v>3939.7872517952769</v>
      </c>
      <c r="H83" s="99">
        <v>1.402657261570067</v>
      </c>
      <c r="I83" s="99">
        <v>1206.8463078548857</v>
      </c>
      <c r="J83" s="99">
        <v>1.5047653835794259</v>
      </c>
      <c r="K83" s="99">
        <v>1294.7001360317381</v>
      </c>
      <c r="L83" s="99">
        <v>5.680975227210789</v>
      </c>
      <c r="M83" s="99">
        <v>4887.9110854921628</v>
      </c>
      <c r="N83" s="99">
        <v>7</v>
      </c>
      <c r="O83" s="99">
        <v>6022.8</v>
      </c>
      <c r="P83" s="99">
        <v>7</v>
      </c>
      <c r="Q83" s="99">
        <v>6022.8</v>
      </c>
      <c r="R83" s="99">
        <v>6</v>
      </c>
      <c r="S83" s="99">
        <v>5162.3999999999996</v>
      </c>
      <c r="T83" s="99">
        <v>8</v>
      </c>
      <c r="U83" s="99">
        <v>6883.2</v>
      </c>
      <c r="V83" s="99">
        <v>6</v>
      </c>
      <c r="W83" s="99">
        <v>5162.3999999999996</v>
      </c>
      <c r="X83" s="99">
        <v>7</v>
      </c>
      <c r="Y83" s="99">
        <v>6022.8</v>
      </c>
      <c r="Z83" s="99">
        <v>8</v>
      </c>
      <c r="AA83" s="99">
        <v>6883.2</v>
      </c>
      <c r="AB83" s="99">
        <v>2.2891135042940967</v>
      </c>
      <c r="AC83" s="99">
        <v>1969.5532590946407</v>
      </c>
      <c r="AD83" s="99">
        <v>9</v>
      </c>
      <c r="AE83" s="99">
        <v>7743.5999999999995</v>
      </c>
      <c r="AF83" s="99">
        <v>6</v>
      </c>
      <c r="AG83" s="99">
        <v>5162.3999999999996</v>
      </c>
      <c r="AH83" s="99">
        <v>7</v>
      </c>
      <c r="AI83" s="99">
        <v>6022.8</v>
      </c>
      <c r="AJ83" s="99">
        <v>7</v>
      </c>
      <c r="AK83" s="99">
        <v>6022.8</v>
      </c>
      <c r="AL83" s="99">
        <v>5</v>
      </c>
      <c r="AM83" s="99">
        <v>4302</v>
      </c>
      <c r="AN83" s="99">
        <v>7</v>
      </c>
      <c r="AO83" s="99">
        <v>6022.8</v>
      </c>
      <c r="AP83" s="99">
        <v>5</v>
      </c>
      <c r="AQ83" s="99">
        <v>4302</v>
      </c>
      <c r="AR83" s="99">
        <v>3.0822536206241495</v>
      </c>
      <c r="AS83" s="99">
        <v>2651.9710151850181</v>
      </c>
      <c r="AT83" s="99">
        <v>8</v>
      </c>
      <c r="AU83" s="99">
        <v>6883.2</v>
      </c>
      <c r="AV83" s="99">
        <v>5</v>
      </c>
      <c r="AW83" s="99">
        <v>4302</v>
      </c>
      <c r="AX83" s="99">
        <v>9</v>
      </c>
      <c r="AY83" s="99">
        <v>7743.5999999999995</v>
      </c>
      <c r="AZ83" s="99">
        <v>6.9764105642092256</v>
      </c>
      <c r="BA83" s="99">
        <v>6002.5036494456172</v>
      </c>
      <c r="BB83" s="99">
        <v>9</v>
      </c>
      <c r="BC83" s="99">
        <v>7743.5999999999995</v>
      </c>
      <c r="BD83" s="99">
        <v>8</v>
      </c>
      <c r="BE83" s="99">
        <v>6883.2</v>
      </c>
      <c r="BF83" s="99">
        <v>8</v>
      </c>
      <c r="BG83" s="99">
        <v>6883.2</v>
      </c>
      <c r="BH83" s="99">
        <v>8</v>
      </c>
      <c r="BI83" s="99">
        <v>6883.2</v>
      </c>
      <c r="BJ83" s="99">
        <v>6</v>
      </c>
      <c r="BK83" s="99">
        <v>5162.3999999999996</v>
      </c>
      <c r="BL83" s="99">
        <v>5</v>
      </c>
      <c r="BM83" s="99">
        <v>4302</v>
      </c>
      <c r="BN83" s="99">
        <v>8</v>
      </c>
      <c r="BO83" s="99">
        <v>6883.2</v>
      </c>
      <c r="BP83" s="99">
        <v>5</v>
      </c>
      <c r="BQ83" s="99">
        <v>4302</v>
      </c>
      <c r="BR83" s="99">
        <v>8</v>
      </c>
      <c r="BS83" s="99">
        <v>6883.2</v>
      </c>
      <c r="BT83" s="99">
        <v>3.6361338689541194</v>
      </c>
      <c r="BU83" s="99">
        <v>3128.5295808481242</v>
      </c>
      <c r="BV83" s="99">
        <v>5</v>
      </c>
      <c r="BW83" s="99">
        <v>4302</v>
      </c>
      <c r="BX83" s="99">
        <v>8</v>
      </c>
      <c r="BY83" s="99">
        <v>6883.2</v>
      </c>
      <c r="BZ83" s="99">
        <v>7</v>
      </c>
      <c r="CA83" s="99">
        <v>6022.8</v>
      </c>
      <c r="CB83" s="99">
        <v>8</v>
      </c>
      <c r="CC83" s="99">
        <v>6883.2</v>
      </c>
      <c r="CD83" s="99">
        <v>2.6587575996463935</v>
      </c>
      <c r="CE83" s="99">
        <v>2287.595038735757</v>
      </c>
      <c r="CF83" s="99">
        <v>7</v>
      </c>
      <c r="CG83" s="99">
        <v>6022.8</v>
      </c>
      <c r="CH83" s="99">
        <v>6</v>
      </c>
      <c r="CI83" s="99">
        <v>5162.3999999999996</v>
      </c>
      <c r="CJ83" s="99">
        <v>8</v>
      </c>
      <c r="CK83" s="99">
        <v>6883.2</v>
      </c>
      <c r="CL83" s="99">
        <v>8</v>
      </c>
      <c r="CM83" s="99">
        <v>6883.2</v>
      </c>
      <c r="CN83" s="99">
        <v>7</v>
      </c>
      <c r="CO83" s="99">
        <v>6022.8</v>
      </c>
      <c r="CP83" s="99">
        <v>2.6824347919116098</v>
      </c>
      <c r="CQ83" s="99">
        <v>2307.966894960749</v>
      </c>
      <c r="CR83" s="99">
        <v>5</v>
      </c>
      <c r="CS83" s="99">
        <v>4302</v>
      </c>
      <c r="CT83" s="99">
        <v>6.0082958638287609</v>
      </c>
      <c r="CU83" s="99">
        <v>5169.5377612382654</v>
      </c>
    </row>
    <row r="84" spans="2:99">
      <c r="C84" s="98" t="s">
        <v>250</v>
      </c>
      <c r="D84" s="99">
        <v>0.62591689162578923</v>
      </c>
      <c r="E84" s="99">
        <v>488.96627573806649</v>
      </c>
      <c r="F84" s="99">
        <v>4.6204853923499485</v>
      </c>
      <c r="G84" s="99">
        <v>3609.5231885037792</v>
      </c>
      <c r="H84" s="99">
        <v>1.2273251038738087</v>
      </c>
      <c r="I84" s="99">
        <v>958.78637114621927</v>
      </c>
      <c r="J84" s="99">
        <v>1.7197318669479151</v>
      </c>
      <c r="K84" s="99">
        <v>1343.4545344597111</v>
      </c>
      <c r="L84" s="99">
        <v>5.680975227210789</v>
      </c>
      <c r="M84" s="99">
        <v>4437.9778474970681</v>
      </c>
      <c r="N84" s="99">
        <v>6</v>
      </c>
      <c r="O84" s="99">
        <v>4687.2</v>
      </c>
      <c r="P84" s="99">
        <v>8</v>
      </c>
      <c r="Q84" s="99">
        <v>6249.5999999999995</v>
      </c>
      <c r="R84" s="99">
        <v>6</v>
      </c>
      <c r="S84" s="99">
        <v>4687.2</v>
      </c>
      <c r="T84" s="99">
        <v>8</v>
      </c>
      <c r="U84" s="99">
        <v>6249.5999999999995</v>
      </c>
      <c r="V84" s="99">
        <v>7</v>
      </c>
      <c r="W84" s="99">
        <v>5468.4</v>
      </c>
      <c r="X84" s="99">
        <v>7</v>
      </c>
      <c r="Y84" s="99">
        <v>5468.4</v>
      </c>
      <c r="Z84" s="99">
        <v>8</v>
      </c>
      <c r="AA84" s="99">
        <v>6249.5999999999995</v>
      </c>
      <c r="AB84" s="99">
        <v>2.7469362051529158</v>
      </c>
      <c r="AC84" s="99">
        <v>2145.9065634654576</v>
      </c>
      <c r="AD84" s="99">
        <v>9</v>
      </c>
      <c r="AE84" s="99">
        <v>7030.7999999999993</v>
      </c>
      <c r="AF84" s="99">
        <v>7</v>
      </c>
      <c r="AG84" s="99">
        <v>5468.4</v>
      </c>
      <c r="AH84" s="99">
        <v>6</v>
      </c>
      <c r="AI84" s="99">
        <v>4687.2</v>
      </c>
      <c r="AJ84" s="99">
        <v>6</v>
      </c>
      <c r="AK84" s="99">
        <v>4687.2</v>
      </c>
      <c r="AL84" s="99">
        <v>5</v>
      </c>
      <c r="AM84" s="99">
        <v>3905.9999999999995</v>
      </c>
      <c r="AN84" s="99">
        <v>7</v>
      </c>
      <c r="AO84" s="99">
        <v>5468.4</v>
      </c>
      <c r="AP84" s="99">
        <v>6</v>
      </c>
      <c r="AQ84" s="99">
        <v>4687.2</v>
      </c>
      <c r="AR84" s="99">
        <v>3.0822536206241495</v>
      </c>
      <c r="AS84" s="99">
        <v>2407.8565284315855</v>
      </c>
      <c r="AT84" s="99">
        <v>9</v>
      </c>
      <c r="AU84" s="99">
        <v>7030.7999999999993</v>
      </c>
      <c r="AV84" s="99">
        <v>5</v>
      </c>
      <c r="AW84" s="99">
        <v>3905.9999999999995</v>
      </c>
      <c r="AX84" s="99">
        <v>9</v>
      </c>
      <c r="AY84" s="99">
        <v>7030.7999999999993</v>
      </c>
      <c r="AZ84" s="99">
        <v>6.9764105642092256</v>
      </c>
      <c r="BA84" s="99">
        <v>5449.9719327602461</v>
      </c>
      <c r="BB84" s="99">
        <v>8</v>
      </c>
      <c r="BC84" s="99">
        <v>6249.5999999999995</v>
      </c>
      <c r="BD84" s="99">
        <v>8</v>
      </c>
      <c r="BE84" s="99">
        <v>6249.5999999999995</v>
      </c>
      <c r="BF84" s="99">
        <v>8</v>
      </c>
      <c r="BG84" s="99">
        <v>6249.5999999999995</v>
      </c>
      <c r="BH84" s="99">
        <v>7</v>
      </c>
      <c r="BI84" s="99">
        <v>5468.4</v>
      </c>
      <c r="BJ84" s="99">
        <v>6</v>
      </c>
      <c r="BK84" s="99">
        <v>4687.2</v>
      </c>
      <c r="BL84" s="99">
        <v>5</v>
      </c>
      <c r="BM84" s="99">
        <v>3905.9999999999995</v>
      </c>
      <c r="BN84" s="99">
        <v>9</v>
      </c>
      <c r="BO84" s="99">
        <v>7030.7999999999993</v>
      </c>
      <c r="BP84" s="99">
        <v>5</v>
      </c>
      <c r="BQ84" s="99">
        <v>3905.9999999999995</v>
      </c>
      <c r="BR84" s="99">
        <v>8</v>
      </c>
      <c r="BS84" s="99">
        <v>6249.5999999999995</v>
      </c>
      <c r="BT84" s="99">
        <v>3.6361338689541194</v>
      </c>
      <c r="BU84" s="99">
        <v>2840.5477784269578</v>
      </c>
      <c r="BV84" s="99">
        <v>6</v>
      </c>
      <c r="BW84" s="99">
        <v>4687.2</v>
      </c>
      <c r="BX84" s="99">
        <v>9</v>
      </c>
      <c r="BY84" s="99">
        <v>7030.7999999999993</v>
      </c>
      <c r="BZ84" s="99">
        <v>7</v>
      </c>
      <c r="CA84" s="99">
        <v>5468.4</v>
      </c>
      <c r="CB84" s="99">
        <v>9</v>
      </c>
      <c r="CC84" s="99">
        <v>7030.7999999999993</v>
      </c>
      <c r="CD84" s="99">
        <v>2.6587575996463935</v>
      </c>
      <c r="CE84" s="99">
        <v>2077.0214368437623</v>
      </c>
      <c r="CF84" s="99">
        <v>7</v>
      </c>
      <c r="CG84" s="99">
        <v>5468.4</v>
      </c>
      <c r="CH84" s="99">
        <v>6</v>
      </c>
      <c r="CI84" s="99">
        <v>4687.2</v>
      </c>
      <c r="CJ84" s="99">
        <v>7</v>
      </c>
      <c r="CK84" s="99">
        <v>5468.4</v>
      </c>
      <c r="CL84" s="99">
        <v>9</v>
      </c>
      <c r="CM84" s="99">
        <v>7030.7999999999993</v>
      </c>
      <c r="CN84" s="99">
        <v>7</v>
      </c>
      <c r="CO84" s="99">
        <v>5468.4</v>
      </c>
      <c r="CP84" s="99">
        <v>3.2189217502939313</v>
      </c>
      <c r="CQ84" s="99">
        <v>2514.6216713296189</v>
      </c>
      <c r="CR84" s="99">
        <v>6</v>
      </c>
      <c r="CS84" s="99">
        <v>4687.2</v>
      </c>
      <c r="CT84" s="99">
        <v>6.0082958638287609</v>
      </c>
      <c r="CU84" s="99">
        <v>4693.6807288230275</v>
      </c>
    </row>
    <row r="85" spans="2:99">
      <c r="C85" s="98" t="s">
        <v>251</v>
      </c>
      <c r="D85" s="99">
        <v>0.688169742694975</v>
      </c>
      <c r="E85" s="99">
        <v>103.22546140424625</v>
      </c>
      <c r="F85" s="99">
        <v>4.5790181913008796</v>
      </c>
      <c r="G85" s="99">
        <v>686.85272869513199</v>
      </c>
      <c r="H85" s="99">
        <v>1.402657261570067</v>
      </c>
      <c r="I85" s="99">
        <v>210.39858923551006</v>
      </c>
      <c r="J85" s="99">
        <v>1.7197318669479151</v>
      </c>
      <c r="K85" s="99">
        <v>257.95978004218728</v>
      </c>
      <c r="L85" s="99">
        <v>5.680975227210789</v>
      </c>
      <c r="M85" s="99">
        <v>852.14628408161832</v>
      </c>
      <c r="N85" s="99">
        <v>6</v>
      </c>
      <c r="O85" s="99">
        <v>900</v>
      </c>
      <c r="P85" s="99">
        <v>7</v>
      </c>
      <c r="Q85" s="99">
        <v>1050</v>
      </c>
      <c r="R85" s="99">
        <v>7</v>
      </c>
      <c r="S85" s="99">
        <v>1050</v>
      </c>
      <c r="T85" s="99">
        <v>8</v>
      </c>
      <c r="U85" s="99">
        <v>1200</v>
      </c>
      <c r="V85" s="99">
        <v>8</v>
      </c>
      <c r="W85" s="99">
        <v>1200</v>
      </c>
      <c r="X85" s="99">
        <v>7</v>
      </c>
      <c r="Y85" s="99">
        <v>1050</v>
      </c>
      <c r="Z85" s="99">
        <v>9</v>
      </c>
      <c r="AA85" s="99">
        <v>1350</v>
      </c>
      <c r="AB85" s="99">
        <v>2.7469362051529158</v>
      </c>
      <c r="AC85" s="99">
        <v>412.04043077293738</v>
      </c>
      <c r="AD85" s="99">
        <v>9</v>
      </c>
      <c r="AE85" s="99">
        <v>1350</v>
      </c>
      <c r="AF85" s="99">
        <v>8</v>
      </c>
      <c r="AG85" s="99">
        <v>1200</v>
      </c>
      <c r="AH85" s="99">
        <v>7</v>
      </c>
      <c r="AI85" s="99">
        <v>1050</v>
      </c>
      <c r="AJ85" s="99">
        <v>7</v>
      </c>
      <c r="AK85" s="99">
        <v>1050</v>
      </c>
      <c r="AL85" s="99">
        <v>6</v>
      </c>
      <c r="AM85" s="99">
        <v>900</v>
      </c>
      <c r="AN85" s="99">
        <v>8</v>
      </c>
      <c r="AO85" s="99">
        <v>1200</v>
      </c>
      <c r="AP85" s="99">
        <v>5</v>
      </c>
      <c r="AQ85" s="99">
        <v>750</v>
      </c>
      <c r="AR85" s="99">
        <v>3.6987043447489794</v>
      </c>
      <c r="AS85" s="99">
        <v>554.80565171234696</v>
      </c>
      <c r="AT85" s="99">
        <v>9</v>
      </c>
      <c r="AU85" s="99">
        <v>1350</v>
      </c>
      <c r="AV85" s="99">
        <v>5</v>
      </c>
      <c r="AW85" s="99">
        <v>750</v>
      </c>
      <c r="AX85" s="99">
        <v>9</v>
      </c>
      <c r="AY85" s="99">
        <v>1350</v>
      </c>
      <c r="AZ85" s="99">
        <v>7.0217162603938927</v>
      </c>
      <c r="BA85" s="99">
        <v>1053.2574390590839</v>
      </c>
      <c r="BB85" s="99">
        <v>8</v>
      </c>
      <c r="BC85" s="99">
        <v>1200</v>
      </c>
      <c r="BD85" s="99">
        <v>8</v>
      </c>
      <c r="BE85" s="99">
        <v>1200</v>
      </c>
      <c r="BF85" s="99">
        <v>9</v>
      </c>
      <c r="BG85" s="99">
        <v>1350</v>
      </c>
      <c r="BH85" s="99">
        <v>8</v>
      </c>
      <c r="BI85" s="99">
        <v>1200</v>
      </c>
      <c r="BJ85" s="99">
        <v>6</v>
      </c>
      <c r="BK85" s="99">
        <v>900</v>
      </c>
      <c r="BL85" s="99">
        <v>6</v>
      </c>
      <c r="BM85" s="99">
        <v>900</v>
      </c>
      <c r="BN85" s="99">
        <v>8</v>
      </c>
      <c r="BO85" s="99">
        <v>1200</v>
      </c>
      <c r="BP85" s="99">
        <v>6</v>
      </c>
      <c r="BQ85" s="99">
        <v>900</v>
      </c>
      <c r="BR85" s="99">
        <v>9</v>
      </c>
      <c r="BS85" s="99">
        <v>1350</v>
      </c>
      <c r="BT85" s="99">
        <v>3.2525645742003104</v>
      </c>
      <c r="BU85" s="99">
        <v>487.88468613004659</v>
      </c>
      <c r="BV85" s="99">
        <v>6</v>
      </c>
      <c r="BW85" s="99">
        <v>900</v>
      </c>
      <c r="BX85" s="99">
        <v>10</v>
      </c>
      <c r="BY85" s="99">
        <v>1500</v>
      </c>
      <c r="BZ85" s="99">
        <v>8</v>
      </c>
      <c r="CA85" s="99">
        <v>1200</v>
      </c>
      <c r="CB85" s="99">
        <v>8</v>
      </c>
      <c r="CC85" s="99">
        <v>1200</v>
      </c>
      <c r="CD85" s="99">
        <v>2.6587575996463935</v>
      </c>
      <c r="CE85" s="99">
        <v>398.81363994695903</v>
      </c>
      <c r="CF85" s="99">
        <v>6</v>
      </c>
      <c r="CG85" s="99">
        <v>900</v>
      </c>
      <c r="CH85" s="99">
        <v>6</v>
      </c>
      <c r="CI85" s="99">
        <v>900</v>
      </c>
      <c r="CJ85" s="99">
        <v>9</v>
      </c>
      <c r="CK85" s="99">
        <v>1350</v>
      </c>
      <c r="CL85" s="99">
        <v>9</v>
      </c>
      <c r="CM85" s="99">
        <v>1350</v>
      </c>
      <c r="CN85" s="99">
        <v>7</v>
      </c>
      <c r="CO85" s="99">
        <v>1050</v>
      </c>
      <c r="CP85" s="99">
        <v>3.2189217502939313</v>
      </c>
      <c r="CQ85" s="99">
        <v>482.83826254408973</v>
      </c>
      <c r="CR85" s="99">
        <v>5</v>
      </c>
      <c r="CS85" s="99">
        <v>750</v>
      </c>
      <c r="CT85" s="99">
        <v>6.0082958638287609</v>
      </c>
      <c r="CU85" s="99">
        <v>901.24437957431417</v>
      </c>
    </row>
    <row r="86" spans="2:99">
      <c r="C86" s="98" t="s">
        <v>252</v>
      </c>
      <c r="D86" s="99">
        <v>0.72198698982476051</v>
      </c>
      <c r="E86" s="99">
        <v>389.87297450537068</v>
      </c>
      <c r="F86" s="99">
        <v>4.5790181913008796</v>
      </c>
      <c r="G86" s="99">
        <v>2472.6698233024749</v>
      </c>
      <c r="H86" s="99">
        <v>1.402657261570067</v>
      </c>
      <c r="I86" s="99">
        <v>757.4349212478362</v>
      </c>
      <c r="J86" s="99">
        <v>1.7197318669479151</v>
      </c>
      <c r="K86" s="99">
        <v>928.65520815187415</v>
      </c>
      <c r="L86" s="99">
        <v>5.680975227210789</v>
      </c>
      <c r="M86" s="99">
        <v>3067.7266226938259</v>
      </c>
      <c r="N86" s="99">
        <v>6</v>
      </c>
      <c r="O86" s="99">
        <v>3240</v>
      </c>
      <c r="P86" s="99">
        <v>7</v>
      </c>
      <c r="Q86" s="99">
        <v>3780</v>
      </c>
      <c r="R86" s="99">
        <v>7</v>
      </c>
      <c r="S86" s="99">
        <v>3780</v>
      </c>
      <c r="T86" s="99">
        <v>8</v>
      </c>
      <c r="U86" s="99">
        <v>4320</v>
      </c>
      <c r="V86" s="99">
        <v>6</v>
      </c>
      <c r="W86" s="99">
        <v>3240</v>
      </c>
      <c r="X86" s="99">
        <v>7</v>
      </c>
      <c r="Y86" s="99">
        <v>3780</v>
      </c>
      <c r="Z86" s="99">
        <v>9</v>
      </c>
      <c r="AA86" s="99">
        <v>4860</v>
      </c>
      <c r="AB86" s="99">
        <v>3.204758906011735</v>
      </c>
      <c r="AC86" s="99">
        <v>1730.5698092463369</v>
      </c>
      <c r="AD86" s="99">
        <v>9</v>
      </c>
      <c r="AE86" s="99">
        <v>4860</v>
      </c>
      <c r="AF86" s="99">
        <v>7</v>
      </c>
      <c r="AG86" s="99">
        <v>3780</v>
      </c>
      <c r="AH86" s="99">
        <v>6</v>
      </c>
      <c r="AI86" s="99">
        <v>3240</v>
      </c>
      <c r="AJ86" s="99">
        <v>7</v>
      </c>
      <c r="AK86" s="99">
        <v>3780</v>
      </c>
      <c r="AL86" s="99">
        <v>6</v>
      </c>
      <c r="AM86" s="99">
        <v>3240</v>
      </c>
      <c r="AN86" s="99">
        <v>8</v>
      </c>
      <c r="AO86" s="99">
        <v>4320</v>
      </c>
      <c r="AP86" s="99">
        <v>6</v>
      </c>
      <c r="AQ86" s="99">
        <v>3240</v>
      </c>
      <c r="AR86" s="99">
        <v>3.6987043447489794</v>
      </c>
      <c r="AS86" s="99">
        <v>1997.3003461644489</v>
      </c>
      <c r="AT86" s="99">
        <v>10</v>
      </c>
      <c r="AU86" s="99">
        <v>5400</v>
      </c>
      <c r="AV86" s="99">
        <v>5</v>
      </c>
      <c r="AW86" s="99">
        <v>2700</v>
      </c>
      <c r="AX86" s="99">
        <v>9</v>
      </c>
      <c r="AY86" s="99">
        <v>4860</v>
      </c>
      <c r="AZ86" s="99">
        <v>6.3874365138085487</v>
      </c>
      <c r="BA86" s="99">
        <v>3449.2157174566164</v>
      </c>
      <c r="BB86" s="99">
        <v>8</v>
      </c>
      <c r="BC86" s="99">
        <v>4320</v>
      </c>
      <c r="BD86" s="99">
        <v>8</v>
      </c>
      <c r="BE86" s="99">
        <v>4320</v>
      </c>
      <c r="BF86" s="99">
        <v>9</v>
      </c>
      <c r="BG86" s="99">
        <v>4860</v>
      </c>
      <c r="BH86" s="99">
        <v>8</v>
      </c>
      <c r="BI86" s="99">
        <v>4320</v>
      </c>
      <c r="BJ86" s="99">
        <v>6</v>
      </c>
      <c r="BK86" s="99">
        <v>3240</v>
      </c>
      <c r="BL86" s="99">
        <v>5</v>
      </c>
      <c r="BM86" s="99">
        <v>2700</v>
      </c>
      <c r="BN86" s="99">
        <v>8</v>
      </c>
      <c r="BO86" s="99">
        <v>4320</v>
      </c>
      <c r="BP86" s="99">
        <v>6</v>
      </c>
      <c r="BQ86" s="99">
        <v>3240</v>
      </c>
      <c r="BR86" s="99">
        <v>8</v>
      </c>
      <c r="BS86" s="99">
        <v>4320</v>
      </c>
      <c r="BT86" s="99">
        <v>3.2525645742003104</v>
      </c>
      <c r="BU86" s="99">
        <v>1756.3848700681676</v>
      </c>
      <c r="BV86" s="99">
        <v>6</v>
      </c>
      <c r="BW86" s="99">
        <v>3240</v>
      </c>
      <c r="BX86" s="99">
        <v>9</v>
      </c>
      <c r="BY86" s="99">
        <v>4860</v>
      </c>
      <c r="BZ86" s="99">
        <v>7</v>
      </c>
      <c r="CA86" s="99">
        <v>3780</v>
      </c>
      <c r="CB86" s="99">
        <v>9</v>
      </c>
      <c r="CC86" s="99">
        <v>4860</v>
      </c>
      <c r="CD86" s="99">
        <v>2.6587575996463935</v>
      </c>
      <c r="CE86" s="99">
        <v>1435.7291038090525</v>
      </c>
      <c r="CF86" s="99">
        <v>6</v>
      </c>
      <c r="CG86" s="99">
        <v>3240</v>
      </c>
      <c r="CH86" s="99">
        <v>5</v>
      </c>
      <c r="CI86" s="99">
        <v>2700</v>
      </c>
      <c r="CJ86" s="99">
        <v>8</v>
      </c>
      <c r="CK86" s="99">
        <v>4320</v>
      </c>
      <c r="CL86" s="99">
        <v>8</v>
      </c>
      <c r="CM86" s="99">
        <v>4320</v>
      </c>
      <c r="CN86" s="99">
        <v>8</v>
      </c>
      <c r="CO86" s="99">
        <v>4320</v>
      </c>
      <c r="CP86" s="99">
        <v>3.2189217502939313</v>
      </c>
      <c r="CQ86" s="99">
        <v>1738.2177451587229</v>
      </c>
      <c r="CR86" s="99">
        <v>5</v>
      </c>
      <c r="CS86" s="99">
        <v>2700</v>
      </c>
      <c r="CT86" s="99">
        <v>6.8666238443757264</v>
      </c>
      <c r="CU86" s="99">
        <v>3707.9768759628923</v>
      </c>
    </row>
    <row r="87" spans="2:99">
      <c r="B87" s="98" t="s">
        <v>131</v>
      </c>
      <c r="C87" s="98" t="s">
        <v>253</v>
      </c>
      <c r="D87" s="99">
        <v>0.88714597777284432</v>
      </c>
      <c r="E87" s="99">
        <v>952.79478012803474</v>
      </c>
      <c r="F87" s="99">
        <v>3.315656477262984</v>
      </c>
      <c r="G87" s="99">
        <v>3561.0150565804447</v>
      </c>
      <c r="H87" s="99">
        <v>2.9362425213921832</v>
      </c>
      <c r="I87" s="99">
        <v>3153.524467975205</v>
      </c>
      <c r="J87" s="99">
        <v>5.5919686247303968</v>
      </c>
      <c r="K87" s="99">
        <v>6005.7743029604462</v>
      </c>
      <c r="L87" s="99">
        <v>4.0642874620503466</v>
      </c>
      <c r="M87" s="99">
        <v>4365.0447342420721</v>
      </c>
      <c r="N87" s="99">
        <v>3.1912189026036715</v>
      </c>
      <c r="O87" s="99">
        <v>3427.369101396343</v>
      </c>
      <c r="P87" s="99">
        <v>3.7475108765645366</v>
      </c>
      <c r="Q87" s="99">
        <v>4024.8266814303124</v>
      </c>
      <c r="R87" s="99">
        <v>8.7427244675123479</v>
      </c>
      <c r="S87" s="99">
        <v>9389.6860781082614</v>
      </c>
      <c r="T87" s="99">
        <v>3.1904799124177172</v>
      </c>
      <c r="U87" s="99">
        <v>3426.5754259366281</v>
      </c>
      <c r="V87" s="99">
        <v>3.004147483869124</v>
      </c>
      <c r="W87" s="99">
        <v>3226.4543976754394</v>
      </c>
      <c r="X87" s="99">
        <v>6.4335866353765931</v>
      </c>
      <c r="Y87" s="99">
        <v>6909.6720463944612</v>
      </c>
      <c r="Z87" s="99">
        <v>6.3027985857145277</v>
      </c>
      <c r="AA87" s="99">
        <v>6769.2056810574031</v>
      </c>
      <c r="AB87" s="99">
        <v>3.0273672012958741</v>
      </c>
      <c r="AC87" s="99">
        <v>3251.3923741917688</v>
      </c>
      <c r="AD87" s="99">
        <v>4.6699350508136739</v>
      </c>
      <c r="AE87" s="99">
        <v>5015.5102445738858</v>
      </c>
      <c r="AF87" s="99">
        <v>4.2972257976005164</v>
      </c>
      <c r="AG87" s="99">
        <v>4615.2205066229544</v>
      </c>
      <c r="AH87" s="99">
        <v>5.3594918544962429</v>
      </c>
      <c r="AI87" s="99">
        <v>5756.094251728965</v>
      </c>
      <c r="AJ87" s="99">
        <v>7.221210108950177</v>
      </c>
      <c r="AK87" s="99">
        <v>7755.5796570124903</v>
      </c>
      <c r="AL87" s="99">
        <v>4.5690413115578217</v>
      </c>
      <c r="AM87" s="99">
        <v>4907.1503686131009</v>
      </c>
      <c r="AN87" s="99">
        <v>3.3857189994481196</v>
      </c>
      <c r="AO87" s="99">
        <v>3636.2622054072804</v>
      </c>
      <c r="AP87" s="99">
        <v>4.4214166261985381</v>
      </c>
      <c r="AQ87" s="99">
        <v>4748.6014565372298</v>
      </c>
      <c r="AR87" s="99">
        <v>3.2265203116506282</v>
      </c>
      <c r="AS87" s="99">
        <v>3465.2828147127748</v>
      </c>
      <c r="AT87" s="99">
        <v>7.2462953273114854</v>
      </c>
      <c r="AU87" s="99">
        <v>7782.5211815325356</v>
      </c>
      <c r="AV87" s="99">
        <v>3.7278801885912149</v>
      </c>
      <c r="AW87" s="99">
        <v>4003.7433225469649</v>
      </c>
      <c r="AX87" s="99">
        <v>5.7562308340081261</v>
      </c>
      <c r="AY87" s="99">
        <v>6182.1919157247276</v>
      </c>
      <c r="AZ87" s="99">
        <v>5.2674828862520231</v>
      </c>
      <c r="BA87" s="99">
        <v>5657.2766198346726</v>
      </c>
      <c r="BB87" s="99">
        <v>4.8163804433140696</v>
      </c>
      <c r="BC87" s="99">
        <v>5172.7925961193105</v>
      </c>
      <c r="BD87" s="99">
        <v>5.3203464715395317</v>
      </c>
      <c r="BE87" s="99">
        <v>5714.0521104334566</v>
      </c>
      <c r="BF87" s="99">
        <v>4.0227461237553195</v>
      </c>
      <c r="BG87" s="99">
        <v>4320.4293369132129</v>
      </c>
      <c r="BH87" s="99">
        <v>6.2110575990674448</v>
      </c>
      <c r="BI87" s="99">
        <v>6670.6758613984357</v>
      </c>
      <c r="BJ87" s="99">
        <v>3.5300692113836929</v>
      </c>
      <c r="BK87" s="99">
        <v>3791.294333026086</v>
      </c>
      <c r="BL87" s="99">
        <v>4.3996772326401912</v>
      </c>
      <c r="BM87" s="99">
        <v>4725.2533478555652</v>
      </c>
      <c r="BN87" s="99">
        <v>5.7030271573177593</v>
      </c>
      <c r="BO87" s="99">
        <v>6125.0511669592734</v>
      </c>
      <c r="BP87" s="99">
        <v>2.1996206401287073</v>
      </c>
      <c r="BQ87" s="99">
        <v>2362.3925674982315</v>
      </c>
      <c r="BR87" s="99">
        <v>5.6855966364850232</v>
      </c>
      <c r="BS87" s="99">
        <v>6106.330787584915</v>
      </c>
      <c r="BT87" s="99">
        <v>4.2165260535861355</v>
      </c>
      <c r="BU87" s="99">
        <v>4528.5489815515093</v>
      </c>
      <c r="BV87" s="99">
        <v>6.6358057723102668</v>
      </c>
      <c r="BW87" s="99">
        <v>7126.8553994612266</v>
      </c>
      <c r="BX87" s="99">
        <v>2.1859839379685209</v>
      </c>
      <c r="BY87" s="99">
        <v>2347.7467493781915</v>
      </c>
      <c r="BZ87" s="99">
        <v>4.8273707909040597</v>
      </c>
      <c r="CA87" s="99">
        <v>5184.5962294309602</v>
      </c>
      <c r="CB87" s="99">
        <v>6.6018218594935973</v>
      </c>
      <c r="CC87" s="99">
        <v>7090.3566770961233</v>
      </c>
      <c r="CD87" s="99">
        <v>6.052671427280286</v>
      </c>
      <c r="CE87" s="99">
        <v>6500.5691128990275</v>
      </c>
      <c r="CF87" s="99">
        <v>4.0623823433511728</v>
      </c>
      <c r="CG87" s="99">
        <v>4362.9986367591591</v>
      </c>
      <c r="CH87" s="99">
        <v>5.7290052216951359</v>
      </c>
      <c r="CI87" s="99">
        <v>6152.9516081005759</v>
      </c>
      <c r="CJ87" s="99">
        <v>7.4341822731048746</v>
      </c>
      <c r="CK87" s="99">
        <v>7984.3117613146351</v>
      </c>
      <c r="CL87" s="99">
        <v>3.9680710944124793</v>
      </c>
      <c r="CM87" s="99">
        <v>4261.7083553990024</v>
      </c>
      <c r="CN87" s="99">
        <v>6.0298969066889683</v>
      </c>
      <c r="CO87" s="99">
        <v>6476.1092777839522</v>
      </c>
      <c r="CP87" s="99">
        <v>4.59141891363545</v>
      </c>
      <c r="CQ87" s="99">
        <v>4931.1839132444729</v>
      </c>
      <c r="CR87" s="99">
        <v>2.6285115727924633</v>
      </c>
      <c r="CS87" s="99">
        <v>2823.0214291791058</v>
      </c>
      <c r="CT87" s="99">
        <v>7.1445072633551936</v>
      </c>
      <c r="CU87" s="99">
        <v>7673.2008008434777</v>
      </c>
    </row>
    <row r="88" spans="2:99">
      <c r="C88" s="98" t="s">
        <v>254</v>
      </c>
      <c r="D88" s="99">
        <v>0.78622183313269001</v>
      </c>
      <c r="E88" s="99">
        <v>780.24654720088154</v>
      </c>
      <c r="F88" s="99">
        <v>3.8120653212302629</v>
      </c>
      <c r="G88" s="99">
        <v>3783.0936247889126</v>
      </c>
      <c r="H88" s="99">
        <v>3.0283497470416165</v>
      </c>
      <c r="I88" s="99">
        <v>3005.3342889641003</v>
      </c>
      <c r="J88" s="99">
        <v>4.5919686247303968</v>
      </c>
      <c r="K88" s="99">
        <v>4557.0696631824458</v>
      </c>
      <c r="L88" s="99">
        <v>4.0642874620503466</v>
      </c>
      <c r="M88" s="99">
        <v>4033.3988773387641</v>
      </c>
      <c r="N88" s="99">
        <v>3.1912189026036715</v>
      </c>
      <c r="O88" s="99">
        <v>3166.9656389438833</v>
      </c>
      <c r="P88" s="99">
        <v>4.1097863086619117</v>
      </c>
      <c r="Q88" s="99">
        <v>4078.551932716081</v>
      </c>
      <c r="R88" s="99">
        <v>7.7427244675123479</v>
      </c>
      <c r="S88" s="99">
        <v>7683.8797615592539</v>
      </c>
      <c r="T88" s="99">
        <v>3.8285758949012609</v>
      </c>
      <c r="U88" s="99">
        <v>3799.4787181000111</v>
      </c>
      <c r="V88" s="99">
        <v>3.004147483869124</v>
      </c>
      <c r="W88" s="99">
        <v>2981.3159629917186</v>
      </c>
      <c r="X88" s="99">
        <v>6.564169041433968</v>
      </c>
      <c r="Y88" s="99">
        <v>6514.2813567190697</v>
      </c>
      <c r="Z88" s="99">
        <v>5.5149487625002118</v>
      </c>
      <c r="AA88" s="99">
        <v>5473.0351519052101</v>
      </c>
      <c r="AB88" s="99">
        <v>3.0273672012958741</v>
      </c>
      <c r="AC88" s="99">
        <v>3004.3592105660255</v>
      </c>
      <c r="AD88" s="99">
        <v>3.9596710528324324</v>
      </c>
      <c r="AE88" s="99">
        <v>3929.5775528309059</v>
      </c>
      <c r="AF88" s="99">
        <v>4.9676778068981822</v>
      </c>
      <c r="AG88" s="99">
        <v>4929.9234555657558</v>
      </c>
      <c r="AH88" s="99">
        <v>6.1671564818135307</v>
      </c>
      <c r="AI88" s="99">
        <v>6120.286092551748</v>
      </c>
      <c r="AJ88" s="99">
        <v>8.2488613725689497</v>
      </c>
      <c r="AK88" s="99">
        <v>8186.1700261374253</v>
      </c>
      <c r="AL88" s="99">
        <v>5.3305481968174586</v>
      </c>
      <c r="AM88" s="99">
        <v>5290.0360305216454</v>
      </c>
      <c r="AN88" s="99">
        <v>4.0628627993377435</v>
      </c>
      <c r="AO88" s="99">
        <v>4031.9850420627768</v>
      </c>
      <c r="AP88" s="99">
        <v>5.3056999514382452</v>
      </c>
      <c r="AQ88" s="99">
        <v>5265.3766318073149</v>
      </c>
      <c r="AR88" s="99">
        <v>2.8314315506205014</v>
      </c>
      <c r="AS88" s="99">
        <v>2809.9126708357858</v>
      </c>
      <c r="AT88" s="99">
        <v>6.4568936889521389</v>
      </c>
      <c r="AU88" s="99">
        <v>6407.8212969161023</v>
      </c>
      <c r="AV88" s="99">
        <v>4.5077465873075786</v>
      </c>
      <c r="AW88" s="99">
        <v>4473.4877132440406</v>
      </c>
      <c r="AX88" s="99">
        <v>4.2289761887010302</v>
      </c>
      <c r="AY88" s="99">
        <v>4196.8359696669022</v>
      </c>
      <c r="AZ88" s="99">
        <v>4.655954606427537</v>
      </c>
      <c r="BA88" s="99">
        <v>4620.5693514186878</v>
      </c>
      <c r="BB88" s="99">
        <v>4.7962451474018275</v>
      </c>
      <c r="BC88" s="99">
        <v>4759.7936842815734</v>
      </c>
      <c r="BD88" s="99">
        <v>6.0938883912694877</v>
      </c>
      <c r="BE88" s="99">
        <v>6047.5748394958391</v>
      </c>
      <c r="BF88" s="99">
        <v>5.0838765462155822</v>
      </c>
      <c r="BG88" s="99">
        <v>5045.2390844643433</v>
      </c>
      <c r="BH88" s="99">
        <v>6.2110575990674448</v>
      </c>
      <c r="BI88" s="99">
        <v>6163.8535613145323</v>
      </c>
      <c r="BJ88" s="99">
        <v>3.5300692113836929</v>
      </c>
      <c r="BK88" s="99">
        <v>3503.2406853771768</v>
      </c>
      <c r="BL88" s="99">
        <v>4.3725067218599873</v>
      </c>
      <c r="BM88" s="99">
        <v>4339.2756707738517</v>
      </c>
      <c r="BN88" s="99">
        <v>6.8069191393091897</v>
      </c>
      <c r="BO88" s="99">
        <v>6755.1865538504399</v>
      </c>
      <c r="BP88" s="99">
        <v>2.185676563475893</v>
      </c>
      <c r="BQ88" s="99">
        <v>2169.065421593476</v>
      </c>
      <c r="BR88" s="99">
        <v>5.1018102283222566</v>
      </c>
      <c r="BS88" s="99">
        <v>5063.036470587007</v>
      </c>
      <c r="BT88" s="99">
        <v>4.2165260535861355</v>
      </c>
      <c r="BU88" s="99">
        <v>4184.4804555788805</v>
      </c>
      <c r="BV88" s="99">
        <v>6.5180046982817359</v>
      </c>
      <c r="BW88" s="99">
        <v>6468.4678625747947</v>
      </c>
      <c r="BX88" s="99">
        <v>1.8311060527674028</v>
      </c>
      <c r="BY88" s="99">
        <v>1817.1896467663705</v>
      </c>
      <c r="BZ88" s="99">
        <v>4.1469247450856068</v>
      </c>
      <c r="CA88" s="99">
        <v>4115.4081170229565</v>
      </c>
      <c r="CB88" s="99">
        <v>5.9695701210642707</v>
      </c>
      <c r="CC88" s="99">
        <v>5924.2013881441817</v>
      </c>
      <c r="CD88" s="99">
        <v>6.834445102213409</v>
      </c>
      <c r="CE88" s="99">
        <v>6782.5033194365869</v>
      </c>
      <c r="CF88" s="99">
        <v>4.0623823433511728</v>
      </c>
      <c r="CG88" s="99">
        <v>4031.5082375417037</v>
      </c>
      <c r="CH88" s="99">
        <v>5.0570031477769781</v>
      </c>
      <c r="CI88" s="99">
        <v>5018.5699238538728</v>
      </c>
      <c r="CJ88" s="99">
        <v>6.7377103084275261</v>
      </c>
      <c r="CK88" s="99">
        <v>6686.503710083477</v>
      </c>
      <c r="CL88" s="99">
        <v>3.5983508114600671</v>
      </c>
      <c r="CM88" s="99">
        <v>3571.0033452929706</v>
      </c>
      <c r="CN88" s="99">
        <v>6.0298969066889683</v>
      </c>
      <c r="CO88" s="99">
        <v>5984.0696901981319</v>
      </c>
      <c r="CP88" s="99">
        <v>4.59141891363545</v>
      </c>
      <c r="CQ88" s="99">
        <v>4556.5241298918208</v>
      </c>
      <c r="CR88" s="99">
        <v>2.9593987215023985</v>
      </c>
      <c r="CS88" s="99">
        <v>2936.9072912189804</v>
      </c>
      <c r="CT88" s="99">
        <v>7.9222250953059019</v>
      </c>
      <c r="CU88" s="99">
        <v>7862.0161845815765</v>
      </c>
    </row>
    <row r="89" spans="2:99">
      <c r="C89" s="98" t="s">
        <v>255</v>
      </c>
      <c r="D89" s="99">
        <v>0.77709267984827102</v>
      </c>
      <c r="E89" s="99">
        <v>825.27242599886381</v>
      </c>
      <c r="F89" s="99">
        <v>3.2802801340331853</v>
      </c>
      <c r="G89" s="99">
        <v>3483.6575023432429</v>
      </c>
      <c r="H89" s="99">
        <v>3.0354295007941059</v>
      </c>
      <c r="I89" s="99">
        <v>3223.6261298433405</v>
      </c>
      <c r="J89" s="99">
        <v>5.5919686247303968</v>
      </c>
      <c r="K89" s="99">
        <v>5938.6706794636812</v>
      </c>
      <c r="L89" s="99">
        <v>3.2514299696402773</v>
      </c>
      <c r="M89" s="99">
        <v>3453.0186277579746</v>
      </c>
      <c r="N89" s="99">
        <v>3.1912189026036715</v>
      </c>
      <c r="O89" s="99">
        <v>3389.0744745650991</v>
      </c>
      <c r="P89" s="99">
        <v>4.1097863086619117</v>
      </c>
      <c r="Q89" s="99">
        <v>4364.59305979895</v>
      </c>
      <c r="R89" s="99">
        <v>8.8912693610148175</v>
      </c>
      <c r="S89" s="99">
        <v>9442.5280613977357</v>
      </c>
      <c r="T89" s="99">
        <v>3.1904799124177172</v>
      </c>
      <c r="U89" s="99">
        <v>3388.2896669876159</v>
      </c>
      <c r="V89" s="99">
        <v>3.004147483869124</v>
      </c>
      <c r="W89" s="99">
        <v>3190.4046278690098</v>
      </c>
      <c r="X89" s="99">
        <v>5.7756676424375426</v>
      </c>
      <c r="Y89" s="99">
        <v>6133.7590362686706</v>
      </c>
      <c r="Z89" s="99">
        <v>6.3027985857145277</v>
      </c>
      <c r="AA89" s="99">
        <v>6693.5720980288288</v>
      </c>
      <c r="AB89" s="99">
        <v>3.644393194503512</v>
      </c>
      <c r="AC89" s="99">
        <v>3870.3455725627296</v>
      </c>
      <c r="AD89" s="99">
        <v>4.5456444884906224</v>
      </c>
      <c r="AE89" s="99">
        <v>4827.4744467770406</v>
      </c>
      <c r="AF89" s="99">
        <v>4.9676778068981822</v>
      </c>
      <c r="AG89" s="99">
        <v>5275.6738309258699</v>
      </c>
      <c r="AH89" s="99">
        <v>5.2953038431721779</v>
      </c>
      <c r="AI89" s="99">
        <v>5623.6126814488525</v>
      </c>
      <c r="AJ89" s="99">
        <v>8.2212101089501779</v>
      </c>
      <c r="AK89" s="99">
        <v>8730.9251357050889</v>
      </c>
      <c r="AL89" s="99">
        <v>5.3305481968174586</v>
      </c>
      <c r="AM89" s="99">
        <v>5661.042185020141</v>
      </c>
      <c r="AN89" s="99">
        <v>3.3857189994481196</v>
      </c>
      <c r="AO89" s="99">
        <v>3595.6335774139029</v>
      </c>
      <c r="AP89" s="99">
        <v>6.1630891406545194</v>
      </c>
      <c r="AQ89" s="99">
        <v>6545.2006673750993</v>
      </c>
      <c r="AR89" s="99">
        <v>2.7930233019171897</v>
      </c>
      <c r="AS89" s="99">
        <v>2966.1907466360553</v>
      </c>
      <c r="AT89" s="99">
        <v>6.2895679891417791</v>
      </c>
      <c r="AU89" s="99">
        <v>6679.5212044685695</v>
      </c>
      <c r="AV89" s="99">
        <v>4.5077465873075786</v>
      </c>
      <c r="AW89" s="99">
        <v>4787.2268757206484</v>
      </c>
      <c r="AX89" s="99">
        <v>5.0514014692246212</v>
      </c>
      <c r="AY89" s="99">
        <v>5364.5883603165476</v>
      </c>
      <c r="AZ89" s="99">
        <v>5.1777751655719673</v>
      </c>
      <c r="BA89" s="99">
        <v>5498.7972258374293</v>
      </c>
      <c r="BB89" s="99">
        <v>5.4584112588452411</v>
      </c>
      <c r="BC89" s="99">
        <v>5796.8327568936465</v>
      </c>
      <c r="BD89" s="99">
        <v>6.0938883912694877</v>
      </c>
      <c r="BE89" s="99">
        <v>6471.7094715281955</v>
      </c>
      <c r="BF89" s="99">
        <v>4.0613448293983705</v>
      </c>
      <c r="BG89" s="99">
        <v>4313.1482088210696</v>
      </c>
      <c r="BH89" s="99">
        <v>6.0702296709469783</v>
      </c>
      <c r="BI89" s="99">
        <v>6446.5839105456907</v>
      </c>
      <c r="BJ89" s="99">
        <v>3.5300692113836929</v>
      </c>
      <c r="BK89" s="99">
        <v>3748.9335024894817</v>
      </c>
      <c r="BL89" s="99">
        <v>4.2733998520997885</v>
      </c>
      <c r="BM89" s="99">
        <v>4538.350642929975</v>
      </c>
      <c r="BN89" s="99">
        <v>7.6100253297444374</v>
      </c>
      <c r="BO89" s="99">
        <v>8081.8469001885924</v>
      </c>
      <c r="BP89" s="99">
        <v>2.5058841163454857</v>
      </c>
      <c r="BQ89" s="99">
        <v>2661.248931558906</v>
      </c>
      <c r="BR89" s="99">
        <v>5.1018102283222566</v>
      </c>
      <c r="BS89" s="99">
        <v>5418.1224624782362</v>
      </c>
      <c r="BT89" s="99">
        <v>4.2165260535861355</v>
      </c>
      <c r="BU89" s="99">
        <v>4477.9506689084756</v>
      </c>
      <c r="BV89" s="99">
        <v>5.7383196937067416</v>
      </c>
      <c r="BW89" s="99">
        <v>6094.0955147165596</v>
      </c>
      <c r="BX89" s="99">
        <v>2.1859839379685209</v>
      </c>
      <c r="BY89" s="99">
        <v>2321.5149421225692</v>
      </c>
      <c r="BZ89" s="99">
        <v>4.1469247450856068</v>
      </c>
      <c r="CA89" s="99">
        <v>4404.0340792809147</v>
      </c>
      <c r="CB89" s="99">
        <v>5.8013804744176056</v>
      </c>
      <c r="CC89" s="99">
        <v>6161.0660638314976</v>
      </c>
      <c r="CD89" s="99">
        <v>6.052671427280286</v>
      </c>
      <c r="CE89" s="99">
        <v>6427.9370557716638</v>
      </c>
      <c r="CF89" s="99">
        <v>4.0623823433511728</v>
      </c>
      <c r="CG89" s="99">
        <v>4314.2500486389454</v>
      </c>
      <c r="CH89" s="99">
        <v>5.0570031477769781</v>
      </c>
      <c r="CI89" s="99">
        <v>5370.5373429391511</v>
      </c>
      <c r="CJ89" s="99">
        <v>6.6211168493266523</v>
      </c>
      <c r="CK89" s="99">
        <v>7031.6260939849044</v>
      </c>
      <c r="CL89" s="99">
        <v>3.5983508114600671</v>
      </c>
      <c r="CM89" s="99">
        <v>3821.4485617705914</v>
      </c>
      <c r="CN89" s="99">
        <v>5.8943423465401077</v>
      </c>
      <c r="CO89" s="99">
        <v>6259.7915720255942</v>
      </c>
      <c r="CP89" s="99">
        <v>4.59141891363545</v>
      </c>
      <c r="CQ89" s="99">
        <v>4876.0868862808475</v>
      </c>
      <c r="CR89" s="99">
        <v>2.6111614876911897</v>
      </c>
      <c r="CS89" s="99">
        <v>2773.0534999280435</v>
      </c>
      <c r="CT89" s="99">
        <v>7.7904015799131114</v>
      </c>
      <c r="CU89" s="99">
        <v>8273.4064778677239</v>
      </c>
    </row>
    <row r="90" spans="2:99">
      <c r="C90" s="98" t="s">
        <v>256</v>
      </c>
      <c r="D90" s="99">
        <v>0.87753685346154997</v>
      </c>
      <c r="E90" s="99">
        <v>973.01286311816659</v>
      </c>
      <c r="F90" s="99">
        <v>3.27910411375874</v>
      </c>
      <c r="G90" s="99">
        <v>3635.8706413356908</v>
      </c>
      <c r="H90" s="99">
        <v>2.9362425213921832</v>
      </c>
      <c r="I90" s="99">
        <v>3255.7057077196528</v>
      </c>
      <c r="J90" s="99">
        <v>5.5919686247303968</v>
      </c>
      <c r="K90" s="99">
        <v>6200.3748111010636</v>
      </c>
      <c r="L90" s="99">
        <v>3.2514299696402773</v>
      </c>
      <c r="M90" s="99">
        <v>3605.1855503371394</v>
      </c>
      <c r="N90" s="99">
        <v>3.1912189026036715</v>
      </c>
      <c r="O90" s="99">
        <v>3538.4235192069509</v>
      </c>
      <c r="P90" s="99">
        <v>4.1097863086619117</v>
      </c>
      <c r="Q90" s="99">
        <v>4556.9310590443274</v>
      </c>
      <c r="R90" s="99">
        <v>8.7427244675123479</v>
      </c>
      <c r="S90" s="99">
        <v>9693.9328895776907</v>
      </c>
      <c r="T90" s="99">
        <v>3.1904799124177172</v>
      </c>
      <c r="U90" s="99">
        <v>3537.6041268887648</v>
      </c>
      <c r="V90" s="99">
        <v>3.004147483869124</v>
      </c>
      <c r="W90" s="99">
        <v>3330.9987301140845</v>
      </c>
      <c r="X90" s="99">
        <v>6.4335866353765931</v>
      </c>
      <c r="Y90" s="99">
        <v>7133.5608613055665</v>
      </c>
      <c r="Z90" s="99">
        <v>6.3027985857145277</v>
      </c>
      <c r="AA90" s="99">
        <v>6988.5430718402677</v>
      </c>
      <c r="AB90" s="99">
        <v>3.2848668333472331</v>
      </c>
      <c r="AC90" s="99">
        <v>3642.2603448154118</v>
      </c>
      <c r="AD90" s="99">
        <v>4.6699350508136739</v>
      </c>
      <c r="AE90" s="99">
        <v>5178.0239843422014</v>
      </c>
      <c r="AF90" s="99">
        <v>4.9676778068981822</v>
      </c>
      <c r="AG90" s="99">
        <v>5508.1611522887042</v>
      </c>
      <c r="AH90" s="99">
        <v>5.2953038431721779</v>
      </c>
      <c r="AI90" s="99">
        <v>5871.4329013093111</v>
      </c>
      <c r="AJ90" s="99">
        <v>8.2212101089501779</v>
      </c>
      <c r="AK90" s="99">
        <v>9115.6777688039565</v>
      </c>
      <c r="AL90" s="99">
        <v>5.3305481968174586</v>
      </c>
      <c r="AM90" s="99">
        <v>5910.5118406311976</v>
      </c>
      <c r="AN90" s="99">
        <v>3.3857189994481196</v>
      </c>
      <c r="AO90" s="99">
        <v>3754.0852265880749</v>
      </c>
      <c r="AP90" s="99">
        <v>5.2788058154148123</v>
      </c>
      <c r="AQ90" s="99">
        <v>5853.1398881319437</v>
      </c>
      <c r="AR90" s="99">
        <v>2.7930233019171897</v>
      </c>
      <c r="AS90" s="99">
        <v>3096.9042371657797</v>
      </c>
      <c r="AT90" s="99">
        <v>7.4136210271218461</v>
      </c>
      <c r="AU90" s="99">
        <v>8220.2229948727017</v>
      </c>
      <c r="AV90" s="99">
        <v>3.7278801885912149</v>
      </c>
      <c r="AW90" s="99">
        <v>4133.4735531099386</v>
      </c>
      <c r="AX90" s="99">
        <v>4.9485983091591725</v>
      </c>
      <c r="AY90" s="99">
        <v>5487.0058051956903</v>
      </c>
      <c r="AZ90" s="99">
        <v>4.655954606427537</v>
      </c>
      <c r="BA90" s="99">
        <v>5162.5224676068528</v>
      </c>
      <c r="BB90" s="99">
        <v>4.1340790359584147</v>
      </c>
      <c r="BC90" s="99">
        <v>4583.8668350706903</v>
      </c>
      <c r="BD90" s="99">
        <v>6.0938883912694877</v>
      </c>
      <c r="BE90" s="99">
        <v>6756.9034482396073</v>
      </c>
      <c r="BF90" s="99">
        <v>4.5533113349854508</v>
      </c>
      <c r="BG90" s="99">
        <v>5048.711608231868</v>
      </c>
      <c r="BH90" s="99">
        <v>6.0702296709469783</v>
      </c>
      <c r="BI90" s="99">
        <v>6730.6706591460097</v>
      </c>
      <c r="BJ90" s="99">
        <v>4.4125865142296163</v>
      </c>
      <c r="BK90" s="99">
        <v>4892.6759269777986</v>
      </c>
      <c r="BL90" s="99">
        <v>4.2733998520997885</v>
      </c>
      <c r="BM90" s="99">
        <v>4738.3457560082452</v>
      </c>
      <c r="BN90" s="99">
        <v>5.7030271573177593</v>
      </c>
      <c r="BO90" s="99">
        <v>6323.5165120339316</v>
      </c>
      <c r="BP90" s="99">
        <v>2.2135647167815216</v>
      </c>
      <c r="BQ90" s="99">
        <v>2454.4005579673508</v>
      </c>
      <c r="BR90" s="99">
        <v>5.1018102283222566</v>
      </c>
      <c r="BS90" s="99">
        <v>5656.8871811637182</v>
      </c>
      <c r="BT90" s="99">
        <v>4.9192803958504925</v>
      </c>
      <c r="BU90" s="99">
        <v>5454.4981029190258</v>
      </c>
      <c r="BV90" s="99">
        <v>6.5180046982817359</v>
      </c>
      <c r="BW90" s="99">
        <v>7227.1636094547885</v>
      </c>
      <c r="BX90" s="99">
        <v>2.1859839379685209</v>
      </c>
      <c r="BY90" s="99">
        <v>2423.818990419496</v>
      </c>
      <c r="BZ90" s="99">
        <v>4.2400115595847749</v>
      </c>
      <c r="CA90" s="99">
        <v>4701.3248172675985</v>
      </c>
      <c r="CB90" s="99">
        <v>5.8553741655019449</v>
      </c>
      <c r="CC90" s="99">
        <v>6492.4388747085559</v>
      </c>
      <c r="CD90" s="99">
        <v>6.052671427280286</v>
      </c>
      <c r="CE90" s="99">
        <v>6711.2020785683808</v>
      </c>
      <c r="CF90" s="99">
        <v>4.0623823433511728</v>
      </c>
      <c r="CG90" s="99">
        <v>4504.3695423077797</v>
      </c>
      <c r="CH90" s="99">
        <v>5.7290052216951359</v>
      </c>
      <c r="CI90" s="99">
        <v>6352.3209898155665</v>
      </c>
      <c r="CJ90" s="99">
        <v>6.7377103084275261</v>
      </c>
      <c r="CK90" s="99">
        <v>7470.7731899844403</v>
      </c>
      <c r="CL90" s="99">
        <v>4.2696674921607398</v>
      </c>
      <c r="CM90" s="99">
        <v>4734.2073153078281</v>
      </c>
      <c r="CN90" s="99">
        <v>5.2056535024392865</v>
      </c>
      <c r="CO90" s="99">
        <v>5772.0286035046802</v>
      </c>
      <c r="CP90" s="99">
        <v>4.59141891363545</v>
      </c>
      <c r="CQ90" s="99">
        <v>5090.9652914389872</v>
      </c>
      <c r="CR90" s="99">
        <v>2.9767488066036716</v>
      </c>
      <c r="CS90" s="99">
        <v>3300.6190767621511</v>
      </c>
      <c r="CT90" s="99">
        <v>7.1445072633551936</v>
      </c>
      <c r="CU90" s="99">
        <v>7921.829653608238</v>
      </c>
    </row>
    <row r="91" spans="2:99">
      <c r="C91" s="98" t="s">
        <v>257</v>
      </c>
      <c r="D91" s="99">
        <v>0.88714597777284432</v>
      </c>
      <c r="E91" s="99">
        <v>1008.1526891410601</v>
      </c>
      <c r="F91" s="99">
        <v>3.2779280934842951</v>
      </c>
      <c r="G91" s="99">
        <v>3725.0374854355528</v>
      </c>
      <c r="H91" s="99">
        <v>3.0318896239178614</v>
      </c>
      <c r="I91" s="99">
        <v>3445.4393686202575</v>
      </c>
      <c r="J91" s="99">
        <v>5.5919686247303968</v>
      </c>
      <c r="K91" s="99">
        <v>6354.7131451436226</v>
      </c>
      <c r="L91" s="99">
        <v>3.2514299696402773</v>
      </c>
      <c r="M91" s="99">
        <v>3694.9250174992108</v>
      </c>
      <c r="N91" s="99">
        <v>3.1912189026036715</v>
      </c>
      <c r="O91" s="99">
        <v>3626.5011609188118</v>
      </c>
      <c r="P91" s="99">
        <v>3.6317207207788793</v>
      </c>
      <c r="Q91" s="99">
        <v>4127.0874270931181</v>
      </c>
      <c r="R91" s="99">
        <v>8.8912693610148175</v>
      </c>
      <c r="S91" s="99">
        <v>10104.038501857238</v>
      </c>
      <c r="T91" s="99">
        <v>3.1904799124177172</v>
      </c>
      <c r="U91" s="99">
        <v>3625.6613724714935</v>
      </c>
      <c r="V91" s="99">
        <v>3.004147483869124</v>
      </c>
      <c r="W91" s="99">
        <v>3413.9132006688719</v>
      </c>
      <c r="X91" s="99">
        <v>5.6450852363801678</v>
      </c>
      <c r="Y91" s="99">
        <v>6415.0748626224222</v>
      </c>
      <c r="Z91" s="99">
        <v>6.3027985857145277</v>
      </c>
      <c r="AA91" s="99">
        <v>7162.500312805988</v>
      </c>
      <c r="AB91" s="99">
        <v>3.0273672012958741</v>
      </c>
      <c r="AC91" s="99">
        <v>3440.3000875526309</v>
      </c>
      <c r="AD91" s="99">
        <v>3.9596710528324324</v>
      </c>
      <c r="AE91" s="99">
        <v>4499.7701844387757</v>
      </c>
      <c r="AF91" s="99">
        <v>4.9676778068981822</v>
      </c>
      <c r="AG91" s="99">
        <v>5645.2690597590936</v>
      </c>
      <c r="AH91" s="99">
        <v>6.1029684704894667</v>
      </c>
      <c r="AI91" s="99">
        <v>6935.413369864229</v>
      </c>
      <c r="AJ91" s="99">
        <v>7.2488613725689488</v>
      </c>
      <c r="AK91" s="99">
        <v>8237.6060637873525</v>
      </c>
      <c r="AL91" s="99">
        <v>6.0920550820770956</v>
      </c>
      <c r="AM91" s="99">
        <v>6923.0113952724105</v>
      </c>
      <c r="AN91" s="99">
        <v>3.3857189994481196</v>
      </c>
      <c r="AO91" s="99">
        <v>3847.5310709728428</v>
      </c>
      <c r="AP91" s="99">
        <v>5.2788058154148123</v>
      </c>
      <c r="AQ91" s="99">
        <v>5998.8349286373923</v>
      </c>
      <c r="AR91" s="99">
        <v>3.2649285603539395</v>
      </c>
      <c r="AS91" s="99">
        <v>3710.2648159862165</v>
      </c>
      <c r="AT91" s="99">
        <v>7.4136210271218461</v>
      </c>
      <c r="AU91" s="99">
        <v>8424.8389352212653</v>
      </c>
      <c r="AV91" s="99">
        <v>4.5512047725737048</v>
      </c>
      <c r="AW91" s="99">
        <v>5171.9891035527571</v>
      </c>
      <c r="AX91" s="99">
        <v>4.2289761887010302</v>
      </c>
      <c r="AY91" s="99">
        <v>4805.8085408398501</v>
      </c>
      <c r="AZ91" s="99">
        <v>4.655954606427537</v>
      </c>
      <c r="BA91" s="99">
        <v>5291.0268147442521</v>
      </c>
      <c r="BB91" s="99">
        <v>4.1139437400461718</v>
      </c>
      <c r="BC91" s="99">
        <v>4675.0856661884691</v>
      </c>
      <c r="BD91" s="99">
        <v>5.9807058990761881</v>
      </c>
      <c r="BE91" s="99">
        <v>6796.4741837101792</v>
      </c>
      <c r="BF91" s="99">
        <v>4.5919100406285009</v>
      </c>
      <c r="BG91" s="99">
        <v>5218.2465701702276</v>
      </c>
      <c r="BH91" s="99">
        <v>5.2228239752630268</v>
      </c>
      <c r="BI91" s="99">
        <v>5935.2171654889025</v>
      </c>
      <c r="BJ91" s="99">
        <v>4.4125865142296163</v>
      </c>
      <c r="BK91" s="99">
        <v>5014.4633147705354</v>
      </c>
      <c r="BL91" s="99">
        <v>4.9893302048554684</v>
      </c>
      <c r="BM91" s="99">
        <v>5669.8748447977532</v>
      </c>
      <c r="BN91" s="99">
        <v>6.9369343465651125</v>
      </c>
      <c r="BO91" s="99">
        <v>7883.1321914365926</v>
      </c>
      <c r="BP91" s="99">
        <v>2.491940039692671</v>
      </c>
      <c r="BQ91" s="99">
        <v>2831.8406611067508</v>
      </c>
      <c r="BR91" s="99">
        <v>5.1018102283222566</v>
      </c>
      <c r="BS91" s="99">
        <v>5797.6971434654115</v>
      </c>
      <c r="BT91" s="99">
        <v>4.9192803958504925</v>
      </c>
      <c r="BU91" s="99">
        <v>5590.2702418444987</v>
      </c>
      <c r="BV91" s="99">
        <v>5.7383196937067416</v>
      </c>
      <c r="BW91" s="99">
        <v>6521.0264999283399</v>
      </c>
      <c r="BX91" s="99">
        <v>1.8452852094578567</v>
      </c>
      <c r="BY91" s="99">
        <v>2096.982112027908</v>
      </c>
      <c r="BZ91" s="99">
        <v>4.2400115595847749</v>
      </c>
      <c r="CA91" s="99">
        <v>4818.3491363121375</v>
      </c>
      <c r="CB91" s="99">
        <v>5.1644977925668947</v>
      </c>
      <c r="CC91" s="99">
        <v>5868.935291473018</v>
      </c>
      <c r="CD91" s="99">
        <v>6.052671427280286</v>
      </c>
      <c r="CE91" s="99">
        <v>6878.2558099613161</v>
      </c>
      <c r="CF91" s="99">
        <v>4.1943139946043093</v>
      </c>
      <c r="CG91" s="99">
        <v>4766.4184234683362</v>
      </c>
      <c r="CH91" s="99">
        <v>5.7290052216951359</v>
      </c>
      <c r="CI91" s="99">
        <v>6510.4415339343514</v>
      </c>
      <c r="CJ91" s="99">
        <v>6.8543037675283998</v>
      </c>
      <c r="CK91" s="99">
        <v>7789.2308014192722</v>
      </c>
      <c r="CL91" s="99">
        <v>3.8916351330488399</v>
      </c>
      <c r="CM91" s="99">
        <v>4422.4541651967011</v>
      </c>
      <c r="CN91" s="99">
        <v>5.8943423465401077</v>
      </c>
      <c r="CO91" s="99">
        <v>6698.3306426081772</v>
      </c>
      <c r="CP91" s="99">
        <v>4.59141891363545</v>
      </c>
      <c r="CQ91" s="99">
        <v>5217.6884534553246</v>
      </c>
      <c r="CR91" s="99">
        <v>2.9593987215023985</v>
      </c>
      <c r="CS91" s="99">
        <v>3363.0607071153254</v>
      </c>
      <c r="CT91" s="99">
        <v>7.1445072633551936</v>
      </c>
      <c r="CU91" s="99">
        <v>8119.0180540768406</v>
      </c>
    </row>
    <row r="92" spans="2:99">
      <c r="C92" s="98" t="s">
        <v>258</v>
      </c>
      <c r="D92" s="99">
        <v>0.77709267984827102</v>
      </c>
      <c r="E92" s="99">
        <v>609.86233514492301</v>
      </c>
      <c r="F92" s="99">
        <v>3.3168324975374288</v>
      </c>
      <c r="G92" s="99">
        <v>2603.0501440673738</v>
      </c>
      <c r="H92" s="99">
        <v>3.0318896239178614</v>
      </c>
      <c r="I92" s="99">
        <v>2379.4269768507374</v>
      </c>
      <c r="J92" s="99">
        <v>5.5919686247303968</v>
      </c>
      <c r="K92" s="99">
        <v>4388.576976688415</v>
      </c>
      <c r="L92" s="99">
        <v>3.2514299696402773</v>
      </c>
      <c r="M92" s="99">
        <v>2551.7222401736894</v>
      </c>
      <c r="N92" s="99">
        <v>3.1912189026036715</v>
      </c>
      <c r="O92" s="99">
        <v>2504.4685947633611</v>
      </c>
      <c r="P92" s="99">
        <v>4.0860145081954409</v>
      </c>
      <c r="Q92" s="99">
        <v>3206.7041860317818</v>
      </c>
      <c r="R92" s="99">
        <v>8.7427244675123479</v>
      </c>
      <c r="S92" s="99">
        <v>6861.2901621036899</v>
      </c>
      <c r="T92" s="99">
        <v>3.1904799124177172</v>
      </c>
      <c r="U92" s="99">
        <v>2503.8886352654245</v>
      </c>
      <c r="V92" s="99">
        <v>3.004147483869124</v>
      </c>
      <c r="W92" s="99">
        <v>2357.6549453404882</v>
      </c>
      <c r="X92" s="99">
        <v>6.4335866353765931</v>
      </c>
      <c r="Y92" s="99">
        <v>5049.0787914435496</v>
      </c>
      <c r="Z92" s="99">
        <v>6.3027985857145277</v>
      </c>
      <c r="AA92" s="99">
        <v>4946.436330068761</v>
      </c>
      <c r="AB92" s="99">
        <v>3.2848668333472331</v>
      </c>
      <c r="AC92" s="99">
        <v>2577.9634908109083</v>
      </c>
      <c r="AD92" s="99">
        <v>4.5456444884906224</v>
      </c>
      <c r="AE92" s="99">
        <v>3567.4217945674404</v>
      </c>
      <c r="AF92" s="99">
        <v>4.9676778068981822</v>
      </c>
      <c r="AG92" s="99">
        <v>3898.6335428536931</v>
      </c>
      <c r="AH92" s="99">
        <v>6.1029684704894667</v>
      </c>
      <c r="AI92" s="99">
        <v>4789.6096556401335</v>
      </c>
      <c r="AJ92" s="99">
        <v>8.2488613725689497</v>
      </c>
      <c r="AK92" s="99">
        <v>6473.7064051921116</v>
      </c>
      <c r="AL92" s="99">
        <v>6.0920550820770956</v>
      </c>
      <c r="AM92" s="99">
        <v>4781.0448284141039</v>
      </c>
      <c r="AN92" s="99">
        <v>3.3857189994481196</v>
      </c>
      <c r="AO92" s="99">
        <v>2657.1122707668842</v>
      </c>
      <c r="AP92" s="99">
        <v>5.3056999514382452</v>
      </c>
      <c r="AQ92" s="99">
        <v>4163.9133218887346</v>
      </c>
      <c r="AR92" s="99">
        <v>2.7930233019171897</v>
      </c>
      <c r="AS92" s="99">
        <v>2191.9646873446104</v>
      </c>
      <c r="AT92" s="99">
        <v>6.4568936889521389</v>
      </c>
      <c r="AU92" s="99">
        <v>5067.370167089638</v>
      </c>
      <c r="AV92" s="99">
        <v>4.5077465873075786</v>
      </c>
      <c r="AW92" s="99">
        <v>3537.6795217189874</v>
      </c>
      <c r="AX92" s="99">
        <v>5.0514014692246212</v>
      </c>
      <c r="AY92" s="99">
        <v>3964.3398730474823</v>
      </c>
      <c r="AZ92" s="99">
        <v>4.5662468857474812</v>
      </c>
      <c r="BA92" s="99">
        <v>3583.5905559346229</v>
      </c>
      <c r="BB92" s="99">
        <v>5.4584112588452411</v>
      </c>
      <c r="BC92" s="99">
        <v>4283.7611559417446</v>
      </c>
      <c r="BD92" s="99">
        <v>5.9807058990761881</v>
      </c>
      <c r="BE92" s="99">
        <v>4693.6579895949917</v>
      </c>
      <c r="BF92" s="99">
        <v>5.1224752518586323</v>
      </c>
      <c r="BG92" s="99">
        <v>4020.1185776586544</v>
      </c>
      <c r="BH92" s="99">
        <v>6.2110575990674448</v>
      </c>
      <c r="BI92" s="99">
        <v>4874.4380037481305</v>
      </c>
      <c r="BJ92" s="99">
        <v>4.4125865142296163</v>
      </c>
      <c r="BK92" s="99">
        <v>3462.9978963674025</v>
      </c>
      <c r="BL92" s="99">
        <v>4.9893302048554684</v>
      </c>
      <c r="BM92" s="99">
        <v>3915.6263447705714</v>
      </c>
      <c r="BN92" s="99">
        <v>5.7030271573177593</v>
      </c>
      <c r="BO92" s="99">
        <v>4475.7357130629771</v>
      </c>
      <c r="BP92" s="99">
        <v>2.1996206401287073</v>
      </c>
      <c r="BQ92" s="99">
        <v>1726.2622783730094</v>
      </c>
      <c r="BR92" s="99">
        <v>5.8086036964346901</v>
      </c>
      <c r="BS92" s="99">
        <v>4558.5921809619449</v>
      </c>
      <c r="BT92" s="99">
        <v>4.2165260535861355</v>
      </c>
      <c r="BU92" s="99">
        <v>3309.1296468543987</v>
      </c>
      <c r="BV92" s="99">
        <v>6.5180046982817359</v>
      </c>
      <c r="BW92" s="99">
        <v>5115.330087211506</v>
      </c>
      <c r="BX92" s="99">
        <v>2.1859839379685209</v>
      </c>
      <c r="BY92" s="99">
        <v>1715.560194517695</v>
      </c>
      <c r="BZ92" s="99">
        <v>4.3330983740839422</v>
      </c>
      <c r="CA92" s="99">
        <v>3400.6156039810776</v>
      </c>
      <c r="CB92" s="99">
        <v>5.8553741655019449</v>
      </c>
      <c r="CC92" s="99">
        <v>4595.297645085926</v>
      </c>
      <c r="CD92" s="99">
        <v>6.125203390123839</v>
      </c>
      <c r="CE92" s="99">
        <v>4807.0596205691882</v>
      </c>
      <c r="CF92" s="99">
        <v>4.7394460672430343</v>
      </c>
      <c r="CG92" s="99">
        <v>3719.5172735723331</v>
      </c>
      <c r="CH92" s="99">
        <v>5.9340033625487409</v>
      </c>
      <c r="CI92" s="99">
        <v>4657.0058389282513</v>
      </c>
      <c r="CJ92" s="99">
        <v>7.4341822731048746</v>
      </c>
      <c r="CK92" s="99">
        <v>5834.3462479327054</v>
      </c>
      <c r="CL92" s="99">
        <v>4.0279000842040391</v>
      </c>
      <c r="CM92" s="99">
        <v>3161.0959860833295</v>
      </c>
      <c r="CN92" s="99">
        <v>5.2056535024392865</v>
      </c>
      <c r="CO92" s="99">
        <v>4085.396868714352</v>
      </c>
      <c r="CP92" s="99">
        <v>4.59141891363545</v>
      </c>
      <c r="CQ92" s="99">
        <v>3603.3455634211009</v>
      </c>
      <c r="CR92" s="99">
        <v>2.9593987215023985</v>
      </c>
      <c r="CS92" s="99">
        <v>2322.5361166350822</v>
      </c>
      <c r="CT92" s="99">
        <v>7.012683747962404</v>
      </c>
      <c r="CU92" s="99">
        <v>5503.5542054008947</v>
      </c>
    </row>
    <row r="93" spans="2:99">
      <c r="C93" s="98" t="s">
        <v>259</v>
      </c>
      <c r="D93" s="99">
        <v>0.87801682448842544</v>
      </c>
      <c r="E93" s="99">
        <v>608.99246946517189</v>
      </c>
      <c r="F93" s="99">
        <v>3.3168324975374288</v>
      </c>
      <c r="G93" s="99">
        <v>2300.5550202919608</v>
      </c>
      <c r="H93" s="99">
        <v>3.0354295007941059</v>
      </c>
      <c r="I93" s="99">
        <v>2105.3739017507919</v>
      </c>
      <c r="J93" s="99">
        <v>5.5919686247303968</v>
      </c>
      <c r="K93" s="99">
        <v>3878.5894381130033</v>
      </c>
      <c r="L93" s="99">
        <v>3.2514299696402773</v>
      </c>
      <c r="M93" s="99">
        <v>2255.1918269424964</v>
      </c>
      <c r="N93" s="99">
        <v>3.1912189026036715</v>
      </c>
      <c r="O93" s="99">
        <v>2213.4294308459066</v>
      </c>
      <c r="P93" s="99">
        <v>4.1097863086619117</v>
      </c>
      <c r="Q93" s="99">
        <v>2850.5477836879022</v>
      </c>
      <c r="R93" s="99">
        <v>7.8912693610148175</v>
      </c>
      <c r="S93" s="99">
        <v>5473.3844287998772</v>
      </c>
      <c r="T93" s="99">
        <v>3.1904799124177172</v>
      </c>
      <c r="U93" s="99">
        <v>2212.9168672529286</v>
      </c>
      <c r="V93" s="99">
        <v>3.004147483869124</v>
      </c>
      <c r="W93" s="99">
        <v>2083.6766948116247</v>
      </c>
      <c r="X93" s="99">
        <v>6.564169041433968</v>
      </c>
      <c r="Y93" s="99">
        <v>4552.9076471386006</v>
      </c>
      <c r="Z93" s="99">
        <v>6.3027985857145277</v>
      </c>
      <c r="AA93" s="99">
        <v>4371.6210990515965</v>
      </c>
      <c r="AB93" s="99">
        <v>3.6843405679653207</v>
      </c>
      <c r="AC93" s="99">
        <v>2555.4586179407465</v>
      </c>
      <c r="AD93" s="99">
        <v>3.8353804905093809</v>
      </c>
      <c r="AE93" s="99">
        <v>2660.2199082173065</v>
      </c>
      <c r="AF93" s="99">
        <v>4.2972257976005164</v>
      </c>
      <c r="AG93" s="99">
        <v>2980.5558132157184</v>
      </c>
      <c r="AH93" s="99">
        <v>5.3594918544962429</v>
      </c>
      <c r="AI93" s="99">
        <v>3717.3435502785942</v>
      </c>
      <c r="AJ93" s="99">
        <v>8.2212101089501779</v>
      </c>
      <c r="AK93" s="99">
        <v>5702.2313315678439</v>
      </c>
      <c r="AL93" s="99">
        <v>5.3305481968174586</v>
      </c>
      <c r="AM93" s="99">
        <v>3697.2682293125895</v>
      </c>
      <c r="AN93" s="99">
        <v>3.3857189994481196</v>
      </c>
      <c r="AO93" s="99">
        <v>2348.3346980172159</v>
      </c>
      <c r="AP93" s="99">
        <v>5.3056999514382452</v>
      </c>
      <c r="AQ93" s="99">
        <v>3680.0334863175672</v>
      </c>
      <c r="AR93" s="99">
        <v>2.7930233019171897</v>
      </c>
      <c r="AS93" s="99">
        <v>1937.2409622097628</v>
      </c>
      <c r="AT93" s="99">
        <v>7.5809467269322051</v>
      </c>
      <c r="AU93" s="99">
        <v>5258.1446498001778</v>
      </c>
      <c r="AV93" s="99">
        <v>4.5512047725737048</v>
      </c>
      <c r="AW93" s="99">
        <v>3156.7156302571216</v>
      </c>
      <c r="AX93" s="99">
        <v>5.6534276739426774</v>
      </c>
      <c r="AY93" s="99">
        <v>3921.2174346466413</v>
      </c>
      <c r="AZ93" s="99">
        <v>5.2674828862520231</v>
      </c>
      <c r="BA93" s="99">
        <v>3653.5261299044032</v>
      </c>
      <c r="BB93" s="99">
        <v>5.4785465547574823</v>
      </c>
      <c r="BC93" s="99">
        <v>3799.9198903797896</v>
      </c>
      <c r="BD93" s="99">
        <v>5.9807058990761881</v>
      </c>
      <c r="BE93" s="99">
        <v>4148.2176115992443</v>
      </c>
      <c r="BF93" s="99">
        <v>5.1224752518586323</v>
      </c>
      <c r="BG93" s="99">
        <v>3552.9488346891476</v>
      </c>
      <c r="BH93" s="99">
        <v>7.0584632947513972</v>
      </c>
      <c r="BI93" s="99">
        <v>4895.7501412395695</v>
      </c>
      <c r="BJ93" s="99">
        <v>3.5300692113836929</v>
      </c>
      <c r="BK93" s="99">
        <v>2448.4560050157293</v>
      </c>
      <c r="BL93" s="99">
        <v>4.2733998520997885</v>
      </c>
      <c r="BM93" s="99">
        <v>2964.0301374164133</v>
      </c>
      <c r="BN93" s="99">
        <v>7.6100253297444374</v>
      </c>
      <c r="BO93" s="99">
        <v>5278.3135687107415</v>
      </c>
      <c r="BP93" s="99">
        <v>2.185676563475893</v>
      </c>
      <c r="BQ93" s="99">
        <v>1515.9852644268794</v>
      </c>
      <c r="BR93" s="99">
        <v>5.9316107563843552</v>
      </c>
      <c r="BS93" s="99">
        <v>4114.1652206281888</v>
      </c>
      <c r="BT93" s="99">
        <v>4.2165260535861355</v>
      </c>
      <c r="BU93" s="99">
        <v>2924.5824707673437</v>
      </c>
      <c r="BV93" s="99">
        <v>6.5180046982817359</v>
      </c>
      <c r="BW93" s="99">
        <v>4520.8880587282119</v>
      </c>
      <c r="BX93" s="99">
        <v>2.2001630946589743</v>
      </c>
      <c r="BY93" s="99">
        <v>1526.0331224554645</v>
      </c>
      <c r="BZ93" s="99">
        <v>4.2400115595847749</v>
      </c>
      <c r="CA93" s="99">
        <v>2940.8720177280002</v>
      </c>
      <c r="CB93" s="99">
        <v>5.9394689888252765</v>
      </c>
      <c r="CC93" s="99">
        <v>4119.6156906492115</v>
      </c>
      <c r="CD93" s="99">
        <v>6.7619131393698568</v>
      </c>
      <c r="CE93" s="99">
        <v>4690.0629534669324</v>
      </c>
      <c r="CF93" s="99">
        <v>4.0623823433511728</v>
      </c>
      <c r="CG93" s="99">
        <v>2817.6683933483737</v>
      </c>
      <c r="CH93" s="99">
        <v>5.9340033625487409</v>
      </c>
      <c r="CI93" s="99">
        <v>4115.8247322638072</v>
      </c>
      <c r="CJ93" s="99">
        <v>6.6211168493266523</v>
      </c>
      <c r="CK93" s="99">
        <v>4592.4066466929662</v>
      </c>
      <c r="CL93" s="99">
        <v>4.0279000842040391</v>
      </c>
      <c r="CM93" s="99">
        <v>2793.7514984039217</v>
      </c>
      <c r="CN93" s="99">
        <v>6.0298969066889683</v>
      </c>
      <c r="CO93" s="99">
        <v>4182.3364944794685</v>
      </c>
      <c r="CP93" s="99">
        <v>4.59141891363545</v>
      </c>
      <c r="CQ93" s="99">
        <v>3184.6081584975482</v>
      </c>
      <c r="CR93" s="99">
        <v>2.9593987215023985</v>
      </c>
      <c r="CS93" s="99">
        <v>2052.6389532340636</v>
      </c>
      <c r="CT93" s="99">
        <v>7.9222250953059019</v>
      </c>
      <c r="CU93" s="99">
        <v>5494.8553261041734</v>
      </c>
    </row>
    <row r="94" spans="2:99">
      <c r="C94" s="98" t="s">
        <v>260</v>
      </c>
      <c r="D94" s="99">
        <v>0.77661270882139544</v>
      </c>
      <c r="E94" s="99">
        <v>926.34363908216039</v>
      </c>
      <c r="F94" s="99">
        <v>3.3168324975374288</v>
      </c>
      <c r="G94" s="99">
        <v>3956.317803062645</v>
      </c>
      <c r="H94" s="99">
        <v>3.0283497470416165</v>
      </c>
      <c r="I94" s="99">
        <v>3612.2155782712402</v>
      </c>
      <c r="J94" s="99">
        <v>4.5919686247303968</v>
      </c>
      <c r="K94" s="99">
        <v>5477.3001755784171</v>
      </c>
      <c r="L94" s="99">
        <v>3.2514299696402773</v>
      </c>
      <c r="M94" s="99">
        <v>3878.3056677869226</v>
      </c>
      <c r="N94" s="99">
        <v>3.1912189026036715</v>
      </c>
      <c r="O94" s="99">
        <v>3806.4859070256593</v>
      </c>
      <c r="P94" s="99">
        <v>3.7475108765645366</v>
      </c>
      <c r="Q94" s="99">
        <v>4470.0309735661795</v>
      </c>
      <c r="R94" s="99">
        <v>7.7427244675123479</v>
      </c>
      <c r="S94" s="99">
        <v>9235.5217448487274</v>
      </c>
      <c r="T94" s="99">
        <v>3.1904799124177172</v>
      </c>
      <c r="U94" s="99">
        <v>3805.6044395318531</v>
      </c>
      <c r="V94" s="99">
        <v>3.004147483869124</v>
      </c>
      <c r="W94" s="99">
        <v>3583.3471187590908</v>
      </c>
      <c r="X94" s="99">
        <v>5.7756676424375426</v>
      </c>
      <c r="Y94" s="99">
        <v>6889.2163638995007</v>
      </c>
      <c r="Z94" s="99">
        <v>6.3027985857145277</v>
      </c>
      <c r="AA94" s="99">
        <v>7517.9781530402879</v>
      </c>
      <c r="AB94" s="99">
        <v>3.2848668333472331</v>
      </c>
      <c r="AC94" s="99">
        <v>3918.1891588165795</v>
      </c>
      <c r="AD94" s="99">
        <v>4.5456444884906224</v>
      </c>
      <c r="AE94" s="99">
        <v>5422.0447458716144</v>
      </c>
      <c r="AF94" s="99">
        <v>4.2972257976005164</v>
      </c>
      <c r="AG94" s="99">
        <v>5125.730931377896</v>
      </c>
      <c r="AH94" s="99">
        <v>6.1671564818135307</v>
      </c>
      <c r="AI94" s="99">
        <v>7356.1842515071794</v>
      </c>
      <c r="AJ94" s="99">
        <v>8.2488613725689497</v>
      </c>
      <c r="AK94" s="99">
        <v>9839.2418452002421</v>
      </c>
      <c r="AL94" s="99">
        <v>4.5690413115578217</v>
      </c>
      <c r="AM94" s="99">
        <v>5449.9524764261696</v>
      </c>
      <c r="AN94" s="99">
        <v>3.3857189994481196</v>
      </c>
      <c r="AO94" s="99">
        <v>4038.485622541717</v>
      </c>
      <c r="AP94" s="99">
        <v>5.3056999514382452</v>
      </c>
      <c r="AQ94" s="99">
        <v>6328.6389020755387</v>
      </c>
      <c r="AR94" s="99">
        <v>2.7930233019171897</v>
      </c>
      <c r="AS94" s="99">
        <v>3331.5181945268237</v>
      </c>
      <c r="AT94" s="99">
        <v>6.2895679891417791</v>
      </c>
      <c r="AU94" s="99">
        <v>7502.1966974483139</v>
      </c>
      <c r="AV94" s="99">
        <v>4.5512047725737048</v>
      </c>
      <c r="AW94" s="99">
        <v>5428.677052725915</v>
      </c>
      <c r="AX94" s="99">
        <v>4.2289761887010302</v>
      </c>
      <c r="AY94" s="99">
        <v>5044.3227978825889</v>
      </c>
      <c r="AZ94" s="99">
        <v>4.4765391650674244</v>
      </c>
      <c r="BA94" s="99">
        <v>5339.6159160924235</v>
      </c>
      <c r="BB94" s="99">
        <v>4.1340790359584147</v>
      </c>
      <c r="BC94" s="99">
        <v>4931.1294740911972</v>
      </c>
      <c r="BD94" s="99">
        <v>5.207163979346233</v>
      </c>
      <c r="BE94" s="99">
        <v>6211.1051945641866</v>
      </c>
      <c r="BF94" s="99">
        <v>4.5919100406285009</v>
      </c>
      <c r="BG94" s="99">
        <v>5477.2302964616756</v>
      </c>
      <c r="BH94" s="99">
        <v>6.0702296709469783</v>
      </c>
      <c r="BI94" s="99">
        <v>7240.5699515055558</v>
      </c>
      <c r="BJ94" s="99">
        <v>3.5300692113836929</v>
      </c>
      <c r="BK94" s="99">
        <v>4210.6665553384692</v>
      </c>
      <c r="BL94" s="99">
        <v>4.2733998520997885</v>
      </c>
      <c r="BM94" s="99">
        <v>5097.3113435846271</v>
      </c>
      <c r="BN94" s="99">
        <v>5.7030271573177593</v>
      </c>
      <c r="BO94" s="99">
        <v>6802.570793248623</v>
      </c>
      <c r="BP94" s="99">
        <v>2.185676563475893</v>
      </c>
      <c r="BQ94" s="99">
        <v>2607.0750049140452</v>
      </c>
      <c r="BR94" s="99">
        <v>5.8086036964346901</v>
      </c>
      <c r="BS94" s="99">
        <v>6928.5024891072981</v>
      </c>
      <c r="BT94" s="99">
        <v>4.9192803958504925</v>
      </c>
      <c r="BU94" s="99">
        <v>5867.7176561704673</v>
      </c>
      <c r="BV94" s="99">
        <v>6.5180046982817359</v>
      </c>
      <c r="BW94" s="99">
        <v>7774.6760041104544</v>
      </c>
      <c r="BX94" s="99">
        <v>1.8311060527674028</v>
      </c>
      <c r="BY94" s="99">
        <v>2184.1432997409579</v>
      </c>
      <c r="BZ94" s="99">
        <v>4.2400115595847749</v>
      </c>
      <c r="CA94" s="99">
        <v>5057.4857882727192</v>
      </c>
      <c r="CB94" s="99">
        <v>5.7990650027069135</v>
      </c>
      <c r="CC94" s="99">
        <v>6917.1247352288065</v>
      </c>
      <c r="CD94" s="99">
        <v>5.9801394644367321</v>
      </c>
      <c r="CE94" s="99">
        <v>7133.1103531801336</v>
      </c>
      <c r="CF94" s="99">
        <v>4.7394460672430343</v>
      </c>
      <c r="CG94" s="99">
        <v>5653.211269007491</v>
      </c>
      <c r="CH94" s="99">
        <v>5.1595022182037793</v>
      </c>
      <c r="CI94" s="99">
        <v>6154.2542458734679</v>
      </c>
      <c r="CJ94" s="99">
        <v>7.3175888140040026</v>
      </c>
      <c r="CK94" s="99">
        <v>8728.4199373439733</v>
      </c>
      <c r="CL94" s="99">
        <v>3.5983508114600671</v>
      </c>
      <c r="CM94" s="99">
        <v>4292.1128479095678</v>
      </c>
      <c r="CN94" s="99">
        <v>5.0700989422904268</v>
      </c>
      <c r="CO94" s="99">
        <v>6047.6140183640209</v>
      </c>
      <c r="CP94" s="99">
        <v>4.59141891363545</v>
      </c>
      <c r="CQ94" s="99">
        <v>5476.6444801843645</v>
      </c>
      <c r="CR94" s="99">
        <v>2.6111614876911897</v>
      </c>
      <c r="CS94" s="99">
        <v>3114.5934225180508</v>
      </c>
      <c r="CT94" s="99">
        <v>7.7904015799131114</v>
      </c>
      <c r="CU94" s="99">
        <v>9292.3910045203593</v>
      </c>
    </row>
    <row r="95" spans="2:99">
      <c r="B95" s="98" t="s">
        <v>132</v>
      </c>
      <c r="C95" s="98" t="s">
        <v>261</v>
      </c>
      <c r="D95" s="99">
        <v>0.99863918877804436</v>
      </c>
      <c r="E95" s="99">
        <v>328.35256527022102</v>
      </c>
      <c r="F95" s="99">
        <v>6.8553909701213094</v>
      </c>
      <c r="G95" s="99">
        <v>2254.0525509758868</v>
      </c>
      <c r="H95" s="99">
        <v>5.8045240830428249</v>
      </c>
      <c r="I95" s="99">
        <v>1908.5275185044809</v>
      </c>
      <c r="J95" s="99">
        <v>11.065543524514714</v>
      </c>
      <c r="K95" s="99">
        <v>3638.3507108604381</v>
      </c>
      <c r="L95" s="99">
        <v>8.1285749241006933</v>
      </c>
      <c r="M95" s="99">
        <v>2672.675435044308</v>
      </c>
      <c r="N95" s="99">
        <v>6.3824378052073429</v>
      </c>
      <c r="O95" s="99">
        <v>2098.5455503521744</v>
      </c>
      <c r="P95" s="99">
        <v>5.1134610853609184</v>
      </c>
      <c r="Q95" s="99">
        <v>1681.30600486667</v>
      </c>
      <c r="R95" s="99">
        <v>8.3369040415222262</v>
      </c>
      <c r="S95" s="99">
        <v>2741.1740488525079</v>
      </c>
      <c r="T95" s="99">
        <v>5.7428638423518912</v>
      </c>
      <c r="U95" s="99">
        <v>1888.2536313653018</v>
      </c>
      <c r="V95" s="99">
        <v>6.7388639115509683</v>
      </c>
      <c r="W95" s="99">
        <v>2215.7384541179586</v>
      </c>
      <c r="X95" s="99">
        <v>10.893416291936033</v>
      </c>
      <c r="Y95" s="99">
        <v>3581.7552767885677</v>
      </c>
      <c r="Z95" s="99">
        <v>9.4541978785717919</v>
      </c>
      <c r="AA95" s="99">
        <v>3108.5402624744052</v>
      </c>
      <c r="AB95" s="99">
        <v>5.7351554148972781</v>
      </c>
      <c r="AC95" s="99">
        <v>1885.719100418225</v>
      </c>
      <c r="AD95" s="99">
        <v>9.5529718503163803</v>
      </c>
      <c r="AE95" s="99">
        <v>3141.0171443840259</v>
      </c>
      <c r="AF95" s="99">
        <v>6.7045200929766562</v>
      </c>
      <c r="AG95" s="99">
        <v>2204.4462065707248</v>
      </c>
      <c r="AH95" s="99">
        <v>9.3978149910826847</v>
      </c>
      <c r="AI95" s="99">
        <v>3090.001569067987</v>
      </c>
      <c r="AJ95" s="99">
        <v>7</v>
      </c>
      <c r="AK95" s="99">
        <v>2301.6</v>
      </c>
      <c r="AL95" s="99">
        <v>8.3765757378560064</v>
      </c>
      <c r="AM95" s="99">
        <v>2754.2181026070548</v>
      </c>
      <c r="AN95" s="99">
        <v>9.2472822609216649</v>
      </c>
      <c r="AO95" s="99">
        <v>3040.5064073910435</v>
      </c>
      <c r="AP95" s="99">
        <v>8.0269212566024084</v>
      </c>
      <c r="AQ95" s="99">
        <v>2639.2517091708719</v>
      </c>
      <c r="AR95" s="99">
        <v>5.2293660915075648</v>
      </c>
      <c r="AS95" s="99">
        <v>1719.4155708876874</v>
      </c>
      <c r="AT95" s="99">
        <v>10.953105840872407</v>
      </c>
      <c r="AU95" s="99">
        <v>3601.3812004788474</v>
      </c>
      <c r="AV95" s="99">
        <v>7.4099212558424057</v>
      </c>
      <c r="AW95" s="99">
        <v>2436.3821089209832</v>
      </c>
      <c r="AX95" s="99">
        <v>7.0778791591843246</v>
      </c>
      <c r="AY95" s="99">
        <v>2327.2066675398059</v>
      </c>
      <c r="AZ95" s="99">
        <v>7.9827191675901386</v>
      </c>
      <c r="BA95" s="99">
        <v>2624.7180623036375</v>
      </c>
      <c r="BB95" s="99">
        <v>5.4512159022253197</v>
      </c>
      <c r="BC95" s="99">
        <v>1792.3597886516852</v>
      </c>
      <c r="BD95" s="99">
        <v>9.2825030367594739</v>
      </c>
      <c r="BE95" s="99">
        <v>3052.0869984865153</v>
      </c>
      <c r="BF95" s="99">
        <v>5.3056521123013107</v>
      </c>
      <c r="BG95" s="99">
        <v>1744.498414524671</v>
      </c>
      <c r="BH95" s="99">
        <v>8.6100086310376831</v>
      </c>
      <c r="BI95" s="99">
        <v>2830.9708378851901</v>
      </c>
      <c r="BJ95" s="99">
        <v>7.9426557256133083</v>
      </c>
      <c r="BK95" s="99">
        <v>2611.5452025816558</v>
      </c>
      <c r="BL95" s="99">
        <v>4.2955821165340806</v>
      </c>
      <c r="BM95" s="99">
        <v>1412.3873999164057</v>
      </c>
      <c r="BN95" s="99">
        <v>6.7918801983500359</v>
      </c>
      <c r="BO95" s="99">
        <v>2233.1702092174919</v>
      </c>
      <c r="BP95" s="99">
        <v>3.3410100850789339</v>
      </c>
      <c r="BQ95" s="99">
        <v>1098.5241159739535</v>
      </c>
      <c r="BR95" s="99">
        <v>8.1749982206713199</v>
      </c>
      <c r="BS95" s="99">
        <v>2687.9394149567302</v>
      </c>
      <c r="BT95" s="99">
        <v>8.1390215101502417</v>
      </c>
      <c r="BU95" s="99">
        <v>2676.1102725373994</v>
      </c>
      <c r="BV95" s="99">
        <v>7.1070100684243869</v>
      </c>
      <c r="BW95" s="99">
        <v>2336.7849104979387</v>
      </c>
      <c r="BX95" s="99">
        <v>3.250617593571874</v>
      </c>
      <c r="BY95" s="99">
        <v>1068.8030647664323</v>
      </c>
      <c r="BZ95" s="99">
        <v>8.8812087214905002</v>
      </c>
      <c r="CA95" s="99">
        <v>2920.1414276260766</v>
      </c>
      <c r="CB95" s="99">
        <v>7.2880672890072624</v>
      </c>
      <c r="CC95" s="99">
        <v>2396.316524625588</v>
      </c>
      <c r="CD95" s="99">
        <v>10.324199616163668</v>
      </c>
      <c r="CE95" s="99">
        <v>3394.5968337946142</v>
      </c>
      <c r="CF95" s="99">
        <v>6.0935735150267583</v>
      </c>
      <c r="CG95" s="99">
        <v>2003.5669717407982</v>
      </c>
      <c r="CH95" s="99">
        <v>4.7040145174271126</v>
      </c>
      <c r="CI95" s="99">
        <v>1546.6799733300347</v>
      </c>
      <c r="CJ95" s="99">
        <v>6.2744252619519232</v>
      </c>
      <c r="CK95" s="99">
        <v>2063.0310261297923</v>
      </c>
      <c r="CL95" s="99">
        <v>7.7068343047340413</v>
      </c>
      <c r="CM95" s="99">
        <v>2534.0071193965528</v>
      </c>
      <c r="CN95" s="99">
        <v>8.6272656362303497</v>
      </c>
      <c r="CO95" s="99">
        <v>2836.6449411925391</v>
      </c>
      <c r="CP95" s="99">
        <v>7.3462702618167199</v>
      </c>
      <c r="CQ95" s="99">
        <v>2415.4536620853378</v>
      </c>
      <c r="CR95" s="99">
        <v>4.7005848905584404</v>
      </c>
      <c r="CS95" s="99">
        <v>1545.5523120156154</v>
      </c>
      <c r="CT95" s="99">
        <v>10.66407239774243</v>
      </c>
      <c r="CU95" s="99">
        <v>3506.3470043777111</v>
      </c>
    </row>
    <row r="96" spans="2:99">
      <c r="C96" s="98" t="s">
        <v>262</v>
      </c>
      <c r="D96" s="99">
        <v>0.90780413947605965</v>
      </c>
      <c r="E96" s="99">
        <v>630.74231610796619</v>
      </c>
      <c r="F96" s="99">
        <v>6.3589821261540314</v>
      </c>
      <c r="G96" s="99">
        <v>4418.2207812518209</v>
      </c>
      <c r="H96" s="99">
        <v>5.2197431536754388</v>
      </c>
      <c r="I96" s="99">
        <v>3626.6775431736946</v>
      </c>
      <c r="J96" s="99">
        <v>11.065543524514714</v>
      </c>
      <c r="K96" s="99">
        <v>7688.3396408328226</v>
      </c>
      <c r="L96" s="99">
        <v>9.7542899089208301</v>
      </c>
      <c r="M96" s="99">
        <v>6777.280628718192</v>
      </c>
      <c r="N96" s="99">
        <v>6.3824378052073429</v>
      </c>
      <c r="O96" s="99">
        <v>4434.5177870580619</v>
      </c>
      <c r="P96" s="99">
        <v>4.6116236970114155</v>
      </c>
      <c r="Q96" s="99">
        <v>3204.1561446835312</v>
      </c>
      <c r="R96" s="99">
        <v>7.4854489350246958</v>
      </c>
      <c r="S96" s="99">
        <v>5200.8899200551587</v>
      </c>
      <c r="T96" s="99">
        <v>5.7428638423518912</v>
      </c>
      <c r="U96" s="99">
        <v>3990.1417976660937</v>
      </c>
      <c r="V96" s="99">
        <v>6.7244484174355375</v>
      </c>
      <c r="W96" s="99">
        <v>4672.1467604342115</v>
      </c>
      <c r="X96" s="99">
        <v>9.9743324868822327</v>
      </c>
      <c r="Y96" s="99">
        <v>6930.1662118857748</v>
      </c>
      <c r="Z96" s="99">
        <v>9.4541978785717919</v>
      </c>
      <c r="AA96" s="99">
        <v>6568.7766860316806</v>
      </c>
      <c r="AB96" s="99">
        <v>5.0781820482278315</v>
      </c>
      <c r="AC96" s="99">
        <v>3528.3208871086972</v>
      </c>
      <c r="AD96" s="99">
        <v>8.8427078523351401</v>
      </c>
      <c r="AE96" s="99">
        <v>6143.9134158024553</v>
      </c>
      <c r="AF96" s="99">
        <v>7.374972102274322</v>
      </c>
      <c r="AG96" s="99">
        <v>5124.1306166601989</v>
      </c>
      <c r="AH96" s="99">
        <v>8.6543383750894609</v>
      </c>
      <c r="AI96" s="99">
        <v>6013.0343030121567</v>
      </c>
      <c r="AJ96" s="99">
        <v>7</v>
      </c>
      <c r="AK96" s="99">
        <v>4863.5999999999995</v>
      </c>
      <c r="AL96" s="99">
        <v>7.6150688525963686</v>
      </c>
      <c r="AM96" s="99">
        <v>5290.9498387839567</v>
      </c>
      <c r="AN96" s="99">
        <v>8.570138461032041</v>
      </c>
      <c r="AO96" s="99">
        <v>5954.5322027250613</v>
      </c>
      <c r="AP96" s="99">
        <v>8.0269212566024084</v>
      </c>
      <c r="AQ96" s="99">
        <v>5577.1048890873526</v>
      </c>
      <c r="AR96" s="99">
        <v>5.3061825889141891</v>
      </c>
      <c r="AS96" s="99">
        <v>3686.7356627775785</v>
      </c>
      <c r="AT96" s="99">
        <v>10.618454441251686</v>
      </c>
      <c r="AU96" s="99">
        <v>7377.7021457816709</v>
      </c>
      <c r="AV96" s="99">
        <v>8.233245839824896</v>
      </c>
      <c r="AW96" s="99">
        <v>5720.4592095103371</v>
      </c>
      <c r="AX96" s="99">
        <v>7.2834854793152228</v>
      </c>
      <c r="AY96" s="99">
        <v>5060.5657110282164</v>
      </c>
      <c r="AZ96" s="99">
        <v>7.9827191675901386</v>
      </c>
      <c r="BA96" s="99">
        <v>5546.3932776416277</v>
      </c>
      <c r="BB96" s="99">
        <v>5.3152070485384151</v>
      </c>
      <c r="BC96" s="99">
        <v>3693.0058573244905</v>
      </c>
      <c r="BD96" s="99">
        <v>9.2825030367594739</v>
      </c>
      <c r="BE96" s="99">
        <v>6449.4831099404819</v>
      </c>
      <c r="BF96" s="99">
        <v>5.3056521123013107</v>
      </c>
      <c r="BG96" s="99">
        <v>3686.3670876269503</v>
      </c>
      <c r="BH96" s="99">
        <v>7.7626029353537316</v>
      </c>
      <c r="BI96" s="99">
        <v>5393.4565194837724</v>
      </c>
      <c r="BJ96" s="99">
        <v>7.0601384227673858</v>
      </c>
      <c r="BK96" s="99">
        <v>4905.3841761387794</v>
      </c>
      <c r="BL96" s="99">
        <v>5.1881599012290565</v>
      </c>
      <c r="BM96" s="99">
        <v>3604.7334993739482</v>
      </c>
      <c r="BN96" s="99">
        <v>5.8587588006588653</v>
      </c>
      <c r="BO96" s="99">
        <v>4070.6656146977793</v>
      </c>
      <c r="BP96" s="99">
        <v>3.3410100850789339</v>
      </c>
      <c r="BQ96" s="99">
        <v>2321.3338071128433</v>
      </c>
      <c r="BR96" s="99">
        <v>7.4682047525588873</v>
      </c>
      <c r="BS96" s="99">
        <v>5188.9086620779144</v>
      </c>
      <c r="BT96" s="99">
        <v>8.1390215101502417</v>
      </c>
      <c r="BU96" s="99">
        <v>5654.9921452523877</v>
      </c>
      <c r="BV96" s="99">
        <v>5.457795032024964</v>
      </c>
      <c r="BW96" s="99">
        <v>3792.0759882509446</v>
      </c>
      <c r="BX96" s="99">
        <v>3.250617593571874</v>
      </c>
      <c r="BY96" s="99">
        <v>2258.5291040137381</v>
      </c>
      <c r="BZ96" s="99">
        <v>7.7995770733510961</v>
      </c>
      <c r="CA96" s="99">
        <v>5419.146150564341</v>
      </c>
      <c r="CB96" s="99">
        <v>6.5717207272546032</v>
      </c>
      <c r="CC96" s="99">
        <v>4566.0315612964978</v>
      </c>
      <c r="CD96" s="99">
        <v>10.106603727633008</v>
      </c>
      <c r="CE96" s="99">
        <v>7022.0682699594136</v>
      </c>
      <c r="CF96" s="99">
        <v>6.7706372389186207</v>
      </c>
      <c r="CG96" s="99">
        <v>4704.2387536006572</v>
      </c>
      <c r="CH96" s="99">
        <v>4.7040145174271126</v>
      </c>
      <c r="CI96" s="99">
        <v>3268.3492867083578</v>
      </c>
      <c r="CJ96" s="99">
        <v>5.8111402154763194</v>
      </c>
      <c r="CK96" s="99">
        <v>4037.5802217129467</v>
      </c>
      <c r="CL96" s="99">
        <v>6.2877649819690546</v>
      </c>
      <c r="CM96" s="99">
        <v>4368.7391094720988</v>
      </c>
      <c r="CN96" s="99">
        <v>8.7628201963792112</v>
      </c>
      <c r="CO96" s="99">
        <v>6088.4074724442753</v>
      </c>
      <c r="CP96" s="99">
        <v>7.3462702618167199</v>
      </c>
      <c r="CQ96" s="99">
        <v>5104.1885779102568</v>
      </c>
      <c r="CR96" s="99">
        <v>4.3523476567472326</v>
      </c>
      <c r="CS96" s="99">
        <v>3024.0111519079769</v>
      </c>
      <c r="CT96" s="99">
        <v>11.309966714300346</v>
      </c>
      <c r="CU96" s="99">
        <v>7858.1648730958796</v>
      </c>
    </row>
    <row r="97" spans="2:99">
      <c r="C97" s="98" t="s">
        <v>263</v>
      </c>
      <c r="D97" s="99">
        <v>0.90732416844918429</v>
      </c>
      <c r="E97" s="99">
        <v>356.0340036994599</v>
      </c>
      <c r="F97" s="99">
        <v>5.8625732821867516</v>
      </c>
      <c r="G97" s="99">
        <v>2300.4737559300811</v>
      </c>
      <c r="H97" s="99">
        <v>5.24138575899096</v>
      </c>
      <c r="I97" s="99">
        <v>2056.7197718280527</v>
      </c>
      <c r="J97" s="99">
        <v>10.183937249460794</v>
      </c>
      <c r="K97" s="99">
        <v>3996.1769766884154</v>
      </c>
      <c r="L97" s="99">
        <v>8.9414324165107626</v>
      </c>
      <c r="M97" s="99">
        <v>3508.618080238823</v>
      </c>
      <c r="N97" s="99">
        <v>7.0206815857280782</v>
      </c>
      <c r="O97" s="99">
        <v>2754.9154542396977</v>
      </c>
      <c r="P97" s="99">
        <v>4.3025902909472942</v>
      </c>
      <c r="Q97" s="99">
        <v>1688.3364301677182</v>
      </c>
      <c r="R97" s="99">
        <v>8.4854489350246958</v>
      </c>
      <c r="S97" s="99">
        <v>3329.6901621036905</v>
      </c>
      <c r="T97" s="99">
        <v>6.3809598248354344</v>
      </c>
      <c r="U97" s="99">
        <v>2503.8886352654245</v>
      </c>
      <c r="V97" s="99">
        <v>6.7532794056664027</v>
      </c>
      <c r="W97" s="99">
        <v>2649.9868387834963</v>
      </c>
      <c r="X97" s="99">
        <v>10.762833885878658</v>
      </c>
      <c r="Y97" s="99">
        <v>4223.3360168187855</v>
      </c>
      <c r="Z97" s="99">
        <v>9.4541978785717919</v>
      </c>
      <c r="AA97" s="99">
        <v>3709.827247551571</v>
      </c>
      <c r="AB97" s="99">
        <v>5.0781820482278315</v>
      </c>
      <c r="AC97" s="99">
        <v>1992.678635724601</v>
      </c>
      <c r="AD97" s="99">
        <v>10.138945285974572</v>
      </c>
      <c r="AE97" s="99">
        <v>3978.5221302164218</v>
      </c>
      <c r="AF97" s="99">
        <v>6.0340680836789904</v>
      </c>
      <c r="AG97" s="99">
        <v>2367.7683160356355</v>
      </c>
      <c r="AH97" s="99">
        <v>8.0766462731728836</v>
      </c>
      <c r="AI97" s="99">
        <v>3169.2759975930394</v>
      </c>
      <c r="AJ97" s="99">
        <v>7</v>
      </c>
      <c r="AK97" s="99">
        <v>2746.7999999999997</v>
      </c>
      <c r="AL97" s="99">
        <v>8.3765757378560064</v>
      </c>
      <c r="AM97" s="99">
        <v>3286.9683195346965</v>
      </c>
      <c r="AN97" s="99">
        <v>9.1732134505289071</v>
      </c>
      <c r="AO97" s="99">
        <v>3599.5689579875429</v>
      </c>
      <c r="AP97" s="99">
        <v>8.1221867220708841</v>
      </c>
      <c r="AQ97" s="99">
        <v>3187.1460697406146</v>
      </c>
      <c r="AR97" s="99">
        <v>5.3061825889141891</v>
      </c>
      <c r="AS97" s="99">
        <v>2082.1460478899276</v>
      </c>
      <c r="AT97" s="99">
        <v>9.8290528028923418</v>
      </c>
      <c r="AU97" s="99">
        <v>3856.9203198549549</v>
      </c>
      <c r="AV97" s="99">
        <v>7.4099212558424057</v>
      </c>
      <c r="AW97" s="99">
        <v>2907.6531007925596</v>
      </c>
      <c r="AX97" s="99">
        <v>7.2834854793152228</v>
      </c>
      <c r="AY97" s="99">
        <v>2858.0397020832934</v>
      </c>
      <c r="AZ97" s="99">
        <v>7.9827191675901386</v>
      </c>
      <c r="BA97" s="99">
        <v>3132.4190013623702</v>
      </c>
      <c r="BB97" s="99">
        <v>6.1133820136687325</v>
      </c>
      <c r="BC97" s="99">
        <v>2398.8911021636104</v>
      </c>
      <c r="BD97" s="99">
        <v>8.5089611170295179</v>
      </c>
      <c r="BE97" s="99">
        <v>3338.9163423223827</v>
      </c>
      <c r="BF97" s="99">
        <v>5.8362173235314421</v>
      </c>
      <c r="BG97" s="99">
        <v>2290.1316777537377</v>
      </c>
      <c r="BH97" s="99">
        <v>8.6100086310376831</v>
      </c>
      <c r="BI97" s="99">
        <v>3378.5673868191866</v>
      </c>
      <c r="BJ97" s="99">
        <v>8.8251730284592327</v>
      </c>
      <c r="BK97" s="99">
        <v>3462.9978963674025</v>
      </c>
      <c r="BL97" s="99">
        <v>4.2955821165340806</v>
      </c>
      <c r="BM97" s="99">
        <v>1685.5864225279731</v>
      </c>
      <c r="BN97" s="99">
        <v>5.8587588006588653</v>
      </c>
      <c r="BO97" s="99">
        <v>2298.9769533785388</v>
      </c>
      <c r="BP97" s="99">
        <v>3.6333294846428976</v>
      </c>
      <c r="BQ97" s="99">
        <v>1425.718489773873</v>
      </c>
      <c r="BR97" s="99">
        <v>8.1749982206713199</v>
      </c>
      <c r="BS97" s="99">
        <v>3207.8693017914256</v>
      </c>
      <c r="BT97" s="99">
        <v>7.4816809173572532</v>
      </c>
      <c r="BU97" s="99">
        <v>2935.8115919709858</v>
      </c>
      <c r="BV97" s="99">
        <v>7.2248111424529169</v>
      </c>
      <c r="BW97" s="99">
        <v>2835.0158922985242</v>
      </c>
      <c r="BX97" s="99">
        <v>3.2364384368814205</v>
      </c>
      <c r="BY97" s="99">
        <v>1269.9784426322694</v>
      </c>
      <c r="BZ97" s="99">
        <v>8.3869363046703835</v>
      </c>
      <c r="CA97" s="99">
        <v>3291.0338059526584</v>
      </c>
      <c r="CB97" s="99">
        <v>6.6558155505779366</v>
      </c>
      <c r="CC97" s="99">
        <v>2611.742022046782</v>
      </c>
      <c r="CD97" s="99">
        <v>9.4698939783869882</v>
      </c>
      <c r="CE97" s="99">
        <v>3715.9863971190539</v>
      </c>
      <c r="CF97" s="99">
        <v>6.0935735150267583</v>
      </c>
      <c r="CG97" s="99">
        <v>2391.1182472964997</v>
      </c>
      <c r="CH97" s="99">
        <v>5.3760165913452704</v>
      </c>
      <c r="CI97" s="99">
        <v>2109.5489104438839</v>
      </c>
      <c r="CJ97" s="99">
        <v>6.391018721052796</v>
      </c>
      <c r="CK97" s="99">
        <v>2507.8357461411169</v>
      </c>
      <c r="CL97" s="99">
        <v>7.5539623820067616</v>
      </c>
      <c r="CM97" s="99">
        <v>2964.1748386994532</v>
      </c>
      <c r="CN97" s="99">
        <v>7.9385767921295294</v>
      </c>
      <c r="CO97" s="99">
        <v>3115.097533231627</v>
      </c>
      <c r="CP97" s="99">
        <v>8.2645540445438108</v>
      </c>
      <c r="CQ97" s="99">
        <v>3243.011007078991</v>
      </c>
      <c r="CR97" s="99">
        <v>4.3523476567472326</v>
      </c>
      <c r="CS97" s="99">
        <v>1707.861220507614</v>
      </c>
      <c r="CT97" s="99">
        <v>10.532248882349638</v>
      </c>
      <c r="CU97" s="99">
        <v>4132.854461433998</v>
      </c>
    </row>
    <row r="98" spans="2:99">
      <c r="C98" s="98" t="s">
        <v>264</v>
      </c>
      <c r="D98" s="99">
        <v>1.0082483130893387</v>
      </c>
      <c r="E98" s="99">
        <v>529.93531335975649</v>
      </c>
      <c r="F98" s="99">
        <v>6.3589821261540314</v>
      </c>
      <c r="G98" s="99">
        <v>3342.2810055065588</v>
      </c>
      <c r="H98" s="99">
        <v>5.8045240830428249</v>
      </c>
      <c r="I98" s="99">
        <v>3050.857858047309</v>
      </c>
      <c r="J98" s="99">
        <v>11.183937249460794</v>
      </c>
      <c r="K98" s="99">
        <v>5878.277418316593</v>
      </c>
      <c r="L98" s="99">
        <v>8.9414324165107626</v>
      </c>
      <c r="M98" s="99">
        <v>4699.6168781180568</v>
      </c>
      <c r="N98" s="99">
        <v>6.3824378052073429</v>
      </c>
      <c r="O98" s="99">
        <v>3354.6093104169795</v>
      </c>
      <c r="P98" s="99">
        <v>5.0659174844279775</v>
      </c>
      <c r="Q98" s="99">
        <v>2662.6462298153451</v>
      </c>
      <c r="R98" s="99">
        <v>7.4854489350246958</v>
      </c>
      <c r="S98" s="99">
        <v>3934.35196024898</v>
      </c>
      <c r="T98" s="99">
        <v>5.7428638423518912</v>
      </c>
      <c r="U98" s="99">
        <v>3018.4492355401539</v>
      </c>
      <c r="V98" s="99">
        <v>6.1380344147771444</v>
      </c>
      <c r="W98" s="99">
        <v>3226.1508884068671</v>
      </c>
      <c r="X98" s="99">
        <v>10.104914892939608</v>
      </c>
      <c r="Y98" s="99">
        <v>5311.1432677290577</v>
      </c>
      <c r="Z98" s="99">
        <v>8.6663480553574761</v>
      </c>
      <c r="AA98" s="99">
        <v>4555.0325378958896</v>
      </c>
      <c r="AB98" s="99">
        <v>5.1580767951514481</v>
      </c>
      <c r="AC98" s="99">
        <v>2711.0851635316012</v>
      </c>
      <c r="AD98" s="99">
        <v>8.8427078523351401</v>
      </c>
      <c r="AE98" s="99">
        <v>4647.7272471873503</v>
      </c>
      <c r="AF98" s="99">
        <v>6.7045200929766562</v>
      </c>
      <c r="AG98" s="99">
        <v>3523.8957608685305</v>
      </c>
      <c r="AH98" s="99">
        <v>7.2689816458555958</v>
      </c>
      <c r="AI98" s="99">
        <v>3820.5767530617013</v>
      </c>
      <c r="AJ98" s="99">
        <v>7</v>
      </c>
      <c r="AK98" s="99">
        <v>3679.2000000000003</v>
      </c>
      <c r="AL98" s="99">
        <v>7.6150688525963686</v>
      </c>
      <c r="AM98" s="99">
        <v>4002.4801889246514</v>
      </c>
      <c r="AN98" s="99">
        <v>7.8929946611424171</v>
      </c>
      <c r="AO98" s="99">
        <v>4148.5579938964547</v>
      </c>
      <c r="AP98" s="99">
        <v>8.2174521875393598</v>
      </c>
      <c r="AQ98" s="99">
        <v>4319.0928697706877</v>
      </c>
      <c r="AR98" s="99">
        <v>5.2677743402108765</v>
      </c>
      <c r="AS98" s="99">
        <v>2768.7421932148368</v>
      </c>
      <c r="AT98" s="99">
        <v>9.4944014032716204</v>
      </c>
      <c r="AU98" s="99">
        <v>4990.2573775595638</v>
      </c>
      <c r="AV98" s="99">
        <v>7.4099212558424057</v>
      </c>
      <c r="AW98" s="99">
        <v>3894.6546120707685</v>
      </c>
      <c r="AX98" s="99">
        <v>7.1806823192497742</v>
      </c>
      <c r="AY98" s="99">
        <v>3774.1666269976813</v>
      </c>
      <c r="AZ98" s="99">
        <v>7.3711908877656525</v>
      </c>
      <c r="BA98" s="99">
        <v>3874.2979306096272</v>
      </c>
      <c r="BB98" s="99">
        <v>5.3832114753818674</v>
      </c>
      <c r="BC98" s="99">
        <v>2829.4159514607095</v>
      </c>
      <c r="BD98" s="99">
        <v>10.05604495648943</v>
      </c>
      <c r="BE98" s="99">
        <v>5285.457229130845</v>
      </c>
      <c r="BF98" s="99">
        <v>5.8362173235314421</v>
      </c>
      <c r="BG98" s="99">
        <v>3067.515825248126</v>
      </c>
      <c r="BH98" s="99">
        <v>7.9034308634741981</v>
      </c>
      <c r="BI98" s="99">
        <v>4154.0432618420391</v>
      </c>
      <c r="BJ98" s="99">
        <v>7.9426557256133083</v>
      </c>
      <c r="BK98" s="99">
        <v>4174.6598493823549</v>
      </c>
      <c r="BL98" s="99">
        <v>4.2955821165340806</v>
      </c>
      <c r="BM98" s="99">
        <v>2257.757960450313</v>
      </c>
      <c r="BN98" s="99">
        <v>6.6618649910941139</v>
      </c>
      <c r="BO98" s="99">
        <v>3501.4762393190663</v>
      </c>
      <c r="BP98" s="99">
        <v>3.6472735612957119</v>
      </c>
      <c r="BQ98" s="99">
        <v>1917.0069838170264</v>
      </c>
      <c r="BR98" s="99">
        <v>7.4682047525588873</v>
      </c>
      <c r="BS98" s="99">
        <v>3925.2884179449511</v>
      </c>
      <c r="BT98" s="99">
        <v>8.0936077606788714</v>
      </c>
      <c r="BU98" s="99">
        <v>4254.0002390128147</v>
      </c>
      <c r="BV98" s="99">
        <v>5.457795032024964</v>
      </c>
      <c r="BW98" s="99">
        <v>2868.6170688323214</v>
      </c>
      <c r="BX98" s="99">
        <v>3.250617593571874</v>
      </c>
      <c r="BY98" s="99">
        <v>1708.524607181377</v>
      </c>
      <c r="BZ98" s="99">
        <v>8.4800231191695499</v>
      </c>
      <c r="CA98" s="99">
        <v>4457.1001514355157</v>
      </c>
      <c r="CB98" s="99">
        <v>7.4562569356539283</v>
      </c>
      <c r="CC98" s="99">
        <v>3919.0086453797048</v>
      </c>
      <c r="CD98" s="99">
        <v>9.4698939783869882</v>
      </c>
      <c r="CE98" s="99">
        <v>4977.3762750402011</v>
      </c>
      <c r="CF98" s="99">
        <v>6.0935735150267583</v>
      </c>
      <c r="CG98" s="99">
        <v>3202.7822394980644</v>
      </c>
      <c r="CH98" s="99">
        <v>4.7040145174271126</v>
      </c>
      <c r="CI98" s="99">
        <v>2472.4300303596906</v>
      </c>
      <c r="CJ98" s="99">
        <v>5.6945467563754475</v>
      </c>
      <c r="CK98" s="99">
        <v>2993.0537751509355</v>
      </c>
      <c r="CL98" s="99">
        <v>7.5539623820067616</v>
      </c>
      <c r="CM98" s="99">
        <v>3970.362627982754</v>
      </c>
      <c r="CN98" s="99">
        <v>8.6272656362303497</v>
      </c>
      <c r="CO98" s="99">
        <v>4534.4908184026717</v>
      </c>
      <c r="CP98" s="99">
        <v>7.397120237826333</v>
      </c>
      <c r="CQ98" s="99">
        <v>3887.9263970015209</v>
      </c>
      <c r="CR98" s="99">
        <v>4.7005848905584404</v>
      </c>
      <c r="CS98" s="99">
        <v>2470.6274184775166</v>
      </c>
      <c r="CT98" s="99">
        <v>11.441790229693138</v>
      </c>
      <c r="CU98" s="99">
        <v>6013.804944726714</v>
      </c>
    </row>
    <row r="99" spans="2:99">
      <c r="C99" s="98" t="s">
        <v>265</v>
      </c>
      <c r="D99" s="99">
        <v>0.77709267984827102</v>
      </c>
      <c r="E99" s="99">
        <v>3270.3168338734636</v>
      </c>
      <c r="F99" s="99">
        <v>4.2636896597721829</v>
      </c>
      <c r="G99" s="99">
        <v>17943.311564185253</v>
      </c>
      <c r="H99" s="99">
        <v>4.0934665055717083</v>
      </c>
      <c r="I99" s="99">
        <v>17226.944442047974</v>
      </c>
      <c r="J99" s="99">
        <v>7.8287560746225555</v>
      </c>
      <c r="K99" s="99">
        <v>32946.53706444156</v>
      </c>
      <c r="L99" s="99">
        <v>6.5028599392805546</v>
      </c>
      <c r="M99" s="99">
        <v>27366.635768468284</v>
      </c>
      <c r="N99" s="99">
        <v>5.1059502441658751</v>
      </c>
      <c r="O99" s="99">
        <v>21487.881007547669</v>
      </c>
      <c r="P99" s="99">
        <v>3.3464591151812284</v>
      </c>
      <c r="Q99" s="99">
        <v>14083.238540328681</v>
      </c>
      <c r="R99" s="99">
        <v>6.3369040415222262</v>
      </c>
      <c r="S99" s="99">
        <v>26668.226968342133</v>
      </c>
      <c r="T99" s="99">
        <v>4.4666718773848046</v>
      </c>
      <c r="U99" s="99">
        <v>18797.54192878621</v>
      </c>
      <c r="V99" s="99">
        <v>4.2058064774167736</v>
      </c>
      <c r="W99" s="99">
        <v>17699.715979560748</v>
      </c>
      <c r="X99" s="99">
        <v>7.0864986656634636</v>
      </c>
      <c r="Y99" s="99">
        <v>29822.820984578117</v>
      </c>
      <c r="Z99" s="99">
        <v>7.0906484089288444</v>
      </c>
      <c r="AA99" s="99">
        <v>29840.284764136148</v>
      </c>
      <c r="AB99" s="99">
        <v>3.644393194503512</v>
      </c>
      <c r="AC99" s="99">
        <v>15337.064319748579</v>
      </c>
      <c r="AD99" s="99">
        <v>6.2147536090992075</v>
      </c>
      <c r="AE99" s="99">
        <v>26154.169088533101</v>
      </c>
      <c r="AF99" s="99">
        <v>4.6931640650836597</v>
      </c>
      <c r="AG99" s="99">
        <v>19750.711651498073</v>
      </c>
      <c r="AH99" s="99">
        <v>6.1029684704894667</v>
      </c>
      <c r="AI99" s="99">
        <v>25683.732511207869</v>
      </c>
      <c r="AJ99" s="99">
        <v>5</v>
      </c>
      <c r="AK99" s="99">
        <v>21042</v>
      </c>
      <c r="AL99" s="99">
        <v>6.0920550820770956</v>
      </c>
      <c r="AM99" s="99">
        <v>25637.804607413247</v>
      </c>
      <c r="AN99" s="99">
        <v>6.7714379988962392</v>
      </c>
      <c r="AO99" s="99">
        <v>28496.919674554931</v>
      </c>
      <c r="AP99" s="99">
        <v>5.2788058154148123</v>
      </c>
      <c r="AQ99" s="99">
        <v>22215.326393591695</v>
      </c>
      <c r="AR99" s="99">
        <v>4.2855555746340652</v>
      </c>
      <c r="AS99" s="99">
        <v>18035.332080289998</v>
      </c>
      <c r="AT99" s="99">
        <v>7.4136210271218461</v>
      </c>
      <c r="AU99" s="99">
        <v>31199.482730539574</v>
      </c>
      <c r="AV99" s="99">
        <v>5.763272087877426</v>
      </c>
      <c r="AW99" s="99">
        <v>24254.154254623358</v>
      </c>
      <c r="AX99" s="99">
        <v>5.4626141094864167</v>
      </c>
      <c r="AY99" s="99">
        <v>22988.865218362633</v>
      </c>
      <c r="AZ99" s="99">
        <v>5.7893034453964534</v>
      </c>
      <c r="BA99" s="99">
        <v>24363.704619606433</v>
      </c>
      <c r="BB99" s="99">
        <v>3.9908748256515887</v>
      </c>
      <c r="BC99" s="99">
        <v>16795.197616272144</v>
      </c>
      <c r="BD99" s="99">
        <v>6.9618772775696067</v>
      </c>
      <c r="BE99" s="99">
        <v>29298.364334923932</v>
      </c>
      <c r="BF99" s="99">
        <v>4.2445216898410489</v>
      </c>
      <c r="BG99" s="99">
        <v>17862.645079527068</v>
      </c>
      <c r="BH99" s="99">
        <v>6.4927134553083796</v>
      </c>
      <c r="BI99" s="99">
        <v>27323.935305319781</v>
      </c>
      <c r="BJ99" s="99">
        <v>6.1776211199214623</v>
      </c>
      <c r="BK99" s="99">
        <v>25997.90072107748</v>
      </c>
      <c r="BL99" s="99">
        <v>3.5796517637784002</v>
      </c>
      <c r="BM99" s="99">
        <v>15064.606482685018</v>
      </c>
      <c r="BN99" s="99">
        <v>3.9925160052765247</v>
      </c>
      <c r="BO99" s="99">
        <v>16802.104356605727</v>
      </c>
      <c r="BP99" s="99">
        <v>2.7424272092981909</v>
      </c>
      <c r="BQ99" s="99">
        <v>11541.230667610505</v>
      </c>
      <c r="BR99" s="99">
        <v>5.9316107563843552</v>
      </c>
      <c r="BS99" s="99">
        <v>24962.590707167918</v>
      </c>
      <c r="BT99" s="99">
        <v>5.2825903916214472</v>
      </c>
      <c r="BU99" s="99">
        <v>22231.253404099698</v>
      </c>
      <c r="BV99" s="99">
        <v>5.0764357631602763</v>
      </c>
      <c r="BW99" s="99">
        <v>21363.672265683705</v>
      </c>
      <c r="BX99" s="99">
        <v>2.1859839379685209</v>
      </c>
      <c r="BY99" s="99">
        <v>9199.4948045467227</v>
      </c>
      <c r="BZ99" s="99">
        <v>6.0663377237175196</v>
      </c>
      <c r="CA99" s="99">
        <v>25529.575676492808</v>
      </c>
      <c r="CB99" s="99">
        <v>5.7712793421786106</v>
      </c>
      <c r="CC99" s="99">
        <v>24287.851983624463</v>
      </c>
      <c r="CD99" s="99">
        <v>6.906977065056962</v>
      </c>
      <c r="CE99" s="99">
        <v>29067.322280585715</v>
      </c>
      <c r="CF99" s="99">
        <v>4.7394460672430343</v>
      </c>
      <c r="CG99" s="99">
        <v>19945.484829385583</v>
      </c>
      <c r="CH99" s="99">
        <v>4.032012443508953</v>
      </c>
      <c r="CI99" s="99">
        <v>16968.321167263075</v>
      </c>
      <c r="CJ99" s="99">
        <v>4.6482944143954779</v>
      </c>
      <c r="CK99" s="99">
        <v>19561.882213541929</v>
      </c>
      <c r="CL99" s="99">
        <v>4.0279000842040391</v>
      </c>
      <c r="CM99" s="99">
        <v>16951.014714364275</v>
      </c>
      <c r="CN99" s="99">
        <v>5.8834263031835867</v>
      </c>
      <c r="CO99" s="99">
        <v>24759.811254317803</v>
      </c>
      <c r="CP99" s="99">
        <v>5.50970269636254</v>
      </c>
      <c r="CQ99" s="99">
        <v>23187.03282737211</v>
      </c>
      <c r="CR99" s="99">
        <v>2.9246985512998522</v>
      </c>
      <c r="CS99" s="99">
        <v>12308.301383290298</v>
      </c>
      <c r="CT99" s="99">
        <v>7.9354483557119364</v>
      </c>
      <c r="CU99" s="99">
        <v>33395.540860178109</v>
      </c>
    </row>
    <row r="100" spans="2:99">
      <c r="C100" s="98" t="s">
        <v>266</v>
      </c>
      <c r="D100" s="99">
        <v>1.0087282841162142</v>
      </c>
      <c r="E100" s="99">
        <v>326.82796405365337</v>
      </c>
      <c r="F100" s="99">
        <v>6.8919433336255533</v>
      </c>
      <c r="G100" s="99">
        <v>2232.9896400946791</v>
      </c>
      <c r="H100" s="99">
        <v>5.7828814777273037</v>
      </c>
      <c r="I100" s="99">
        <v>1873.6535987836464</v>
      </c>
      <c r="J100" s="99">
        <v>11.065543524514714</v>
      </c>
      <c r="K100" s="99">
        <v>3585.2361019427676</v>
      </c>
      <c r="L100" s="99">
        <v>9.7542899089208301</v>
      </c>
      <c r="M100" s="99">
        <v>3160.3899304903489</v>
      </c>
      <c r="N100" s="99">
        <v>7.0206815857280782</v>
      </c>
      <c r="O100" s="99">
        <v>2274.7008337758975</v>
      </c>
      <c r="P100" s="99">
        <v>4.6353954974778855</v>
      </c>
      <c r="Q100" s="99">
        <v>1501.868141182835</v>
      </c>
      <c r="R100" s="99">
        <v>8.4854489350246958</v>
      </c>
      <c r="S100" s="99">
        <v>2749.2854549480016</v>
      </c>
      <c r="T100" s="99">
        <v>6.3809598248354344</v>
      </c>
      <c r="U100" s="99">
        <v>2067.4309832466806</v>
      </c>
      <c r="V100" s="99">
        <v>6.1380344147771444</v>
      </c>
      <c r="W100" s="99">
        <v>1988.7231503877947</v>
      </c>
      <c r="X100" s="99">
        <v>11.023998697993408</v>
      </c>
      <c r="Y100" s="99">
        <v>3571.775578149864</v>
      </c>
      <c r="Z100" s="99">
        <v>8.6663480553574761</v>
      </c>
      <c r="AA100" s="99">
        <v>2807.8967699358222</v>
      </c>
      <c r="AB100" s="99">
        <v>5.1181294216896402</v>
      </c>
      <c r="AC100" s="99">
        <v>1658.2739326274434</v>
      </c>
      <c r="AD100" s="99">
        <v>9.4286812879933279</v>
      </c>
      <c r="AE100" s="99">
        <v>3054.8927373098381</v>
      </c>
      <c r="AF100" s="99">
        <v>6.0340680836789904</v>
      </c>
      <c r="AG100" s="99">
        <v>1955.0380591119929</v>
      </c>
      <c r="AH100" s="99">
        <v>8.8843109004901724</v>
      </c>
      <c r="AI100" s="99">
        <v>2878.5167317588157</v>
      </c>
      <c r="AJ100" s="99">
        <v>7</v>
      </c>
      <c r="AK100" s="99">
        <v>2268</v>
      </c>
      <c r="AL100" s="99">
        <v>7.6150688525963686</v>
      </c>
      <c r="AM100" s="99">
        <v>2467.2823082412233</v>
      </c>
      <c r="AN100" s="99">
        <v>9.1732134505289071</v>
      </c>
      <c r="AO100" s="99">
        <v>2972.1211579713658</v>
      </c>
      <c r="AP100" s="99">
        <v>7.3331688622996518</v>
      </c>
      <c r="AQ100" s="99">
        <v>2375.9467113850874</v>
      </c>
      <c r="AR100" s="99">
        <v>5.6628631012410029</v>
      </c>
      <c r="AS100" s="99">
        <v>1834.767644802085</v>
      </c>
      <c r="AT100" s="99">
        <v>9.9963785027027008</v>
      </c>
      <c r="AU100" s="99">
        <v>3238.8266348756752</v>
      </c>
      <c r="AV100" s="99">
        <v>7.4099212558424057</v>
      </c>
      <c r="AW100" s="99">
        <v>2400.8144868929394</v>
      </c>
      <c r="AX100" s="99">
        <v>7.9883148440987277</v>
      </c>
      <c r="AY100" s="99">
        <v>2588.2140094879878</v>
      </c>
      <c r="AZ100" s="99">
        <v>9.1160680065590558</v>
      </c>
      <c r="BA100" s="99">
        <v>2953.6060341251341</v>
      </c>
      <c r="BB100" s="99">
        <v>4.7890497907819061</v>
      </c>
      <c r="BC100" s="99">
        <v>1551.6521322133376</v>
      </c>
      <c r="BD100" s="99">
        <v>9.2825030367594739</v>
      </c>
      <c r="BE100" s="99">
        <v>3007.5309839100696</v>
      </c>
      <c r="BF100" s="99">
        <v>5.3056521123013107</v>
      </c>
      <c r="BG100" s="99">
        <v>1719.0312843856248</v>
      </c>
      <c r="BH100" s="99">
        <v>8.7508365591581505</v>
      </c>
      <c r="BI100" s="99">
        <v>2835.2710451672406</v>
      </c>
      <c r="BJ100" s="99">
        <v>8.8251730284592327</v>
      </c>
      <c r="BK100" s="99">
        <v>2859.3560612207912</v>
      </c>
      <c r="BL100" s="99">
        <v>4.2955821165340806</v>
      </c>
      <c r="BM100" s="99">
        <v>1391.7686057570422</v>
      </c>
      <c r="BN100" s="99">
        <v>5.8587588006588653</v>
      </c>
      <c r="BO100" s="99">
        <v>1898.2378514134723</v>
      </c>
      <c r="BP100" s="99">
        <v>3.6333294846428976</v>
      </c>
      <c r="BQ100" s="99">
        <v>1177.1987530242989</v>
      </c>
      <c r="BR100" s="99">
        <v>7.4682047525588873</v>
      </c>
      <c r="BS100" s="99">
        <v>2419.6983398290795</v>
      </c>
      <c r="BT100" s="99">
        <v>8.1844352596216101</v>
      </c>
      <c r="BU100" s="99">
        <v>2651.7570241174017</v>
      </c>
      <c r="BV100" s="99">
        <v>7.2248111424529169</v>
      </c>
      <c r="BW100" s="99">
        <v>2340.8388101547453</v>
      </c>
      <c r="BX100" s="99">
        <v>3.2364384368814205</v>
      </c>
      <c r="BY100" s="99">
        <v>1048.6060535495803</v>
      </c>
      <c r="BZ100" s="99">
        <v>7.6134034443527607</v>
      </c>
      <c r="CA100" s="99">
        <v>2466.7427159702943</v>
      </c>
      <c r="CB100" s="99">
        <v>6.6558155505779366</v>
      </c>
      <c r="CC100" s="99">
        <v>2156.4842383872515</v>
      </c>
      <c r="CD100" s="99">
        <v>10.251667653320114</v>
      </c>
      <c r="CE100" s="99">
        <v>3321.540319675717</v>
      </c>
      <c r="CF100" s="99">
        <v>6.0935735150267583</v>
      </c>
      <c r="CG100" s="99">
        <v>1974.3178188686697</v>
      </c>
      <c r="CH100" s="99">
        <v>4.7040145174271126</v>
      </c>
      <c r="CI100" s="99">
        <v>1524.1007036463845</v>
      </c>
      <c r="CJ100" s="99">
        <v>6.391018721052796</v>
      </c>
      <c r="CK100" s="99">
        <v>2070.690065621106</v>
      </c>
      <c r="CL100" s="99">
        <v>7.630398343370401</v>
      </c>
      <c r="CM100" s="99">
        <v>2472.2490632520098</v>
      </c>
      <c r="CN100" s="99">
        <v>6.593947233997449</v>
      </c>
      <c r="CO100" s="99">
        <v>2136.4389038151735</v>
      </c>
      <c r="CP100" s="99">
        <v>7.3462702618167199</v>
      </c>
      <c r="CQ100" s="99">
        <v>2380.1915648286172</v>
      </c>
      <c r="CR100" s="99">
        <v>4.3523476567472326</v>
      </c>
      <c r="CS100" s="99">
        <v>1410.1606407861034</v>
      </c>
      <c r="CT100" s="99">
        <v>10.400425366956849</v>
      </c>
      <c r="CU100" s="99">
        <v>3369.7378188940193</v>
      </c>
    </row>
    <row r="101" spans="2:99">
      <c r="C101" s="98" t="s">
        <v>267</v>
      </c>
      <c r="D101" s="99">
        <v>0.99863918877804436</v>
      </c>
      <c r="E101" s="99">
        <v>722.61531699979287</v>
      </c>
      <c r="F101" s="99">
        <v>6.3955344896582744</v>
      </c>
      <c r="G101" s="99">
        <v>4627.8087567167277</v>
      </c>
      <c r="H101" s="99">
        <v>5.7828814777273037</v>
      </c>
      <c r="I101" s="99">
        <v>4184.493037283477</v>
      </c>
      <c r="J101" s="99">
        <v>10.183937249460794</v>
      </c>
      <c r="K101" s="99">
        <v>7369.0969937098307</v>
      </c>
      <c r="L101" s="99">
        <v>8.9414324165107626</v>
      </c>
      <c r="M101" s="99">
        <v>6470.0204965871881</v>
      </c>
      <c r="N101" s="99">
        <v>7.0206815857280782</v>
      </c>
      <c r="O101" s="99">
        <v>5080.1651954328372</v>
      </c>
      <c r="P101" s="99">
        <v>5.0896892848944475</v>
      </c>
      <c r="Q101" s="99">
        <v>3682.8991665496224</v>
      </c>
      <c r="R101" s="99">
        <v>8.3369040415222262</v>
      </c>
      <c r="S101" s="99">
        <v>6032.5837644454832</v>
      </c>
      <c r="T101" s="99">
        <v>6.3809598248354344</v>
      </c>
      <c r="U101" s="99">
        <v>4617.2625292509201</v>
      </c>
      <c r="V101" s="99">
        <v>6.7388639115509683</v>
      </c>
      <c r="W101" s="99">
        <v>4876.2419263982811</v>
      </c>
      <c r="X101" s="99">
        <v>10.104914892939608</v>
      </c>
      <c r="Y101" s="99">
        <v>7311.9164165311004</v>
      </c>
      <c r="Z101" s="99">
        <v>8.6663480553574761</v>
      </c>
      <c r="AA101" s="99">
        <v>6270.9694528566697</v>
      </c>
      <c r="AB101" s="99">
        <v>5.7351554148972781</v>
      </c>
      <c r="AC101" s="99">
        <v>4149.9584582196703</v>
      </c>
      <c r="AD101" s="99">
        <v>8.7184172900120878</v>
      </c>
      <c r="AE101" s="99">
        <v>6308.6467510527473</v>
      </c>
      <c r="AF101" s="99">
        <v>6.7045200929766562</v>
      </c>
      <c r="AG101" s="99">
        <v>4851.3907392779083</v>
      </c>
      <c r="AH101" s="99">
        <v>8.0766462731728836</v>
      </c>
      <c r="AI101" s="99">
        <v>5844.2612432678989</v>
      </c>
      <c r="AJ101" s="99">
        <v>6</v>
      </c>
      <c r="AK101" s="99">
        <v>4341.6000000000004</v>
      </c>
      <c r="AL101" s="99">
        <v>7.6150688525963686</v>
      </c>
      <c r="AM101" s="99">
        <v>5510.2638217387321</v>
      </c>
      <c r="AN101" s="99">
        <v>8.802869398565111</v>
      </c>
      <c r="AO101" s="99">
        <v>6369.7562968017146</v>
      </c>
      <c r="AP101" s="99">
        <v>7.1426379313627022</v>
      </c>
      <c r="AQ101" s="99">
        <v>5168.412807134051</v>
      </c>
      <c r="AR101" s="99">
        <v>5.2293660915075648</v>
      </c>
      <c r="AS101" s="99">
        <v>3783.9693038148739</v>
      </c>
      <c r="AT101" s="99">
        <v>9.8290528028923418</v>
      </c>
      <c r="AU101" s="99">
        <v>7112.3026081728985</v>
      </c>
      <c r="AV101" s="99">
        <v>7.4099212558424057</v>
      </c>
      <c r="AW101" s="99">
        <v>5361.8190207275647</v>
      </c>
      <c r="AX101" s="99">
        <v>7.8855116840332791</v>
      </c>
      <c r="AY101" s="99">
        <v>5705.9562545664812</v>
      </c>
      <c r="AZ101" s="99">
        <v>7.803303726230026</v>
      </c>
      <c r="BA101" s="99">
        <v>5646.4705763000466</v>
      </c>
      <c r="BB101" s="99">
        <v>5.3832114753818674</v>
      </c>
      <c r="BC101" s="99">
        <v>3895.2918235863194</v>
      </c>
      <c r="BD101" s="99">
        <v>9.2825030367594739</v>
      </c>
      <c r="BE101" s="99">
        <v>6716.8191973991552</v>
      </c>
      <c r="BF101" s="99">
        <v>5.8362173235314421</v>
      </c>
      <c r="BG101" s="99">
        <v>4223.0868553073515</v>
      </c>
      <c r="BH101" s="99">
        <v>9.4574143267216346</v>
      </c>
      <c r="BI101" s="99">
        <v>6843.3850068157753</v>
      </c>
      <c r="BJ101" s="99">
        <v>7.0601384227673858</v>
      </c>
      <c r="BK101" s="99">
        <v>5108.7161627144806</v>
      </c>
      <c r="BL101" s="99">
        <v>4.2955821165340806</v>
      </c>
      <c r="BM101" s="99">
        <v>3108.2832195240608</v>
      </c>
      <c r="BN101" s="99">
        <v>5.8587588006588653</v>
      </c>
      <c r="BO101" s="99">
        <v>4239.3978681567551</v>
      </c>
      <c r="BP101" s="99">
        <v>3.0486906855149698</v>
      </c>
      <c r="BQ101" s="99">
        <v>2206.0325800386322</v>
      </c>
      <c r="BR101" s="99">
        <v>6.8844183443961189</v>
      </c>
      <c r="BS101" s="99">
        <v>4981.5651140050322</v>
      </c>
      <c r="BT101" s="99">
        <v>8.1390215101502417</v>
      </c>
      <c r="BU101" s="99">
        <v>5889.3959647447155</v>
      </c>
      <c r="BV101" s="99">
        <v>6.3273250638493925</v>
      </c>
      <c r="BW101" s="99">
        <v>4578.4524162014204</v>
      </c>
      <c r="BX101" s="99">
        <v>2.9099188650612096</v>
      </c>
      <c r="BY101" s="99">
        <v>2105.6172907582913</v>
      </c>
      <c r="BZ101" s="99">
        <v>8.2938494901712136</v>
      </c>
      <c r="CA101" s="99">
        <v>6001.4294910878907</v>
      </c>
      <c r="CB101" s="99">
        <v>7.3721621123305958</v>
      </c>
      <c r="CC101" s="99">
        <v>5334.4965044824194</v>
      </c>
      <c r="CD101" s="99">
        <v>10.17913569047656</v>
      </c>
      <c r="CE101" s="99">
        <v>7365.6225856288393</v>
      </c>
      <c r="CF101" s="99">
        <v>6.0935735150267583</v>
      </c>
      <c r="CG101" s="99">
        <v>4409.3097954733621</v>
      </c>
      <c r="CH101" s="99">
        <v>5.3760165913452704</v>
      </c>
      <c r="CI101" s="99">
        <v>3890.0856054974379</v>
      </c>
      <c r="CJ101" s="99">
        <v>6.2744252619519232</v>
      </c>
      <c r="CK101" s="99">
        <v>4540.1741195484119</v>
      </c>
      <c r="CL101" s="99">
        <v>6.9590816626697283</v>
      </c>
      <c r="CM101" s="99">
        <v>5035.5914911078153</v>
      </c>
      <c r="CN101" s="99">
        <v>8.7628201963792112</v>
      </c>
      <c r="CO101" s="99">
        <v>6340.7766940999973</v>
      </c>
      <c r="CP101" s="99">
        <v>7.3462702618167199</v>
      </c>
      <c r="CQ101" s="99">
        <v>5315.7611614505786</v>
      </c>
      <c r="CR101" s="99">
        <v>4.6832348054571682</v>
      </c>
      <c r="CS101" s="99">
        <v>3388.788705228807</v>
      </c>
      <c r="CT101" s="99">
        <v>11.309966714300346</v>
      </c>
      <c r="CU101" s="99">
        <v>8183.8919144677311</v>
      </c>
    </row>
    <row r="102" spans="2:99">
      <c r="C102" s="98" t="s">
        <v>268</v>
      </c>
      <c r="D102" s="99">
        <v>0.99863918877804436</v>
      </c>
      <c r="E102" s="99">
        <v>530.87659275440842</v>
      </c>
      <c r="F102" s="99">
        <v>6.8919433336255533</v>
      </c>
      <c r="G102" s="99">
        <v>3663.7570761553443</v>
      </c>
      <c r="H102" s="99">
        <v>5.2197431536754388</v>
      </c>
      <c r="I102" s="99">
        <v>2774.8154604938636</v>
      </c>
      <c r="J102" s="99">
        <v>10.065543524514714</v>
      </c>
      <c r="K102" s="99">
        <v>5350.8429376320228</v>
      </c>
      <c r="L102" s="99">
        <v>8.1285749241006933</v>
      </c>
      <c r="M102" s="99">
        <v>4321.1504296519288</v>
      </c>
      <c r="N102" s="99">
        <v>6.3824378052073429</v>
      </c>
      <c r="O102" s="99">
        <v>3392.9039372482234</v>
      </c>
      <c r="P102" s="99">
        <v>5.0659174844279775</v>
      </c>
      <c r="Q102" s="99">
        <v>2693.0417347219131</v>
      </c>
      <c r="R102" s="99">
        <v>8.6339938285271653</v>
      </c>
      <c r="S102" s="99">
        <v>4589.831119245041</v>
      </c>
      <c r="T102" s="99">
        <v>5.7428638423518912</v>
      </c>
      <c r="U102" s="99">
        <v>3052.9064185942657</v>
      </c>
      <c r="V102" s="99">
        <v>6.7388639115509683</v>
      </c>
      <c r="W102" s="99">
        <v>3582.3800553804949</v>
      </c>
      <c r="X102" s="99">
        <v>9.9743324868822327</v>
      </c>
      <c r="Y102" s="99">
        <v>5302.3551500265949</v>
      </c>
      <c r="Z102" s="99">
        <v>8.6663480553574761</v>
      </c>
      <c r="AA102" s="99">
        <v>4607.0306262280346</v>
      </c>
      <c r="AB102" s="99">
        <v>5.0781820482278315</v>
      </c>
      <c r="AC102" s="99">
        <v>2699.5615768379153</v>
      </c>
      <c r="AD102" s="99">
        <v>8.9669984146581925</v>
      </c>
      <c r="AE102" s="99">
        <v>4766.8563572322955</v>
      </c>
      <c r="AF102" s="99">
        <v>6.7045200929766562</v>
      </c>
      <c r="AG102" s="99">
        <v>3564.1228814263904</v>
      </c>
      <c r="AH102" s="99">
        <v>8.590150363765396</v>
      </c>
      <c r="AI102" s="99">
        <v>4566.5239333776844</v>
      </c>
      <c r="AJ102" s="99">
        <v>7</v>
      </c>
      <c r="AK102" s="99">
        <v>3721.2000000000003</v>
      </c>
      <c r="AL102" s="99">
        <v>8.3765757378560064</v>
      </c>
      <c r="AM102" s="99">
        <v>4452.9876622442534</v>
      </c>
      <c r="AN102" s="99">
        <v>7.8189258507496593</v>
      </c>
      <c r="AO102" s="99">
        <v>4156.5409822585189</v>
      </c>
      <c r="AP102" s="99">
        <v>7.1426379313627022</v>
      </c>
      <c r="AQ102" s="99">
        <v>3797.0263243124127</v>
      </c>
      <c r="AR102" s="99">
        <v>5.2677743402108765</v>
      </c>
      <c r="AS102" s="99">
        <v>2800.3488392561021</v>
      </c>
      <c r="AT102" s="99">
        <v>9.8290528028923418</v>
      </c>
      <c r="AU102" s="99">
        <v>5225.1244700175694</v>
      </c>
      <c r="AV102" s="99">
        <v>8.233245839824896</v>
      </c>
      <c r="AW102" s="99">
        <v>4376.793488450915</v>
      </c>
      <c r="AX102" s="99">
        <v>7.7827085239678304</v>
      </c>
      <c r="AY102" s="99">
        <v>4137.2878513412988</v>
      </c>
      <c r="AZ102" s="99">
        <v>8.5045397267345688</v>
      </c>
      <c r="BA102" s="99">
        <v>4521.0133187320971</v>
      </c>
      <c r="BB102" s="99">
        <v>5.3152070485384151</v>
      </c>
      <c r="BC102" s="99">
        <v>2825.5640670030216</v>
      </c>
      <c r="BD102" s="99">
        <v>9.2825030367594739</v>
      </c>
      <c r="BE102" s="99">
        <v>4934.5786143413361</v>
      </c>
      <c r="BF102" s="99">
        <v>5.8362173235314421</v>
      </c>
      <c r="BG102" s="99">
        <v>3102.5331291893149</v>
      </c>
      <c r="BH102" s="99">
        <v>9.3165863986011672</v>
      </c>
      <c r="BI102" s="99">
        <v>4952.6973294963809</v>
      </c>
      <c r="BJ102" s="99">
        <v>7.0601384227673858</v>
      </c>
      <c r="BK102" s="99">
        <v>3753.1695855431426</v>
      </c>
      <c r="BL102" s="99">
        <v>4.2955821165340806</v>
      </c>
      <c r="BM102" s="99">
        <v>2283.5314531495173</v>
      </c>
      <c r="BN102" s="99">
        <v>6.1187892151707093</v>
      </c>
      <c r="BO102" s="99">
        <v>3252.7483467847492</v>
      </c>
      <c r="BP102" s="99">
        <v>3.3270660084261183</v>
      </c>
      <c r="BQ102" s="99">
        <v>1768.6682900793246</v>
      </c>
      <c r="BR102" s="99">
        <v>7.4682047525588873</v>
      </c>
      <c r="BS102" s="99">
        <v>3970.0976464603045</v>
      </c>
      <c r="BT102" s="99">
        <v>8.1390215101502417</v>
      </c>
      <c r="BU102" s="99">
        <v>4326.7038347958687</v>
      </c>
      <c r="BV102" s="99">
        <v>5.457795032024964</v>
      </c>
      <c r="BW102" s="99">
        <v>2901.363839024471</v>
      </c>
      <c r="BX102" s="99">
        <v>3.2647967502623279</v>
      </c>
      <c r="BY102" s="99">
        <v>1735.5659524394537</v>
      </c>
      <c r="BZ102" s="99">
        <v>7.6134034443527607</v>
      </c>
      <c r="CA102" s="99">
        <v>4047.2852710179277</v>
      </c>
      <c r="CB102" s="99">
        <v>6.7399103739012691</v>
      </c>
      <c r="CC102" s="99">
        <v>3582.936354765915</v>
      </c>
      <c r="CD102" s="99">
        <v>9.4698939783869882</v>
      </c>
      <c r="CE102" s="99">
        <v>5034.1956389105235</v>
      </c>
      <c r="CF102" s="99">
        <v>5.4165097911348958</v>
      </c>
      <c r="CG102" s="99">
        <v>2879.4166049673108</v>
      </c>
      <c r="CH102" s="99">
        <v>4.7040145174271126</v>
      </c>
      <c r="CI102" s="99">
        <v>2500.654117464253</v>
      </c>
      <c r="CJ102" s="99">
        <v>5.6945467563754475</v>
      </c>
      <c r="CK102" s="99">
        <v>3027.2210556891882</v>
      </c>
      <c r="CL102" s="99">
        <v>7.0355176240333677</v>
      </c>
      <c r="CM102" s="99">
        <v>3740.0811689361385</v>
      </c>
      <c r="CN102" s="99">
        <v>8.0741313522783891</v>
      </c>
      <c r="CO102" s="99">
        <v>4292.208226871192</v>
      </c>
      <c r="CP102" s="99">
        <v>7.4043845201134193</v>
      </c>
      <c r="CQ102" s="99">
        <v>3936.170810892294</v>
      </c>
      <c r="CR102" s="99">
        <v>4.3523476567472326</v>
      </c>
      <c r="CS102" s="99">
        <v>2313.708014326829</v>
      </c>
      <c r="CT102" s="99">
        <v>11.309966714300346</v>
      </c>
      <c r="CU102" s="99">
        <v>6012.3783053220641</v>
      </c>
    </row>
    <row r="103" spans="2:99">
      <c r="C103" s="98" t="s">
        <v>269</v>
      </c>
      <c r="D103" s="99">
        <v>0.90732416844918429</v>
      </c>
      <c r="E103" s="99">
        <v>534.59540005025929</v>
      </c>
      <c r="F103" s="99">
        <v>6.3589821261540314</v>
      </c>
      <c r="G103" s="99">
        <v>3746.7122687299548</v>
      </c>
      <c r="H103" s="99">
        <v>5.2197431536754388</v>
      </c>
      <c r="I103" s="99">
        <v>3075.4726661455684</v>
      </c>
      <c r="J103" s="99">
        <v>11.183937249460794</v>
      </c>
      <c r="K103" s="99">
        <v>6589.5758273822985</v>
      </c>
      <c r="L103" s="99">
        <v>8.9414324165107626</v>
      </c>
      <c r="M103" s="99">
        <v>5268.2919798081411</v>
      </c>
      <c r="N103" s="99">
        <v>6.3824378052073429</v>
      </c>
      <c r="O103" s="99">
        <v>3760.5323548281658</v>
      </c>
      <c r="P103" s="99">
        <v>4.5878518965449455</v>
      </c>
      <c r="Q103" s="99">
        <v>2703.1623374442815</v>
      </c>
      <c r="R103" s="99">
        <v>8.6339938285271653</v>
      </c>
      <c r="S103" s="99">
        <v>5087.1491637682057</v>
      </c>
      <c r="T103" s="99">
        <v>5.7428638423518912</v>
      </c>
      <c r="U103" s="99">
        <v>3383.6953759137341</v>
      </c>
      <c r="V103" s="99">
        <v>6.7244484174355375</v>
      </c>
      <c r="W103" s="99">
        <v>3962.0450075530184</v>
      </c>
      <c r="X103" s="99">
        <v>10.762833885878658</v>
      </c>
      <c r="Y103" s="99">
        <v>6341.461725559705</v>
      </c>
      <c r="Z103" s="99">
        <v>9.4541978785717919</v>
      </c>
      <c r="AA103" s="99">
        <v>5570.4133900544994</v>
      </c>
      <c r="AB103" s="99">
        <v>5.1580767951514481</v>
      </c>
      <c r="AC103" s="99">
        <v>3039.1388477032328</v>
      </c>
      <c r="AD103" s="99">
        <v>9.5529718503163803</v>
      </c>
      <c r="AE103" s="99">
        <v>5628.6110142064108</v>
      </c>
      <c r="AF103" s="99">
        <v>7.374972102274322</v>
      </c>
      <c r="AG103" s="99">
        <v>4345.3335626600301</v>
      </c>
      <c r="AH103" s="99">
        <v>8.0766462731728836</v>
      </c>
      <c r="AI103" s="99">
        <v>4758.7599841534629</v>
      </c>
      <c r="AJ103" s="99">
        <v>6</v>
      </c>
      <c r="AK103" s="99">
        <v>3535.2</v>
      </c>
      <c r="AL103" s="99">
        <v>8.3765757378560064</v>
      </c>
      <c r="AM103" s="99">
        <v>4935.4784247447587</v>
      </c>
      <c r="AN103" s="99">
        <v>9.2102478557252851</v>
      </c>
      <c r="AO103" s="99">
        <v>5426.6780365933373</v>
      </c>
      <c r="AP103" s="99">
        <v>7.2379033968311752</v>
      </c>
      <c r="AQ103" s="99">
        <v>4264.5726814129275</v>
      </c>
      <c r="AR103" s="99">
        <v>5.7012713499443146</v>
      </c>
      <c r="AS103" s="99">
        <v>3359.1890793871898</v>
      </c>
      <c r="AT103" s="99">
        <v>9.6617271030819794</v>
      </c>
      <c r="AU103" s="99">
        <v>5692.6896091359013</v>
      </c>
      <c r="AV103" s="99">
        <v>8.233245839824896</v>
      </c>
      <c r="AW103" s="99">
        <v>4851.028448824828</v>
      </c>
      <c r="AX103" s="99">
        <v>7.2834854793152228</v>
      </c>
      <c r="AY103" s="99">
        <v>4291.4296444125284</v>
      </c>
      <c r="AZ103" s="99">
        <v>8.5045397267345688</v>
      </c>
      <c r="BA103" s="99">
        <v>5010.8748069920075</v>
      </c>
      <c r="BB103" s="99">
        <v>4.6530409370950014</v>
      </c>
      <c r="BC103" s="99">
        <v>2741.5717201363746</v>
      </c>
      <c r="BD103" s="99">
        <v>9.2825030367594739</v>
      </c>
      <c r="BE103" s="99">
        <v>5469.2507892586809</v>
      </c>
      <c r="BF103" s="99">
        <v>5.3056521123013107</v>
      </c>
      <c r="BG103" s="99">
        <v>3126.0902245679317</v>
      </c>
      <c r="BH103" s="99">
        <v>8.6100086310376831</v>
      </c>
      <c r="BI103" s="99">
        <v>5073.0170854074022</v>
      </c>
      <c r="BJ103" s="99">
        <v>7.9426557256133083</v>
      </c>
      <c r="BK103" s="99">
        <v>4679.8127535313606</v>
      </c>
      <c r="BL103" s="99">
        <v>5.0115124692897606</v>
      </c>
      <c r="BM103" s="99">
        <v>2952.7831469055268</v>
      </c>
      <c r="BN103" s="99">
        <v>6.6618649910941139</v>
      </c>
      <c r="BO103" s="99">
        <v>3925.1708527526516</v>
      </c>
      <c r="BP103" s="99">
        <v>3.0347466088621546</v>
      </c>
      <c r="BQ103" s="99">
        <v>1788.0727019415813</v>
      </c>
      <c r="BR103" s="99">
        <v>7.4682047525588873</v>
      </c>
      <c r="BS103" s="99">
        <v>4400.2662402076958</v>
      </c>
      <c r="BT103" s="99">
        <v>8.1844352596216101</v>
      </c>
      <c r="BU103" s="99">
        <v>4822.2692549690519</v>
      </c>
      <c r="BV103" s="99">
        <v>4.6781100274499696</v>
      </c>
      <c r="BW103" s="99">
        <v>2756.342428173522</v>
      </c>
      <c r="BX103" s="99">
        <v>2.8957397083707561</v>
      </c>
      <c r="BY103" s="99">
        <v>1706.1698361720494</v>
      </c>
      <c r="BZ103" s="99">
        <v>8.2938494901712136</v>
      </c>
      <c r="CA103" s="99">
        <v>4886.7361196088787</v>
      </c>
      <c r="CB103" s="99">
        <v>6.5717207272546032</v>
      </c>
      <c r="CC103" s="99">
        <v>3872.0578524984116</v>
      </c>
      <c r="CD103" s="99">
        <v>9.3973620155434379</v>
      </c>
      <c r="CE103" s="99">
        <v>5536.9256995581927</v>
      </c>
      <c r="CF103" s="99">
        <v>6.7706372389186207</v>
      </c>
      <c r="CG103" s="99">
        <v>3989.259461170851</v>
      </c>
      <c r="CH103" s="99">
        <v>4.7040145174271126</v>
      </c>
      <c r="CI103" s="99">
        <v>2771.6053536680542</v>
      </c>
      <c r="CJ103" s="99">
        <v>6.391018721052796</v>
      </c>
      <c r="CK103" s="99">
        <v>3765.5882304443071</v>
      </c>
      <c r="CL103" s="99">
        <v>6.9590816626697283</v>
      </c>
      <c r="CM103" s="99">
        <v>4100.2909156450032</v>
      </c>
      <c r="CN103" s="99">
        <v>7.8030222319806697</v>
      </c>
      <c r="CO103" s="99">
        <v>4597.5406990830097</v>
      </c>
      <c r="CP103" s="99">
        <v>7.3462702618167199</v>
      </c>
      <c r="CQ103" s="99">
        <v>4328.4224382624107</v>
      </c>
      <c r="CR103" s="99">
        <v>4.3349975716459594</v>
      </c>
      <c r="CS103" s="99">
        <v>2554.1805692137991</v>
      </c>
      <c r="CT103" s="99">
        <v>11.441790229693138</v>
      </c>
      <c r="CU103" s="99">
        <v>6741.5028033351964</v>
      </c>
    </row>
    <row r="104" spans="2:99">
      <c r="C104" s="98" t="s">
        <v>270</v>
      </c>
      <c r="D104" s="99">
        <v>0.99863918877804436</v>
      </c>
      <c r="E104" s="99">
        <v>631.53942298323523</v>
      </c>
      <c r="F104" s="99">
        <v>5.8991256456909955</v>
      </c>
      <c r="G104" s="99">
        <v>3730.6070583349856</v>
      </c>
      <c r="H104" s="99">
        <v>5.8045240830428249</v>
      </c>
      <c r="I104" s="99">
        <v>3670.7810301162822</v>
      </c>
      <c r="J104" s="99">
        <v>11.183937249460794</v>
      </c>
      <c r="K104" s="99">
        <v>7072.7219165590059</v>
      </c>
      <c r="L104" s="99">
        <v>8.1285749241006933</v>
      </c>
      <c r="M104" s="99">
        <v>5140.5107820012781</v>
      </c>
      <c r="N104" s="99">
        <v>7.0206815857280782</v>
      </c>
      <c r="O104" s="99">
        <v>4439.8790348144366</v>
      </c>
      <c r="P104" s="99">
        <v>5.0896892848944475</v>
      </c>
      <c r="Q104" s="99">
        <v>3218.7195037672486</v>
      </c>
      <c r="R104" s="99">
        <v>8.4854489350246958</v>
      </c>
      <c r="S104" s="99">
        <v>5366.1979065096175</v>
      </c>
      <c r="T104" s="99">
        <v>6.3809598248354344</v>
      </c>
      <c r="U104" s="99">
        <v>4035.3189932259288</v>
      </c>
      <c r="V104" s="99">
        <v>7.3541089024402275</v>
      </c>
      <c r="W104" s="99">
        <v>4650.7384699032</v>
      </c>
      <c r="X104" s="99">
        <v>7.8850139899642508</v>
      </c>
      <c r="Y104" s="99">
        <v>4986.4828472533918</v>
      </c>
      <c r="Z104" s="99">
        <v>8.6663480553574761</v>
      </c>
      <c r="AA104" s="99">
        <v>5480.5985102080676</v>
      </c>
      <c r="AB104" s="99">
        <v>5.7351554148972781</v>
      </c>
      <c r="AC104" s="99">
        <v>3626.9122843810387</v>
      </c>
      <c r="AD104" s="99">
        <v>9.5529718503163803</v>
      </c>
      <c r="AE104" s="99">
        <v>6041.2993981400787</v>
      </c>
      <c r="AF104" s="99">
        <v>7.374972102274322</v>
      </c>
      <c r="AG104" s="99">
        <v>4663.9323574782811</v>
      </c>
      <c r="AH104" s="99">
        <v>7.7824857364481081</v>
      </c>
      <c r="AI104" s="99">
        <v>4921.6439797297835</v>
      </c>
      <c r="AJ104" s="99">
        <v>6</v>
      </c>
      <c r="AK104" s="99">
        <v>3794.3999999999996</v>
      </c>
      <c r="AL104" s="99">
        <v>6.8535619673367325</v>
      </c>
      <c r="AM104" s="99">
        <v>4334.1925881437492</v>
      </c>
      <c r="AN104" s="99">
        <v>8.4960696506392832</v>
      </c>
      <c r="AO104" s="99">
        <v>5372.9144470642823</v>
      </c>
      <c r="AP104" s="99">
        <v>7.1426379313627022</v>
      </c>
      <c r="AQ104" s="99">
        <v>4517.0042277937728</v>
      </c>
      <c r="AR104" s="99">
        <v>5.2677743402108765</v>
      </c>
      <c r="AS104" s="99">
        <v>3331.3404927493584</v>
      </c>
      <c r="AT104" s="99">
        <v>9.6617271030819794</v>
      </c>
      <c r="AU104" s="99">
        <v>6110.0762199890432</v>
      </c>
      <c r="AV104" s="99">
        <v>8.233245839824896</v>
      </c>
      <c r="AW104" s="99">
        <v>5206.7046691052637</v>
      </c>
      <c r="AX104" s="99">
        <v>7.2834854793152228</v>
      </c>
      <c r="AY104" s="99">
        <v>4606.0762171189472</v>
      </c>
      <c r="AZ104" s="99">
        <v>7.803303726230026</v>
      </c>
      <c r="BA104" s="99">
        <v>4934.8092764678686</v>
      </c>
      <c r="BB104" s="99">
        <v>5.4512159022253197</v>
      </c>
      <c r="BC104" s="99">
        <v>3447.3489365672922</v>
      </c>
      <c r="BD104" s="99">
        <v>8.5089611170295179</v>
      </c>
      <c r="BE104" s="99">
        <v>5381.067010409467</v>
      </c>
      <c r="BF104" s="99">
        <v>5.8362173235314421</v>
      </c>
      <c r="BG104" s="99">
        <v>3690.8238354012838</v>
      </c>
      <c r="BH104" s="99">
        <v>8.4691807029172157</v>
      </c>
      <c r="BI104" s="99">
        <v>5355.9098765248473</v>
      </c>
      <c r="BJ104" s="99">
        <v>7.0601384227673858</v>
      </c>
      <c r="BK104" s="99">
        <v>4464.8315385580945</v>
      </c>
      <c r="BL104" s="99">
        <v>4.2955821165340806</v>
      </c>
      <c r="BM104" s="99">
        <v>2716.5261304961523</v>
      </c>
      <c r="BN104" s="99">
        <v>5.9887740079147873</v>
      </c>
      <c r="BO104" s="99">
        <v>3787.3006826053115</v>
      </c>
      <c r="BP104" s="99">
        <v>3.3549541617317482</v>
      </c>
      <c r="BQ104" s="99">
        <v>2121.6730118791575</v>
      </c>
      <c r="BR104" s="99">
        <v>8.1749982206713199</v>
      </c>
      <c r="BS104" s="99">
        <v>5169.8688747525421</v>
      </c>
      <c r="BT104" s="99">
        <v>8.1390215101502417</v>
      </c>
      <c r="BU104" s="99">
        <v>5147.1172030190128</v>
      </c>
      <c r="BV104" s="99">
        <v>7.2248111424529169</v>
      </c>
      <c r="BW104" s="99">
        <v>4568.9705664872245</v>
      </c>
      <c r="BX104" s="99">
        <v>3.2647967502623279</v>
      </c>
      <c r="BY104" s="99">
        <v>2064.6574648658961</v>
      </c>
      <c r="BZ104" s="99">
        <v>7.7064902588519288</v>
      </c>
      <c r="CA104" s="99">
        <v>4873.5844396979601</v>
      </c>
      <c r="CB104" s="99">
        <v>7.4562569356539283</v>
      </c>
      <c r="CC104" s="99">
        <v>4715.3368861075442</v>
      </c>
      <c r="CD104" s="99">
        <v>9.3973620155434379</v>
      </c>
      <c r="CE104" s="99">
        <v>5942.8917386296698</v>
      </c>
      <c r="CF104" s="99">
        <v>6.0935735150267583</v>
      </c>
      <c r="CG104" s="99">
        <v>3853.5758909029219</v>
      </c>
      <c r="CH104" s="99">
        <v>4.7040145174271126</v>
      </c>
      <c r="CI104" s="99">
        <v>2974.8187808209059</v>
      </c>
      <c r="CJ104" s="99">
        <v>6.391018721052796</v>
      </c>
      <c r="CK104" s="99">
        <v>4041.6802391937881</v>
      </c>
      <c r="CL104" s="99">
        <v>7.630398343370401</v>
      </c>
      <c r="CM104" s="99">
        <v>4825.4639123474417</v>
      </c>
      <c r="CN104" s="99">
        <v>8.7628201963792112</v>
      </c>
      <c r="CO104" s="99">
        <v>5541.6074921902127</v>
      </c>
      <c r="CP104" s="99">
        <v>7.3462702618167199</v>
      </c>
      <c r="CQ104" s="99">
        <v>4645.7813135728939</v>
      </c>
      <c r="CR104" s="99">
        <v>4.3349975716459594</v>
      </c>
      <c r="CS104" s="99">
        <v>2741.4524643089048</v>
      </c>
      <c r="CT104" s="99">
        <v>9.7545310503989313</v>
      </c>
      <c r="CU104" s="99">
        <v>6168.7654362722842</v>
      </c>
    </row>
    <row r="105" spans="2:99">
      <c r="C105" s="98" t="s">
        <v>271</v>
      </c>
      <c r="D105" s="99">
        <v>0.99863918877804436</v>
      </c>
      <c r="E105" s="99">
        <v>556.04230031161501</v>
      </c>
      <c r="F105" s="99">
        <v>5.8625732821867516</v>
      </c>
      <c r="G105" s="99">
        <v>3264.280803521583</v>
      </c>
      <c r="H105" s="99">
        <v>5.7828814777273037</v>
      </c>
      <c r="I105" s="99">
        <v>3219.9084067985623</v>
      </c>
      <c r="J105" s="99">
        <v>10.065543524514714</v>
      </c>
      <c r="K105" s="99">
        <v>5604.4946344497921</v>
      </c>
      <c r="L105" s="99">
        <v>9.7542899089208301</v>
      </c>
      <c r="M105" s="99">
        <v>5431.1886212871177</v>
      </c>
      <c r="N105" s="99">
        <v>6.3824378052073429</v>
      </c>
      <c r="O105" s="99">
        <v>3553.7413699394483</v>
      </c>
      <c r="P105" s="99">
        <v>4.6116236970114155</v>
      </c>
      <c r="Q105" s="99">
        <v>2567.7520744959561</v>
      </c>
      <c r="R105" s="99">
        <v>7.3369040415222262</v>
      </c>
      <c r="S105" s="99">
        <v>4085.1881703195754</v>
      </c>
      <c r="T105" s="99">
        <v>6.3809598248354344</v>
      </c>
      <c r="U105" s="99">
        <v>3552.9184304683695</v>
      </c>
      <c r="V105" s="99">
        <v>6.7388639115509683</v>
      </c>
      <c r="W105" s="99">
        <v>3752.1994259515786</v>
      </c>
      <c r="X105" s="99">
        <v>10.104914892939608</v>
      </c>
      <c r="Y105" s="99">
        <v>5626.4166123887726</v>
      </c>
      <c r="Z105" s="99">
        <v>10.242047701786108</v>
      </c>
      <c r="AA105" s="99">
        <v>5702.7721603545042</v>
      </c>
      <c r="AB105" s="99">
        <v>5.7351554148972781</v>
      </c>
      <c r="AC105" s="99">
        <v>3193.3345350148043</v>
      </c>
      <c r="AD105" s="99">
        <v>10.014654723651519</v>
      </c>
      <c r="AE105" s="99">
        <v>5576.1597501291653</v>
      </c>
      <c r="AF105" s="99">
        <v>6.7045200929766562</v>
      </c>
      <c r="AG105" s="99">
        <v>3733.076787769402</v>
      </c>
      <c r="AH105" s="99">
        <v>8.0766462731728836</v>
      </c>
      <c r="AI105" s="99">
        <v>4497.0766449026614</v>
      </c>
      <c r="AJ105" s="99">
        <v>7</v>
      </c>
      <c r="AK105" s="99">
        <v>3897.5999999999995</v>
      </c>
      <c r="AL105" s="99">
        <v>8.3765757378560064</v>
      </c>
      <c r="AM105" s="99">
        <v>4664.0773708382239</v>
      </c>
      <c r="AN105" s="99">
        <v>7.8929946611424171</v>
      </c>
      <c r="AO105" s="99">
        <v>4394.8194273240979</v>
      </c>
      <c r="AP105" s="99">
        <v>7.2379033968311752</v>
      </c>
      <c r="AQ105" s="99">
        <v>4030.0646113555981</v>
      </c>
      <c r="AR105" s="99">
        <v>6.0963601109744419</v>
      </c>
      <c r="AS105" s="99">
        <v>3394.4533097905692</v>
      </c>
      <c r="AT105" s="99">
        <v>9.8290528028923418</v>
      </c>
      <c r="AU105" s="99">
        <v>5472.8166006504553</v>
      </c>
      <c r="AV105" s="99">
        <v>8.233245839824896</v>
      </c>
      <c r="AW105" s="99">
        <v>4584.271283614502</v>
      </c>
      <c r="AX105" s="99">
        <v>7.7827085239678304</v>
      </c>
      <c r="AY105" s="99">
        <v>4333.4121061452879</v>
      </c>
      <c r="AZ105" s="99">
        <v>7.803303726230026</v>
      </c>
      <c r="BA105" s="99">
        <v>4344.879514764878</v>
      </c>
      <c r="BB105" s="99">
        <v>5.3832114753818674</v>
      </c>
      <c r="BC105" s="99">
        <v>2997.3721494926235</v>
      </c>
      <c r="BD105" s="99">
        <v>9.2825030367594739</v>
      </c>
      <c r="BE105" s="99">
        <v>5168.4976908676745</v>
      </c>
      <c r="BF105" s="99">
        <v>5.8362173235314421</v>
      </c>
      <c r="BG105" s="99">
        <v>3249.6058057423065</v>
      </c>
      <c r="BH105" s="99">
        <v>8.7508365591581505</v>
      </c>
      <c r="BI105" s="99">
        <v>4872.4657961392577</v>
      </c>
      <c r="BJ105" s="99">
        <v>7.9426557256133083</v>
      </c>
      <c r="BK105" s="99">
        <v>4422.4707080214894</v>
      </c>
      <c r="BL105" s="99">
        <v>4.2955821165340806</v>
      </c>
      <c r="BM105" s="99">
        <v>2391.780122486176</v>
      </c>
      <c r="BN105" s="99">
        <v>6.7918801983500359</v>
      </c>
      <c r="BO105" s="99">
        <v>3781.7188944412997</v>
      </c>
      <c r="BP105" s="99">
        <v>3.3410100850789339</v>
      </c>
      <c r="BQ105" s="99">
        <v>1860.2744153719502</v>
      </c>
      <c r="BR105" s="99">
        <v>6.6384042244967878</v>
      </c>
      <c r="BS105" s="99">
        <v>3696.2634721998111</v>
      </c>
      <c r="BT105" s="99">
        <v>7.4362671678858847</v>
      </c>
      <c r="BU105" s="99">
        <v>4140.5135590788605</v>
      </c>
      <c r="BV105" s="99">
        <v>4.8041092152599765</v>
      </c>
      <c r="BW105" s="99">
        <v>2674.9280110567547</v>
      </c>
      <c r="BX105" s="99">
        <v>3.2364384368814205</v>
      </c>
      <c r="BY105" s="99">
        <v>1802.0489216555748</v>
      </c>
      <c r="BZ105" s="99">
        <v>7.7064902588519288</v>
      </c>
      <c r="CA105" s="99">
        <v>4290.9737761287533</v>
      </c>
      <c r="CB105" s="99">
        <v>6.6558155505779366</v>
      </c>
      <c r="CC105" s="99">
        <v>3705.9580985617949</v>
      </c>
      <c r="CD105" s="99">
        <v>9.4698939783869882</v>
      </c>
      <c r="CE105" s="99">
        <v>5272.8369671658747</v>
      </c>
      <c r="CF105" s="99">
        <v>6.7706372389186207</v>
      </c>
      <c r="CG105" s="99">
        <v>3769.8908146298877</v>
      </c>
      <c r="CH105" s="99">
        <v>4.7040145174271126</v>
      </c>
      <c r="CI105" s="99">
        <v>2619.1952833034161</v>
      </c>
      <c r="CJ105" s="99">
        <v>6.391018721052796</v>
      </c>
      <c r="CK105" s="99">
        <v>3558.5192238821965</v>
      </c>
      <c r="CL105" s="99">
        <v>6.9590816626697283</v>
      </c>
      <c r="CM105" s="99">
        <v>3874.8166697745046</v>
      </c>
      <c r="CN105" s="99">
        <v>8.7628201963792112</v>
      </c>
      <c r="CO105" s="99">
        <v>4879.1382853439445</v>
      </c>
      <c r="CP105" s="99">
        <v>7.3462702618167199</v>
      </c>
      <c r="CQ105" s="99">
        <v>4090.4032817795492</v>
      </c>
      <c r="CR105" s="99">
        <v>4.6832348054571682</v>
      </c>
      <c r="CS105" s="99">
        <v>2607.625139678551</v>
      </c>
      <c r="CT105" s="99">
        <v>10.795895913135221</v>
      </c>
      <c r="CU105" s="99">
        <v>6011.1548444336904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208.88786726195536</v>
      </c>
      <c r="E109" s="99">
        <f>SUM(L$6:L$19)+SUM(N$6:N$19)+SUM(P$6:P$19)+SUM(R$6:R$19)</f>
        <v>389.12385948504863</v>
      </c>
      <c r="F109" s="99">
        <f>SUM(T$6:T$19)+SUM(V$6:V$19)+SUM(X$6:X$19)+SUM(Z$6:Z$19)</f>
        <v>384.56115261521938</v>
      </c>
      <c r="G109" s="99">
        <f>SUM(AB$6:AB$19)+SUM(AD$6:AD$19)+SUM(AF$6:AF$19)+SUM(AH$6:AH$19)</f>
        <v>419.04111914588981</v>
      </c>
      <c r="H109" s="99">
        <f>SUM(AJ$6:AJ$19)+SUM(AL$6:AL$19)+SUM(AN$6:AN$19)+SUM(AP$6:AP$19)</f>
        <v>310.72987434370998</v>
      </c>
      <c r="I109" s="99">
        <f>SUM(AR$6:AR$19)+SUM(AT$6:AT$19)+SUM(AV$6:AV$19)+SUM(AX$6:AX$19)</f>
        <v>405.72160029093192</v>
      </c>
      <c r="J109" s="99">
        <f>SUM(AZ$6:AZ$19)+SUM(BB$6:BB$19)+SUM(BD$6:BD$19)+SUM(BF$6:BF$19)</f>
        <v>394.0870528696787</v>
      </c>
      <c r="K109" s="99">
        <f>SUM(BH$6:BH$19)+SUM(BJ$6:BJ$19)+SUM(BL$6:BL$19)+SUM(BN$6:BN$19)</f>
        <v>414.87932977424026</v>
      </c>
      <c r="L109" s="99">
        <f>SUM(BP$6:BP$19)+SUM(BR$6:BR$19)+SUM(BT$6:BT$19)+SUM(BV$6:BV$19)</f>
        <v>338.43744046084089</v>
      </c>
      <c r="M109" s="99">
        <f>SUM(BX$6:BX$19)+SUM(BZ$6:BZ$19)+SUM(CB$6:CB$19)+SUM(CD$6:CD$19)</f>
        <v>351.92473736158939</v>
      </c>
      <c r="N109" s="99">
        <f>SUM(CF$6:CF$19)+SUM(CH$6:CH$19)+SUM(CJ$6:CJ$19)+SUM(CL$6:CL$19)</f>
        <v>419.58446367860222</v>
      </c>
      <c r="O109" s="99">
        <f>SUM(CN$6:CN$19)+SUM(CP$6:CP$19)+SUM(CR$6:CR$19)+SUM(CT$6:CT$19)</f>
        <v>418.51573758562688</v>
      </c>
    </row>
    <row r="110" spans="2:99">
      <c r="C110" s="98" t="s">
        <v>127</v>
      </c>
      <c r="D110" s="99">
        <f>SUM(D$20:D$36)+SUM(F$20:F$36)+SUM(H$20:H$36)+SUM(J$20:J$36)</f>
        <v>321.72298406185081</v>
      </c>
      <c r="E110" s="99">
        <f>SUM(L$20:L$36)+SUM(N$20:N$36)+SUM(P$20:P$36)+SUM(R$20:R$36)</f>
        <v>564.97340327906807</v>
      </c>
      <c r="F110" s="99">
        <f>SUM(T$20:T$36)+SUM(V$20:V$36)+SUM(X$20:X$36)+SUM(Z$20:Z$36)</f>
        <v>428.26014035381343</v>
      </c>
      <c r="G110" s="99">
        <f>SUM(AB$20:AB$36)+SUM(AD$20:AD$36)+SUM(AF$20:AF$36)+SUM(AH$20:AH$36)</f>
        <v>522.77793269699328</v>
      </c>
      <c r="H110" s="99">
        <f>SUM(AJ$20:AJ$36)+SUM(AL$20:AL$36)+SUM(AN$20:AN$36)+SUM(AP$20:AP$36)</f>
        <v>465.15962586438479</v>
      </c>
      <c r="I110" s="99">
        <f>SUM(AR$20:AR$36)+SUM(AT$20:AT$36)+SUM(AV$20:AV$36)+SUM(AX$20:AX$36)</f>
        <v>574.22106238748574</v>
      </c>
      <c r="J110" s="99">
        <f>SUM(AZ$20:AZ$36)+SUM(BB$20:BB$36)+SUM(BD$20:BD$36)+SUM(BF$20:BF$36)</f>
        <v>597.124095140647</v>
      </c>
      <c r="K110" s="99">
        <f>SUM(BH$20:BH$36)+SUM(BJ$20:BJ$36)+SUM(BL$20:BL$36)+SUM(BN$20:BN$36)</f>
        <v>665.24870793289347</v>
      </c>
      <c r="L110" s="99">
        <f>SUM(BP$20:BP$36)+SUM(BR$20:BR$36)+SUM(BT$20:BT$36)+SUM(BV$20:BV$36)</f>
        <v>466.74714533107101</v>
      </c>
      <c r="M110" s="99">
        <f>SUM(BX$20:BX$36)+SUM(BZ$20:BZ$36)+SUM(CB$20:CB$36)+SUM(CD$20:CD$36)</f>
        <v>538.0632620919589</v>
      </c>
      <c r="N110" s="99">
        <f>SUM(CF$20:CF$36)+SUM(CH$20:CH$36)+SUM(CJ$20:CJ$36)+SUM(CL$20:CL$36)</f>
        <v>456.90572504910966</v>
      </c>
      <c r="O110" s="99">
        <f>SUM(CN$20:CN$36)+SUM(CP$20:CP$36)+SUM(CR$20:CR$36)+SUM(CT$20:CT$36)</f>
        <v>633.79229883655398</v>
      </c>
    </row>
    <row r="111" spans="2:99">
      <c r="C111" s="98" t="s">
        <v>128</v>
      </c>
      <c r="D111" s="99">
        <f>SUM(D$37:D$48)+SUM(F$37:F$48)+SUM(H$37:H$48)+SUM(J$37:J$48)</f>
        <v>322.01512196104937</v>
      </c>
      <c r="E111" s="99">
        <f>SUM(L$37:L$48)+SUM(N$37:N$48)+SUM(P$37:P$48)+SUM(R$37:R$48)</f>
        <v>644.07592380979941</v>
      </c>
      <c r="F111" s="99">
        <f>SUM(T$37:T$48)+SUM(V$37:V$48)+SUM(X$37:X$48)+SUM(Z$37:Z$48)</f>
        <v>723.66923834403383</v>
      </c>
      <c r="G111" s="99">
        <f>SUM(AB$37:AB$48)+SUM(AD$37:AD$48)+SUM(AF$37:AF$48)+SUM(AH$37:AH$48)</f>
        <v>718.1619101750905</v>
      </c>
      <c r="H111" s="99">
        <f>SUM(AJ$37:AJ$48)+SUM(AL$37:AL$48)+SUM(AN$37:AN$48)+SUM(AP$37:AP$48)</f>
        <v>578.31563138416266</v>
      </c>
      <c r="I111" s="99">
        <f>SUM(AR$37:AR$48)+SUM(AT$37:AT$48)+SUM(AV$37:AV$48)+SUM(AX$37:AX$48)</f>
        <v>708.1279038821657</v>
      </c>
      <c r="J111" s="99">
        <f>SUM(AZ$37:AZ$48)+SUM(BB$37:BB$48)+SUM(BD$37:BD$48)+SUM(BF$37:BF$48)</f>
        <v>602.0759472541954</v>
      </c>
      <c r="K111" s="99">
        <f>SUM(BH$37:BH$48)+SUM(BJ$37:BJ$48)+SUM(BL$37:BL$48)+SUM(BN$37:BN$48)</f>
        <v>530.13819815593058</v>
      </c>
      <c r="L111" s="99">
        <f>SUM(BP$37:BP$48)+SUM(BR$37:BR$48)+SUM(BT$37:BT$48)+SUM(BV$37:BV$48)</f>
        <v>456.64606279938522</v>
      </c>
      <c r="M111" s="99">
        <f>SUM(BX$37:BX$48)+SUM(BZ$37:BZ$48)+SUM(CB$37:CB$48)+SUM(CD$37:CD$48)</f>
        <v>614.71157554290767</v>
      </c>
      <c r="N111" s="99">
        <f>SUM(CF$37:CF$48)+SUM(CH$37:CH$48)+SUM(CJ$37:CJ$48)+SUM(CL$37:CL$48)</f>
        <v>530.67612275552244</v>
      </c>
      <c r="O111" s="99">
        <f>SUM(CN$37:CN$48)+SUM(CP$37:CP$48)+SUM(CR$37:CR$48)+SUM(CT$37:CT$48)</f>
        <v>682.10962017229872</v>
      </c>
    </row>
    <row r="112" spans="2:99">
      <c r="C112" s="98" t="s">
        <v>129</v>
      </c>
      <c r="D112" s="99">
        <f>SUM(D$49:D$70)+SUM(F$49:F$70)+SUM(H$49:H$70)+SUM(J$49:J$70)</f>
        <v>390.25263908511073</v>
      </c>
      <c r="E112" s="99">
        <f>SUM(L$49:L$70)+SUM(N$49:N$70)+SUM(P$49:P$70)+SUM(R$49:R$70)</f>
        <v>700.12885558300638</v>
      </c>
      <c r="F112" s="99">
        <f>SUM(T$49:T$70)+SUM(V$49:V$70)+SUM(X$49:X$70)+SUM(Z$49:Z$70)</f>
        <v>808.40888523413992</v>
      </c>
      <c r="G112" s="99">
        <f>SUM(AB$49:AB$70)+SUM(AD$49:AD$70)+SUM(AF$49:AF$70)+SUM(AH$49:AH$70)</f>
        <v>633.29337569326549</v>
      </c>
      <c r="H112" s="99">
        <f>SUM(AJ$49:AJ$70)+SUM(AL$49:AL$70)+SUM(AN$49:AN$70)+SUM(AP$49:AP$70)</f>
        <v>487.57384099370699</v>
      </c>
      <c r="I112" s="99">
        <f>SUM(AR$49:AR$70)+SUM(AT$49:AT$70)+SUM(AV$49:AV$70)+SUM(AX$49:AX$70)</f>
        <v>719.82322187816294</v>
      </c>
      <c r="J112" s="99">
        <f>SUM(AZ$49:AZ$70)+SUM(BB$49:BB$70)+SUM(BD$49:BD$70)+SUM(BF$49:BF$70)</f>
        <v>665.15131415361861</v>
      </c>
      <c r="K112" s="99">
        <f>SUM(BH$49:BH$70)+SUM(BJ$49:BJ$70)+SUM(BL$49:BL$70)+SUM(BN$49:BN$70)</f>
        <v>724.16574867529062</v>
      </c>
      <c r="L112" s="99">
        <f>SUM(BP$49:BP$70)+SUM(BR$49:BR$70)+SUM(BT$49:BT$70)+SUM(BV$49:BV$70)</f>
        <v>573.77087166900503</v>
      </c>
      <c r="M112" s="99">
        <f>SUM(BX$49:BX$70)+SUM(BZ$49:BZ$70)+SUM(CB$49:CB$70)+SUM(CD$49:CD$70)</f>
        <v>533.06166940470666</v>
      </c>
      <c r="N112" s="99">
        <f>SUM(CF$49:CF$70)+SUM(CH$49:CH$70)+SUM(CJ$49:CJ$70)+SUM(CL$49:CL$70)</f>
        <v>548.32486199000937</v>
      </c>
      <c r="O112" s="99">
        <f>SUM(CN$49:CN$70)+SUM(CP$49:CP$70)+SUM(CR$49:CR$70)+SUM(CT$49:CT$70)</f>
        <v>559.30777858193005</v>
      </c>
    </row>
    <row r="113" spans="2:15">
      <c r="C113" s="98" t="s">
        <v>130</v>
      </c>
      <c r="D113" s="99">
        <f>SUM(D$71:D$86)+SUM(F$71:F$86)+SUM(H$71:H$86)+SUM(J$71:J$86)</f>
        <v>133.40982004386188</v>
      </c>
      <c r="E113" s="99">
        <f>SUM(L$71:L$86)+SUM(N$71:N$86)+SUM(P$71:P$86)+SUM(R$71:R$86)</f>
        <v>420.62321354448829</v>
      </c>
      <c r="F113" s="99">
        <f>SUM(T$71:T$86)+SUM(V$71:V$86)+SUM(X$71:X$86)+SUM(Z$71:Z$86)</f>
        <v>490</v>
      </c>
      <c r="G113" s="99">
        <f>SUM(AB$71:AB$86)+SUM(AD$71:AD$86)+SUM(AF$71:AF$86)+SUM(AH$71:AH$86)</f>
        <v>398.40880198330547</v>
      </c>
      <c r="H113" s="99">
        <f>SUM(AJ$71:AJ$86)+SUM(AL$71:AL$86)+SUM(AN$71:AN$86)+SUM(AP$71:AP$86)</f>
        <v>400</v>
      </c>
      <c r="I113" s="99">
        <f>SUM(AR$71:AR$86)+SUM(AT$71:AT$86)+SUM(AV$71:AV$86)+SUM(AX$71:AX$86)</f>
        <v>420.24766372298507</v>
      </c>
      <c r="J113" s="99">
        <f>SUM(AZ$71:AZ$86)+SUM(BB$71:BB$86)+SUM(BD$71:BD$86)+SUM(BF$71:BF$86)</f>
        <v>497.71645510365425</v>
      </c>
      <c r="K113" s="99">
        <f>SUM(BH$71:BH$86)+SUM(BJ$71:BJ$86)+SUM(BL$71:BL$86)+SUM(BN$71:BN$86)</f>
        <v>449</v>
      </c>
      <c r="L113" s="99">
        <f>SUM(BP$71:BP$86)+SUM(BR$71:BR$86)+SUM(BT$71:BT$86)+SUM(BV$71:BV$86)</f>
        <v>375.54115950507702</v>
      </c>
      <c r="M113" s="99">
        <f>SUM(BX$71:BX$86)+SUM(BZ$71:BZ$86)+SUM(CB$71:CB$86)+SUM(CD$71:CD$86)</f>
        <v>446.50154148046067</v>
      </c>
      <c r="N113" s="99">
        <f>SUM(CF$71:CF$86)+SUM(CH$71:CH$86)+SUM(CJ$71:CJ$86)+SUM(CL$71:CL$86)</f>
        <v>466</v>
      </c>
      <c r="O113" s="99">
        <f>SUM(CN$71:CN$86)+SUM(CP$71:CP$86)+SUM(CR$71:CR$86)+SUM(CT$71:CT$86)</f>
        <v>345.45505705892771</v>
      </c>
    </row>
    <row r="114" spans="2:15">
      <c r="C114" s="98" t="s">
        <v>131</v>
      </c>
      <c r="D114" s="99">
        <f>SUM(D$87:D$94)+SUM(F$87:F$94)+SUM(H$87:H$94)+SUM(J$87:J$94)</f>
        <v>100.36196895166276</v>
      </c>
      <c r="E114" s="99">
        <f>SUM(L$87:L$94)+SUM(N$87:N$94)+SUM(P$87:P$94)+SUM(R$87:R$94)</f>
        <v>152.20623860012898</v>
      </c>
      <c r="F114" s="99">
        <f>SUM(T$87:T$94)+SUM(V$87:V$94)+SUM(X$87:X$94)+SUM(Z$87:Z$94)</f>
        <v>149.45517252553316</v>
      </c>
      <c r="G114" s="99">
        <f>SUM(AB$87:AB$94)+SUM(AD$87:AD$94)+SUM(AF$87:AF$94)+SUM(AH$87:AH$94)</f>
        <v>144.57686975690692</v>
      </c>
      <c r="H114" s="99">
        <f>SUM(AJ$87:AJ$94)+SUM(AL$87:AL$94)+SUM(AN$87:AN$94)+SUM(AP$87:AP$94)</f>
        <v>176.65248449952642</v>
      </c>
      <c r="I114" s="99">
        <f>SUM(AR$87:AR$94)+SUM(AT$87:AT$94)+SUM(AV$87:AV$94)+SUM(AX$87:AX$94)</f>
        <v>152.21600717537484</v>
      </c>
      <c r="J114" s="99">
        <f>SUM(AZ$87:AZ$94)+SUM(BB$87:BB$94)+SUM(BD$87:BD$94)+SUM(BF$87:BF$94)</f>
        <v>161.01483002455217</v>
      </c>
      <c r="K114" s="99">
        <f>SUM(BH$87:BH$94)+SUM(BJ$87:BJ$94)+SUM(BL$87:BL$94)+SUM(BN$87:BN$94)</f>
        <v>167.6337112269095</v>
      </c>
      <c r="L114" s="99">
        <f>SUM(BP$87:BP$94)+SUM(BR$87:BR$94)+SUM(BT$87:BT$94)+SUM(BV$87:BV$94)</f>
        <v>148.35225564914714</v>
      </c>
      <c r="M114" s="99">
        <f>SUM(BX$87:BX$94)+SUM(BZ$87:BZ$94)+SUM(CB$87:CB$94)+SUM(CD$87:CD$94)</f>
        <v>147.76490043036745</v>
      </c>
      <c r="N114" s="99">
        <f>SUM(CF$87:CF$94)+SUM(CH$87:CH$94)+SUM(CJ$87:CJ$94)+SUM(CL$87:CL$94)</f>
        <v>165.05178651544773</v>
      </c>
      <c r="O114" s="99">
        <f>SUM(CN$87:CN$94)+SUM(CP$87:CP$94)+SUM(CR$87:CR$94)+SUM(CT$87:CT$94)</f>
        <v>164.62776979865384</v>
      </c>
    </row>
    <row r="115" spans="2:15">
      <c r="C115" s="98" t="s">
        <v>132</v>
      </c>
      <c r="D115" s="99">
        <f>SUM(D$95:D$105)+SUM(F$95:F$105)+SUM(H$95:H$105)+SUM(J$95:J$105)</f>
        <v>253.34189642504742</v>
      </c>
      <c r="E115" s="99">
        <f>SUM(L$95:L$105)+SUM(N$95:N$105)+SUM(P$95:P$105)+SUM(R$95:R$105)</f>
        <v>306.9635548391571</v>
      </c>
      <c r="F115" s="99">
        <f>SUM(T$95:T$105)+SUM(V$95:V$105)+SUM(X$95:X$105)+SUM(Z$95:Z$105)</f>
        <v>343.23863928116134</v>
      </c>
      <c r="G115" s="99">
        <f>SUM(AB$95:AB$105)+SUM(AD$95:AD$105)+SUM(AF$95:AF$105)+SUM(AH$95:AH$105)</f>
        <v>318.47707845783725</v>
      </c>
      <c r="H115" s="99">
        <f>SUM(AJ$95:AJ$105)+SUM(AL$95:AL$105)+SUM(AN$95:AN$105)+SUM(AP$95:AP$105)</f>
        <v>331.24733553723121</v>
      </c>
      <c r="I115" s="99">
        <f>SUM(AR$95:AR$105)+SUM(AT$95:AT$105)+SUM(AV$95:AV$105)+SUM(AX$95:AX$105)</f>
        <v>330.00956579868648</v>
      </c>
      <c r="J115" s="99">
        <f>SUM(AZ$95:AZ$105)+SUM(BB$95:BB$105)+SUM(BD$95:BD$105)+SUM(BF$95:BF$105)</f>
        <v>303.37033817519045</v>
      </c>
      <c r="K115" s="99">
        <f>SUM(BH$95:BH$105)+SUM(BJ$95:BJ$105)+SUM(BL$95:BL$105)+SUM(BN$95:BN$105)</f>
        <v>291.15935734062401</v>
      </c>
      <c r="L115" s="99">
        <f>SUM(BP$95:BP$105)+SUM(BR$95:BR$105)+SUM(BT$95:BT$105)+SUM(BV$95:BV$105)</f>
        <v>269.16423217885267</v>
      </c>
      <c r="M115" s="99">
        <f>SUM(BX$95:BX$105)+SUM(BZ$95:BZ$105)+SUM(CB$95:CB$105)+SUM(CD$95:CD$105)</f>
        <v>300.46167822468965</v>
      </c>
      <c r="N115" s="99">
        <f>SUM(CF$95:CF$105)+SUM(CH$95:CH$105)+SUM(CJ$95:CJ$105)+SUM(CL$95:CL$105)</f>
        <v>262.10192613640527</v>
      </c>
      <c r="O115" s="99">
        <f>SUM(CN$95:CN$105)+SUM(CP$95:CP$105)+SUM(CR$95:CR$105)+SUM(CT$95:CT$105)</f>
        <v>333.26639558530456</v>
      </c>
    </row>
    <row r="116" spans="2:15">
      <c r="C116" s="98" t="s">
        <v>278</v>
      </c>
      <c r="D116" s="99">
        <f t="shared" ref="D116:O116" si="0">SUM(D$109:D$115)</f>
        <v>1729.9922977905383</v>
      </c>
      <c r="E116" s="99">
        <f t="shared" si="0"/>
        <v>3178.095049140697</v>
      </c>
      <c r="F116" s="99">
        <f t="shared" si="0"/>
        <v>3327.5932283539014</v>
      </c>
      <c r="G116" s="99">
        <f t="shared" si="0"/>
        <v>3154.7370879092887</v>
      </c>
      <c r="H116" s="99">
        <f t="shared" si="0"/>
        <v>2749.6787926227221</v>
      </c>
      <c r="I116" s="99">
        <f t="shared" si="0"/>
        <v>3310.3670251357926</v>
      </c>
      <c r="J116" s="99">
        <f t="shared" si="0"/>
        <v>3220.5400327215366</v>
      </c>
      <c r="K116" s="99">
        <f t="shared" si="0"/>
        <v>3242.225053105888</v>
      </c>
      <c r="L116" s="99">
        <f t="shared" si="0"/>
        <v>2628.6591675933787</v>
      </c>
      <c r="M116" s="99">
        <f t="shared" si="0"/>
        <v>2932.4893645366801</v>
      </c>
      <c r="N116" s="99">
        <f t="shared" si="0"/>
        <v>2848.6448861250974</v>
      </c>
      <c r="O116" s="99">
        <f t="shared" si="0"/>
        <v>3137.0746576192955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D109*pricing!D33*2000</f>
        <v>1127994.483214559</v>
      </c>
      <c r="E120" s="99">
        <f>E109*pricing!E33*2000</f>
        <v>2101268.8412192627</v>
      </c>
      <c r="F120" s="99">
        <f>F109*pricing!F33*2000</f>
        <v>2076630.2241221848</v>
      </c>
      <c r="G120" s="99">
        <f>G109*pricing!G33*2000</f>
        <v>2262822.0433878051</v>
      </c>
      <c r="H120" s="99">
        <f>H109*pricing!H33*2000</f>
        <v>1677941.321456034</v>
      </c>
      <c r="I120" s="99">
        <f>I109*pricing!I33*2000</f>
        <v>2190896.6415710323</v>
      </c>
      <c r="J120" s="99">
        <f>J109*pricing!J33*2000</f>
        <v>2128070.085496265</v>
      </c>
      <c r="K120" s="99">
        <f>K109*pricing!K33*2000</f>
        <v>2240348.3807808976</v>
      </c>
      <c r="L120" s="99">
        <f>L109*pricing!L33*2000</f>
        <v>1827562.1784885409</v>
      </c>
      <c r="M120" s="99">
        <f>M109*pricing!M33*2000</f>
        <v>1900393.5817525829</v>
      </c>
      <c r="N120" s="99">
        <f>N109*pricing!N33*2000</f>
        <v>2265756.1038644523</v>
      </c>
      <c r="O120" s="99">
        <f>O109*pricing!O33*2000</f>
        <v>2259984.9829623853</v>
      </c>
    </row>
    <row r="121" spans="2:15">
      <c r="C121" s="98" t="s">
        <v>127</v>
      </c>
      <c r="D121" s="99">
        <f>D110*pricing!D34*2000</f>
        <v>1544270.3234968837</v>
      </c>
      <c r="E121" s="99">
        <f>E110*pricing!E34*2000</f>
        <v>2711872.3357395264</v>
      </c>
      <c r="F121" s="99">
        <f>F110*pricing!F34*2000</f>
        <v>2055648.6736983042</v>
      </c>
      <c r="G121" s="99">
        <f>G110*pricing!G34*2000</f>
        <v>2509334.0769455675</v>
      </c>
      <c r="H121" s="99">
        <f>H110*pricing!H34*2000</f>
        <v>2232766.2041490469</v>
      </c>
      <c r="I121" s="99">
        <f>I110*pricing!I34*2000</f>
        <v>2756261.0994599313</v>
      </c>
      <c r="J121" s="99">
        <f>J110*pricing!J34*2000</f>
        <v>2866195.6566751054</v>
      </c>
      <c r="K121" s="99">
        <f>K110*pricing!K34*2000</f>
        <v>3193193.7980778883</v>
      </c>
      <c r="L121" s="99">
        <f>L110*pricing!L34*2000</f>
        <v>2240386.2975891405</v>
      </c>
      <c r="M121" s="99">
        <f>M110*pricing!M34*2000</f>
        <v>2582703.6580414027</v>
      </c>
      <c r="N121" s="99">
        <f>N110*pricing!N34*2000</f>
        <v>2193147.4802357261</v>
      </c>
      <c r="O121" s="99">
        <f>O110*pricing!O34*2000</f>
        <v>3042203.0344154593</v>
      </c>
    </row>
    <row r="122" spans="2:15">
      <c r="C122" s="98" t="s">
        <v>128</v>
      </c>
      <c r="D122" s="99">
        <f>D111*pricing!D35*2000</f>
        <v>1481269.5610208272</v>
      </c>
      <c r="E122" s="99">
        <f>E111*pricing!E35*2000</f>
        <v>2962749.2495250772</v>
      </c>
      <c r="F122" s="99">
        <f>F111*pricing!F35*2000</f>
        <v>3328878.4963825555</v>
      </c>
      <c r="G122" s="99">
        <f>G111*pricing!G35*2000</f>
        <v>3303544.786805416</v>
      </c>
      <c r="H122" s="99">
        <f>H111*pricing!H35*2000</f>
        <v>2660251.9043671484</v>
      </c>
      <c r="I122" s="99">
        <f>I111*pricing!I35*2000</f>
        <v>3257388.3578579621</v>
      </c>
      <c r="J122" s="99">
        <f>J111*pricing!J35*2000</f>
        <v>2769549.357369299</v>
      </c>
      <c r="K122" s="99">
        <f>K111*pricing!K35*2000</f>
        <v>2438635.7115172804</v>
      </c>
      <c r="L122" s="99">
        <f>L111*pricing!L35*2000</f>
        <v>2100571.8888771716</v>
      </c>
      <c r="M122" s="99">
        <f>M111*pricing!M35*2000</f>
        <v>2827673.2474973751</v>
      </c>
      <c r="N122" s="99">
        <f>N111*pricing!N35*2000</f>
        <v>2441110.1646754034</v>
      </c>
      <c r="O122" s="99">
        <f>O111*pricing!O35*2000</f>
        <v>3137704.2527925735</v>
      </c>
    </row>
    <row r="123" spans="2:15">
      <c r="C123" s="98" t="s">
        <v>129</v>
      </c>
      <c r="D123" s="99">
        <f>D112*pricing!D36*2000</f>
        <v>1951263.1954255537</v>
      </c>
      <c r="E123" s="99">
        <f>E112*pricing!E36*2000</f>
        <v>3500644.2779150321</v>
      </c>
      <c r="F123" s="99">
        <f>F112*pricing!F36*2000</f>
        <v>4042044.4261706998</v>
      </c>
      <c r="G123" s="99">
        <f>G112*pricing!G36*2000</f>
        <v>3166466.8784663272</v>
      </c>
      <c r="H123" s="99">
        <f>H112*pricing!H36*2000</f>
        <v>2437869.2049685349</v>
      </c>
      <c r="I123" s="99">
        <f>I112*pricing!I36*2000</f>
        <v>3599116.1093908148</v>
      </c>
      <c r="J123" s="99">
        <f>J112*pricing!J36*2000</f>
        <v>3325756.5707680932</v>
      </c>
      <c r="K123" s="99">
        <f>K112*pricing!K36*2000</f>
        <v>3620828.7433764529</v>
      </c>
      <c r="L123" s="99">
        <f>L112*pricing!L36*2000</f>
        <v>2868854.3583450252</v>
      </c>
      <c r="M123" s="99">
        <f>M112*pricing!M36*2000</f>
        <v>2665308.3470235332</v>
      </c>
      <c r="N123" s="99">
        <f>N112*pricing!N36*2000</f>
        <v>2741624.3099500472</v>
      </c>
      <c r="O123" s="99">
        <f>O112*pricing!O36*2000</f>
        <v>2796538.8929096502</v>
      </c>
    </row>
    <row r="124" spans="2:15">
      <c r="C124" s="98" t="s">
        <v>130</v>
      </c>
      <c r="D124" s="99">
        <f>D113*pricing!D37*2000</f>
        <v>693731.06422808173</v>
      </c>
      <c r="E124" s="99">
        <f>E113*pricing!E37*2000</f>
        <v>2187240.7104313392</v>
      </c>
      <c r="F124" s="99">
        <f>F113*pricing!F37*2000</f>
        <v>2548000</v>
      </c>
      <c r="G124" s="99">
        <f>G113*pricing!G37*2000</f>
        <v>2071725.7703131887</v>
      </c>
      <c r="H124" s="99">
        <f>H113*pricing!H37*2000</f>
        <v>2080000</v>
      </c>
      <c r="I124" s="99">
        <f>I113*pricing!I37*2000</f>
        <v>2185287.8513595224</v>
      </c>
      <c r="J124" s="99">
        <f>J113*pricing!J37*2000</f>
        <v>2588125.5665390021</v>
      </c>
      <c r="K124" s="99">
        <f>K113*pricing!K37*2000</f>
        <v>2334800</v>
      </c>
      <c r="L124" s="99">
        <f>L113*pricing!L37*2000</f>
        <v>1952814.0294264005</v>
      </c>
      <c r="M124" s="99">
        <f>M113*pricing!M37*2000</f>
        <v>2321808.0156983957</v>
      </c>
      <c r="N124" s="99">
        <f>N113*pricing!N37*2000</f>
        <v>2423200.0000000005</v>
      </c>
      <c r="O124" s="99">
        <f>O113*pricing!O37*2000</f>
        <v>1796366.2967064243</v>
      </c>
    </row>
    <row r="125" spans="2:15">
      <c r="C125" s="98" t="s">
        <v>131</v>
      </c>
      <c r="D125" s="99">
        <f>D114*pricing!D38*2000</f>
        <v>562027.02612931142</v>
      </c>
      <c r="E125" s="99">
        <f>E114*pricing!E38*2000</f>
        <v>852354.93616072217</v>
      </c>
      <c r="F125" s="99">
        <f>F114*pricing!F38*2000</f>
        <v>836948.96614298574</v>
      </c>
      <c r="G125" s="99">
        <f>G114*pricing!G38*2000</f>
        <v>809630.47063867876</v>
      </c>
      <c r="H125" s="99">
        <f>H114*pricing!H38*2000</f>
        <v>989253.91319734789</v>
      </c>
      <c r="I125" s="99">
        <f>I114*pricing!I38*2000</f>
        <v>852409.64018209907</v>
      </c>
      <c r="J125" s="99">
        <f>J114*pricing!J38*2000</f>
        <v>901683.04813749203</v>
      </c>
      <c r="K125" s="99">
        <f>K114*pricing!K38*2000</f>
        <v>938748.78287069313</v>
      </c>
      <c r="L125" s="99">
        <f>L114*pricing!L38*2000</f>
        <v>830772.63163522386</v>
      </c>
      <c r="M125" s="99">
        <f>M114*pricing!M38*2000</f>
        <v>827483.44241005776</v>
      </c>
      <c r="N125" s="99">
        <f>N114*pricing!N38*2000</f>
        <v>924290.00448650715</v>
      </c>
      <c r="O125" s="99">
        <f>O114*pricing!O38*2000</f>
        <v>921915.51087246148</v>
      </c>
    </row>
    <row r="126" spans="2:15">
      <c r="C126" s="98" t="s">
        <v>132</v>
      </c>
      <c r="D126" s="99">
        <f>D115*pricing!D39*2000</f>
        <v>1317377.8614102467</v>
      </c>
      <c r="E126" s="99">
        <f>E115*pricing!E39*2000</f>
        <v>1596210.4851636169</v>
      </c>
      <c r="F126" s="99">
        <f>F115*pricing!F39*2000</f>
        <v>1784840.9242620389</v>
      </c>
      <c r="G126" s="99">
        <f>G115*pricing!G39*2000</f>
        <v>1656080.8079807537</v>
      </c>
      <c r="H126" s="99">
        <f>H115*pricing!H39*2000</f>
        <v>1722486.1447936024</v>
      </c>
      <c r="I126" s="99">
        <f>I115*pricing!I39*2000</f>
        <v>1716049.7421531698</v>
      </c>
      <c r="J126" s="99">
        <f>J115*pricing!J39*2000</f>
        <v>1577525.7585109905</v>
      </c>
      <c r="K126" s="99">
        <f>K115*pricing!K39*2000</f>
        <v>1514028.6581712449</v>
      </c>
      <c r="L126" s="99">
        <f>L115*pricing!L39*2000</f>
        <v>1399654.0073300339</v>
      </c>
      <c r="M126" s="99">
        <f>M115*pricing!M39*2000</f>
        <v>1562400.7267683863</v>
      </c>
      <c r="N126" s="99">
        <f>N115*pricing!N39*2000</f>
        <v>1362930.0159093074</v>
      </c>
      <c r="O126" s="99">
        <f>O115*pricing!O39*2000</f>
        <v>1732985.2570435838</v>
      </c>
    </row>
    <row r="127" spans="2:15">
      <c r="C127" s="98" t="s">
        <v>278</v>
      </c>
      <c r="D127" s="99">
        <f>SUM(D$120:D$126)</f>
        <v>8677933.5149254631</v>
      </c>
      <c r="E127" s="99">
        <f t="shared" ref="E127:O127" si="1">SUM(E$120:E$126)</f>
        <v>15912340.836154576</v>
      </c>
      <c r="F127" s="99">
        <f t="shared" si="1"/>
        <v>16672991.710778769</v>
      </c>
      <c r="G127" s="99">
        <f t="shared" si="1"/>
        <v>15779604.834537737</v>
      </c>
      <c r="H127" s="99">
        <f t="shared" si="1"/>
        <v>13800568.692931714</v>
      </c>
      <c r="I127" s="99">
        <f t="shared" si="1"/>
        <v>16557409.44197453</v>
      </c>
      <c r="J127" s="99">
        <f t="shared" si="1"/>
        <v>16156906.043496247</v>
      </c>
      <c r="K127" s="99">
        <f t="shared" si="1"/>
        <v>16280584.074794456</v>
      </c>
      <c r="L127" s="99">
        <f t="shared" si="1"/>
        <v>13220615.391691538</v>
      </c>
      <c r="M127" s="99">
        <f t="shared" si="1"/>
        <v>14687771.019191733</v>
      </c>
      <c r="N127" s="99">
        <f t="shared" si="1"/>
        <v>14352058.079121443</v>
      </c>
      <c r="O127" s="99">
        <f t="shared" si="1"/>
        <v>15687698.227702536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105696.28777198248</v>
      </c>
      <c r="E131" s="105">
        <f>SUM(M$6:M$19)+SUM(O$6:O$19)+SUM(Q$6:Q$19)+SUM(S$6:S$19)</f>
        <v>196052.44113849706</v>
      </c>
      <c r="F131" s="105">
        <f>SUM(U$6:U$19)+SUM(W$6:W$19)+SUM(Y$6:Y$19)+SUM(AA$6:AA$19)</f>
        <v>193291.66692392284</v>
      </c>
      <c r="G131" s="105">
        <f>SUM(AC$6:AC$19)+SUM(AE$6:AE$19)+SUM(AG$6:AG$19)+SUM(AI$6:AI$19)</f>
        <v>210693.98305301549</v>
      </c>
      <c r="H131" s="105">
        <f>SUM(AK$6:AK$19)+SUM(AM$6:AM$19)+SUM(AO$6:AO$19)+SUM(AQ$6:AQ$19)</f>
        <v>156857.82752216386</v>
      </c>
      <c r="I131" s="105">
        <f>SUM(AS$6:AS$19)+SUM(AU$6:AU$19)+SUM(AW$6:AW$19)+SUM(AY$6:AY$19)</f>
        <v>203398.81515990722</v>
      </c>
      <c r="J131" s="105">
        <f>SUM(BA$6:BA$19)+SUM(BC$6:BC$19)+SUM(BE$6:BE$19)+SUM(BG$6:BG$19)</f>
        <v>198151.71687592013</v>
      </c>
      <c r="K131" s="105">
        <f>SUM(BI$6:BI$19)+SUM(BK$6:BK$19)+SUM(BM$6:BM$19)+SUM(BO$6:BO$19)</f>
        <v>208114.84719640025</v>
      </c>
      <c r="L131" s="105">
        <f>SUM(BQ$6:BQ$19)+SUM(BS$6:BS$19)+SUM(BU$6:BU$19)+SUM(BW$6:BW$19)</f>
        <v>170076.46164857675</v>
      </c>
      <c r="M131" s="105">
        <f>SUM(BY$6:BY$19)+SUM(CA$6:CA$19)+SUM(CC$6:CC$19)+SUM(CE$6:CE$19)</f>
        <v>178632.98141535264</v>
      </c>
      <c r="N131" s="105">
        <f>SUM(CG$6:CG$19)+SUM(CI$6:CI$19)+SUM(CK$6:CK$19)+SUM(CM$6:CM$19)</f>
        <v>211968.70081712923</v>
      </c>
      <c r="O131" s="105">
        <f>SUM(CO$6:CO$19)+SUM(CQ$6:CQ$19)+SUM(CS$6:CS$19)+SUM(CU$6:CU$19)</f>
        <v>210479.03939440454</v>
      </c>
    </row>
    <row r="132" spans="2:15">
      <c r="C132" s="104" t="s">
        <v>127</v>
      </c>
      <c r="D132" s="105">
        <f>SUM(E$20:E$36)+SUM(G$20:G$36)+SUM(I$20:I$36)+SUM(K$20:K$36)</f>
        <v>137398.68820704339</v>
      </c>
      <c r="E132" s="105">
        <f>SUM(M$20:M$36)+SUM(O$20:O$36)+SUM(Q$20:Q$36)+SUM(S$20:S$36)</f>
        <v>241982.32367004544</v>
      </c>
      <c r="F132" s="105">
        <f>SUM(U$20:U$36)+SUM(W$20:W$36)+SUM(Y$20:Y$36)+SUM(AA$20:AA$36)</f>
        <v>183141.37330254979</v>
      </c>
      <c r="G132" s="105">
        <f>SUM(AC$20:AC$36)+SUM(AE$20:AE$36)+SUM(AG$20:AG$36)+SUM(AI$20:AI$36)</f>
        <v>222285.41761685503</v>
      </c>
      <c r="H132" s="105">
        <f>SUM(AK$20:AK$36)+SUM(AM$20:AM$36)+SUM(AO$20:AO$36)+SUM(AQ$20:AQ$36)</f>
        <v>199056.57163990196</v>
      </c>
      <c r="I132" s="105">
        <f>SUM(AS$20:AS$36)+SUM(AU$20:AU$36)+SUM(AW$20:AW$36)+SUM(AY$20:AY$36)</f>
        <v>244169.74964214032</v>
      </c>
      <c r="J132" s="105">
        <f>SUM(BA$20:BA$36)+SUM(BC$20:BC$36)+SUM(BE$20:BE$36)+SUM(BG$20:BG$36)</f>
        <v>256517.08239782165</v>
      </c>
      <c r="K132" s="105">
        <f>SUM(BI$20:BI$36)+SUM(BK$20:BK$36)+SUM(BM$20:BM$36)+SUM(BO$20:BO$36)</f>
        <v>285898.05549740407</v>
      </c>
      <c r="L132" s="105">
        <f>SUM(BQ$20:BQ$36)+SUM(BS$20:BS$36)+SUM(BU$20:BU$36)+SUM(BW$20:BW$36)</f>
        <v>199758.54540350751</v>
      </c>
      <c r="M132" s="105">
        <f>SUM(BY$20:BY$36)+SUM(CA$20:CA$36)+SUM(CC$20:CC$36)+SUM(CE$20:CE$36)</f>
        <v>229929.60334921989</v>
      </c>
      <c r="N132" s="105">
        <f>SUM(CG$20:CG$36)+SUM(CI$20:CI$36)+SUM(CK$20:CK$36)+SUM(CM$20:CM$36)</f>
        <v>194609.81817757618</v>
      </c>
      <c r="O132" s="105">
        <f>SUM(CO$20:CO$36)+SUM(CQ$20:CQ$36)+SUM(CS$20:CS$36)+SUM(CU$20:CU$36)</f>
        <v>269227.35398085439</v>
      </c>
    </row>
    <row r="133" spans="2:15">
      <c r="C133" s="104" t="s">
        <v>128</v>
      </c>
      <c r="D133" s="105">
        <f>SUM(E$37:E$48)+SUM(G$37:G$48)+SUM(I$37:I$48)+SUM(K$37:K$48)</f>
        <v>337764.86355682055</v>
      </c>
      <c r="E133" s="105">
        <f>SUM(M$37:M$48)+SUM(O$37:O$48)+SUM(Q$37:Q$48)+SUM(S$37:S$48)</f>
        <v>673176.32664946956</v>
      </c>
      <c r="F133" s="105">
        <f>SUM(U$37:U$48)+SUM(W$37:W$48)+SUM(Y$37:Y$48)+SUM(AA$37:AA$48)</f>
        <v>758974.81653002033</v>
      </c>
      <c r="G133" s="105">
        <f>SUM(AC$37:AC$48)+SUM(AE$37:AE$48)+SUM(AG$37:AG$48)+SUM(AI$37:AI$48)</f>
        <v>752454.84266011766</v>
      </c>
      <c r="H133" s="105">
        <f>SUM(AK$37:AK$48)+SUM(AM$37:AM$48)+SUM(AO$37:AO$48)+SUM(AQ$37:AQ$48)</f>
        <v>607103.74910688924</v>
      </c>
      <c r="I133" s="105">
        <f>SUM(AS$37:AS$48)+SUM(AU$37:AU$48)+SUM(AW$37:AW$48)+SUM(AY$37:AY$48)</f>
        <v>743181.71620184544</v>
      </c>
      <c r="J133" s="105">
        <f>SUM(BA$37:BA$48)+SUM(BC$37:BC$48)+SUM(BE$37:BE$48)+SUM(BG$37:BG$48)</f>
        <v>630883.24912274361</v>
      </c>
      <c r="K133" s="105">
        <f>SUM(BI$37:BI$48)+SUM(BK$37:BK$48)+SUM(BM$37:BM$48)+SUM(BO$37:BO$48)</f>
        <v>556860.77383488673</v>
      </c>
      <c r="L133" s="105">
        <f>SUM(BQ$37:BQ$48)+SUM(BS$37:BS$48)+SUM(BU$37:BU$48)+SUM(BW$37:BW$48)</f>
        <v>480571.52991579555</v>
      </c>
      <c r="M133" s="105">
        <f>SUM(BY$37:BY$48)+SUM(CA$37:CA$48)+SUM(CC$37:CC$48)+SUM(CE$37:CE$48)</f>
        <v>644758.49597459263</v>
      </c>
      <c r="N133" s="105">
        <f>SUM(CG$37:CG$48)+SUM(CI$37:CI$48)+SUM(CK$37:CK$48)+SUM(CM$37:CM$48)</f>
        <v>555346.68412604567</v>
      </c>
      <c r="O133" s="105">
        <f>SUM(CO$37:CO$48)+SUM(CQ$37:CQ$48)+SUM(CS$37:CS$48)+SUM(CU$37:CU$48)</f>
        <v>715343.99091454642</v>
      </c>
    </row>
    <row r="134" spans="2:15">
      <c r="C134" s="104" t="s">
        <v>129</v>
      </c>
      <c r="D134" s="105">
        <f>SUM(E$49:E$70)+SUM(G$49:G$70)+SUM(I$49:I$70)+SUM(K$49:K$70)</f>
        <v>324527.09308750706</v>
      </c>
      <c r="E134" s="105">
        <f>SUM(M$49:M$70)+SUM(O$49:O$70)+SUM(Q$49:Q$70)+SUM(S$49:S$70)</f>
        <v>581373.15536241792</v>
      </c>
      <c r="F134" s="105">
        <f>SUM(U$49:U$70)+SUM(W$49:W$70)+SUM(Y$49:Y$70)+SUM(AA$49:AA$70)</f>
        <v>668380.37600402732</v>
      </c>
      <c r="G134" s="105">
        <f>SUM(AC$49:AC$70)+SUM(AE$49:AE$70)+SUM(AG$49:AG$70)+SUM(AI$49:AI$70)</f>
        <v>522669.3426427606</v>
      </c>
      <c r="H134" s="105">
        <f>SUM(AK$49:AK$70)+SUM(AM$49:AM$70)+SUM(AO$49:AO$70)+SUM(AQ$49:AQ$70)</f>
        <v>414365.78385106986</v>
      </c>
      <c r="I134" s="105">
        <f>SUM(AS$49:AS$70)+SUM(AU$49:AU$70)+SUM(AW$49:AW$70)+SUM(AY$49:AY$70)</f>
        <v>594550.8056842126</v>
      </c>
      <c r="J134" s="105">
        <f>SUM(BA$49:BA$70)+SUM(BC$49:BC$70)+SUM(BE$49:BE$70)+SUM(BG$49:BG$70)</f>
        <v>546781.26975344308</v>
      </c>
      <c r="K134" s="105">
        <f>SUM(BI$49:BI$70)+SUM(BK$49:BK$70)+SUM(BM$49:BM$70)+SUM(BO$49:BO$70)</f>
        <v>602595.26787308534</v>
      </c>
      <c r="L134" s="105">
        <f>SUM(BQ$49:BQ$70)+SUM(BS$49:BS$70)+SUM(BU$49:BU$70)+SUM(BW$49:BW$70)</f>
        <v>476939.25260785175</v>
      </c>
      <c r="M134" s="105">
        <f>SUM(BY$49:BY$70)+SUM(CA$49:CA$70)+SUM(CC$49:CC$70)+SUM(CE$49:CE$70)</f>
        <v>442414.49254077923</v>
      </c>
      <c r="N134" s="105">
        <f>SUM(CG$49:CG$70)+SUM(CI$49:CI$70)+SUM(CK$49:CK$70)+SUM(CM$49:CM$70)</f>
        <v>465205.23243787576</v>
      </c>
      <c r="O134" s="105">
        <f>SUM(CO$49:CO$70)+SUM(CQ$49:CQ$70)+SUM(CS$49:CS$70)+SUM(CU$49:CU$70)</f>
        <v>468295.7939492492</v>
      </c>
    </row>
    <row r="135" spans="2:15">
      <c r="C135" s="104" t="s">
        <v>130</v>
      </c>
      <c r="D135" s="105">
        <f>SUM(E$71:E$86)+SUM(G$71:G$86)+SUM(I$71:I$86)+SUM(K$71:K$86)</f>
        <v>74326.25875132173</v>
      </c>
      <c r="E135" s="105">
        <f>SUM(M$71:M$86)+SUM(O$71:O$86)+SUM(Q$71:Q$86)+SUM(S$71:S$86)</f>
        <v>234816.27716760465</v>
      </c>
      <c r="F135" s="105">
        <f>SUM(U$71:U$86)+SUM(W$71:W$86)+SUM(Y$71:Y$86)+SUM(AA$71:AA$86)</f>
        <v>272388</v>
      </c>
      <c r="G135" s="105">
        <f>SUM(AC$71:AC$86)+SUM(AE$71:AE$86)+SUM(AG$71:AG$86)+SUM(AI$71:AI$86)</f>
        <v>221258.36788050961</v>
      </c>
      <c r="H135" s="105">
        <f>SUM(AK$71:AK$86)+SUM(AM$71:AM$86)+SUM(AO$71:AO$86)+SUM(AQ$71:AQ$86)</f>
        <v>222438</v>
      </c>
      <c r="I135" s="105">
        <f>SUM(AS$71:AS$86)+SUM(AU$71:AU$86)+SUM(AW$71:AW$86)+SUM(AY$71:AY$86)</f>
        <v>235594.51946699823</v>
      </c>
      <c r="J135" s="105">
        <f>SUM(BA$71:BA$86)+SUM(BC$71:BC$86)+SUM(BE$71:BE$86)+SUM(BG$71:BG$86)</f>
        <v>278796.90646707226</v>
      </c>
      <c r="K135" s="105">
        <f>SUM(BI$71:BI$86)+SUM(BK$71:BK$86)+SUM(BM$71:BM$86)+SUM(BO$71:BO$86)</f>
        <v>251020.80000000005</v>
      </c>
      <c r="L135" s="105">
        <f>SUM(BQ$71:BQ$86)+SUM(BS$71:BS$86)+SUM(BU$71:BU$86)+SUM(BW$71:BW$86)</f>
        <v>208478.19203183148</v>
      </c>
      <c r="M135" s="105">
        <f>SUM(BY$71:BY$86)+SUM(CA$71:CA$86)+SUM(CC$71:CC$86)+SUM(CE$71:CE$86)</f>
        <v>248516.14393900105</v>
      </c>
      <c r="N135" s="105">
        <f>SUM(CG$71:CG$86)+SUM(CI$71:CI$86)+SUM(CK$71:CK$86)+SUM(CM$71:CM$86)</f>
        <v>260011.2</v>
      </c>
      <c r="O135" s="105">
        <f>SUM(CO$71:CO$86)+SUM(CQ$71:CQ$86)+SUM(CS$71:CS$86)+SUM(CU$71:CU$86)</f>
        <v>192828.9577165166</v>
      </c>
    </row>
    <row r="136" spans="2:15">
      <c r="C136" s="104" t="s">
        <v>131</v>
      </c>
      <c r="D136" s="105">
        <f>SUM(E$87:E$94)+SUM(G$87:G$94)+SUM(I$87:I$94)+SUM(K$87:K$94)</f>
        <v>100714.9906394115</v>
      </c>
      <c r="E136" s="105">
        <f>SUM(M$87:M$94)+SUM(O$87:O$94)+SUM(Q$87:Q$94)+SUM(S$87:S$94)</f>
        <v>153073.04510136542</v>
      </c>
      <c r="F136" s="105">
        <f>SUM(U$87:U$94)+SUM(W$87:W$94)+SUM(Y$87:Y$94)+SUM(AA$87:AA$94)</f>
        <v>149988.22779425525</v>
      </c>
      <c r="G136" s="105">
        <f>SUM(AC$87:AC$94)+SUM(AE$87:AE$94)+SUM(AG$87:AG$94)+SUM(AI$87:AI$94)</f>
        <v>145509.45676581466</v>
      </c>
      <c r="H136" s="105">
        <f>SUM(AK$87:AK$94)+SUM(AM$87:AM$94)+SUM(AO$87:AO$94)+SUM(AQ$87:AQ$94)</f>
        <v>177154.32458415939</v>
      </c>
      <c r="I136" s="105">
        <f>SUM(AS$87:AS$94)+SUM(AU$87:AU$94)+SUM(AW$87:AW$94)+SUM(AY$87:AY$94)</f>
        <v>152511.21972696393</v>
      </c>
      <c r="J136" s="105">
        <f>SUM(BA$87:BA$94)+SUM(BC$87:BC$94)+SUM(BE$87:BE$94)+SUM(BG$87:BG$94)</f>
        <v>160645.87450691569</v>
      </c>
      <c r="K136" s="105">
        <f>SUM(BI$87:BI$94)+SUM(BK$87:BK$94)+SUM(BM$87:BM$94)+SUM(BO$87:BO$94)</f>
        <v>167743.90896137766</v>
      </c>
      <c r="L136" s="105">
        <f>SUM(BQ$87:BQ$94)+SUM(BS$87:BS$94)+SUM(BU$87:BU$94)+SUM(BW$87:BW$94)</f>
        <v>149157.28588419585</v>
      </c>
      <c r="M136" s="105">
        <f>SUM(BY$87:BY$94)+SUM(CA$87:CA$94)+SUM(CC$87:CC$94)+SUM(CE$87:CE$94)</f>
        <v>148155.41151679558</v>
      </c>
      <c r="N136" s="105">
        <f>SUM(CG$87:CG$94)+SUM(CI$87:CI$94)+SUM(CK$87:CK$94)+SUM(CM$87:CM$94)</f>
        <v>165677.24850447345</v>
      </c>
      <c r="O136" s="105">
        <f>SUM(CO$87:CO$94)+SUM(CQ$87:CQ$94)+SUM(CS$87:CS$94)+SUM(CU$87:CU$94)</f>
        <v>165269.4262476869</v>
      </c>
    </row>
    <row r="137" spans="2:15">
      <c r="C137" s="104" t="s">
        <v>132</v>
      </c>
      <c r="D137" s="105">
        <f>SUM(E$95:E$105)+SUM(G$95:G$105)+SUM(I$95:I$105)+SUM(K$95:K$105)</f>
        <v>196330.87484690518</v>
      </c>
      <c r="E137" s="105">
        <f>SUM(M$95:M$105)+SUM(O$95:O$105)+SUM(Q$95:Q$105)+SUM(S$95:S$105)</f>
        <v>240920.46581292947</v>
      </c>
      <c r="F137" s="105">
        <f>SUM(U$95:U$105)+SUM(W$95:W$105)+SUM(Y$95:Y$105)+SUM(AA$95:AA$105)</f>
        <v>265415.64741163776</v>
      </c>
      <c r="G137" s="105">
        <f>SUM(AC$95:AC$105)+SUM(AE$95:AE$105)+SUM(AG$95:AG$105)+SUM(AI$95:AI$105)</f>
        <v>244591.11336599992</v>
      </c>
      <c r="H137" s="105">
        <f>SUM(AK$95:AK$105)+SUM(AM$95:AM$105)+SUM(AO$95:AO$105)+SUM(AQ$95:AQ$105)</f>
        <v>259551.76811253797</v>
      </c>
      <c r="I137" s="105">
        <f>SUM(AS$95:AS$105)+SUM(AU$95:AU$105)+SUM(AW$95:AW$105)+SUM(AY$95:AY$105)</f>
        <v>259339.97483453457</v>
      </c>
      <c r="J137" s="105">
        <f>SUM(BA$95:BA$105)+SUM(BC$95:BC$105)+SUM(BE$95:BE$105)+SUM(BG$95:BG$105)</f>
        <v>237785.23908404226</v>
      </c>
      <c r="K137" s="105">
        <f>SUM(BI$95:BI$105)+SUM(BK$95:BK$105)+SUM(BM$95:BM$105)+SUM(BO$95:BO$105)</f>
        <v>228115.27641868286</v>
      </c>
      <c r="L137" s="105">
        <f>SUM(BQ$95:BQ$105)+SUM(BS$95:BS$105)+SUM(BU$95:BU$105)+SUM(BW$95:BW$105)</f>
        <v>211583.07669827633</v>
      </c>
      <c r="M137" s="105">
        <f>SUM(BY$95:BY$105)+SUM(CA$95:CA$105)+SUM(CC$95:CC$105)+SUM(CE$95:CE$105)</f>
        <v>235951.32824600866</v>
      </c>
      <c r="N137" s="105">
        <f>SUM(CG$95:CG$105)+SUM(CI$95:CI$105)+SUM(CK$95:CK$105)+SUM(CM$95:CM$105)</f>
        <v>202772.79818807385</v>
      </c>
      <c r="O137" s="105">
        <f>SUM(CO$95:CO$105)+SUM(CQ$95:CQ$105)+SUM(CS$95:CS$105)+SUM(CU$95:CU$105)</f>
        <v>259122.91764950642</v>
      </c>
    </row>
    <row r="138" spans="2:15">
      <c r="C138" s="104" t="s">
        <v>278</v>
      </c>
      <c r="D138" s="99">
        <f t="shared" ref="D138:O138" si="2">SUM(D$131:D$137)</f>
        <v>1276759.056860992</v>
      </c>
      <c r="E138" s="99">
        <f t="shared" si="2"/>
        <v>2321394.0349023296</v>
      </c>
      <c r="F138" s="99">
        <f t="shared" si="2"/>
        <v>2491580.1079664133</v>
      </c>
      <c r="G138" s="99">
        <f t="shared" si="2"/>
        <v>2319462.5239850734</v>
      </c>
      <c r="H138" s="99">
        <f t="shared" si="2"/>
        <v>2036528.0248167221</v>
      </c>
      <c r="I138" s="99">
        <f t="shared" si="2"/>
        <v>2432746.8007166022</v>
      </c>
      <c r="J138" s="99">
        <f t="shared" si="2"/>
        <v>2309561.3382079587</v>
      </c>
      <c r="K138" s="99">
        <f t="shared" si="2"/>
        <v>2300348.9297818369</v>
      </c>
      <c r="L138" s="99">
        <f t="shared" si="2"/>
        <v>1896564.3441900355</v>
      </c>
      <c r="M138" s="99">
        <f t="shared" si="2"/>
        <v>2128358.4569817497</v>
      </c>
      <c r="N138" s="99">
        <f t="shared" si="2"/>
        <v>2055591.682251174</v>
      </c>
      <c r="O138" s="99">
        <f t="shared" si="2"/>
        <v>2280567.4798527644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>
      <c r="A1" s="98" t="s">
        <v>167</v>
      </c>
      <c r="B1" s="98" t="s">
        <v>168</v>
      </c>
      <c r="C1" s="98" t="s">
        <v>169</v>
      </c>
      <c r="D1" s="98" t="s">
        <v>170</v>
      </c>
      <c r="E1" s="98" t="s">
        <v>171</v>
      </c>
    </row>
    <row r="2" spans="1:5">
      <c r="A2" s="98" t="s">
        <v>126</v>
      </c>
      <c r="B2" s="98" t="s">
        <v>172</v>
      </c>
      <c r="C2" s="99" t="s">
        <v>59</v>
      </c>
      <c r="D2" s="99">
        <v>482</v>
      </c>
      <c r="E2" s="99">
        <v>578.4</v>
      </c>
    </row>
    <row r="3" spans="1:5">
      <c r="B3" s="98" t="s">
        <v>173</v>
      </c>
      <c r="C3" s="99" t="s">
        <v>59</v>
      </c>
      <c r="D3" s="99">
        <v>657</v>
      </c>
      <c r="E3" s="99">
        <v>788.4</v>
      </c>
    </row>
    <row r="4" spans="1:5">
      <c r="B4" s="98" t="s">
        <v>174</v>
      </c>
      <c r="C4" s="99" t="s">
        <v>59</v>
      </c>
      <c r="D4" s="99">
        <v>258</v>
      </c>
      <c r="E4" s="99">
        <v>309.59999999999997</v>
      </c>
    </row>
    <row r="5" spans="1:5">
      <c r="B5" s="98" t="s">
        <v>175</v>
      </c>
      <c r="C5" s="99" t="s">
        <v>59</v>
      </c>
      <c r="D5" s="99">
        <v>585</v>
      </c>
      <c r="E5" s="99">
        <v>702</v>
      </c>
    </row>
    <row r="6" spans="1:5">
      <c r="B6" s="98" t="s">
        <v>176</v>
      </c>
      <c r="C6" s="99" t="s">
        <v>59</v>
      </c>
      <c r="D6" s="99">
        <v>454</v>
      </c>
      <c r="E6" s="99">
        <v>544.79999999999995</v>
      </c>
    </row>
    <row r="7" spans="1:5">
      <c r="B7" s="98" t="s">
        <v>177</v>
      </c>
      <c r="C7" s="99" t="s">
        <v>59</v>
      </c>
      <c r="D7" s="99">
        <v>444</v>
      </c>
      <c r="E7" s="99">
        <v>532.79999999999995</v>
      </c>
    </row>
    <row r="8" spans="1:5">
      <c r="B8" s="98" t="s">
        <v>178</v>
      </c>
      <c r="C8" s="99" t="s">
        <v>59</v>
      </c>
      <c r="D8" s="99">
        <v>469</v>
      </c>
      <c r="E8" s="99">
        <v>562.79999999999995</v>
      </c>
    </row>
    <row r="9" spans="1:5">
      <c r="B9" s="98" t="s">
        <v>179</v>
      </c>
      <c r="C9" s="99" t="s">
        <v>59</v>
      </c>
      <c r="D9" s="99">
        <v>71</v>
      </c>
      <c r="E9" s="99">
        <v>85.2</v>
      </c>
    </row>
    <row r="10" spans="1:5">
      <c r="B10" s="98" t="s">
        <v>180</v>
      </c>
      <c r="C10" s="99" t="s">
        <v>59</v>
      </c>
      <c r="D10" s="99">
        <v>407</v>
      </c>
      <c r="E10" s="99">
        <v>488.4</v>
      </c>
    </row>
    <row r="11" spans="1:5">
      <c r="B11" s="98" t="s">
        <v>181</v>
      </c>
      <c r="C11" s="99" t="s">
        <v>59</v>
      </c>
      <c r="D11" s="99">
        <v>636</v>
      </c>
      <c r="E11" s="99">
        <v>763.19999999999993</v>
      </c>
    </row>
    <row r="12" spans="1:5">
      <c r="B12" s="98" t="s">
        <v>182</v>
      </c>
      <c r="C12" s="99" t="s">
        <v>59</v>
      </c>
      <c r="D12" s="99">
        <v>284</v>
      </c>
      <c r="E12" s="99">
        <v>340.8</v>
      </c>
    </row>
    <row r="13" spans="1:5">
      <c r="B13" s="98" t="s">
        <v>183</v>
      </c>
      <c r="C13" s="99" t="s">
        <v>59</v>
      </c>
      <c r="D13" s="99">
        <v>352</v>
      </c>
      <c r="E13" s="99">
        <v>422.4</v>
      </c>
    </row>
    <row r="14" spans="1:5">
      <c r="B14" s="98" t="s">
        <v>184</v>
      </c>
      <c r="C14" s="99" t="s">
        <v>59</v>
      </c>
      <c r="D14" s="99">
        <v>544</v>
      </c>
      <c r="E14" s="99">
        <v>652.79999999999995</v>
      </c>
    </row>
    <row r="15" spans="1:5">
      <c r="B15" s="98" t="s">
        <v>185</v>
      </c>
      <c r="C15" s="99" t="s">
        <v>59</v>
      </c>
      <c r="D15" s="99">
        <v>275</v>
      </c>
      <c r="E15" s="99">
        <v>330</v>
      </c>
    </row>
    <row r="16" spans="1:5">
      <c r="A16" s="98" t="s">
        <v>127</v>
      </c>
      <c r="B16" s="98" t="s">
        <v>186</v>
      </c>
      <c r="C16" s="99" t="s">
        <v>59</v>
      </c>
      <c r="D16" s="99">
        <v>239</v>
      </c>
      <c r="E16" s="99">
        <v>286.8</v>
      </c>
    </row>
    <row r="17" spans="2:5">
      <c r="B17" s="98" t="s">
        <v>187</v>
      </c>
      <c r="C17" s="99" t="s">
        <v>59</v>
      </c>
      <c r="D17" s="99">
        <v>52</v>
      </c>
      <c r="E17" s="99">
        <v>62.4</v>
      </c>
    </row>
    <row r="18" spans="2:5">
      <c r="B18" s="98" t="s">
        <v>188</v>
      </c>
      <c r="C18" s="99" t="s">
        <v>59</v>
      </c>
      <c r="D18" s="99">
        <v>156</v>
      </c>
      <c r="E18" s="99">
        <v>187.2</v>
      </c>
    </row>
    <row r="19" spans="2:5">
      <c r="B19" s="98" t="s">
        <v>189</v>
      </c>
      <c r="C19" s="99" t="s">
        <v>59</v>
      </c>
      <c r="D19" s="99">
        <v>245</v>
      </c>
      <c r="E19" s="99">
        <v>294</v>
      </c>
    </row>
    <row r="20" spans="2:5">
      <c r="B20" s="98" t="s">
        <v>190</v>
      </c>
      <c r="C20" s="99" t="s">
        <v>59</v>
      </c>
      <c r="D20" s="99">
        <v>306</v>
      </c>
      <c r="E20" s="99">
        <v>367.2</v>
      </c>
    </row>
    <row r="21" spans="2:5">
      <c r="B21" s="98" t="s">
        <v>191</v>
      </c>
      <c r="C21" s="99" t="s">
        <v>59</v>
      </c>
      <c r="D21" s="99">
        <v>442</v>
      </c>
      <c r="E21" s="99">
        <v>530.4</v>
      </c>
    </row>
    <row r="22" spans="2:5">
      <c r="B22" s="98" t="s">
        <v>192</v>
      </c>
      <c r="C22" s="99" t="s">
        <v>59</v>
      </c>
      <c r="D22" s="99">
        <v>405</v>
      </c>
      <c r="E22" s="99">
        <v>486</v>
      </c>
    </row>
    <row r="23" spans="2:5">
      <c r="B23" s="98" t="s">
        <v>193</v>
      </c>
      <c r="C23" s="99" t="s">
        <v>59</v>
      </c>
      <c r="D23" s="99">
        <v>356</v>
      </c>
      <c r="E23" s="99">
        <v>427.2</v>
      </c>
    </row>
    <row r="24" spans="2:5">
      <c r="B24" s="98" t="s">
        <v>194</v>
      </c>
      <c r="C24" s="99" t="s">
        <v>59</v>
      </c>
      <c r="D24" s="99">
        <v>615</v>
      </c>
      <c r="E24" s="99">
        <v>738</v>
      </c>
    </row>
    <row r="25" spans="2:5">
      <c r="B25" s="98" t="s">
        <v>195</v>
      </c>
      <c r="C25" s="99" t="s">
        <v>59</v>
      </c>
      <c r="D25" s="99">
        <v>282</v>
      </c>
      <c r="E25" s="99">
        <v>338.4</v>
      </c>
    </row>
    <row r="26" spans="2:5">
      <c r="B26" s="98" t="s">
        <v>196</v>
      </c>
      <c r="C26" s="99" t="s">
        <v>59</v>
      </c>
      <c r="D26" s="99">
        <v>116</v>
      </c>
      <c r="E26" s="99">
        <v>139.19999999999999</v>
      </c>
    </row>
    <row r="27" spans="2:5">
      <c r="B27" s="98" t="s">
        <v>197</v>
      </c>
      <c r="C27" s="99" t="s">
        <v>59</v>
      </c>
      <c r="D27" s="99">
        <v>284</v>
      </c>
      <c r="E27" s="99">
        <v>340.8</v>
      </c>
    </row>
    <row r="28" spans="2:5">
      <c r="B28" s="98" t="s">
        <v>198</v>
      </c>
      <c r="C28" s="99" t="s">
        <v>59</v>
      </c>
      <c r="D28" s="99">
        <v>700</v>
      </c>
      <c r="E28" s="99">
        <v>840</v>
      </c>
    </row>
    <row r="29" spans="2:5">
      <c r="B29" s="98" t="s">
        <v>199</v>
      </c>
      <c r="C29" s="99" t="s">
        <v>59</v>
      </c>
      <c r="D29" s="99">
        <v>395</v>
      </c>
      <c r="E29" s="99">
        <v>474</v>
      </c>
    </row>
    <row r="30" spans="2:5">
      <c r="B30" s="98" t="s">
        <v>200</v>
      </c>
      <c r="C30" s="99" t="s">
        <v>59</v>
      </c>
      <c r="D30" s="99">
        <v>457</v>
      </c>
      <c r="E30" s="99">
        <v>548.4</v>
      </c>
    </row>
    <row r="31" spans="2:5">
      <c r="B31" s="98" t="s">
        <v>201</v>
      </c>
      <c r="C31" s="99" t="s">
        <v>59</v>
      </c>
      <c r="D31" s="99">
        <v>419</v>
      </c>
      <c r="E31" s="99">
        <v>502.7999999999999</v>
      </c>
    </row>
    <row r="32" spans="2:5">
      <c r="B32" s="98" t="s">
        <v>202</v>
      </c>
      <c r="C32" s="99" t="s">
        <v>59</v>
      </c>
      <c r="D32" s="99">
        <v>634</v>
      </c>
      <c r="E32" s="99">
        <v>760.8</v>
      </c>
    </row>
    <row r="33" spans="1:5">
      <c r="A33" s="98" t="s">
        <v>128</v>
      </c>
      <c r="B33" s="98" t="s">
        <v>203</v>
      </c>
      <c r="C33" s="99" t="s">
        <v>59</v>
      </c>
      <c r="D33" s="99">
        <v>717</v>
      </c>
      <c r="E33" s="99">
        <v>860.4</v>
      </c>
    </row>
    <row r="34" spans="1:5">
      <c r="B34" s="98" t="s">
        <v>204</v>
      </c>
      <c r="C34" s="99" t="s">
        <v>59</v>
      </c>
      <c r="D34" s="99">
        <v>1035</v>
      </c>
      <c r="E34" s="99">
        <v>1242</v>
      </c>
    </row>
    <row r="35" spans="1:5">
      <c r="B35" s="98" t="s">
        <v>205</v>
      </c>
      <c r="C35" s="99" t="s">
        <v>59</v>
      </c>
      <c r="D35" s="99">
        <v>1186</v>
      </c>
      <c r="E35" s="99">
        <v>1423.2</v>
      </c>
    </row>
    <row r="36" spans="1:5">
      <c r="B36" s="98" t="s">
        <v>206</v>
      </c>
      <c r="C36" s="99" t="s">
        <v>59</v>
      </c>
      <c r="D36" s="99">
        <v>604</v>
      </c>
      <c r="E36" s="99">
        <v>724.8</v>
      </c>
    </row>
    <row r="37" spans="1:5">
      <c r="B37" s="98" t="s">
        <v>207</v>
      </c>
      <c r="C37" s="99" t="s">
        <v>59</v>
      </c>
      <c r="D37" s="99">
        <v>550</v>
      </c>
      <c r="E37" s="99">
        <v>660</v>
      </c>
    </row>
    <row r="38" spans="1:5">
      <c r="B38" s="98" t="s">
        <v>208</v>
      </c>
      <c r="C38" s="99" t="s">
        <v>59</v>
      </c>
      <c r="D38" s="99">
        <v>705</v>
      </c>
      <c r="E38" s="99">
        <v>846</v>
      </c>
    </row>
    <row r="39" spans="1:5">
      <c r="B39" s="98" t="s">
        <v>209</v>
      </c>
      <c r="C39" s="99" t="s">
        <v>59</v>
      </c>
      <c r="D39" s="99">
        <v>852</v>
      </c>
      <c r="E39" s="99">
        <v>1022.4</v>
      </c>
    </row>
    <row r="40" spans="1:5">
      <c r="B40" s="98" t="s">
        <v>210</v>
      </c>
      <c r="C40" s="99" t="s">
        <v>59</v>
      </c>
      <c r="D40" s="99">
        <v>852</v>
      </c>
      <c r="E40" s="99">
        <v>1022.4</v>
      </c>
    </row>
    <row r="41" spans="1:5">
      <c r="B41" s="98" t="s">
        <v>211</v>
      </c>
      <c r="C41" s="99" t="s">
        <v>59</v>
      </c>
      <c r="D41" s="99">
        <v>1041</v>
      </c>
      <c r="E41" s="99">
        <v>1249.2</v>
      </c>
    </row>
    <row r="42" spans="1:5">
      <c r="B42" s="98" t="s">
        <v>212</v>
      </c>
      <c r="C42" s="99" t="s">
        <v>59</v>
      </c>
      <c r="D42" s="99">
        <v>1010</v>
      </c>
      <c r="E42" s="99">
        <v>1212</v>
      </c>
    </row>
    <row r="43" spans="1:5">
      <c r="B43" s="98" t="s">
        <v>213</v>
      </c>
      <c r="C43" s="99" t="s">
        <v>59</v>
      </c>
      <c r="D43" s="99">
        <v>1273</v>
      </c>
      <c r="E43" s="99">
        <v>1527.6</v>
      </c>
    </row>
    <row r="44" spans="1:5">
      <c r="B44" s="98" t="s">
        <v>214</v>
      </c>
      <c r="C44" s="99" t="s">
        <v>59</v>
      </c>
      <c r="D44" s="99">
        <v>723</v>
      </c>
      <c r="E44" s="99">
        <v>867.6</v>
      </c>
    </row>
    <row r="45" spans="1:5">
      <c r="A45" s="98" t="s">
        <v>129</v>
      </c>
      <c r="B45" s="98" t="s">
        <v>215</v>
      </c>
      <c r="C45" s="99" t="s">
        <v>22</v>
      </c>
      <c r="D45" s="99">
        <v>821</v>
      </c>
      <c r="E45" s="99">
        <v>985.19999999999993</v>
      </c>
    </row>
    <row r="46" spans="1:5">
      <c r="B46" s="98" t="s">
        <v>216</v>
      </c>
      <c r="C46" s="99" t="s">
        <v>59</v>
      </c>
      <c r="D46" s="99">
        <v>235</v>
      </c>
      <c r="E46" s="99">
        <v>282</v>
      </c>
    </row>
    <row r="47" spans="1:5">
      <c r="B47" s="98" t="s">
        <v>217</v>
      </c>
      <c r="C47" s="99" t="s">
        <v>59</v>
      </c>
      <c r="D47" s="99">
        <v>712</v>
      </c>
      <c r="E47" s="99">
        <v>854.4</v>
      </c>
    </row>
    <row r="48" spans="1:5">
      <c r="B48" s="98" t="s">
        <v>218</v>
      </c>
      <c r="C48" s="99" t="s">
        <v>59</v>
      </c>
      <c r="D48" s="99">
        <v>450</v>
      </c>
      <c r="E48" s="99">
        <v>540</v>
      </c>
    </row>
    <row r="49" spans="2:5">
      <c r="B49" s="98" t="s">
        <v>219</v>
      </c>
      <c r="C49" s="99" t="s">
        <v>59</v>
      </c>
      <c r="D49" s="99">
        <v>339</v>
      </c>
      <c r="E49" s="99">
        <v>406.8</v>
      </c>
    </row>
    <row r="50" spans="2:5">
      <c r="B50" s="98" t="s">
        <v>220</v>
      </c>
      <c r="C50" s="99" t="s">
        <v>59</v>
      </c>
      <c r="D50" s="99">
        <v>279</v>
      </c>
      <c r="E50" s="99">
        <v>334.8</v>
      </c>
    </row>
    <row r="51" spans="2:5">
      <c r="B51" s="98" t="s">
        <v>221</v>
      </c>
      <c r="C51" s="99" t="s">
        <v>59</v>
      </c>
      <c r="D51" s="99">
        <v>553</v>
      </c>
      <c r="E51" s="99">
        <v>663.6</v>
      </c>
    </row>
    <row r="52" spans="2:5">
      <c r="B52" s="98" t="s">
        <v>222</v>
      </c>
      <c r="C52" s="99" t="s">
        <v>46</v>
      </c>
      <c r="D52" s="99">
        <v>818</v>
      </c>
      <c r="E52" s="99">
        <v>981.59999999999991</v>
      </c>
    </row>
    <row r="53" spans="2:5">
      <c r="B53" s="98" t="s">
        <v>223</v>
      </c>
      <c r="C53" s="99" t="s">
        <v>59</v>
      </c>
      <c r="D53" s="99">
        <v>1176</v>
      </c>
      <c r="E53" s="99">
        <v>1411.2</v>
      </c>
    </row>
    <row r="54" spans="2:5">
      <c r="B54" s="98" t="s">
        <v>224</v>
      </c>
      <c r="C54" s="99" t="s">
        <v>22</v>
      </c>
      <c r="D54" s="99">
        <v>981</v>
      </c>
      <c r="E54" s="99">
        <v>1177.2</v>
      </c>
    </row>
    <row r="55" spans="2:5">
      <c r="B55" s="98" t="s">
        <v>225</v>
      </c>
      <c r="C55" s="99" t="s">
        <v>59</v>
      </c>
      <c r="D55" s="99">
        <v>253</v>
      </c>
      <c r="E55" s="99">
        <v>303.59999999999997</v>
      </c>
    </row>
    <row r="56" spans="2:5">
      <c r="B56" s="98" t="s">
        <v>226</v>
      </c>
      <c r="C56" s="99" t="s">
        <v>59</v>
      </c>
      <c r="D56" s="99">
        <v>543</v>
      </c>
      <c r="E56" s="99">
        <v>651.6</v>
      </c>
    </row>
    <row r="57" spans="2:5">
      <c r="B57" s="98" t="s">
        <v>227</v>
      </c>
      <c r="C57" s="99" t="s">
        <v>59</v>
      </c>
      <c r="D57" s="99">
        <v>793</v>
      </c>
      <c r="E57" s="99">
        <v>951.59999999999991</v>
      </c>
    </row>
    <row r="58" spans="2:5">
      <c r="B58" s="98" t="s">
        <v>228</v>
      </c>
      <c r="C58" s="99" t="s">
        <v>46</v>
      </c>
      <c r="D58" s="99">
        <v>1391</v>
      </c>
      <c r="E58" s="99">
        <v>1669.2</v>
      </c>
    </row>
    <row r="59" spans="2:5">
      <c r="B59" s="98" t="s">
        <v>229</v>
      </c>
      <c r="C59" s="99" t="s">
        <v>59</v>
      </c>
      <c r="D59" s="99">
        <v>663</v>
      </c>
      <c r="E59" s="99">
        <v>795.6</v>
      </c>
    </row>
    <row r="60" spans="2:5">
      <c r="B60" s="98" t="s">
        <v>230</v>
      </c>
      <c r="C60" s="99" t="s">
        <v>59</v>
      </c>
      <c r="D60" s="99">
        <v>841</v>
      </c>
      <c r="E60" s="99">
        <v>1009.1999999999998</v>
      </c>
    </row>
    <row r="61" spans="2:5">
      <c r="B61" s="98" t="s">
        <v>231</v>
      </c>
      <c r="C61" s="99" t="s">
        <v>59</v>
      </c>
      <c r="D61" s="99">
        <v>855</v>
      </c>
      <c r="E61" s="99">
        <v>1026</v>
      </c>
    </row>
    <row r="62" spans="2:5">
      <c r="B62" s="98" t="s">
        <v>232</v>
      </c>
      <c r="C62" s="99" t="s">
        <v>59</v>
      </c>
      <c r="D62" s="99">
        <v>992</v>
      </c>
      <c r="E62" s="99">
        <v>1190.3999999999999</v>
      </c>
    </row>
    <row r="63" spans="2:5">
      <c r="B63" s="98" t="s">
        <v>233</v>
      </c>
      <c r="C63" s="99" t="s">
        <v>59</v>
      </c>
      <c r="D63" s="99">
        <v>936</v>
      </c>
      <c r="E63" s="99">
        <v>1123.2</v>
      </c>
    </row>
    <row r="64" spans="2:5">
      <c r="B64" s="98" t="s">
        <v>234</v>
      </c>
      <c r="C64" s="99" t="s">
        <v>59</v>
      </c>
      <c r="D64" s="99">
        <v>861</v>
      </c>
      <c r="E64" s="99">
        <v>1033.2</v>
      </c>
    </row>
    <row r="65" spans="1:5">
      <c r="B65" s="98" t="s">
        <v>235</v>
      </c>
      <c r="C65" s="99" t="s">
        <v>59</v>
      </c>
      <c r="D65" s="99">
        <v>632</v>
      </c>
      <c r="E65" s="99">
        <v>758.4</v>
      </c>
    </row>
    <row r="66" spans="1:5">
      <c r="B66" s="98" t="s">
        <v>236</v>
      </c>
      <c r="C66" s="99" t="s">
        <v>59</v>
      </c>
      <c r="D66" s="99">
        <v>446</v>
      </c>
      <c r="E66" s="99">
        <v>535.19999999999993</v>
      </c>
    </row>
    <row r="67" spans="1:5">
      <c r="A67" s="98" t="s">
        <v>130</v>
      </c>
      <c r="B67" s="98" t="s">
        <v>237</v>
      </c>
      <c r="C67" s="99" t="s">
        <v>22</v>
      </c>
      <c r="D67" s="99">
        <v>470</v>
      </c>
      <c r="E67" s="99">
        <v>564</v>
      </c>
    </row>
    <row r="68" spans="1:5">
      <c r="B68" s="98" t="s">
        <v>238</v>
      </c>
      <c r="C68" s="99" t="s">
        <v>22</v>
      </c>
      <c r="D68" s="99">
        <v>62</v>
      </c>
      <c r="E68" s="99">
        <v>74.399999999999991</v>
      </c>
    </row>
    <row r="69" spans="1:5">
      <c r="B69" s="98" t="s">
        <v>239</v>
      </c>
      <c r="C69" s="99" t="s">
        <v>22</v>
      </c>
      <c r="D69" s="99">
        <v>466</v>
      </c>
      <c r="E69" s="99">
        <v>559.19999999999993</v>
      </c>
    </row>
    <row r="70" spans="1:5">
      <c r="B70" s="98" t="s">
        <v>240</v>
      </c>
      <c r="C70" s="99" t="s">
        <v>22</v>
      </c>
      <c r="D70" s="99">
        <v>336</v>
      </c>
      <c r="E70" s="99">
        <v>403.2</v>
      </c>
    </row>
    <row r="71" spans="1:5">
      <c r="B71" s="98" t="s">
        <v>241</v>
      </c>
      <c r="C71" s="99" t="s">
        <v>22</v>
      </c>
      <c r="D71" s="99">
        <v>536</v>
      </c>
      <c r="E71" s="99">
        <v>643.19999999999993</v>
      </c>
    </row>
    <row r="72" spans="1:5">
      <c r="B72" s="98" t="s">
        <v>242</v>
      </c>
      <c r="C72" s="99" t="s">
        <v>22</v>
      </c>
      <c r="D72" s="99">
        <v>649</v>
      </c>
      <c r="E72" s="99">
        <v>778.8</v>
      </c>
    </row>
    <row r="73" spans="1:5">
      <c r="B73" s="98" t="s">
        <v>243</v>
      </c>
      <c r="C73" s="99" t="s">
        <v>22</v>
      </c>
      <c r="D73" s="99">
        <v>232</v>
      </c>
      <c r="E73" s="99">
        <v>278.39999999999998</v>
      </c>
    </row>
    <row r="74" spans="1:5">
      <c r="B74" s="98" t="s">
        <v>244</v>
      </c>
      <c r="C74" s="99" t="s">
        <v>22</v>
      </c>
      <c r="D74" s="99">
        <v>460</v>
      </c>
      <c r="E74" s="99">
        <v>552</v>
      </c>
    </row>
    <row r="75" spans="1:5">
      <c r="B75" s="98" t="s">
        <v>245</v>
      </c>
      <c r="C75" s="99" t="s">
        <v>22</v>
      </c>
      <c r="D75" s="99">
        <v>631</v>
      </c>
      <c r="E75" s="99">
        <v>757.19999999999993</v>
      </c>
    </row>
    <row r="76" spans="1:5">
      <c r="B76" s="98" t="s">
        <v>246</v>
      </c>
      <c r="C76" s="99" t="s">
        <v>22</v>
      </c>
      <c r="D76" s="99">
        <v>671</v>
      </c>
      <c r="E76" s="99">
        <v>805.19999999999993</v>
      </c>
    </row>
    <row r="77" spans="1:5">
      <c r="B77" s="98" t="s">
        <v>247</v>
      </c>
      <c r="C77" s="99" t="s">
        <v>22</v>
      </c>
      <c r="D77" s="99">
        <v>628</v>
      </c>
      <c r="E77" s="99">
        <v>753.6</v>
      </c>
    </row>
    <row r="78" spans="1:5">
      <c r="B78" s="98" t="s">
        <v>248</v>
      </c>
      <c r="C78" s="99" t="s">
        <v>22</v>
      </c>
      <c r="D78" s="99">
        <v>424</v>
      </c>
      <c r="E78" s="99">
        <v>508.7999999999999</v>
      </c>
    </row>
    <row r="79" spans="1:5">
      <c r="B79" s="98" t="s">
        <v>249</v>
      </c>
      <c r="C79" s="99" t="s">
        <v>22</v>
      </c>
      <c r="D79" s="99">
        <v>717</v>
      </c>
      <c r="E79" s="99">
        <v>860.4</v>
      </c>
    </row>
    <row r="80" spans="1:5">
      <c r="B80" s="98" t="s">
        <v>250</v>
      </c>
      <c r="C80" s="99" t="s">
        <v>22</v>
      </c>
      <c r="D80" s="99">
        <v>651</v>
      </c>
      <c r="E80" s="99">
        <v>781.19999999999993</v>
      </c>
    </row>
    <row r="81" spans="1:5">
      <c r="B81" s="98" t="s">
        <v>251</v>
      </c>
      <c r="C81" s="99" t="s">
        <v>22</v>
      </c>
      <c r="D81" s="99">
        <v>125</v>
      </c>
      <c r="E81" s="99">
        <v>150</v>
      </c>
    </row>
    <row r="82" spans="1:5">
      <c r="B82" s="98" t="s">
        <v>252</v>
      </c>
      <c r="C82" s="99" t="s">
        <v>22</v>
      </c>
      <c r="D82" s="99">
        <v>450</v>
      </c>
      <c r="E82" s="99">
        <v>540</v>
      </c>
    </row>
    <row r="83" spans="1:5">
      <c r="A83" s="98" t="s">
        <v>131</v>
      </c>
      <c r="B83" s="98" t="s">
        <v>253</v>
      </c>
      <c r="C83" s="99" t="s">
        <v>46</v>
      </c>
      <c r="D83" s="99">
        <v>895</v>
      </c>
      <c r="E83" s="99">
        <v>1074</v>
      </c>
    </row>
    <row r="84" spans="1:5">
      <c r="B84" s="98" t="s">
        <v>254</v>
      </c>
      <c r="C84" s="99" t="s">
        <v>46</v>
      </c>
      <c r="D84" s="99">
        <v>827</v>
      </c>
      <c r="E84" s="99">
        <v>992.4</v>
      </c>
    </row>
    <row r="85" spans="1:5">
      <c r="B85" s="98" t="s">
        <v>255</v>
      </c>
      <c r="C85" s="99" t="s">
        <v>46</v>
      </c>
      <c r="D85" s="99">
        <v>885</v>
      </c>
      <c r="E85" s="99">
        <v>1062</v>
      </c>
    </row>
    <row r="86" spans="1:5">
      <c r="B86" s="98" t="s">
        <v>256</v>
      </c>
      <c r="C86" s="99" t="s">
        <v>46</v>
      </c>
      <c r="D86" s="99">
        <v>924</v>
      </c>
      <c r="E86" s="99">
        <v>1108.8</v>
      </c>
    </row>
    <row r="87" spans="1:5">
      <c r="B87" s="98" t="s">
        <v>257</v>
      </c>
      <c r="C87" s="99" t="s">
        <v>46</v>
      </c>
      <c r="D87" s="99">
        <v>947</v>
      </c>
      <c r="E87" s="99">
        <v>1136.3999999999999</v>
      </c>
    </row>
    <row r="88" spans="1:5">
      <c r="B88" s="98" t="s">
        <v>258</v>
      </c>
      <c r="C88" s="99" t="s">
        <v>46</v>
      </c>
      <c r="D88" s="99">
        <v>654</v>
      </c>
      <c r="E88" s="99">
        <v>784.8</v>
      </c>
    </row>
    <row r="89" spans="1:5">
      <c r="B89" s="98" t="s">
        <v>259</v>
      </c>
      <c r="C89" s="99" t="s">
        <v>46</v>
      </c>
      <c r="D89" s="99">
        <v>578</v>
      </c>
      <c r="E89" s="99">
        <v>693.6</v>
      </c>
    </row>
    <row r="90" spans="1:5">
      <c r="B90" s="98" t="s">
        <v>260</v>
      </c>
      <c r="C90" s="99" t="s">
        <v>46</v>
      </c>
      <c r="D90" s="99">
        <v>994</v>
      </c>
      <c r="E90" s="99">
        <v>1192.8</v>
      </c>
    </row>
    <row r="91" spans="1:5">
      <c r="A91" s="98" t="s">
        <v>132</v>
      </c>
      <c r="B91" s="98" t="s">
        <v>261</v>
      </c>
      <c r="C91" s="99" t="s">
        <v>46</v>
      </c>
      <c r="D91" s="99">
        <v>274</v>
      </c>
      <c r="E91" s="99">
        <v>328.8</v>
      </c>
    </row>
    <row r="92" spans="1:5">
      <c r="B92" s="98" t="s">
        <v>262</v>
      </c>
      <c r="C92" s="99" t="s">
        <v>46</v>
      </c>
      <c r="D92" s="99">
        <v>579</v>
      </c>
      <c r="E92" s="99">
        <v>694.8</v>
      </c>
    </row>
    <row r="93" spans="1:5">
      <c r="B93" s="98" t="s">
        <v>263</v>
      </c>
      <c r="C93" s="99" t="s">
        <v>46</v>
      </c>
      <c r="D93" s="99">
        <v>327</v>
      </c>
      <c r="E93" s="99">
        <v>392.4</v>
      </c>
    </row>
    <row r="94" spans="1:5">
      <c r="B94" s="98" t="s">
        <v>264</v>
      </c>
      <c r="C94" s="99" t="s">
        <v>46</v>
      </c>
      <c r="D94" s="99">
        <v>438</v>
      </c>
      <c r="E94" s="99">
        <v>525.6</v>
      </c>
    </row>
    <row r="95" spans="1:5">
      <c r="B95" s="98" t="s">
        <v>265</v>
      </c>
      <c r="C95" s="99" t="s">
        <v>46</v>
      </c>
      <c r="D95" s="99">
        <v>3507</v>
      </c>
      <c r="E95" s="99">
        <v>4208.3999999999996</v>
      </c>
    </row>
    <row r="96" spans="1:5">
      <c r="B96" s="98" t="s">
        <v>266</v>
      </c>
      <c r="C96" s="99" t="s">
        <v>46</v>
      </c>
      <c r="D96" s="99">
        <v>270</v>
      </c>
      <c r="E96" s="99">
        <v>324</v>
      </c>
    </row>
    <row r="97" spans="2:5">
      <c r="B97" s="98" t="s">
        <v>267</v>
      </c>
      <c r="C97" s="99" t="s">
        <v>46</v>
      </c>
      <c r="D97" s="99">
        <v>603</v>
      </c>
      <c r="E97" s="99">
        <v>723.6</v>
      </c>
    </row>
    <row r="98" spans="2:5">
      <c r="B98" s="98" t="s">
        <v>268</v>
      </c>
      <c r="C98" s="99" t="s">
        <v>46</v>
      </c>
      <c r="D98" s="99">
        <v>443</v>
      </c>
      <c r="E98" s="99">
        <v>531.6</v>
      </c>
    </row>
    <row r="99" spans="2:5">
      <c r="B99" s="98" t="s">
        <v>269</v>
      </c>
      <c r="C99" s="99" t="s">
        <v>46</v>
      </c>
      <c r="D99" s="99">
        <v>491</v>
      </c>
      <c r="E99" s="99">
        <v>589.19999999999993</v>
      </c>
    </row>
    <row r="100" spans="2:5">
      <c r="B100" s="98" t="s">
        <v>270</v>
      </c>
      <c r="C100" s="99" t="s">
        <v>46</v>
      </c>
      <c r="D100" s="99">
        <v>527</v>
      </c>
      <c r="E100" s="99">
        <v>632.4</v>
      </c>
    </row>
    <row r="101" spans="2:5">
      <c r="B101" s="98" t="s">
        <v>271</v>
      </c>
      <c r="C101" s="99" t="s">
        <v>46</v>
      </c>
      <c r="D101" s="99">
        <v>464</v>
      </c>
      <c r="E101" s="99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2014-12-04T18:56:03Z</dcterms:modified>
</cp:coreProperties>
</file>